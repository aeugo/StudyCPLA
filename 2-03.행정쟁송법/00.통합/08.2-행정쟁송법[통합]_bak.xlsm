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3.행정쟁송법\00.통합\"/>
    </mc:Choice>
  </mc:AlternateContent>
  <xr:revisionPtr revIDLastSave="0" documentId="13_ncr:1_{49E3B69F-FD75-4377-A1A5-4F1F2F23F05C}" xr6:coauthVersionLast="47" xr6:coauthVersionMax="47" xr10:uidLastSave="{00000000-0000-0000-0000-000000000000}"/>
  <bookViews>
    <workbookView xWindow="-105" yWindow="7740" windowWidth="28995" windowHeight="7845" tabRatio="949" activeTab="2" xr2:uid="{4D92634D-11C4-4052-A5A5-28E583E4E652}"/>
  </bookViews>
  <sheets>
    <sheet name="설정" sheetId="77" r:id="rId1"/>
    <sheet name="통합목록" sheetId="87" r:id="rId2"/>
    <sheet name="문제목록" sheetId="81" r:id="rId3"/>
    <sheet name="주요쟁점" sheetId="89" r:id="rId4"/>
    <sheet name="관련용어" sheetId="65" r:id="rId5"/>
    <sheet name="관련법령" sheetId="82" r:id="rId6"/>
    <sheet name="기출빈도" sheetId="84" r:id="rId7"/>
    <sheet name="기출유형" sheetId="91" r:id="rId8"/>
  </sheets>
  <definedNames>
    <definedName name="_xlnm._FilterDatabase" localSheetId="4" hidden="1">관련용어!$B$3:$G$455</definedName>
    <definedName name="_xlnm._FilterDatabase" localSheetId="6" hidden="1">기출빈도!$B$3:$G$3</definedName>
    <definedName name="_xlnm._FilterDatabase" localSheetId="7">기출유형!$B$3:$J$22</definedName>
    <definedName name="_xlnm._FilterDatabase" localSheetId="2" hidden="1">문제목록!$B$3:$S$121</definedName>
    <definedName name="_xlnm._FilterDatabase" localSheetId="3" hidden="1">주요쟁점!$B$3:$N$118</definedName>
    <definedName name="_xlnm._FilterDatabase" localSheetId="1" hidden="1">통합목록!$B$3:$O$322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6" i="81" l="1"/>
  <c r="O36" i="81"/>
  <c r="P36" i="81"/>
  <c r="Q36" i="81"/>
  <c r="S36" i="81"/>
  <c r="B36" i="81"/>
  <c r="B37" i="81"/>
  <c r="N50" i="81"/>
  <c r="O50" i="81"/>
  <c r="P50" i="81"/>
  <c r="Q50" i="81"/>
  <c r="S50" i="81"/>
  <c r="B50" i="81"/>
  <c r="K36" i="81" l="1"/>
  <c r="K50" i="81"/>
  <c r="O40" i="87"/>
  <c r="O121" i="87" l="1"/>
  <c r="S89" i="81" l="1"/>
  <c r="N89" i="81" s="1"/>
  <c r="S90" i="81"/>
  <c r="K90" i="81" s="1"/>
  <c r="S91" i="81"/>
  <c r="P89" i="81"/>
  <c r="Q89" i="81"/>
  <c r="P90" i="81"/>
  <c r="Q90" i="81"/>
  <c r="B89" i="81"/>
  <c r="B90" i="81"/>
  <c r="N90" i="81" l="1"/>
  <c r="K89" i="81"/>
  <c r="O89" i="81"/>
  <c r="O90" i="81" l="1"/>
  <c r="L4" i="89" l="1"/>
  <c r="F5" i="89"/>
  <c r="F6" i="89"/>
  <c r="F7" i="89"/>
  <c r="F8" i="89"/>
  <c r="F9" i="89"/>
  <c r="F10" i="89"/>
  <c r="F11" i="89"/>
  <c r="F12" i="89"/>
  <c r="F13" i="89"/>
  <c r="F14" i="89"/>
  <c r="F15" i="89"/>
  <c r="F16" i="89"/>
  <c r="F17" i="89"/>
  <c r="F18" i="89"/>
  <c r="F19" i="89"/>
  <c r="F20" i="89"/>
  <c r="F21" i="89"/>
  <c r="F22" i="89"/>
  <c r="F23" i="89"/>
  <c r="F24" i="89"/>
  <c r="F25" i="89"/>
  <c r="F26" i="89"/>
  <c r="F27" i="89"/>
  <c r="F28" i="89"/>
  <c r="F29" i="89"/>
  <c r="F30" i="89"/>
  <c r="F31" i="89"/>
  <c r="F32" i="89"/>
  <c r="F33" i="89"/>
  <c r="F34" i="89"/>
  <c r="F35" i="89"/>
  <c r="F36" i="89"/>
  <c r="F37" i="89"/>
  <c r="F38" i="89"/>
  <c r="F39" i="89"/>
  <c r="F40" i="89"/>
  <c r="F41" i="89"/>
  <c r="F42" i="89"/>
  <c r="F43" i="89"/>
  <c r="F44" i="89"/>
  <c r="F45" i="89"/>
  <c r="F46" i="89"/>
  <c r="F47" i="89"/>
  <c r="F48" i="89"/>
  <c r="F49" i="89"/>
  <c r="F50" i="89"/>
  <c r="F51" i="89"/>
  <c r="F52" i="89"/>
  <c r="F53" i="89"/>
  <c r="F54" i="89"/>
  <c r="F55" i="89"/>
  <c r="F56" i="89"/>
  <c r="F57" i="89"/>
  <c r="F58" i="89"/>
  <c r="F59" i="89"/>
  <c r="F60" i="89"/>
  <c r="F61" i="89"/>
  <c r="F62" i="89"/>
  <c r="F63" i="89"/>
  <c r="F64" i="89"/>
  <c r="F65" i="89"/>
  <c r="F66" i="89"/>
  <c r="F67" i="89"/>
  <c r="F68" i="89"/>
  <c r="F69" i="89"/>
  <c r="F70" i="89"/>
  <c r="F71" i="89"/>
  <c r="F72" i="89"/>
  <c r="F73" i="89"/>
  <c r="F74" i="89"/>
  <c r="F75" i="89"/>
  <c r="F76" i="89"/>
  <c r="F77" i="89"/>
  <c r="F78" i="89"/>
  <c r="F79" i="89"/>
  <c r="F80" i="89"/>
  <c r="F81" i="89"/>
  <c r="F82" i="89"/>
  <c r="F83" i="89"/>
  <c r="F84" i="89"/>
  <c r="F85" i="89"/>
  <c r="F86" i="89"/>
  <c r="F87" i="89"/>
  <c r="F88" i="89"/>
  <c r="F89" i="89"/>
  <c r="F90" i="89"/>
  <c r="F91" i="89"/>
  <c r="F92" i="89"/>
  <c r="F93" i="89"/>
  <c r="F94" i="89"/>
  <c r="F95" i="89"/>
  <c r="F96" i="89"/>
  <c r="F97" i="89"/>
  <c r="F98" i="89"/>
  <c r="F99" i="89"/>
  <c r="F100" i="89"/>
  <c r="F101" i="89"/>
  <c r="F102" i="89"/>
  <c r="F103" i="89"/>
  <c r="F104" i="89"/>
  <c r="F105" i="89"/>
  <c r="F106" i="89"/>
  <c r="F107" i="89"/>
  <c r="F108" i="89"/>
  <c r="F109" i="89"/>
  <c r="F110" i="89"/>
  <c r="F111" i="89"/>
  <c r="F112" i="89"/>
  <c r="F113" i="89"/>
  <c r="F114" i="89"/>
  <c r="F115" i="89"/>
  <c r="F116" i="89"/>
  <c r="F117" i="89"/>
  <c r="F118" i="89"/>
  <c r="F4" i="89"/>
  <c r="S29" i="81" l="1"/>
  <c r="S5" i="81" l="1"/>
  <c r="S6" i="81"/>
  <c r="S7" i="81"/>
  <c r="S8" i="81"/>
  <c r="S9" i="81"/>
  <c r="S10" i="81"/>
  <c r="S11" i="81"/>
  <c r="S12" i="81"/>
  <c r="S13" i="81"/>
  <c r="S14" i="81"/>
  <c r="S15" i="81"/>
  <c r="S16" i="81"/>
  <c r="S17" i="81"/>
  <c r="S18" i="81"/>
  <c r="S19" i="81"/>
  <c r="S20" i="81"/>
  <c r="S21" i="81"/>
  <c r="S22" i="81"/>
  <c r="S23" i="81"/>
  <c r="S24" i="81"/>
  <c r="S25" i="81"/>
  <c r="S26" i="81"/>
  <c r="S27" i="81"/>
  <c r="S28" i="81"/>
  <c r="K29" i="81"/>
  <c r="S30" i="81"/>
  <c r="S31" i="81"/>
  <c r="S32" i="81"/>
  <c r="S33" i="81"/>
  <c r="S34" i="81"/>
  <c r="S35" i="81"/>
  <c r="S38" i="81"/>
  <c r="S37" i="81"/>
  <c r="S39" i="81"/>
  <c r="S40" i="81"/>
  <c r="S41" i="81"/>
  <c r="S42" i="81"/>
  <c r="S43" i="81"/>
  <c r="S44" i="81"/>
  <c r="S45" i="81"/>
  <c r="S46" i="81"/>
  <c r="S47" i="81"/>
  <c r="S48" i="81"/>
  <c r="S49" i="81"/>
  <c r="S51" i="81"/>
  <c r="S52" i="81"/>
  <c r="S53" i="81"/>
  <c r="S54" i="81"/>
  <c r="S55" i="81"/>
  <c r="S56" i="81"/>
  <c r="S57" i="81"/>
  <c r="S58" i="81"/>
  <c r="S59" i="81"/>
  <c r="S60" i="81"/>
  <c r="S61" i="81"/>
  <c r="S62" i="81"/>
  <c r="S63" i="81"/>
  <c r="S64" i="81"/>
  <c r="S65" i="81"/>
  <c r="S66" i="81"/>
  <c r="S67" i="81"/>
  <c r="S68" i="81"/>
  <c r="S69" i="81"/>
  <c r="S70" i="81"/>
  <c r="S71" i="81"/>
  <c r="S72" i="81"/>
  <c r="S73" i="81"/>
  <c r="S74" i="81"/>
  <c r="S75" i="81"/>
  <c r="S76" i="81"/>
  <c r="S77" i="81"/>
  <c r="S78" i="81"/>
  <c r="S79" i="81"/>
  <c r="S80" i="81"/>
  <c r="S81" i="81"/>
  <c r="S82" i="81"/>
  <c r="S83" i="81"/>
  <c r="S84" i="81"/>
  <c r="S85" i="81"/>
  <c r="S86" i="81"/>
  <c r="S87" i="81"/>
  <c r="S88" i="81"/>
  <c r="S92" i="81"/>
  <c r="S93" i="81"/>
  <c r="S94" i="81"/>
  <c r="S95" i="81"/>
  <c r="S96" i="81"/>
  <c r="S97" i="81"/>
  <c r="S98" i="81"/>
  <c r="S99" i="81"/>
  <c r="S100" i="81"/>
  <c r="S101" i="81"/>
  <c r="S102" i="81"/>
  <c r="S103" i="81"/>
  <c r="S104" i="81"/>
  <c r="S105" i="81"/>
  <c r="S106" i="81"/>
  <c r="S107" i="81"/>
  <c r="S108" i="81"/>
  <c r="S109" i="81"/>
  <c r="S110" i="81"/>
  <c r="S111" i="81"/>
  <c r="S112" i="81"/>
  <c r="S113" i="81"/>
  <c r="S114" i="81"/>
  <c r="S115" i="81"/>
  <c r="S116" i="81"/>
  <c r="S117" i="81"/>
  <c r="S118" i="81"/>
  <c r="S119" i="81"/>
  <c r="S120" i="81"/>
  <c r="S121" i="81"/>
  <c r="S4" i="81"/>
  <c r="N5" i="89"/>
  <c r="N6" i="89"/>
  <c r="N7" i="89"/>
  <c r="N8" i="89"/>
  <c r="N9" i="89"/>
  <c r="N10" i="89"/>
  <c r="N11" i="89"/>
  <c r="N12" i="89"/>
  <c r="N13" i="89"/>
  <c r="N14" i="89"/>
  <c r="N15" i="89"/>
  <c r="N16" i="89"/>
  <c r="N17" i="89"/>
  <c r="N18" i="89"/>
  <c r="N19" i="89"/>
  <c r="N20" i="89"/>
  <c r="N21" i="89"/>
  <c r="N22" i="89"/>
  <c r="N23" i="89"/>
  <c r="N24" i="89"/>
  <c r="N25" i="89"/>
  <c r="N26" i="89"/>
  <c r="N27" i="89"/>
  <c r="N28" i="89"/>
  <c r="N29" i="89"/>
  <c r="N30" i="89"/>
  <c r="N31" i="89"/>
  <c r="N32" i="89"/>
  <c r="N33" i="89"/>
  <c r="N34" i="89"/>
  <c r="N35" i="89"/>
  <c r="N36" i="89"/>
  <c r="N37" i="89"/>
  <c r="N38" i="89"/>
  <c r="N39" i="89"/>
  <c r="N40" i="89"/>
  <c r="N41" i="89"/>
  <c r="N42" i="89"/>
  <c r="N43" i="89"/>
  <c r="N44" i="89"/>
  <c r="N45" i="89"/>
  <c r="N46" i="89"/>
  <c r="N47" i="89"/>
  <c r="N48" i="89"/>
  <c r="N49" i="89"/>
  <c r="N50" i="89"/>
  <c r="N51" i="89"/>
  <c r="N52" i="89"/>
  <c r="N53" i="89"/>
  <c r="N54" i="89"/>
  <c r="N55" i="89"/>
  <c r="N56" i="89"/>
  <c r="N57" i="89"/>
  <c r="N58" i="89"/>
  <c r="N59" i="89"/>
  <c r="N60" i="89"/>
  <c r="N61" i="89"/>
  <c r="N62" i="89"/>
  <c r="N63" i="89"/>
  <c r="N64" i="89"/>
  <c r="N65" i="89"/>
  <c r="N66" i="89"/>
  <c r="N67" i="89"/>
  <c r="N68" i="89"/>
  <c r="N69" i="89"/>
  <c r="N70" i="89"/>
  <c r="N71" i="89"/>
  <c r="N72" i="89"/>
  <c r="N73" i="89"/>
  <c r="N74" i="89"/>
  <c r="N75" i="89"/>
  <c r="N76" i="89"/>
  <c r="N77" i="89"/>
  <c r="N78" i="89"/>
  <c r="N79" i="89"/>
  <c r="N80" i="89"/>
  <c r="N81" i="89"/>
  <c r="N82" i="89"/>
  <c r="N83" i="89"/>
  <c r="N84" i="89"/>
  <c r="N85" i="89"/>
  <c r="N86" i="89"/>
  <c r="N87" i="89"/>
  <c r="N88" i="89"/>
  <c r="N89" i="89"/>
  <c r="N90" i="89"/>
  <c r="N91" i="89"/>
  <c r="N92" i="89"/>
  <c r="N93" i="89"/>
  <c r="N94" i="89"/>
  <c r="N95" i="89"/>
  <c r="N96" i="89"/>
  <c r="N97" i="89"/>
  <c r="N98" i="89"/>
  <c r="N99" i="89"/>
  <c r="N100" i="89"/>
  <c r="N101" i="89"/>
  <c r="N102" i="89"/>
  <c r="N103" i="89"/>
  <c r="N104" i="89"/>
  <c r="N105" i="89"/>
  <c r="N106" i="89"/>
  <c r="N107" i="89"/>
  <c r="N108" i="89"/>
  <c r="N109" i="89"/>
  <c r="N110" i="89"/>
  <c r="N111" i="89"/>
  <c r="N112" i="89"/>
  <c r="N113" i="89"/>
  <c r="N114" i="89"/>
  <c r="N115" i="89"/>
  <c r="N116" i="89"/>
  <c r="N117" i="89"/>
  <c r="N118" i="89"/>
  <c r="N4" i="89"/>
  <c r="M5" i="89"/>
  <c r="M6" i="89"/>
  <c r="M7" i="89"/>
  <c r="M8" i="89"/>
  <c r="M9" i="89"/>
  <c r="M10" i="89"/>
  <c r="M11" i="89"/>
  <c r="M12" i="89"/>
  <c r="M13" i="89"/>
  <c r="M14" i="89"/>
  <c r="M15" i="89"/>
  <c r="M16" i="89"/>
  <c r="M17" i="89"/>
  <c r="M18" i="89"/>
  <c r="M19" i="89"/>
  <c r="M20" i="89"/>
  <c r="M21" i="89"/>
  <c r="M22" i="89"/>
  <c r="M23" i="89"/>
  <c r="M24" i="89"/>
  <c r="M25" i="89"/>
  <c r="M26" i="89"/>
  <c r="M27" i="89"/>
  <c r="M28" i="89"/>
  <c r="M29" i="89"/>
  <c r="M30" i="89"/>
  <c r="M31" i="89"/>
  <c r="M32" i="89"/>
  <c r="M33" i="89"/>
  <c r="M34" i="89"/>
  <c r="M35" i="89"/>
  <c r="M36" i="89"/>
  <c r="M37" i="89"/>
  <c r="M38" i="89"/>
  <c r="M39" i="89"/>
  <c r="M40" i="89"/>
  <c r="M41" i="89"/>
  <c r="M42" i="89"/>
  <c r="M43" i="89"/>
  <c r="M44" i="89"/>
  <c r="M45" i="89"/>
  <c r="M46" i="89"/>
  <c r="M47" i="89"/>
  <c r="M48" i="89"/>
  <c r="M49" i="89"/>
  <c r="M50" i="89"/>
  <c r="M51" i="89"/>
  <c r="M52" i="89"/>
  <c r="M53" i="89"/>
  <c r="M54" i="89"/>
  <c r="M55" i="89"/>
  <c r="M56" i="89"/>
  <c r="M57" i="89"/>
  <c r="M58" i="89"/>
  <c r="M59" i="89"/>
  <c r="M60" i="89"/>
  <c r="M61" i="89"/>
  <c r="M62" i="89"/>
  <c r="M63" i="89"/>
  <c r="M64" i="89"/>
  <c r="M65" i="89"/>
  <c r="M66" i="89"/>
  <c r="M67" i="89"/>
  <c r="M68" i="89"/>
  <c r="M69" i="89"/>
  <c r="M70" i="89"/>
  <c r="M71" i="89"/>
  <c r="M72" i="89"/>
  <c r="M73" i="89"/>
  <c r="M74" i="89"/>
  <c r="M75" i="89"/>
  <c r="M76" i="89"/>
  <c r="M77" i="89"/>
  <c r="M78" i="89"/>
  <c r="M79" i="89"/>
  <c r="M80" i="89"/>
  <c r="M81" i="89"/>
  <c r="M82" i="89"/>
  <c r="M83" i="89"/>
  <c r="M84" i="89"/>
  <c r="M85" i="89"/>
  <c r="M86" i="89"/>
  <c r="M87" i="89"/>
  <c r="M88" i="89"/>
  <c r="M89" i="89"/>
  <c r="M90" i="89"/>
  <c r="M91" i="89"/>
  <c r="M92" i="89"/>
  <c r="M93" i="89"/>
  <c r="M94" i="89"/>
  <c r="M95" i="89"/>
  <c r="M96" i="89"/>
  <c r="M97" i="89"/>
  <c r="M98" i="89"/>
  <c r="M99" i="89"/>
  <c r="M100" i="89"/>
  <c r="M101" i="89"/>
  <c r="M102" i="89"/>
  <c r="M103" i="89"/>
  <c r="M104" i="89"/>
  <c r="M105" i="89"/>
  <c r="M106" i="89"/>
  <c r="M107" i="89"/>
  <c r="M108" i="89"/>
  <c r="M109" i="89"/>
  <c r="M110" i="89"/>
  <c r="M111" i="89"/>
  <c r="M112" i="89"/>
  <c r="M113" i="89"/>
  <c r="M114" i="89"/>
  <c r="M115" i="89"/>
  <c r="M116" i="89"/>
  <c r="M117" i="89"/>
  <c r="M118" i="89"/>
  <c r="M4" i="89"/>
  <c r="L5" i="89"/>
  <c r="L6" i="89"/>
  <c r="L7" i="89"/>
  <c r="L8" i="89"/>
  <c r="L9" i="89"/>
  <c r="L10" i="89"/>
  <c r="L11" i="89"/>
  <c r="L12" i="89"/>
  <c r="L13" i="89"/>
  <c r="L14" i="89"/>
  <c r="L15" i="89"/>
  <c r="L16" i="89"/>
  <c r="L17" i="89"/>
  <c r="L18" i="89"/>
  <c r="L19" i="89"/>
  <c r="L20" i="89"/>
  <c r="L21" i="89"/>
  <c r="L22" i="89"/>
  <c r="L23" i="89"/>
  <c r="L24" i="89"/>
  <c r="L25" i="89"/>
  <c r="L26" i="89"/>
  <c r="L27" i="89"/>
  <c r="L28" i="89"/>
  <c r="L29" i="89"/>
  <c r="L30" i="89"/>
  <c r="L31" i="89"/>
  <c r="L32" i="89"/>
  <c r="L33" i="89"/>
  <c r="L34" i="89"/>
  <c r="L35" i="89"/>
  <c r="L36" i="89"/>
  <c r="L37" i="89"/>
  <c r="L38" i="89"/>
  <c r="L39" i="89"/>
  <c r="L40" i="89"/>
  <c r="L41" i="89"/>
  <c r="L42" i="89"/>
  <c r="L43" i="89"/>
  <c r="L44" i="89"/>
  <c r="L45" i="89"/>
  <c r="L46" i="89"/>
  <c r="L47" i="89"/>
  <c r="L48" i="89"/>
  <c r="L49" i="89"/>
  <c r="L50" i="89"/>
  <c r="L51" i="89"/>
  <c r="L52" i="89"/>
  <c r="L53" i="89"/>
  <c r="L54" i="89"/>
  <c r="L55" i="89"/>
  <c r="L56" i="89"/>
  <c r="L57" i="89"/>
  <c r="L58" i="89"/>
  <c r="L59" i="89"/>
  <c r="L60" i="89"/>
  <c r="L61" i="89"/>
  <c r="L62" i="89"/>
  <c r="L63" i="89"/>
  <c r="L64" i="89"/>
  <c r="L65" i="89"/>
  <c r="L66" i="89"/>
  <c r="L67" i="89"/>
  <c r="L68" i="89"/>
  <c r="L69" i="89"/>
  <c r="L70" i="89"/>
  <c r="L71" i="89"/>
  <c r="L72" i="89"/>
  <c r="L73" i="89"/>
  <c r="L74" i="89"/>
  <c r="L75" i="89"/>
  <c r="L76" i="89"/>
  <c r="L77" i="89"/>
  <c r="L78" i="89"/>
  <c r="L79" i="89"/>
  <c r="L80" i="89"/>
  <c r="L81" i="89"/>
  <c r="L82" i="89"/>
  <c r="L83" i="89"/>
  <c r="L84" i="89"/>
  <c r="L85" i="89"/>
  <c r="L86" i="89"/>
  <c r="L87" i="89"/>
  <c r="L88" i="89"/>
  <c r="L89" i="89"/>
  <c r="L90" i="89"/>
  <c r="L91" i="89"/>
  <c r="L92" i="89"/>
  <c r="L93" i="89"/>
  <c r="L94" i="89"/>
  <c r="L95" i="89"/>
  <c r="L96" i="89"/>
  <c r="L97" i="89"/>
  <c r="L98" i="89"/>
  <c r="L99" i="89"/>
  <c r="L100" i="89"/>
  <c r="L101" i="89"/>
  <c r="L102" i="89"/>
  <c r="L103" i="89"/>
  <c r="L104" i="89"/>
  <c r="L105" i="89"/>
  <c r="L106" i="89"/>
  <c r="L107" i="89"/>
  <c r="L108" i="89"/>
  <c r="L109" i="89"/>
  <c r="L110" i="89"/>
  <c r="L111" i="89"/>
  <c r="L112" i="89"/>
  <c r="L113" i="89"/>
  <c r="L114" i="89"/>
  <c r="L115" i="89"/>
  <c r="L116" i="89"/>
  <c r="L117" i="89"/>
  <c r="L118" i="89"/>
  <c r="N38" i="81" l="1"/>
  <c r="K104" i="81"/>
  <c r="K91" i="81"/>
  <c r="K27" i="81"/>
  <c r="K15" i="81"/>
  <c r="K67" i="81"/>
  <c r="K42" i="81"/>
  <c r="K16" i="81"/>
  <c r="K102" i="81"/>
  <c r="K77" i="81"/>
  <c r="K65" i="81"/>
  <c r="K53" i="81"/>
  <c r="K40" i="81"/>
  <c r="K113" i="81"/>
  <c r="K101" i="81"/>
  <c r="K88" i="81"/>
  <c r="K76" i="81"/>
  <c r="K64" i="81"/>
  <c r="K52" i="81"/>
  <c r="K39" i="81"/>
  <c r="K26" i="81"/>
  <c r="K14" i="81"/>
  <c r="K92" i="81"/>
  <c r="K103" i="81"/>
  <c r="K112" i="81"/>
  <c r="K100" i="81"/>
  <c r="K87" i="81"/>
  <c r="K75" i="81"/>
  <c r="K63" i="81"/>
  <c r="K51" i="81"/>
  <c r="K37" i="81"/>
  <c r="K25" i="81"/>
  <c r="K13" i="81"/>
  <c r="K116" i="81"/>
  <c r="K115" i="81"/>
  <c r="K114" i="81"/>
  <c r="K111" i="81"/>
  <c r="K99" i="81"/>
  <c r="K86" i="81"/>
  <c r="K74" i="81"/>
  <c r="K62" i="81"/>
  <c r="K49" i="81"/>
  <c r="K38" i="81"/>
  <c r="K24" i="81"/>
  <c r="K12" i="81"/>
  <c r="K79" i="81"/>
  <c r="K78" i="81"/>
  <c r="K4" i="81"/>
  <c r="K110" i="81"/>
  <c r="K98" i="81"/>
  <c r="K85" i="81"/>
  <c r="K73" i="81"/>
  <c r="K61" i="81"/>
  <c r="K48" i="81"/>
  <c r="K35" i="81"/>
  <c r="K23" i="81"/>
  <c r="K11" i="81"/>
  <c r="K54" i="81"/>
  <c r="K121" i="81"/>
  <c r="K109" i="81"/>
  <c r="K97" i="81"/>
  <c r="K84" i="81"/>
  <c r="K72" i="81"/>
  <c r="K60" i="81"/>
  <c r="K47" i="81"/>
  <c r="K34" i="81"/>
  <c r="K22" i="81"/>
  <c r="K10" i="81"/>
  <c r="K66" i="81"/>
  <c r="K96" i="81"/>
  <c r="K83" i="81"/>
  <c r="K71" i="81"/>
  <c r="K59" i="81"/>
  <c r="K46" i="81"/>
  <c r="K33" i="81"/>
  <c r="K21" i="81"/>
  <c r="K9" i="81"/>
  <c r="K55" i="81"/>
  <c r="K28" i="81"/>
  <c r="K120" i="81"/>
  <c r="K107" i="81"/>
  <c r="K58" i="81"/>
  <c r="K32" i="81"/>
  <c r="K20" i="81"/>
  <c r="K8" i="81"/>
  <c r="K41" i="81"/>
  <c r="K108" i="81"/>
  <c r="K95" i="81"/>
  <c r="K106" i="81"/>
  <c r="K69" i="81"/>
  <c r="K7" i="81"/>
  <c r="K119" i="81"/>
  <c r="K82" i="81"/>
  <c r="K70" i="81"/>
  <c r="K45" i="81"/>
  <c r="K118" i="81"/>
  <c r="K94" i="81"/>
  <c r="K81" i="81"/>
  <c r="K57" i="81"/>
  <c r="K44" i="81"/>
  <c r="K31" i="81"/>
  <c r="K19" i="81"/>
  <c r="K117" i="81"/>
  <c r="K105" i="81"/>
  <c r="K93" i="81"/>
  <c r="K80" i="81"/>
  <c r="K68" i="81"/>
  <c r="K56" i="81"/>
  <c r="K43" i="81"/>
  <c r="K30" i="81"/>
  <c r="K18" i="81"/>
  <c r="K6" i="81"/>
  <c r="K17" i="81"/>
  <c r="K5" i="81"/>
  <c r="P38" i="81"/>
  <c r="Q38" i="81"/>
  <c r="N49" i="81"/>
  <c r="O49" i="81"/>
  <c r="P49" i="81"/>
  <c r="Q49" i="81"/>
  <c r="B38" i="81"/>
  <c r="B49" i="81"/>
  <c r="O271" i="87"/>
  <c r="O38" i="81" l="1"/>
  <c r="O322" i="87"/>
  <c r="O321" i="87"/>
  <c r="O320" i="87"/>
  <c r="O319" i="87"/>
  <c r="O318" i="87"/>
  <c r="O317" i="87"/>
  <c r="O316" i="87"/>
  <c r="O315" i="87"/>
  <c r="O314" i="87"/>
  <c r="O313" i="87"/>
  <c r="O312" i="87"/>
  <c r="O311" i="87"/>
  <c r="O310" i="87"/>
  <c r="O309" i="87"/>
  <c r="O308" i="87"/>
  <c r="O307" i="87"/>
  <c r="O306" i="87"/>
  <c r="O305" i="87"/>
  <c r="O304" i="87"/>
  <c r="O303" i="87"/>
  <c r="O302" i="87"/>
  <c r="O301" i="87"/>
  <c r="O300" i="87"/>
  <c r="O299" i="87"/>
  <c r="O298" i="87"/>
  <c r="O297" i="87"/>
  <c r="O295" i="87"/>
  <c r="O294" i="87"/>
  <c r="O293" i="87"/>
  <c r="O291" i="87"/>
  <c r="O290" i="87"/>
  <c r="O289" i="87"/>
  <c r="O288" i="87"/>
  <c r="O287" i="87"/>
  <c r="O286" i="87"/>
  <c r="O285" i="87"/>
  <c r="O284" i="87"/>
  <c r="O283" i="87"/>
  <c r="O282" i="87"/>
  <c r="O281" i="87"/>
  <c r="O280" i="87"/>
  <c r="O279" i="87"/>
  <c r="O278" i="87"/>
  <c r="O277" i="87"/>
  <c r="O276" i="87"/>
  <c r="O275" i="87"/>
  <c r="O274" i="87"/>
  <c r="O273" i="87"/>
  <c r="O272" i="87"/>
  <c r="O270" i="87"/>
  <c r="O269" i="87"/>
  <c r="O268" i="87"/>
  <c r="O267" i="87"/>
  <c r="O266" i="87"/>
  <c r="O265" i="87"/>
  <c r="O264" i="87"/>
  <c r="O263" i="87"/>
  <c r="O262" i="87"/>
  <c r="O261" i="87"/>
  <c r="O260" i="87"/>
  <c r="O259" i="87"/>
  <c r="O258" i="87"/>
  <c r="O257" i="87"/>
  <c r="O256" i="87"/>
  <c r="O255" i="87"/>
  <c r="O254" i="87"/>
  <c r="O253" i="87"/>
  <c r="O252" i="87"/>
  <c r="O251" i="87"/>
  <c r="O250" i="87"/>
  <c r="O249" i="87"/>
  <c r="O248" i="87"/>
  <c r="O247" i="87"/>
  <c r="O246" i="87"/>
  <c r="O245" i="87"/>
  <c r="O244" i="87"/>
  <c r="O243" i="87"/>
  <c r="O242" i="87"/>
  <c r="O241" i="87"/>
  <c r="O240" i="87"/>
  <c r="O239" i="87"/>
  <c r="O238" i="87"/>
  <c r="O237" i="87"/>
  <c r="O236" i="87"/>
  <c r="O235" i="87"/>
  <c r="O234" i="87"/>
  <c r="O233" i="87"/>
  <c r="O232" i="87"/>
  <c r="O231" i="87"/>
  <c r="O230" i="87"/>
  <c r="O229" i="87"/>
  <c r="O228" i="87"/>
  <c r="O227" i="87"/>
  <c r="O226" i="87"/>
  <c r="O225" i="87"/>
  <c r="O224" i="87"/>
  <c r="O223" i="87"/>
  <c r="O222" i="87"/>
  <c r="O221" i="87"/>
  <c r="O220" i="87"/>
  <c r="O219" i="87"/>
  <c r="O218" i="87"/>
  <c r="O217" i="87"/>
  <c r="O216" i="87"/>
  <c r="O215" i="87"/>
  <c r="O214" i="87"/>
  <c r="O213" i="87"/>
  <c r="O212" i="87"/>
  <c r="O211" i="87"/>
  <c r="O210" i="87"/>
  <c r="O209" i="87"/>
  <c r="O208" i="87"/>
  <c r="O207" i="87"/>
  <c r="O206" i="87"/>
  <c r="O205" i="87"/>
  <c r="O204" i="87"/>
  <c r="O203" i="87"/>
  <c r="O202" i="87"/>
  <c r="O201" i="87"/>
  <c r="O200" i="87"/>
  <c r="O199" i="87"/>
  <c r="O198" i="87"/>
  <c r="O197" i="87"/>
  <c r="O196" i="87"/>
  <c r="O195" i="87"/>
  <c r="O194" i="87"/>
  <c r="O193" i="87"/>
  <c r="O192" i="87"/>
  <c r="O191" i="87"/>
  <c r="O190" i="87"/>
  <c r="O189" i="87"/>
  <c r="O188" i="87"/>
  <c r="O187" i="87"/>
  <c r="O186" i="87"/>
  <c r="O185" i="87"/>
  <c r="O184" i="87"/>
  <c r="O183" i="87"/>
  <c r="O182" i="87"/>
  <c r="O181" i="87"/>
  <c r="O180" i="87"/>
  <c r="O179" i="87"/>
  <c r="O178" i="87"/>
  <c r="O177" i="87"/>
  <c r="O176" i="87"/>
  <c r="O175" i="87"/>
  <c r="O174" i="87"/>
  <c r="O173" i="87"/>
  <c r="O172" i="87"/>
  <c r="O171" i="87"/>
  <c r="O170" i="87"/>
  <c r="O169" i="87"/>
  <c r="O168" i="87"/>
  <c r="O167" i="87"/>
  <c r="O166" i="87"/>
  <c r="O165" i="87"/>
  <c r="O164" i="87"/>
  <c r="O163" i="87"/>
  <c r="O162" i="87"/>
  <c r="O161" i="87"/>
  <c r="O160" i="87"/>
  <c r="O159" i="87"/>
  <c r="O158" i="87"/>
  <c r="O157" i="87"/>
  <c r="O156" i="87"/>
  <c r="O155" i="87"/>
  <c r="O154" i="87"/>
  <c r="O153" i="87"/>
  <c r="O152" i="87"/>
  <c r="O151" i="87"/>
  <c r="O150" i="87"/>
  <c r="O149" i="87"/>
  <c r="O148" i="87"/>
  <c r="O147" i="87"/>
  <c r="O146" i="87"/>
  <c r="O145" i="87"/>
  <c r="O144" i="87"/>
  <c r="O143" i="87"/>
  <c r="O142" i="87"/>
  <c r="O141" i="87"/>
  <c r="O140" i="87"/>
  <c r="O139" i="87"/>
  <c r="O138" i="87"/>
  <c r="O137" i="87"/>
  <c r="O136" i="87"/>
  <c r="O135" i="87"/>
  <c r="O134" i="87"/>
  <c r="O133" i="87"/>
  <c r="O132" i="87"/>
  <c r="O131" i="87"/>
  <c r="O130" i="87"/>
  <c r="O129" i="87"/>
  <c r="O128" i="87"/>
  <c r="O127" i="87"/>
  <c r="O126" i="87"/>
  <c r="O125" i="87"/>
  <c r="O124" i="87"/>
  <c r="O123" i="87"/>
  <c r="O122" i="87"/>
  <c r="O119" i="87"/>
  <c r="O118" i="87"/>
  <c r="O117" i="87"/>
  <c r="O116" i="87"/>
  <c r="O115" i="87"/>
  <c r="O114" i="87"/>
  <c r="O113" i="87"/>
  <c r="O112" i="87"/>
  <c r="O111" i="87"/>
  <c r="O110" i="87"/>
  <c r="O109" i="87"/>
  <c r="O108" i="87"/>
  <c r="O107" i="87"/>
  <c r="O106" i="87"/>
  <c r="O105" i="87"/>
  <c r="O104" i="87"/>
  <c r="O103" i="87"/>
  <c r="O102" i="87"/>
  <c r="O101" i="87"/>
  <c r="O100" i="87"/>
  <c r="O99" i="87"/>
  <c r="O98" i="87"/>
  <c r="O97" i="87"/>
  <c r="O96" i="87"/>
  <c r="O95" i="87"/>
  <c r="O94" i="87"/>
  <c r="O93" i="87"/>
  <c r="O92" i="87"/>
  <c r="O91" i="87"/>
  <c r="O90" i="87"/>
  <c r="O89" i="87"/>
  <c r="O88" i="87"/>
  <c r="O87" i="87"/>
  <c r="O86" i="87"/>
  <c r="O85" i="87"/>
  <c r="O84" i="87"/>
  <c r="O83" i="87"/>
  <c r="O82" i="87"/>
  <c r="O81" i="87"/>
  <c r="O80" i="87"/>
  <c r="O79" i="87"/>
  <c r="O78" i="87"/>
  <c r="O77" i="87"/>
  <c r="O76" i="87"/>
  <c r="O75" i="87"/>
  <c r="O74" i="87"/>
  <c r="O73" i="87"/>
  <c r="O72" i="87"/>
  <c r="O71" i="87"/>
  <c r="O70" i="87"/>
  <c r="O69" i="87"/>
  <c r="O68" i="87"/>
  <c r="O67" i="87"/>
  <c r="O66" i="87"/>
  <c r="O65" i="87"/>
  <c r="O64" i="87"/>
  <c r="O63" i="87"/>
  <c r="O62" i="87"/>
  <c r="O61" i="87"/>
  <c r="O60" i="87"/>
  <c r="O59" i="87"/>
  <c r="O58" i="87"/>
  <c r="O57" i="87"/>
  <c r="O56" i="87"/>
  <c r="O55" i="87"/>
  <c r="O54" i="87"/>
  <c r="O53" i="87"/>
  <c r="O52" i="87"/>
  <c r="O51" i="87"/>
  <c r="O50" i="87"/>
  <c r="O49" i="87"/>
  <c r="O48" i="87"/>
  <c r="O47" i="87"/>
  <c r="O46" i="87"/>
  <c r="O45" i="87"/>
  <c r="O44" i="87"/>
  <c r="O39" i="87"/>
  <c r="O38" i="87"/>
  <c r="O37" i="87"/>
  <c r="O36" i="87"/>
  <c r="O35" i="87"/>
  <c r="O34" i="87"/>
  <c r="O33" i="87"/>
  <c r="O32" i="87"/>
  <c r="O31" i="87"/>
  <c r="O30" i="87"/>
  <c r="O29" i="87"/>
  <c r="O28" i="87"/>
  <c r="O27" i="87"/>
  <c r="O26" i="87"/>
  <c r="O25" i="87"/>
  <c r="O24" i="87"/>
  <c r="O23" i="87"/>
  <c r="O22" i="87"/>
  <c r="O21" i="87"/>
  <c r="O20" i="87"/>
  <c r="O19" i="87"/>
  <c r="O18" i="87"/>
  <c r="O17" i="87"/>
  <c r="O16" i="87"/>
  <c r="O15" i="87"/>
  <c r="O14" i="87"/>
  <c r="O13" i="87"/>
  <c r="O12" i="87"/>
  <c r="O11" i="87"/>
  <c r="O10" i="87"/>
  <c r="O9" i="87"/>
  <c r="O8" i="87"/>
  <c r="O7" i="87"/>
  <c r="O6" i="87"/>
  <c r="O5" i="87"/>
  <c r="O4" i="87"/>
  <c r="E60" i="84" l="1"/>
  <c r="E59" i="84"/>
  <c r="E57" i="84"/>
  <c r="E56" i="84"/>
  <c r="E55" i="84"/>
  <c r="E54" i="84"/>
  <c r="E53" i="84"/>
  <c r="E51" i="84"/>
  <c r="E50" i="84"/>
  <c r="E49" i="84"/>
  <c r="E47" i="84"/>
  <c r="E46" i="84"/>
  <c r="E45" i="84"/>
  <c r="E44" i="84"/>
  <c r="E42" i="84"/>
  <c r="E41" i="84"/>
  <c r="E40" i="84"/>
  <c r="E39" i="84"/>
  <c r="E38" i="84"/>
  <c r="E37" i="84"/>
  <c r="E36" i="84"/>
  <c r="E34" i="84"/>
  <c r="E33" i="84"/>
  <c r="E31" i="84"/>
  <c r="E30" i="84"/>
  <c r="E28" i="84"/>
  <c r="E27" i="84"/>
  <c r="E26" i="84"/>
  <c r="E25" i="84"/>
  <c r="E23" i="84"/>
  <c r="E22" i="84"/>
  <c r="E21" i="84"/>
  <c r="E19" i="84"/>
  <c r="E18" i="84"/>
  <c r="E17" i="84"/>
  <c r="E15" i="84"/>
  <c r="E14" i="84"/>
  <c r="E13" i="84"/>
  <c r="E12" i="84"/>
  <c r="E10" i="84"/>
  <c r="E9" i="84"/>
  <c r="E8" i="84"/>
  <c r="E6" i="84"/>
  <c r="E5" i="84"/>
  <c r="E4" i="84"/>
  <c r="E32" i="84" l="1"/>
  <c r="E24" i="84" l="1"/>
  <c r="E58" i="84"/>
  <c r="E29" i="84"/>
  <c r="E16" i="84"/>
  <c r="E48" i="84"/>
  <c r="E61" i="84"/>
  <c r="E20" i="84"/>
  <c r="E35" i="84"/>
  <c r="E11" i="84"/>
  <c r="E52" i="84"/>
  <c r="E7" i="84"/>
  <c r="E43" i="84"/>
  <c r="D5" i="84"/>
  <c r="D6" i="84"/>
  <c r="D8" i="84"/>
  <c r="D9" i="84"/>
  <c r="D10" i="84"/>
  <c r="D12" i="84"/>
  <c r="D13" i="84"/>
  <c r="D14" i="84"/>
  <c r="D15" i="84"/>
  <c r="D17" i="84"/>
  <c r="D18" i="84"/>
  <c r="D19" i="84"/>
  <c r="D21" i="84"/>
  <c r="D22" i="84"/>
  <c r="D23" i="84"/>
  <c r="D25" i="84"/>
  <c r="D26" i="84"/>
  <c r="D27" i="84"/>
  <c r="D28" i="84"/>
  <c r="D30" i="84"/>
  <c r="D31" i="84"/>
  <c r="D33" i="84"/>
  <c r="D34" i="84"/>
  <c r="D36" i="84"/>
  <c r="D37" i="84"/>
  <c r="D38" i="84"/>
  <c r="D39" i="84"/>
  <c r="D40" i="84"/>
  <c r="D41" i="84"/>
  <c r="D42" i="84"/>
  <c r="D44" i="84"/>
  <c r="D45" i="84"/>
  <c r="D46" i="84"/>
  <c r="D47" i="84"/>
  <c r="D49" i="84"/>
  <c r="D50" i="84"/>
  <c r="D51" i="84"/>
  <c r="D53" i="84"/>
  <c r="D54" i="84"/>
  <c r="D55" i="84"/>
  <c r="D56" i="84"/>
  <c r="D57" i="84"/>
  <c r="D59" i="84"/>
  <c r="D60" i="84"/>
  <c r="D4" i="84"/>
  <c r="D7" i="84" s="1"/>
  <c r="D61" i="84" l="1"/>
  <c r="D48" i="84"/>
  <c r="D58" i="84"/>
  <c r="D43" i="84"/>
  <c r="D52" i="84"/>
  <c r="D35" i="84"/>
  <c r="D20" i="84"/>
  <c r="D32" i="84"/>
  <c r="D16" i="84"/>
  <c r="D29" i="84"/>
  <c r="D11" i="84"/>
  <c r="D24" i="84"/>
  <c r="N26" i="81" l="1"/>
  <c r="O26" i="81"/>
  <c r="P26" i="81"/>
  <c r="Q26" i="81"/>
  <c r="N37" i="81"/>
  <c r="O37" i="81"/>
  <c r="P37" i="81"/>
  <c r="Q37" i="81"/>
  <c r="B26" i="81"/>
  <c r="N16" i="81"/>
  <c r="O16" i="81"/>
  <c r="P16" i="81"/>
  <c r="Q16" i="81"/>
  <c r="N17" i="81"/>
  <c r="O17" i="81"/>
  <c r="P17" i="81"/>
  <c r="Q17" i="81"/>
  <c r="N39" i="81"/>
  <c r="O39" i="81"/>
  <c r="P39" i="81"/>
  <c r="Q39" i="81"/>
  <c r="N114" i="81"/>
  <c r="O114" i="81"/>
  <c r="P114" i="81"/>
  <c r="Q114" i="81"/>
  <c r="N120" i="81"/>
  <c r="O120" i="81"/>
  <c r="P120" i="81"/>
  <c r="Q120" i="81"/>
  <c r="B16" i="81"/>
  <c r="B17" i="81"/>
  <c r="B39" i="81"/>
  <c r="B114" i="81"/>
  <c r="B120" i="81"/>
  <c r="Q28" i="81"/>
  <c r="Q18" i="81"/>
  <c r="Q19" i="81"/>
  <c r="Q14" i="81"/>
  <c r="Q15" i="81"/>
  <c r="Q12" i="81"/>
  <c r="Q13" i="81"/>
  <c r="Q10" i="81"/>
  <c r="Q11" i="81"/>
  <c r="Q8" i="81"/>
  <c r="Q9" i="81"/>
  <c r="Q6" i="81"/>
  <c r="Q7" i="81"/>
  <c r="Q4" i="81"/>
  <c r="Q5" i="81"/>
  <c r="Q24" i="81"/>
  <c r="Q25" i="81"/>
  <c r="Q22" i="81"/>
  <c r="Q23" i="81"/>
  <c r="Q20" i="81"/>
  <c r="Q21" i="81"/>
  <c r="Q119" i="81"/>
  <c r="Q121" i="81"/>
  <c r="Q110" i="81"/>
  <c r="Q111" i="81"/>
  <c r="Q112" i="81"/>
  <c r="Q113" i="81"/>
  <c r="Q115" i="81"/>
  <c r="Q116" i="81"/>
  <c r="Q117" i="81"/>
  <c r="Q118" i="81"/>
  <c r="Q107" i="81"/>
  <c r="Q108" i="81"/>
  <c r="Q109" i="81"/>
  <c r="Q103" i="81"/>
  <c r="Q104" i="81"/>
  <c r="Q105" i="81"/>
  <c r="Q106" i="81"/>
  <c r="Q99" i="81"/>
  <c r="Q100" i="81"/>
  <c r="Q101" i="81"/>
  <c r="Q102" i="81"/>
  <c r="Q94" i="81"/>
  <c r="Q95" i="81"/>
  <c r="Q96" i="81"/>
  <c r="Q97" i="81"/>
  <c r="Q98" i="81"/>
  <c r="Q88" i="81"/>
  <c r="Q91" i="81"/>
  <c r="Q92" i="81"/>
  <c r="Q93" i="81"/>
  <c r="Q84" i="81"/>
  <c r="Q85" i="81"/>
  <c r="Q86" i="81"/>
  <c r="Q87" i="81"/>
  <c r="Q80" i="81"/>
  <c r="Q81" i="81"/>
  <c r="Q82" i="81"/>
  <c r="Q83" i="81"/>
  <c r="Q74" i="81"/>
  <c r="Q75" i="81"/>
  <c r="Q76" i="81"/>
  <c r="Q77" i="81"/>
  <c r="Q78" i="81"/>
  <c r="Q79" i="81"/>
  <c r="Q70" i="81"/>
  <c r="Q71" i="81"/>
  <c r="Q72" i="81"/>
  <c r="Q73" i="81"/>
  <c r="Q66" i="81"/>
  <c r="Q67" i="81"/>
  <c r="Q68" i="81"/>
  <c r="Q69" i="81"/>
  <c r="Q60" i="81"/>
  <c r="Q61" i="81"/>
  <c r="Q62" i="81"/>
  <c r="Q63" i="81"/>
  <c r="Q64" i="81"/>
  <c r="Q65" i="81"/>
  <c r="Q55" i="81"/>
  <c r="Q56" i="81"/>
  <c r="Q57" i="81"/>
  <c r="Q58" i="81"/>
  <c r="Q59" i="81"/>
  <c r="Q51" i="81"/>
  <c r="Q52" i="81"/>
  <c r="Q53" i="81"/>
  <c r="Q54" i="81"/>
  <c r="Q45" i="81"/>
  <c r="Q46" i="81"/>
  <c r="Q47" i="81"/>
  <c r="Q48" i="81"/>
  <c r="Q40" i="81"/>
  <c r="Q41" i="81"/>
  <c r="Q42" i="81"/>
  <c r="Q43" i="81"/>
  <c r="Q44" i="81"/>
  <c r="Q29" i="81"/>
  <c r="Q30" i="81"/>
  <c r="Q31" i="81"/>
  <c r="Q32" i="81"/>
  <c r="Q33" i="81"/>
  <c r="Q34" i="81"/>
  <c r="Q35" i="81"/>
  <c r="Q27" i="81"/>
  <c r="P28" i="81"/>
  <c r="P18" i="81"/>
  <c r="P19" i="81"/>
  <c r="P14" i="81"/>
  <c r="P15" i="81"/>
  <c r="P12" i="81"/>
  <c r="P13" i="81"/>
  <c r="P10" i="81"/>
  <c r="P11" i="81"/>
  <c r="P8" i="81"/>
  <c r="P9" i="81"/>
  <c r="P6" i="81"/>
  <c r="P7" i="81"/>
  <c r="P4" i="81"/>
  <c r="P5" i="81"/>
  <c r="P24" i="81"/>
  <c r="P25" i="81"/>
  <c r="P22" i="81"/>
  <c r="P23" i="81"/>
  <c r="P20" i="81"/>
  <c r="P21" i="81"/>
  <c r="P119" i="81"/>
  <c r="P121" i="81"/>
  <c r="P110" i="81"/>
  <c r="P111" i="81"/>
  <c r="P112" i="81"/>
  <c r="P113" i="81"/>
  <c r="P115" i="81"/>
  <c r="P116" i="81"/>
  <c r="P117" i="81"/>
  <c r="P118" i="81"/>
  <c r="P107" i="81"/>
  <c r="P108" i="81"/>
  <c r="P109" i="81"/>
  <c r="P103" i="81"/>
  <c r="P104" i="81"/>
  <c r="P105" i="81"/>
  <c r="P106" i="81"/>
  <c r="P99" i="81"/>
  <c r="P100" i="81"/>
  <c r="P101" i="81"/>
  <c r="P102" i="81"/>
  <c r="P94" i="81"/>
  <c r="P95" i="81"/>
  <c r="P96" i="81"/>
  <c r="P97" i="81"/>
  <c r="P98" i="81"/>
  <c r="P88" i="81"/>
  <c r="P91" i="81"/>
  <c r="P92" i="81"/>
  <c r="P93" i="81"/>
  <c r="P84" i="81"/>
  <c r="P85" i="81"/>
  <c r="P86" i="81"/>
  <c r="P87" i="81"/>
  <c r="P80" i="81"/>
  <c r="P81" i="81"/>
  <c r="P82" i="81"/>
  <c r="P83" i="81"/>
  <c r="P74" i="81"/>
  <c r="P75" i="81"/>
  <c r="P76" i="81"/>
  <c r="P77" i="81"/>
  <c r="P78" i="81"/>
  <c r="P79" i="81"/>
  <c r="P70" i="81"/>
  <c r="P71" i="81"/>
  <c r="P72" i="81"/>
  <c r="P73" i="81"/>
  <c r="P66" i="81"/>
  <c r="P67" i="81"/>
  <c r="P68" i="81"/>
  <c r="P69" i="81"/>
  <c r="P60" i="81"/>
  <c r="P61" i="81"/>
  <c r="P62" i="81"/>
  <c r="P63" i="81"/>
  <c r="P64" i="81"/>
  <c r="P65" i="81"/>
  <c r="P55" i="81"/>
  <c r="P56" i="81"/>
  <c r="P57" i="81"/>
  <c r="P58" i="81"/>
  <c r="P59" i="81"/>
  <c r="P51" i="81"/>
  <c r="P52" i="81"/>
  <c r="P53" i="81"/>
  <c r="P54" i="81"/>
  <c r="P45" i="81"/>
  <c r="P46" i="81"/>
  <c r="P47" i="81"/>
  <c r="P48" i="81"/>
  <c r="P40" i="81"/>
  <c r="P41" i="81"/>
  <c r="P42" i="81"/>
  <c r="P43" i="81"/>
  <c r="P44" i="81"/>
  <c r="P29" i="81"/>
  <c r="P30" i="81"/>
  <c r="P31" i="81"/>
  <c r="P32" i="81"/>
  <c r="P33" i="81"/>
  <c r="P34" i="81"/>
  <c r="P35" i="81"/>
  <c r="P27" i="81"/>
  <c r="O117" i="81" l="1"/>
  <c r="N117" i="81"/>
  <c r="B117" i="81"/>
  <c r="O97" i="81"/>
  <c r="N97" i="81"/>
  <c r="B97" i="81"/>
  <c r="O93" i="81"/>
  <c r="N93" i="81"/>
  <c r="B93" i="81"/>
  <c r="O68" i="81"/>
  <c r="N68" i="81"/>
  <c r="B68" i="81"/>
  <c r="O21" i="81"/>
  <c r="N21" i="81"/>
  <c r="B21" i="81"/>
  <c r="O20" i="81"/>
  <c r="N20" i="81"/>
  <c r="B20" i="81"/>
  <c r="O86" i="81"/>
  <c r="N86" i="81"/>
  <c r="B86" i="81"/>
  <c r="O70" i="81"/>
  <c r="N70" i="81"/>
  <c r="B70" i="81"/>
  <c r="O42" i="81"/>
  <c r="N42" i="81"/>
  <c r="B42" i="81"/>
  <c r="O23" i="81"/>
  <c r="N23" i="81"/>
  <c r="B23" i="81"/>
  <c r="O22" i="81"/>
  <c r="N22" i="81"/>
  <c r="B22" i="81"/>
  <c r="O91" i="81"/>
  <c r="N91" i="81"/>
  <c r="B91" i="81"/>
  <c r="O41" i="81"/>
  <c r="N41" i="81"/>
  <c r="B41" i="81"/>
  <c r="O25" i="81"/>
  <c r="N25" i="81"/>
  <c r="B25" i="81"/>
  <c r="O24" i="81"/>
  <c r="N24" i="81"/>
  <c r="B24" i="81"/>
  <c r="O84" i="81"/>
  <c r="N84" i="81"/>
  <c r="B84" i="81"/>
  <c r="O108" i="81"/>
  <c r="N108" i="81"/>
  <c r="B108" i="81"/>
  <c r="O64" i="81"/>
  <c r="N64" i="81"/>
  <c r="B64" i="81"/>
  <c r="O118" i="81"/>
  <c r="N118" i="81"/>
  <c r="B118" i="81"/>
  <c r="O78" i="81"/>
  <c r="N78" i="81"/>
  <c r="B78" i="81"/>
  <c r="O69" i="81"/>
  <c r="N69" i="81"/>
  <c r="B69" i="81"/>
  <c r="O119" i="81"/>
  <c r="N119" i="81"/>
  <c r="B119" i="81"/>
  <c r="O104" i="81"/>
  <c r="N104" i="81"/>
  <c r="B104" i="81"/>
  <c r="O92" i="81"/>
  <c r="N92" i="81"/>
  <c r="B92" i="81"/>
  <c r="O65" i="81"/>
  <c r="N65" i="81"/>
  <c r="B65" i="81"/>
  <c r="O5" i="81"/>
  <c r="N5" i="81"/>
  <c r="B5" i="81"/>
  <c r="O4" i="81"/>
  <c r="N4" i="81"/>
  <c r="B4" i="81"/>
  <c r="O7" i="81"/>
  <c r="N7" i="81"/>
  <c r="B7" i="81"/>
  <c r="O6" i="81"/>
  <c r="N6" i="81"/>
  <c r="B6" i="81"/>
  <c r="O72" i="81"/>
  <c r="N72" i="81"/>
  <c r="B72" i="81"/>
  <c r="O9" i="81"/>
  <c r="N9" i="81"/>
  <c r="B9" i="81"/>
  <c r="O8" i="81"/>
  <c r="N8" i="81"/>
  <c r="B8" i="81"/>
  <c r="O55" i="81"/>
  <c r="N55" i="81"/>
  <c r="B55" i="81"/>
  <c r="O31" i="81"/>
  <c r="N31" i="81"/>
  <c r="B31" i="81"/>
  <c r="O11" i="81"/>
  <c r="N11" i="81"/>
  <c r="B11" i="81"/>
  <c r="O10" i="81"/>
  <c r="N10" i="81"/>
  <c r="B10" i="81"/>
  <c r="O106" i="81"/>
  <c r="N106" i="81"/>
  <c r="B106" i="81"/>
  <c r="O73" i="81"/>
  <c r="N73" i="81"/>
  <c r="B73" i="81"/>
  <c r="O56" i="81"/>
  <c r="N56" i="81"/>
  <c r="B56" i="81"/>
  <c r="O13" i="81"/>
  <c r="N13" i="81"/>
  <c r="B13" i="81"/>
  <c r="O12" i="81"/>
  <c r="N12" i="81"/>
  <c r="B12" i="81"/>
  <c r="O101" i="81"/>
  <c r="N101" i="81"/>
  <c r="B101" i="81"/>
  <c r="O98" i="81"/>
  <c r="N98" i="81"/>
  <c r="B98" i="81"/>
  <c r="O82" i="81"/>
  <c r="N82" i="81"/>
  <c r="B82" i="81"/>
  <c r="O109" i="81"/>
  <c r="N109" i="81"/>
  <c r="B109" i="81"/>
  <c r="O107" i="81"/>
  <c r="N107" i="81"/>
  <c r="B107" i="81"/>
  <c r="O100" i="81"/>
  <c r="N100" i="81"/>
  <c r="B100" i="81"/>
  <c r="O96" i="81"/>
  <c r="N96" i="81"/>
  <c r="B96" i="81"/>
  <c r="O71" i="81"/>
  <c r="N71" i="81"/>
  <c r="B71" i="81"/>
  <c r="O66" i="81"/>
  <c r="N66" i="81"/>
  <c r="B66" i="81"/>
  <c r="O57" i="81"/>
  <c r="N57" i="81"/>
  <c r="B57" i="81"/>
  <c r="O47" i="81"/>
  <c r="N47" i="81"/>
  <c r="B47" i="81"/>
  <c r="O29" i="81"/>
  <c r="N29" i="81"/>
  <c r="B29" i="81"/>
  <c r="O95" i="81"/>
  <c r="N95" i="81"/>
  <c r="B95" i="81"/>
  <c r="O87" i="81"/>
  <c r="N87" i="81"/>
  <c r="B87" i="81"/>
  <c r="O40" i="81"/>
  <c r="N40" i="81"/>
  <c r="B40" i="81"/>
  <c r="O105" i="81"/>
  <c r="N105" i="81"/>
  <c r="B105" i="81"/>
  <c r="O85" i="81"/>
  <c r="N85" i="81"/>
  <c r="B85" i="81"/>
  <c r="O67" i="81"/>
  <c r="N67" i="81"/>
  <c r="B67" i="81"/>
  <c r="O59" i="81"/>
  <c r="N59" i="81"/>
  <c r="B59" i="81"/>
  <c r="O54" i="81"/>
  <c r="N54" i="81"/>
  <c r="B54" i="81"/>
  <c r="O15" i="81"/>
  <c r="N15" i="81"/>
  <c r="B15" i="81"/>
  <c r="O14" i="81"/>
  <c r="N14" i="81"/>
  <c r="B14" i="81"/>
  <c r="O116" i="81"/>
  <c r="N116" i="81"/>
  <c r="B116" i="81"/>
  <c r="O115" i="81"/>
  <c r="N115" i="81"/>
  <c r="B115" i="81"/>
  <c r="O76" i="81"/>
  <c r="N76" i="81"/>
  <c r="B76" i="81"/>
  <c r="O62" i="81"/>
  <c r="N62" i="81"/>
  <c r="B62" i="81"/>
  <c r="O46" i="81"/>
  <c r="N46" i="81"/>
  <c r="B46" i="81"/>
  <c r="O44" i="81"/>
  <c r="N44" i="81"/>
  <c r="B44" i="81"/>
  <c r="O34" i="81"/>
  <c r="N34" i="81"/>
  <c r="B34" i="81"/>
  <c r="O121" i="81"/>
  <c r="N121" i="81"/>
  <c r="B121" i="81"/>
  <c r="O113" i="81"/>
  <c r="N113" i="81"/>
  <c r="B113" i="81"/>
  <c r="O77" i="81"/>
  <c r="N77" i="81"/>
  <c r="B77" i="81"/>
  <c r="O63" i="81"/>
  <c r="N63" i="81"/>
  <c r="B63" i="81"/>
  <c r="O53" i="81"/>
  <c r="N53" i="81"/>
  <c r="B53" i="81"/>
  <c r="O112" i="81"/>
  <c r="N112" i="81"/>
  <c r="B112" i="81"/>
  <c r="O75" i="81"/>
  <c r="N75" i="81"/>
  <c r="B75" i="81"/>
  <c r="O61" i="81"/>
  <c r="N61" i="81"/>
  <c r="B61" i="81"/>
  <c r="O33" i="81"/>
  <c r="N33" i="81"/>
  <c r="B33" i="81"/>
  <c r="O30" i="81"/>
  <c r="N30" i="81"/>
  <c r="B30" i="81"/>
  <c r="O111" i="81"/>
  <c r="N111" i="81"/>
  <c r="B111" i="81"/>
  <c r="O94" i="81"/>
  <c r="N94" i="81"/>
  <c r="B94" i="81"/>
  <c r="O83" i="81"/>
  <c r="N83" i="81"/>
  <c r="B83" i="81"/>
  <c r="O51" i="81"/>
  <c r="N51" i="81"/>
  <c r="B51" i="81"/>
  <c r="O48" i="81"/>
  <c r="N48" i="81"/>
  <c r="B48" i="81"/>
  <c r="O102" i="81"/>
  <c r="N102" i="81"/>
  <c r="B102" i="81"/>
  <c r="O81" i="81"/>
  <c r="N81" i="81"/>
  <c r="B81" i="81"/>
  <c r="O79" i="81"/>
  <c r="N79" i="81"/>
  <c r="B79" i="81"/>
  <c r="O74" i="81"/>
  <c r="N74" i="81"/>
  <c r="B74" i="81"/>
  <c r="O60" i="81"/>
  <c r="N60" i="81"/>
  <c r="B60" i="81"/>
  <c r="O58" i="81"/>
  <c r="N58" i="81"/>
  <c r="B58" i="81"/>
  <c r="O45" i="81"/>
  <c r="N45" i="81"/>
  <c r="B45" i="81"/>
  <c r="O32" i="81"/>
  <c r="N32" i="81"/>
  <c r="B32" i="81"/>
  <c r="O110" i="81"/>
  <c r="N110" i="81"/>
  <c r="B110" i="81"/>
  <c r="O103" i="81"/>
  <c r="N103" i="81"/>
  <c r="B103" i="81"/>
  <c r="O99" i="81"/>
  <c r="N99" i="81"/>
  <c r="B99" i="81"/>
  <c r="O88" i="81"/>
  <c r="N88" i="81"/>
  <c r="B88" i="81"/>
  <c r="O80" i="81"/>
  <c r="N80" i="81"/>
  <c r="B80" i="81"/>
  <c r="O43" i="81"/>
  <c r="N43" i="81"/>
  <c r="B43" i="81"/>
  <c r="O19" i="81"/>
  <c r="N19" i="81"/>
  <c r="B19" i="81"/>
  <c r="O18" i="81"/>
  <c r="N18" i="81"/>
  <c r="B18" i="81"/>
  <c r="O52" i="81"/>
  <c r="N52" i="81"/>
  <c r="B52" i="81"/>
  <c r="O28" i="81"/>
  <c r="N28" i="81"/>
  <c r="B28" i="81"/>
  <c r="O27" i="81"/>
  <c r="N27" i="81"/>
  <c r="B27" i="81"/>
  <c r="O35" i="81"/>
  <c r="N35" i="81"/>
  <c r="B35" i="81"/>
</calcChain>
</file>

<file path=xl/sharedStrings.xml><?xml version="1.0" encoding="utf-8"?>
<sst xmlns="http://schemas.openxmlformats.org/spreadsheetml/2006/main" count="6901" uniqueCount="2296">
  <si>
    <t>일반</t>
    <phoneticPr fontId="2" type="noConversion"/>
  </si>
  <si>
    <t>행정심판</t>
    <phoneticPr fontId="2" type="noConversion"/>
  </si>
  <si>
    <t>행정소송</t>
    <phoneticPr fontId="2" type="noConversion"/>
  </si>
  <si>
    <t>행정기관</t>
    <phoneticPr fontId="2" type="noConversion"/>
  </si>
  <si>
    <t>구체</t>
    <phoneticPr fontId="2" type="noConversion"/>
  </si>
  <si>
    <t>추상</t>
    <phoneticPr fontId="2" type="noConversion"/>
  </si>
  <si>
    <t>개별</t>
    <phoneticPr fontId="2" type="noConversion"/>
  </si>
  <si>
    <t>법규명령</t>
    <phoneticPr fontId="2" type="noConversion"/>
  </si>
  <si>
    <t>공법관계</t>
    <phoneticPr fontId="2" type="noConversion"/>
  </si>
  <si>
    <t>사법관계</t>
    <phoneticPr fontId="2" type="noConversion"/>
  </si>
  <si>
    <t>사인의 공법행위</t>
    <phoneticPr fontId="2" type="noConversion"/>
  </si>
  <si>
    <t>기속행위</t>
    <phoneticPr fontId="2" type="noConversion"/>
  </si>
  <si>
    <t>재량행위</t>
    <phoneticPr fontId="2" type="noConversion"/>
  </si>
  <si>
    <t>행정행위</t>
    <phoneticPr fontId="2" type="noConversion"/>
  </si>
  <si>
    <t>법률행위적 행정행위</t>
    <phoneticPr fontId="2" type="noConversion"/>
  </si>
  <si>
    <t>준법률행위적 행정행위</t>
    <phoneticPr fontId="2" type="noConversion"/>
  </si>
  <si>
    <t>신청</t>
    <phoneticPr fontId="2" type="noConversion"/>
  </si>
  <si>
    <t>이의신청</t>
    <phoneticPr fontId="2" type="noConversion"/>
  </si>
  <si>
    <t>기판력</t>
    <phoneticPr fontId="2" type="noConversion"/>
  </si>
  <si>
    <t>기속력</t>
    <phoneticPr fontId="2" type="noConversion"/>
  </si>
  <si>
    <t>행정입법</t>
    <phoneticPr fontId="2" type="noConversion"/>
  </si>
  <si>
    <t>행정주체의 공법행위</t>
    <phoneticPr fontId="2" type="noConversion"/>
  </si>
  <si>
    <t>행정조사</t>
    <phoneticPr fontId="2" type="noConversion"/>
  </si>
  <si>
    <t>장</t>
    <phoneticPr fontId="2" type="noConversion"/>
  </si>
  <si>
    <t>절</t>
    <phoneticPr fontId="2" type="noConversion"/>
  </si>
  <si>
    <t>목차</t>
    <phoneticPr fontId="2" type="noConversion"/>
  </si>
  <si>
    <t>용어</t>
    <phoneticPr fontId="2" type="noConversion"/>
  </si>
  <si>
    <t>정의</t>
    <phoneticPr fontId="2" type="noConversion"/>
  </si>
  <si>
    <t>행정작용</t>
    <phoneticPr fontId="2" type="noConversion"/>
  </si>
  <si>
    <t>행정쟁송</t>
    <phoneticPr fontId="2" type="noConversion"/>
  </si>
  <si>
    <t>법률</t>
    <phoneticPr fontId="2" type="noConversion"/>
  </si>
  <si>
    <t>행정규칙</t>
    <phoneticPr fontId="2" type="noConversion"/>
  </si>
  <si>
    <t>비례의 원칙</t>
    <phoneticPr fontId="2" type="noConversion"/>
  </si>
  <si>
    <t>신뢰보호의 원칙</t>
    <phoneticPr fontId="2" type="noConversion"/>
  </si>
  <si>
    <t>평등의 원칙</t>
    <phoneticPr fontId="2" type="noConversion"/>
  </si>
  <si>
    <t>자기구속의 원칙</t>
    <phoneticPr fontId="2" type="noConversion"/>
  </si>
  <si>
    <t>부당결부금지의 원칙</t>
    <phoneticPr fontId="2" type="noConversion"/>
  </si>
  <si>
    <t>적법절차의 원칙</t>
    <phoneticPr fontId="2" type="noConversion"/>
  </si>
  <si>
    <t>신의성실의 원칙</t>
    <phoneticPr fontId="2" type="noConversion"/>
  </si>
  <si>
    <t>행정주체</t>
    <phoneticPr fontId="2" type="noConversion"/>
  </si>
  <si>
    <t>행정객체</t>
    <phoneticPr fontId="2" type="noConversion"/>
  </si>
  <si>
    <t>요약</t>
    <phoneticPr fontId="2" type="noConversion"/>
  </si>
  <si>
    <t>취소소송의 대상적격</t>
    <phoneticPr fontId="2" type="noConversion"/>
  </si>
  <si>
    <t>행정상 실효성 확보수단</t>
    <phoneticPr fontId="2" type="noConversion"/>
  </si>
  <si>
    <t>대체적 작위 의무</t>
    <phoneticPr fontId="2" type="noConversion"/>
  </si>
  <si>
    <t>조직법적 근거</t>
    <phoneticPr fontId="2" type="noConversion"/>
  </si>
  <si>
    <t>작용법적 근거</t>
    <phoneticPr fontId="2" type="noConversion"/>
  </si>
  <si>
    <t>제3자효 행정행위</t>
    <phoneticPr fontId="2" type="noConversion"/>
  </si>
  <si>
    <t>원고적격</t>
    <phoneticPr fontId="2" type="noConversion"/>
  </si>
  <si>
    <t>법률상 이익</t>
    <phoneticPr fontId="2" type="noConversion"/>
  </si>
  <si>
    <t>관련 정보</t>
    <phoneticPr fontId="2" type="noConversion"/>
  </si>
  <si>
    <t>취소소송 소송요건의 법적 성질 및 법원의 직권조사 원칙과 예외</t>
    <phoneticPr fontId="2" type="noConversion"/>
  </si>
  <si>
    <t>처분사유의 추가・변경의 허용 여부와 한계에 대한 판례의 입장</t>
    <phoneticPr fontId="2" type="noConversion"/>
  </si>
  <si>
    <t>행정심판기록 제출명령의 의의와 효과</t>
    <phoneticPr fontId="2" type="noConversion"/>
  </si>
  <si>
    <t>항고소송에서 민사소송법상 가처분 규정의 준용 여부에 관한 학설 및 판례의 입장</t>
    <phoneticPr fontId="2" type="noConversion"/>
  </si>
  <si>
    <t>거부처분 취소소송에서 집행정지의 실효성 결여와 가처분의 허용 여부</t>
    <phoneticPr fontId="2" type="noConversion"/>
  </si>
  <si>
    <t>취소소송에서 부작위위법확인소송으로의 소의 종류의 변경의 요건 및 허용 범위</t>
    <phoneticPr fontId="2" type="noConversion"/>
  </si>
  <si>
    <t>처분변경으로 인한 소의 변경의 요건과 신청 기한</t>
    <phoneticPr fontId="2" type="noConversion"/>
  </si>
  <si>
    <t>무효확인판결의 제3자효와 기속력의 의미 및 재처분의무의 인정 여부</t>
    <phoneticPr fontId="2" type="noConversion"/>
  </si>
  <si>
    <t>무효확인소송에서 가처분의 준용 여부와 예방적 금지 성격의 가처분 허용 여부</t>
    <phoneticPr fontId="2" type="noConversion"/>
  </si>
  <si>
    <t>무효확인소송에서 취소소송으로의 변경 시 제소기간 준수의 기준 시점</t>
    <phoneticPr fontId="2" type="noConversion"/>
  </si>
  <si>
    <t>부작위에 대한 행정심판의 종류, 부작위 성립 요건 및 행정심판 제기의 예외 사유</t>
    <phoneticPr fontId="2" type="noConversion"/>
  </si>
  <si>
    <t>직권심리주의의 의미와 범위 및 당사자가 주장하지 않은 사실에 대한 심리 한계</t>
    <phoneticPr fontId="2" type="noConversion"/>
  </si>
  <si>
    <t>구술심리와 서면심리의 관계 및 구술심리 신청 거절의 예외적 사유</t>
    <phoneticPr fontId="2" type="noConversion"/>
  </si>
  <si>
    <t>2014-1-1</t>
  </si>
  <si>
    <t>2012-1-1</t>
  </si>
  <si>
    <t>2009-1</t>
  </si>
  <si>
    <t>2025-2</t>
  </si>
  <si>
    <t>2021-2</t>
  </si>
  <si>
    <t>2017-1-1</t>
  </si>
  <si>
    <t>2017-3</t>
  </si>
  <si>
    <t>행정심판의 재결이 취소소송의 대상이 되는 경우</t>
  </si>
  <si>
    <t>2016-1-2</t>
  </si>
  <si>
    <t>2014-1-2</t>
  </si>
  <si>
    <t>2012-3</t>
  </si>
  <si>
    <t>2023-2</t>
  </si>
  <si>
    <t>2016-3</t>
  </si>
  <si>
    <t>2013-1-1</t>
  </si>
  <si>
    <t>2025-1-2</t>
  </si>
  <si>
    <t>2022-2</t>
  </si>
  <si>
    <t>2017-1-2</t>
  </si>
  <si>
    <t>행정심판전치주의</t>
  </si>
  <si>
    <t>2008-2-1</t>
  </si>
  <si>
    <t>제소기간</t>
  </si>
  <si>
    <t>관할법원</t>
  </si>
  <si>
    <t>2021-3</t>
  </si>
  <si>
    <t>2015-1-2</t>
  </si>
  <si>
    <t>2011-2</t>
  </si>
  <si>
    <t>2013-1-2</t>
  </si>
  <si>
    <t>2025-1-1</t>
  </si>
  <si>
    <t>2021-1-3</t>
  </si>
  <si>
    <t>2019-1-1</t>
  </si>
  <si>
    <t>2018-1-2</t>
  </si>
  <si>
    <t>2012-1-2</t>
  </si>
  <si>
    <t>2010-1</t>
  </si>
  <si>
    <t>2010-3</t>
  </si>
  <si>
    <t>결과제거청구권(원상회복청구권)의 행정소송상 관철 방법</t>
  </si>
  <si>
    <t>행정소송법상 집행정지의 요건</t>
  </si>
  <si>
    <t>2011-3</t>
  </si>
  <si>
    <t>2020-3</t>
  </si>
  <si>
    <t>부작위위법확인소송에서의 부작위의 의의 및 성립요건</t>
  </si>
  <si>
    <t>2008-1</t>
  </si>
  <si>
    <t>부작위위법확인소송</t>
  </si>
  <si>
    <t>2024-1-1-1</t>
  </si>
  <si>
    <t>2019-3</t>
  </si>
  <si>
    <t>2017-2</t>
  </si>
  <si>
    <t>기관소송</t>
  </si>
  <si>
    <t>2009-2-1</t>
  </si>
  <si>
    <t>행정심판 재결의 종류</t>
  </si>
  <si>
    <t>취소소송의 심리</t>
    <phoneticPr fontId="2" type="noConversion"/>
  </si>
  <si>
    <t>변론주의</t>
    <phoneticPr fontId="2" type="noConversion"/>
  </si>
  <si>
    <t>직권탐지주의</t>
    <phoneticPr fontId="2" type="noConversion"/>
  </si>
  <si>
    <t>판결</t>
    <phoneticPr fontId="2" type="noConversion"/>
  </si>
  <si>
    <t>사법</t>
    <phoneticPr fontId="2" type="noConversion"/>
  </si>
  <si>
    <t>행정법</t>
    <phoneticPr fontId="2" type="noConversion"/>
  </si>
  <si>
    <t>수범자</t>
    <phoneticPr fontId="2" type="noConversion"/>
  </si>
  <si>
    <t>공권</t>
    <phoneticPr fontId="2" type="noConversion"/>
  </si>
  <si>
    <t>사권</t>
    <phoneticPr fontId="2" type="noConversion"/>
  </si>
  <si>
    <t>법률우위의 원칙</t>
    <phoneticPr fontId="2" type="noConversion"/>
  </si>
  <si>
    <t>법률유보의 원칙</t>
    <phoneticPr fontId="2" type="noConversion"/>
  </si>
  <si>
    <t>행정법의 법원</t>
    <phoneticPr fontId="2" type="noConversion"/>
  </si>
  <si>
    <t>권한남용금지의 원칙</t>
    <phoneticPr fontId="2" type="noConversion"/>
  </si>
  <si>
    <t>법령보충규칙</t>
    <phoneticPr fontId="2" type="noConversion"/>
  </si>
  <si>
    <t>법률종속명령</t>
    <phoneticPr fontId="2" type="noConversion"/>
  </si>
  <si>
    <t>훈령</t>
    <phoneticPr fontId="2" type="noConversion"/>
  </si>
  <si>
    <t>예규</t>
    <phoneticPr fontId="2" type="noConversion"/>
  </si>
  <si>
    <t>지시</t>
    <phoneticPr fontId="2" type="noConversion"/>
  </si>
  <si>
    <t>고시</t>
    <phoneticPr fontId="2" type="noConversion"/>
  </si>
  <si>
    <t>공고</t>
    <phoneticPr fontId="2" type="noConversion"/>
  </si>
  <si>
    <t>자의금지 원칙</t>
    <phoneticPr fontId="2" type="noConversion"/>
  </si>
  <si>
    <t>전환규범</t>
    <phoneticPr fontId="2" type="noConversion"/>
  </si>
  <si>
    <t>처분적 법률</t>
    <phoneticPr fontId="2" type="noConversion"/>
  </si>
  <si>
    <t>유형</t>
    <phoneticPr fontId="2" type="noConversion"/>
  </si>
  <si>
    <t>요약</t>
  </si>
  <si>
    <t>개설</t>
    <phoneticPr fontId="2" type="noConversion"/>
  </si>
  <si>
    <t>행정법의 일반 원칙</t>
    <phoneticPr fontId="2" type="noConversion"/>
  </si>
  <si>
    <t>행정법 관계</t>
  </si>
  <si>
    <t>행정법 관계</t>
    <phoneticPr fontId="2" type="noConversion"/>
  </si>
  <si>
    <t>공법행위</t>
  </si>
  <si>
    <t>공법행위</t>
    <phoneticPr fontId="2" type="noConversion"/>
  </si>
  <si>
    <t>행정행위</t>
  </si>
  <si>
    <t>행정의 실효성 확보수단</t>
  </si>
  <si>
    <t>행정의 실효성 확보수단</t>
    <phoneticPr fontId="2" type="noConversion"/>
  </si>
  <si>
    <t>행정소송의 일반론</t>
    <phoneticPr fontId="2" type="noConversion"/>
  </si>
  <si>
    <t>취소소송의 당사자적격</t>
    <phoneticPr fontId="2" type="noConversion"/>
  </si>
  <si>
    <t>취소소송의 기타 소송요건</t>
    <phoneticPr fontId="2" type="noConversion"/>
  </si>
  <si>
    <t>취소소송의 심리</t>
  </si>
  <si>
    <t>취소소송의 종료</t>
  </si>
  <si>
    <t>취소소송의 종료</t>
    <phoneticPr fontId="2" type="noConversion"/>
  </si>
  <si>
    <t>취소소송의 가구제</t>
    <phoneticPr fontId="2" type="noConversion"/>
  </si>
  <si>
    <t>청구의 병합과 소의 변경</t>
  </si>
  <si>
    <t>청구의 병합과 소의 변경</t>
    <phoneticPr fontId="2" type="noConversion"/>
  </si>
  <si>
    <t>무효등 확인소송</t>
  </si>
  <si>
    <t>무효등 확인소송</t>
    <phoneticPr fontId="2" type="noConversion"/>
  </si>
  <si>
    <t>부작위위법확인소송 및 기타 소송</t>
  </si>
  <si>
    <t>부작위위법확인소송 및 기타 소송</t>
    <phoneticPr fontId="2" type="noConversion"/>
  </si>
  <si>
    <t>행정심판의 일반론</t>
  </si>
  <si>
    <t>행정심판의 일반론</t>
    <phoneticPr fontId="2" type="noConversion"/>
  </si>
  <si>
    <t>행정심판의 청구요건 및 가구제</t>
  </si>
  <si>
    <t>행정심판의 청구요건 및 가구제</t>
    <phoneticPr fontId="2" type="noConversion"/>
  </si>
  <si>
    <t>행정심판의 심리・재결</t>
    <phoneticPr fontId="2" type="noConversion"/>
  </si>
  <si>
    <t>개요</t>
    <phoneticPr fontId="2" type="noConversion"/>
  </si>
  <si>
    <t>행정법의 법원</t>
  </si>
  <si>
    <t>법규명령</t>
  </si>
  <si>
    <t>행정규칙(행정명령)</t>
  </si>
  <si>
    <t>행정규칙의 형식과 내용</t>
  </si>
  <si>
    <t>비례의 원칙</t>
  </si>
  <si>
    <t>신뢰보호의 원칙</t>
  </si>
  <si>
    <t>평등의 원칙</t>
  </si>
  <si>
    <t>자기구속의 원칙</t>
  </si>
  <si>
    <t>부당결부금지의 원칙</t>
  </si>
  <si>
    <t>기타 제 원칙</t>
  </si>
  <si>
    <t>서설</t>
  </si>
  <si>
    <t>행정법 관계의 당사자</t>
  </si>
  <si>
    <t>행정상 법률관계</t>
  </si>
  <si>
    <t>개념 및 종류</t>
  </si>
  <si>
    <t>신고 및 신청</t>
  </si>
  <si>
    <t>행정행위 일반</t>
  </si>
  <si>
    <t>행정행위의 실효성 확보수단</t>
  </si>
  <si>
    <t>대집행</t>
  </si>
  <si>
    <t>직접강제</t>
  </si>
  <si>
    <t>강제징수</t>
  </si>
  <si>
    <t>즉시강제</t>
  </si>
  <si>
    <t>행정조사</t>
  </si>
  <si>
    <t>행정벌</t>
  </si>
  <si>
    <t>새로운 실효성 확보수단</t>
  </si>
  <si>
    <t>행정심판 개관</t>
  </si>
  <si>
    <t>행정소송 개관</t>
  </si>
  <si>
    <t>행정소송의 한계</t>
  </si>
  <si>
    <t>소송요건의 일반론</t>
  </si>
  <si>
    <t>처분</t>
  </si>
  <si>
    <t>재결</t>
  </si>
  <si>
    <t>피고적격</t>
  </si>
  <si>
    <t>권리보호의 필요(협의의 소의 이익)</t>
  </si>
  <si>
    <t>심리</t>
  </si>
  <si>
    <t>위법성 판단의 기준시</t>
  </si>
  <si>
    <t>처분사유의 추가・변경</t>
  </si>
  <si>
    <t>법원의 판결</t>
  </si>
  <si>
    <t>판결의 효력</t>
  </si>
  <si>
    <t>재심</t>
  </si>
  <si>
    <t>취소소송의 종료 사유</t>
  </si>
  <si>
    <t>집행정지</t>
  </si>
  <si>
    <t>가처분</t>
  </si>
  <si>
    <t>소의 변경</t>
  </si>
  <si>
    <t>무효등 확인소송의 의의</t>
  </si>
  <si>
    <t>무효등 확인소송의 요건</t>
  </si>
  <si>
    <t>무효등 확인소송의 심리</t>
  </si>
  <si>
    <t>무효등 확인소송의 종료</t>
  </si>
  <si>
    <t>취소소송과의 관계</t>
  </si>
  <si>
    <t>가구제</t>
  </si>
  <si>
    <t>당사자소송</t>
  </si>
  <si>
    <t>민중소송</t>
  </si>
  <si>
    <t>행정심판의 종류</t>
  </si>
  <si>
    <t>고지제도</t>
  </si>
  <si>
    <t>행정심판의 대상적격</t>
  </si>
  <si>
    <t>행정심판의 청구</t>
  </si>
  <si>
    <t>행정심판기관</t>
  </si>
  <si>
    <t>법률적합성의 원칙</t>
    <phoneticPr fontId="2" type="noConversion"/>
  </si>
  <si>
    <t>공정력</t>
    <phoneticPr fontId="2" type="noConversion"/>
  </si>
  <si>
    <t>공권(공법상 권리)</t>
    <phoneticPr fontId="2" type="noConversion"/>
  </si>
  <si>
    <t>집행력</t>
    <phoneticPr fontId="2" type="noConversion"/>
  </si>
  <si>
    <t>공의무(공법상 의무)</t>
    <phoneticPr fontId="2" type="noConversion"/>
  </si>
  <si>
    <t>행정청</t>
    <phoneticPr fontId="2" type="noConversion"/>
  </si>
  <si>
    <t>의사결정 기관</t>
    <phoneticPr fontId="2" type="noConversion"/>
  </si>
  <si>
    <t>집행 기관</t>
    <phoneticPr fontId="2" type="noConversion"/>
  </si>
  <si>
    <t>보조 기관</t>
    <phoneticPr fontId="2" type="noConversion"/>
  </si>
  <si>
    <t>자문 기관</t>
    <phoneticPr fontId="2" type="noConversion"/>
  </si>
  <si>
    <t>심의 의결 기관</t>
    <phoneticPr fontId="2" type="noConversion"/>
  </si>
  <si>
    <t>국가</t>
    <phoneticPr fontId="2" type="noConversion"/>
  </si>
  <si>
    <t>지방자치단체</t>
    <phoneticPr fontId="2" type="noConversion"/>
  </si>
  <si>
    <t>공공단체</t>
    <phoneticPr fontId="2" type="noConversion"/>
  </si>
  <si>
    <t>공무수탁 사인</t>
    <phoneticPr fontId="2" type="noConversion"/>
  </si>
  <si>
    <t>행정상 법률관계</t>
    <phoneticPr fontId="2" type="noConversion"/>
  </si>
  <si>
    <t>행정조직법 관계</t>
    <phoneticPr fontId="2" type="noConversion"/>
  </si>
  <si>
    <t>행정기관 상호 간 관계</t>
    <phoneticPr fontId="2" type="noConversion"/>
  </si>
  <si>
    <t>행정주체와 공무원 간 관계</t>
    <phoneticPr fontId="2" type="noConversion"/>
  </si>
  <si>
    <t>행정작용법 관계</t>
    <phoneticPr fontId="2" type="noConversion"/>
  </si>
  <si>
    <t>주체설</t>
    <phoneticPr fontId="2" type="noConversion"/>
  </si>
  <si>
    <t>목적설</t>
    <phoneticPr fontId="2" type="noConversion"/>
  </si>
  <si>
    <t>수단설</t>
    <phoneticPr fontId="2" type="noConversion"/>
  </si>
  <si>
    <t>종합설</t>
    <phoneticPr fontId="2" type="noConversion"/>
  </si>
  <si>
    <t>공법관계와 사법관계</t>
    <phoneticPr fontId="2" type="noConversion"/>
  </si>
  <si>
    <t>취소소송의 제기요건(소송요건)(대상적격, 원고적격, 피고적격, 소의 이익, 제소기간, 행심전치주의, 관할법원)</t>
    <phoneticPr fontId="2" type="noConversion"/>
  </si>
  <si>
    <t>2011-1</t>
    <phoneticPr fontId="2" type="noConversion"/>
  </si>
  <si>
    <t>의무이행재결의 실효성 확보 방안 (행정심판법상), 취소판결의 실효성 확보 방안 (행정소송법상)</t>
    <phoneticPr fontId="2" type="noConversion"/>
  </si>
  <si>
    <t>2013-2</t>
    <phoneticPr fontId="2" type="noConversion"/>
  </si>
  <si>
    <t>2020-1-1</t>
    <phoneticPr fontId="2" type="noConversion"/>
  </si>
  <si>
    <t>2023-1-1</t>
    <phoneticPr fontId="2" type="noConversion"/>
  </si>
  <si>
    <t>2024-3</t>
    <phoneticPr fontId="2" type="noConversion"/>
  </si>
  <si>
    <t>계획</t>
    <phoneticPr fontId="2" type="noConversion"/>
  </si>
  <si>
    <t>실행</t>
    <phoneticPr fontId="2" type="noConversion"/>
  </si>
  <si>
    <t>기능</t>
    <phoneticPr fontId="2" type="noConversion"/>
  </si>
  <si>
    <t>사용여부</t>
    <phoneticPr fontId="2" type="noConversion"/>
  </si>
  <si>
    <t>행 하이라이트</t>
    <phoneticPr fontId="2" type="noConversion"/>
  </si>
  <si>
    <t>행정법의 기본구조</t>
    <phoneticPr fontId="2" type="noConversion"/>
  </si>
  <si>
    <t>행정입법(법규명령・행정규칙)</t>
    <phoneticPr fontId="2" type="noConversion"/>
  </si>
  <si>
    <t>성문법원</t>
    <phoneticPr fontId="2" type="noConversion"/>
  </si>
  <si>
    <t>불문법원</t>
    <phoneticPr fontId="2" type="noConversion"/>
  </si>
  <si>
    <t>행정법 관계 구별의 실익</t>
    <phoneticPr fontId="2" type="noConversion"/>
  </si>
  <si>
    <t>행정법 관계의 성질에 따라 적용 법규범(사법・공법)과 분쟁해결 수단(민사소송・행정소송)이 달라진다.</t>
    <phoneticPr fontId="2" type="noConversion"/>
  </si>
  <si>
    <t>신고</t>
    <phoneticPr fontId="2" type="noConversion"/>
  </si>
  <si>
    <t>적용법규의 차이</t>
    <phoneticPr fontId="2" type="noConversion"/>
  </si>
  <si>
    <t>구제수단의 차이</t>
    <phoneticPr fontId="2" type="noConversion"/>
  </si>
  <si>
    <t>법률행위적 공법행위</t>
    <phoneticPr fontId="2" type="noConversion"/>
  </si>
  <si>
    <t>사실행위적 공법행위</t>
    <phoneticPr fontId="2" type="noConversion"/>
  </si>
  <si>
    <t>행정청이 구체적 사실에 관하여 법 아래서 행하는 권력적 단독 행위로서, 직접적으로 법적 효과를 발생시키는 행위를 말한다.</t>
    <phoneticPr fontId="2" type="noConversion"/>
  </si>
  <si>
    <t>국가 또는 공공단체의 기관 중에서 행정사무를 자기의 이름으로 처리할 수 있는 권한을 가진 기관을 말한다.</t>
    <phoneticPr fontId="2" type="noConversion"/>
  </si>
  <si>
    <t>침익적 행정행위</t>
    <phoneticPr fontId="2" type="noConversion"/>
  </si>
  <si>
    <t>수익적 행정행위</t>
    <phoneticPr fontId="2" type="noConversion"/>
  </si>
  <si>
    <t>복효적 행정행위</t>
    <phoneticPr fontId="2" type="noConversion"/>
  </si>
  <si>
    <t>다단계 행정결정</t>
    <phoneticPr fontId="2" type="noConversion"/>
  </si>
  <si>
    <t>예비결정</t>
    <phoneticPr fontId="2" type="noConversion"/>
  </si>
  <si>
    <t>부분허가</t>
    <phoneticPr fontId="2" type="noConversion"/>
  </si>
  <si>
    <t>가행정행위</t>
    <phoneticPr fontId="2" type="noConversion"/>
  </si>
  <si>
    <t>대인적 행정행위</t>
    <phoneticPr fontId="2" type="noConversion"/>
  </si>
  <si>
    <t>대물적 행정행위</t>
    <phoneticPr fontId="2" type="noConversion"/>
  </si>
  <si>
    <t>혼합적 행정행위</t>
    <phoneticPr fontId="2" type="noConversion"/>
  </si>
  <si>
    <t>행정행위 내용에 따른 구분</t>
    <phoneticPr fontId="2" type="noConversion"/>
  </si>
  <si>
    <t>행정청의 의사 표시에 의하여 국민의 공법상 권리나 법률관계를 새롭게 설정하거나, 기존의 법률관계를 변경・보충하여 법적 효력을 완성시키는 법률행위적 행정행위</t>
    <phoneticPr fontId="2" type="noConversion"/>
  </si>
  <si>
    <t>행정벌</t>
    <phoneticPr fontId="2" type="noConversion"/>
  </si>
  <si>
    <t>과거의 행정법상 의무 위반 행위에 대하여 제재와 응징을 목적으로 부과되는 벌칙을 의미한다.</t>
    <phoneticPr fontId="2" type="noConversion"/>
  </si>
  <si>
    <t>죄형법정주의</t>
    <phoneticPr fontId="2" type="noConversion"/>
  </si>
  <si>
    <t>법률주의</t>
    <phoneticPr fontId="2" type="noConversion"/>
  </si>
  <si>
    <t>책임주의</t>
    <phoneticPr fontId="2" type="noConversion"/>
  </si>
  <si>
    <t>일사부재리 원칙</t>
    <phoneticPr fontId="2" type="noConversion"/>
  </si>
  <si>
    <t>이행강제금(집행벌)</t>
    <phoneticPr fontId="2" type="noConversion"/>
  </si>
  <si>
    <t>비대체적 작위 의무</t>
    <phoneticPr fontId="2" type="noConversion"/>
  </si>
  <si>
    <t>과징금</t>
    <phoneticPr fontId="2" type="noConversion"/>
  </si>
  <si>
    <t>부과금</t>
    <phoneticPr fontId="2" type="noConversion"/>
  </si>
  <si>
    <t>가산세</t>
    <phoneticPr fontId="2" type="noConversion"/>
  </si>
  <si>
    <t>가산금</t>
    <phoneticPr fontId="2" type="noConversion"/>
  </si>
  <si>
    <t>중가산금</t>
    <phoneticPr fontId="2" type="noConversion"/>
  </si>
  <si>
    <t>명단공표</t>
    <phoneticPr fontId="2" type="noConversion"/>
  </si>
  <si>
    <t>공급 거부</t>
    <phoneticPr fontId="2" type="noConversion"/>
  </si>
  <si>
    <t>행정법상의 의무 위반에 대하여 형법이 정하는 벌칙인 징역, 금고, 벌금, 구류, 과료, 몰수 등의 형사 처벌을 가하는 것을 말한다.</t>
    <phoneticPr fontId="2" type="noConversion"/>
  </si>
  <si>
    <t>처벌의 대상 행위와 벌칙의 종류는 법률로 명확히 규정되어야 한다는 원칙이다.</t>
    <phoneticPr fontId="2" type="noConversion"/>
  </si>
  <si>
    <t>고의 또는 과실이 없는 행위에 대해서는 벌을 부과할 수 없다는 원칙이다.</t>
    <phoneticPr fontId="2" type="noConversion"/>
  </si>
  <si>
    <t>한 번 판결이 확정된 사건에 대해서는 다시 처벌할 수 없다는 원칙이다.</t>
    <phoneticPr fontId="2" type="noConversion"/>
  </si>
  <si>
    <t>행정법상의 경미한 의무 위반에 대하여 과태료를 부과하는 것을 말한다.</t>
    <phoneticPr fontId="2" type="noConversion"/>
  </si>
  <si>
    <t>행정행위는 법률에 근거하여야 한다는 원칙이다.</t>
    <phoneticPr fontId="2" type="noConversion"/>
  </si>
  <si>
    <t>새로운 실효성 확보수단</t>
    <phoneticPr fontId="2" type="noConversion"/>
  </si>
  <si>
    <t>행정주체가 특정 사업의 수행에 필요한 비용을 충당하거나, 특정 공익 목적을 달성하기 위하여 특정 의무자나 수익자에게 부과하는 금전을 말한다.</t>
    <phoneticPr fontId="2" type="noConversion"/>
  </si>
  <si>
    <t>세법상 의무를 성실하게 이행하지 않은 경우, 세법에 따라 본세에 가산하여 징수하는 금액을 말한다.</t>
    <phoneticPr fontId="2" type="noConversion"/>
  </si>
  <si>
    <t>납부기한 미준수를 이유로 부과하는 연체 이자 성격의 금액을 말한다.</t>
    <phoneticPr fontId="2" type="noConversion"/>
  </si>
  <si>
    <t>행정주체가 법령상의 의무를 위반한 사실 또는 의무 불이행 사실을 공개하여 의무자에게 명예적 불이익을 줌으로써, 간접적으로 의무 이행을 압박하거나 재발을 방지하는 수단이다.</t>
    <phoneticPr fontId="2" type="noConversion"/>
  </si>
  <si>
    <t>행정주체의 허가, 인가, 특허 등 (관허)을 받아 영위하는 사업자가 법령상의 의무를 위반하거나 특정 조건을 충족하지 못할 경우, 행정청이 그 관허를 취소, 정지, 철회하는 것을 말한다.</t>
    <phoneticPr fontId="2" type="noConversion"/>
  </si>
  <si>
    <t>관허사업의 제한</t>
    <phoneticPr fontId="2" type="noConversion"/>
  </si>
  <si>
    <t>행정주체가 행정 목적을 달성하기 위하여 법령상의 의무를 위반한 자에게 전기, 수도, 가스 등 공공 서비스의 공급을 거부하거나 제한하는 행위를 말한다.</t>
    <phoneticPr fontId="2" type="noConversion"/>
  </si>
  <si>
    <t>납부 기한이 지난 후 일정 기간이 지나도 계속 납부하지 않을 경우, 가산금에 더하여 징수하는 금액을 말한다.</t>
    <phoneticPr fontId="2" type="noConversion"/>
  </si>
  <si>
    <t>행정법상의 의무 위반 행위를 통해 경제적 이익을 얻은 경우, 그 위반으로 얻은 이익을 박탈함과 동시에 의무 위반에 대한 제재(벌)를 가하기 위하여 부과하는 금전적 부담을 말한다.</t>
    <phoneticPr fontId="2" type="noConversion"/>
  </si>
  <si>
    <t>전통적인 행정강제나 행정벌만으로는 복잡하고 전문화된 현대 행정의 실효성을 확보하는 데 한계가 드러남에 따라 등장한 수단들을 말한다.</t>
    <phoneticPr fontId="2" type="noConversion"/>
  </si>
  <si>
    <t>행정청의 위법・부당한 처분으로 인해 권리나 이익이 침해된 자가 처분청에 그 시정을 구하는 신청을 말한다.</t>
    <phoneticPr fontId="2" type="noConversion"/>
  </si>
  <si>
    <t>취소심판</t>
    <phoneticPr fontId="2" type="noConversion"/>
  </si>
  <si>
    <t>무효등확인심판</t>
    <phoneticPr fontId="2" type="noConversion"/>
  </si>
  <si>
    <t>의무이행심판</t>
    <phoneticPr fontId="2" type="noConversion"/>
  </si>
  <si>
    <t>법원이 처분 등의 위법성 유무를 판단하기 위하여 사실 관계를 확정하고 법률을 해석・적용하는 절차를 말한다.</t>
    <phoneticPr fontId="2" type="noConversion"/>
  </si>
  <si>
    <t>법원이 소송 절차를 통해 사건을 심리한 후, 그 소송에 대한 최종적인 판단을 외부에 표시하는 행위를 말한다.</t>
    <phoneticPr fontId="2" type="noConversion"/>
  </si>
  <si>
    <t>형성력</t>
    <phoneticPr fontId="2" type="noConversion"/>
  </si>
  <si>
    <t>각하 재결</t>
    <phoneticPr fontId="2" type="noConversion"/>
  </si>
  <si>
    <t>기각 재결</t>
    <phoneticPr fontId="2" type="noConversion"/>
  </si>
  <si>
    <t>인용 재결</t>
    <phoneticPr fontId="2" type="noConversion"/>
  </si>
  <si>
    <t>행정소송의 일반론 개관</t>
    <phoneticPr fontId="2" type="noConversion"/>
  </si>
  <si>
    <t>행정소송의 유형</t>
    <phoneticPr fontId="2" type="noConversion"/>
  </si>
  <si>
    <t>필수 용어 정리</t>
    <phoneticPr fontId="2" type="noConversion"/>
  </si>
  <si>
    <t>법적 구속 정도에 따른 구분</t>
    <phoneticPr fontId="2" type="noConversion"/>
  </si>
  <si>
    <t>행정청의 처분의 효력 유무 또는 존재 여부의 확인을 구하는 행정심판이다.</t>
    <phoneticPr fontId="2" type="noConversion"/>
  </si>
  <si>
    <t>행정청의 위법 또는 부당한 거부처분이나 부작위에 대하여 일정한 처분을 하도록 의무의 이행을 구하는 행정심판이다.</t>
    <phoneticPr fontId="2" type="noConversion"/>
  </si>
  <si>
    <t>행정청의 위법・부당한 처분의 취소 또는 변경을 구하는 행정심판이다.</t>
    <phoneticPr fontId="2" type="noConversion"/>
  </si>
  <si>
    <t>재결</t>
    <phoneticPr fontId="2" type="noConversion"/>
  </si>
  <si>
    <t>행정심판의 청구에 대하여 행정심판위원회가 행하는 판단을 말한다.</t>
    <phoneticPr fontId="2" type="noConversion"/>
  </si>
  <si>
    <t>원처분주의</t>
    <phoneticPr fontId="2" type="noConversion"/>
  </si>
  <si>
    <t>행정심판을 거친 후 취소소송을 제기하는 경우, 원칙적으로 소송의 대상이 되는 것은 행정심판 청구의 대상이 되었던 원래의 행정처분이며, 재결 자체는 소송의 대상이 되지 않는다는 원칙이다.</t>
    <phoneticPr fontId="2" type="noConversion"/>
  </si>
  <si>
    <t>재결주의</t>
    <phoneticPr fontId="2" type="noConversion"/>
  </si>
  <si>
    <t>행정심판을 거친 경우 원처분을 완전히 배제하고 재결 자체만을 취소소송의 대상으로 삼아야 한다는 원칙이다.</t>
    <phoneticPr fontId="2" type="noConversion"/>
  </si>
  <si>
    <t>각하재결</t>
    <phoneticPr fontId="2" type="noConversion"/>
  </si>
  <si>
    <t>기각재결</t>
    <phoneticPr fontId="2" type="noConversion"/>
  </si>
  <si>
    <t>행정심판 청구가 제기 요건을 갖추지 못하였을 때 본안 심사를 거부하는 재결이다.</t>
    <phoneticPr fontId="2" type="noConversion"/>
  </si>
  <si>
    <t>행정심판 청구가 요건을 갖추었으나 청구의 이유가 없다고 판단하여 원처분의 적법성을 유지하는 재결이다.</t>
    <phoneticPr fontId="2" type="noConversion"/>
  </si>
  <si>
    <t>원처분의 전부 또는 일부를 취소하는 재결이다.</t>
    <phoneticPr fontId="2" type="noConversion"/>
  </si>
  <si>
    <t>인용재결(취소심판)</t>
    <phoneticPr fontId="2" type="noConversion"/>
  </si>
  <si>
    <t>인용재결(의무이행심판)</t>
    <phoneticPr fontId="2" type="noConversion"/>
  </si>
  <si>
    <t>행정청에게 특정 처분을 하라고 명령하는 내용을 가지는 재결이다.</t>
    <phoneticPr fontId="2" type="noConversion"/>
  </si>
  <si>
    <t>재결 고유 위법</t>
    <phoneticPr fontId="2" type="noConversion"/>
  </si>
  <si>
    <t xml:space="preserve"> 경업자 소송</t>
    <phoneticPr fontId="2" type="noConversion"/>
  </si>
  <si>
    <t xml:space="preserve"> 경원자 소송</t>
    <phoneticPr fontId="2" type="noConversion"/>
  </si>
  <si>
    <t xml:space="preserve"> 인인 소송</t>
    <phoneticPr fontId="2" type="noConversion"/>
  </si>
  <si>
    <t>취소소송을 제기하는 원고가 되어 본안 판결을 받을 수 있는 법률상의 자격을 말한다.</t>
    <phoneticPr fontId="2" type="noConversion"/>
  </si>
  <si>
    <t>기존 사업자가 경쟁 관계에 있는 제3자에게 행정청이 동일한 사업 허가를 내주었을 때, 그 허가 처분으로 인해 자신의 영업상 이익이 침해되었다고 주장하며 제기하는 소송이다.</t>
    <phoneticPr fontId="2" type="noConversion"/>
  </si>
  <si>
    <t>하나의 허가나 특허 등이 특정인에게만 가능하여 신청인 상호간에 경쟁 관계가 성립하는 경우, 자신이 배제되고 타인에게 허가된 처분의 취소를 구하는 소송이다.</t>
    <phoneticPr fontId="2" type="noConversion"/>
  </si>
  <si>
    <t>타인에게 행해진 처분이 인근 주민의 환경권, 일조권, 조망권 등 생활 이익을 침해할 때 제기하는 소송이다.</t>
    <phoneticPr fontId="2" type="noConversion"/>
  </si>
  <si>
    <t>당해 처분의 근거가 되는 법규 뿐만 아니라, 당해 처분과 관련된 모든 관계 법규를 포괄적으로 의미한다.</t>
    <phoneticPr fontId="2" type="noConversion"/>
  </si>
  <si>
    <t>법률 (법률상 이익에서의 범위)</t>
    <phoneticPr fontId="2" type="noConversion"/>
  </si>
  <si>
    <t>피고적격</t>
    <phoneticPr fontId="2" type="noConversion"/>
  </si>
  <si>
    <t>처분 당시 그 권한을 행사한 행정기관을 의미하며, 처분 후 기관의 장 등이 변경되어도 처분청 자체는 동일하다.</t>
    <phoneticPr fontId="2" type="noConversion"/>
  </si>
  <si>
    <t>처분청</t>
    <phoneticPr fontId="2" type="noConversion"/>
  </si>
  <si>
    <t>취소소송을 제기하는 경우 피고가 될 수 있는 법률상의 자격을 말한다. (원칙 : 원처분등을 자신의 이름으로 대외적으로 행한 행정청)</t>
    <phoneticPr fontId="2" type="noConversion"/>
  </si>
  <si>
    <t>권한의 위임・위탁</t>
  </si>
  <si>
    <t>법적 근거에 따라 행정청의 권한 자체가 수임청 또는 수탁청에 이전되는 것을 의미한다.</t>
    <phoneticPr fontId="2" type="noConversion"/>
  </si>
  <si>
    <t>권한의 내부위임</t>
    <phoneticPr fontId="2" type="noConversion"/>
  </si>
  <si>
    <t>권한 자체의 이전 없이 위임청의 결재 권한을 수임청 등에게 내부적으로 부여하는 것을 의미한다. (대외적 처분 권한은 위임청에 존재)</t>
    <phoneticPr fontId="2" type="noConversion"/>
  </si>
  <si>
    <t>피고경정</t>
    <phoneticPr fontId="2" type="noConversion"/>
  </si>
  <si>
    <t>원고가 처음 소송을 제기할 때 피고적격이 없는 자를 피고로 잘못 지정하거나, 피고적격은 있으나 다른 자가 피고로 되어야 할 경우, 법원의 허가를 받아 정당한 피고로 변경하는 것을 말한다.</t>
    <phoneticPr fontId="2" type="noConversion"/>
  </si>
  <si>
    <t>소의 이익</t>
    <phoneticPr fontId="2" type="noConversion"/>
  </si>
  <si>
    <t>회복되는 법률상 이익</t>
    <phoneticPr fontId="2" type="noConversion"/>
  </si>
  <si>
    <t>원고가 취소소송을 통해 본안 판결을 받아 자신이 주장하는 권리 또는 법률상 이익을 구제받을 필요성을 말한다.</t>
    <phoneticPr fontId="2" type="noConversion"/>
  </si>
  <si>
    <t>취소 판결의 결과로 원고에게 돌아가는 이익을 의미한다. 단순히 사실상 이익이나 감정적 만족을 넘어 법적으로 보호되는 가치를 가져야 한다.</t>
    <phoneticPr fontId="2" type="noConversion"/>
  </si>
  <si>
    <t>소송참가</t>
    <phoneticPr fontId="2" type="noConversion"/>
  </si>
  <si>
    <t>취소소송이 법원에 계속되어 있는 중에 당사자 이외의 제3자 또는 관련 행정청이 자신의 이익을 위하여 소송에 가입하는 것을 말한다.</t>
    <phoneticPr fontId="2" type="noConversion"/>
  </si>
  <si>
    <t>제3자의 소송참가</t>
    <phoneticPr fontId="2" type="noConversion"/>
  </si>
  <si>
    <t>행정청의 소송참가</t>
    <phoneticPr fontId="2" type="noConversion"/>
  </si>
  <si>
    <t>당해 처분의 근거 법규 및 관련 법규에 의하여 보호되는 개별적・구체적 이익을 말한다. (법적 이익구제설)</t>
    <phoneticPr fontId="2" type="noConversion"/>
  </si>
  <si>
    <t>특정인에게 수익적인 처분을 함과 동시에 제3자에게는 침익적인 효과를 발생시키는 행정행위를 말한다. (복효적 행정행위)</t>
    <phoneticPr fontId="2" type="noConversion"/>
  </si>
  <si>
    <t>취소소송의 결과에 따라 권리 또는 이익의 침해를 받을 제3자가 스스로 원고나 피고 측에 가담하여 소송에 참여하는 것을 말한다.</t>
    <phoneticPr fontId="2" type="noConversion"/>
  </si>
  <si>
    <t>취소소송의 결과 제3자의 법률상 지위에 직접적인 영향을 미칠 가능성이 있어야 하며, 단순한 사실상 이익 또는 경제적 이해관계의 손실만으로는 참가 요건이 충족되지 않는다.</t>
    <phoneticPr fontId="2" type="noConversion"/>
  </si>
  <si>
    <t>권리 또는 이익의 침해</t>
    <phoneticPr fontId="2" type="noConversion"/>
  </si>
  <si>
    <t>취소소송의 결과에 따라 권한이 침해되거나 법률상 이익이 영향을 받을 다른 행정청이 소송에 참여하는 것을 말한다.</t>
    <phoneticPr fontId="2" type="noConversion"/>
  </si>
  <si>
    <t>세부 사항</t>
    <phoneticPr fontId="2" type="noConversion"/>
  </si>
  <si>
    <t>글자수</t>
    <phoneticPr fontId="2" type="noConversion"/>
  </si>
  <si>
    <t>무효확인청구와 취소청구의 병합 가능성 및 두 청구의 관계에 따른 판례의 입장</t>
    <phoneticPr fontId="2" type="noConversion"/>
  </si>
  <si>
    <t>무효확인소송에서 사정판결의 준용 여부 및 사안에 대한 판단</t>
    <phoneticPr fontId="2" type="noConversion"/>
  </si>
  <si>
    <t>★</t>
    <phoneticPr fontId="2" type="noConversion"/>
  </si>
  <si>
    <t>당사자소송</t>
    <phoneticPr fontId="2" type="noConversion"/>
  </si>
  <si>
    <t>불가변력</t>
    <phoneticPr fontId="2" type="noConversion"/>
  </si>
  <si>
    <t>간접강제</t>
    <phoneticPr fontId="2" type="noConversion"/>
  </si>
  <si>
    <t>민중소송</t>
    <phoneticPr fontId="2" type="noConversion"/>
  </si>
  <si>
    <t>기관소송</t>
    <phoneticPr fontId="2" type="noConversion"/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</si>
  <si>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</si>
  <si>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</si>
  <si>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</si>
  <si>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No</t>
    <phoneticPr fontId="2" type="noConversion"/>
  </si>
  <si>
    <t>년도</t>
    <phoneticPr fontId="2" type="noConversion"/>
  </si>
  <si>
    <t>번호</t>
    <phoneticPr fontId="2" type="noConversion"/>
  </si>
  <si>
    <t>문제 주제</t>
    <phoneticPr fontId="2" type="noConversion"/>
  </si>
  <si>
    <t>비고</t>
    <phoneticPr fontId="2" type="noConversion"/>
  </si>
  <si>
    <t>정렬 기준</t>
    <phoneticPr fontId="2" type="noConversion"/>
  </si>
  <si>
    <t>년↓</t>
    <phoneticPr fontId="2" type="noConversion"/>
  </si>
  <si>
    <t>년↑</t>
    <phoneticPr fontId="2" type="noConversion"/>
  </si>
  <si>
    <t>3</t>
    <phoneticPr fontId="2" type="noConversion"/>
  </si>
  <si>
    <t>1</t>
    <phoneticPr fontId="2" type="noConversion"/>
  </si>
  <si>
    <t>01</t>
    <phoneticPr fontId="2" type="noConversion"/>
  </si>
  <si>
    <t>2</t>
    <phoneticPr fontId="2" type="noConversion"/>
  </si>
  <si>
    <t>02</t>
    <phoneticPr fontId="2" type="noConversion"/>
  </si>
  <si>
    <t>제02절 행정소송의 유형</t>
    <phoneticPr fontId="2" type="noConversion"/>
  </si>
  <si>
    <t>03</t>
    <phoneticPr fontId="2" type="noConversion"/>
  </si>
  <si>
    <t>1-2</t>
    <phoneticPr fontId="2" type="noConversion"/>
  </si>
  <si>
    <t>제03절 행정소송의 한계</t>
  </si>
  <si>
    <t>제02장 취소소송의 대상적격</t>
    <phoneticPr fontId="2" type="noConversion"/>
  </si>
  <si>
    <t>17</t>
    <phoneticPr fontId="2" type="noConversion"/>
  </si>
  <si>
    <t>제01절 소송요건의 일반론</t>
    <phoneticPr fontId="2" type="noConversion"/>
  </si>
  <si>
    <t>18</t>
    <phoneticPr fontId="2" type="noConversion"/>
  </si>
  <si>
    <t>제02절 처분</t>
  </si>
  <si>
    <t>4</t>
    <phoneticPr fontId="2" type="noConversion"/>
  </si>
  <si>
    <t>04</t>
  </si>
  <si>
    <t>1-1</t>
    <phoneticPr fontId="2" type="noConversion"/>
  </si>
  <si>
    <t>09</t>
    <phoneticPr fontId="2" type="noConversion"/>
  </si>
  <si>
    <t>11</t>
    <phoneticPr fontId="2" type="noConversion"/>
  </si>
  <si>
    <t>04</t>
    <phoneticPr fontId="2" type="noConversion"/>
  </si>
  <si>
    <t>13</t>
    <phoneticPr fontId="2" type="noConversion"/>
  </si>
  <si>
    <t>05</t>
    <phoneticPr fontId="2" type="noConversion"/>
  </si>
  <si>
    <t>15</t>
  </si>
  <si>
    <t>06</t>
    <phoneticPr fontId="2" type="noConversion"/>
  </si>
  <si>
    <t>9</t>
    <phoneticPr fontId="2" type="noConversion"/>
  </si>
  <si>
    <t>16</t>
  </si>
  <si>
    <t>07</t>
    <phoneticPr fontId="2" type="noConversion"/>
  </si>
  <si>
    <t>제03절 재결</t>
  </si>
  <si>
    <t>5</t>
    <phoneticPr fontId="2" type="noConversion"/>
  </si>
  <si>
    <t>03</t>
  </si>
  <si>
    <t>2017-3 참조</t>
    <phoneticPr fontId="2" type="noConversion"/>
  </si>
  <si>
    <t>05</t>
  </si>
  <si>
    <t>6</t>
    <phoneticPr fontId="2" type="noConversion"/>
  </si>
  <si>
    <t>06</t>
  </si>
  <si>
    <t>08</t>
    <phoneticPr fontId="2" type="noConversion"/>
  </si>
  <si>
    <t>10</t>
    <phoneticPr fontId="2" type="noConversion"/>
  </si>
  <si>
    <t>12</t>
    <phoneticPr fontId="2" type="noConversion"/>
  </si>
  <si>
    <t>14</t>
    <phoneticPr fontId="2" type="noConversion"/>
  </si>
  <si>
    <t>적정한 카테고리 없음</t>
    <phoneticPr fontId="2" type="noConversion"/>
  </si>
  <si>
    <t>제03장 취소소송의 당사자적격</t>
    <phoneticPr fontId="2" type="noConversion"/>
  </si>
  <si>
    <t>제01절 원고적격</t>
  </si>
  <si>
    <t>8</t>
    <phoneticPr fontId="2" type="noConversion"/>
  </si>
  <si>
    <t>제02절 피고적격</t>
  </si>
  <si>
    <t>7</t>
    <phoneticPr fontId="2" type="noConversion"/>
  </si>
  <si>
    <t>제03절 권리보호의 필요(협의의 소의 이익)</t>
  </si>
  <si>
    <t>2-2</t>
    <phoneticPr fontId="2" type="noConversion"/>
  </si>
  <si>
    <t>1-1-2</t>
    <phoneticPr fontId="2" type="noConversion"/>
  </si>
  <si>
    <t>제04장 취소소송의 기타 소송요건</t>
    <phoneticPr fontId="2" type="noConversion"/>
  </si>
  <si>
    <t>제01절 행정심판전치주의</t>
  </si>
  <si>
    <t>2-1</t>
    <phoneticPr fontId="2" type="noConversion"/>
  </si>
  <si>
    <t>10</t>
  </si>
  <si>
    <t>제02절 제소기간</t>
    <phoneticPr fontId="2" type="noConversion"/>
  </si>
  <si>
    <t>제03절 관할법원</t>
  </si>
  <si>
    <t>제05장 취소소송의 심리</t>
    <phoneticPr fontId="2" type="noConversion"/>
  </si>
  <si>
    <t>제01절 심리</t>
    <phoneticPr fontId="2" type="noConversion"/>
  </si>
  <si>
    <t>제02절 위법성 판단의 기준시</t>
  </si>
  <si>
    <t>제03절 처분사유의 추가・변경</t>
  </si>
  <si>
    <t>제06장 취소소송의 종료</t>
    <phoneticPr fontId="2" type="noConversion"/>
  </si>
  <si>
    <t>제01절 법원의 판결</t>
  </si>
  <si>
    <t>제02절 판결의 효력</t>
  </si>
  <si>
    <t>1-3</t>
    <phoneticPr fontId="2" type="noConversion"/>
  </si>
  <si>
    <t>07</t>
  </si>
  <si>
    <t>제03절 재심</t>
  </si>
  <si>
    <t>제04절 취소소송의 종료 사유</t>
    <phoneticPr fontId="2" type="noConversion"/>
  </si>
  <si>
    <t>제07장 취소소송의 가구제</t>
    <phoneticPr fontId="2" type="noConversion"/>
  </si>
  <si>
    <t>제01절 집행정지</t>
  </si>
  <si>
    <t>제02절 가처분</t>
    <phoneticPr fontId="2" type="noConversion"/>
  </si>
  <si>
    <t>제08장 청구의 병합과 소의 변경</t>
    <phoneticPr fontId="2" type="noConversion"/>
  </si>
  <si>
    <t>제02절 소의 변경</t>
    <phoneticPr fontId="2" type="noConversion"/>
  </si>
  <si>
    <t>제02절 무효등 확인소송의 요건</t>
  </si>
  <si>
    <t>제04절 무효등 확인소송의 종료</t>
    <phoneticPr fontId="2" type="noConversion"/>
  </si>
  <si>
    <t>제05절 취소소송과의 관계</t>
  </si>
  <si>
    <t>제06절 가구제</t>
    <phoneticPr fontId="2" type="noConversion"/>
  </si>
  <si>
    <t>제07절 청구의 병합과 소의 변경</t>
    <phoneticPr fontId="2" type="noConversion"/>
  </si>
  <si>
    <t>제10장 부작위위법확인소송 및 기타소송</t>
  </si>
  <si>
    <t>제01절 부작위위법확인소송</t>
  </si>
  <si>
    <t>부작위위법확인소송</t>
    <phoneticPr fontId="2" type="noConversion"/>
  </si>
  <si>
    <t>1-1-1</t>
    <phoneticPr fontId="2" type="noConversion"/>
  </si>
  <si>
    <t>제02절 당사자소송</t>
  </si>
  <si>
    <t>제10장 부작위위법확인소송 및 기타소송</t>
    <phoneticPr fontId="2" type="noConversion"/>
  </si>
  <si>
    <t>제04절 기관소송</t>
  </si>
  <si>
    <t>제11장 행정심판의 일반론</t>
  </si>
  <si>
    <t>제01절 서설</t>
  </si>
  <si>
    <t>제02절 행정심판의 종류</t>
  </si>
  <si>
    <t>제03절 고지제도</t>
    <phoneticPr fontId="2" type="noConversion"/>
  </si>
  <si>
    <t>제01절 행정심판의 대상적격</t>
    <phoneticPr fontId="2" type="noConversion"/>
  </si>
  <si>
    <t>제02절 행정심판의 당사자적격</t>
    <phoneticPr fontId="2" type="noConversion"/>
  </si>
  <si>
    <t>제02절 행정심판의 당사자적격</t>
  </si>
  <si>
    <t>제03절 행정심판의 청구</t>
    <phoneticPr fontId="2" type="noConversion"/>
  </si>
  <si>
    <t>제04절 행정심판기관</t>
  </si>
  <si>
    <t>제12장 행정심판의 청구요건 및 가구제</t>
  </si>
  <si>
    <t>제05절 가구제</t>
    <phoneticPr fontId="2" type="noConversion"/>
  </si>
  <si>
    <t>제13장 행정심판의 심리・재결</t>
  </si>
  <si>
    <t>법원의 판결</t>
    <phoneticPr fontId="2" type="noConversion"/>
  </si>
  <si>
    <t>소송판결</t>
    <phoneticPr fontId="2" type="noConversion"/>
  </si>
  <si>
    <t xml:space="preserve"> 각하판결</t>
    <phoneticPr fontId="2" type="noConversion"/>
  </si>
  <si>
    <t>본안판결</t>
    <phoneticPr fontId="2" type="noConversion"/>
  </si>
  <si>
    <t xml:space="preserve"> 기각판결</t>
    <phoneticPr fontId="2" type="noConversion"/>
  </si>
  <si>
    <t xml:space="preserve"> 인용판결</t>
    <phoneticPr fontId="2" type="noConversion"/>
  </si>
  <si>
    <t xml:space="preserve"> 사정판결</t>
    <phoneticPr fontId="2" type="noConversion"/>
  </si>
  <si>
    <t>불가쟁력</t>
    <phoneticPr fontId="2" type="noConversion"/>
  </si>
  <si>
    <t xml:space="preserve"> 간접강제</t>
    <phoneticPr fontId="2" type="noConversion"/>
  </si>
  <si>
    <t>재심</t>
    <phoneticPr fontId="2" type="noConversion"/>
  </si>
  <si>
    <t>제3자의 재심청구적격자</t>
    <phoneticPr fontId="2" type="noConversion"/>
  </si>
  <si>
    <t>제3자</t>
    <phoneticPr fontId="2" type="noConversion"/>
  </si>
  <si>
    <t>소의 취하</t>
    <phoneticPr fontId="2" type="noConversion"/>
  </si>
  <si>
    <t>청구의 포기</t>
    <phoneticPr fontId="2" type="noConversion"/>
  </si>
  <si>
    <t>청구의 인낙</t>
    <phoneticPr fontId="2" type="noConversion"/>
  </si>
  <si>
    <t>소송상 화해</t>
    <phoneticPr fontId="2" type="noConversion"/>
  </si>
  <si>
    <t>조정</t>
    <phoneticPr fontId="2" type="noConversion"/>
  </si>
  <si>
    <t>법령</t>
    <phoneticPr fontId="2" type="noConversion"/>
  </si>
  <si>
    <t>시행령</t>
    <phoneticPr fontId="2" type="noConversion"/>
  </si>
  <si>
    <t>시행규칙</t>
    <phoneticPr fontId="2" type="noConversion"/>
  </si>
  <si>
    <t>행정소송법</t>
    <phoneticPr fontId="2" type="noConversion"/>
  </si>
  <si>
    <t>행정심판법</t>
    <phoneticPr fontId="2" type="noConversion"/>
  </si>
  <si>
    <t>파일</t>
    <phoneticPr fontId="2" type="noConversion"/>
  </si>
  <si>
    <t>민사소송법</t>
    <phoneticPr fontId="2" type="noConversion"/>
  </si>
  <si>
    <t>취소소송의 심리를 종료하면서 법원이 그 결과에 따라 최종적으로 내리는 재판 형식이다.</t>
    <phoneticPr fontId="2" type="noConversion"/>
  </si>
  <si>
    <t>법원이 취소소송의 소송요건을 심리한 결과, 원고 적격, 협의의 소익, 제소 기간 등의 소송요건이 결여되거나 흠결이 있어 본안에 대한 심리를 하지 않고 소송 절차를 종료시키는 판결 형식이다.</t>
    <phoneticPr fontId="2" type="noConversion"/>
  </si>
  <si>
    <t>처분의 위법성 유무에 대한 판단 없이 원고의 청구 자체를 배척하는 판결이다.</t>
    <phoneticPr fontId="2" type="noConversion"/>
  </si>
  <si>
    <t>법원이 취소소송의 소송요건이 모두 적법하게 갖추어졌다고 인정하여 처분의 위법성 유무에 대한 실질적인 심리를 거쳐 내리는 판결이다.</t>
    <phoneticPr fontId="2" type="noConversion"/>
  </si>
  <si>
    <t>원고의 청구가 이유 없는 경우 내리는 판결이다.</t>
    <phoneticPr fontId="2" type="noConversion"/>
  </si>
  <si>
    <t>원고의 청구가 이유 있다고 인정하여 처분을 취소하는 판결이다.</t>
    <phoneticPr fontId="2" type="noConversion"/>
  </si>
  <si>
    <t>처분이 위법함에도 공익적 이유로 청구를 기각하는 판결이다.</t>
    <phoneticPr fontId="2" type="noConversion"/>
  </si>
  <si>
    <t>일단 법원이 판결을 선고하거나 고지하면, 그 판결을 선고한 법원 스스로는 그 판결을 취소하거나 변경할 수 없게 되는 효력을 말한다.</t>
    <phoneticPr fontId="2" type="noConversion"/>
  </si>
  <si>
    <t>확정된 종국 판결의 판단 내용이 소송 당사자와 후소 법원을 구속하여, 당사자가 후소에서 이에 모순되는 주장을 할 수 없게 하고, 법원도 이에 반하는 판단을 할 수 없게 하는 효력을 말한다.</t>
    <phoneticPr fontId="2" type="noConversion"/>
  </si>
  <si>
    <t>상소기간이 경과하거나 당사자가 상소를 포기한 경우 또는 모든 심급을 거친 경우 당해 판결이 그 소송절차 내에서의 취소・변경 가능성을 상실하는 효력을 말한다.</t>
    <phoneticPr fontId="2" type="noConversion"/>
  </si>
  <si>
    <t>판결이 확정되면, 그 판결의 효력이 처분의 법률 관계를 형성적으로 변경시켜 원처분을 실효시키는 효력을 말한다.</t>
    <phoneticPr fontId="2" type="noConversion"/>
  </si>
  <si>
    <t>판결이 확정되면, 그 판결의 내용에 따라 행정청과 그 밖의 관계 행정청이 동일한 사안에 대하여 반복되는 위법 행위를 할 수 없도록 구속하는 효력을 말한다.</t>
    <phoneticPr fontId="2" type="noConversion"/>
  </si>
  <si>
    <t>배상금을 명하는 등의 방식으로 행정청을 압박하여 재처분을 이행하도록 하는 제도이다.</t>
    <phoneticPr fontId="2" type="noConversion"/>
  </si>
  <si>
    <t>이미 확정된 종국 판결에 대하여 재심 사유를 이유로 그 판결의 취소와 사건의 재심판을 구하는 비상적인 불복 방법이다.</t>
    <phoneticPr fontId="2" type="noConversion"/>
  </si>
  <si>
    <t>처분등을 취소하는 판결에 의하여 자신의 권리 또는 법률상 이익의 침해를 받은 제3자를 말한다.</t>
    <phoneticPr fontId="2" type="noConversion"/>
  </si>
  <si>
    <t>당해 소송의 원고나 피고 등 소송 당사자가 아닌 자로서, 소송이 진행되는 동안 책임 없는 사유로 소송에 참가하지 못한 자를 의미한다.</t>
    <phoneticPr fontId="2" type="noConversion"/>
  </si>
  <si>
    <t>책임 없는 사유</t>
    <phoneticPr fontId="2" type="noConversion"/>
  </si>
  <si>
    <t>제3자에게 소송 참가의 기회가 있었음에도 불구하고 소송이 진행되는 사실을 알지 못하였거나, 소송에 참가하지 못한 것에 대하여 제3자에게 고의나 과실이 없었음을 의미한다.</t>
    <phoneticPr fontId="2" type="noConversion"/>
  </si>
  <si>
    <t>원고가 제기한 소송의 전부 또는 일부를 철회하는 법원에 대한 일방적인 의사표시이다.</t>
    <phoneticPr fontId="2" type="noConversion"/>
  </si>
  <si>
    <t>원고가 자기의 청구가 이유 없음을 스스로 인정하는 법원에 대한 일방적인 의사표시로, 원고 패소 판결(청구 기각)과 동일한 효과를 가진다.</t>
    <phoneticPr fontId="2" type="noConversion"/>
  </si>
  <si>
    <t>피고가 원고의 청구가 이유 있음을 스스로 인정하는 법원에 대한 일방적인 의사표시로, 원고 승소 판결(청구 인용)과 동일한 효과를 가진다.</t>
    <phoneticPr fontId="2" type="noConversion"/>
  </si>
  <si>
    <t>소송 계속 중 당사자 쌍방이 상호 양보하여 소송물인 권리관계에 관한 다툼을 해결하는 합의를 의미한다.</t>
    <phoneticPr fontId="2" type="noConversion"/>
  </si>
  <si>
    <t>법원의 관여 하에 당사자 쌍방의 양보를 통해 분쟁을 해결하는 절차이다.</t>
    <phoneticPr fontId="2" type="noConversion"/>
  </si>
  <si>
    <t>민사집행법</t>
    <phoneticPr fontId="2" type="noConversion"/>
  </si>
  <si>
    <t>집행정지</t>
    <phoneticPr fontId="2" type="noConversion"/>
  </si>
  <si>
    <t>회복하기 어려운 손해</t>
    <phoneticPr fontId="2" type="noConversion"/>
  </si>
  <si>
    <t>처분의 효력정지</t>
    <phoneticPr fontId="2" type="noConversion"/>
  </si>
  <si>
    <t>처분의 집행정지</t>
    <phoneticPr fontId="2" type="noConversion"/>
  </si>
  <si>
    <t>절차의 속행정지</t>
    <phoneticPr fontId="2" type="noConversion"/>
  </si>
  <si>
    <t>가처분</t>
    <phoneticPr fontId="2" type="noConversion"/>
  </si>
  <si>
    <t>관련청구소송의 병합</t>
    <phoneticPr fontId="2" type="noConversion"/>
  </si>
  <si>
    <t xml:space="preserve"> 단순 병합</t>
    <phoneticPr fontId="2" type="noConversion"/>
  </si>
  <si>
    <t xml:space="preserve"> 선택적 병합</t>
    <phoneticPr fontId="2" type="noConversion"/>
  </si>
  <si>
    <t xml:space="preserve"> 예비적 병합</t>
    <phoneticPr fontId="2" type="noConversion"/>
  </si>
  <si>
    <t>관련청구소송의 이송</t>
    <phoneticPr fontId="2" type="noConversion"/>
  </si>
  <si>
    <t>이송 결정의 기속력</t>
    <phoneticPr fontId="2" type="noConversion"/>
  </si>
  <si>
    <t>소의 변경</t>
    <phoneticPr fontId="2" type="noConversion"/>
  </si>
  <si>
    <t>행정소송이 제기된 처분의 효력이나 그 집행, 또는 절차의 속행을 종국 판결이 있을 때까지 잠정적으로 정지시키는 제도를 말한다.</t>
    <phoneticPr fontId="2" type="noConversion"/>
  </si>
  <si>
    <t>금전으로 보상이 불가능하거나, 금전 보상으로는 충분한 구제를 받을 수 없는 유・무형의 손해를 의미한다.</t>
    <phoneticPr fontId="2" type="noConversion"/>
  </si>
  <si>
    <t>처분의 법률적 효과 발생을 잠정적으로 정지시키는 것을 말한다.</t>
    <phoneticPr fontId="2" type="noConversion"/>
  </si>
  <si>
    <t>처분으로 인해 발생한 집행 행위 또는 강제 집행 절차를 잠정적으로 정지시키는 것을 말한다.</t>
    <phoneticPr fontId="2" type="noConversion"/>
  </si>
  <si>
    <t>처분으로 인해 후속적으로 이어지는 행정 절차의 진행을 잠정적으로 정지시키는 것을 말한다.</t>
    <phoneticPr fontId="2" type="noConversion"/>
  </si>
  <si>
    <t>판례</t>
  </si>
  <si>
    <t>행정소송에 관련된 민사소송이나 다른 행정소송을 함께 심리하고 재판하기 위해 하나의 소송 절차에 결합시키는 제도를 말한다.</t>
    <phoneticPr fontId="2" type="noConversion"/>
  </si>
  <si>
    <t>관련청구소송의 병합・이송</t>
    <phoneticPr fontId="2" type="noConversion"/>
  </si>
  <si>
    <t>제01절 관련청구소송의 병합・이송</t>
    <phoneticPr fontId="2" type="noConversion"/>
  </si>
  <si>
    <t>사정판결</t>
    <phoneticPr fontId="2" type="noConversion"/>
  </si>
  <si>
    <t>장/문제No/판례번호</t>
    <phoneticPr fontId="2" type="noConversion"/>
  </si>
  <si>
    <t>절/문제주제/판례주제</t>
    <phoneticPr fontId="2" type="noConversion"/>
  </si>
  <si>
    <t>행정기본법</t>
    <phoneticPr fontId="2" type="noConversion"/>
  </si>
  <si>
    <t>행정법 관계의 서설</t>
    <phoneticPr fontId="2" type="noConversion"/>
  </si>
  <si>
    <t>무효등</t>
    <phoneticPr fontId="2" type="noConversion"/>
  </si>
  <si>
    <t>무효확인소송</t>
    <phoneticPr fontId="2" type="noConversion"/>
  </si>
  <si>
    <t>유효확인소송</t>
    <phoneticPr fontId="2" type="noConversion"/>
  </si>
  <si>
    <t>부존재확인소송</t>
    <phoneticPr fontId="2" type="noConversion"/>
  </si>
  <si>
    <t>실효확인소송</t>
    <phoneticPr fontId="2" type="noConversion"/>
  </si>
  <si>
    <t>대상적격</t>
    <phoneticPr fontId="2" type="noConversion"/>
  </si>
  <si>
    <t>처분</t>
    <phoneticPr fontId="2" type="noConversion"/>
  </si>
  <si>
    <t>법률상 이익이 있는 자</t>
    <phoneticPr fontId="2" type="noConversion"/>
  </si>
  <si>
    <t>권리보호의 필요성</t>
    <phoneticPr fontId="2" type="noConversion"/>
  </si>
  <si>
    <t>주장책임</t>
    <phoneticPr fontId="2" type="noConversion"/>
  </si>
  <si>
    <t>입증책임</t>
    <phoneticPr fontId="2" type="noConversion"/>
  </si>
  <si>
    <t>위법성 판단의 기준 시</t>
    <phoneticPr fontId="2" type="noConversion"/>
  </si>
  <si>
    <t>주위적 청구</t>
    <phoneticPr fontId="2" type="noConversion"/>
  </si>
  <si>
    <t>예비적 청구</t>
    <phoneticPr fontId="2" type="noConversion"/>
  </si>
  <si>
    <t>중대성</t>
    <phoneticPr fontId="2" type="noConversion"/>
  </si>
  <si>
    <t>명백성</t>
    <phoneticPr fontId="2" type="noConversion"/>
  </si>
  <si>
    <t>관련청구소송</t>
    <phoneticPr fontId="2" type="noConversion"/>
  </si>
  <si>
    <t>부작위위법확인소송과 행정심판전치주의의 관계</t>
    <phoneticPr fontId="2" type="noConversion"/>
  </si>
  <si>
    <t>일반행정심판</t>
    <phoneticPr fontId="2" type="noConversion"/>
  </si>
  <si>
    <t xml:space="preserve"> 취소심판</t>
    <phoneticPr fontId="2" type="noConversion"/>
  </si>
  <si>
    <t xml:space="preserve"> 무효등확인심판</t>
    <phoneticPr fontId="2" type="noConversion"/>
  </si>
  <si>
    <t xml:space="preserve"> 의무이행심판</t>
    <phoneticPr fontId="2" type="noConversion"/>
  </si>
  <si>
    <t>특별행정심판</t>
    <phoneticPr fontId="2" type="noConversion"/>
  </si>
  <si>
    <t>집행정지[행심법 제30조]</t>
    <phoneticPr fontId="2" type="noConversion"/>
  </si>
  <si>
    <t>임시처분[행심법 제31조]</t>
    <phoneticPr fontId="2" type="noConversion"/>
  </si>
  <si>
    <t>행정심판위원회의 처분등으로 인해 중대한 손해발생이 예상될 경우 당사자 신청 또는 직권으로 처분등의 효력, 집행, 절차 속행의 전부 또는 일부를 정지하는 결정을 말한다.</t>
    <phoneticPr fontId="2" type="noConversion"/>
  </si>
  <si>
    <t>행정청의 처분 또는 부작위로 인하여 당사자에게 발생할 수 있는 중대한 불이익이나 급박한 위험을 막기 위하여, 당사자에게 임시지위를 부여하는 행정심판위원회의 결정을 의미한다.</t>
    <phoneticPr fontId="2" type="noConversion"/>
  </si>
  <si>
    <t>민사소송의 대상</t>
    <phoneticPr fontId="2" type="noConversion"/>
  </si>
  <si>
    <t>행정소송의 대상</t>
    <phoneticPr fontId="2" type="noConversion"/>
  </si>
  <si>
    <t>사인 상호간의 대등한 사법 관계에 대한 분쟁이다.</t>
    <phoneticPr fontId="2" type="noConversion"/>
  </si>
  <si>
    <t>행정주체가 공권력을 행사하는 우월적 지위에서 행한 행정처분이다.</t>
    <phoneticPr fontId="2" type="noConversion"/>
  </si>
  <si>
    <t>권리구제기능</t>
    <phoneticPr fontId="2" type="noConversion"/>
  </si>
  <si>
    <t>행정통제기능</t>
    <phoneticPr fontId="2" type="noConversion"/>
  </si>
  <si>
    <t>상당한 기간</t>
    <phoneticPr fontId="2" type="noConversion"/>
  </si>
  <si>
    <t>실질적 당사자소송</t>
    <phoneticPr fontId="2" type="noConversion"/>
  </si>
  <si>
    <t>형식적 당사자소송</t>
    <phoneticPr fontId="2" type="noConversion"/>
  </si>
  <si>
    <t>공법상의 법률관계</t>
    <phoneticPr fontId="2" type="noConversion"/>
  </si>
  <si>
    <t>가집행선고</t>
    <phoneticPr fontId="2" type="noConversion"/>
  </si>
  <si>
    <t>고지제도</t>
    <phoneticPr fontId="2" type="noConversion"/>
  </si>
  <si>
    <t xml:space="preserve"> 청구에 의한 고지</t>
    <phoneticPr fontId="2" type="noConversion"/>
  </si>
  <si>
    <t>행정심판의 대상적격</t>
    <phoneticPr fontId="2" type="noConversion"/>
  </si>
  <si>
    <t>처분[행심법 제2조 제1호]</t>
    <phoneticPr fontId="2" type="noConversion"/>
  </si>
  <si>
    <t>거부처분</t>
    <phoneticPr fontId="2" type="noConversion"/>
  </si>
  <si>
    <t>부작위</t>
    <phoneticPr fontId="2" type="noConversion"/>
  </si>
  <si>
    <t>청구인</t>
    <phoneticPr fontId="2" type="noConversion"/>
  </si>
  <si>
    <t>청구인적격</t>
    <phoneticPr fontId="2" type="noConversion"/>
  </si>
  <si>
    <t>피청구인</t>
    <phoneticPr fontId="2" type="noConversion"/>
  </si>
  <si>
    <t>참가인</t>
    <phoneticPr fontId="2" type="noConversion"/>
  </si>
  <si>
    <t>청구인이 피청구인을 잘못 지정한 경우, 올바른 피청구인으로 당사자를 바꾸는 절차를 말한다.</t>
    <phoneticPr fontId="2" type="noConversion"/>
  </si>
  <si>
    <t>피청구인 경정</t>
    <phoneticPr fontId="2" type="noConversion"/>
  </si>
  <si>
    <t>행정소송의 내용에 따른 분류</t>
    <phoneticPr fontId="2" type="noConversion"/>
  </si>
  <si>
    <t xml:space="preserve"> 주관적 소송</t>
    <phoneticPr fontId="2" type="noConversion"/>
  </si>
  <si>
    <t xml:space="preserve">  항고소송</t>
    <phoneticPr fontId="2" type="noConversion"/>
  </si>
  <si>
    <t xml:space="preserve">  당사자소송</t>
    <phoneticPr fontId="2" type="noConversion"/>
  </si>
  <si>
    <t xml:space="preserve"> 객관적 소송</t>
    <phoneticPr fontId="2" type="noConversion"/>
  </si>
  <si>
    <t xml:space="preserve">  민중소송</t>
    <phoneticPr fontId="2" type="noConversion"/>
  </si>
  <si>
    <t xml:space="preserve">  기관소송</t>
    <phoneticPr fontId="2" type="noConversion"/>
  </si>
  <si>
    <t>행정소송의 형식에 따른 분류</t>
    <phoneticPr fontId="2" type="noConversion"/>
  </si>
  <si>
    <t xml:space="preserve"> 형성의 소</t>
    <phoneticPr fontId="2" type="noConversion"/>
  </si>
  <si>
    <t xml:space="preserve"> 이행의 소</t>
    <phoneticPr fontId="2" type="noConversion"/>
  </si>
  <si>
    <t xml:space="preserve"> 확인의 소</t>
    <phoneticPr fontId="2" type="noConversion"/>
  </si>
  <si>
    <t xml:space="preserve">  무효등 확인의소</t>
    <phoneticPr fontId="2" type="noConversion"/>
  </si>
  <si>
    <t xml:space="preserve">  부작위위법확인소송</t>
    <phoneticPr fontId="2" type="noConversion"/>
  </si>
  <si>
    <t>사법 심사 불가능 영역</t>
    <phoneticPr fontId="2" type="noConversion"/>
  </si>
  <si>
    <t>규범 통제</t>
    <phoneticPr fontId="2" type="noConversion"/>
  </si>
  <si>
    <t>재량권의 일탈 또는 남용</t>
    <phoneticPr fontId="2" type="noConversion"/>
  </si>
  <si>
    <t>의무이행소송</t>
    <phoneticPr fontId="2" type="noConversion"/>
  </si>
  <si>
    <t>예방적 금지소송</t>
    <phoneticPr fontId="2" type="noConversion"/>
  </si>
  <si>
    <t>소송요건</t>
    <phoneticPr fontId="2" type="noConversion"/>
  </si>
  <si>
    <t>행정작용이 헌법 및 법률 등 상위의 법규범에 위반되어서는 안 된다는 원칙이다.</t>
    <phoneticPr fontId="2" type="noConversion"/>
  </si>
  <si>
    <t>행정작용이 발해지기 위해서는 반드시 헌법 또는 법률에 그 근거를 두어야 한다는 원칙이다.</t>
    <phoneticPr fontId="2" type="noConversion"/>
  </si>
  <si>
    <t>처분</t>
    <phoneticPr fontId="2" type="noConversion"/>
  </si>
  <si>
    <t>행정청</t>
    <phoneticPr fontId="2" type="noConversion"/>
  </si>
  <si>
    <t>신청권의 존부</t>
    <phoneticPr fontId="2" type="noConversion"/>
  </si>
  <si>
    <t>구체적 사건에서 신청인이 누구인가를 고려하지 않고 관계법규의 해석에 의하여 일반 국민에게 그러한 신청권을 인정하고 있는가를 살펴 추상적으로 결정되는 것이다.(판례)</t>
    <phoneticPr fontId="2" type="noConversion"/>
  </si>
  <si>
    <t>그 밖에 이에 준하는 행정작용</t>
    <phoneticPr fontId="2" type="noConversion"/>
  </si>
  <si>
    <t>행정절차법</t>
    <phoneticPr fontId="2" type="noConversion"/>
  </si>
  <si>
    <t>행정심판전치주의</t>
    <phoneticPr fontId="2" type="noConversion"/>
  </si>
  <si>
    <t xml:space="preserve"> 임의적 전치주의</t>
    <phoneticPr fontId="2" type="noConversion"/>
  </si>
  <si>
    <t xml:space="preserve"> 필요적 전치주의</t>
    <phoneticPr fontId="2" type="noConversion"/>
  </si>
  <si>
    <t>제소기간</t>
    <phoneticPr fontId="2" type="noConversion"/>
  </si>
  <si>
    <t>재판관할</t>
    <phoneticPr fontId="2" type="noConversion"/>
  </si>
  <si>
    <t>피고의 소재지</t>
    <phoneticPr fontId="2" type="noConversion"/>
  </si>
  <si>
    <t>전속관할</t>
    <phoneticPr fontId="2" type="noConversion"/>
  </si>
  <si>
    <t>소송의 이송</t>
    <phoneticPr fontId="2" type="noConversion"/>
  </si>
  <si>
    <t>관련청구소송의 이송</t>
    <phoneticPr fontId="2" type="noConversion"/>
  </si>
  <si>
    <t>심리</t>
    <phoneticPr fontId="2" type="noConversion"/>
  </si>
  <si>
    <t xml:space="preserve"> 요건심리</t>
    <phoneticPr fontId="2" type="noConversion"/>
  </si>
  <si>
    <t xml:space="preserve"> 본안심리</t>
    <phoneticPr fontId="2" type="noConversion"/>
  </si>
  <si>
    <t>불고불리의 원칙</t>
    <phoneticPr fontId="2" type="noConversion"/>
  </si>
  <si>
    <t>법률문제</t>
    <phoneticPr fontId="2" type="noConversion"/>
  </si>
  <si>
    <t>사실문제</t>
    <phoneticPr fontId="2" type="noConversion"/>
  </si>
  <si>
    <t>주장책임</t>
    <phoneticPr fontId="2" type="noConversion"/>
  </si>
  <si>
    <t>위법성 판단의 기준 시 문제</t>
    <phoneticPr fontId="2" type="noConversion"/>
  </si>
  <si>
    <t xml:space="preserve"> 처분시설</t>
    <phoneticPr fontId="2" type="noConversion"/>
  </si>
  <si>
    <t xml:space="preserve"> 판결시설</t>
    <phoneticPr fontId="2" type="noConversion"/>
  </si>
  <si>
    <t xml:space="preserve"> 절충설</t>
    <phoneticPr fontId="2" type="noConversion"/>
  </si>
  <si>
    <t>처분사유의 추가・변경</t>
    <phoneticPr fontId="2" type="noConversion"/>
  </si>
  <si>
    <t>처분의 취소・철회・변경</t>
    <phoneticPr fontId="2" type="noConversion"/>
  </si>
  <si>
    <t>직권심리주의</t>
    <phoneticPr fontId="2" type="noConversion"/>
  </si>
  <si>
    <t>기본적 사실관계 동일성 유무</t>
    <phoneticPr fontId="2" type="noConversion"/>
  </si>
  <si>
    <t>처분사유를 법률적으로 평가하기 이전의 구체적인 사실에 착안하여 그 기초인 사회적 사실관계가 기본적인 점에서 동일한지 여부에 따라 결정된다.</t>
    <phoneticPr fontId="2" type="noConversion"/>
  </si>
  <si>
    <t>청구기간</t>
    <phoneticPr fontId="2" type="noConversion"/>
  </si>
  <si>
    <t>집행부정지원칙</t>
    <phoneticPr fontId="2" type="noConversion"/>
  </si>
  <si>
    <t>집행정지</t>
    <phoneticPr fontId="2" type="noConversion"/>
  </si>
  <si>
    <t>행정심판기관</t>
    <phoneticPr fontId="2" type="noConversion"/>
  </si>
  <si>
    <t>제척</t>
    <phoneticPr fontId="2" type="noConversion"/>
  </si>
  <si>
    <t>기피</t>
    <phoneticPr fontId="2" type="noConversion"/>
  </si>
  <si>
    <t>회피</t>
    <phoneticPr fontId="2" type="noConversion"/>
  </si>
  <si>
    <t>가구제</t>
    <phoneticPr fontId="2" type="noConversion"/>
  </si>
  <si>
    <t xml:space="preserve"> 효력의 정지</t>
    <phoneticPr fontId="2" type="noConversion"/>
  </si>
  <si>
    <t xml:space="preserve"> 집행의 정지</t>
    <phoneticPr fontId="2" type="noConversion"/>
  </si>
  <si>
    <t xml:space="preserve"> 절차속행의 정지</t>
    <phoneticPr fontId="2" type="noConversion"/>
  </si>
  <si>
    <t>임시처분</t>
    <phoneticPr fontId="2" type="noConversion"/>
  </si>
  <si>
    <t xml:space="preserve"> 명령적 행정행위</t>
    <phoneticPr fontId="2" type="noConversion"/>
  </si>
  <si>
    <t xml:space="preserve">  허가</t>
    <phoneticPr fontId="2" type="noConversion"/>
  </si>
  <si>
    <t xml:space="preserve">  하명</t>
    <phoneticPr fontId="2" type="noConversion"/>
  </si>
  <si>
    <t xml:space="preserve">  면제</t>
    <phoneticPr fontId="2" type="noConversion"/>
  </si>
  <si>
    <t xml:space="preserve"> 형성적 행정행위</t>
    <phoneticPr fontId="2" type="noConversion"/>
  </si>
  <si>
    <t xml:space="preserve">  특허</t>
    <phoneticPr fontId="2" type="noConversion"/>
  </si>
  <si>
    <t xml:space="preserve">  대리</t>
    <phoneticPr fontId="2" type="noConversion"/>
  </si>
  <si>
    <t xml:space="preserve">  인가</t>
    <phoneticPr fontId="2" type="noConversion"/>
  </si>
  <si>
    <t xml:space="preserve"> 공증</t>
    <phoneticPr fontId="2" type="noConversion"/>
  </si>
  <si>
    <t xml:space="preserve"> 통지</t>
    <phoneticPr fontId="2" type="noConversion"/>
  </si>
  <si>
    <t xml:space="preserve"> 수리</t>
    <phoneticPr fontId="2" type="noConversion"/>
  </si>
  <si>
    <t xml:space="preserve"> 확인</t>
    <phoneticPr fontId="2" type="noConversion"/>
  </si>
  <si>
    <t>행정청이 법규를 근거로 하여 국민의 자유를 제한하거나 의무를 부과 또는 해제하는 법률행위적 행정행위를 말한다.</t>
    <phoneticPr fontId="2" type="noConversion"/>
  </si>
  <si>
    <t>법률이 일반 사인에게 일반적・상대적으로 금지하고 있는 행위(부작위 의무)를 특정인에 대하여 해제하여, 적법하게 그 행위를 할 수 있도록 법률적 자유를 회복시켜 주는 행정행위이다.</t>
    <phoneticPr fontId="2" type="noConversion"/>
  </si>
  <si>
    <t>행정청이 국민에게 새로운 작위, 부작위, 급부, 수인 등의 의무를 부과하는 행정행위이다.</t>
    <phoneticPr fontId="2" type="noConversion"/>
  </si>
  <si>
    <t>법령에 의해 국민에게 부과된 기존의 의무를 행정청이 해제하여 그 의무로부터 벗어나게 하는 행정행위이다.</t>
    <phoneticPr fontId="2" type="noConversion"/>
  </si>
  <si>
    <t>심리</t>
    <phoneticPr fontId="2" type="noConversion"/>
  </si>
  <si>
    <t>요건심리</t>
    <phoneticPr fontId="2" type="noConversion"/>
  </si>
  <si>
    <t>본안심리</t>
    <phoneticPr fontId="2" type="noConversion"/>
  </si>
  <si>
    <t xml:space="preserve"> 위법성</t>
    <phoneticPr fontId="2" type="noConversion"/>
  </si>
  <si>
    <t xml:space="preserve"> 부당성</t>
    <phoneticPr fontId="2" type="noConversion"/>
  </si>
  <si>
    <t>심리의 범위</t>
    <phoneticPr fontId="2" type="noConversion"/>
  </si>
  <si>
    <t xml:space="preserve"> 불고불리의 원칙</t>
    <phoneticPr fontId="2" type="noConversion"/>
  </si>
  <si>
    <t xml:space="preserve"> 불이익 변경금지의 원칙</t>
    <phoneticPr fontId="2" type="noConversion"/>
  </si>
  <si>
    <t>대심주의</t>
    <phoneticPr fontId="2" type="noConversion"/>
  </si>
  <si>
    <t>처분권주의</t>
    <phoneticPr fontId="2" type="noConversion"/>
  </si>
  <si>
    <t>직권심리주의</t>
    <phoneticPr fontId="2" type="noConversion"/>
  </si>
  <si>
    <t>구술심리주의・서면심리주의</t>
    <phoneticPr fontId="2" type="noConversion"/>
  </si>
  <si>
    <t>불가쟁력</t>
    <phoneticPr fontId="2" type="noConversion"/>
  </si>
  <si>
    <t>불가변력</t>
    <phoneticPr fontId="2" type="noConversion"/>
  </si>
  <si>
    <t>형성력</t>
    <phoneticPr fontId="2" type="noConversion"/>
  </si>
  <si>
    <t>기속력</t>
    <phoneticPr fontId="2" type="noConversion"/>
  </si>
  <si>
    <t>행정강제</t>
    <phoneticPr fontId="2" type="noConversion"/>
  </si>
  <si>
    <t xml:space="preserve"> 대집행</t>
    <phoneticPr fontId="2" type="noConversion"/>
  </si>
  <si>
    <t xml:space="preserve"> 직접강제</t>
    <phoneticPr fontId="2" type="noConversion"/>
  </si>
  <si>
    <t xml:space="preserve"> 강제징수</t>
    <phoneticPr fontId="2" type="noConversion"/>
  </si>
  <si>
    <t xml:space="preserve"> 즉시강제</t>
    <phoneticPr fontId="2" type="noConversion"/>
  </si>
  <si>
    <t>행정벌</t>
    <phoneticPr fontId="2" type="noConversion"/>
  </si>
  <si>
    <t xml:space="preserve"> 행정형벌</t>
    <phoneticPr fontId="2" type="noConversion"/>
  </si>
  <si>
    <t xml:space="preserve"> 행정질서벌</t>
    <phoneticPr fontId="2" type="noConversion"/>
  </si>
  <si>
    <t>이행강제금</t>
    <phoneticPr fontId="2" type="noConversion"/>
  </si>
  <si>
    <t>과징금</t>
    <phoneticPr fontId="2" type="noConversion"/>
  </si>
  <si>
    <t>공표</t>
    <phoneticPr fontId="2" type="noConversion"/>
  </si>
  <si>
    <t>대집행</t>
    <phoneticPr fontId="2" type="noConversion"/>
  </si>
  <si>
    <t xml:space="preserve"> 계고</t>
    <phoneticPr fontId="2" type="noConversion"/>
  </si>
  <si>
    <t xml:space="preserve"> 통지</t>
    <phoneticPr fontId="2" type="noConversion"/>
  </si>
  <si>
    <t xml:space="preserve"> 실행</t>
    <phoneticPr fontId="2" type="noConversion"/>
  </si>
  <si>
    <t xml:space="preserve"> 징수</t>
    <phoneticPr fontId="2" type="noConversion"/>
  </si>
  <si>
    <t>직접강제</t>
    <phoneticPr fontId="2" type="noConversion"/>
  </si>
  <si>
    <t>행정상 강제징수</t>
    <phoneticPr fontId="2" type="noConversion"/>
  </si>
  <si>
    <t>즉시강제</t>
    <phoneticPr fontId="2" type="noConversion"/>
  </si>
  <si>
    <t xml:space="preserve"> 대인적 강제</t>
    <phoneticPr fontId="2" type="noConversion"/>
  </si>
  <si>
    <t xml:space="preserve"> 대물적 강제</t>
    <phoneticPr fontId="2" type="noConversion"/>
  </si>
  <si>
    <t xml:space="preserve"> 대가택 강제</t>
    <phoneticPr fontId="2" type="noConversion"/>
  </si>
  <si>
    <t>대등한 당사자 간의 자유로운 의사에 따른 법률 행위를 기본 전제로 하며, 사인 상호간의 법률 관계를 규율하는 법이다.</t>
    <phoneticPr fontId="2" type="noConversion"/>
  </si>
  <si>
    <t>행정조직, 작용, 구제 등 공행정에 관한 공법의 총체를 말한다.</t>
    <phoneticPr fontId="2" type="noConversion"/>
  </si>
  <si>
    <t>행정주체(국가나 지방자치단체)가 행정목적(공익 실현)을 달성하기 위해 구체적인 사실에 대해 행하는 일체의 활동(작용)이다.</t>
    <phoneticPr fontId="2" type="noConversion"/>
  </si>
  <si>
    <t>행정청이 구체적 사실에 대한 법 집행으로서 행하는 권력적 단독행위를 말한다.</t>
    <phoneticPr fontId="2" type="noConversion"/>
  </si>
  <si>
    <t>행정기관이 법규 사항에 관하여 일반적・추상적인 규율을 정립하는 작용이다. (법규명령과 행정규칙으로 구분)</t>
    <phoneticPr fontId="2" type="noConversion"/>
  </si>
  <si>
    <t>행정작용의 위법 또는 부당으로 인해 권익을 침해당한 국민이 행정주체를 상대로 행정작용의 취소, 변경, 무효 확인 등을 구하는 법적 구제 절차의 통칭이다.</t>
    <phoneticPr fontId="2" type="noConversion"/>
  </si>
  <si>
    <t>규율을 받는 대상이다.</t>
    <phoneticPr fontId="2" type="noConversion"/>
  </si>
  <si>
    <t>행정작용의 수범자가 불특정 다수인 경우를 말한다.</t>
    <phoneticPr fontId="2" type="noConversion"/>
  </si>
  <si>
    <t>행정작용의 수범자가 특정한 한 사람 또는 한 무리의 사람들인 경우를 말한다.</t>
    <phoneticPr fontId="2" type="noConversion"/>
  </si>
  <si>
    <t>행정작용의 규율 내용이 다수의 장래 사건에 대해 반복적으로 적용될 수 있는 일반적인 기준이나 원칙인 경우를 말하며, 불특정 다수의 사건을 대상으로 할 때 사용된다.</t>
    <phoneticPr fontId="2" type="noConversion"/>
  </si>
  <si>
    <t>행정작용의 규율 내용이 이미 발생했거나 또는 특정 시점에 발생할 일회적인 사건에 대해 적용되어 그 사건으로 법적 관계가 종료되는 경우를 말하며, 특정 사건을 대상으로 할 때 사용된다.</t>
    <phoneticPr fontId="2" type="noConversion"/>
  </si>
  <si>
    <t>자신의 의사와 책임 하에 행정작용을 수행하고 그 법적 효과가 자신에게 귀속되는 권리와 의무의 주체이다.</t>
    <phoneticPr fontId="2" type="noConversion"/>
  </si>
  <si>
    <t>행정주체의 행정작용에 대한 구속력을 가지는 법규범의 존재 형식을 말한다.</t>
    <phoneticPr fontId="2" type="noConversion"/>
  </si>
  <si>
    <t>행정조직 내부에서 행정 사무의 처리 기준이나 운영 방침을 정하기 위해 제정하는 규범이다.</t>
    <phoneticPr fontId="2" type="noConversion"/>
  </si>
  <si>
    <t>행정 분야에서 오랜 기간에 걸쳐 반복적으로 형성된 관행에 대해 국민과 행정기관이 법적 구속력을 인정하고 있는 규범이다.</t>
    <phoneticPr fontId="2" type="noConversion"/>
  </si>
  <si>
    <t>행정기관은 합리적인 사유가 존재하지 않는 한 행정작용을 함에 있어 그 상대방인 국민을 평등하게 대우하여야 한다는 원칙이다. [근거 : 행정기본법 제9조]</t>
    <phoneticPr fontId="2" type="noConversion"/>
  </si>
  <si>
    <t>행정기관의 행위를 사인이 정당하게 신뢰한 경우, 그 신뢰는 보호되어야 한다는 원칙이다. [근거 : 행정기본법 제12조]</t>
    <phoneticPr fontId="2" type="noConversion"/>
  </si>
  <si>
    <t>행정청은 재량의 영역에서 일정 사안에 대하여 선례를 만들었다면 향후 이와 동종 사안에 대하여 동일한 결정을 하여야 한다는 원칙이다. [근거 : 신뢰보호의 원칙, 평등의 원칙]</t>
    <phoneticPr fontId="2" type="noConversion"/>
  </si>
  <si>
    <t>행정기관이 행정조치를 할 때 상대방에게 그것과 실질적 관련이 없는 반대급부를 결부시키거나, 그 이행을 강제해서는 안된다는 원칙이다. [근거 : 행정기본법 제13조]</t>
    <phoneticPr fontId="2" type="noConversion"/>
  </si>
  <si>
    <t>공법관계 : 행정법이 적용되며, 법률우위의 원칙・법률유보의 원칙 등 공법상 일반 원칙이 적용된다. / 사법관계 : 민법이 적용되며, 사적자치의 원칙・계약자유의 원칙 등 사법상 원칙이 적용된다.</t>
    <phoneticPr fontId="2" type="noConversion"/>
  </si>
  <si>
    <t>행정청이 하나의 최종적인 행정 목표를 달성하기 위해 곧바로 최종 처분을 하지 않고, 여러 단계의 중간적・부분적 결정을 거쳐 최종 처분을 완성하는 행정작용의 방식이다.</t>
    <phoneticPr fontId="2" type="noConversion"/>
  </si>
  <si>
    <t>장기간과 많은 비용이 소요되는 복잡한 행정계획이나 개발 사업 등에서, 최종 처분의 요건 중 일부 요건에 관하여 미리 행하는 행정청의 구속력 있는 판단을 말한다.</t>
    <phoneticPr fontId="2" type="noConversion"/>
  </si>
  <si>
    <t>법령상 하나의 허가에 의해 완성되어야 할 사업을, 그 사업의 목적(기능)이나 내용에 따라 가분적인 여러 단계로 나누어 각 단계별로 독립된 허가를 발급하는 것이다.</t>
    <phoneticPr fontId="2" type="noConversion"/>
  </si>
  <si>
    <t>장기간의 복잡한 심사를 요하는 행정작용에서, 최종 결정이 내려지기 전까지 잠정적으로 상황을 규율하기 위해 장래 최종 결정으로 대체될 것을 전제로 행하는 잠정적이고 일시적인 행정행위이다.</t>
    <phoneticPr fontId="2" type="noConversion"/>
  </si>
  <si>
    <t>행정청의 위법・부당한 처분이나 부작위 등으로 인하여 권리나 이익을 침해받은 국민이 행정청 또는 상급 행정기관에 그 처분의 취소・변경 등을 청구하여 구제받을 수 있도록 하는 심판 절차이다.</t>
    <phoneticPr fontId="2" type="noConversion"/>
  </si>
  <si>
    <t>행정청의 위법한 처분이나 공권력의 행사・불행사 등으로 인하여 권리나 이익을 침해받은 국민이 사법부인 법원에 제소하여 그 위법성을 다투고 구제를 받는 절차이다.</t>
    <phoneticPr fontId="2" type="noConversion"/>
  </si>
  <si>
    <t>심판청구가 부적법(청구요건 불충족)할 때 내리는 재결을 말한다.</t>
    <phoneticPr fontId="2" type="noConversion"/>
  </si>
  <si>
    <t>심판청구가 이유 없다고 판단하는 재결을 말한다.</t>
    <phoneticPr fontId="2" type="noConversion"/>
  </si>
  <si>
    <t>심판청구가 이유 있다고 판단하는 재결을 말한다.</t>
    <phoneticPr fontId="2" type="noConversion"/>
  </si>
  <si>
    <t xml:space="preserve"> 헌법</t>
    <phoneticPr fontId="2" type="noConversion"/>
  </si>
  <si>
    <t xml:space="preserve"> 법률</t>
    <phoneticPr fontId="2" type="noConversion"/>
  </si>
  <si>
    <t xml:space="preserve"> 명령</t>
    <phoneticPr fontId="2" type="noConversion"/>
  </si>
  <si>
    <t xml:space="preserve"> 자치법규</t>
    <phoneticPr fontId="2" type="noConversion"/>
  </si>
  <si>
    <t xml:space="preserve"> 행정규칙</t>
    <phoneticPr fontId="2" type="noConversion"/>
  </si>
  <si>
    <t xml:space="preserve"> 조약</t>
    <phoneticPr fontId="2" type="noConversion"/>
  </si>
  <si>
    <t xml:space="preserve"> 행정관습법</t>
    <phoneticPr fontId="2" type="noConversion"/>
  </si>
  <si>
    <t xml:space="preserve"> 판례법</t>
    <phoneticPr fontId="2" type="noConversion"/>
  </si>
  <si>
    <t xml:space="preserve"> 조리</t>
    <phoneticPr fontId="2" type="noConversion"/>
  </si>
  <si>
    <t>행정법의 최고 법원으로서 법률유보의 원칙, 법치주의, 민주주의 원리 등 행정의 기본 원리를 제공하며 국민의 기본권을 보장한다.</t>
    <phoneticPr fontId="2" type="noConversion"/>
  </si>
  <si>
    <t>헌법이 정한 절차에 따라 국회가 제정한 법 형식으로 행정조직, 행정작용에 대한 가장 중요한 직접적인 근거를 제공한다.</t>
    <phoneticPr fontId="2" type="noConversion"/>
  </si>
  <si>
    <t>행정기관이 법률의 위임을 받아 제정하거나 법률을 집행하기 위해 제정하는 법규명령을 의미한다.</t>
    <phoneticPr fontId="2" type="noConversion"/>
  </si>
  <si>
    <t>지방자치단체가 법령의 범위 내에서 제정하는 조례(지방의회 제정)와 규칙(지방자치단체장 제정)이다.</t>
    <phoneticPr fontId="2" type="noConversion"/>
  </si>
  <si>
    <t>국가 간에 체결된 문서에 의한 합의로서, 인권, 노동, 무역, 환경 등 다양한 분야에서 행정작용의 기준을 제시한다.</t>
    <phoneticPr fontId="2" type="noConversion"/>
  </si>
  <si>
    <t>성문(成文)의 형태로 존재하지 않지만 법적 확신을 얻어 행정주체의 행정작용을 구속하는 규범을 의미한다.</t>
    <phoneticPr fontId="2" type="noConversion"/>
  </si>
  <si>
    <t>법원의 판결에 의해 법규범이 형성되는 것을 의미한다.</t>
    <phoneticPr fontId="2" type="noConversion"/>
  </si>
  <si>
    <t>사물의 본성 또는 합리적인 이치를 의미하며, 법률에 규정이 없을 때 보충적 법원으로서 기능하는 일반적인 행위 기준이다.</t>
    <phoneticPr fontId="2" type="noConversion"/>
  </si>
  <si>
    <t>행정 목적 달성을 위해 사용되는 수단은 목적과 합리적인 비례 관계를 이루어야 하며, 목적 달성에 필요한 최소한에 그쳐야 한다는 원칙이다.</t>
    <phoneticPr fontId="2" type="noConversion"/>
  </si>
  <si>
    <t>행정청의 선행 행위(공적인 견해 표명)에 대한 국민의 정당한 신뢰는 보호되어야 하며, 행정청은 사정 변경이 없는 한 선행 행위에 반하는 행위를 해서는 안 된다는 원칙이다.</t>
    <phoneticPr fontId="2" type="noConversion"/>
  </si>
  <si>
    <t>합리적인 이유 없이 특정 개인을 차별해서는 안 된다는 원칙이다.</t>
    <phoneticPr fontId="2" type="noConversion"/>
  </si>
  <si>
    <t>행정주체가 공권력 행사와 상대방의 의무 이행 사이에 실질적인 관련성이 없는 부당한 결부를 통해서 상대방에게 반대급부를 강요하거나 부당한 제한을 가해서는 안 된다는 원칙이다.</t>
    <phoneticPr fontId="2" type="noConversion"/>
  </si>
  <si>
    <t>행정청이 법률에 의해 부여받은 권한을 정당한 목적이 아닌 부당한 동기로 사용하는 것을 금지하는 원칙이다.</t>
    <phoneticPr fontId="2" type="noConversion"/>
  </si>
  <si>
    <t>법률이라는 성문(成文)의 형태로 존재하는 규범을 의미한다.</t>
    <phoneticPr fontId="2" type="noConversion"/>
  </si>
  <si>
    <t xml:space="preserve"> 헌법-명령</t>
    <phoneticPr fontId="2" type="noConversion"/>
  </si>
  <si>
    <t xml:space="preserve"> 법률-명령</t>
    <phoneticPr fontId="2" type="noConversion"/>
  </si>
  <si>
    <t xml:space="preserve"> 명령-명령</t>
    <phoneticPr fontId="2" type="noConversion"/>
  </si>
  <si>
    <t>법률종속명령이라 하며, 위임명령과 집행명령으로 구분한다.</t>
    <phoneticPr fontId="2" type="noConversion"/>
  </si>
  <si>
    <t>법률이나 상위 법규명령이 특정 사항을 행정규칙(고시, 훈령 등)의 형식으로 제정하도록 위임한 경우, 그 위임을 받아 제정된 행정규칙을 의미한다.</t>
    <phoneticPr fontId="2" type="noConversion"/>
  </si>
  <si>
    <t>법률에 효력상 종속되는 모든 법규명령을 총칭하며, 그 주된 유형은 위임명령과 집행명령이다.</t>
    <phoneticPr fontId="2" type="noConversion"/>
  </si>
  <si>
    <t xml:space="preserve"> 위임명령</t>
    <phoneticPr fontId="2" type="noConversion"/>
  </si>
  <si>
    <t xml:space="preserve"> 집행명령</t>
    <phoneticPr fontId="2" type="noConversion"/>
  </si>
  <si>
    <t>상위 법령에서 구체적으로 범위를 정하여 위임받은 사항에 관하여 새로운 입법 사항을 정하는 명령을 의미한다.</t>
    <phoneticPr fontId="2" type="noConversion"/>
  </si>
  <si>
    <t>상위 법령의 시행에 필요한 절차나 형식 등 세부적인 사항을 정하는 명령으로 새로운 입법 사항을 정할 수 없다.</t>
    <phoneticPr fontId="2" type="noConversion"/>
  </si>
  <si>
    <t>법규명령 형식의 행정규칙</t>
    <phoneticPr fontId="2" type="noConversion"/>
  </si>
  <si>
    <t>행정규칙 형식의 법규명령</t>
    <phoneticPr fontId="2" type="noConversion"/>
  </si>
  <si>
    <t xml:space="preserve"> 적합성의 원칙</t>
    <phoneticPr fontId="2" type="noConversion"/>
  </si>
  <si>
    <t xml:space="preserve"> 필요성의 원칙</t>
    <phoneticPr fontId="2" type="noConversion"/>
  </si>
  <si>
    <t xml:space="preserve"> 상당성의 원칙</t>
    <phoneticPr fontId="2" type="noConversion"/>
  </si>
  <si>
    <t>행정주체가 행정목적 달성을 위해 행정작용을 할 때, 그 목적과 수단 사이에 합리적 비례 관계가 있어야 하며, 국민의 권리를 제한하거나 침해하는 경우 필요 최소한의 정도에 그쳐야 한다는 원칙이다.</t>
    <phoneticPr fontId="2" type="noConversion"/>
  </si>
  <si>
    <t>차별이 관련 법규 및 행정목적과의 관계에서 현저히 불합리하거나 자의적인 것이라면 평등 원칙에 위반된다고 보는 원칙이다.</t>
    <phoneticPr fontId="2" type="noConversion"/>
  </si>
  <si>
    <t>반복적인 행정처분으로 관행이 성립된 재량준칙은 행정청 스스로 구속된다. 이러한 재량준칙이 대외적인 구속력을 갖는 법규로 전환되는 효과를 말한다.</t>
    <phoneticPr fontId="2" type="noConversion"/>
  </si>
  <si>
    <t>행정청의 권한 행사가 법률의 목적 범위 내에서 이루어져야 한다는 원칙이다.</t>
    <phoneticPr fontId="2" type="noConversion"/>
  </si>
  <si>
    <t>권리남용금지의 원칙</t>
    <phoneticPr fontId="2" type="noConversion"/>
  </si>
  <si>
    <t>헌법대위명령 또는 비상명령이라 한다. 비상상황시 행정권 발령, 헌법적 효력을 가지며, 그 예로 유신헌법 하의 긴급조치와 같은 명령이 있다.</t>
  </si>
  <si>
    <t>법률대위명령 또는 독립명령이라 한다. 헌법이 규정하는 법적효력을 지닌 명령으로, 헌법 76조상의 긴급명령, 긴급재정, 경제명령 등이 있다.</t>
  </si>
  <si>
    <t>상급 행정기관이 하급 행정기관에 대하여 구체적이고 개별적인 사무 처리를 명령하기 위해 발하는 명령이다.</t>
  </si>
  <si>
    <t>행정기관이 특정 사항을 일반 국민에게 알리는 행위로서, 일반적으로 행정규칙의 성격을 가진다.</t>
  </si>
  <si>
    <t>형식은 대통령령, 부령 등 법규명령의 형태를 취하고 있지만, 그 내용은 국민의 권리・의무에 관한 사항이 아닌 행정조직 내부의 사무 처리 기준이나 재량권 행사 준칙만을 규율하는 경우를 말한다.</t>
  </si>
  <si>
    <t>행정주체가 행정목적을 달성하기 위해 선택한 수단이 그 목적을 달성하는 데 실질적으로 기여할 수 있어야 한다는 원칙이다.</t>
  </si>
  <si>
    <t>행정목적을 달성하는 데 적합한 여러 수단 중에서 국민의 권리를 가장 적게 침해하는 최소한의 수단을 선택해야 한다는 원칙이다.</t>
  </si>
  <si>
    <t>선택된 수단으로 인해 국민이 침해받는 사익(私益)과 그 행정작용을 통해 달성하고자 하는 공익(公益) 사이에 합리적인 균형이 이루어져야 한다는 원칙이다.</t>
  </si>
  <si>
    <t>법률의 형식을 갖추고 있지만, 일반적이고 추상적인 규율이 아니라 특정 개인이나 특정 사건에 대해서만 개별적이고 구체적으로 규율하는 법률을 말한다.</t>
  </si>
  <si>
    <t>국가의 모든 공권력 작용이 실체적 내용뿐만 아니라 형식적 절차에 있어서도 법률에 적합해야 한다는 헌법적 원칙이다.</t>
  </si>
  <si>
    <t>모든 법 관계의 당사자가 상대방의 정당한 신뢰를 배신하지 않고 사회 공동체의 일원으로서 신의에 따라 성실하게 행동해야 한다는 법의 일반 원칙이다.</t>
  </si>
  <si>
    <t>권리자가 자신의 권리를 행사함에 있어 사회 질서를 위반하거나 사회적 한계를 일탈하여 행사하는 것을 금지하는 법 원칙이다.</t>
  </si>
  <si>
    <t>행정청이 일정한 법률효과의 발생을 의욕하는 의사표시에 의하여 국민의 권리・의무에 직접 법적 효과를 발생시키는 행정행위를 말한다.</t>
  </si>
  <si>
    <t>행정청의 판단, 인식, 통지 등 정신 작용의 표시에 대하여 법률이 그 자체로 법적 효과를 부여하는 행정행위를 말한다.</t>
  </si>
  <si>
    <t>행정기관이 법률에 근거하거나 법률을 집행하기 위해 국민의 권리・의무에 관한 사항을 일반적・추상적으로 규율하는 행정입법의 한 형태이다.</t>
  </si>
  <si>
    <t>행정기관이 자신의 직무 범위 내에서 행정 사무의 처리에 관하여 조직 내부의 일반적・추상적인 기준을 정립하는 행정입법의 한 형식이다.</t>
  </si>
  <si>
    <t>상급 행정기관이 하급 행정기관에 대하여 장기간에 걸쳐 그 권한 행사를 일반적으로 지시하기 위해 발하는 명령이다.</t>
  </si>
  <si>
    <t>행정 사무의 동일한 처리 기준을 설정하여 반복적으로 활용하도록 하는 행정규칙이다.</t>
  </si>
  <si>
    <t>행정기관이 특정 사항을 일반 국민에게 일시적으로 알리는 행위로서, 고시와 유사하나 기간이 단기적이고 효력이 일회적인 경우가 많다.</t>
  </si>
  <si>
    <t>훈령, 예규, 고시 등 행정규칙의 형식으로 제정되었으나, 법률이나 상위 법규명령의 구체적인 위임을 받아 국민의 권리・의무에 관한 사항을 보충적으로 규정하는 경우를 말한다.</t>
  </si>
  <si>
    <t>행정법에 의해 규율되는 법률 관계를 총칭하는 개념이다.</t>
    <phoneticPr fontId="2" type="noConversion"/>
  </si>
  <si>
    <t>일단 행정 행위가 발생하면 비록 흠결이 있더라도 권한이 있는 기관에 의해 취소되기 전까지 유효하게 통용되는 힘을 의미한다.</t>
    <phoneticPr fontId="2" type="noConversion"/>
  </si>
  <si>
    <t>행정주체가 법적 절차를 거쳐 스스로 강제할 수 있는 힘을 의미한다.</t>
    <phoneticPr fontId="2" type="noConversion"/>
  </si>
  <si>
    <t>행정기관 중에서도 특히 행정주체의 의사를 대외적으로 결정하고 표시할 수 있는 권한을 가진 기관을 지칭한다.</t>
    <phoneticPr fontId="2" type="noConversion"/>
  </si>
  <si>
    <t>행정을 둘러싼 공법적 또는 사법적 법률관계를 총칭하는 개념이다.</t>
    <phoneticPr fontId="2" type="noConversion"/>
  </si>
  <si>
    <t>기관의 권한과 책임 소재를 명확히 하고 행정의 효율성을 확보하기 위한 관계이다.</t>
    <phoneticPr fontId="2" type="noConversion"/>
  </si>
  <si>
    <t>행정주체가 대외적으로 행정 목적을 실현하기 위해 사인(私人)에게 직접 영향을 미치는 작용을 할 때 발생하는 법률관계를 말한다.</t>
    <phoneticPr fontId="2" type="noConversion"/>
  </si>
  <si>
    <t xml:space="preserve"> 공법관계-권력관계</t>
    <phoneticPr fontId="2" type="noConversion"/>
  </si>
  <si>
    <t xml:space="preserve"> 공법관계-관리관계</t>
    <phoneticPr fontId="2" type="noConversion"/>
  </si>
  <si>
    <t xml:space="preserve"> 사법관계-행정사법관계</t>
    <phoneticPr fontId="2" type="noConversion"/>
  </si>
  <si>
    <t xml:space="preserve"> 사법관계-국고관계</t>
    <phoneticPr fontId="2" type="noConversion"/>
  </si>
  <si>
    <t>공법상의 권리・의무를 발생, 변경, 소멸시키는 행정주체의 법률행위를 의미한다.</t>
    <phoneticPr fontId="2" type="noConversion"/>
  </si>
  <si>
    <t>국가, 지방자치단체 등의 행정주체가 공익 실현을 위해 행하는 모든 활동을 포함한다.</t>
    <phoneticPr fontId="2" type="noConversion"/>
  </si>
  <si>
    <t>사인이 공법상의 권리・의무 변동을 목적으로 행정주체에 대해 행하는 행위를 의미한다.</t>
    <phoneticPr fontId="2" type="noConversion"/>
  </si>
  <si>
    <t>법적 효과 발생을 직접 목적으로 하지 않고, 단순히 사실적 결과를 가져오는 행위를 말한다. (정보 수집, 사실 확인, 서비스 제공 등)</t>
    <phoneticPr fontId="2" type="noConversion"/>
  </si>
  <si>
    <t>행위자가 공법상의 법적 효과의 발생 또는 변동을 의도하고 그에 따라 법적 효과가 발생하는 행위를 말한다. (행정행위, 공법상 계약 및 합동행위, 사인의 법률행위적 공법행위 등)</t>
    <phoneticPr fontId="2" type="noConversion"/>
  </si>
  <si>
    <t xml:space="preserve"> 자기완결적 신고</t>
    <phoneticPr fontId="2" type="noConversion"/>
  </si>
  <si>
    <t xml:space="preserve"> 행위요건적 신고</t>
    <phoneticPr fontId="2" type="noConversion"/>
  </si>
  <si>
    <t>법적 효력의 발생이 행정기관의 별도 수리를 요하지 않고, 사인(신고인)이 법령에 규정된 요건을 모두 갖추어 행정기관에 신고서를 제출(도달)하는 것만으로 완료되는 신고이다.</t>
    <phoneticPr fontId="2" type="noConversion"/>
  </si>
  <si>
    <t>법적 효력의 발생이 단순한 제출(도달)을 넘어, 행정기관의 수리라는 별도의 행정행위를 요구하는 신고이다.</t>
    <phoneticPr fontId="2" type="noConversion"/>
  </si>
  <si>
    <t>사인이 행정주체에게 일정한 행정행위를 발동하도록 요구하는 의사 표시로서, 공법상의 권리・의무 변동을 목적으로 하는 사인의 법률행위적 공법행위이다.</t>
    <phoneticPr fontId="2" type="noConversion"/>
  </si>
  <si>
    <t>[행정행위 대상에 따른 구분] 상대방의 주관적 사정과 함께 행정행위의 대상인 물건, 시설의 객관적 사정을 모두 고려하여 행하여지는 행정행위를 말한다.</t>
    <phoneticPr fontId="2" type="noConversion"/>
  </si>
  <si>
    <t>[법률효과의 성질에 따른 구분] 국민의 권리나 이익을 부여하거나 확대하는 등 국민에게 유리한 법적 효과를 가져오는 행정행위를 말한다.</t>
    <phoneticPr fontId="2" type="noConversion"/>
  </si>
  <si>
    <t>[법률효과의 성질에 따른 구분] 국민의 권리나 이익을 제한하거나 의무를 부과하는 등 국민에게 불리한 법적 효과를 가져오는 행정행위를 말한다.</t>
    <phoneticPr fontId="2" type="noConversion"/>
  </si>
  <si>
    <t>[법률효과의 성질에 따른 구분] 하나의 행정행위가 특정인에게는 수익적 효과를, 제3자에게는 침익적 효과를 동시에 발생시키는 행정행위를 말한다.</t>
    <phoneticPr fontId="2" type="noConversion"/>
  </si>
  <si>
    <t>[법적 구속의 정도에 따른 구분] 행정청이 법규에 정해진 요건이 충족되면 반드시 그에 따른 행위를 해야 하며, 재량의 여지가 없는 행위를 말한다.</t>
    <phoneticPr fontId="2" type="noConversion"/>
  </si>
  <si>
    <t>[법적 구속의 정도에 따른 구분] 행정청이 법규에 정해진 요건이 충족되더라도, 행위 여부나 내용을 스스로 선택할 수 있는 판단의 자유가 있는 행위를 말한다.</t>
    <phoneticPr fontId="2" type="noConversion"/>
  </si>
  <si>
    <t>법령상 특정인이 행해야 할 법적 행위를 그 의무자가 이행하지 않을 때, 행정청이 법정 대리인의 지위에서 그 의무자를 대신하여 행위를 하는 행정작용이다.</t>
    <phoneticPr fontId="2" type="noConversion"/>
  </si>
  <si>
    <t>행정청이 특정 사실 또는 법률관계의 존재 여부에 대하여 공적인 권위로써 증명하는 행위를 말한다.</t>
    <phoneticPr fontId="2" type="noConversion"/>
  </si>
  <si>
    <t>행정청이 특정인에게 특정 사실 또는 의사를 알리는 행위이다.</t>
    <phoneticPr fontId="2" type="noConversion"/>
  </si>
  <si>
    <t>행정청이 국민이 행한 일정한 공법적 행위(신고 또는 신청)를 받아들여 법률 효과를 완성시키는 행위를 말한다.</t>
    <phoneticPr fontId="2" type="noConversion"/>
  </si>
  <si>
    <t>행정청이 특정 사실 또는 법률관계의 존부나 정당성에 대하여 공적인 권위로써 판단하고 이를 확정하는 행정행위를 말한다.</t>
    <phoneticPr fontId="2" type="noConversion"/>
  </si>
  <si>
    <t>행정청이 법규의 구체적인 내용과 취지에 엄격하게 구속되어 행위의 요건이 충족되면 법규가 정한 내용의 행위를 반드시 하여야 하는 행정행위를 말한다.</t>
    <phoneticPr fontId="2" type="noConversion"/>
  </si>
  <si>
    <t>행정청이 법규의 범위 내에서 행위의 발동 여부(선택 재량)나 행위의 내용(결정 재량)을 스스로 판단하여 결정할 수 있는 권한, 즉 재량을 가지는 행정행위를 말한다.</t>
    <phoneticPr fontId="2" type="noConversion"/>
  </si>
  <si>
    <t xml:space="preserve"> 선택 재량</t>
    <phoneticPr fontId="2" type="noConversion"/>
  </si>
  <si>
    <t xml:space="preserve"> 결정 재량</t>
    <phoneticPr fontId="2" type="noConversion"/>
  </si>
  <si>
    <t>행정법상의 의무를 이행하지 않거나 위반하는 경우, 행정주체가 그 의무의 이행을 확보하거나 의무 위반에 제재를 가함으로써, 행정목적을 실현하기 위해 사용하는 모든 공법적 수단을 말한다.</t>
    <phoneticPr fontId="2" type="noConversion"/>
  </si>
  <si>
    <t>행정법상 의무의 불이행이 있을 때, 행정청이 장래에 향하여 의무 이행을 확보하기 위하여 가하는 강제 수단을 말한다.</t>
    <phoneticPr fontId="2" type="noConversion"/>
  </si>
  <si>
    <t>의무자가 행정법상 대체적 작위 의무를 이행하지 않을 때, 행정청이 스스로 의무자가 해야 할 행위를 대신 행하고 그 비용을 의무자로부터 징수하는 수단이다.</t>
    <phoneticPr fontId="2" type="noConversion"/>
  </si>
  <si>
    <t>행정법상 의무의 불이행이 있을 때, 행정청이 의무자의 신체 또는 재산에 직접적인 힘을 가하여 의무 이행을 실현하는 수단이다.</t>
    <phoneticPr fontId="2" type="noConversion"/>
  </si>
  <si>
    <t>공법상의 금전 급부 의무(예 : 조세, 과태료)를 불이행할 때, 행정청이 의무자의 재산에 실력을 행사하여 의무를 이행시키는 수단이다.</t>
    <phoneticPr fontId="2" type="noConversion"/>
  </si>
  <si>
    <t>의무를 명할 시간적 여유가 없을 때, 의무를 명하는 것만으로는 목적 달성이 곤란할 때, 의무 부과 없이 행정청이 직접 국민의 신체나 재산에 실력을 행사하여 행정목적을 즉시 실현하는 수단이다.</t>
    <phoneticPr fontId="2" type="noConversion"/>
  </si>
  <si>
    <t>과거의 의무 위반 행위에 대하여 제재를 가하여 일반 예방적 효과를 도모하는 수단이다. 행정강제와는 다르게 제재가 목적이다.</t>
    <phoneticPr fontId="2" type="noConversion"/>
  </si>
  <si>
    <t>행정법상 의무 위반 행위에 대하여 형법이 정하는 바에 따라 징역, 금고, 벌금 등 형사 처벌을 가하는 것이다.</t>
  </si>
  <si>
    <t>행정법상 의무 위반에 대하여 비교적 경미한 처벌인 과태료를 부과하는 것을 말한다.</t>
    <phoneticPr fontId="2" type="noConversion"/>
  </si>
  <si>
    <t>비대체적 작위 의무 또는 부작위 의무의 불이행 시, 그 의무를 이행할 때까지 반복적으로 금전적 부담을 부과하여 의무자에게 심리적 압박을 가함으로써 간접적으로 의무 이행을 강제하는 수단이다.</t>
    <phoneticPr fontId="2" type="noConversion"/>
  </si>
  <si>
    <t>행정법상 의무를 위반하여 경제적 이익을 얻었을 때, 그 위반 이익을 박탈하고 동시에 제재를 가하는 수단이다.</t>
    <phoneticPr fontId="2" type="noConversion"/>
  </si>
  <si>
    <t>의무 위반 사실을 일반에게 공개하여 의무자에게 명예적 불이익을 줌으로써 의무 이행을 간접적으로 압박하는 수단이다.</t>
    <phoneticPr fontId="2" type="noConversion"/>
  </si>
  <si>
    <t>의무자가 대체적 작위 의무를 이행하지 아니하는 경우, 행정청이 스스로 의무자가 해야 할 행위를 대신 행하거나 제3자로 하여금 행하게 하고, 그 비용을 의무자로부터 징수하는 행정강제 수단이다.</t>
    <phoneticPr fontId="2" type="noConversion"/>
  </si>
  <si>
    <t>의무자 본인이 아니더라도 제3자가 대신하여 이행할 수 있는 의무를 말한다.</t>
    <phoneticPr fontId="2" type="noConversion"/>
  </si>
  <si>
    <t>의무자 본인만이 행할 수 있는 행위를 의미한다.</t>
    <phoneticPr fontId="2" type="noConversion"/>
  </si>
  <si>
    <t>의무자에게 의무 불이행 사실, 대집행의 내용 및 범위, 대집행에 필요한 비용 등을 문서로써 알리고, 일정한 기간까지 의무를 이행하지 않으면 대집행을 실시한다는 뜻을 사전에 통지하는 행위이다.</t>
    <phoneticPr fontId="2" type="noConversion"/>
  </si>
  <si>
    <t>대집행 영장에 기재된 시기에 대집행 책임자(또는 위임을 받은 자)가 현장에 출장하여 실제로 의무를 대신 이행하는 행위이다.</t>
    <phoneticPr fontId="2" type="noConversion"/>
  </si>
  <si>
    <t>대집행에 소요된 비용을 의무자로부터 징수하는 행위이다.</t>
    <phoneticPr fontId="2" type="noConversion"/>
  </si>
  <si>
    <t>의무자가 계고에 정한 기간 내에 의무를 이행하지 아니한 경우, 행정청이 대집행을 실행하기 전에 대집행 영장을 의무자에게 발부하고 통지하는 행위이다.</t>
    <phoneticPr fontId="2" type="noConversion"/>
  </si>
  <si>
    <t>행정법상 의무 불이행이 있는 경우, 행정청이 의무자의 신체나 재산에 직접적인 실력을 가하여 의무 이행이 있었던 것과 같은 상태를 실현하거나, 또는 의무 이행을 강제하는 행정강제 수단을 말한다.</t>
    <phoneticPr fontId="2" type="noConversion"/>
  </si>
  <si>
    <t>공법상 금전 급부 의무(조세, 수수료 등)를 이행하지 않는 경우, 행정청이 국세 또는 지방세 징수 등의 법규에 따라 의무자의 재산에 실력을 행사하여 그 의무를 이행시키는 행정강제 수단을 말한다.</t>
    <phoneticPr fontId="2" type="noConversion"/>
  </si>
  <si>
    <t>의무자가 납부 기한까지 공법상 금전 급부 의무를 이행하지 않은 경우, 행정청이 의무자에게 납부 기한을 다시 지정하여 기한 내에 이행하지 않으면 강제징수 절차에 들어갈 것을 예고하는 행위이다.</t>
    <phoneticPr fontId="2" type="noConversion"/>
  </si>
  <si>
    <t>독촉에도 불구하고 의무자가 지정된 기한까지 금전 급부 의무를 이행하지 않을 때, 행정청이 의무자의 재산에 실력을 행사하여 강제적으로 체납액을 징수하는 일련의 절차를 말한다.</t>
    <phoneticPr fontId="2" type="noConversion"/>
  </si>
  <si>
    <t>행정청이 체납자의 재산에 대한 사실상의 처분권을 박탈하고, 강제징수 목적물로 확보하는 행위이다.</t>
    <phoneticPr fontId="2" type="noConversion"/>
  </si>
  <si>
    <t>압류된 재산을 환가하여 현금으로 바꾸는 절차를 말한다.</t>
    <phoneticPr fontId="2" type="noConversion"/>
  </si>
  <si>
    <t>매각(공매)을 통해 확보된 금액을 가지고 체납된 공법상 채권을 충당하고, 남은 금액이 있을 경우 체납자에게 돌려주는 절차이다.</t>
    <phoneticPr fontId="2" type="noConversion"/>
  </si>
  <si>
    <t xml:space="preserve"> 독촉</t>
    <phoneticPr fontId="2" type="noConversion"/>
  </si>
  <si>
    <t xml:space="preserve"> 체납처분</t>
    <phoneticPr fontId="2" type="noConversion"/>
  </si>
  <si>
    <t xml:space="preserve">  압류</t>
    <phoneticPr fontId="2" type="noConversion"/>
  </si>
  <si>
    <t xml:space="preserve">  매각(공매)</t>
    <phoneticPr fontId="2" type="noConversion"/>
  </si>
  <si>
    <t xml:space="preserve">  청산</t>
    <phoneticPr fontId="2" type="noConversion"/>
  </si>
  <si>
    <t>의무를 명할 시간적 여유가 없거나, 또는 의무를 명하는 것만으로는 목적을 달성하기 곤란할 때, 행정청이 직접 국민의 신체나 재산에 실력을 행사하여 행정상 필요한 상태를 실현하는 행정작용이다.</t>
    <phoneticPr fontId="2" type="noConversion"/>
  </si>
  <si>
    <t>사람의 신체나 행동의 자유에 실력을 행사하여 행정목적을 달성하는 즉시강제를 말한다.</t>
    <phoneticPr fontId="2" type="noConversion"/>
  </si>
  <si>
    <t>사람의 소유물이나 기타 재산에 실력을 행사하여 행정목적을 달성하는 즉시강제를 말한다.</t>
    <phoneticPr fontId="2" type="noConversion"/>
  </si>
  <si>
    <t>행정청이 국민의 주거지나 기타 사적인 공간(가택)에 출입하여 행정상 필요한 조치를 취하는 즉시강제를 말한다.</t>
    <phoneticPr fontId="2" type="noConversion"/>
  </si>
  <si>
    <t>비대체적 작위 의무나 부작위 의무를 이행하지 아니하는 경우, 의무를 이행할 때까지 반복적으로 금전적 부담을 부과하여 의무자에게 심리적 압박을 가하여 의무 이행을 강제하는 행정강제 수단이다.</t>
    <phoneticPr fontId="2" type="noConversion"/>
  </si>
  <si>
    <t>행정기관이 정책 결정이나 직무 수행에 필요한 정보를 수집하기 위해 현장조사・문서열람・시료채취 등을 하거나 조사대상자에게 보고요구・자료제출요구 및 출석・진술요구를 행하는 활동이다.</t>
    <phoneticPr fontId="2" type="noConversion"/>
  </si>
  <si>
    <t>행정기관이 그 임무를 수행하는 데 필요한 일반적・추상적인 권한을 부여하는 근거를 말한다.</t>
    <phoneticPr fontId="2" type="noConversion"/>
  </si>
  <si>
    <t>행정조사 행위를 할 수 있는 구체적인 권한과 이에 대응하는 국민의 의무 및 제재에 관한 근거를 말한다.</t>
    <phoneticPr fontId="2" type="noConversion"/>
  </si>
  <si>
    <t>주관적 소송</t>
    <phoneticPr fontId="2" type="noConversion"/>
  </si>
  <si>
    <t>객관적 소송</t>
    <phoneticPr fontId="2" type="noConversion"/>
  </si>
  <si>
    <t>형성의 소</t>
    <phoneticPr fontId="2" type="noConversion"/>
  </si>
  <si>
    <t>이행의 소</t>
    <phoneticPr fontId="2" type="noConversion"/>
  </si>
  <si>
    <t>확인의 소</t>
    <phoneticPr fontId="2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</si>
  <si>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2" type="noConversion"/>
  </si>
  <si>
    <t>소송 절차에서 당사자의 주장이나 제출된 증거에 구속되지 않고, 법원이 스스로 증거를 수집하여 사실관계를 밝혀내는 원칙을 의미한다.</t>
    <phoneticPr fontId="2" type="noConversion"/>
  </si>
  <si>
    <t>행정법 관계에서 행정주체나 다른 사인에 대해 특정한 행위나 급부를 요구하거나 특정한 법적 이익을 향유할 수 있는 힘이다.</t>
  </si>
  <si>
    <t>행정법 관계에서 행정주체나 다른 사인에 대해 특정한 행위를 하거나 하지 않아야 할 법적 구속이다.</t>
  </si>
  <si>
    <t>행정주체의 의사를 결정하고 대외적으로 표시하거나 결정된 의사를 집행하는 국가 또는 공공단체의 내부적 구성 요소를 말한다.</t>
  </si>
  <si>
    <t>행정주체의 최종적인 의사를 형성하고 결정하는 기관을 말한다.</t>
  </si>
  <si>
    <t>의사결정 기관에 의해 결정된 행정주체의 의사를 현장에서 사실적으로 실현하는 기관을 말한다.</t>
  </si>
  <si>
    <t>의사결정 기관 및 집행 기관의 직무 수행을 기술적 또는 행정적으로 지원하는 기관이다.</t>
  </si>
  <si>
    <t>주요 정책 결정에 앞서 전문적 지식을 바탕으로 행정청에게 조언이나 의견을 제시하는 기관이다.</t>
  </si>
  <si>
    <t>법률이 정한 바에 따라 독립적인 심의 및 의결 권한을 가지며, 행정청의 결정을 일정 부분 구속할 수 있는 기관이다.</t>
  </si>
  <si>
    <t>가장 포괄적인 행정주체로서, 모든 공법상 권리 능력의 원천이다.</t>
  </si>
  <si>
    <t>지방자치법 등 개별 법률에 의해 법인격이 인정된 지역적인 행정주체이다.</t>
  </si>
  <si>
    <t>국가나 지방자치단체 이외에 특정 공익 목적을 위해 설립된 공법상 법인을 총칭한다.</t>
  </si>
  <si>
    <t>원래 공법상 법인격이 없는 사인이지만, 법률 또는 행정주체의 처분(위탁)에 의해 특정 공무를 위임받아 자신의 이름으로 처리하는 자이다.</t>
  </si>
  <si>
    <t>행정주체의 행정작용에 의해 직접적으로 법적 효과 또는 영향을 받는 상대방을 의미한다.</t>
  </si>
  <si>
    <t>행정주체 내부에서 행정기관 상호 간 또는 행정주체와 그 소속 공무원 간에 발생하는 법률관계를 의미한다.</t>
  </si>
  <si>
    <t>행정주체가 공권력 행사를 통하여 일방적으로 우월한 지위에서 행정객체의 법적 지위에 영향을 미치는 법률관계이다.</t>
  </si>
  <si>
    <t>행정주체가 재산관리주체로서 행정객체와 대등한 지위에서 특정한 공공복리의 실현을 위하여 공물 또는 사업을 관리・경영하는 법률관계를 의미한다.</t>
  </si>
  <si>
    <t>행정주체가 공익적 목적을 달성하기 위해 사법적 수단을 이용하는 경우 발생하는 법률관계를 의미한다.</t>
  </si>
  <si>
    <t>행정주체가 국가 또는 공공단체 그 자체가 아니라 단순한 사경제 주체로서 활동할 때 발생하는 법률관계를 의미한다.</t>
  </si>
  <si>
    <t>행정주체가 행정목적을 실현하기 위하여 행정객체 등과 맺는 법률관계를 총칭하며, 그 성격에 따라 크게 공법관계와 사법관계로 나뉜다.</t>
  </si>
  <si>
    <t>공익 목적을 직접적으로 달성하기 위해 행정주체가 우월적 지위에서 공권력의 주체로서 행하는 활동을 규율하는 관계이다.</t>
  </si>
  <si>
    <t>행정주체가 사인(私人)과 대등한 지위에서 사경제의 주체로서 행하는 활동을 규율하는 관계이다.</t>
  </si>
  <si>
    <t>공법관계 : 행정 법원의 관할이 되며, 항고소송, 당사자소송 등 행정소송법상 특별한 구제 수단이 적용된다. / 사법관계 : 민사 법원의 관할이 되며, 민사 소송을 통해 해결된다.</t>
  </si>
  <si>
    <t>법률관계의 당사자 중 일방이 행정주체거나 행정기관인 경우를 공법관계로 보는 견해이다.</t>
  </si>
  <si>
    <t>법률관계의 목적이 공익을 위한 것인지 사익을 위한 것인지를 기준으로 구별하는 견해이다.</t>
  </si>
  <si>
    <t>법률관계에서 행정주체가 어떤 법적 수단을 사용했는지에 따라 구별하는 견해이다.</t>
  </si>
  <si>
    <t>법률관계의 당사자, 목적, 수단 등을 복합적으로 고려하되, 궁극적으로는 어떤 이익(공익 또는 사익)의 보호에 더 밀접하게 관련되는지에 따라 구별한다.</t>
  </si>
  <si>
    <t>사인이 공법상의 일정한 사실을 행정기관에 통지하는 것을 의미하며, 공법상의 효과 발생을 목적으로 하는 사인의 법률행위적 공법행위의 일종이다.</t>
  </si>
  <si>
    <t>[행정행위 대상에 따른 구분] 상대방의 지식・학식・기술 등 주관적 사정을 고려하여 행해지는 행정행위이다.</t>
  </si>
  <si>
    <t>[행정행위 대상에 따른 구분] 그 행위의 대상인 물건이나 시설의 객관적 사정을 고려하여 행해지는 행정행위이다.</t>
  </si>
  <si>
    <t>[행정행위 내용에 따른 구분] 행정청의 의사 표시 내용대로 법적 효과가 발생하는 행정행위를 말한다. (명령적 행정행위 : 허가, 하명, 면제 / 형성적 행정행위 : 특허, 대리, 인가)</t>
  </si>
  <si>
    <t>[행정행위 내용에 따른 구분] 행정청의 의사 내용과는 관계없이 법률이 그 행위에 부여한 효과가 발생하는 행정행위를 말한다. (공증, 통지, 수리, 확인)</t>
  </si>
  <si>
    <t>행정청이 특정 개인에게 새로운 공법상 권리나 포괄적 법률관계를 설정해주는 행정행위를 말한다.</t>
  </si>
  <si>
    <t>사인이 행한 법률행위(주된 행위)를 행정청이 보충하여 그 법률적 효력을 완성시켜 주는 행정행위를 말한다.</t>
  </si>
  <si>
    <t>처분을 하기로 결정한 후, 그 처분의 내용, 시기, 조건 등을 선택할 수 있는 권한이다.</t>
  </si>
  <si>
    <t>[내용에 따른 분류] 국민의 권리 또는 이익의 보호를 목적으로 제기하는 소송을 말한다.</t>
  </si>
  <si>
    <t>[내용에 따른 분류] 개인의 권리 또는 이익의 보호와 관계없이 행정법 질서의 유지와 적정한 집행을 보장하기 위하여 제기하는 소송을 말한다.</t>
  </si>
  <si>
    <t>[성질에 따른 분류] 법원의 판결로 상대방에게 일정한 행위를 할 것을 명하는 것을 목적으로 하는 소송이다.</t>
  </si>
  <si>
    <t>[성질에 따른 분류] 법원의 판결에 의하여 특정한 권리 또는 법률 관계의 존부를 확인하는 것을 목적으로 하는 소송이다.</t>
  </si>
  <si>
    <t>소송 요건을 갖추지 못하여 본안 심리를 할 수 없을 때, 본안에 대한 판단 없이 소송을 배척하는 판결이다.</t>
  </si>
  <si>
    <t>소송 요건은 갖추었으나, 본안 심리 결과 처분의 위법성이 인정되지 않을 때 원고의 청구를 배척하는 판결이다.</t>
  </si>
  <si>
    <t>소송 요건을 갖추었고, 본안 심리 결과 처분의 위법성이 인정될 때 원고의 청구를 받아들여 처분을 취소하는 판결이다.</t>
  </si>
  <si>
    <t>판결의 취지에 따라 당사자인 행정청과 관계 행정청이 동일한 위법을 반복하지 않도록 구속하는 효력을 말한다.</t>
  </si>
  <si>
    <t>확정된 판결의 내용이 후소에 구속력을 가지는 것을 말한다.</t>
  </si>
  <si>
    <t>취소 판결이 확정되면 그 판결에 의해 행정 처분의 효력이 소멸되는 것을 말한다.</t>
  </si>
  <si>
    <t>행정법 관계에서 자신의 이름과 책임 하에 공법상 권리를 가지고 의무를 부담하는 법적 실체를 의미한다.</t>
  </si>
  <si>
    <t>공무원이 행정주체의 행정 활동을 수행하기 위해 맺는 특별한 공법 관계, 즉 특별 권력 관계로 이해되어 왔다.</t>
  </si>
  <si>
    <t>행정청이 법규가 정한 요건이 충족되었을 때 해당 처분을 할 것인지 말 것인지를 선택할 수 있는 권한이다.</t>
  </si>
  <si>
    <t>[성질에 따른 분류] 법원의 판결에 의하여 새로운 법률 관계를 형성시키거나 기존의 법률 관계를 변경・소멸시키는 것을 목적으로 하는 소송이다.</t>
    <phoneticPr fontId="2" type="noConversion"/>
  </si>
  <si>
    <t>행정청의 위법한 처분 그 밖의 공권력의 행사・불행사 등으로 인한 국민의 권리 또는 이익의 침해를 구제하는 기능을 말한다.</t>
    <phoneticPr fontId="2" type="noConversion"/>
  </si>
  <si>
    <t>개인의 권리 구제를 넘어, 행정기관이 법률이 정한 범위 내에서 적법하게 권한을 행사하도록 간접적으로 통제하는 공익적 기능을 수행한다.</t>
    <phoneticPr fontId="2" type="noConversion"/>
  </si>
  <si>
    <t>개인의 구체적인 권리 또는 법률상 이익의 침해를 구제하고 보호하는 것을 주된 목적으로 하는 소송이다.</t>
    <phoneticPr fontId="2" type="noConversion"/>
  </si>
  <si>
    <t>행정청의 처분등이나 부작위에 대하여 제기하는 소송이다.</t>
    <phoneticPr fontId="2" type="noConversion"/>
  </si>
  <si>
    <t>개인의 권리 구제와는 무관하게, 행정작용의 적법성을 보장하고 객관적인 법질서의 유지를 목적으로 하는 소송이다.</t>
    <phoneticPr fontId="2" type="noConversion"/>
  </si>
  <si>
    <t>국가 또는 공공단체의 기관이 법률에 위반되는 행위를 한 때에 직접 자기의 법률상 이익과 관계없이 그 시정을 구하기 위하여 제기하는 소송이다.</t>
    <phoneticPr fontId="2" type="noConversion"/>
  </si>
  <si>
    <t>국가 또는 공공단체의 기관상호간에 있어서의 권한의 존부 또는 그 행사에 관한 다툼이 있을 때에 이에 대하여 제기하는 소송이다.</t>
    <phoneticPr fontId="2" type="noConversion"/>
  </si>
  <si>
    <t>법원의 판결이 어떤 형태의 법적 효과를 발생시키는가를 기준으로 분류한다.</t>
    <phoneticPr fontId="2" type="noConversion"/>
  </si>
  <si>
    <t>법원의 판결이 기존의 법률관계를 발생, 변경, 소멸시키는 등 직접적인 법적 효과를 발생(형성)시키는 것을 목적으로 하는 소송이다.</t>
    <phoneticPr fontId="2" type="noConversion"/>
  </si>
  <si>
    <t>법원의 판결이 피고에게 특정 작위(행동)나 부작위(금지) 또는 급부(지급) 의무를 명령하는 것을 목적으로 하는 소송이다.</t>
    <phoneticPr fontId="2" type="noConversion"/>
  </si>
  <si>
    <t>법원의 판결이 특정한 권리 관계나 법적 사실의 존재 또는 부존재를 확인하는 것을 목적으로 하는 소송이다.</t>
    <phoneticPr fontId="2" type="noConversion"/>
  </si>
  <si>
    <t>행정청의 처분의 효력 유무 또는 존재 여부를 확인하는 소송이다.</t>
    <phoneticPr fontId="2" type="noConversion"/>
  </si>
  <si>
    <t>행정청이 당사자의 신청에 대하여 상당한 기간 내에 일정한 처분을 해야 할 법률상의 의무가 있음에도 불구하고 이를 하지 않는 것(부작위)이 위법하다는 것을 확인하는 소송이다.</t>
    <phoneticPr fontId="2" type="noConversion"/>
  </si>
  <si>
    <t>구체적인 사건에 적용되는 법규 명령의 위헌・위법성을 해당 처분에 대한 소송 심리 과정에서 간접적으로 심사할 수 있다는 것을 의미한다.</t>
    <phoneticPr fontId="2" type="noConversion"/>
  </si>
  <si>
    <t>법원의 심사 기능 자체가 미치지 못하는 영역을 말한다. (통치 행위)</t>
    <phoneticPr fontId="2" type="noConversion"/>
  </si>
  <si>
    <t>행정기관이 재량권의 한계를 넘어서 행위하거나, 재량권 내에서 행위했더라도 그 목적이 정당하지 않거나 비례 원칙 등 일반적인 법 원칙에 위반되는 것을 의미한다.</t>
    <phoneticPr fontId="2" type="noConversion"/>
  </si>
  <si>
    <t>행정청이 국민에 대하여 특정한 작위(처분)를 할 의무가 있음에도 불구하고 이를 이행하지 않을 때, 법원이 직접 행정기관에게 그 처분 또는 행위를 하도록 명령하는 소송 형식을 말한다.</t>
    <phoneticPr fontId="2" type="noConversion"/>
  </si>
  <si>
    <t>장래에 행정기관의 위법한 처분 등 공권력 행사로 인하여 회복하기 어려운 손해를 입을 우려가 있을 때, 미리 법원에 그 행위의 금지를 청구하는 소송 형식을 말한다.</t>
    <phoneticPr fontId="2" type="noConversion"/>
  </si>
  <si>
    <t>법원이 본안 심리에 들어가 원고의 청구가 정당한지 여부를 판단하기 전에 소송 자체가 법적으로 적법하게 제기되었는지를 심사하기 위한 절차적 요건을 말한다.</t>
    <phoneticPr fontId="2" type="noConversion"/>
  </si>
  <si>
    <t xml:space="preserve"> 대상적격</t>
    <phoneticPr fontId="2" type="noConversion"/>
  </si>
  <si>
    <t xml:space="preserve"> 원고적격</t>
    <phoneticPr fontId="2" type="noConversion"/>
  </si>
  <si>
    <t xml:space="preserve">  법률상 이익</t>
    <phoneticPr fontId="2" type="noConversion"/>
  </si>
  <si>
    <t xml:space="preserve"> 협의의 소의 이익</t>
    <phoneticPr fontId="2" type="noConversion"/>
  </si>
  <si>
    <t xml:space="preserve"> 피고적격</t>
    <phoneticPr fontId="2" type="noConversion"/>
  </si>
  <si>
    <t xml:space="preserve"> 제소기간</t>
    <phoneticPr fontId="2" type="noConversion"/>
  </si>
  <si>
    <t>소송 심사의 대상이 되는 행정작용이 법이 정한 요건을 충족하는지 여부에 관한 요건이다.</t>
    <phoneticPr fontId="2" type="noConversion"/>
  </si>
  <si>
    <t>소송을 제기하는 자(원고)가 해당 소송을 수행할 수 있는 법률상의 자격을 갖추었는지 여부에 관한 요건이다.</t>
    <phoneticPr fontId="2" type="noConversion"/>
  </si>
  <si>
    <t>단순한 사실상의 이익이나 경제적인 이익을 넘어, 공익 보호의 관점에서 구체적 법규범에 의해 보호되는 개인의 권익을 말한다.</t>
    <phoneticPr fontId="2" type="noConversion"/>
  </si>
  <si>
    <t>원고가 소송에서 승소 판결을 받음으로써 법적으로 유효한 권리 구제를 받을 필요성이 있는지 여부에 관한 요건이다.</t>
    <phoneticPr fontId="2" type="noConversion"/>
  </si>
  <si>
    <t>소송을 당하는 자(피고)가 법률상 소송의 상대방이 될 수 있는 자격을 갖추었는지 여부에 관한 요건이다.</t>
    <phoneticPr fontId="2" type="noConversion"/>
  </si>
  <si>
    <t>취소소송을 일정한 기간 내에 제기해야 하는 요건이다.</t>
    <phoneticPr fontId="2" type="noConversion"/>
  </si>
  <si>
    <t>행정에 관한 의사를 결정하여 대외적으로 표시할 수 있는 기관을 말한다.</t>
    <phoneticPr fontId="2" type="noConversion"/>
  </si>
  <si>
    <t>행정심판 절차를 거쳐 나오는 판단이다.</t>
    <phoneticPr fontId="2" type="noConversion"/>
  </si>
  <si>
    <t>행정청이 행하는 구체적 사실에 관한 법집행으로서의 공권력의 행사 또는 그 거부와 그 밖에 이에 준하는 행정작용을 말한다.</t>
    <phoneticPr fontId="2" type="noConversion"/>
  </si>
  <si>
    <t>국가나 지방자치단체 등의 행정주체를 위하여 대외적으로 의사를 결정하고 표시할 권한을 가진 기관을 의미한다.</t>
    <phoneticPr fontId="2" type="noConversion"/>
  </si>
  <si>
    <t>전통적인 행정행위 개념으로는 포괄하기 어려운 다양한 행정작용을 사법 심사의 대상으로 포섭하려는 취지이다.</t>
    <phoneticPr fontId="2" type="noConversion"/>
  </si>
  <si>
    <t>취소소송을 제기하기 전에 법률이 정한 행정심판 절차를 반드시 거치도록 강제하는 제도를 말한다.</t>
    <phoneticPr fontId="2" type="noConversion"/>
  </si>
  <si>
    <t>개별 법률에서 행정심판의 재결을 거치지 아니하면 취소소송을 제기할 수 없다고 명시적으로 규정한 것을 말한다.</t>
    <phoneticPr fontId="2" type="noConversion"/>
  </si>
  <si>
    <t>취소소송은 법령의 규정에 따라 당해 처분에 대한 행정심판을 제기할 수 있는 경우에도 이를 거치지 아니하고 제기할 수 있다고 규정한 것이다.</t>
    <phoneticPr fontId="2" type="noConversion"/>
  </si>
  <si>
    <t>취소소송을 제기할 수 있는 법률이 정한 기간을 말한다.</t>
    <phoneticPr fontId="2" type="noConversion"/>
  </si>
  <si>
    <t>특정 법원이 어떤 사건에 대하여 심판권을 가지는지 여부에 대한 법률적 기준을 말한다.</t>
    <phoneticPr fontId="2" type="noConversion"/>
  </si>
  <si>
    <t xml:space="preserve"> 사물관할</t>
    <phoneticPr fontId="2" type="noConversion"/>
  </si>
  <si>
    <t xml:space="preserve"> 토지관할</t>
    <phoneticPr fontId="2" type="noConversion"/>
  </si>
  <si>
    <t>법원의 직능 분배에 관한 관할을 말한다.</t>
    <phoneticPr fontId="2" type="noConversion"/>
  </si>
  <si>
    <t>토지 구역 분배에 관한 관할을 말한다.</t>
    <phoneticPr fontId="2" type="noConversion"/>
  </si>
  <si>
    <t>처분등을 행한 행정청의 소재지를 의미한다.</t>
    <phoneticPr fontId="2" type="noConversion"/>
  </si>
  <si>
    <t>법률이 특정 법원에 사건의 심판권을 배타적으로 귀속시키는 것으로, 당사자 합의나 응소에 의해 관할을 발생시킬 수 없다.</t>
    <phoneticPr fontId="2" type="noConversion"/>
  </si>
  <si>
    <t>어느 법원에 일단 계속된 소송을 그 법원의 재판에 의하여 다른 법원의 관할로 이전하는 것을 말한다.</t>
    <phoneticPr fontId="2" type="noConversion"/>
  </si>
  <si>
    <t>취소소송 등과 관련 청구소송이 각각 다른 법원에 계속되고 있는 경우, 관련 청구소송이 계속된 법원이 상당하다고 인정하는 때에 이를 취소소송이 계속된 법원으로 이송하는 것을 말한다.</t>
    <phoneticPr fontId="2" type="noConversion"/>
  </si>
  <si>
    <t>법원이 소송 당사자의 주장과 증거를 통하여 사실 관계와 법률 관계를 파악하고 판결의 기초를 형성하는 일련의 재판 활동을 말한다.</t>
    <phoneticPr fontId="2" type="noConversion"/>
  </si>
  <si>
    <t>소송 요건의 적법성 여부를 따지는 심리이다.</t>
    <phoneticPr fontId="2" type="noConversion"/>
  </si>
  <si>
    <t>청구 내용의 당부를 판단하는 심리이다.</t>
    <phoneticPr fontId="2" type="noConversion"/>
  </si>
  <si>
    <t>법원이 당사자가 청구한 범위 내에서만 심판해야 한다는 소송법상 원칙이다.</t>
    <phoneticPr fontId="2" type="noConversion"/>
  </si>
  <si>
    <t>처분에 적용된 법령의 해석 및 적용의 위법성 여부로서, 법원의 전적인 심사 대상이 된다.</t>
    <phoneticPr fontId="2" type="noConversion"/>
  </si>
  <si>
    <t>처분의 기초가 되는 사실 인정의 객관성 및 정당성 여부이다.</t>
    <phoneticPr fontId="2" type="noConversion"/>
  </si>
  <si>
    <t>당사자가 자신에게 유리한 사실을 주장하지 않아 불이익한 판결을 받게 되는 위험을 말한다.</t>
    <phoneticPr fontId="2" type="noConversion"/>
  </si>
  <si>
    <t>어떤 사실의 존재 또는 부존재가 심리 결과 불명확할 때, 그 불명확함으로 인하여 불리한 판결을 받게 되는 위험을 말한다.</t>
    <phoneticPr fontId="2" type="noConversion"/>
  </si>
  <si>
    <t>입증책임(증명책임)</t>
    <phoneticPr fontId="2" type="noConversion"/>
  </si>
  <si>
    <t>행정처분의 위법성 판단은 법원의 판결 당시의 법령과 사실 상태를 기준으로 해야 한다는 견해이다.</t>
    <phoneticPr fontId="2" type="noConversion"/>
  </si>
  <si>
    <t>사실 인정의 기준시는 처분시로 하되 법률 적용의 기준시는 판결시로 해야 한다는 등의 다양한 입장을 취하며, 처분시설과 판결시설의 장점을 절충하려는 시도이다.</t>
    <phoneticPr fontId="2" type="noConversion"/>
  </si>
  <si>
    <t>행정처분의 위법성 판단은 처분 당시의 법령과 사실 상태를 기준으로 해야 한다는 견해이다.(판례)</t>
    <phoneticPr fontId="2" type="noConversion"/>
  </si>
  <si>
    <t>행정청이 소송 계속 중에 새로운 처분 절차를 거쳐 당초 처분 자체를 소급적 또는 장래적으로 취소하거나 철회 또는 변경하는 것을 말한다.</t>
    <phoneticPr fontId="2" type="noConversion"/>
  </si>
  <si>
    <t>법원이 원고가 주장하지 않은 위법 사유를 직권으로 조사하여 처분의 위법성을 판단하는 법원의 권능이다.</t>
    <phoneticPr fontId="2" type="noConversion"/>
  </si>
  <si>
    <t>다툼의 대상이 되는 권리 관계에 대하여 현상 변경을 금지하거나 임시적인 지위를 정하여 본안 소송의 판결이 확정될 때까지 권리자의 손해를 방지하는 법원의 잠정적 처분을 말한다.</t>
    <phoneticPr fontId="2" type="noConversion"/>
  </si>
  <si>
    <t>원고가 주된 청구와 관련 청구 중 어느 하나를 선택적으로 구하는 경우이다.</t>
    <phoneticPr fontId="2" type="noConversion"/>
  </si>
  <si>
    <t>원고가 주된 청구의 인용을 구할 것을 1차적 희망으로 하고, 그것이 받아들여지지 않을 경우를 대비하여 2차적으로 관련 청구의 인용을 구하는 형태이다.</t>
    <phoneticPr fontId="2" type="noConversion"/>
  </si>
  <si>
    <t>취소소송과 관련청구소송이 각각 다른 법원에 계속되고 있는 경우, 관련청구소송이 계속된 법원의 재판에 따라 그 사건을 취소소송이 계속된 법원으로 이전하는 것을 말한다.</t>
    <phoneticPr fontId="2" type="noConversion"/>
  </si>
  <si>
    <t>이송 결정이 확정되면 이송받은 법원은 이송 결정에 따라야 하며, 그 사건을 다시 다른 법원에 이송하지 못한다.</t>
    <phoneticPr fontId="2" type="noConversion"/>
  </si>
  <si>
    <t>소송 계속 중 원고가 청구의 기초를 동일하게 유지하면서 종래의 청구 즉 구소(舊訴)를 새로운 청구 즉 신소(新訴)로 교환하거나 추가하는 행위를 말한다.</t>
    <phoneticPr fontId="2" type="noConversion"/>
  </si>
  <si>
    <t>취소소송을 당사자소송 또는 취소소송 외의 항고소송(무효등 확인소송, 부작위위법확인소송)으로 변경하는 것을 원고의 신청에 의해 법원의 허가를 받아 허용하는 제도이다.</t>
    <phoneticPr fontId="2" type="noConversion"/>
  </si>
  <si>
    <t>이미 발생한 행정처분등의 효력이 유효함을 확인하는 소송이다.</t>
    <phoneticPr fontId="2" type="noConversion"/>
  </si>
  <si>
    <t>행정청의 행위가 외형상 존재하는 것처럼 보일지라도, 행정행위로서의 성립 요건을 갖추지 못하여 아예 행정처분 자체가 성립되지 않았음을 확인하는 소송이다.</t>
    <phoneticPr fontId="2" type="noConversion"/>
  </si>
  <si>
    <t>이미 유효하게 성립한 처분등의 효력이 특정한 사유(법령의 폐지, 부관의 성취, 적법한 철회 등)로 인해 장래를 향하여 소멸하였음을 확인하는 소송이다.</t>
    <phoneticPr fontId="2" type="noConversion"/>
  </si>
  <si>
    <t>무효등 확인소송의 대상은 행정청의 처분 또는 재결이다.</t>
    <phoneticPr fontId="2" type="noConversion"/>
  </si>
  <si>
    <t>행정청이 행하는 구체적 사실에 관한 법 집행으로서의 공권력 행사 또는 그 거부와 그 밖에 이에 준하는 행정작용을 말한다.</t>
    <phoneticPr fontId="2" type="noConversion"/>
  </si>
  <si>
    <t>행정심판의 심리 결과에 따라 행정심판위원회가 행하는 판단이다.</t>
    <phoneticPr fontId="2" type="noConversion"/>
  </si>
  <si>
    <t>소송의 당사자가 자기에게 유리한 판결을 얻기 위해 소송 요건이나 청구 원인에 관한 사실을 주장해야 하는 책임을 말한다.</t>
    <phoneticPr fontId="2" type="noConversion"/>
  </si>
  <si>
    <t>법관이 어떤 사실의 존재 여부를 확신할 수 없을 때, 그 사실의 존부가 불분명함으로 인해 불이익을 받게 되는 당사자가 지는 책임을 말한다.</t>
    <phoneticPr fontId="2" type="noConversion"/>
  </si>
  <si>
    <t>법원이 처분의 위법성 유무를 판단할 때 언제 시점을 기준으로 해당 처분의 법적합성을 판단해야 하는지의 문제이다.</t>
    <phoneticPr fontId="2" type="noConversion"/>
  </si>
  <si>
    <t>소송 요건이 결여되었을 때 본안 심리를 거절하는 형식적인 판결이다.</t>
    <phoneticPr fontId="2" type="noConversion"/>
  </si>
  <si>
    <t>원고의 무효등 확인 청구가 이유 있다고 인정될 때 법원이 내리는 판결이다.</t>
    <phoneticPr fontId="2" type="noConversion"/>
  </si>
  <si>
    <t>원고의 무효등 확인 청구가 이유 없다고 인정될 때 법원이 내리는 판결이다.</t>
    <phoneticPr fontId="2" type="noConversion"/>
  </si>
  <si>
    <t>비록 처분이 위법하지만, 인용 판결을 내릴 경우 공공복리에 현저한 영향을 미칠 우려가 있다고 인정될 때 법원이 청구를 기각하는 판결을 말한다.</t>
    <phoneticPr fontId="2" type="noConversion"/>
  </si>
  <si>
    <t>판결의 내용에 따라 행정청과 그 밖의 관계 행정청이 동일한 사안에 대해 같은 처분 또는 재결을 반복하거나 판결의 취지에 반하는 행위를 할 수 없도록 구속하는 효력을 말한다.</t>
    <phoneticPr fontId="2" type="noConversion"/>
  </si>
  <si>
    <t>판결의 효력이 당사자뿐만 아니라 제3자에게도 미친다는 것을 의미한다.</t>
    <phoneticPr fontId="2" type="noConversion"/>
  </si>
  <si>
    <t>제3자효</t>
    <phoneticPr fontId="2" type="noConversion"/>
  </si>
  <si>
    <t>행정청이 판결의 취지에 따른 재처분 의무를 이행하지 않을 때, 법원이 간접적으로 금전적 제재를 가하여 심리적 압박을 가함으로써 그 의무 이행을 강제하는 수단이다.</t>
    <phoneticPr fontId="2" type="noConversion"/>
  </si>
  <si>
    <t>확정된 종국판결에 중대한 하자가 있는 경우 그 판결의 취소를 구하고 사건을 다시 심리하는 비상적인 불복 방법이다.</t>
    <phoneticPr fontId="2" type="noConversion"/>
  </si>
  <si>
    <t>하자가 행정행위의 중요한 요건을 위반한 것을 의미한다.</t>
    <phoneticPr fontId="2" type="noConversion"/>
  </si>
  <si>
    <t>하자의 존재가 외관상 누구나 알 수 있을 정도로 분명한 것을 의미한다.</t>
    <phoneticPr fontId="2" type="noConversion"/>
  </si>
  <si>
    <t>원고가 소송을 통해 제1차적으로 심판을 구하는 청구를 의미한다.</t>
    <phoneticPr fontId="2" type="noConversion"/>
  </si>
  <si>
    <t>주위적 청구가 법원에서 기각되거나 각하될 경우를 대비하여 제2차적으로 심판을 구하는 청구를 의미한다.</t>
    <phoneticPr fontId="2" type="noConversion"/>
  </si>
  <si>
    <t>다툼 있는 권리 관계에 대해 본안 판결이 확정되기까지 법률 관계의 현상을 임시적으로 정하는 제도를 말한다. 무효등 확인소송에서 가처분은 원칙적으로 부정한다.</t>
    <phoneticPr fontId="2" type="noConversion"/>
  </si>
  <si>
    <t>당해 처분 또는 재결과 관련된 손해배상, 부당이득반환, 원상회복 등의 소송이나, 당해 처분 또는 재결을 원인으로 하는 법률관계에 관한 소송을 말한다.</t>
    <phoneticPr fontId="2" type="noConversion"/>
  </si>
  <si>
    <t>행정청이 당사자의 신청에 대하여 상당한 기간 내에 일정한 처분을 하여야 할 법률상 의무가 있음에도 불구하고 이를 하지 않은 경우(부작위)에 그 부작위가 위법함을 확인하는 소송을 말한다.</t>
    <phoneticPr fontId="2" type="noConversion"/>
  </si>
  <si>
    <t>사회 통념상 행정청이 처분을 할 것으로 기대되는 합리적인 기간을 의미한다.</t>
    <phoneticPr fontId="2" type="noConversion"/>
  </si>
  <si>
    <t>행정청의 처분등을 직접적인 대상으로 하지 않고, 공법상의 법률관계에 관하여 그 일방 당사자를 피고로 하여 제기하는 소송을 말한다.</t>
    <phoneticPr fontId="2" type="noConversion"/>
  </si>
  <si>
    <t>행정주체와 사인 간에 발생하는 공법적인 권리・의무 관계를 말하며, 이는 법규, 공법상 계약, 공법상 사실행위 등 다양한 원인에 의해 발생할 수 있다.</t>
    <phoneticPr fontId="2" type="noConversion"/>
  </si>
  <si>
    <t>미확정의 종국판결에 대하여, 그것이 확정된 것과 같은 집행력을 부여하는 형식적 재판을 의미한다.</t>
    <phoneticPr fontId="2" type="noConversion"/>
  </si>
  <si>
    <t>국가 또는 공공단체의 기관이 법률에 위반되는 행위를 하였을 때, 개인의 법률상 이익과는 관계없이 공익의 보호를 위하여 법률이 정하는 자가 제기할 수 있는 소송을 말한다.</t>
    <phoneticPr fontId="2" type="noConversion"/>
  </si>
  <si>
    <t>국가 또는 공공단체의 기관 상호 간에 있어서의 권한의 존부 또는 그 행사에 관한 다툼이 있을 때, 이들 기관을 당사자로 하여 제기하는 소송을 말한다.</t>
    <phoneticPr fontId="2" type="noConversion"/>
  </si>
  <si>
    <t>행정청의 위법 또는 부당한 처분이나 부작위에 대하여 행정심판위원회가 심리・재결하는 절차를 말한다.</t>
    <phoneticPr fontId="2" type="noConversion"/>
  </si>
  <si>
    <t>행정청의 처분등에 대하여 그 처분청에 다시 심사를 청구하는 행위를 말한다.</t>
    <phoneticPr fontId="2" type="noConversion"/>
  </si>
  <si>
    <t>행정심판법에 그 종류와 절차가 규정되어 있는 행정심판을 말한다.</t>
    <phoneticPr fontId="2" type="noConversion"/>
  </si>
  <si>
    <t>행정청의 위법 또는 부당한 처분의 취소 또는 변경을 구하는 심판이다.</t>
    <phoneticPr fontId="2" type="noConversion"/>
  </si>
  <si>
    <t>행정청의 처분의 효력 유무 또는 존재 여부에 대한 확인을 구하는 심판이다.</t>
    <phoneticPr fontId="2" type="noConversion"/>
  </si>
  <si>
    <t>당사자의 신청에 대한 행정청의 위법 또는 부당한 거부처분이나 부작위에 대하여 일정한 처분을 하도록 구하는 심판이다.</t>
    <phoneticPr fontId="2" type="noConversion"/>
  </si>
  <si>
    <t>행정심판법이 아닌 개별 법률에서 특별한 사항에 대하여 규정하고 있는 행정심판을 말한다.</t>
    <phoneticPr fontId="2" type="noConversion"/>
  </si>
  <si>
    <t>행정청이 처분을 할 때 그 처분에 대하여 행정심판이나 행정소송의 제기 가능 여부, 제기하는 경우 청구 또는 소송 제기 기간과 기관 등을 당사자에게 알려주어야 하는 제도를 말한다.</t>
    <phoneticPr fontId="2" type="noConversion"/>
  </si>
  <si>
    <t>행정청이 처분을 할 때 직권으로 처분에 대한 행정심판을 제기할 수 있는지, 제기하는 경우 심판청구 절차, 심판청구 기간을 당사자에게 알려야 한다고 규정한다.</t>
    <phoneticPr fontId="2" type="noConversion"/>
  </si>
  <si>
    <t xml:space="preserve"> 직권에 의한 고지</t>
    <phoneticPr fontId="2" type="noConversion"/>
  </si>
  <si>
    <t>당사자가 행정청의 처분에 대하여 행정심판을 청구할 수 있는지 여부 및 청구 기간과 청구 기관에 대하여 문의하는 경우, 행정청은 이에 대한 정보를 제공하여야 한다고 규정한다.</t>
    <phoneticPr fontId="2" type="noConversion"/>
  </si>
  <si>
    <t>행정심판에 의해 심사되어야 할 적합한 대상을 의미한다.</t>
    <phoneticPr fontId="2" type="noConversion"/>
  </si>
  <si>
    <t>당사자의 신청에 대하여 행정청이 그 신청에 따른 처분을 하지 않겠다는 의사를 외부에 표시하는 행위를 말한다.</t>
    <phoneticPr fontId="2" type="noConversion"/>
  </si>
  <si>
    <t>행정청이 당사자의 신청에 대하여 상당한 기간 내에 일정한 처분을 하여야 할 법률상 의무가 있음에도 불구하고 이를 하지 아니하는 것을 말한다.</t>
    <phoneticPr fontId="2" type="noConversion"/>
  </si>
  <si>
    <t>자기의 권리 또는 이익을 침해당했다고 주장하며 행정심판을 제기하는 당사자를 말한다.</t>
    <phoneticPr fontId="2" type="noConversion"/>
  </si>
  <si>
    <t>행정심판 청구에는 직접적인 당사자(청구인, 피청구인)는 아니지만, 그 심판의 재결에 이해관계가 있는 제3자 또는 행정청을 말한다.</t>
    <phoneticPr fontId="2" type="noConversion"/>
  </si>
  <si>
    <t>행정심판을 청구할 수 있는 법률상의 자격을 의미한다.</t>
    <phoneticPr fontId="2" type="noConversion"/>
  </si>
  <si>
    <t>행정심판 청구를 받은 행정청을 말한다.</t>
    <phoneticPr fontId="2" type="noConversion"/>
  </si>
  <si>
    <t>행정심판을 제기할 수 있는 법정된 기간을 말하며, 행정심판법은 국민의 신속한 권리 구제와 행정작용의 조기 확정을 위해 청구기간을 제한한다.</t>
    <phoneticPr fontId="2" type="noConversion"/>
  </si>
  <si>
    <t>행정심판의 청구는 처분의 효력이나 그 집행 또는 절차의 속행에 영향을 미치지 않는다는 것이 원칙이다.</t>
    <phoneticPr fontId="2" type="noConversion"/>
  </si>
  <si>
    <t>처분을 그대로 두면 회복하기 어려운 손해가 생길 우려가 있는 경우, 당사자의 신청 또는 행심위의 직권에 의해 처분의 효력, 집행 또는 절차의 속행의 전부 또는 일부를 정지할 수 있다.</t>
    <phoneticPr fontId="2" type="noConversion"/>
  </si>
  <si>
    <t>행정청의 위법 또는 부당한 처분이나 부작위에 대한 국민의 불복 청구를 심사하고, 이에 대한 결론인 재결을 내리는 합의제 행정기관을 말한다.</t>
    <phoneticPr fontId="2" type="noConversion"/>
  </si>
  <si>
    <t>법률이 정한 특정한 사유가 있는 경우, 그 위원이 당연히 그 심판에 참여할 수 없도록 배제되는 것을 말한다.</t>
    <phoneticPr fontId="2" type="noConversion"/>
  </si>
  <si>
    <t>당사자가 위원에게 공정한 심리・의결을 기대하기 어려운 사정이 있다고 판단될 때, 그 사유를 들어 위원의 심판 참여를 배제해 줄 것을 신청하는 제도를 말한다.</t>
    <phoneticPr fontId="2" type="noConversion"/>
  </si>
  <si>
    <t>제척 또는 기피 사유에 해당하는 위원 자신이 스스로 그 심판에서 물러나는 것을 말한다.</t>
    <phoneticPr fontId="2" type="noConversion"/>
  </si>
  <si>
    <t>처분이 집행되거나 지속될 경우 금전 보상으로는 완전히 회복하기 어렵거나, 회복이 가능하더라도 사회 통념상 참을 수 없는 유・무형의 손해를 의미한다.</t>
    <phoneticPr fontId="2" type="noConversion"/>
  </si>
  <si>
    <t>행정심판이 청구된 처분의 효력이나 그 집행, 또는 절차의 속행을 잠정적으로 정지시키는 결정을 말한다.</t>
    <phoneticPr fontId="2" type="noConversion"/>
  </si>
  <si>
    <t>처분 자체가 가지는 법적 효력을 정지시키는 것을 말한다.</t>
    <phoneticPr fontId="2" type="noConversion"/>
  </si>
  <si>
    <t>처분의 집행 행위(영업 정지 처분에 따른 간판 철거 명령)를 정지시키는 것이다.</t>
    <phoneticPr fontId="2" type="noConversion"/>
  </si>
  <si>
    <t>연속되는 행정 절차의 다음 단계로 나아가는 것을 정지시키는 것이다.</t>
    <phoneticPr fontId="2" type="noConversion"/>
  </si>
  <si>
    <t>의무이행심판에서 중요한 가구제 수단으로서, 집행정지로는 구제받을 수 없는 경우 당사자 또는 이해관계인의 권익 보호를 위해 임시적인 지위를 정하는 처분을 말한다.</t>
    <phoneticPr fontId="2" type="noConversion"/>
  </si>
  <si>
    <t>행정심판이 적법하게 제기되었는지, 즉 청구 요건을 갖추었는지 여부를 심리하는 것을 말한다.</t>
    <phoneticPr fontId="2" type="noConversion"/>
  </si>
  <si>
    <t>청구 요건을 갖춘 적법한 심판청구에 대하여, 청구인의 주장이 이유 있는지 여부를 심리하는 것을 말한다.</t>
    <phoneticPr fontId="2" type="noConversion"/>
  </si>
  <si>
    <t>법령 위반 여부를 말한다.</t>
    <phoneticPr fontId="2" type="noConversion"/>
  </si>
  <si>
    <t>당사자의 청구 범위에 한정되며, 청구인에게 불리하게 재결할 수 없다는 원칙이 적용된다.</t>
    <phoneticPr fontId="2" type="noConversion"/>
  </si>
  <si>
    <t>청구인이 신청한 범위 내에서만 심리하고 재결해야 함을 의미한다.</t>
    <phoneticPr fontId="2" type="noConversion"/>
  </si>
  <si>
    <t>행정심판위원회는 청구인의 심판청구에 대하여 청구의 대상이 되는 처분보다 청구인에게 불리한 재결을 하지 못한다는 원칙이다.</t>
    <phoneticPr fontId="2" type="noConversion"/>
  </si>
  <si>
    <t>심판청구인과 피청구인이 서로 대등한 입장에서 공격・방어방법을 제출하게 하고, 이때 제출된 공격・방어방법을 바탕으로 심리를 진행하는 원칙을 의미한다.</t>
    <phoneticPr fontId="2" type="noConversion"/>
  </si>
  <si>
    <t>행정심판위원회가 필요하다고 인정할 경우에는 당사자가 주장하지 아니한 사실에 대하여도 심리할 수 있고, 사건의 심리를 위해서는 직권으로 증거조사를 할 수 있다.</t>
    <phoneticPr fontId="2" type="noConversion"/>
  </si>
  <si>
    <t>심판의 개시, 심판의 대상, 심판의 종결을 당사자의 의사에 일임하는 것을 의미한다.</t>
    <phoneticPr fontId="2" type="noConversion"/>
  </si>
  <si>
    <t>피청구인인 행정청이 처분 당시 제시했던 사유 외에, 행정심판 과정에서 새로운 사유를 추가하거나 기존 사유를 변경하여 처분의 정당성을 입증하려는 행위를 말한다.</t>
    <phoneticPr fontId="2" type="noConversion"/>
  </si>
  <si>
    <t>서면심리주의와 구술심리주의를 함께 채택하고 있으며, 어느 방식을 취할 것인지는 행정심판위원희의 판단에 맡기고 있다.</t>
    <phoneticPr fontId="2" type="noConversion"/>
  </si>
  <si>
    <t>행정심판위원회에서 행정심판 청구 사건에 대한 심리를 마친 후 내리는 최종적인 판단을 말한다.</t>
    <phoneticPr fontId="2" type="noConversion"/>
  </si>
  <si>
    <t>심판청구가 청구 요건을 갖추지 못하여 부적법하다고 판단될 때, 본안 심리에 들어가지 않고 그 청구를 배척하는 재결을 말한다.</t>
    <phoneticPr fontId="2" type="noConversion"/>
  </si>
  <si>
    <t xml:space="preserve"> 각하재결</t>
    <phoneticPr fontId="2" type="noConversion"/>
  </si>
  <si>
    <t xml:space="preserve"> 기각재결</t>
    <phoneticPr fontId="2" type="noConversion"/>
  </si>
  <si>
    <t xml:space="preserve"> 인용재결</t>
    <phoneticPr fontId="2" type="noConversion"/>
  </si>
  <si>
    <t xml:space="preserve">  취소재결</t>
    <phoneticPr fontId="2" type="noConversion"/>
  </si>
  <si>
    <t xml:space="preserve">  확인재결</t>
    <phoneticPr fontId="2" type="noConversion"/>
  </si>
  <si>
    <t xml:space="preserve">  의무이행재결</t>
    <phoneticPr fontId="2" type="noConversion"/>
  </si>
  <si>
    <t xml:space="preserve">   처분재결</t>
    <phoneticPr fontId="2" type="noConversion"/>
  </si>
  <si>
    <t xml:space="preserve">   처분명령재결</t>
    <phoneticPr fontId="2" type="noConversion"/>
  </si>
  <si>
    <t>심판청구가 적법하여 본안 심리를 하였으나, 청구인의 주장이 이유가 없다고 판단될 때, 청구를 배척하는 재결을 말한다.</t>
    <phoneticPr fontId="2" type="noConversion"/>
  </si>
  <si>
    <t>심판청구가 적법하고 청구인의 주장이 이유 있다고 판단될 때, 청구인의 주장을 받아들이는 재결을 말한다.</t>
    <phoneticPr fontId="2" type="noConversion"/>
  </si>
  <si>
    <t>거부처분 또는 부작위에 대하여 일정한 처분을 하도록 하는 재결이다.</t>
    <phoneticPr fontId="2" type="noConversion"/>
  </si>
  <si>
    <t>위원회가 직접 처분을 하는 재결이다.</t>
    <phoneticPr fontId="2" type="noConversion"/>
  </si>
  <si>
    <t>피청구인에게 처분을 명하는 재결이다.</t>
    <phoneticPr fontId="2" type="noConversion"/>
  </si>
  <si>
    <t>소송의 목적이 개인(주관적)의 권익 구제에 있는지, 아니면 행정의 객관적인 법률 적합성 확보에 있는지를 기준으로 나누는 것이다.</t>
  </si>
  <si>
    <t>행정청의 처분등을 원인으로 하는 법률관계에 관한 소송 그 밖에 공법상의 법률관계에 관한 소송으로서 그 법률관계의 한쪽 당사자를 피고로 하는 소송이다.</t>
  </si>
  <si>
    <t>행정청이 행하는 구체적 사실에 관한 법집행으로서의 공권력의 행사 또는 그 거부와 그 밖에 이에 준하는 행정작용 및 행정심판에 대한 재결을 말한다.</t>
  </si>
  <si>
    <t>행정처분 이후 법원의 판결까지 기간 동안 처분의 근거가 되는 법령이 변경되거나 처분의 기초가 되는 사실 상태에 변동이 발생하는 경우, 기준 시점으로 삼아야 하는 시기에 대한 문제이다.</t>
  </si>
  <si>
    <t>주된 청구와 관련 청구가 독립적으로 병존하며, 법원이 그 모두에 대하여 심리하고 재판하는 형태이다.</t>
  </si>
  <si>
    <t>소송의 대상인 처분이 소 제기 후 행정청에 의해 변경된 경우, 원고가 변경된 처분을 대상으로 청구의 취지 또는 원인의 변경을 신청하여 법원의 허가를 받는 제도이다.</t>
  </si>
  <si>
    <t>행정청의 처분 등(재결 포함)의 효력 유무 또는 존재 여부를 확인하는 소송을 말한다.</t>
  </si>
  <si>
    <t>처분등에 중대하고 명백한 하자로 인해 처음부터 법적 효력이 없음을 확인하는 무효 확인, 처분의 유효 확인, 부존재 확인, 실효 확인 등 처분등의 효력 또는 존재와 관련된 모든 확인 소송을 말한다.</t>
  </si>
  <si>
    <t>행정처분등에 중대하고 명백한 하자가 존재하여 처음부터 법적 효력(공정력)이 발생하지 않았음을 확인하는 소송이다.</t>
  </si>
  <si>
    <t>소송을 통해 원고가 주장하는 권리 또는 법률관계의 현존하는 불안정성을 제거하고 법적 안정을 기하는 데 소송 제기가 가장 유효하고 적절한 수단일 때 인정되는 요건이다.</t>
  </si>
  <si>
    <t>소송 요건이 모두 충족되었음을 전제로 하여, 원고의 청구가 이유 있는지 여부에 대해 판단하는 실질적인 판결이다.</t>
  </si>
  <si>
    <t>처분등으로 인해 생길 회복하기 어려운 손해를 예방하기 위해 그 처분의 효력이나 집행을 잠정적으로 정지시키는 제도를 말한다.</t>
  </si>
  <si>
    <t>행정청의 처분등을 직접 다투는 것은 아니지만, 처분의 효력을 전제로 하여 법률관계의 존부를 다투는 소송이다.</t>
  </si>
  <si>
    <t>행정심판의 본안 재결이 있기 전까지 심판청구인에게 발생할 수 있는 회복하기 어려운 손해를 예방하거나 방지하기 위하여 잠정적인 구제 조치를 취하는 제도를 말한다.</t>
  </si>
  <si>
    <t>행정심판위원회가 청구인의 주장과 피청구인의 반박을 듣고, 제출된 증거와 자료를 검토하며, 필요하다면 직권으로 사실을 조사하여 청구의 적법성과 당부를 판단하는 일련의 절차이다.</t>
  </si>
  <si>
    <t>처분의 전부 또는 일부를 취소하거나 변경하는 재결이다.</t>
  </si>
  <si>
    <t>처분의 효력 유무 또는 존재 여부를 확인하는 재결이다.</t>
  </si>
  <si>
    <t>재결에 대하여 더 이상 행정심판이나 행정소송을 제기하여 다툴 수 없게 되는 효력을 말한다.</t>
  </si>
  <si>
    <t>재결을 한 행정심판위원회가 그 재결의 내용에 구속되어 스스로 재결을 취소하거나 변경할 수 없게 되는 효력을 말한다.</t>
  </si>
  <si>
    <t>인용재결이 내려지는 경우, 그 재결의 내용에 따라 종전 처분 등의 법률 관계가 새롭게 형성되거나 변경되는 효력을 말한다.</t>
  </si>
  <si>
    <t>재결의 내용이 피청구인인 행정청과 그 밖의 관계 행정청을 구속하여, 재결의 취지에 따라 행동하도록 의무를 부과하는 효력을 말한다.</t>
  </si>
  <si>
    <t>무효등 확인소송의 소송 요건 중 하나라도 결여되면 법원은 각하판결을 내리며 소송은 종료된다.</t>
  </si>
  <si>
    <t>재량권의 일탈・남용, 목적의 부적절성, 형평성 위반 등 합목적성 위반 여부이다.</t>
  </si>
  <si>
    <t>공법상의 권리・의무에 관하여 그 일방 당사자를 피고로 하여 제기하는 소송으로서, 행정소송법 제3조 제2호에 규정된 본래적인 당사자소송을 말한다.</t>
  </si>
  <si>
    <t>행정주체의 작용에 의해 직접적인 규율을 받는 대상(사인 또는 다른 행정주체)을 말한다.</t>
    <phoneticPr fontId="2" type="noConversion"/>
  </si>
  <si>
    <t>공법 관계에서 행정주체나 국민이 가지는 법률상의 힘이다.</t>
    <phoneticPr fontId="2" type="noConversion"/>
  </si>
  <si>
    <t>민법 등 사법에 의해 규율되는 사인 상호 간의 대등한 관계에서 발생하는 권리이다.</t>
    <phoneticPr fontId="2" type="noConversion"/>
  </si>
  <si>
    <t>열기2-03.행정쟁송법\02.문제\[기출][2009-1]취소소송의 제기요건(소송요건)(대상적격, 원고적격, 피고적격, 소의 이익, 제소기간, 행심전치주의, 관할법원).txt</t>
  </si>
  <si>
    <t>열기2-03.행정쟁송법\02.문제\[기출][2017-3]행정심판의 재결이 취소소송의 대상이 되는 경우.txt</t>
  </si>
  <si>
    <t>열기2-03.행정쟁송법\02.문제\[기출][2013-2]의무이행재결의 실효성 확보 방안 (행정심판법상), 취소판결의 실효성 확보 방안 (행정소송법상).txt</t>
  </si>
  <si>
    <t>열기2-03.행정쟁송법\02.문제\[기출][2010-3]결과제거청구권(원상회복청구권)의 행정소송상 관철 방법.txt</t>
  </si>
  <si>
    <t>열기2-03.행정쟁송법\02.문제\[기출][2012-2]행정소송법상 집행정지의 요건.txt</t>
  </si>
  <si>
    <t>열기2-03.행정쟁송법\02.문제\[기출][2014-2]부작위위법확인소송에서의 부작위의 의의 및 성립요건.txt</t>
  </si>
  <si>
    <t>열기2-03.행정쟁송법\02.문제\[기출][2009-2-1]행정심판 재결의 종류.txt</t>
  </si>
  <si>
    <t>열기2-03.행정쟁송법\01.본문\입문-제01장 개설.제01절 개요.txt</t>
  </si>
  <si>
    <t>열기2-03.행정쟁송법\01.본문\입문-제01장 개설.제02절 필수 용어 정리.txt</t>
  </si>
  <si>
    <t>열기2-03.행정쟁송법\01.본문\입문-제01장 개설.제03절 행정법의 기본구조.txt</t>
  </si>
  <si>
    <t>열기2-03.행정쟁송법\01.본문\입문-제01장 개설.제04절 행정법의 법원.txt</t>
  </si>
  <si>
    <t>열기2-03.행정쟁송법\01.본문\입문-제02장 행정입법(법규명령・행정규칙).제01절 법규명령.txt</t>
  </si>
  <si>
    <t>열기2-03.행정쟁송법\01.본문\입문-제02장 행정입법(법규명령・행정규칙).제02절 행정규칙(행정명령).txt</t>
  </si>
  <si>
    <t>열기2-03.행정쟁송법\01.본문\입문-제02장 행정입법(법규명령・행정규칙).제03절 행정규칙의 형식과 내용.txt</t>
  </si>
  <si>
    <t>열기2-03.행정쟁송법\01.본문\입문-제03장 행정법의 일반 원칙.제01절 비례의 원칙.txt</t>
  </si>
  <si>
    <t>열기2-03.행정쟁송법\01.본문\입문-제03장 행정법의 일반 원칙.제02절 신뢰보호의 원칙.txt</t>
  </si>
  <si>
    <t>열기2-03.행정쟁송법\01.본문\입문-제03장 행정법의 일반 원칙.제03절 평등의 원칙.txt</t>
  </si>
  <si>
    <t>열기2-03.행정쟁송법\01.본문\입문-제03장 행정법의 일반 원칙.제04절 자기구속의 원칙.txt</t>
  </si>
  <si>
    <t>열기2-03.행정쟁송법\01.본문\입문-제03장 행정법의 일반 원칙.제05절 부당결부금지의 원칙.txt</t>
  </si>
  <si>
    <t>열기2-03.행정쟁송법\01.본문\입문-제03장 행정법의 일반 원칙.제06절 기타 제 원칙.txt</t>
  </si>
  <si>
    <t>열기2-03.행정쟁송법\01.본문\입문-제04장 행정법 관계.제01절 행정법 관계의 서설.txt</t>
  </si>
  <si>
    <t>열기2-03.행정쟁송법\01.본문\입문-제04장 행정법 관계.제02절 행정법 관계의 당사자.txt</t>
  </si>
  <si>
    <t>열기2-03.행정쟁송법\01.본문\입문-제04장 행정법 관계.제03절 행정상 법률관계.txt</t>
  </si>
  <si>
    <t>열기2-03.행정쟁송법\01.본문\입문-제04장 행정법 관계.제04절 공법관계와 사법관계.txt</t>
  </si>
  <si>
    <t>열기2-03.행정쟁송법\01.본문\입문-제05장 공법행위.제01절 개념 및 종류.txt</t>
  </si>
  <si>
    <t>열기2-03.행정쟁송법\01.본문\입문-제05장 공법행위.제02절 신고 및 신청.txt</t>
  </si>
  <si>
    <t>열기2-03.행정쟁송법\01.본문\입문-제06장 행정행위.제01절 행정행위 일반.txt</t>
  </si>
  <si>
    <t>열기2-03.행정쟁송법\01.본문\입문-제06장 행정행위.제02절 행정행위 내용에 따른 구분.txt</t>
  </si>
  <si>
    <t>열기2-03.행정쟁송법\01.본문\입문-제06장 행정행위.제03절 법적 구속 정도에 따른 구분.txt</t>
  </si>
  <si>
    <t>열기2-03.행정쟁송법\01.본문\입문-제06장 행정행위.제04절 다단계 행정결정.txt</t>
  </si>
  <si>
    <t>열기2-03.행정쟁송법\01.본문\입문-제07장 행정의 실효성 확보수단.제01절 행정행위의 실효성 확보수단.txt</t>
  </si>
  <si>
    <t>열기2-03.행정쟁송법\01.본문\입문-제07장 행정의 실효성 확보수단.제02절 대집행.txt</t>
  </si>
  <si>
    <t>열기2-03.행정쟁송법\01.본문\입문-제07장 행정의 실효성 확보수단.제03절 직접강제.txt</t>
  </si>
  <si>
    <t>열기2-03.행정쟁송법\01.본문\입문-제07장 행정의 실효성 확보수단.제04절 강제징수.txt</t>
  </si>
  <si>
    <t>열기2-03.행정쟁송법\01.본문\입문-제07장 행정의 실효성 확보수단.제05절 즉시강제.txt</t>
  </si>
  <si>
    <t>열기2-03.행정쟁송법\01.본문\입문-제07장 행정의 실효성 확보수단.제06절 이행강제금(집행벌).txt</t>
  </si>
  <si>
    <t>열기2-03.행정쟁송법\01.본문\입문-제07장 행정의 실효성 확보수단.제07절 행정조사.txt</t>
  </si>
  <si>
    <t>열기2-03.행정쟁송법\01.본문\입문-제07장 행정의 실효성 확보수단.제08절 행정벌.txt</t>
  </si>
  <si>
    <t>열기2-03.행정쟁송법\01.본문\입문-제07장 행정의 실효성 확보수단.제09절 새로운 실효성 확보수단.txt</t>
  </si>
  <si>
    <t>열기2-03.행정쟁송법\01.본문\입문-제08장 행정쟁송.제01절 행정심판 개관.txt</t>
  </si>
  <si>
    <t>열기2-03.행정쟁송법\01.본문\입문-제08장 행정쟁송.제02절 행정소송 개관.txt</t>
  </si>
  <si>
    <t>열기2-03.행정쟁송법\01.본문\제01장 행정소송의 일반론.제02절 행정소송의 유형.txt</t>
  </si>
  <si>
    <t>열기2-03.행정쟁송법\01.본문\제01장 행정소송의 일반론.제03절 행정소송의 한계.txt</t>
  </si>
  <si>
    <t>열기2-03.행정쟁송법\01.본문\제02장 취소소송의 대상적격.제01절 소송요건의 일반론.txt</t>
  </si>
  <si>
    <t>열기2-03.행정쟁송법\01.본문\제02장 취소소송의 대상적격.제02절 처분.txt</t>
  </si>
  <si>
    <t>열기2-03.행정쟁송법\01.본문\제02장 취소소송의 대상적격.제03절 재결.txt</t>
  </si>
  <si>
    <t>열기2-03.행정쟁송법\01.본문\제03장 취소소송의 당사자적격.제01절 원고적격.txt</t>
  </si>
  <si>
    <t>열기2-03.행정쟁송법\01.본문\제03장 취소소송의 당사자적격.제02절 피고적격.txt</t>
  </si>
  <si>
    <t>열기2-03.행정쟁송법\01.본문\제03장 취소소송의 당사자적격.제03절 권리보호의 필요(협의의 소의 이익).txt</t>
  </si>
  <si>
    <t>열기2-03.행정쟁송법\01.본문\제03장 취소소송의 당사자적격.제04절 소송참가.txt</t>
  </si>
  <si>
    <t>열기2-03.행정쟁송법\01.본문\제04장 취소소송의 기타 소송요건.제01절 행정심판전치주의.txt</t>
  </si>
  <si>
    <t>열기2-03.행정쟁송법\01.본문\제04장 취소소송의 기타 소송요건.제02절 제소기간.txt</t>
  </si>
  <si>
    <t>열기2-03.행정쟁송법\01.본문\제04장 취소소송의 기타 소송요건.제03절 관할법원.txt</t>
  </si>
  <si>
    <t>열기2-03.행정쟁송법\01.본문\제05장 취소소송의 심리.제01절 심리.txt</t>
  </si>
  <si>
    <t>열기2-03.행정쟁송법\01.본문\제05장 취소소송의 심리.제02절 위법성 판단의 기준시.txt</t>
  </si>
  <si>
    <t>열기2-03.행정쟁송법\01.본문\제05장 취소소송의 심리.제03절 처분사유의 추가・변경.txt</t>
  </si>
  <si>
    <t>열기2-03.행정쟁송법\01.본문\제06장 취소소송의 종료.제01절 법원의 판결.txt</t>
  </si>
  <si>
    <t>열기2-03.행정쟁송법\01.본문\제06장 취소소송의 종료.제02절 판결의 효력.txt</t>
  </si>
  <si>
    <t>열기2-03.행정쟁송법\01.본문\제06장 취소소송의 종료.제03절 재심.txt</t>
  </si>
  <si>
    <t>열기2-03.행정쟁송법\01.본문\제06장 취소소송의 종료.제04절 취소소송의 종료 사유.txt</t>
  </si>
  <si>
    <t>열기2-03.행정쟁송법\01.본문\제07장 취소소송의 가구제.제01절 집행정지.txt</t>
  </si>
  <si>
    <t>열기2-03.행정쟁송법\01.본문\제07장 취소소송의 가구제.제02절 가처분.txt</t>
  </si>
  <si>
    <t>열기2-03.행정쟁송법\01.본문\제08장 청구의 병합과 소의 변경.제01절 관련청구소송의 병합・이송.txt</t>
  </si>
  <si>
    <t>열기2-03.행정쟁송법\01.본문\제08장 청구의 병합과 소의 변경.제02절 소의 변경.txt</t>
  </si>
  <si>
    <t>열기2-03.행정쟁송법\01.본문\제09장 무효등 확인소송.제01절 무효등 확인소송의 의의.txt</t>
  </si>
  <si>
    <t>열기2-03.행정쟁송법\01.본문\제09장 무효등 확인소송.제02절 무효등 확인소송의 요건.txt</t>
  </si>
  <si>
    <t>열기2-03.행정쟁송법\01.본문\제09장 무효등 확인소송.제03절 무효등 확인소송의 심리.txt</t>
  </si>
  <si>
    <t>열기2-03.행정쟁송법\01.본문\제09장 무효등 확인소송.제04절 무효등 확인소송의 종료.txt</t>
  </si>
  <si>
    <t>열기2-03.행정쟁송법\01.본문\제09장 무효등 확인소송.제05절 취소소송과의 관계.txt</t>
  </si>
  <si>
    <t>열기2-03.행정쟁송법\01.본문\제09장 무효등 확인소송.제06절 가구제.txt</t>
  </si>
  <si>
    <t>열기2-03.행정쟁송법\01.본문\제09장 무효등 확인소송.제07절 청구의 병합과 소의 변경.txt</t>
  </si>
  <si>
    <t>열기2-03.행정쟁송법\01.본문\제10장 부작위위법확인소송 및 기타 소송.제01절 부작위위법확인소송.txt</t>
  </si>
  <si>
    <t>열기2-03.행정쟁송법\01.본문\제10장 부작위위법확인소송 및 기타 소송.제02절 당사자소송.txt</t>
  </si>
  <si>
    <t>열기2-03.행정쟁송법\01.본문\제10장 부작위위법확인소송 및 기타 소송.제03절 민중소송.txt</t>
  </si>
  <si>
    <t>열기2-03.행정쟁송법\01.본문\제10장 부작위위법확인소송 및 기타 소송.제04절 기관소송.txt</t>
  </si>
  <si>
    <t>열기2-03.행정쟁송법\01.본문\제11장 행정심판의 일반론.제01절 서설.txt</t>
  </si>
  <si>
    <t>열기2-03.행정쟁송법\01.본문\제11장 행정심판의 일반론.제02절 행정심판의 종류.txt</t>
  </si>
  <si>
    <t>열기2-03.행정쟁송법\01.본문\제11장 행정심판의 일반론.제03절 고지제도.txt</t>
  </si>
  <si>
    <t>열기2-03.행정쟁송법\01.본문\제12장 행정심판의 청구요건 및 가구제.제01절 행정심판의 대상적격.txt</t>
  </si>
  <si>
    <t>열기2-03.행정쟁송법\01.본문\제12장 행정심판의 청구요건 및 가구제.제02절 행정심판의 당사자적격.txt</t>
  </si>
  <si>
    <t>열기2-03.행정쟁송법\01.본문\제12장 행정심판의 청구요건 및 가구제.제03절 행정심판의 청구.txt</t>
  </si>
  <si>
    <t>열기2-03.행정쟁송법\01.본문\제12장 행정심판의 청구요건 및 가구제.제04절 행정심판기관.txt</t>
  </si>
  <si>
    <t>열기2-03.행정쟁송법\01.본문\제12장 행정심판의 청구요건 및 가구제.제05절 가구제.txt</t>
  </si>
  <si>
    <t>2025-2</t>
    <phoneticPr fontId="2" type="noConversion"/>
  </si>
  <si>
    <t>2024-1-1-2</t>
    <phoneticPr fontId="2" type="noConversion"/>
  </si>
  <si>
    <t>2024-1-2</t>
    <phoneticPr fontId="2" type="noConversion"/>
  </si>
  <si>
    <t>2021-1-2</t>
    <phoneticPr fontId="2" type="noConversion"/>
  </si>
  <si>
    <t>2009-2-2</t>
    <phoneticPr fontId="2" type="noConversion"/>
  </si>
  <si>
    <t>2024-2</t>
    <phoneticPr fontId="2" type="noConversion"/>
  </si>
  <si>
    <t>2018-1-1</t>
    <phoneticPr fontId="2" type="noConversion"/>
  </si>
  <si>
    <t>2019-2</t>
    <phoneticPr fontId="2" type="noConversion"/>
  </si>
  <si>
    <t>관할행정청의 처분 전에 제3자가 예방적으로 처분 금지를 구하는 소송의 허용 여부</t>
    <phoneticPr fontId="2" type="noConversion"/>
  </si>
  <si>
    <t>열기2-03.행정쟁송법\02.문제\[기출][2022-1-2]관할행정청의 처분 전에 제3자가 예방적으로 처분 금지를 구하는 소송의 허용 여부.txt</t>
    <phoneticPr fontId="2" type="noConversion"/>
  </si>
  <si>
    <t>제02절 처분</t>
    <phoneticPr fontId="2" type="noConversion"/>
  </si>
  <si>
    <t>구직자의 노동조합 가입을 이유로 한 설립신고서 반려처분의 취소소송 대상적격 인정 여부</t>
    <phoneticPr fontId="2" type="noConversion"/>
  </si>
  <si>
    <t>열기2-03.행정쟁송법\02.문제\[기출][2012-1-1]구직자의 노동조합 가입을 이유로 한 설립신고서 반려처분의 취소소송 대상적격 인정 여부.txt</t>
    <phoneticPr fontId="2" type="noConversion"/>
  </si>
  <si>
    <t>면적축소 관련 법령에 대한 취소소송 및 환원처분을 구하는 소송의 적법성 여부</t>
    <phoneticPr fontId="2" type="noConversion"/>
  </si>
  <si>
    <t>열기2-03.행정쟁송법\02.문제\[기출][2011-1]면적축소 관련 법령에 대한 취소소송 및 환원처분을 구하는 소송의 적법성 여부.txt</t>
    <phoneticPr fontId="2" type="noConversion"/>
  </si>
  <si>
    <t>일반처분</t>
    <phoneticPr fontId="2" type="noConversion"/>
  </si>
  <si>
    <t>불특정 다수인을 상대로 특정한 구체적 사건을 규율하는 행정행위로서 처분성이 인정된다.</t>
    <phoneticPr fontId="2" type="noConversion"/>
  </si>
  <si>
    <t>불특정 다수의 사람에게 적용되나, 일회적으로 종료되는 특정 사건을 규율하는 작용이다.</t>
    <phoneticPr fontId="2" type="noConversion"/>
  </si>
  <si>
    <t>일부인용재결 및 감경처분에 따른 취소소송의 대상적격・피고적격・제소기간 준수 여부</t>
    <phoneticPr fontId="2" type="noConversion"/>
  </si>
  <si>
    <t>열기2-03.행정쟁송법\02.문제\[기출][2020-1-1]일부인용재결 및 감경처분에 따른 취소소송의 대상적격・피고적격・제소기간 준수 여부.txt</t>
    <phoneticPr fontId="2" type="noConversion"/>
  </si>
  <si>
    <t>감액변경처분에 대한 취소소송의 대상적격과 부적법한 행정심판을 거친 경우의 제소기간 준수 여부</t>
    <phoneticPr fontId="2" type="noConversion"/>
  </si>
  <si>
    <t>열기2-03.행정쟁송법\02.문제\[기출][2017-1-1]감액변경처분에 대한 취소소송의 대상적격과 부적법한 행정심판을 거친 경우의 제소기간 준수 여부.txt</t>
    <phoneticPr fontId="2" type="noConversion"/>
  </si>
  <si>
    <t>중앙노동위원회의 일부인용 재심판정에 대하여 사용자가 제기하는 취소소송의 대상</t>
    <phoneticPr fontId="2" type="noConversion"/>
  </si>
  <si>
    <t>열기2-03.행정쟁송법\02.문제\[기출][2016-1-2]중앙노동위원회의 일부인용 재심판정에 대하여 사용자가 제기하는 취소소송의 대상.txt</t>
    <phoneticPr fontId="2" type="noConversion"/>
  </si>
  <si>
    <t>제3자의 청구에 따른 인용재결로 인하여 불이익을 입게 된 원처분 상대방의 소송제기 가능성 및 소송의 대상</t>
    <phoneticPr fontId="2" type="noConversion"/>
  </si>
  <si>
    <t>열기2-03.행정쟁송법\02.문제\[기출][2014-1-2]제3자의 청구에 따른 인용재결로 인하여 불이익을 입게 된 원처분 상대방의 소송제기 가능성 및 소송의 대상.txt</t>
    <phoneticPr fontId="2" type="noConversion"/>
  </si>
  <si>
    <t>지방노동위원회의 구제명령 등 처분에 대한 특별행정쟁송절차의 흐름과 요건</t>
    <phoneticPr fontId="2" type="noConversion"/>
  </si>
  <si>
    <t>열기2-03.행정쟁송법\02.문제\[기출][2012-3]지방노동위원회의 구제명령 등 처분에 대한 특별행정쟁송절차의 흐름과 요건.txt</t>
    <phoneticPr fontId="2" type="noConversion"/>
  </si>
  <si>
    <t>처분등</t>
    <phoneticPr fontId="2" type="noConversion"/>
  </si>
  <si>
    <t>처분성</t>
    <phoneticPr fontId="2" type="noConversion"/>
  </si>
  <si>
    <t>행정청의 행위가 국민의 권리・의무에 직접적이고 구체적인 법률효과를 미치는 행위를 의미한다.</t>
    <phoneticPr fontId="2" type="noConversion"/>
  </si>
  <si>
    <t>2022-1-2</t>
    <phoneticPr fontId="2" type="noConversion"/>
  </si>
  <si>
    <t>2025-3</t>
    <phoneticPr fontId="2" type="noConversion"/>
  </si>
  <si>
    <t>2016-1-1</t>
    <phoneticPr fontId="2" type="noConversion"/>
  </si>
  <si>
    <t>2022-1-1</t>
    <phoneticPr fontId="2" type="noConversion"/>
  </si>
  <si>
    <t>2020-1-2</t>
    <phoneticPr fontId="2" type="noConversion"/>
  </si>
  <si>
    <t>2008-2-2</t>
    <phoneticPr fontId="2" type="noConversion"/>
  </si>
  <si>
    <t>2009-1</t>
    <phoneticPr fontId="2" type="noConversion"/>
  </si>
  <si>
    <t>2022-3</t>
    <phoneticPr fontId="2" type="noConversion"/>
  </si>
  <si>
    <t>2019-1-2</t>
    <phoneticPr fontId="2" type="noConversion"/>
  </si>
  <si>
    <t>2015-3</t>
    <phoneticPr fontId="2" type="noConversion"/>
  </si>
  <si>
    <t>2016-2</t>
    <phoneticPr fontId="2" type="noConversion"/>
  </si>
  <si>
    <t>2013-3</t>
    <phoneticPr fontId="2" type="noConversion"/>
  </si>
  <si>
    <t>2012-2</t>
    <phoneticPr fontId="2" type="noConversion"/>
  </si>
  <si>
    <t>2018-3</t>
    <phoneticPr fontId="2" type="noConversion"/>
  </si>
  <si>
    <t>2025-1-2</t>
    <phoneticPr fontId="2" type="noConversion"/>
  </si>
  <si>
    <t>2021-1-1</t>
    <phoneticPr fontId="2" type="noConversion"/>
  </si>
  <si>
    <t>2018-2</t>
    <phoneticPr fontId="2" type="noConversion"/>
  </si>
  <si>
    <t>2014-2</t>
    <phoneticPr fontId="2" type="noConversion"/>
  </si>
  <si>
    <t>2023-3</t>
    <phoneticPr fontId="2" type="noConversion"/>
  </si>
  <si>
    <t>2020-2</t>
    <phoneticPr fontId="2" type="noConversion"/>
  </si>
  <si>
    <t>2010-2</t>
    <phoneticPr fontId="2" type="noConversion"/>
  </si>
  <si>
    <t>2015-1-1</t>
    <phoneticPr fontId="2" type="noConversion"/>
  </si>
  <si>
    <t>2014-1-2</t>
    <phoneticPr fontId="2" type="noConversion"/>
  </si>
  <si>
    <t>2015-2</t>
    <phoneticPr fontId="2" type="noConversion"/>
  </si>
  <si>
    <t>2014-3</t>
    <phoneticPr fontId="2" type="noConversion"/>
  </si>
  <si>
    <t>본문</t>
    <phoneticPr fontId="2" type="noConversion"/>
  </si>
  <si>
    <t>본문</t>
    <phoneticPr fontId="2" type="noConversion"/>
  </si>
  <si>
    <t>구분</t>
    <phoneticPr fontId="2" type="noConversion"/>
  </si>
  <si>
    <t>기출</t>
    <phoneticPr fontId="2" type="noConversion"/>
  </si>
  <si>
    <t>10.01-1</t>
    <phoneticPr fontId="2" type="noConversion"/>
  </si>
  <si>
    <t>12.01-1</t>
    <phoneticPr fontId="2" type="noConversion"/>
  </si>
  <si>
    <t>12.01-2</t>
    <phoneticPr fontId="2" type="noConversion"/>
  </si>
  <si>
    <t>12.03-1</t>
    <phoneticPr fontId="2" type="noConversion"/>
  </si>
  <si>
    <t>12.03-2</t>
    <phoneticPr fontId="2" type="noConversion"/>
  </si>
  <si>
    <t>13.01-1</t>
    <phoneticPr fontId="2" type="noConversion"/>
  </si>
  <si>
    <t>13.01-2</t>
    <phoneticPr fontId="2" type="noConversion"/>
  </si>
  <si>
    <t>제04절 소송참가</t>
    <phoneticPr fontId="2" type="noConversion"/>
  </si>
  <si>
    <t>1</t>
    <phoneticPr fontId="2" type="noConversion"/>
  </si>
  <si>
    <t>2</t>
    <phoneticPr fontId="2" type="noConversion"/>
  </si>
  <si>
    <t>폐기물 처리시설 설치 승인 처분의 수익자인 회사가 취소소송에 참가하기 위한 요건과 절차</t>
    <phoneticPr fontId="2" type="noConversion"/>
  </si>
  <si>
    <t>제01절 부작위위법확인소송</t>
    <phoneticPr fontId="2" type="noConversion"/>
  </si>
  <si>
    <t>05</t>
    <phoneticPr fontId="2" type="noConversion"/>
  </si>
  <si>
    <t>06</t>
    <phoneticPr fontId="2" type="noConversion"/>
  </si>
  <si>
    <t>토석채취허가에 대하여 비산먼지 피해를 우려하는 인근 영농법인의 취소소송 원고적격 인정 여부</t>
    <phoneticPr fontId="2" type="noConversion"/>
  </si>
  <si>
    <t>열기2-03.행정쟁송법\02.문제\[기출][2022-1-1]토석채취허가에 대하여 비산먼지 피해를 우려하는 인근 영농법인의 취소소송 원고적격 인정 여부.txt</t>
    <phoneticPr fontId="2" type="noConversion"/>
  </si>
  <si>
    <t>제3자효 행정행위의 취소소송에서 제3자의 원고적격 인정 범위와 유형별 판단 기준</t>
    <phoneticPr fontId="2" type="noConversion"/>
  </si>
  <si>
    <t>열기2-03.행정쟁송법\02.문제\[기출][2016-3]제3자효 행정행위의 취소소송에서 제3자의 원고적격 인정 범위와 유형별 판단 기준.txt</t>
    <phoneticPr fontId="2" type="noConversion"/>
  </si>
  <si>
    <t>소송 계속 중 정년 도과와 금전보상명령의 협의의 소의 이익 인정 여부</t>
    <phoneticPr fontId="2" type="noConversion"/>
  </si>
  <si>
    <t>열기2-03.행정쟁송법\02.문제\[기출][2022-2]소송 계속 중 정년 도과와 금전보상명령의 협의의 소의 이익 인정 여부.txt</t>
    <phoneticPr fontId="2" type="noConversion"/>
  </si>
  <si>
    <t>영업정지기간 도과 후 가중적 제재 우려가 있는 경우의 협의의 소의 이익 인정 여부</t>
    <phoneticPr fontId="2" type="noConversion"/>
  </si>
  <si>
    <t>열기2-03.행정쟁송법\02.문제\[기출][2020-1-2]영업정지기간 도과 후 가중적 제재 우려가 있는 경우의 협의의 소의 이익 인정 여부.txt</t>
    <phoneticPr fontId="2" type="noConversion"/>
  </si>
  <si>
    <t>해임처분취소소송 계속 중 정년에 도달한 공무원의 협의의 소의 이익 인정 여부</t>
    <phoneticPr fontId="2" type="noConversion"/>
  </si>
  <si>
    <t>열기2-03.행정쟁송법\02.문제\[기출][2017-1-2]해임처분취소소송 계속 중 정년에 도달한 공무원의 협의의 소의 이익 인정 여부.txt</t>
    <phoneticPr fontId="2" type="noConversion"/>
  </si>
  <si>
    <t>소청절차를 거치지 않고 제기한 지방공무원의 시간외근무수당 청구소송의 적법 여부</t>
    <phoneticPr fontId="2" type="noConversion"/>
  </si>
  <si>
    <t>열기2-03.행정쟁송법\02.문제\[기출][2024-1-1-2]소청절차를 거치지 않고 제기한 지방공무원의 시간외근무수당 청구소송의 적법 여부.txt</t>
    <phoneticPr fontId="2" type="noConversion"/>
  </si>
  <si>
    <t>거부처분 후 법령이 개정된 경우 취소소송에서 위법성 판단의 기준시점</t>
    <phoneticPr fontId="2" type="noConversion"/>
  </si>
  <si>
    <t>열기2-03.행정쟁송법\02.문제\[기출][2022-3]거부처분 후 법령이 개정된 경우 취소소송에서 위법성 판단의 기준시점.txt</t>
    <phoneticPr fontId="2" type="noConversion"/>
  </si>
  <si>
    <t>취소소송 계속 중 피고 행정청이 당초 징계사유 외에 다른 징계사유를 추가적으로 주장할 수 있는지 여부</t>
    <phoneticPr fontId="2" type="noConversion"/>
  </si>
  <si>
    <t>열기2-03.행정쟁송법\02.문제\[기출][2021-3]취소소송 계속 중 피고 행정청이 당초 징계사유 외에 다른 징계사유를 추가적으로 주장할 수 있는지 여부.txt</t>
    <phoneticPr fontId="2" type="noConversion"/>
  </si>
  <si>
    <t>취소소송 계속 중 피고인 중앙노동위원회가 징계사유를 추가적으로 주장하는 것의 허용 여부 및 타당성</t>
    <phoneticPr fontId="2" type="noConversion"/>
  </si>
  <si>
    <t>열기2-03.행정쟁송법\02.문제\[기출][2019-1-2]취소소송 계속 중 피고인 중앙노동위원회가 징계사유를 추가적으로 주장하는 것의 허용 여부 및 타당성.txt</t>
    <phoneticPr fontId="2" type="noConversion"/>
  </si>
  <si>
    <t>입찰참가자격 제한 처분의 취소소송 중 뇌물수수 사유 추가의 허용 여부</t>
    <phoneticPr fontId="2" type="noConversion"/>
  </si>
  <si>
    <t>열기2-03.행정쟁송법\02.문제\[기출][2011-2]입찰참가자격 제한 처분의 취소소송 중 뇌물수수 사유 추가의 허용 여부.txt</t>
    <phoneticPr fontId="2" type="noConversion"/>
  </si>
  <si>
    <t>추가징수 처분에 대한 취소소송 제기 시 법원의 일부취소판결 가능성 여부</t>
    <phoneticPr fontId="2" type="noConversion"/>
  </si>
  <si>
    <t>열기2-03.행정쟁송법\02.문제\[기출][2024-1-2]추가징수 처분에 대한 취소소송 제기 시 법원의 일부취소판결 가능성 여부.txt</t>
    <phoneticPr fontId="2" type="noConversion"/>
  </si>
  <si>
    <t>항고소송의 사정판결의 의의, 취지, 요건, 효과</t>
    <phoneticPr fontId="2" type="noConversion"/>
  </si>
  <si>
    <t>열기2-03.행정쟁송법\02.문제\[기출][2015-3]항고소송의 사정판결의 의의, 취지, 요건, 효과.txt</t>
    <phoneticPr fontId="2" type="noConversion"/>
  </si>
  <si>
    <t>과징금부과처분이 과다할 경우 법원의 일부취소판결 가능성 여부</t>
    <phoneticPr fontId="2" type="noConversion"/>
  </si>
  <si>
    <t>열기2-03.행정쟁송법\02.문제\[기출][2013-1-2]과징금부과처분이 과다할 경우 법원의 일부취소판결 가능성 여부.txt</t>
    <phoneticPr fontId="2" type="noConversion"/>
  </si>
  <si>
    <t>최초 거부처분에서 추가한 사유를 다시 제기한 재거부처분에 대한 간접강제 신청의 인용 여부</t>
    <phoneticPr fontId="2" type="noConversion"/>
  </si>
  <si>
    <t>열기2-03.행정쟁송법\02.문제\[기출][2025-1-1]최초 거부처분에서 추가한 사유를 다시 제기한 재거부처분에 대한 간접강제 신청의 인용 여부.txt</t>
    <phoneticPr fontId="2" type="noConversion"/>
  </si>
  <si>
    <t>무효확인소송 인용판결 확정 후 피고 행정청의 재처분의무 및 이행 강제를 위한 소송법상 수단</t>
  </si>
  <si>
    <t>열기2-03.행정쟁송법\02.문제\[기출][2023-1-2]무효확인소송 인용판결 확정 후 피고 행정청의 재처분의무 및 이행 강제를 위한 소송법상 수단.txt</t>
  </si>
  <si>
    <t>무효확인소송 기각판결 확정 후 후속 국가배상청구소송에서 수소법원의 법령 위반 인정 여부</t>
  </si>
  <si>
    <t>열기2-03.행정쟁송법\02.문제\[기출][2021-1-3]무효확인소송 기각판결 확정 후 후속 국가배상청구소송에서 수소법원의 법령 위반 인정 여부.txt</t>
  </si>
  <si>
    <t>절차상 하자로 취소된 재심판정에 대한 확정판결 기속력의 내용과 중앙노동위원회의 법적 의무</t>
    <phoneticPr fontId="2" type="noConversion"/>
  </si>
  <si>
    <t>열기2-03.행정쟁송법\02.문제\[기출][2019-1-1]절차상 하자로 취소된 재심판정에 대한 확정판결 기속력의 내용과 중앙노동위원회의 법적 의무.txt</t>
    <phoneticPr fontId="2" type="noConversion"/>
  </si>
  <si>
    <t>기속력의 객관적 범위와 다른 사유를 근거로 한 재거부처분의 적법성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</si>
  <si>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</si>
  <si>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</si>
  <si>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열기2-03.행정쟁송법\02.문제\[기출][2010-1]거부처분 취소소송 인용판결 확정 후 피고 행정청의 재차 거부처분이 허용되는 구체적 예외 사유.txt</t>
    <phoneticPr fontId="2" type="noConversion"/>
  </si>
  <si>
    <t>할인점 건축허가 거부처분 취소소송의 인용확정판결에 대한 인근 학교법인의 제3자 재심청구의 적법성 여부</t>
    <phoneticPr fontId="2" type="noConversion"/>
  </si>
  <si>
    <t>열기2-03.행정쟁송법\02.문제\[기출][2016-2]할인점 건축허가 거부처분 취소소송의 인용확정판결에 대한 인근 학교법인의 제3자 재심청구의 적법성 여부.txt</t>
    <phoneticPr fontId="2" type="noConversion"/>
  </si>
  <si>
    <t>종국판결에 의하지 않은 취소소송의 종료 유형</t>
    <phoneticPr fontId="2" type="noConversion"/>
  </si>
  <si>
    <t>열기2-03.행정쟁송법\02.문제\[기출][2013-3]종국판결에 의하지 않은 취소소송의 종료 유형.txt</t>
    <phoneticPr fontId="2" type="noConversion"/>
  </si>
  <si>
    <t>무효확인소송 계속 중 동일한 처분에 대한 취소소송 추가 병합의 적법 여부</t>
    <phoneticPr fontId="2" type="noConversion"/>
  </si>
  <si>
    <t>열기2-03.행정쟁송법\02.문제\[기출][2021-1-2]무효확인소송 계속 중 동일한 처분에 대한 취소소송 추가 병합의 적법 여부.txt</t>
    <phoneticPr fontId="2" type="noConversion"/>
  </si>
  <si>
    <t>영업정지처분 취소소송과 그 처분으로 인한 영업 손해에 대한 국가배상청구소송의 병합 적법 여부</t>
    <phoneticPr fontId="2" type="noConversion"/>
  </si>
  <si>
    <t>열기2-03.행정쟁송법\02.문제\[기출][2018-3]영업정지처분 취소소송과 그 처분으로 인한 영업 손해에 대한 국가배상청구소송의 병합 적법 여부.txt</t>
    <phoneticPr fontId="2" type="noConversion"/>
  </si>
  <si>
    <t>급여지급결정 취소처분에 대한 무효확인소송에서 처분의 무효 사유에 대한 입증책임의 귀속 주체</t>
    <phoneticPr fontId="2" type="noConversion"/>
  </si>
  <si>
    <t>열기2-03.행정쟁송법\02.문제\[기출][2021-1-1]급여지급결정 취소처분에 대한 무효확인소송에서 처분의 무효 사유에 대한 입증책임의 귀속 주체.txt</t>
    <phoneticPr fontId="2" type="noConversion"/>
  </si>
  <si>
    <t>공사중지명령의 무효확인을 구하는 소송에서 심리 결과 취소사유만 인정되는 경우 법원의 판단</t>
    <phoneticPr fontId="2" type="noConversion"/>
  </si>
  <si>
    <t>열기2-03.행정쟁송법\02.문제\[기출][2018-2]공사중지명령의 무효확인을 구하는 소송에서 심리 결과 취소사유만 인정되는 경우 법원의 판단.txt</t>
    <phoneticPr fontId="2" type="noConversion"/>
  </si>
  <si>
    <t>공사중지명령 철회신청에 대한 무응답 행위의 위법 부작위 해당 여부</t>
    <phoneticPr fontId="2" type="noConversion"/>
  </si>
  <si>
    <t>열기2-03.행정쟁송법\02.문제\[기출][2020-3]공사중지명령 철회신청에 대한 무응답 행위의 위법 부작위 해당 여부.txt</t>
    <phoneticPr fontId="2" type="noConversion"/>
  </si>
  <si>
    <t>이의신청에 대한 행정청의 기각결정을 행정심판의 기각재결로 볼 수 있는지 여부</t>
    <phoneticPr fontId="2" type="noConversion"/>
  </si>
  <si>
    <t>열기2-03.행정쟁송법\02.문제\[기출][2020-2]이의신청에 대한 행정청의 기각결정을 행정심판의 기각재결로 볼 수 있는지 여부.txt</t>
    <phoneticPr fontId="2" type="noConversion"/>
  </si>
  <si>
    <t>개발행위 불허가 처분 시 불고지한 경우의 취소심판 청구기간의 경과 여부</t>
    <phoneticPr fontId="2" type="noConversion"/>
  </si>
  <si>
    <t>열기2-03.행정쟁송법\02.문제\[기출][2015-1-1]개발행위 불허가 처분 시 불고지한 경우의 취소심판 청구기간의 경과 여부.txt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</si>
  <si>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</si>
  <si>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열기2-03.행정쟁송법\02.문제\[기출][2015-1-2]개발행위 불허가 처분 취소소송 중 기반시설 설치계획 부적절 사유 외 환경 부조화 사유 추가 가능 여부.txt</t>
    <phoneticPr fontId="2" type="noConversion"/>
  </si>
  <si>
    <t>중앙노동위원회 이행강제금 부과처분에 대한 취소심판 청구 시 관할 행정심판기관 및 피청구인 적격</t>
    <phoneticPr fontId="2" type="noConversion"/>
  </si>
  <si>
    <t>열기2-03.행정쟁송법\02.문제\[기출][2024-2]중앙노동위원회 이행강제금 부과처분에 대한 취소심판 청구 시 관할 행정심판기관 및 피청구인 적격.txt</t>
    <phoneticPr fontId="2" type="noConversion"/>
  </si>
  <si>
    <t>입학점수 공개거부취소재결의 실효성 확보를 위한 행정심판법상 구제 수단</t>
    <phoneticPr fontId="2" type="noConversion"/>
  </si>
  <si>
    <t>열기2-03.행정쟁송법\02.문제\[기출][2019-2]입학점수 공개거부취소재결의 실효성 확보를 위한 행정심판법상 구제 수단.txt</t>
    <phoneticPr fontId="2" type="noConversion"/>
  </si>
  <si>
    <t>소청절차를 거치지 않고 제기한 지방공무원의 시간외근무수당 청구소송의 적법 여부</t>
  </si>
  <si>
    <t>열기2-03.행정쟁송법\02.문제\[기출][2024-1-1-2]소청절차를 거치지 않고 제기한 지방공무원의 시간외근무수당 청구소송의 적법 여부.txt</t>
  </si>
  <si>
    <t>인근 주민이 제기하고자 하는 예방적 금지소송의 허용 여부 및 대체 소송 수단</t>
    <phoneticPr fontId="2" type="noConversion"/>
  </si>
  <si>
    <t>공무원이 미지급된 보수를 청구하기 위해 제기해야 하는 소송의 유형 및 구분 근거</t>
    <phoneticPr fontId="2" type="noConversion"/>
  </si>
  <si>
    <t>행정청의 환지예정지지정처분에 대한 사정재결 후 취소소송 대상</t>
    <phoneticPr fontId="2" type="noConversion"/>
  </si>
  <si>
    <t>열기2-03.행정쟁송법\02.문제\[기출][2021-2]행정청의 환지예정지지정처분에 대한 사정재결 후 취소소송 대상.txt</t>
    <phoneticPr fontId="2" type="noConversion"/>
  </si>
  <si>
    <t>불고지에 따른 행정심판의 청구기간의 특례와 청구의 적법성 여부</t>
    <phoneticPr fontId="2" type="noConversion"/>
  </si>
  <si>
    <t>여객자동차운송사업 양도・양수 인가처분에 대한 제3자 경업자의 원고적격 인정 여부</t>
    <phoneticPr fontId="2" type="noConversion"/>
  </si>
  <si>
    <t>열기2-03.행정쟁송법\02.문제\[기출][2023-2]여객자동차운송사업 양도・양수 인가처분에 대한 제3자 경업자의 원고적격 인정 여부.txt</t>
    <phoneticPr fontId="2" type="noConversion"/>
  </si>
  <si>
    <t>2023-1-2</t>
  </si>
  <si>
    <t>02</t>
    <phoneticPr fontId="2" type="noConversion"/>
  </si>
  <si>
    <t>03</t>
    <phoneticPr fontId="2" type="noConversion"/>
  </si>
  <si>
    <t>04</t>
    <phoneticPr fontId="2" type="noConversion"/>
  </si>
  <si>
    <t>05</t>
    <phoneticPr fontId="2" type="noConversion"/>
  </si>
  <si>
    <t>06</t>
    <phoneticPr fontId="2" type="noConversion"/>
  </si>
  <si>
    <t>08</t>
    <phoneticPr fontId="2" type="noConversion"/>
  </si>
  <si>
    <t>10</t>
    <phoneticPr fontId="2" type="noConversion"/>
  </si>
  <si>
    <t>열기2-03.행정쟁송법\02.문제\[기출][2018-1-2]기속력의 객관적 범위와 다른 사유를 근거로 한 재거부처분의 적법성 여부.txt</t>
    <phoneticPr fontId="2" type="noConversion"/>
  </si>
  <si>
    <t>열기2-03.행정쟁송법\02.문제\[기출][2012-1-2]설립신고서 반려 취소 판결 후 새로운 사유를 근거로 한 재반려처분의 기속력 위반 여부 및 본안 인용 여부.txt</t>
    <phoneticPr fontId="2" type="noConversion"/>
  </si>
  <si>
    <t>권고조치를 대상으로 한 취소소송에서 대상적격의 의미 및 소송요건 결여 시 판결의 종류와 사유</t>
    <phoneticPr fontId="2" type="noConversion"/>
  </si>
  <si>
    <t>기출</t>
  </si>
  <si>
    <t>이론</t>
    <phoneticPr fontId="2" type="noConversion"/>
  </si>
  <si>
    <t>판례</t>
    <phoneticPr fontId="2" type="noConversion"/>
  </si>
  <si>
    <t>2023-1-1</t>
  </si>
  <si>
    <t>장↑</t>
    <phoneticPr fontId="2" type="noConversion"/>
  </si>
  <si>
    <t>入</t>
  </si>
  <si>
    <t>入</t>
    <phoneticPr fontId="2" type="noConversion"/>
  </si>
  <si>
    <t>本</t>
  </si>
  <si>
    <t>本</t>
    <phoneticPr fontId="2" type="noConversion"/>
  </si>
  <si>
    <t>처분변경으로 인한 소의 변경</t>
    <phoneticPr fontId="2" type="noConversion"/>
  </si>
  <si>
    <t>소송 종류 변경 목적 소의 변경</t>
    <phoneticPr fontId="2" type="noConversion"/>
  </si>
  <si>
    <t>入</t>
    <phoneticPr fontId="2" type="noConversion"/>
  </si>
  <si>
    <t>중요도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</si>
  <si>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</si>
  <si>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</si>
  <si>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</si>
  <si>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회독</t>
    <phoneticPr fontId="2" type="noConversion"/>
  </si>
  <si>
    <t>제01장 행정소송의 일반론</t>
  </si>
  <si>
    <t>제01장 행정소송의 일반론</t>
    <phoneticPr fontId="2" type="noConversion"/>
  </si>
  <si>
    <t>제02장 취소소송의 대상적격</t>
  </si>
  <si>
    <t>제03장 취소소송의 당사자적격</t>
  </si>
  <si>
    <t>제04장 취소소송의 기타 소송요건</t>
  </si>
  <si>
    <t>제05장 취소소송의 심리</t>
  </si>
  <si>
    <t>제06장 취소소송의 종료</t>
  </si>
  <si>
    <t>제07장 취소소송의 가구제</t>
  </si>
  <si>
    <t>제08장 청구의 병합과 소의 변경</t>
  </si>
  <si>
    <t>제09장 무효등 확인소송</t>
  </si>
  <si>
    <t>제09장 무효등 확인소송</t>
    <phoneticPr fontId="2" type="noConversion"/>
  </si>
  <si>
    <t>04</t>
    <phoneticPr fontId="2" type="noConversion"/>
  </si>
  <si>
    <t>05</t>
    <phoneticPr fontId="2" type="noConversion"/>
  </si>
  <si>
    <t>일부 변경된 집합금지명령의 대상적격성 및 고시・공고에 의한 일반처분의 제소기간 준수 여부</t>
    <phoneticPr fontId="2" type="noConversion"/>
  </si>
  <si>
    <t>열기2-03.행정쟁송법\02.문제\[기출][2024-3]일부 변경된 집합금지명령의 대상적격성 및 고시・공고에 의한 일반처분의 제소기간 준수 여부.txt</t>
    <phoneticPr fontId="2" type="noConversion"/>
  </si>
  <si>
    <t>행정청의 이주대책 대상자 제외 재결정에 대한 취소소송의 대상적격과 제소기간 기산점</t>
    <phoneticPr fontId="2" type="noConversion"/>
  </si>
  <si>
    <t>열기2-03.행정쟁송법\02.문제\[기출][2023-1-1]행정청의 이주대책 대상자 제외 재결정에 대한 취소소송의 대상적격과 제소기간 기산점.txt</t>
    <phoneticPr fontId="2" type="noConversion"/>
  </si>
  <si>
    <t>감경 변경재결 및 후속 변경처분에 따른 취소소송의 대상적격・피고적격・제소기간 준수 여부</t>
    <phoneticPr fontId="2" type="noConversion"/>
  </si>
  <si>
    <t>열기2-03.행정쟁송법\02.문제\[기출][2025-2]감경 변경재결 및 후속 변경처분에 따른 취소소송의 대상적격・피고적격・제소기간 준수 여부.txt</t>
    <phoneticPr fontId="2" type="noConversion"/>
  </si>
  <si>
    <t>인근 주민의 취소소송 참가 가능성 및 행정소송법 제16조상 참가인의 법적 지위</t>
    <phoneticPr fontId="2" type="noConversion"/>
  </si>
  <si>
    <t>하자있는 거부처분에 대한 행정심판법상 청구 및 재결의 실효성 확보수단</t>
    <phoneticPr fontId="2" type="noConversion"/>
  </si>
  <si>
    <t>열기2-03.행정쟁송법\02.문제\[기출][2010-2]하자있는 거부처분에 대한 행정심판법상 청구 및 재결의 실효성 확보수단.txt</t>
    <phoneticPr fontId="2" type="noConversion"/>
  </si>
  <si>
    <t>취소심판의 재결이 내려지기 전 청구인이 제기할 수 있는 행정심판법상 잠정적 권리구제수단</t>
    <phoneticPr fontId="2" type="noConversion"/>
  </si>
  <si>
    <t>열기2-03.행정쟁송법\02.문제\[기출][2015-2]취소심판의 재결이 내려지기 전 청구인이 제기할 수 있는 행정심판법상 잠정적 권리구제수단.txt</t>
    <phoneticPr fontId="2" type="noConversion"/>
  </si>
  <si>
    <t>거부처분에 대한 행정심판 청구 시 임시처분의 요건 및 사안에의 인용가능성</t>
    <phoneticPr fontId="2" type="noConversion"/>
  </si>
  <si>
    <t>열기2-03.행정쟁송법\02.문제\[기출][2018-1-1]거부처분에 대한 행정심판 청구 시 임시처분의 요건 및 사안에의 인용가능성.txt</t>
    <phoneticPr fontId="2" type="noConversion"/>
  </si>
  <si>
    <t>C</t>
  </si>
  <si>
    <t>B</t>
  </si>
  <si>
    <t>A</t>
  </si>
  <si>
    <t>열기2-03.행정쟁송법\01.본문\제01장 행정소송의 일반론.제01절 행정소송의 일반론 개관.txt</t>
    <phoneticPr fontId="2" type="noConversion"/>
  </si>
  <si>
    <t>열기2-03.행정쟁송법\03.판례\290. 이의신청과 제소기간.txt</t>
  </si>
  <si>
    <t>열기2-03.행정쟁송법\03.판례\291. 이의신청의 기각과 거부처분.txt</t>
  </si>
  <si>
    <t>열기2-03.행정쟁송법\03.판례\292. 이의신청을 거친 2차통지의 처분성.txt</t>
  </si>
  <si>
    <t>열기2-03.행정쟁송법\03.판례\293. 이의신청 단계에서 처분사유의 추가・변경.txt</t>
  </si>
  <si>
    <t>열기2-03.행정쟁송법\03.판례\294. 사법(司法)절차의 준용.txt</t>
  </si>
  <si>
    <t>열기2-03.행정쟁송법\03.판례\295. 법률이 필요적 전치주의를 규정한 경우.txt</t>
  </si>
  <si>
    <t>열기2-03.행정쟁송법\03.판례\296. 심판청구기간.txt</t>
  </si>
  <si>
    <t>열기2-03.행정쟁송법\03.판례\297. 심판청구의 방식.txt</t>
  </si>
  <si>
    <t>열기2-03.행정쟁송법\03.판례\298. 처분사유의 추가・변경.txt</t>
  </si>
  <si>
    <t>열기2-03.행정쟁송법\03.판례\299. 재결의 효력 (1).txt</t>
  </si>
  <si>
    <t>열기2-03.행정쟁송법\03.판례\300. 재결의 효력 (2).txt</t>
  </si>
  <si>
    <t>열기2-03.행정쟁송법\03.판례\301. 재결의 효력 (3).txt</t>
  </si>
  <si>
    <t>열기2-03.행정쟁송법\03.판례\302. 재결의 효력 (4).txt</t>
  </si>
  <si>
    <t>열기2-03.행정쟁송법\03.판례\303. 재결의 효력 (5).txt</t>
  </si>
  <si>
    <t>열기2-03.행정쟁송법\03.판례\305. 대상적격 (2)：공공기관의 행위.txt</t>
  </si>
  <si>
    <t>열기2-03.행정쟁송법\03.판례\306. 대상적격 (3)：불문경고.txt</t>
  </si>
  <si>
    <t>열기2-03.행정쟁송법\03.판례\307. 대상적격 (4)：행정규칙에 근거한 처분.txt</t>
  </si>
  <si>
    <t>열기2-03.행정쟁송법\03.판례\308. 대상적격 (5)：검찰총장의 검사에 대한 경고조치.txt</t>
  </si>
  <si>
    <t>열기2-03.행정쟁송법\03.판례\309. 대상적격 (6)：건축협의 취소.txt</t>
  </si>
  <si>
    <t>열기2-03.행정쟁송법\03.판례\310. 대상적격 (7)：도시관리계획의 처분성.txt</t>
  </si>
  <si>
    <t>열기2-03.행정쟁송법\03.판례\311. 대상적격 (8)：조례.txt</t>
  </si>
  <si>
    <t>열기2-03.행정쟁송법\03.판례\312. 대상적격 (9)：조례로 결정할 사항을 개별 결정에 의한 경우.txt</t>
  </si>
  <si>
    <t>열기2-03.행정쟁송법\03.판례\313. 대상적격 (10)：고시.txt</t>
  </si>
  <si>
    <t>열기2-03.행정쟁송법\03.판례\314. 대상적격 (11)：지목변경신청에 대한 거부.txt</t>
  </si>
  <si>
    <t>열기2-03.행정쟁송법\03.판례\315. 대상적격 (12)：거부행위의 처분성.txt</t>
  </si>
  <si>
    <t>열기2-03.행정쟁송법\03.판례\316. 대상적격 (13)：계획변경신청에 대한 거부.txt</t>
  </si>
  <si>
    <t>열기2-03.행정쟁송법\03.판례\317. 대상적격 (14)：국립대학교원 재임용 거부.txt</t>
  </si>
  <si>
    <t>열기2-03.행정쟁송법\03.판례\318. 대상적격 (15)：대학교원 신규임용거부.txt</t>
  </si>
  <si>
    <t>열기2-03.행정쟁송법\03.판례\319. 대상적격 (16)：총장임용제청 제외.txt</t>
  </si>
  <si>
    <t>열기2-03.행정쟁송법\03.판례\320. 대상적격 (17)：철거명령신청에 대한 거부.txt</t>
  </si>
  <si>
    <t>열기2-03.행정쟁송법\03.판례\321. 대상적격 (18)：공사중지명령 철회신청에 대한 거부.txt</t>
  </si>
  <si>
    <t>열기2-03.행정쟁송법\03.판례\322. 대상적격 (19)：폐기물처리업 부적정 통보.txt</t>
  </si>
  <si>
    <t>열기2-03.행정쟁송법\03.판례\323. 대상적격 (20)：행정처분의 반복 통지.txt</t>
  </si>
  <si>
    <t>열기2-03.행정쟁송법\03.판례\324. 대상적격 (21)：감액처분이 있는 경우 항고소송의 대상.txt</t>
  </si>
  <si>
    <t>열기2-03.행정쟁송법\03.판례\325. 대상적격 (22)：증액처분이 있는 경우 항고소송의 대상.txt</t>
  </si>
  <si>
    <t>열기2-03.행정쟁송법\03.판례\326. 대상적격 (23)：변경처분이 있는 경우 항고소송의 대상.txt</t>
  </si>
  <si>
    <t>열기2-03.행정쟁송법\03.판례\327. 대상적격 (24)：선행처분이 후행처분에 흡수되는 경우.txt</t>
  </si>
  <si>
    <t>열기2-03.행정쟁송법\03.판례\328. 대상적격 (25)：입찰참가자격 제한.txt</t>
  </si>
  <si>
    <t>열기2-03.행정쟁송법\03.판례\329. 대상적격 (26)：거래정지조치.txt</t>
  </si>
  <si>
    <t>열기2-03.행정쟁송법\03.판례\330. 대상적격 (27)：산업단지관리공단의 입주계약 취소.txt</t>
  </si>
  <si>
    <t>열기2-03.행정쟁송법\03.판례\331. 대상적격 (28)：보조금 지급신청에 대한 경기도지사의 통보.txt</t>
  </si>
  <si>
    <t>열기2-03.행정쟁송법\03.판례\332. 대상적격 (29)：감사원의 징계요구.txt</t>
  </si>
  <si>
    <t>열기2-03.행정쟁송법\03.판례\333. 대상적격 (30)：행정심판의 재결.txt</t>
  </si>
  <si>
    <t>열기2-03.행정쟁송법\03.판례\334. 대상적격 (31)：부작위위법확인소송의 경우.txt</t>
  </si>
  <si>
    <t>열기2-03.행정쟁송법\03.판례\335. 원고적격 (1)：법률상 이익의 의미.txt</t>
  </si>
  <si>
    <t>열기2-03.행정쟁송법\03.판례\336. 원고적격 (2)：경업자소송의 원고적격.txt</t>
  </si>
  <si>
    <t>열기2-03.행정쟁송법\03.판례\337. 원고적격 (3)：경원자소송의 원고적격.txt</t>
  </si>
  <si>
    <t>열기2-03.행정쟁송법\03.판례\338. 원고적격 (4)：이웃 주민(隣人)의 원고적격.txt</t>
  </si>
  <si>
    <t>열기2-03.행정쟁송법\03.판례\339. 원고적격 (5)：이웃 주민(隣人)의 원고적격.txt</t>
  </si>
  <si>
    <t>열기2-03.행정쟁송법\03.판례\340. 원고적격 (6)：환경영향평가 대상지역 안의 주민.txt</t>
  </si>
  <si>
    <t>열기2-03.행정쟁송법\03.판례\341. 원고적격 (7)：법률상 이익 침해(우려)가 추정되는 주민의 의미.txt</t>
  </si>
  <si>
    <t>열기2-03.행정쟁송법\03.판례\342. 원고적격 (8)：법령이 규정한 영향권 안의 주민.txt</t>
  </si>
  <si>
    <t>열기2-03.행정쟁송법\03.판례\343. 원고적격 (9)：법인의 법률상 이익.txt</t>
  </si>
  <si>
    <t>열기2-03.행정쟁송법\03.판례\344. 원고적격 (10)：주주의 법률상 이익.txt</t>
  </si>
  <si>
    <t>열기2-03.행정쟁송법\03.판례\345. 원고적격 (11)：학교법인의 임원.txt</t>
  </si>
  <si>
    <t>열기2-03.행정쟁송법\03.판례\346. 원고적격 (12)：국가기관.txt</t>
  </si>
  <si>
    <t>열기2-03.행정쟁송법\03.판례\347. 소의 이익 (1)：처분에서 정한 제재기간의 경과.txt</t>
  </si>
  <si>
    <t>열기2-03.행정쟁송법\03.판례\348. 소의 이익 (2)：처분의 직권취소.txt</t>
  </si>
  <si>
    <t>열기2-03.행정쟁송법\03.판례\349. 소의 이익 (3)：처분의 직권취소.txt</t>
  </si>
  <si>
    <t>열기2-03.행정쟁송법\03.판례\350. 소의 이익 (4)：조합설립변경인가가 있는 경우.txt</t>
  </si>
  <si>
    <t>열기2-03.행정쟁송법\03.판례\351. 소의 이익 (5)：임기가 만료된 학교법인의 임원.txt</t>
  </si>
  <si>
    <t>열기2-03.행정쟁송법\03.판례\352. 소의 이익 (6)：퇴학처분 이후 검정고시에 합격한 경우.txt</t>
  </si>
  <si>
    <t>열기2-03.행정쟁송법\03.판례\353. 소의 이익 (7)：원상회복이 불가능한 경우.txt</t>
  </si>
  <si>
    <t>열기2-03.행정쟁송법\03.판례\354. 소의 이익 (8)：원상회복이 불가능한 경우.txt</t>
  </si>
  <si>
    <t>열기2-03.행정쟁송법\03.판례\355. 소의 이익 (9)：원상회복이 불가능하더라도 취소를 구할 이익이 잔존하는 경우.txt</t>
  </si>
  <si>
    <t>열기2-03.행정쟁송법\03.판례\356. 소의 이익 (10)：위법한 행정처분의 반복가능성.txt</t>
  </si>
  <si>
    <t>열기2-03.행정쟁송법\03.판례\357. 소의 이익 (11)：강학상 인가와 기본행위의 하자.txt</t>
  </si>
  <si>
    <t>열기2-03.행정쟁송법\03.판례\358. 소의 이익 (12)：사업양도에 따른 지위승계 신고수리처분.txt</t>
  </si>
  <si>
    <t>열기2-03.행정쟁송법\03.판례\359. 소의 이익 (13)：거부처분에 대한 취소재결.txt</t>
  </si>
  <si>
    <t>열기2-03.행정쟁송법\03.판례\360. 소의 이익 (14)：경원관계에서 탈락한 경원자.txt</t>
  </si>
  <si>
    <t>열기2-03.행정쟁송법\03.판례\361. 소의 이익 (15)：무효확인소송에서 소의 이익(보충성).txt</t>
  </si>
  <si>
    <t>열기2-03.행정쟁송법\03.판례\362. 피고적격 (1).txt</t>
  </si>
  <si>
    <t>열기2-03.행정쟁송법\03.판례\363. 피고적격 (2).txt</t>
  </si>
  <si>
    <t>열기2-03.행정쟁송법\03.판례\364. 피고적격 (3).txt</t>
  </si>
  <si>
    <t>열기2-03.행정쟁송법\03.판례\365. 제소기간 (1).txt</t>
  </si>
  <si>
    <t>열기2-03.행정쟁송법\03.판례\366. 제소기간 (2).txt</t>
  </si>
  <si>
    <t>열기2-03.행정쟁송법\03.판례\367. 제소기간 (3).txt</t>
  </si>
  <si>
    <t>열기2-03.행정쟁송법\03.판례\368. 제소기간 (4).txt</t>
  </si>
  <si>
    <t>열기2-03.행정쟁송법\03.판례\369. 제소기간 (5).txt</t>
  </si>
  <si>
    <t>열기2-03.행정쟁송법\03.판례\370. 제소기간 (6).txt</t>
  </si>
  <si>
    <t>열기2-03.행정쟁송법\03.판례\371. 집행정지의 대상.txt</t>
  </si>
  <si>
    <t>열기2-03.행정쟁송법\03.판례\372. 집행정지의 요건 (1).txt</t>
  </si>
  <si>
    <t>열기2-03.행정쟁송법\03.판례\373. 집행정지의 요건 (2).txt</t>
  </si>
  <si>
    <t>열기2-03.행정쟁송법\03.판례\374. 집행정지의 요건 (3).txt</t>
  </si>
  <si>
    <t>열기2-03.행정쟁송법\03.판례\375. 집행정지의 효력 (1).txt</t>
  </si>
  <si>
    <t>열기2-03.행정쟁송법\03.판례\376. 집행정지의 효력 (2).txt</t>
  </si>
  <si>
    <t>열기2-03.행정쟁송법\03.판례\377. 행정쟁송에서 집행정지 결정의 종기.txt</t>
  </si>
  <si>
    <t>열기2-03.행정쟁송법\03.판례\378. 직권심리주의 (1).txt</t>
  </si>
  <si>
    <t>열기2-03.행정쟁송법\03.판례\379. 직권심리주의 (2).txt</t>
  </si>
  <si>
    <t>열기2-03.행정쟁송법\03.판례\380. 직권심리주의 (3).txt</t>
  </si>
  <si>
    <t>열기2-03.행정쟁송법\03.판례\381. 관련청구소송의 병합 (1)：병합의 요건.txt</t>
  </si>
  <si>
    <t>열기2-03.행정쟁송법\03.판례\382. 관련청구소송의 병합 (2)：선결문제와 부당이득반환청구.txt</t>
  </si>
  <si>
    <t>열기2-03.행정쟁송법\03.판례\383. 관련청구소송의 병합 (3)：제소기간.txt</t>
  </si>
  <si>
    <t>열기2-03.행정쟁송법\03.판례\384. 처분사유의 추가・변경 (1)：기본적 사실관계의 동일성.txt</t>
  </si>
  <si>
    <t>열기2-03.행정쟁송법\03.판례\385. 처분사유의 추가・변경 (2)：처분 근거법령의 변경.txt</t>
  </si>
  <si>
    <t>열기2-03.행정쟁송법\03.판례\386. 처분사유의 추가・변경 (3)：처분사유의 근거가 되는 기초사실 내지 평가요소의 추가.txt</t>
  </si>
  <si>
    <t>열기2-03.행정쟁송법\03.판례\387. 증명책임 (1)：취소소송에서 증명책임.txt</t>
  </si>
  <si>
    <t>열기2-03.행정쟁송법\03.판례\388. 증명책임 (2)：무효확인소송에서 증명책임.txt</t>
  </si>
  <si>
    <t>열기2-03.행정쟁송법\03.판례\389. 기속행위의 일부취소판결 (1).txt</t>
  </si>
  <si>
    <t>열기2-03.행정쟁송법\03.판례\390. 기속행위의 일부취소판결 (2).txt</t>
  </si>
  <si>
    <t>열기2-03.행정쟁송법\03.판례\391. 재량행위에 대한 일부취소판결 (1).txt</t>
  </si>
  <si>
    <t>열기2-03.행정쟁송법\03.판례\392. 재량행위에 대한 일부취소판결 (2).txt</t>
  </si>
  <si>
    <t>열기2-03.행정쟁송법\03.판례\393. 처분대상의 일부가 특정될 수 있는 경우의 취소판결.txt</t>
  </si>
  <si>
    <t>열기2-03.행정쟁송법\03.판례\394. 일부취소판결과 사정판결.txt</t>
  </si>
  <si>
    <t>열기2-03.행정쟁송법\03.판례\395. 항고소송에서 위법판단의 기준시.txt</t>
  </si>
  <si>
    <t>열기2-03.행정쟁송법\03.판례\396. 항고소송에서 처분의 위법판단의 기준 법령 등.txt</t>
  </si>
  <si>
    <t>열기2-03.행정쟁송법\03.판례\397. 판결의 효력 (1)：기속력.txt</t>
  </si>
  <si>
    <t>열기2-03.행정쟁송법\03.판례\398. 판결의 효력 (2)：원상회복의무.txt</t>
  </si>
  <si>
    <t>열기2-03.행정쟁송법\03.판례\399. 판결의 효력 (3)：재처분의무.txt</t>
  </si>
  <si>
    <t>열기2-03.행정쟁송법\03.판례\400. 판결의 효력 (4)：재처분의무.txt</t>
  </si>
  <si>
    <t>열기2-03.행정쟁송법\03.판례\401. 판결의 효력 (5)：간접강제.txt</t>
  </si>
  <si>
    <t>열기2-03.행정쟁송법\03.판례\402. 판결의 효력 (6)：형성력.txt</t>
  </si>
  <si>
    <t>열기2-03.행정쟁송법\03.판례\403. 판결의 효력 (7)：기판력.txt</t>
  </si>
  <si>
    <t>열기2-03.행정쟁송법\03.판례\404. 판결의 효력 (8)：기판력.txt</t>
  </si>
  <si>
    <t>열기2-03.행정쟁송법\03.판례\405. 항고소송의 대상과 당사자소송의 대상.txt</t>
  </si>
  <si>
    <t>열기2-03.행정쟁송법\03.판례\406. 당사자소송의 대상 (1).txt</t>
  </si>
  <si>
    <t>열기2-03.행정쟁송법\03.판례\407. 당사자소송의 대상 (2).txt</t>
  </si>
  <si>
    <t>열기2-03.행정쟁송법\03.판례\408. 당사자소송의 대상 (3).txt</t>
  </si>
  <si>
    <t>열기2-03.행정쟁송법\03.판례\409. 당사자소송에서 소의 이익.txt</t>
  </si>
  <si>
    <t>열기2-03.행정쟁송법\03.판례\410. 당사자소송에서 가구제.txt</t>
  </si>
  <si>
    <t>290. 이의신청과 제소기간</t>
  </si>
  <si>
    <t>291. 이의신청의 기각과 거부처분</t>
  </si>
  <si>
    <t>292. 이의신청을 거친 2차통지의 처분성</t>
  </si>
  <si>
    <t>293. 이의신청 단계에서 처분사유의 추가・변경</t>
  </si>
  <si>
    <t>294. 사법(司法)절차의 준용</t>
  </si>
  <si>
    <t>295. 법률이 필요적 전치주의를 규정한 경우</t>
  </si>
  <si>
    <t>296. 심판청구기간</t>
  </si>
  <si>
    <t>297. 심판청구의 방식</t>
  </si>
  <si>
    <t>298. 처분사유의 추가・변경</t>
  </si>
  <si>
    <t>299. 재결의 효력 (1)</t>
  </si>
  <si>
    <t>300. 재결의 효력 (2)</t>
  </si>
  <si>
    <t>301. 재결의 효력 (3)</t>
  </si>
  <si>
    <t>302. 재결의 효력 (4)</t>
  </si>
  <si>
    <t>303. 재결의 효력 (5)</t>
  </si>
  <si>
    <t>304. 대상적격 (1)：청소년유해매체물 결정・고시</t>
  </si>
  <si>
    <t>305. 대상적격 (2)：공공기관의 행위</t>
  </si>
  <si>
    <t>306. 대상적격 (3)：불문경고</t>
  </si>
  <si>
    <t>307. 대상적격 (4)：행정규칙에 근거한 처분</t>
  </si>
  <si>
    <t>308. 대상적격 (5)：검찰총장의 검사에 대한 경고조치</t>
  </si>
  <si>
    <t>309. 대상적격 (6)：건축협의 취소</t>
  </si>
  <si>
    <t>310. 대상적격 (7)：도시관리계획의 처분성</t>
  </si>
  <si>
    <t>311. 대상적격 (8)：조례</t>
  </si>
  <si>
    <t>312. 대상적격 (9)：조례로 결정할 사항을 개별 결정에 의한 경우</t>
  </si>
  <si>
    <t>313. 대상적격 (10)：고시</t>
  </si>
  <si>
    <t>314. 대상적격 (11)：지목변경신청에 대한 거부</t>
  </si>
  <si>
    <t>315. 대상적격 (12)：거부행위의 처분성</t>
  </si>
  <si>
    <t>316. 대상적격 (13)：계획변경신청에 대한 거부</t>
  </si>
  <si>
    <t>317. 대상적격 (14)：국립대학교원 재임용 거부</t>
  </si>
  <si>
    <t>318. 대상적격 (15)：대학교원 신규임용거부</t>
  </si>
  <si>
    <t>319. 대상적격 (16)：총장임용제청 제외</t>
  </si>
  <si>
    <t>320. 대상적격 (17)：철거명령신청에 대한 거부</t>
  </si>
  <si>
    <t>321. 대상적격 (18)：공사중지명령 철회신청에 대한 거부</t>
  </si>
  <si>
    <t>322. 대상적격 (19)：폐기물처리업 부적정 통보</t>
  </si>
  <si>
    <t>323. 대상적격 (20)：행정처분의 반복 통지</t>
  </si>
  <si>
    <t>324. 대상적격 (21)：감액처분이 있는 경우 항고소송의 대상</t>
  </si>
  <si>
    <t>325. 대상적격 (22)：증액처분이 있는 경우 항고소송의 대상</t>
  </si>
  <si>
    <t>326. 대상적격 (23)：변경처분이 있는 경우 항고소송의 대상</t>
  </si>
  <si>
    <t>327. 대상적격 (24)：선행처분이 후행처분에 흡수되는 경우</t>
  </si>
  <si>
    <t>328. 대상적격 (25)：입찰참가자격 제한</t>
  </si>
  <si>
    <t>329. 대상적격 (26)：거래정지조치</t>
  </si>
  <si>
    <t>330. 대상적격 (27)：산업단지관리공단의 입주계약 취소</t>
  </si>
  <si>
    <t>331. 대상적격 (28)：보조금 지급신청에 대한 경기도지사의 통보</t>
  </si>
  <si>
    <t>332. 대상적격 (29)：감사원의 징계요구</t>
  </si>
  <si>
    <t>333. 대상적격 (30)：행정심판의 재결</t>
  </si>
  <si>
    <t>334. 대상적격 (31)：부작위위법확인소송의 경우</t>
  </si>
  <si>
    <t>335. 원고적격 (1)：법률상 이익의 의미</t>
  </si>
  <si>
    <t>336. 원고적격 (2)：경업자소송의 원고적격</t>
  </si>
  <si>
    <t>337. 원고적격 (3)：경원자소송의 원고적격</t>
  </si>
  <si>
    <t>339. 원고적격 (5)：이웃 주민(隣人)의 원고적격</t>
  </si>
  <si>
    <t>340. 원고적격 (6)：환경영향평가 대상지역 안의 주민</t>
  </si>
  <si>
    <t>341. 원고적격 (7)：법률상 이익 침해(우려)가 추정되는 주민의 의미</t>
  </si>
  <si>
    <t>342. 원고적격 (8)：법령이 규정한 영향권 안의 주민</t>
  </si>
  <si>
    <t>343. 원고적격 (9)：법인의 법률상 이익</t>
  </si>
  <si>
    <t>344. 원고적격 (10)：주주의 법률상 이익</t>
  </si>
  <si>
    <t>345. 원고적격 (11)：학교법인의 임원</t>
  </si>
  <si>
    <t>346. 원고적격 (12)：국가기관</t>
  </si>
  <si>
    <t>347. 소의 이익 (1)：처분에서 정한 제재기간의 경과</t>
  </si>
  <si>
    <t>348. 소의 이익 (2)：처분의 직권취소</t>
  </si>
  <si>
    <t>349. 소의 이익 (3)：처분의 직권취소</t>
  </si>
  <si>
    <t>350. 소의 이익 (4)：조합설립변경인가가 있는 경우</t>
  </si>
  <si>
    <t>351. 소의 이익 (5)：임기가 만료된 학교법인의 임원</t>
  </si>
  <si>
    <t>352. 소의 이익 (6)：퇴학처분 이후 검정고시에 합격한 경우</t>
  </si>
  <si>
    <t>353. 소의 이익 (7)：원상회복이 불가능한 경우</t>
  </si>
  <si>
    <t>354. 소의 이익 (8)：원상회복이 불가능한 경우</t>
  </si>
  <si>
    <t>355. 소의 이익 (9)：원상회복이 불가능하더라도 취소를 구할 이익이 잔존하는 경우</t>
  </si>
  <si>
    <t>356. 소의 이익 (10)：위법한 행정처분의 반복가능성</t>
  </si>
  <si>
    <t>357. 소의 이익 (11)：강학상 인가와 기본행위의 하자</t>
  </si>
  <si>
    <t>358. 소의 이익 (12)：사업양도에 따른 지위승계 신고수리처분</t>
  </si>
  <si>
    <t>359. 소의 이익 (13)：거부처분에 대한 취소재결</t>
  </si>
  <si>
    <t>360. 소의 이익 (14)：경원관계에서 탈락한 경원자</t>
  </si>
  <si>
    <t>361. 소의 이익 (15)：무효확인소송에서 소의 이익(보충성)</t>
  </si>
  <si>
    <t>362. 피고적격 (1)</t>
  </si>
  <si>
    <t>363. 피고적격 (2)</t>
  </si>
  <si>
    <t>364. 피고적격 (3)</t>
  </si>
  <si>
    <t>365. 제소기간 (1)</t>
  </si>
  <si>
    <t>366. 제소기간 (2)</t>
  </si>
  <si>
    <t>367. 제소기간 (3)</t>
  </si>
  <si>
    <t>368. 제소기간 (4)</t>
  </si>
  <si>
    <t>369. 제소기간 (5)</t>
  </si>
  <si>
    <t>370. 제소기간 (6)</t>
  </si>
  <si>
    <t>371. 집행정지의 대상</t>
  </si>
  <si>
    <t>372. 집행정지의 요건 (1)</t>
  </si>
  <si>
    <t>373. 집행정지의 요건 (2)</t>
  </si>
  <si>
    <t>374. 집행정지의 요건 (3)</t>
  </si>
  <si>
    <t>375. 집행정지의 효력 (1)</t>
  </si>
  <si>
    <t>376. 집행정지의 효력 (2)</t>
  </si>
  <si>
    <t>377. 행정쟁송에서 집행정지 결정의 종기</t>
  </si>
  <si>
    <t>378. 직권심리주의 (1)</t>
  </si>
  <si>
    <t>379. 직권심리주의 (2)</t>
  </si>
  <si>
    <t>380. 직권심리주의 (3)</t>
  </si>
  <si>
    <t>381. 관련청구소송의 병합 (1)：병합의 요건</t>
  </si>
  <si>
    <t>382. 관련청구소송의 병합 (2)：선결문제와 부당이득반환청구</t>
  </si>
  <si>
    <t>383. 관련청구소송의 병합 (3)：제소기간</t>
  </si>
  <si>
    <t>384. 처분사유의 추가・변경 (1)：기본적 사실관계의 동일성</t>
  </si>
  <si>
    <t>385. 처분사유의 추가・변경 (2)：처분 근거법령의 변경</t>
  </si>
  <si>
    <t>386. 처분사유의 추가・변경 (3)：처분사유의 근거가 되는 기초사실 내지 평가요소의 추가</t>
  </si>
  <si>
    <t>387. 증명책임 (1)：취소소송에서 증명책임</t>
  </si>
  <si>
    <t>388. 증명책임 (2)：무효확인소송에서 증명책임</t>
  </si>
  <si>
    <t>389. 기속행위의 일부취소판결 (1)</t>
  </si>
  <si>
    <t>391. 재량행위에 대한 일부취소판결 (1)</t>
  </si>
  <si>
    <t>393. 처분대상의 일부가 특정될 수 있는 경우의 취소판결</t>
  </si>
  <si>
    <t>397. 판결의 효력 (1)：기속력</t>
  </si>
  <si>
    <t>398. 판결의 효력 (2)：원상회복의무</t>
  </si>
  <si>
    <t>399. 판결의 효력 (3)：재처분의무</t>
  </si>
  <si>
    <t>400. 판결의 효력 (4)：재처분의무</t>
  </si>
  <si>
    <t>401. 판결의 효력 (5)：간접강제</t>
  </si>
  <si>
    <t>402. 판결의 효력 (6)：형성력</t>
  </si>
  <si>
    <t>403. 판결의 효력 (7)：기판력</t>
  </si>
  <si>
    <t>404. 판결의 효력 (8)：기판력</t>
  </si>
  <si>
    <t>405. 항고소송의 대상과 당사자소송의 대상</t>
  </si>
  <si>
    <t>406. 당사자소송의 대상 (1)</t>
  </si>
  <si>
    <t>407. 당사자소송의 대상 (2)</t>
  </si>
  <si>
    <t>408. 당사자소송의 대상 (3)</t>
  </si>
  <si>
    <t>409. 당사자소송에서 소의 이익</t>
  </si>
  <si>
    <t>410. 당사자소송에서 가구제</t>
  </si>
  <si>
    <t>처분 긍정</t>
    <phoneticPr fontId="2" type="noConversion"/>
  </si>
  <si>
    <t>처분 부정</t>
  </si>
  <si>
    <t>처분 부정</t>
    <phoneticPr fontId="2" type="noConversion"/>
  </si>
  <si>
    <t>처분 부정(마사회)</t>
    <phoneticPr fontId="2" type="noConversion"/>
  </si>
  <si>
    <t>피고적격에 더 적합</t>
    <phoneticPr fontId="2" type="noConversion"/>
  </si>
  <si>
    <t>처분, 원고, 사정판결</t>
    <phoneticPr fontId="2" type="noConversion"/>
  </si>
  <si>
    <t>판례 변경(처분 긍정)</t>
    <phoneticPr fontId="2" type="noConversion"/>
  </si>
  <si>
    <t>신청 거부(처분 긍정)</t>
    <phoneticPr fontId="2" type="noConversion"/>
  </si>
  <si>
    <t>처분 긍정(부작위)</t>
    <phoneticPr fontId="2" type="noConversion"/>
  </si>
  <si>
    <t>처분 인정</t>
    <phoneticPr fontId="2" type="noConversion"/>
  </si>
  <si>
    <t>변경된 당초처분</t>
    <phoneticPr fontId="2" type="noConversion"/>
  </si>
  <si>
    <t>증액경정처분에 흡수</t>
    <phoneticPr fontId="2" type="noConversion"/>
  </si>
  <si>
    <t>대체:후속, 유효:종전</t>
    <phoneticPr fontId="2" type="noConversion"/>
  </si>
  <si>
    <t>후행이 선행 흡수</t>
    <phoneticPr fontId="2" type="noConversion"/>
  </si>
  <si>
    <t>처분 부정, 예외 긍정</t>
    <phoneticPr fontId="2" type="noConversion"/>
  </si>
  <si>
    <t>취소소송의 원고적격(제12조)과 마찬가지로, "당해 처분의 근거 법규 및 관련 법규에 의하여 보호되는 직접적이고 구체적인 이익"을 "침해당한 자"를 의미한다.</t>
    <phoneticPr fontId="2" type="noConversion"/>
  </si>
  <si>
    <t>2026년 현재(2008~2025)</t>
    <phoneticPr fontId="2" type="noConversion"/>
  </si>
  <si>
    <t>비고</t>
  </si>
  <si>
    <t>장</t>
  </si>
  <si>
    <t>절</t>
  </si>
  <si>
    <t>빈도</t>
  </si>
  <si>
    <t>제01절 행정소송의 일반론 개관</t>
    <phoneticPr fontId="2" type="noConversion"/>
  </si>
  <si>
    <t>제03절 행정소송의 한계</t>
    <phoneticPr fontId="2" type="noConversion"/>
  </si>
  <si>
    <t>제03절 재결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</si>
  <si>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</si>
  <si>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</si>
  <si>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</si>
  <si>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</si>
  <si>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제03절 관할법원</t>
    <phoneticPr fontId="2" type="noConversion"/>
  </si>
  <si>
    <t>제02절 위법성 판단의 기준시</t>
    <phoneticPr fontId="2" type="noConversion"/>
  </si>
  <si>
    <t>제03절 처분사유의 추가・변경</t>
    <phoneticPr fontId="2" type="noConversion"/>
  </si>
  <si>
    <t>제01절 법원의 판결</t>
    <phoneticPr fontId="2" type="noConversion"/>
  </si>
  <si>
    <t>제02절 판결의 효력</t>
    <phoneticPr fontId="2" type="noConversion"/>
  </si>
  <si>
    <t>제03절 재심</t>
    <phoneticPr fontId="2" type="noConversion"/>
  </si>
  <si>
    <t>제01절 집행정지</t>
    <phoneticPr fontId="2" type="noConversion"/>
  </si>
  <si>
    <t>제02절 무효등 확인소송의 요건</t>
    <phoneticPr fontId="2" type="noConversion"/>
  </si>
  <si>
    <t>제05절 취소소송과의 관계</t>
    <phoneticPr fontId="2" type="noConversion"/>
  </si>
  <si>
    <t>제02절 당사자소송</t>
    <phoneticPr fontId="2" type="noConversion"/>
  </si>
  <si>
    <t>제04절 기관소송</t>
    <phoneticPr fontId="2" type="noConversion"/>
  </si>
  <si>
    <t>제01절 서설</t>
    <phoneticPr fontId="2" type="noConversion"/>
  </si>
  <si>
    <t>제02절 행정심판의 종류</t>
    <phoneticPr fontId="2" type="noConversion"/>
  </si>
  <si>
    <t>제04절 행정심판기관</t>
    <phoneticPr fontId="2" type="noConversion"/>
  </si>
  <si>
    <t>제01절 무효등 확인소송의 의의</t>
    <phoneticPr fontId="2" type="noConversion"/>
  </si>
  <si>
    <t>제03절 무효등 확인소송의 심리</t>
    <phoneticPr fontId="2" type="noConversion"/>
  </si>
  <si>
    <t>제03절 민중소송</t>
    <phoneticPr fontId="2" type="noConversion"/>
  </si>
  <si>
    <t>제01절 행정심판의 심리</t>
    <phoneticPr fontId="2" type="noConversion"/>
  </si>
  <si>
    <t>제02절 행정심판의 재결</t>
    <phoneticPr fontId="2" type="noConversion"/>
  </si>
  <si>
    <t>행정심판의 심리</t>
    <phoneticPr fontId="2" type="noConversion"/>
  </si>
  <si>
    <t>행정심판의 재결</t>
    <phoneticPr fontId="2" type="noConversion"/>
  </si>
  <si>
    <t>열기2-03.행정쟁송법\01.본문\제13장 행정심판의 심리・재결.제01절 행정심판의 심리.txt</t>
    <phoneticPr fontId="2" type="noConversion"/>
  </si>
  <si>
    <t>열기2-03.행정쟁송법\01.본문\제13장 행정심판의 심리・재결.제02절 행정심판의 재결.txt</t>
    <phoneticPr fontId="2" type="noConversion"/>
  </si>
  <si>
    <t>소계</t>
  </si>
  <si>
    <t>소계</t>
    <phoneticPr fontId="2" type="noConversion"/>
  </si>
  <si>
    <t>[入]제01장 개설</t>
  </si>
  <si>
    <t>[入]제01장 개설</t>
    <phoneticPr fontId="2" type="noConversion"/>
  </si>
  <si>
    <t>[入]제02장 행정입법(법규명령・행정규칙)</t>
  </si>
  <si>
    <t>[入]제02장 행정입법(법규명령・행정규칙)</t>
    <phoneticPr fontId="2" type="noConversion"/>
  </si>
  <si>
    <t>[入]제03장 행정법의 일반 원칙</t>
  </si>
  <si>
    <t>[入]제03장 행정법의 일반 원칙</t>
    <phoneticPr fontId="2" type="noConversion"/>
  </si>
  <si>
    <t>[入]제04장 행정법 관계</t>
  </si>
  <si>
    <t>[入]제04장 행정법 관계</t>
    <phoneticPr fontId="2" type="noConversion"/>
  </si>
  <si>
    <t>[入]제05장 공법행위</t>
  </si>
  <si>
    <t>[入]제05장 공법행위</t>
    <phoneticPr fontId="2" type="noConversion"/>
  </si>
  <si>
    <t>[入]제06장 행정행위</t>
  </si>
  <si>
    <t>[入]제06장 행정행위</t>
    <phoneticPr fontId="2" type="noConversion"/>
  </si>
  <si>
    <t>[入]제07장 행정의 실효성 확보수단</t>
  </si>
  <si>
    <t>[入]제07장 행정의 실효성 확보수단</t>
    <phoneticPr fontId="2" type="noConversion"/>
  </si>
  <si>
    <t>[入]제08장 행정쟁송</t>
  </si>
  <si>
    <t>[入]제08장 행정쟁송</t>
    <phoneticPr fontId="2" type="noConversion"/>
  </si>
  <si>
    <t>제01절 개요</t>
  </si>
  <si>
    <t>제01절 법규명령</t>
  </si>
  <si>
    <t>제01절 비례의 원칙</t>
  </si>
  <si>
    <t>제01절 행정법 관계의 서설</t>
  </si>
  <si>
    <t>제01절 개념 및 종류</t>
  </si>
  <si>
    <t>제01절 행정행위 일반</t>
  </si>
  <si>
    <t>제01절 행정행위의 실효성 확보수단</t>
  </si>
  <si>
    <t>제01절 행정심판 개관</t>
  </si>
  <si>
    <t>제01절 행정소송의 일반론 개관</t>
  </si>
  <si>
    <t>제01절 소송요건의 일반론</t>
  </si>
  <si>
    <t>제01절 심리</t>
  </si>
  <si>
    <t>제01절 관련청구소송의 병합・이송</t>
  </si>
  <si>
    <t>제01절 무효등 확인소송의 의의</t>
  </si>
  <si>
    <t>제01절 행정심판의 대상적격</t>
  </si>
  <si>
    <t>제01절 행정심판의 심리</t>
  </si>
  <si>
    <t>제02절 필수 용어 정리</t>
  </si>
  <si>
    <t>제02절 행정규칙(행정명령)</t>
  </si>
  <si>
    <t>제02절 신뢰보호의 원칙</t>
  </si>
  <si>
    <t>제02절 행정법 관계의 당사자</t>
  </si>
  <si>
    <t>제02절 신고 및 신청</t>
  </si>
  <si>
    <t>제02절 행정행위 내용에 따른 구분</t>
  </si>
  <si>
    <t>제02절 대집행</t>
  </si>
  <si>
    <t>제02절 행정소송 개관</t>
  </si>
  <si>
    <t>제02절 행정소송의 유형</t>
  </si>
  <si>
    <t>제02절 제소기간</t>
  </si>
  <si>
    <t>제02절 가처분</t>
  </si>
  <si>
    <t>제02절 소의 변경</t>
  </si>
  <si>
    <t>제02절 행정심판의 재결</t>
  </si>
  <si>
    <t>제03절 행정법의 기본구조</t>
  </si>
  <si>
    <t>제03절 행정규칙의 형식과 내용</t>
  </si>
  <si>
    <t>제03절 평등의 원칙</t>
  </si>
  <si>
    <t>제03절 행정상 법률관계</t>
  </si>
  <si>
    <t>제03절 법적 구속 정도에 따른 구분</t>
  </si>
  <si>
    <t>제03절 직접강제</t>
  </si>
  <si>
    <t>제03절 무효등 확인소송의 심리</t>
  </si>
  <si>
    <t>제03절 민중소송</t>
  </si>
  <si>
    <t>제03절 고지제도</t>
  </si>
  <si>
    <t>제03절 행정심판의 청구</t>
  </si>
  <si>
    <t>제04절 행정법의 법원</t>
  </si>
  <si>
    <t>제04절 자기구속의 원칙</t>
  </si>
  <si>
    <t>제04절 공법관계와 사법관계</t>
  </si>
  <si>
    <t>제04절 다단계 행정결정</t>
  </si>
  <si>
    <t>제04절 강제징수</t>
  </si>
  <si>
    <t>제04절 소송참가</t>
  </si>
  <si>
    <t>제04절 취소소송의 종료 사유</t>
  </si>
  <si>
    <t>제04절 무효등 확인소송의 종료</t>
  </si>
  <si>
    <t>제05절 부당결부금지의 원칙</t>
  </si>
  <si>
    <t>제05절 즉시강제</t>
  </si>
  <si>
    <t>제05절 가구제</t>
  </si>
  <si>
    <t>제06절 기타 제 원칙</t>
  </si>
  <si>
    <t>제06절 이행강제금(집행벌)</t>
  </si>
  <si>
    <t>제06절 가구제</t>
  </si>
  <si>
    <t>제07절 행정조사</t>
  </si>
  <si>
    <t>제07절 청구의 병합과 소의 변경</t>
  </si>
  <si>
    <t>제08절 행정벌</t>
  </si>
  <si>
    <t>제09절 새로운 실효성 확보수단</t>
  </si>
  <si>
    <t>최근</t>
    <phoneticPr fontId="2" type="noConversion"/>
  </si>
  <si>
    <t>이의신청 관련</t>
    <phoneticPr fontId="2" type="noConversion"/>
  </si>
  <si>
    <t>노동조합 설립신고 반려처분에 대한 취소소송상 소송요건과 가구제 및 본안 인용 시 권리구제 방안</t>
    <phoneticPr fontId="2" type="noConversion"/>
  </si>
  <si>
    <t>열기2-03.행정쟁송법\02.문제\[기출][2016-1-1]노동조합 설립신고 반려처분에 대한 취소소송상 소송요건과 가구제 및 본안 인용 시 권리구제 방안.txt</t>
    <phoneticPr fontId="2" type="noConversion"/>
  </si>
  <si>
    <t>회복하기 어려운 손해</t>
  </si>
  <si>
    <t>원처분에는 존재하지 않고 재결에만 특유하게 존재하는 주체, 절차, 형식 또는 내용상의 하자를 의미한다.</t>
    <phoneticPr fontId="2" type="noConversion"/>
  </si>
  <si>
    <t>사정재결</t>
    <phoneticPr fontId="2" type="noConversion"/>
  </si>
  <si>
    <t>오고지</t>
    <phoneticPr fontId="2" type="noConversion"/>
  </si>
  <si>
    <t>고시・공고, '24년 기출</t>
    <phoneticPr fontId="2" type="noConversion"/>
  </si>
  <si>
    <t>(2)</t>
    <phoneticPr fontId="2" type="noConversion"/>
  </si>
  <si>
    <t>(3)</t>
    <phoneticPr fontId="2" type="noConversion"/>
  </si>
  <si>
    <t>(4)</t>
    <phoneticPr fontId="2" type="noConversion"/>
  </si>
  <si>
    <t>(6)</t>
    <phoneticPr fontId="2" type="noConversion"/>
  </si>
  <si>
    <t>(7)</t>
    <phoneticPr fontId="2" type="noConversion"/>
  </si>
  <si>
    <t>본문</t>
    <phoneticPr fontId="2" type="noConversion"/>
  </si>
  <si>
    <t>열기2-03.행정쟁송법\01.본문\제01장 행정소송의 일반론.제01절 행정소송의 일반론 개관.txt</t>
  </si>
  <si>
    <t>열기2-03.행정쟁송법\01.본문\제13장 행정심판의 심리・재결.제01절 행정심판의 심리.txt</t>
  </si>
  <si>
    <t>열기2-03.행정쟁송법\01.본문\제13장 행정심판의 심리・재결.제02절 행정심판의 재결.txt</t>
  </si>
  <si>
    <t>8.02-1</t>
  </si>
  <si>
    <t>8.02-2</t>
  </si>
  <si>
    <t>9.04-1</t>
  </si>
  <si>
    <t>9.04-2</t>
  </si>
  <si>
    <t>9.06-1</t>
  </si>
  <si>
    <t>9.06-2</t>
  </si>
  <si>
    <t>9.07-1</t>
  </si>
  <si>
    <t>9.07-2</t>
  </si>
  <si>
    <t>1.02-1</t>
  </si>
  <si>
    <t>1.02-2</t>
  </si>
  <si>
    <t>2.01-1</t>
  </si>
  <si>
    <t>2.01-2</t>
  </si>
  <si>
    <t>3.04-1</t>
  </si>
  <si>
    <t>3.04-2</t>
  </si>
  <si>
    <t>5.01-1</t>
  </si>
  <si>
    <t>5.01-2</t>
  </si>
  <si>
    <t>7.02-1</t>
  </si>
  <si>
    <t>7.02-2</t>
  </si>
  <si>
    <t>열기3-01.관련법령\05.행정쟁송법\01-1.행정기본법(법률).txt</t>
    <phoneticPr fontId="2" type="noConversion"/>
  </si>
  <si>
    <t>열기3-01.관련법령\05.행정쟁송법\01-2.행정기본법(시행령).txt</t>
    <phoneticPr fontId="2" type="noConversion"/>
  </si>
  <si>
    <t>열기3-01.관련법령\05.행정쟁송법\02-1.행정심판법(법률).txt</t>
    <phoneticPr fontId="2" type="noConversion"/>
  </si>
  <si>
    <t>열기3-01.관련법령\05.행정쟁송법\02-2.행정심판법(시행령).txt</t>
    <phoneticPr fontId="2" type="noConversion"/>
  </si>
  <si>
    <t>열기3-01.관련법령\05.행정쟁송법\03-1.행정소송법(법률).txt</t>
    <phoneticPr fontId="2" type="noConversion"/>
  </si>
  <si>
    <t>열기3-01.관련법령\05.행정쟁송법\04-1.행정절차법(법률).txt</t>
    <phoneticPr fontId="2" type="noConversion"/>
  </si>
  <si>
    <t>열기3-01.관련법령\05.행정쟁송법\04-2.행정절차법(시행령).txt</t>
    <phoneticPr fontId="2" type="noConversion"/>
  </si>
  <si>
    <t>열기3-01.관련법령\05.행정쟁송법\04-3.행정절차법(시행규칙).txt</t>
    <phoneticPr fontId="2" type="noConversion"/>
  </si>
  <si>
    <t>열기3-01.관련법령\06.민사소송법\01-1.민사소송법(법률).txt</t>
    <phoneticPr fontId="2" type="noConversion"/>
  </si>
  <si>
    <t>열기3-01.관련법령\06.민사소송법\03-2.민사집행법(시행령).txt</t>
    <phoneticPr fontId="2" type="noConversion"/>
  </si>
  <si>
    <t>열기3-01.관련법령\06.민사소송법\03-1.민사집행법(법률).txt</t>
    <phoneticPr fontId="2" type="noConversion"/>
  </si>
  <si>
    <t>행정기본법</t>
  </si>
  <si>
    <t>행정심판법</t>
  </si>
  <si>
    <t>행정절차법</t>
  </si>
  <si>
    <t>민사집행법</t>
  </si>
  <si>
    <t>제11장 행정심판의 일반론</t>
    <phoneticPr fontId="2" type="noConversion"/>
  </si>
  <si>
    <t>제12장 행정심판의 청구요건 및 가구제</t>
    <phoneticPr fontId="2" type="noConversion"/>
  </si>
  <si>
    <t>제13장 행정심판의 심리・재결</t>
    <phoneticPr fontId="2" type="noConversion"/>
  </si>
  <si>
    <t>제02절 필수용어 정리</t>
  </si>
  <si>
    <t>제02절 재결</t>
  </si>
  <si>
    <t>제03절 기본구조</t>
  </si>
  <si>
    <t>법인인 회사를 대상으로 한 처분에 대한 대표이사 개인과 경제적 불이익을 받는 근로자의 원고적격 여부</t>
    <phoneticPr fontId="2" type="noConversion"/>
  </si>
  <si>
    <t>열기2-03.행정쟁송법\02.문제\[기출][2013-1-1]법인인 회사를 대상으로 한 처분에 대한 대표이사 개인과 경제적 불이익을 받는 근로자의 원고적격 여부.txt</t>
    <phoneticPr fontId="2" type="noConversion"/>
  </si>
  <si>
    <t>정렬↑</t>
    <phoneticPr fontId="2" type="noConversion"/>
  </si>
  <si>
    <t>Y</t>
  </si>
  <si>
    <t>무효확인소송에서 집행정지 규정의 준용 여부와 회복하기 어려운 손해의 의미</t>
    <phoneticPr fontId="2" type="noConversion"/>
  </si>
  <si>
    <t>부작위위법확인소송의 의의, 특징, 소송요건, 판결의 효력</t>
    <phoneticPr fontId="2" type="noConversion"/>
  </si>
  <si>
    <t>열기2-03.행정쟁송법\02.문제\[기출][2008-1]부작위위법확인소송의 의의, 특징, 소송요건, 판결의 효력.txt</t>
    <phoneticPr fontId="2" type="noConversion"/>
  </si>
  <si>
    <t>기관소송의 정의, 특징, 예시, 법적 한계</t>
    <phoneticPr fontId="2" type="noConversion"/>
  </si>
  <si>
    <t>열기2-03.행정쟁송법\02.문제\[기출][2009-2-2]기관소송의 정의, 특징, 예시, 법적 한계.txt</t>
    <phoneticPr fontId="2" type="noConversion"/>
  </si>
  <si>
    <t>처분의 개념과 행정청의 시정권고가 행정심판의 대상인지 여부</t>
    <phoneticPr fontId="2" type="noConversion"/>
  </si>
  <si>
    <t>피청구인을 잘못 지정한 경우의 구제 절차와 피청구인의 경정 제도</t>
    <phoneticPr fontId="2" type="noConversion"/>
  </si>
  <si>
    <t>01</t>
  </si>
  <si>
    <t>02</t>
  </si>
  <si>
    <t>08</t>
  </si>
  <si>
    <t>09</t>
  </si>
  <si>
    <t>11</t>
  </si>
  <si>
    <t>12</t>
  </si>
  <si>
    <t>13</t>
  </si>
  <si>
    <t>14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</si>
  <si>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</si>
  <si>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</si>
  <si>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</si>
  <si>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</si>
  <si>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</si>
  <si>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</si>
  <si>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</si>
  <si>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</si>
  <si>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</si>
  <si>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</si>
  <si>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</si>
  <si>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</si>
  <si>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</si>
  <si>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</si>
  <si>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</si>
  <si>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</si>
  <si>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</si>
  <si>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</si>
  <si>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</si>
  <si>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</si>
  <si>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</si>
  <si>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</si>
  <si>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대법원 2007. 6. 14. 선고 2004두619 판결</t>
    <phoneticPr fontId="2" type="noConversion"/>
  </si>
  <si>
    <t>대법원 2008. 1. 31. 선고 2005두8269 판결</t>
    <phoneticPr fontId="2" type="noConversion"/>
  </si>
  <si>
    <t>대법원 2002. 7. 26. 선고 2001두3532 판결</t>
    <phoneticPr fontId="2" type="noConversion"/>
  </si>
  <si>
    <t>대법원 2004. 11. 26. 선고 2003두10251, 10268 판결</t>
    <phoneticPr fontId="2" type="noConversion"/>
  </si>
  <si>
    <t>대법원 2021. 2. 10. 선고 2020두47564 판결</t>
    <phoneticPr fontId="2" type="noConversion"/>
  </si>
  <si>
    <t>대법원 2014. 2. 27. 선고 2012두22980 판결</t>
    <phoneticPr fontId="2" type="noConversion"/>
  </si>
  <si>
    <t>대법원 1982. 3. 9. 선고 80누105 판결</t>
    <phoneticPr fontId="2" type="noConversion"/>
  </si>
  <si>
    <t>대법원 1996. 9. 20. 선고 95누8003 판결</t>
    <phoneticPr fontId="2" type="noConversion"/>
  </si>
  <si>
    <t>대법원 2006. 9. 22. 선고 2005두2506 판결</t>
    <phoneticPr fontId="2" type="noConversion"/>
  </si>
  <si>
    <t>대법원 2004. 4. 22. 선고 2003두9015 전원합의체 판결</t>
    <phoneticPr fontId="2" type="noConversion"/>
  </si>
  <si>
    <t>대법원 2009. 9. 10. 선고 2007두20638 판결</t>
    <phoneticPr fontId="2" type="noConversion"/>
  </si>
  <si>
    <t>대법원 2015. 3. 26. 선고 2014두42742 판결</t>
    <phoneticPr fontId="2" type="noConversion"/>
  </si>
  <si>
    <t>대법원 2004. 4. 22. 선고 2000두7735 전원합의체 판결</t>
    <phoneticPr fontId="2" type="noConversion"/>
  </si>
  <si>
    <t>대법원 2004. 6. 11. 선고 2001두7053 판결</t>
    <phoneticPr fontId="2" type="noConversion"/>
  </si>
  <si>
    <t>대법원 2018. 6. 15. 선고 2016두57564 판결</t>
    <phoneticPr fontId="2" type="noConversion"/>
  </si>
  <si>
    <t>대법원 1999. 12. 7. 선고 97누17568 판결</t>
    <phoneticPr fontId="2" type="noConversion"/>
  </si>
  <si>
    <t>대법원 2005. 4. 14. 선고 2003두7590 판결</t>
    <phoneticPr fontId="2" type="noConversion"/>
  </si>
  <si>
    <t>대법원 1998. 4. 28. 선고 97누21086 판결</t>
    <phoneticPr fontId="2" type="noConversion"/>
  </si>
  <si>
    <t>대법원 2005. 10. 28. 선고 2003두14550 판결</t>
    <phoneticPr fontId="2" type="noConversion"/>
  </si>
  <si>
    <t>대법원 2008. 2. 15. 선고 2006두3957 판결</t>
    <phoneticPr fontId="2" type="noConversion"/>
  </si>
  <si>
    <t>대법원 2009. 5. 14. 선고 2006두17390 판결</t>
    <phoneticPr fontId="2" type="noConversion"/>
  </si>
  <si>
    <t>대법원 2015. 11. 19. 선고 2015두295 전원합의체 판결</t>
    <phoneticPr fontId="2" type="noConversion"/>
  </si>
  <si>
    <t>대법원 2015. 2. 12. 선고 2013두987 판결</t>
    <phoneticPr fontId="2" type="noConversion"/>
  </si>
  <si>
    <t>대법원 2014. 11. 27. 선고 2013두18964 판결</t>
    <phoneticPr fontId="2" type="noConversion"/>
  </si>
  <si>
    <t>대법원 2018. 11. 29. 선고 2015두52395 판결</t>
    <phoneticPr fontId="2" type="noConversion"/>
  </si>
  <si>
    <t>대법원 2017. 6. 15. 선고 2014두46843 판결</t>
    <phoneticPr fontId="2" type="noConversion"/>
  </si>
  <si>
    <t>대법원 2023. 2. 23. 선고 2021두44548 판결</t>
    <phoneticPr fontId="2" type="noConversion"/>
  </si>
  <si>
    <t>대법원 2016. 12. 27. 선고 2014두5637 판결</t>
    <phoneticPr fontId="2" type="noConversion"/>
  </si>
  <si>
    <t>대법원 1997. 12. 23. 선고 96누10911 판결</t>
    <phoneticPr fontId="2" type="noConversion"/>
  </si>
  <si>
    <t>대법원 1999. 12. 7. 선고 97누12556 판결</t>
    <phoneticPr fontId="2" type="noConversion"/>
  </si>
  <si>
    <t>대법원 2002. 10. 25. 선고 2001두4450 판결</t>
    <phoneticPr fontId="2" type="noConversion"/>
  </si>
  <si>
    <t>대법원 2009. 12. 10. 선고 2009두8359 판결</t>
    <phoneticPr fontId="2" type="noConversion"/>
  </si>
  <si>
    <t>대법원 1995. 9. 26. 선고 94누14544 판결</t>
    <phoneticPr fontId="2" type="noConversion"/>
  </si>
  <si>
    <t>대법원 2011. 9. 8. 선고 2009두6766 판결</t>
    <phoneticPr fontId="2" type="noConversion"/>
  </si>
  <si>
    <t>대법원 2006. 3. 16. 선고 2006두330 전원합의체 판결</t>
    <phoneticPr fontId="2" type="noConversion"/>
  </si>
  <si>
    <t>대법원 2009. 9. 24. 선고 2009두2825 판결</t>
    <phoneticPr fontId="2" type="noConversion"/>
  </si>
  <si>
    <t>대법원 2010. 4. 15. 선고 2007두16127 판결</t>
    <phoneticPr fontId="2" type="noConversion"/>
  </si>
  <si>
    <t>대법원 2012. 6. 28. 선고 2010두2005 판결</t>
    <phoneticPr fontId="2" type="noConversion"/>
  </si>
  <si>
    <t>대법원 2005. 1. 27. 선고 2002두5313 판결</t>
    <phoneticPr fontId="2" type="noConversion"/>
  </si>
  <si>
    <t>대법원 2007. 12. 27. 선고 2005두9651 판결</t>
    <phoneticPr fontId="2" type="noConversion"/>
  </si>
  <si>
    <t>대법원 2013. 7. 25. 선고 2011두1214 판결</t>
    <phoneticPr fontId="2" type="noConversion"/>
  </si>
  <si>
    <t>대법원 1994. 8. 12. 선고 94누2763 판결</t>
    <phoneticPr fontId="2" type="noConversion"/>
  </si>
  <si>
    <t>대법원 2007. 8. 23. 선고 2005두3776 판결</t>
    <phoneticPr fontId="2" type="noConversion"/>
  </si>
  <si>
    <t>대법원 2014. 9. 26. 선고 2013두2518 판결</t>
    <phoneticPr fontId="2" type="noConversion"/>
  </si>
  <si>
    <t>대법원 2006. 6. 22. 선고 2003두1684 전원합의체 판결</t>
    <phoneticPr fontId="2" type="noConversion"/>
  </si>
  <si>
    <t>대법원 2002. 9. 6. 선고 2001두5200 판결</t>
    <phoneticPr fontId="2" type="noConversion"/>
  </si>
  <si>
    <t>대법원 2019. 6. 27. 선고 2018두49130 판결</t>
    <phoneticPr fontId="2" type="noConversion"/>
  </si>
  <si>
    <t>대법원 2012. 10. 25. 선고 2010두25107 판결</t>
    <phoneticPr fontId="2" type="noConversion"/>
  </si>
  <si>
    <t>대법원 2007. 7. 19. 선고 2006두19297 전원합의체 판결</t>
    <phoneticPr fontId="2" type="noConversion"/>
  </si>
  <si>
    <t>대법원 1992. 7. 14. 선고 91누4737 판결</t>
    <phoneticPr fontId="2" type="noConversion"/>
  </si>
  <si>
    <t>대법원 1992. 4. 24. 선고 91누11131 판결</t>
    <phoneticPr fontId="2" type="noConversion"/>
  </si>
  <si>
    <t>대법원 2016. 8. 30. 선고 2015두60617 판결</t>
    <phoneticPr fontId="2" type="noConversion"/>
  </si>
  <si>
    <t>대법원 2002. 1. 11. 선고 2000두3306 판결</t>
    <phoneticPr fontId="2" type="noConversion"/>
  </si>
  <si>
    <t>대법원 2014. 2. 13. 선고 2013두20899 판결</t>
    <phoneticPr fontId="2" type="noConversion"/>
  </si>
  <si>
    <t>대법원 2002. 5. 24. 선고 2000두3641 판결</t>
    <phoneticPr fontId="2" type="noConversion"/>
  </si>
  <si>
    <t>대법원 2005. 12. 23. 선고 2005두3554 판결</t>
    <phoneticPr fontId="2" type="noConversion"/>
  </si>
  <si>
    <t>대법원 2017. 10. 31. 선고 2015두45045 판결</t>
    <phoneticPr fontId="2" type="noConversion"/>
  </si>
  <si>
    <t>대법원 2015. 10. 29. 선고 2013두27517 판결</t>
    <phoneticPr fontId="2" type="noConversion"/>
  </si>
  <si>
    <t>대법원 2008. 3. 20. 선고 2007두6342 전원합의체 판결</t>
    <phoneticPr fontId="2" type="noConversion"/>
  </si>
  <si>
    <t>헌법재판소 2001. 6. 28.자 2000헌바30 결정</t>
    <phoneticPr fontId="2" type="noConversion"/>
  </si>
  <si>
    <t>헌법재판소 2007. 1. 17.자 2005헌바86 결정</t>
    <phoneticPr fontId="2" type="noConversion"/>
  </si>
  <si>
    <t>대법원 2019. 8. 9. 선고 2019두38656 판결</t>
    <phoneticPr fontId="2" type="noConversion"/>
  </si>
  <si>
    <t>대법원 2004. 11. 25. 선고 2004두7023 판결</t>
    <phoneticPr fontId="2" type="noConversion"/>
  </si>
  <si>
    <t>대법원 2014. 4. 24. 선고 2013두10809 판결</t>
    <phoneticPr fontId="2" type="noConversion"/>
  </si>
  <si>
    <t>대법원 2007. 4. 27. 선고 2004두9302 판결</t>
    <phoneticPr fontId="2" type="noConversion"/>
  </si>
  <si>
    <t>대법원 1994. 10. 11. 선고 94누4820 판결</t>
    <phoneticPr fontId="2" type="noConversion"/>
  </si>
  <si>
    <t>대법원 2010. 2. 11. 선고 2009두18035 판결</t>
    <phoneticPr fontId="2" type="noConversion"/>
  </si>
  <si>
    <t>대법원 2013. 8. 22. 선고 2011두26589 판결</t>
    <phoneticPr fontId="2" type="noConversion"/>
  </si>
  <si>
    <t>대법원 1996. 4. 26. 선고 96누1627 판결</t>
    <phoneticPr fontId="2" type="noConversion"/>
  </si>
  <si>
    <t>대법원 2010. 5. 13. 선고 2009두3460 판결</t>
    <phoneticPr fontId="2" type="noConversion"/>
  </si>
  <si>
    <t>대법원 2003. 12. 11. 선고 2001두8827 판결</t>
    <phoneticPr fontId="2" type="noConversion"/>
  </si>
  <si>
    <t>대법원 2011. 5. 26. 선고 2010두28106 판결</t>
    <phoneticPr fontId="2" type="noConversion"/>
  </si>
  <si>
    <t>대법원 2018. 12. 13. 선고 2016두31616 판결</t>
    <phoneticPr fontId="2" type="noConversion"/>
  </si>
  <si>
    <t>대법원 2004. 7. 22. 선고 2002두868 판결</t>
    <phoneticPr fontId="2" type="noConversion"/>
  </si>
  <si>
    <t>대법원 2012. 3. 29. 선고 2011두9263 판결</t>
    <phoneticPr fontId="2" type="noConversion"/>
  </si>
  <si>
    <t>대법원 2007. 10. 26. 선고 2005두3172 판결</t>
    <phoneticPr fontId="2" type="noConversion"/>
  </si>
  <si>
    <t>대법원 2020. 5. 14. 선고 2019두63515 판결</t>
    <phoneticPr fontId="2" type="noConversion"/>
  </si>
  <si>
    <t>대법원 1995. 11. 16. 선고 95누8850 전원합의체 판결</t>
    <phoneticPr fontId="2" type="noConversion"/>
  </si>
  <si>
    <t>대법원 2016. 7. 14. 선고 2015두4167 판결</t>
    <phoneticPr fontId="2" type="noConversion"/>
  </si>
  <si>
    <t>대법원 1993. 5. 27. 선고 92누19033 판결</t>
    <phoneticPr fontId="2" type="noConversion"/>
  </si>
  <si>
    <t>대법원 2023. 2. 2. 선고 2020두43722 판결</t>
    <phoneticPr fontId="2" type="noConversion"/>
  </si>
  <si>
    <t>대법원 1990. 12. 11. 선고 90누3560 판결</t>
    <phoneticPr fontId="2" type="noConversion"/>
  </si>
  <si>
    <t>대법원 2019. 10. 17. 선고 2018두104 판결</t>
    <phoneticPr fontId="2" type="noConversion"/>
  </si>
  <si>
    <t>대법원 1998. 1. 7.자 97두22 결정</t>
    <phoneticPr fontId="2" type="noConversion"/>
  </si>
  <si>
    <t>대법원 2005. 1. 14. 선고 2003두13045 판결</t>
    <phoneticPr fontId="2" type="noConversion"/>
  </si>
  <si>
    <t>대법원 2004. 1. 15. 선고 2002두2444 판결</t>
    <phoneticPr fontId="2" type="noConversion"/>
  </si>
  <si>
    <t>대법원 1986. 8. 19. 선고 83다카2022 판결</t>
    <phoneticPr fontId="2" type="noConversion"/>
  </si>
  <si>
    <t>대법원 1996. 4. 26. 선고 95누5820 판결</t>
    <phoneticPr fontId="2" type="noConversion"/>
  </si>
  <si>
    <t>대법원 2014. 11. 27. 선고 2014두37665 판결</t>
    <phoneticPr fontId="2" type="noConversion"/>
  </si>
  <si>
    <t>대법원 1991. 5. 2.자 91두15 결정</t>
    <phoneticPr fontId="2" type="noConversion"/>
  </si>
  <si>
    <t>대법원 1992. 8. 7.자 92두30 결정</t>
    <phoneticPr fontId="2" type="noConversion"/>
  </si>
  <si>
    <t>대법원 2011. 4. 21.자 2010무111 전원합의체 결정</t>
    <phoneticPr fontId="2" type="noConversion"/>
  </si>
  <si>
    <t>대법원 2001. 10. 10.자 2001무29 결정</t>
    <phoneticPr fontId="2" type="noConversion"/>
  </si>
  <si>
    <t>대법원 2003. 7. 11. 선고 2002다48023 판결</t>
    <phoneticPr fontId="2" type="noConversion"/>
  </si>
  <si>
    <t>대법원 2017. 7. 11. 선고 2013두25498 판결</t>
    <phoneticPr fontId="2" type="noConversion"/>
  </si>
  <si>
    <t>대법원 2022. 2. 11. 선고 2021두40720 판결</t>
    <phoneticPr fontId="2" type="noConversion"/>
  </si>
  <si>
    <t>대법원 2001. 11. 27. 선고 2000두697 판결</t>
    <phoneticPr fontId="2" type="noConversion"/>
  </si>
  <si>
    <t>대법원 2009. 4. 9. 선고 2008두23153 판결</t>
    <phoneticPr fontId="2" type="noConversion"/>
  </si>
  <si>
    <t>대법원 2000. 2. 25. 선고 99두11455 판결</t>
    <phoneticPr fontId="2" type="noConversion"/>
  </si>
  <si>
    <t>대법원 2008. 4. 17. 선고 2005두16185 전원합의체 판결</t>
    <phoneticPr fontId="2" type="noConversion"/>
  </si>
  <si>
    <t>대법원 2013. 3. 28. 선고 2012다102629 판결</t>
    <phoneticPr fontId="2" type="noConversion"/>
  </si>
  <si>
    <t>대법원 2016. 5. 24. 선고 2013두14863 판결</t>
    <phoneticPr fontId="2" type="noConversion"/>
  </si>
  <si>
    <t>대법원 2009. 9. 17. 선고 2007다2428 전원합의체 판결</t>
    <phoneticPr fontId="2" type="noConversion"/>
  </si>
  <si>
    <t>대법원 2002. 11. 26. 선고 2002두1496 판결</t>
    <phoneticPr fontId="2" type="noConversion"/>
  </si>
  <si>
    <t>대법원 2015. 8. 21.자 2015무26 결정</t>
    <phoneticPr fontId="2" type="noConversion"/>
  </si>
  <si>
    <t>대법원 2012. 11. 15. 선고 2010두8676 판결</t>
    <phoneticPr fontId="2" type="noConversion"/>
  </si>
  <si>
    <t>대법원 2021. 1. 14. 선고 2020두50324 판결</t>
    <phoneticPr fontId="2" type="noConversion"/>
  </si>
  <si>
    <t>대법원 2022. 3. 17. 선고 2021두53894 판결</t>
    <phoneticPr fontId="2" type="noConversion"/>
  </si>
  <si>
    <t>대법원 2012. 9. 13. 선고 2012두3859 판결</t>
    <phoneticPr fontId="2" type="noConversion"/>
  </si>
  <si>
    <t>대법원 1996. 9. 6. 선고 95누16233 판결</t>
    <phoneticPr fontId="2" type="noConversion"/>
  </si>
  <si>
    <t>대법원 2000. 6. 9. 선고 98두2621 판결</t>
    <phoneticPr fontId="2" type="noConversion"/>
  </si>
  <si>
    <t>대법원 2014. 5. 16. 선고 2013두26118 판결</t>
    <phoneticPr fontId="2" type="noConversion"/>
  </si>
  <si>
    <t>대법원 2003. 4. 25. 선고 2002두3201 판결</t>
    <phoneticPr fontId="2" type="noConversion"/>
  </si>
  <si>
    <t>대법원 1998. 4. 24. 선고 97누17131 판결</t>
    <phoneticPr fontId="2" type="noConversion"/>
  </si>
  <si>
    <t>대법원 2015. 11. 27. 선고 2013다6759 판결</t>
    <phoneticPr fontId="2" type="noConversion"/>
  </si>
  <si>
    <t>대법원 1998. 5. 8. 선고 97누15432 판결</t>
    <phoneticPr fontId="2" type="noConversion"/>
  </si>
  <si>
    <t>헌법재판소 2014. 6. 26.자 2013헌바122 결정</t>
    <phoneticPr fontId="2" type="noConversion"/>
  </si>
  <si>
    <t>소송참가의 의의, 제3자의 소송참가, 행정청의 소송참가</t>
    <phoneticPr fontId="2" type="noConversion"/>
  </si>
  <si>
    <t>열기2-03.행정쟁송법\02.문제\[기출][2008-2-2]소송참가의 의의, 제3자의 소송참가, 행정청의 소송참가.txt</t>
    <phoneticPr fontId="2" type="noConversion"/>
  </si>
  <si>
    <t>행정심판전치주의의 의의, 요건, 적용범위, 예외, 이행여부</t>
    <phoneticPr fontId="2" type="noConversion"/>
  </si>
  <si>
    <t>열기2-03.행정쟁송법\02.문제\[기출][2008-2-1]행정심판전치주의의 의의, 요건, 적용범위, 예외, 이행여부.txt</t>
    <phoneticPr fontId="2" type="noConversion"/>
  </si>
  <si>
    <t>이행재결의 기속력 확보수단으로서의 직접처분의 의의, 취지, 요건, 효과</t>
    <phoneticPr fontId="2" type="noConversion"/>
  </si>
  <si>
    <t>열기2-03.행정쟁송법\02.문제\[기출][2014-3]이행재결의 기속력 확보수단으로서의 직접처분의 의의, 취지, 요건, 효과.txt</t>
    <phoneticPr fontId="2" type="noConversion"/>
  </si>
  <si>
    <t>(5)</t>
    <phoneticPr fontId="2" type="noConversion"/>
  </si>
  <si>
    <t>관련청구소송의 병합의 의의 및 취지, 요건 및 유형, 관할 및 이송</t>
    <phoneticPr fontId="2" type="noConversion"/>
  </si>
  <si>
    <t>열기2-03.행정쟁송법\02.문제\[기출][2011-3]관련청구소송의 병합의 의의 및 취지, 요건 및 유형, 관할 및 이송.txt</t>
    <phoneticPr fontId="2" type="noConversion"/>
  </si>
  <si>
    <t>모의</t>
  </si>
  <si>
    <t>모의</t>
    <phoneticPr fontId="2" type="noConversion"/>
  </si>
  <si>
    <t>열기2-03.행정쟁송법\02.문제\[모의][13.01-1]직권심리주의의 의미와 범위 및 당사자가 주장하지 않은 사실에 대한 심리 한계.txt</t>
  </si>
  <si>
    <t>열기2-03.행정쟁송법\02.문제\[모의][13.01-2]구술심리와 서면심리의 관계 및 구술심리 신청 거절의 예외적 사유.txt</t>
  </si>
  <si>
    <t>열기2-03.행정쟁송법\02.문제\[모의][12.03-1]불고지에 따른 행정심판의 청구기간의 특례와 청구의 적법성 여부.txt</t>
  </si>
  <si>
    <t>열기2-03.행정쟁송법\02.문제\[모의][12.03-2]피청구인을 잘못 지정한 경우의 구제 절차와 피청구인의 경정 제도.txt</t>
  </si>
  <si>
    <t>열기2-03.행정쟁송법\02.문제\[모의][12.01-1]처분의 개념과 행정청의 시정권고가 행정심판의 대상인지 여부.txt</t>
  </si>
  <si>
    <t>열기2-03.행정쟁송법\02.문제\[모의][12.01-2]부작위에 대한 행정심판의 종류, 부작위 성립 요건 및 행정심판 제기의 예외 사유.txt</t>
  </si>
  <si>
    <t>열기2-03.행정쟁송법\02.문제\[모의][09.07-1]무효확인청구와 취소청구의 병합 가능성 및 두 청구의 관계에 따른 판례의 입장.txt</t>
  </si>
  <si>
    <t>열기2-03.행정쟁송법\02.문제\[모의][09.07-2]무효확인소송에서 취소소송으로의 변경 시 제소기간 준수의 기준 시점.txt</t>
  </si>
  <si>
    <t>열기2-03.행정쟁송법\02.문제\[모의][09.06-1]무효확인소송에서 집행정지 규정의 준용 여부와 회복하기 어려운 손해의 의미.txt</t>
  </si>
  <si>
    <t>열기2-03.행정쟁송법\02.문제\[모의][09.06-2]무효확인소송에서 가처분의 준용 여부와 예방적 금지 성격의 가처분 허용 여부.txt</t>
  </si>
  <si>
    <t>열기2-03.행정쟁송법\02.문제\[모의][09.04-1]무효확인소송에서 사정판결의 준용 여부 및 사안에 대한 판단.txt</t>
  </si>
  <si>
    <t>열기2-03.행정쟁송법\02.문제\[모의][09.04-2]무효확인판결의 제3자효와 기속력의 의미 및 재처분의무의 인정 여부.txt</t>
  </si>
  <si>
    <t>열기2-03.행정쟁송법\02.문제\[모의][08.02-1]취소소송에서 부작위위법확인소송으로의 소의 종류의 변경의 요건 및 허용 범위.txt</t>
  </si>
  <si>
    <t>열기2-03.행정쟁송법\02.문제\[모의][08.02-2]처분변경으로 인한 소의 변경의 요건과 신청 기한.txt</t>
  </si>
  <si>
    <t>열기2-03.행정쟁송법\02.문제\[모의][07.02-1]항고소송에서 민사소송법상 가처분 규정의 준용 여부에 관한 학설 및 판례의 입장.txt</t>
  </si>
  <si>
    <t>열기2-03.행정쟁송법\02.문제\[모의][07.02-2]거부처분 취소소송에서 집행정지의 실효성 결여와 가처분의 허용 여부.txt</t>
  </si>
  <si>
    <t>열기2-03.행정쟁송법\02.문제\[모의][05.01-1]처분사유의 추가・변경의 허용 여부와 한계에 대한 판례의 입장.txt</t>
  </si>
  <si>
    <t>열기2-03.행정쟁송법\02.문제\[모의][05.01-2]행정심판기록 제출명령의 의의와 효과.txt</t>
  </si>
  <si>
    <t>열기2-03.행정쟁송법\02.문제\[모의][03.04-1]폐기물 처리시설 설치 승인 처분의 수익자인 회사가 취소소송에 참가하기 위한 요건과 절차.txt</t>
  </si>
  <si>
    <t>열기2-03.행정쟁송법\02.문제\[모의][03.04-2]인근 주민의 취소소송 참가 가능성 및 행정소송법 제16조상 참가인의 법적 지위.txt</t>
  </si>
  <si>
    <t>열기2-03.행정쟁송법\02.문제\[모의][02.01-1]취소소송 소송요건의 법적 성질 및 법원의 직권조사 원칙과 예외.txt</t>
  </si>
  <si>
    <t>열기2-03.행정쟁송법\02.문제\[모의][02.01-2]권고조치를 대상으로 한 취소소송에서 대상적격의 의미 및 소송요건 결여 시 판결의 종류와 사유.txt</t>
  </si>
  <si>
    <t>열기2-03.행정쟁송법\02.문제\[모의][01.02-1]인근 주민이 제기하고자 하는 예방적 금지소송의 허용 여부 및 대체 소송 수단.txt</t>
  </si>
  <si>
    <t>열기2-03.행정쟁송법\02.문제\[모의][01.02-2]공무원이 미지급된 보수를 청구하기 위해 제기해야 하는 소송의 유형 및 구분 근거.txt</t>
  </si>
  <si>
    <t>쟁점</t>
  </si>
  <si>
    <t>당사자소송 연관</t>
    <phoneticPr fontId="2" type="noConversion"/>
  </si>
  <si>
    <t>2024-1-1-2</t>
  </si>
  <si>
    <t>1-1-2</t>
  </si>
  <si>
    <t>02</t>
    <phoneticPr fontId="2" type="noConversion"/>
  </si>
  <si>
    <t>보충 포함</t>
    <phoneticPr fontId="2" type="noConversion"/>
  </si>
  <si>
    <t>(2), 행정심판전치주의 연관</t>
    <phoneticPr fontId="2" type="noConversion"/>
  </si>
  <si>
    <t>보충 포함(행기법§36)</t>
    <phoneticPr fontId="2" type="noConversion"/>
  </si>
  <si>
    <t>경기학원 판례</t>
    <phoneticPr fontId="2" type="noConversion"/>
  </si>
  <si>
    <t>338. 원고적격 (4)：이웃 주민(隣人)의 원고적격</t>
    <phoneticPr fontId="2" type="noConversion"/>
  </si>
  <si>
    <t>열기2-03.행정쟁송법\03.판례\304. 대상적격 (1)：청소년유해매체물 결정・고시.txt</t>
    <phoneticPr fontId="2" type="noConversion"/>
  </si>
  <si>
    <t>처분 긍정, 고시・일반처분</t>
    <phoneticPr fontId="2" type="noConversion"/>
  </si>
  <si>
    <t>394. 일부취소판결과 사정판결★</t>
    <phoneticPr fontId="2" type="noConversion"/>
  </si>
  <si>
    <t>395. 항고소송에서 위법판단의 기준시</t>
    <phoneticPr fontId="2" type="noConversion"/>
  </si>
  <si>
    <t>396. 항고소송에서 처분의 위법판단의 기준 법령 등★</t>
    <phoneticPr fontId="2" type="noConversion"/>
  </si>
  <si>
    <t>390. 기속행위의 일부취소판결 (2)★</t>
    <phoneticPr fontId="2" type="noConversion"/>
  </si>
  <si>
    <t>392. 재량행위에 대한 일부취소판결 (2)★</t>
    <phoneticPr fontId="2" type="noConversion"/>
  </si>
  <si>
    <t>장2↑</t>
    <phoneticPr fontId="2" type="noConversion"/>
  </si>
  <si>
    <t>문제번호</t>
    <phoneticPr fontId="2" type="noConversion"/>
  </si>
  <si>
    <t>KEY</t>
    <phoneticPr fontId="2" type="noConversion"/>
  </si>
  <si>
    <t>법리 및 주요 개념</t>
  </si>
  <si>
    <t>문제주제</t>
  </si>
  <si>
    <t>키워드</t>
  </si>
  <si>
    <t>법령</t>
  </si>
  <si>
    <t>열기2-03.행정쟁송법\02.문제\[모의][10.01-1]부작위위법확인소송과 행정심판전치주의의 관계.txt</t>
    <phoneticPr fontId="2" type="noConversion"/>
  </si>
  <si>
    <t>학설/비고</t>
    <phoneticPr fontId="2" type="noConversion"/>
  </si>
  <si>
    <t>행정소송</t>
  </si>
  <si>
    <t>행정기관의 위법한 공권력 행사 등으로 인하여 침해된 국민의 권리 또는 이익을 구제하고, 공법상의 분쟁을 해결함으로써 행정의 적법성을 확보하기 위하여 법원에 제기하는 소송이다.</t>
  </si>
  <si>
    <t>소(訴)</t>
    <phoneticPr fontId="2" type="noConversion"/>
  </si>
  <si>
    <t>원고가 법원에 대하여 특정한 권리나 법률관계의 존부에 관한 심판을 구하는 신청 행위(소송행위)를 의미한다. (소를 "제기"한다)</t>
    <phoneticPr fontId="2" type="noConversion"/>
  </si>
  <si>
    <t>소송(訴訟)</t>
    <phoneticPr fontId="2" type="noConversion"/>
  </si>
  <si>
    <t>소의 제기에 의하여 시작되어 판결로 종료될 때까지 법원과 당사자 사이에서 계속되는 절차 전체(법률관계의 연쇄 과정)를 의미한다. (소송을 "진행"한다)</t>
    <phoneticPr fontId="2" type="noConversion"/>
  </si>
  <si>
    <t>의무이행소송, 법령의 처분성</t>
    <phoneticPr fontId="2" type="noConversion"/>
  </si>
  <si>
    <t>거부행위의 처분성</t>
    <phoneticPr fontId="2" type="noConversion"/>
  </si>
  <si>
    <t>무자격 노동조합 설립신고 수리에 대한 사용자의 취소심판 청구의 적법성 여부</t>
  </si>
  <si>
    <t>열기2-03.행정쟁송법\02.문제\[기출][2014-1-1]무자격 노동조합 설립신고 수리에 대한 사용자의 취소심판 청구의 적법성 여부.txt</t>
  </si>
  <si>
    <t>(2)</t>
    <phoneticPr fontId="2" type="noConversion"/>
  </si>
  <si>
    <t>제12장 행정심판의 청구요건 및 가구제-제01절 행정심판의 대상적격-01</t>
  </si>
  <si>
    <t>제12장 행정심판의 청구요건 및 가구제-제02절 행정심판의 당사자적격-01</t>
  </si>
  <si>
    <t>1-1</t>
  </si>
  <si>
    <t>행정심판의 당사자적격</t>
    <phoneticPr fontId="2" type="noConversion"/>
  </si>
  <si>
    <t>제02절 행정심판의 당사자적격</t>
    <phoneticPr fontId="2" type="noConversion"/>
  </si>
  <si>
    <t>5</t>
    <phoneticPr fontId="2" type="noConversion"/>
  </si>
  <si>
    <t>제12장 행정심판의 청구요건 및 가구제</t>
    <phoneticPr fontId="2" type="noConversion"/>
  </si>
  <si>
    <t>제03장 취소소송의 당사자적격</t>
    <phoneticPr fontId="2" type="noConversion"/>
  </si>
  <si>
    <t>제04장 취소소송의 기타 소송요건</t>
    <phoneticPr fontId="2" type="noConversion"/>
  </si>
  <si>
    <t>제01절 원고적격</t>
    <phoneticPr fontId="2" type="noConversion"/>
  </si>
  <si>
    <t>제02절 피고적격</t>
    <phoneticPr fontId="2" type="noConversion"/>
  </si>
  <si>
    <t>제03절 권리보호의 필요(협의의 소의 이익)</t>
    <phoneticPr fontId="2" type="noConversion"/>
  </si>
  <si>
    <t>제01절 행정심판전치주의</t>
    <phoneticPr fontId="2" type="noConversion"/>
  </si>
  <si>
    <t>제02절 제소기간</t>
    <phoneticPr fontId="2" type="noConversion"/>
  </si>
  <si>
    <t>제03절 관할법원</t>
    <phoneticPr fontId="2" type="noConversion"/>
  </si>
  <si>
    <t>제09장 무효등 확인소송</t>
    <phoneticPr fontId="2" type="noConversion"/>
  </si>
  <si>
    <t>제02절 무효등 확인소송의 요건</t>
    <phoneticPr fontId="2" type="noConversion"/>
  </si>
  <si>
    <t>제10장 부작위위법확인소송 및 기타소송</t>
    <phoneticPr fontId="2" type="noConversion"/>
  </si>
  <si>
    <t>제02절 당사자소송</t>
    <phoneticPr fontId="2" type="noConversion"/>
  </si>
  <si>
    <t>제04절 행정심판기관</t>
    <phoneticPr fontId="2" type="noConversion"/>
  </si>
  <si>
    <t>.제02절 제소기간</t>
    <phoneticPr fontId="2" type="noConversion"/>
  </si>
  <si>
    <t>제13장 행정심판의 심리・재결</t>
    <phoneticPr fontId="2" type="noConversion"/>
  </si>
  <si>
    <t>제02절 행정심판의 재결</t>
    <phoneticPr fontId="2" type="noConversion"/>
  </si>
  <si>
    <t>제01절 부작위위법확인소송</t>
    <phoneticPr fontId="2" type="noConversion"/>
  </si>
  <si>
    <t>사실관계 표로 정리</t>
    <phoneticPr fontId="2" type="noConversion"/>
  </si>
  <si>
    <t>법률상 이익의 학설, 제3자효 유형(경업자, 경원자, 인인)</t>
    <phoneticPr fontId="2" type="noConversion"/>
  </si>
  <si>
    <t>협의의 소익 개념 참조용</t>
    <phoneticPr fontId="2" type="noConversion"/>
  </si>
  <si>
    <t>2025년도</t>
    <phoneticPr fontId="2" type="noConversion"/>
  </si>
  <si>
    <t>2024년도</t>
    <phoneticPr fontId="2" type="noConversion"/>
  </si>
  <si>
    <t>2023년도</t>
  </si>
  <si>
    <t>2022년도</t>
  </si>
  <si>
    <t>2021년도</t>
  </si>
  <si>
    <t>2020년도</t>
  </si>
  <si>
    <t>2019년도</t>
  </si>
  <si>
    <t>2018년도</t>
  </si>
  <si>
    <t>2017년도</t>
  </si>
  <si>
    <t>2016년도</t>
  </si>
  <si>
    <t>2015년도</t>
  </si>
  <si>
    <t>2014년도</t>
  </si>
  <si>
    <t>2013년도</t>
  </si>
  <si>
    <t>2012년도</t>
  </si>
  <si>
    <t>2011년도</t>
  </si>
  <si>
    <t>2010년도</t>
  </si>
  <si>
    <t>2009년도</t>
  </si>
  <si>
    <t>2008년도</t>
  </si>
  <si>
    <t>기준시점의 학설</t>
    <phoneticPr fontId="2" type="noConversion"/>
  </si>
  <si>
    <t>취소소송의 피고인 행정청이 소송 계속 중 당초 처분 당시에 제시한 처분 사유 이외의 다른 사실 또는 법률적 근거를 추가하거나 변경하여 당해 처분의 적법성을 정당화하려는 소송상 행위를 말한다. (명문규정없음)</t>
    <phoneticPr fontId="2" type="noConversion"/>
  </si>
  <si>
    <t>년도</t>
    <phoneticPr fontId="2" type="noConversion"/>
  </si>
  <si>
    <t>행정심판</t>
    <phoneticPr fontId="2" type="noConversion"/>
  </si>
  <si>
    <t>행정소송</t>
    <phoneticPr fontId="2" type="noConversion"/>
  </si>
  <si>
    <t>항고소송의 소송요건</t>
    <phoneticPr fontId="2" type="noConversion"/>
  </si>
  <si>
    <t>항고소송의 가구제</t>
    <phoneticPr fontId="2" type="noConversion"/>
  </si>
  <si>
    <t>항고소송의 심리</t>
    <phoneticPr fontId="2" type="noConversion"/>
  </si>
  <si>
    <t>항고소송의 판결</t>
    <phoneticPr fontId="2" type="noConversion"/>
  </si>
  <si>
    <t>당사자소송</t>
    <phoneticPr fontId="2" type="noConversion"/>
  </si>
  <si>
    <t>기속력의 의무, 보충 포함</t>
    <phoneticPr fontId="2" type="noConversion"/>
  </si>
  <si>
    <t>내부위임 일탈 처분에 대한 항고소송의 유형과 피고적격, 인용판결에 따른 환수금 반환 가능성</t>
    <phoneticPr fontId="2" type="noConversion"/>
  </si>
  <si>
    <t>열기2-03.행정쟁송법\02.문제\[기출][2025-1-2]내부위임 일탈 처분에 대한 항고소송의 유형과 피고적격, 인용판결에 따른 환수금 반환 가능성.txt</t>
    <phoneticPr fontId="2" type="noConversion"/>
  </si>
  <si>
    <t>위탁운영계약(국유재산 사용・수익허가)의 해지에 대한 구제수단으로서의 무효등 확인소송</t>
    <phoneticPr fontId="2" type="noConversion"/>
  </si>
  <si>
    <t>열기2-03.행정쟁송법\02.문제\[기출][2025-3]위탁운영계약(국유재산 사용・수익허가)의 해지에 대한 구제수단으로서의 무효등 확인소송.txt</t>
    <phoneticPr fontId="2" type="noConversion"/>
  </si>
  <si>
    <t>거부처분에 대하여 대한민국을 피고로 지정한 민사상 금전지급 청구소송의 적법 여부 및 법원의 판단</t>
  </si>
  <si>
    <t>열기2-03.행정쟁송법\02.문제\[기출][2024-1-1-1]거부처분에 대하여 대한민국을 피고로 지정한 민사상 금전지급 청구소송의 적법 여부 및 법원의 판단.txt</t>
  </si>
  <si>
    <t>제03장 취소소송의 당사자적격</t>
    <phoneticPr fontId="2" type="noConversion"/>
  </si>
  <si>
    <t>제02절 피고적격</t>
    <phoneticPr fontId="2" type="noConversion"/>
  </si>
  <si>
    <t>A</t>
    <phoneticPr fontId="2" type="noConversion"/>
  </si>
  <si>
    <t>중요도('26년)</t>
    <phoneticPr fontId="2" type="noConversion"/>
  </si>
  <si>
    <r>
      <rPr>
        <b/>
        <sz val="9"/>
        <color theme="1"/>
        <rFont val="함초롬돋움"/>
        <family val="3"/>
        <charset val="129"/>
      </rPr>
      <t>*(1-2)피고적격(내부 위임)</t>
    </r>
    <r>
      <rPr>
        <sz val="9"/>
        <color theme="1"/>
        <rFont val="함초롬돋움"/>
        <family val="3"/>
        <charset val="129"/>
      </rPr>
      <t xml:space="preserve">
 -내부위임 일탈 처분에 대한 항고소송의 유형과 피고적격, 인용판결에 따른 환수금 반환 가능성
</t>
    </r>
    <r>
      <rPr>
        <b/>
        <sz val="9"/>
        <color theme="1"/>
        <rFont val="함초롬돋움"/>
        <family val="3"/>
        <charset val="129"/>
      </rPr>
      <t>*(2)대상적격, 피고적격, 제소기간</t>
    </r>
    <r>
      <rPr>
        <sz val="9"/>
        <color theme="1"/>
        <rFont val="함초롬돋움"/>
        <family val="3"/>
        <charset val="129"/>
      </rPr>
      <t xml:space="preserve">
 -감경 변경재결 및 후속 변경처분에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-위탁운영계약(국유재산 사용・수익허가)의 해지에 대한 구제수단으로서의 무효등 확인소송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</si>
  <si>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간접강제)</t>
    </r>
    <r>
      <rPr>
        <sz val="9"/>
        <color theme="1"/>
        <rFont val="함초롬돋움"/>
        <family val="3"/>
        <charset val="129"/>
      </rPr>
      <t xml:space="preserve">
 -최초 거부처분에서 추가한 사유를 다시 제기한 재거부처분에 대한 간접강제 신청의 인용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</si>
  <si>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*(1-2)법원의 판결(기속행위/재량행위)</t>
    </r>
    <r>
      <rPr>
        <sz val="9"/>
        <color theme="1"/>
        <rFont val="함초롬돋움"/>
        <family val="3"/>
        <charset val="129"/>
      </rPr>
      <t xml:space="preserve">
 -추가징수 처분에 대한 취소소송 제기 시 법원의 일부취소판결 가능성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</si>
  <si>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*(1-1-2)당사자소송</t>
    </r>
    <r>
      <rPr>
        <sz val="9"/>
        <color theme="1"/>
        <rFont val="함초롬돋움"/>
        <family val="3"/>
        <charset val="129"/>
      </rPr>
      <t xml:space="preserve">
 -소청절차를 거치지 않고 제기한 지방공무원의 시간외근무수당 청구소송의 적법 여부 → 당사자소송은 행정심판 전치주의 예외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</si>
  <si>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*(1-2)무효확인소송의 기속력, 이행 강제 수단</t>
    </r>
    <r>
      <rPr>
        <sz val="9"/>
        <color theme="1"/>
        <rFont val="함초롬돋움"/>
        <family val="3"/>
        <charset val="129"/>
      </rPr>
      <t xml:space="preserve">
 -무효확인소송 인용판결 확정 후 피고 행정청의 재처분의무 및 이행 강제를 위한 소송법상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</si>
  <si>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*(3)위법성 판단의 기준시</t>
    </r>
    <r>
      <rPr>
        <sz val="9"/>
        <color theme="1"/>
        <rFont val="함초롬돋움"/>
        <family val="3"/>
        <charset val="129"/>
      </rPr>
      <t xml:space="preserve">
 -거부처분 후 법령이 개정된 경우 취소소송에서 위법성 판단의 기준시점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</si>
  <si>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*(1-1)대상적격, 제소기간</t>
    </r>
    <r>
      <rPr>
        <sz val="9"/>
        <color theme="1"/>
        <rFont val="함초롬돋움"/>
        <family val="3"/>
        <charset val="129"/>
      </rPr>
      <t xml:space="preserve">
 -행정청의 이주대책 대상자 제외 재결정에 대한 취소소송의 대상적격과 제소기간 기산점
</t>
    </r>
    <r>
      <rPr>
        <b/>
        <sz val="9"/>
        <color theme="1"/>
        <rFont val="함초롬돋움"/>
        <family val="3"/>
        <charset val="129"/>
      </rPr>
      <t>*(2)제3자(경업자)의 원고적격</t>
    </r>
    <r>
      <rPr>
        <sz val="9"/>
        <color theme="1"/>
        <rFont val="함초롬돋움"/>
        <family val="3"/>
        <charset val="129"/>
      </rPr>
      <t xml:space="preserve">
 -여객자동차운송사업 양도・양수 인가처분에 대한 제3자 경업자의 원고적격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</si>
  <si>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*(1-1)원고적격</t>
    </r>
    <r>
      <rPr>
        <sz val="9"/>
        <color theme="1"/>
        <rFont val="함초롬돋움"/>
        <family val="3"/>
        <charset val="129"/>
      </rPr>
      <t xml:space="preserve">
 -토석채취허가에 대하여 비산먼지 피해를 우려하는 인근 영농법인의 취소소송 원고적격 인정 여부
</t>
    </r>
    <r>
      <rPr>
        <b/>
        <sz val="9"/>
        <color theme="1"/>
        <rFont val="함초롬돋움"/>
        <family val="3"/>
        <charset val="129"/>
      </rPr>
      <t>*(2)협의의 소익</t>
    </r>
    <r>
      <rPr>
        <sz val="9"/>
        <color theme="1"/>
        <rFont val="함초롬돋움"/>
        <family val="3"/>
        <charset val="129"/>
      </rPr>
      <t xml:space="preserve">
 -소송 계속 중 정년 도과와 금전보상명령의 협의의 소의 이익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</si>
  <si>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*(1-3)무효확인소송 기각판결의 기판력</t>
    </r>
    <r>
      <rPr>
        <sz val="9"/>
        <color theme="1"/>
        <rFont val="함초롬돋움"/>
        <family val="3"/>
        <charset val="129"/>
      </rPr>
      <t xml:space="preserve">
 -무효확인소송 기각판결 확정 후 후속 국가배상청구소송에서 수소법원의 법령 위반 인정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</si>
  <si>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*(1-1)무효확인소송의 입증책임</t>
    </r>
    <r>
      <rPr>
        <sz val="9"/>
        <color theme="1"/>
        <rFont val="함초롬돋움"/>
        <family val="3"/>
        <charset val="129"/>
      </rPr>
      <t xml:space="preserve">
 -급여지급결정 취소처분에 대한 무효확인소송에서 처분의 무효 사유에 대한 입증책임의 귀속 주체
</t>
    </r>
    <r>
      <rPr>
        <b/>
        <sz val="9"/>
        <color theme="1"/>
        <rFont val="함초롬돋움"/>
        <family val="3"/>
        <charset val="129"/>
      </rPr>
      <t>*(1-2)관련청구소송의 병합</t>
    </r>
    <r>
      <rPr>
        <sz val="9"/>
        <color theme="1"/>
        <rFont val="함초롬돋움"/>
        <family val="3"/>
        <charset val="129"/>
      </rPr>
      <t xml:space="preserve">
 -무효확인소송 계속 중 동일한 처분에 대한 취소소송 추가 병합의 적법 여부
</t>
    </r>
    <r>
      <rPr>
        <b/>
        <sz val="9"/>
        <color theme="1"/>
        <rFont val="함초롬돋움"/>
        <family val="3"/>
        <charset val="129"/>
      </rPr>
      <t>*(3)처분사유의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 행정청이 당초 징계사유 외에 다른 징계사유를 추가적으로 주장할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</si>
  <si>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*(2)원처분주의(사정재결 후 대상)</t>
    </r>
    <r>
      <rPr>
        <sz val="9"/>
        <color theme="1"/>
        <rFont val="함초롬돋움"/>
        <family val="3"/>
        <charset val="129"/>
      </rPr>
      <t xml:space="preserve">
 -행정청의 환지예정지지정처분에 대한 사정재결 후 취소소송 대상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</si>
  <si>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*(2)이의신청의 기각재결 간주 여부</t>
    </r>
    <r>
      <rPr>
        <sz val="9"/>
        <color theme="1"/>
        <rFont val="함초롬돋움"/>
        <family val="3"/>
        <charset val="129"/>
      </rPr>
      <t xml:space="preserve">
 -이의신청에 대한 행정청의 기각결정을 행정심판의 기각재결로 볼 수 있는지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</si>
  <si>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*(1-1)감경변경재결의 소송요건</t>
    </r>
    <r>
      <rPr>
        <sz val="9"/>
        <color theme="1"/>
        <rFont val="함초롬돋움"/>
        <family val="3"/>
        <charset val="129"/>
      </rPr>
      <t xml:space="preserve">
 -일부인용재결 및 감경처분에 따른 취소소송의 대상적격・피고적격・제소기간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-영업정지기간 도과 후 가중적 제재 우려가 있는 경우의 협의의 소의 이익 인정 여부
</t>
    </r>
    <r>
      <rPr>
        <b/>
        <sz val="9"/>
        <color theme="1"/>
        <rFont val="함초롬돋움"/>
        <family val="3"/>
        <charset val="129"/>
      </rPr>
      <t>*(3)부작위의 대상적격</t>
    </r>
    <r>
      <rPr>
        <sz val="9"/>
        <color theme="1"/>
        <rFont val="함초롬돋움"/>
        <family val="3"/>
        <charset val="129"/>
      </rPr>
      <t xml:space="preserve">
 -공사중지명령 철회신청에 대한 무응답 행위의 위법 부작위 해당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</si>
  <si>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*(1-1)판결의 효력(기속력과 관련된 행정청의 의무)</t>
    </r>
    <r>
      <rPr>
        <sz val="9"/>
        <color theme="1"/>
        <rFont val="함초롬돋움"/>
        <family val="3"/>
        <charset val="129"/>
      </rPr>
      <t xml:space="preserve">
 -절차상 하자로 취소된 재심판정에 대한 확정판결 기속력의 내용과 중앙노동위원회의 법적 의무</t>
    </r>
    <phoneticPr fontId="2" type="noConversion"/>
  </si>
  <si>
    <t>취소소송과 달리 원고가 입증책임 부담</t>
    <phoneticPr fontId="2" type="noConversion"/>
  </si>
  <si>
    <t>기속력의 의무(반.재.원.)</t>
    <phoneticPr fontId="2" type="noConversion"/>
  </si>
  <si>
    <t>기판력</t>
    <phoneticPr fontId="2" type="noConversion"/>
  </si>
  <si>
    <r>
      <rPr>
        <b/>
        <sz val="9"/>
        <color theme="1"/>
        <rFont val="함초롬돋움"/>
        <family val="3"/>
        <charset val="129"/>
      </rPr>
      <t>*(1-2)처분사유의 추가・변경</t>
    </r>
    <r>
      <rPr>
        <sz val="9"/>
        <color theme="1"/>
        <rFont val="함초롬돋움"/>
        <family val="3"/>
        <charset val="129"/>
      </rPr>
      <t xml:space="preserve">
 -취소소송 계속 중 피고인 중앙노동위원회가 징계사유를 추가적으로 주장하는 것의 허용 여부 및 타당성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</si>
  <si>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재결 : 재결의 기속력, 실효성확보수단</t>
    </r>
    <r>
      <rPr>
        <sz val="9"/>
        <color theme="1"/>
        <rFont val="함초롬돋움"/>
        <family val="3"/>
        <charset val="129"/>
      </rPr>
      <t xml:space="preserve">
 -입학점수 공개거부취소재결의 실효성 확보를 위한 행정심판법상 구제 수단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</si>
  <si>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*(1-1)행정심판의 가구제</t>
    </r>
    <r>
      <rPr>
        <sz val="9"/>
        <color theme="1"/>
        <rFont val="함초롬돋움"/>
        <family val="3"/>
        <charset val="129"/>
      </rPr>
      <t xml:space="preserve">
 -거부처분에 대한 행정심판 청구 시 임시처분의 요건 및 사안에의 인용가능성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</si>
  <si>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*(1-2)판결의 효력(기속력의 범위)</t>
    </r>
    <r>
      <rPr>
        <sz val="9"/>
        <color theme="1"/>
        <rFont val="함초롬돋움"/>
        <family val="3"/>
        <charset val="129"/>
      </rPr>
      <t xml:space="preserve">
 -기속력의 객관적 범위와 다른 사유를 근거로 한 재거부처분의 적법성 여부
</t>
    </r>
    <r>
      <rPr>
        <b/>
        <sz val="9"/>
        <color theme="1"/>
        <rFont val="함초롬돋움"/>
        <family val="3"/>
        <charset val="129"/>
      </rPr>
      <t>*(2)무효확인소송에서 중대한 위법만 있는 경우의 법원의 판단</t>
    </r>
    <r>
      <rPr>
        <sz val="9"/>
        <color theme="1"/>
        <rFont val="함초롬돋움"/>
        <family val="3"/>
        <charset val="129"/>
      </rPr>
      <t xml:space="preserve">
 -공사중지명령의 무효확인을 구하는 소송에서 심리 결과 취소사유만 인정되는 경우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</si>
  <si>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*(3)처분취소소송과 국가배상청구소송의 병합</t>
    </r>
    <r>
      <rPr>
        <sz val="9"/>
        <color theme="1"/>
        <rFont val="함초롬돋움"/>
        <family val="3"/>
        <charset val="129"/>
      </rPr>
      <t xml:space="preserve">
 -영업정지처분 취소소송과 그 처분으로 인한 영업 손해에 대한 국가배상청구소송의 병합 적법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</si>
  <si>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*(1-1)감액변경처분의 대상적격, 피고적격, 제소기간</t>
    </r>
    <r>
      <rPr>
        <sz val="9"/>
        <color theme="1"/>
        <rFont val="함초롬돋움"/>
        <family val="3"/>
        <charset val="129"/>
      </rPr>
      <t xml:space="preserve">
 -감액변경처분에 대한 취소소송의 대상적격과 부적법한 행정심판을 거친 경우의 제소기간 준수 여부
</t>
    </r>
    <r>
      <rPr>
        <b/>
        <sz val="9"/>
        <color theme="1"/>
        <rFont val="함초롬돋움"/>
        <family val="3"/>
        <charset val="129"/>
      </rPr>
      <t>*(1-2)협의의 소익</t>
    </r>
    <r>
      <rPr>
        <sz val="9"/>
        <color theme="1"/>
        <rFont val="함초롬돋움"/>
        <family val="3"/>
        <charset val="129"/>
      </rPr>
      <t xml:space="preserve">
 -해임처분취소소송 계속 중 정년에 도달한 공무원의 협의의 소의 이익 인정 여부
</t>
    </r>
    <r>
      <rPr>
        <b/>
        <sz val="9"/>
        <color theme="1"/>
        <rFont val="함초롬돋움"/>
        <family val="3"/>
        <charset val="129"/>
      </rPr>
      <t>*(3)대상적격</t>
    </r>
    <r>
      <rPr>
        <sz val="9"/>
        <color theme="1"/>
        <rFont val="함초롬돋움"/>
        <family val="3"/>
        <charset val="129"/>
      </rPr>
      <t xml:space="preserve">
 -행정심판의 재결이 취소소송의 대상이 되는 경우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</si>
  <si>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</si>
  <si>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*(2)제3자 재심청구 요건</t>
    </r>
    <r>
      <rPr>
        <sz val="9"/>
        <color theme="1"/>
        <rFont val="함초롬돋움"/>
        <family val="3"/>
        <charset val="129"/>
      </rPr>
      <t xml:space="preserve">
 -할인점 건축허가 거부처분 취소소송의 인용확정판결에 대한 인근 학교법인의 제3자 재심청구의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</si>
  <si>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*(1-1)거부행위에 대한 대상적격/가구제</t>
    </r>
    <r>
      <rPr>
        <sz val="9"/>
        <color theme="1"/>
        <rFont val="함초롬돋움"/>
        <family val="3"/>
        <charset val="129"/>
      </rPr>
      <t xml:space="preserve">
 -노동조합 설립신고 반려처분에 대한 취소소송상 소송요건과 가구제 및 본안 인용 시 권리구제 방안
</t>
    </r>
    <r>
      <rPr>
        <b/>
        <sz val="9"/>
        <color theme="1"/>
        <rFont val="함초롬돋움"/>
        <family val="3"/>
        <charset val="129"/>
      </rPr>
      <t>*(1-2)재결주의, 소의이익</t>
    </r>
    <r>
      <rPr>
        <sz val="9"/>
        <color theme="1"/>
        <rFont val="함초롬돋움"/>
        <family val="3"/>
        <charset val="129"/>
      </rPr>
      <t xml:space="preserve">
 -중앙노동위원회의 일부인용 재심판정에 대하여 사용자가 제기하는 취소소송의 대상
</t>
    </r>
    <r>
      <rPr>
        <b/>
        <sz val="9"/>
        <color theme="1"/>
        <rFont val="함초롬돋움"/>
        <family val="3"/>
        <charset val="129"/>
      </rPr>
      <t>*(3)제3자효 행정행위의 원고적격(경업자, 경원자, 인인소송)</t>
    </r>
    <r>
      <rPr>
        <sz val="9"/>
        <color theme="1"/>
        <rFont val="함초롬돋움"/>
        <family val="3"/>
        <charset val="129"/>
      </rPr>
      <t xml:space="preserve">
 -제3자효 행정행위의 취소소송에서 제3자의 원고적격 인정 범위와 유형별 판단 기준</t>
    </r>
    <phoneticPr fontId="2" type="noConversion"/>
  </si>
  <si>
    <t>가처분 준용(집행정지 미준용)</t>
    <phoneticPr fontId="2" type="noConversion"/>
  </si>
  <si>
    <t>무효인 보험료부과처분에 따라 기납부한 보험료 환급을 위해 제기할 수 있는 소송의 종류</t>
  </si>
  <si>
    <t>열기2-03.행정쟁송법\02.문제\[기출][2017-2]무효인 보험료부과처분에 따라 기납부한 보험료 환급을 위해 제기할 수 있는 소송의 종류.txt</t>
  </si>
  <si>
    <t>제01장 행정소송의 일반론</t>
    <phoneticPr fontId="2" type="noConversion"/>
  </si>
  <si>
    <t>제02절 행정소송의 유형</t>
    <phoneticPr fontId="2" type="noConversion"/>
  </si>
  <si>
    <t>행정쟁송의 일반론</t>
    <phoneticPr fontId="2" type="noConversion"/>
  </si>
  <si>
    <t>납세의무부존재확인소송의 법적 성질 및 소송법상 특징</t>
  </si>
  <si>
    <t>열기2-03.행정쟁송법\02.문제\[기출][2019-3]납세의무부존재확인소송의 법적 성질 및 소송법상 특징.txt</t>
  </si>
  <si>
    <t>제01장 행정소송의 일반론-제02절 행정소송의 유형-02</t>
  </si>
  <si>
    <t>2023-3</t>
  </si>
  <si>
    <t>05</t>
    <phoneticPr fontId="2" type="noConversion"/>
  </si>
  <si>
    <t>06</t>
    <phoneticPr fontId="2" type="noConversion"/>
  </si>
  <si>
    <t>A</t>
    <phoneticPr fontId="2" type="noConversion"/>
  </si>
  <si>
    <t>제08장 청구의 병합과 소의 변경</t>
    <phoneticPr fontId="2" type="noConversion"/>
  </si>
  <si>
    <r>
      <rPr>
        <b/>
        <sz val="9"/>
        <color theme="1"/>
        <rFont val="함초롬돋움"/>
        <family val="3"/>
        <charset val="129"/>
      </rPr>
      <t>*(1-2)행정소송 한계(예방적 금지소송)</t>
    </r>
    <r>
      <rPr>
        <sz val="9"/>
        <color theme="1"/>
        <rFont val="함초롬돋움"/>
        <family val="3"/>
        <charset val="129"/>
      </rPr>
      <t xml:space="preserve">
-관할행정청의 처분 전에 제3자가 예방적으로 처분 금지를 구하는 소송의 허용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</si>
  <si>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*(3)행정소송의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</si>
  <si>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t>공사 전부 도급 시 고용・산재보험료 부존재확인 및 부당이득반환 청구의 적법한 소송의 유형과 피고적격</t>
  </si>
  <si>
    <t>공사 전부 도급 시 고용・산재보험료 부존재확인 및 부당이득반환 청구의 적법한 소송의 유형과 피고적격</t>
    <phoneticPr fontId="2" type="noConversion"/>
  </si>
  <si>
    <t>열기2-03.행정쟁송법\02.문제\[기출][2023-3]공사 전부 도급 시 고용・산재보험료 부존재확인 및 부당이득반환 청구의 적법한 소송의 유형과 피고적격.txt</t>
  </si>
  <si>
    <t>열기2-03.행정쟁송법\02.문제\[기출][2023-3]공사 전부 도급 시 고용・산재보험료 부존재확인 및 부당이득반환 청구의 적법한 소송의 유형과 피고적격.txt</t>
    <phoneticPr fontId="2" type="noConversion"/>
  </si>
  <si>
    <t>01</t>
    <phoneticPr fontId="2" type="noConversion"/>
  </si>
  <si>
    <t>02</t>
    <phoneticPr fontId="2" type="noConversion"/>
  </si>
  <si>
    <t>제03장 취소소송의 당사자적격-제02절 피고적격-04</t>
  </si>
  <si>
    <t>3</t>
  </si>
  <si>
    <t>1</t>
  </si>
  <si>
    <t>기출</t>
    <phoneticPr fontId="2" type="noConversion"/>
  </si>
  <si>
    <t>제03장 취소소송의 당사자적격</t>
    <phoneticPr fontId="2" type="noConversion"/>
  </si>
  <si>
    <t>제02절 피고적격</t>
    <phoneticPr fontId="2" type="noConversion"/>
  </si>
  <si>
    <t>07</t>
    <phoneticPr fontId="2" type="noConversion"/>
  </si>
  <si>
    <t>04</t>
    <phoneticPr fontId="2" type="noConversion"/>
  </si>
  <si>
    <t>03</t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</si>
  <si>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</t>
    </r>
    <r>
      <rPr>
        <sz val="9"/>
        <color theme="1"/>
        <rFont val="함초롬돋움"/>
        <family val="3"/>
        <charset val="129"/>
      </rPr>
      <t xml:space="preserve">
 -공사 전부 도급 시 고용・산재보험료 부존재확인 및 부당이득반환 청구의 적법한 피고와 소송의 유형</t>
    </r>
    <phoneticPr fontId="2" type="noConversion"/>
  </si>
  <si>
    <r>
      <rPr>
        <b/>
        <sz val="9"/>
        <color theme="1"/>
        <rFont val="함초롬돋움"/>
        <family val="3"/>
        <charset val="129"/>
      </rPr>
      <t>*(3)행정소송 유형 &amp; 피고적격</t>
    </r>
    <r>
      <rPr>
        <sz val="9"/>
        <color theme="1"/>
        <rFont val="함초롬돋움"/>
        <family val="3"/>
        <charset val="129"/>
      </rPr>
      <t xml:space="preserve">
 -납세의무부존재확인소송의 법적 성질 및 소송법상 특징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</si>
  <si>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*(2)행정소송 유형</t>
    </r>
    <r>
      <rPr>
        <sz val="9"/>
        <color theme="1"/>
        <rFont val="함초롬돋움"/>
        <family val="3"/>
        <charset val="129"/>
      </rPr>
      <t xml:space="preserve">
 -무효인 보험료부과처분에 따라 기납부한 보험료 환급을 위해 제기할 수 있는 소송의 종류</t>
    </r>
    <phoneticPr fontId="2" type="noConversion"/>
  </si>
  <si>
    <t>(2)</t>
    <phoneticPr fontId="2" type="noConversion"/>
  </si>
  <si>
    <t>부존재:당사자/부당이득:민사</t>
    <phoneticPr fontId="2" type="noConversion"/>
  </si>
  <si>
    <t>1-1-1</t>
    <phoneticPr fontId="2" type="noConversion"/>
  </si>
  <si>
    <t>9</t>
    <phoneticPr fontId="2" type="noConversion"/>
  </si>
  <si>
    <t>제01장 행정소송의 일반론-제02절 행정소송의 유형-03</t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</si>
  <si>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</t>
    </r>
    <phoneticPr fontId="2" type="noConversion"/>
  </si>
  <si>
    <r>
      <rPr>
        <b/>
        <sz val="9"/>
        <color theme="1"/>
        <rFont val="함초롬돋움"/>
        <family val="3"/>
        <charset val="129"/>
      </rPr>
      <t>*(1-1-1)피고적격, 소의 종류</t>
    </r>
    <r>
      <rPr>
        <sz val="9"/>
        <color theme="1"/>
        <rFont val="함초롬돋움"/>
        <family val="3"/>
        <charset val="129"/>
      </rPr>
      <t xml:space="preserve">
 -거부처분에 대하여 대한민국을 피고로 지정한 민사상 금전지급 청구소송의 적법 여부 및 법원의 판단
</t>
    </r>
    <r>
      <rPr>
        <b/>
        <sz val="9"/>
        <color theme="1"/>
        <rFont val="함초롬돋움"/>
        <family val="3"/>
        <charset val="129"/>
      </rPr>
      <t>*(3)대상적격, 제소기간</t>
    </r>
    <r>
      <rPr>
        <sz val="9"/>
        <color theme="1"/>
        <rFont val="함초롬돋움"/>
        <family val="3"/>
        <charset val="129"/>
      </rPr>
      <t xml:space="preserve">
 -일부 변경된 집합금지명령의 대상적격성 및 고시・공고에 의한 일반처분의 제소기간 준수 여부</t>
    </r>
    <phoneticPr fontId="2" type="noConversion"/>
  </si>
  <si>
    <t>열기3-01.관련법령\05.행정쟁송법\02-3.행정심판법(시행규칙).txt</t>
    <phoneticPr fontId="2" type="noConversion"/>
  </si>
  <si>
    <r>
      <rPr>
        <b/>
        <sz val="9"/>
        <color theme="1"/>
        <rFont val="함초롬돋움"/>
        <family val="3"/>
        <charset val="129"/>
      </rPr>
      <t>*(1)행정심판 청구의 적격성</t>
    </r>
    <r>
      <rPr>
        <sz val="9"/>
        <color theme="1"/>
        <rFont val="함초롬돋움"/>
        <family val="3"/>
        <charset val="129"/>
      </rPr>
      <t xml:space="preserve">
 -무자격 노동조합 설립신고 수리에 대한 사용자의 취소심판 청구의 적법성 여부</t>
    </r>
    <phoneticPr fontId="2" type="noConversion"/>
  </si>
  <si>
    <r>
      <rPr>
        <b/>
        <sz val="9"/>
        <color theme="1"/>
        <rFont val="함초롬돋움"/>
        <family val="3"/>
        <charset val="129"/>
      </rPr>
      <t>*(2)행정심판의 당사자적격, 관할</t>
    </r>
    <r>
      <rPr>
        <sz val="9"/>
        <color theme="1"/>
        <rFont val="함초롬돋움"/>
        <family val="3"/>
        <charset val="129"/>
      </rPr>
      <t xml:space="preserve">
 -중앙노동위원회 이행강제금 부과처분에 대한 취소심판 청구 시 관할 행정심판기관 및 피청구인 적격</t>
    </r>
    <phoneticPr fontId="2" type="noConversion"/>
  </si>
  <si>
    <t>?</t>
    <phoneticPr fontId="2" type="noConversion"/>
  </si>
  <si>
    <t>ing</t>
    <phoneticPr fontId="2" type="noConversion"/>
  </si>
  <si>
    <t>무효확인청구와 취소청구의 병합 가능성 및 두 청구의 관계에 따른 판례의 입장</t>
  </si>
  <si>
    <t>무효확인소송에서 취소소송으로의 변경 시 제소기간 준수의 기준 시점</t>
  </si>
  <si>
    <t>무효확인소송에서 집행정지 규정의 준용 여부와 회복하기 어려운 손해의 의미</t>
  </si>
  <si>
    <t>무효확인소송에서 가처분의 준용 여부와 예방적 금지 성격의 가처분 허용 여부</t>
  </si>
  <si>
    <t>무효확인소송에서 사정판결의 준용 여부 및 사안에 대한 판단</t>
  </si>
  <si>
    <t>무효확인판결의 제3자효와 기속력의 의미 및 재처분의무의 인정 여부</t>
  </si>
  <si>
    <t>취소소송에서 부작위위법확인소송으로의 소의 종류의 변경의 요건 및 허용 범위</t>
  </si>
  <si>
    <t>처분변경으로 인한 소의 변경의 요건과 신청 기한</t>
  </si>
  <si>
    <t>항고소송에서 민사소송법상 가처분 규정의 준용 여부에 관한 학설 및 판례의 입장</t>
  </si>
  <si>
    <t>거부처분 취소소송에서 집행정지의 실효성 결여와 가처분의 허용 여부</t>
  </si>
  <si>
    <t>처분사유의 추가・변경의 허용 여부와 한계에 대한 판례의 입장</t>
  </si>
  <si>
    <t>행정심판기록 제출명령의 의의와 효과</t>
  </si>
  <si>
    <t>폐기물 처리시설 설치 승인 처분의 수익자인 회사가 취소소송에 참가하기 위한 요건과 절차</t>
  </si>
  <si>
    <t>인근 주민의 취소소송 참가 가능성 및 행정소송법 제16조상 참가인의 법적 지위</t>
  </si>
  <si>
    <t>취소소송 소송요건의 법적 성질 및 법원의 직권조사 원칙과 예외</t>
  </si>
  <si>
    <t>권고조치를 대상으로 한 취소소송에서 대상적격의 의미 및 소송요건 결여 시 판결의 종류와 사유</t>
  </si>
  <si>
    <t>직권심리주의의 의미와 범위 및 당사자가 주장하지 않은 사실에 대한 심리 한계</t>
  </si>
  <si>
    <t>구술심리와 서면심리의 관계 및 구술심리 신청 거절의 예외적 사유</t>
  </si>
  <si>
    <t>불고지에 따른 행정심판의 청구기간의 특례와 청구의 적법성 여부</t>
  </si>
  <si>
    <t>피청구인을 잘못 지정한 경우의 구제 절차와 피청구인의 경정 제도</t>
  </si>
  <si>
    <t>처분의 개념과 행정청의 시정권고가 행정심판의 대상인지 여부</t>
  </si>
  <si>
    <t>부작위에 대한 행정심판의 종류, 부작위 성립 요건 및 행정심판 제기의 예외 사유</t>
  </si>
  <si>
    <t>부작위위법확인소송과 행정심판전치주의의 관계</t>
  </si>
  <si>
    <t>인근 주민이 제기하고자 하는 예방적 금지소송의 허용 여부 및 대체 소송 수단</t>
  </si>
  <si>
    <t>공무원이 미지급된 보수를 청구하기 위해 제기해야 하는 소송의 유형 및 구분 근거</t>
  </si>
  <si>
    <t>최초 거부처분에서 추가한 사유를 다시 제기한 재거부처분에 대한 간접강제 신청의 인용 여부</t>
  </si>
  <si>
    <t>내부위임 일탈 처분에 대한 항고소송의 유형과 피고적격, 인용판결에 따른 환수금 반환 가능성</t>
  </si>
  <si>
    <t>감경 변경재결 및 후속 변경처분에 따른 취소소송의 대상적격・피고적격・제소기간 준수 여부</t>
  </si>
  <si>
    <t>위탁운영계약(국유재산 사용・수익허가)의 해지에 대한 구제수단으로서의 무효등 확인소송</t>
  </si>
  <si>
    <t>추가징수 처분에 대한 취소소송 제기 시 법원의 일부취소판결 가능성 여부</t>
  </si>
  <si>
    <t>중앙노동위원회 이행강제금 부과처분에 대한 취소심판 청구 시 관할 행정심판기관 및 피청구인 적격</t>
  </si>
  <si>
    <t>일부 변경된 집합금지명령의 대상적격성 및 고시・공고에 의한 일반처분의 제소기간 준수 여부</t>
  </si>
  <si>
    <t>행정청의 이주대책 대상자 제외 재결정에 대한 취소소송의 대상적격과 제소기간 기산점</t>
  </si>
  <si>
    <t>여객자동차운송사업 양도・양수 인가처분에 대한 제3자 경업자의 원고적격 인정 여부</t>
  </si>
  <si>
    <t>토석채취허가에 대하여 비산먼지 피해를 우려하는 인근 영농법인의 취소소송 원고적격 인정 여부</t>
  </si>
  <si>
    <t>관할행정청의 처분 전에 제3자가 예방적으로 처분 금지를 구하는 소송의 허용 여부</t>
  </si>
  <si>
    <t>소송 계속 중 정년 도과와 금전보상명령의 협의의 소의 이익 인정 여부</t>
  </si>
  <si>
    <t>거부처분 후 법령이 개정된 경우 취소소송에서 위법성 판단의 기준시점</t>
  </si>
  <si>
    <t>급여지급결정 취소처분에 대한 무효확인소송에서 처분의 무효 사유에 대한 입증책임의 귀속 주체</t>
  </si>
  <si>
    <t>무효확인소송 계속 중 동일한 처분에 대한 취소소송 추가 병합의 적법 여부</t>
  </si>
  <si>
    <t>행정청의 환지예정지지정처분에 대한 사정재결 후 취소소송 대상</t>
  </si>
  <si>
    <t>취소소송 계속 중 피고 행정청이 당초 징계사유 외에 다른 징계사유를 추가적으로 주장할 수 있는지 여부</t>
  </si>
  <si>
    <t>일부인용재결 및 감경처분에 따른 취소소송의 대상적격・피고적격・제소기간 준수 여부</t>
  </si>
  <si>
    <t>영업정지기간 도과 후 가중적 제재 우려가 있는 경우의 협의의 소의 이익 인정 여부</t>
  </si>
  <si>
    <t>이의신청에 대한 행정청의 기각결정을 행정심판의 기각재결로 볼 수 있는지 여부</t>
  </si>
  <si>
    <t>공사중지명령 철회신청에 대한 무응답 행위의 위법 부작위 해당 여부</t>
  </si>
  <si>
    <t>절차상 하자로 취소된 재심판정에 대한 확정판결 기속력의 내용과 중앙노동위원회의 법적 의무</t>
  </si>
  <si>
    <t>취소소송 계속 중 피고인 중앙노동위원회가 징계사유를 추가적으로 주장하는 것의 허용 여부 및 타당성</t>
  </si>
  <si>
    <t>입학점수 공개거부취소재결의 실효성 확보를 위한 행정심판법상 구제 수단</t>
  </si>
  <si>
    <t>거부처분에 대한 행정심판 청구 시 임시처분의 요건 및 사안에의 인용가능성</t>
  </si>
  <si>
    <t>기속력의 객관적 범위와 다른 사유를 근거로 한 재거부처분의 적법성 여부</t>
  </si>
  <si>
    <t>공사중지명령의 무효확인을 구하는 소송에서 심리 결과 취소사유만 인정되는 경우 법원의 판단</t>
  </si>
  <si>
    <t>영업정지처분 취소소송과 그 처분으로 인한 영업 손해에 대한 국가배상청구소송의 병합 적법 여부</t>
  </si>
  <si>
    <t>감액변경처분에 대한 취소소송의 대상적격과 부적법한 행정심판을 거친 경우의 제소기간 준수 여부</t>
  </si>
  <si>
    <t>해임처분취소소송 계속 중 정년에 도달한 공무원의 협의의 소의 이익 인정 여부</t>
  </si>
  <si>
    <t>노동조합 설립신고 반려처분에 대한 취소소송상 소송요건과 가구제 및 본안 인용 시 권리구제 방안</t>
  </si>
  <si>
    <t>중앙노동위원회의 일부인용 재심판정에 대하여 사용자가 제기하는 취소소송의 대상</t>
  </si>
  <si>
    <t>할인점 건축허가 거부처분 취소소송의 인용확정판결에 대한 인근 학교법인의 제3자 재심청구의 적법성 여부</t>
  </si>
  <si>
    <t>제3자효 행정행위의 취소소송에서 제3자의 원고적격 인정 범위와 유형별 판단 기준</t>
  </si>
  <si>
    <t>제3자의 청구에 따른 인용재결로 인하여 불이익을 입게 된 원처분 상대방의 소송제기 가능성 및 소송의 대상</t>
  </si>
  <si>
    <t>이행재결의 기속력 확보수단으로서의 직접처분의 의의, 취지, 요건, 효과</t>
  </si>
  <si>
    <t>의무이행재결의 실효성 확보 방안 (행정심판법상), 취소판결의 실효성 확보 방안 (행정소송법상)</t>
  </si>
  <si>
    <t>종국판결에 의하지 않은 취소소송의 종료 유형</t>
  </si>
  <si>
    <t>면적축소 관련 법령에 대한 취소소송 및 환원처분을 구하는 소송의 적법성 여부</t>
  </si>
  <si>
    <t>입찰참가자격 제한 처분의 취소소송 중 뇌물수수 사유 추가의 허용 여부</t>
  </si>
  <si>
    <t>취소소송의 제기요건(소송요건)(대상적격, 원고적격, 피고적격, 소의 이익, 제소기간, 행심전치주의, 관할법원)</t>
  </si>
  <si>
    <t>기관소송의 정의, 특징, 예시, 법적 한계</t>
  </si>
  <si>
    <t>부작위위법확인소송의 의의, 특징, 소송요건, 판결의 효력</t>
  </si>
  <si>
    <t>행정심판전치주의의 의의, 요건, 적용범위, 예외, 이행여부</t>
  </si>
  <si>
    <t>소송참가의 의의, 제3자의 소송참가, 행정청의 소송참가</t>
  </si>
  <si>
    <t>개발행위 불허가 처분 시 불고지한 경우의 취소심판 청구기간의 경과 여부</t>
    <phoneticPr fontId="2" type="noConversion"/>
  </si>
  <si>
    <t>개발행위 불허가 처분 취소소송 중 기반시설 설치계획 부적절 사유 외 환경 부조화 사유 추가 가능 여부</t>
    <phoneticPr fontId="2" type="noConversion"/>
  </si>
  <si>
    <t>취소심판의 재결이 내려지기 전 청구인이 제기할 수 있는 행정심판법상 잠정적 권리구제수단</t>
    <phoneticPr fontId="2" type="noConversion"/>
  </si>
  <si>
    <t>항고소송의 사정판결의 의의, 취지, 요건, 효과</t>
    <phoneticPr fontId="2" type="noConversion"/>
  </si>
  <si>
    <t>법인인 회사를 대상으로 한 처분에 대한 대표이사 개인과 경제적 불이익을 받는 근로자의 원고적격 여부</t>
    <phoneticPr fontId="2" type="noConversion"/>
  </si>
  <si>
    <t>과징금부과처분이 과다할 경우 법원의 일부취소판결 가능성 여부</t>
    <phoneticPr fontId="2" type="noConversion"/>
  </si>
  <si>
    <t>구직자의 노동조합 가입을 이유로 한 설립신고서 반려처분의 취소소송 대상적격 인정 여부</t>
    <phoneticPr fontId="2" type="noConversion"/>
  </si>
  <si>
    <t>설립신고서 반려 취소 판결 후 새로운 사유를 근거로 한 재반려처분의 기속력 위반 여부 및 본안 인용 여부</t>
    <phoneticPr fontId="2" type="noConversion"/>
  </si>
  <si>
    <t>행정소송법상 집행정지의 요건</t>
    <phoneticPr fontId="2" type="noConversion"/>
  </si>
  <si>
    <t>지방노동위원회의 구제명령 등 처분에 대한 특별행정쟁송절차의 흐름과 요건</t>
    <phoneticPr fontId="2" type="noConversion"/>
  </si>
  <si>
    <t>면적축소 관련 법령에 대한 취소소송 및 환원처분을 구하는 소송의 적법성 여부</t>
    <phoneticPr fontId="2" type="noConversion"/>
  </si>
  <si>
    <t>관련청구소송의 병합의 의의 및 취지, 요건 및 유형, 관할 및 이송</t>
    <phoneticPr fontId="2" type="noConversion"/>
  </si>
  <si>
    <t>거부처분 취소소송 인용판결 확정 후 피고 행정청의 재차 거부처분이 허용되는 구체적 예외 사유</t>
    <phoneticPr fontId="2" type="noConversion"/>
  </si>
  <si>
    <t>하자있는 거부처분에 대한 행정심판법상 청구 및 재결의 실효성 확보수단</t>
    <phoneticPr fontId="2" type="noConversion"/>
  </si>
  <si>
    <t>결과제거청구권(원상회복청구권)의 행정소송상 관철 방법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</si>
</sst>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176" formatCode="#,##0_ "/>
    <numFmt numFmtId="177" formatCode="mm\.dd"/>
    <numFmt numFmtId="178" formatCode="#,###_-"/>
    <numFmt numFmtId="179" formatCode="####_-"/>
    <numFmt numFmtId="180" formatCode="####"/>
    <numFmt numFmtId="181" formatCode="####.##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9"/>
      <color theme="1"/>
      <name val="맑은 고딕"/>
      <family val="2"/>
      <charset val="129"/>
      <scheme val="minor"/>
    </font>
    <font>
      <b/>
      <sz val="9"/>
      <color theme="0"/>
      <name val="함초롬돋움"/>
      <family val="3"/>
      <charset val="129"/>
    </font>
    <font>
      <b/>
      <sz val="9"/>
      <color theme="1"/>
      <name val="함초롬돋움"/>
      <family val="3"/>
      <charset val="129"/>
    </font>
    <font>
      <sz val="9"/>
      <name val="함초롬돋움"/>
      <family val="3"/>
      <charset val="129"/>
    </font>
    <font>
      <b/>
      <sz val="9"/>
      <name val="함초롬돋움"/>
      <family val="3"/>
      <charset val="129"/>
    </font>
    <font>
      <b/>
      <sz val="9"/>
      <color theme="8" tint="0.79998168889431442"/>
      <name val="함초롬돋움"/>
      <family val="3"/>
      <charset val="129"/>
    </font>
    <font>
      <b/>
      <sz val="9"/>
      <color theme="0" tint="-0.14999847407452621"/>
      <name val="함초롬돋움"/>
      <family val="3"/>
      <charset val="129"/>
    </font>
    <font>
      <b/>
      <sz val="9"/>
      <color rgb="FF000000"/>
      <name val="함초롬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1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thin">
        <color auto="1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/>
      <right style="thin">
        <color auto="1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 style="dotted">
        <color rgb="FFA6A6A6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/>
      <right style="thin">
        <color auto="1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thin">
        <color auto="1"/>
      </right>
      <top style="dotted">
        <color rgb="FFA6A6A6"/>
      </top>
      <bottom/>
      <diagonal/>
    </border>
    <border>
      <left style="thin">
        <color auto="1"/>
      </left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thin">
        <color auto="1"/>
      </left>
      <right/>
      <top style="dotted">
        <color rgb="FFA6A6A6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thin">
        <color auto="1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thin">
        <color auto="1"/>
      </left>
      <right/>
      <top style="medium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thin">
        <color auto="1"/>
      </right>
      <top style="medium">
        <color indexed="64"/>
      </top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/>
      <top style="thin">
        <color auto="1"/>
      </top>
      <bottom style="dotted">
        <color rgb="FFA6A6A6"/>
      </bottom>
      <diagonal/>
    </border>
    <border>
      <left/>
      <right/>
      <top style="dotted">
        <color rgb="FFA6A6A6"/>
      </top>
      <bottom style="dotted">
        <color rgb="FFA6A6A6"/>
      </bottom>
      <diagonal/>
    </border>
    <border>
      <left/>
      <right/>
      <top style="dotted">
        <color rgb="FFA6A6A6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rgb="FFA6A6A6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rgb="FFA6A6A6"/>
      </top>
      <bottom style="thin">
        <color auto="1"/>
      </bottom>
      <diagonal/>
    </border>
    <border>
      <left/>
      <right style="medium">
        <color indexed="64"/>
      </right>
      <top style="dotted">
        <color rgb="FFA6A6A6"/>
      </top>
      <bottom style="dotted">
        <color rgb="FFA6A6A6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dotted">
        <color rgb="FFA6A6A6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/>
      <diagonal/>
    </border>
    <border>
      <left style="medium">
        <color indexed="64"/>
      </left>
      <right/>
      <top style="thin">
        <color auto="1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dotted">
        <color rgb="FFA6A6A6"/>
      </bottom>
      <diagonal/>
    </border>
    <border>
      <left style="medium">
        <color indexed="64"/>
      </left>
      <right/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 style="medium">
        <color indexed="64"/>
      </bottom>
      <diagonal/>
    </border>
    <border>
      <left/>
      <right style="medium">
        <color indexed="64"/>
      </right>
      <top style="dotted">
        <color rgb="FFA6A6A6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medium">
        <color indexed="64"/>
      </top>
      <bottom style="dotted">
        <color rgb="FFA6A6A6"/>
      </bottom>
      <diagonal/>
    </border>
    <border>
      <left/>
      <right style="medium">
        <color indexed="64"/>
      </right>
      <top style="thin">
        <color auto="1"/>
      </top>
      <bottom style="dotted">
        <color rgb="FFA6A6A6"/>
      </bottom>
      <diagonal/>
    </border>
    <border>
      <left style="thin">
        <color auto="1"/>
      </left>
      <right/>
      <top style="double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/>
      <top style="dotted">
        <color rgb="FFA6A6A6"/>
      </top>
      <bottom style="thin">
        <color indexed="64"/>
      </bottom>
      <diagonal/>
    </border>
    <border>
      <left/>
      <right style="thin">
        <color auto="1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rgb="FFA6A6A6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/>
      <top/>
      <bottom style="dotted">
        <color rgb="FFA6A6A6"/>
      </bottom>
      <diagonal/>
    </border>
    <border>
      <left style="thin">
        <color auto="1"/>
      </left>
      <right style="thin">
        <color auto="1"/>
      </right>
      <top/>
      <bottom style="dotted">
        <color rgb="FFA6A6A6"/>
      </bottom>
      <diagonal/>
    </border>
    <border>
      <left style="thin">
        <color auto="1"/>
      </left>
      <right style="medium">
        <color indexed="64"/>
      </right>
      <top/>
      <bottom style="dotted">
        <color rgb="FFA6A6A6"/>
      </bottom>
      <diagonal/>
    </border>
    <border>
      <left/>
      <right style="thin">
        <color auto="1"/>
      </right>
      <top/>
      <bottom style="dotted">
        <color rgb="FFA6A6A6"/>
      </bottom>
      <diagonal/>
    </border>
    <border>
      <left style="medium">
        <color indexed="64"/>
      </left>
      <right style="medium">
        <color indexed="64"/>
      </right>
      <top/>
      <bottom style="dotted">
        <color rgb="FFA6A6A6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/>
      <top style="medium">
        <color indexed="64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/>
      <right style="thin">
        <color auto="1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/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/>
      <right style="thin">
        <color auto="1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/>
      <right style="thin">
        <color auto="1"/>
      </right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auto="1"/>
      </top>
      <bottom style="medium">
        <color indexed="64"/>
      </bottom>
      <diagonal/>
    </border>
    <border>
      <left style="thin">
        <color auto="1"/>
      </left>
      <right/>
      <top style="dotted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/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thin">
        <color auto="1"/>
      </left>
      <right style="medium">
        <color indexed="64"/>
      </right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 style="medium">
        <color indexed="64"/>
      </left>
      <right style="medium">
        <color indexed="64"/>
      </right>
      <top/>
      <bottom style="dotted">
        <color auto="1"/>
      </bottom>
      <diagonal/>
    </border>
    <border>
      <left style="thin">
        <color auto="1"/>
      </left>
      <right/>
      <top style="dotted">
        <color rgb="FFA6A6A6"/>
      </top>
      <bottom/>
      <diagonal/>
    </border>
    <border>
      <left/>
      <right style="thin">
        <color auto="1"/>
      </right>
      <top style="dotted">
        <color rgb="FFA6A6A6"/>
      </top>
      <bottom/>
      <diagonal/>
    </border>
    <border>
      <left style="medium">
        <color indexed="64"/>
      </left>
      <right style="medium">
        <color indexed="64"/>
      </right>
      <top style="dotted">
        <color rgb="FFA6A6A6"/>
      </top>
      <bottom/>
      <diagonal/>
    </border>
  </borders>
  <cellStyleXfs count="6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7" fillId="0" borderId="0"/>
    <xf numFmtId="41" fontId="7" fillId="0" borderId="0" applyFont="0" applyFill="0" applyBorder="0" applyAlignment="0" applyProtection="0">
      <alignment vertical="center"/>
    </xf>
  </cellStyleXfs>
  <cellXfs count="417">
    <xf numFmtId="0" fontId="0" fillId="0" borderId="0" xfId="0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9" fillId="3" borderId="54" xfId="0" applyFont="1" applyFill="1" applyBorder="1" applyAlignment="1">
      <alignment horizontal="center" vertical="top"/>
    </xf>
    <xf numFmtId="0" fontId="9" fillId="3" borderId="18" xfId="0" applyFont="1" applyFill="1" applyBorder="1" applyAlignment="1">
      <alignment horizontal="center" vertical="top"/>
    </xf>
    <xf numFmtId="0" fontId="9" fillId="3" borderId="29" xfId="0" applyFont="1" applyFill="1" applyBorder="1" applyAlignment="1">
      <alignment horizontal="center" vertical="top"/>
    </xf>
    <xf numFmtId="0" fontId="9" fillId="3" borderId="12" xfId="0" applyFont="1" applyFill="1" applyBorder="1" applyAlignment="1">
      <alignment horizontal="center" vertical="top"/>
    </xf>
    <xf numFmtId="0" fontId="9" fillId="3" borderId="32" xfId="0" applyFont="1" applyFill="1" applyBorder="1" applyAlignment="1">
      <alignment horizontal="center" vertical="top"/>
    </xf>
    <xf numFmtId="0" fontId="9" fillId="3" borderId="44" xfId="0" applyFont="1" applyFill="1" applyBorder="1" applyAlignment="1">
      <alignment horizontal="center" vertical="top"/>
    </xf>
    <xf numFmtId="0" fontId="9" fillId="3" borderId="20" xfId="0" applyFont="1" applyFill="1" applyBorder="1" applyAlignment="1">
      <alignment horizontal="center" vertical="top"/>
    </xf>
    <xf numFmtId="0" fontId="9" fillId="3" borderId="65" xfId="0" applyFont="1" applyFill="1" applyBorder="1" applyAlignment="1">
      <alignment horizontal="center" vertical="top"/>
    </xf>
    <xf numFmtId="0" fontId="9" fillId="3" borderId="55" xfId="0" applyFont="1" applyFill="1" applyBorder="1" applyAlignment="1">
      <alignment horizontal="center" vertical="top"/>
    </xf>
    <xf numFmtId="0" fontId="10" fillId="4" borderId="21" xfId="0" applyFont="1" applyFill="1" applyBorder="1" applyAlignment="1">
      <alignment vertical="top" wrapText="1"/>
    </xf>
    <xf numFmtId="0" fontId="10" fillId="2" borderId="9" xfId="0" applyFont="1" applyFill="1" applyBorder="1" applyAlignment="1">
      <alignment horizontal="left" vertical="top"/>
    </xf>
    <xf numFmtId="0" fontId="11" fillId="0" borderId="7" xfId="0" applyFont="1" applyBorder="1" applyAlignment="1">
      <alignment horizontal="center" vertical="top"/>
    </xf>
    <xf numFmtId="49" fontId="12" fillId="0" borderId="9" xfId="0" applyNumberFormat="1" applyFont="1" applyBorder="1" applyAlignment="1">
      <alignment horizontal="left" vertical="top"/>
    </xf>
    <xf numFmtId="49" fontId="11" fillId="0" borderId="8" xfId="0" applyNumberFormat="1" applyFont="1" applyBorder="1" applyAlignment="1">
      <alignment horizontal="center" vertical="top"/>
    </xf>
    <xf numFmtId="49" fontId="11" fillId="0" borderId="9" xfId="0" applyNumberFormat="1" applyFont="1" applyBorder="1" applyAlignment="1">
      <alignment horizontal="center" vertical="top"/>
    </xf>
    <xf numFmtId="0" fontId="10" fillId="0" borderId="11" xfId="0" applyFont="1" applyBorder="1" applyAlignment="1">
      <alignment horizontal="left" vertical="top"/>
    </xf>
    <xf numFmtId="0" fontId="11" fillId="0" borderId="10" xfId="0" applyFont="1" applyBorder="1" applyAlignment="1">
      <alignment horizontal="center" vertical="top" wrapText="1"/>
    </xf>
    <xf numFmtId="176" fontId="11" fillId="0" borderId="9" xfId="3" applyNumberFormat="1" applyFont="1" applyBorder="1" applyAlignment="1">
      <alignment horizontal="right" vertical="top"/>
    </xf>
    <xf numFmtId="177" fontId="11" fillId="0" borderId="56" xfId="3" applyNumberFormat="1" applyFont="1" applyBorder="1" applyAlignment="1">
      <alignment horizontal="center" vertical="top"/>
    </xf>
    <xf numFmtId="177" fontId="11" fillId="0" borderId="56" xfId="3" applyNumberFormat="1" applyFont="1" applyBorder="1" applyAlignment="1">
      <alignment horizontal="center" vertical="top" wrapText="1"/>
    </xf>
    <xf numFmtId="177" fontId="11" fillId="0" borderId="7" xfId="3" applyNumberFormat="1" applyFont="1" applyBorder="1" applyAlignment="1">
      <alignment horizontal="center" vertical="top" wrapText="1"/>
    </xf>
    <xf numFmtId="177" fontId="11" fillId="0" borderId="11" xfId="3" applyNumberFormat="1" applyFont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/>
    </xf>
    <xf numFmtId="0" fontId="10" fillId="2" borderId="28" xfId="0" applyFont="1" applyFill="1" applyBorder="1" applyAlignment="1">
      <alignment horizontal="left" vertical="top"/>
    </xf>
    <xf numFmtId="0" fontId="11" fillId="0" borderId="17" xfId="0" applyFont="1" applyBorder="1" applyAlignment="1">
      <alignment horizontal="center" vertical="top"/>
    </xf>
    <xf numFmtId="49" fontId="12" fillId="0" borderId="28" xfId="0" applyNumberFormat="1" applyFont="1" applyBorder="1" applyAlignment="1">
      <alignment horizontal="left" vertical="top"/>
    </xf>
    <xf numFmtId="49" fontId="11" fillId="0" borderId="1" xfId="0" applyNumberFormat="1" applyFont="1" applyBorder="1" applyAlignment="1">
      <alignment horizontal="center" vertical="top"/>
    </xf>
    <xf numFmtId="49" fontId="11" fillId="0" borderId="28" xfId="0" applyNumberFormat="1" applyFont="1" applyBorder="1" applyAlignment="1">
      <alignment horizontal="center" vertical="top"/>
    </xf>
    <xf numFmtId="0" fontId="10" fillId="0" borderId="16" xfId="0" applyFont="1" applyBorder="1" applyAlignment="1">
      <alignment horizontal="left" vertical="top"/>
    </xf>
    <xf numFmtId="0" fontId="11" fillId="0" borderId="42" xfId="0" applyFont="1" applyBorder="1" applyAlignment="1">
      <alignment horizontal="center" vertical="top" wrapText="1"/>
    </xf>
    <xf numFmtId="176" fontId="11" fillId="0" borderId="28" xfId="3" applyNumberFormat="1" applyFont="1" applyBorder="1" applyAlignment="1">
      <alignment horizontal="right" vertical="top"/>
    </xf>
    <xf numFmtId="177" fontId="11" fillId="0" borderId="57" xfId="3" applyNumberFormat="1" applyFont="1" applyBorder="1" applyAlignment="1">
      <alignment horizontal="center" vertical="top"/>
    </xf>
    <xf numFmtId="177" fontId="11" fillId="0" borderId="57" xfId="3" applyNumberFormat="1" applyFont="1" applyBorder="1" applyAlignment="1">
      <alignment horizontal="center" vertical="top" wrapText="1"/>
    </xf>
    <xf numFmtId="177" fontId="11" fillId="0" borderId="17" xfId="3" applyNumberFormat="1" applyFont="1" applyBorder="1" applyAlignment="1">
      <alignment horizontal="center" vertical="top" wrapText="1"/>
    </xf>
    <xf numFmtId="177" fontId="11" fillId="0" borderId="16" xfId="3" applyNumberFormat="1" applyFont="1" applyBorder="1" applyAlignment="1">
      <alignment horizontal="center" vertical="top" wrapText="1"/>
    </xf>
    <xf numFmtId="0" fontId="13" fillId="4" borderId="24" xfId="0" applyFont="1" applyFill="1" applyBorder="1" applyAlignment="1">
      <alignment vertical="top"/>
    </xf>
    <xf numFmtId="0" fontId="10" fillId="2" borderId="29" xfId="0" applyFont="1" applyFill="1" applyBorder="1" applyAlignment="1">
      <alignment horizontal="left" vertical="top"/>
    </xf>
    <xf numFmtId="0" fontId="11" fillId="0" borderId="18" xfId="0" applyFont="1" applyBorder="1" applyAlignment="1">
      <alignment horizontal="center" vertical="top"/>
    </xf>
    <xf numFmtId="49" fontId="12" fillId="0" borderId="29" xfId="0" applyNumberFormat="1" applyFont="1" applyBorder="1" applyAlignment="1">
      <alignment horizontal="left" vertical="top"/>
    </xf>
    <xf numFmtId="49" fontId="11" fillId="0" borderId="19" xfId="0" applyNumberFormat="1" applyFont="1" applyBorder="1" applyAlignment="1">
      <alignment horizontal="center" vertical="top"/>
    </xf>
    <xf numFmtId="49" fontId="11" fillId="0" borderId="29" xfId="0" applyNumberFormat="1" applyFont="1" applyBorder="1" applyAlignment="1">
      <alignment horizontal="center" vertical="top"/>
    </xf>
    <xf numFmtId="0" fontId="10" fillId="0" borderId="20" xfId="0" applyFont="1" applyBorder="1" applyAlignment="1">
      <alignment horizontal="left" vertical="top"/>
    </xf>
    <xf numFmtId="0" fontId="11" fillId="0" borderId="44" xfId="0" applyFont="1" applyBorder="1" applyAlignment="1">
      <alignment horizontal="center" vertical="top" wrapText="1"/>
    </xf>
    <xf numFmtId="176" fontId="11" fillId="0" borderId="29" xfId="3" applyNumberFormat="1" applyFont="1" applyBorder="1" applyAlignment="1">
      <alignment horizontal="right" vertical="top"/>
    </xf>
    <xf numFmtId="177" fontId="11" fillId="0" borderId="58" xfId="3" applyNumberFormat="1" applyFont="1" applyBorder="1" applyAlignment="1">
      <alignment horizontal="center" vertical="top"/>
    </xf>
    <xf numFmtId="177" fontId="11" fillId="0" borderId="58" xfId="3" applyNumberFormat="1" applyFont="1" applyBorder="1" applyAlignment="1">
      <alignment horizontal="center" vertical="top" wrapText="1"/>
    </xf>
    <xf numFmtId="177" fontId="11" fillId="0" borderId="18" xfId="3" applyNumberFormat="1" applyFont="1" applyBorder="1" applyAlignment="1">
      <alignment horizontal="center" vertical="top" wrapText="1"/>
    </xf>
    <xf numFmtId="177" fontId="11" fillId="0" borderId="20" xfId="3" applyNumberFormat="1" applyFont="1" applyBorder="1" applyAlignment="1">
      <alignment horizontal="center" vertical="top" wrapText="1"/>
    </xf>
    <xf numFmtId="0" fontId="10" fillId="2" borderId="34" xfId="0" applyFont="1" applyFill="1" applyBorder="1" applyAlignment="1">
      <alignment horizontal="left" vertical="top"/>
    </xf>
    <xf numFmtId="0" fontId="11" fillId="0" borderId="31" xfId="0" applyFont="1" applyBorder="1" applyAlignment="1">
      <alignment horizontal="center" vertical="top"/>
    </xf>
    <xf numFmtId="49" fontId="12" fillId="0" borderId="30" xfId="0" applyNumberFormat="1" applyFont="1" applyBorder="1" applyAlignment="1">
      <alignment horizontal="left" vertical="top"/>
    </xf>
    <xf numFmtId="49" fontId="11" fillId="0" borderId="4" xfId="0" applyNumberFormat="1" applyFont="1" applyBorder="1" applyAlignment="1">
      <alignment horizontal="center" vertical="top"/>
    </xf>
    <xf numFmtId="49" fontId="11" fillId="0" borderId="30" xfId="0" applyNumberFormat="1" applyFont="1" applyBorder="1" applyAlignment="1">
      <alignment horizontal="center" vertical="top"/>
    </xf>
    <xf numFmtId="0" fontId="10" fillId="0" borderId="13" xfId="0" applyFont="1" applyBorder="1" applyAlignment="1">
      <alignment horizontal="left" vertical="top"/>
    </xf>
    <xf numFmtId="0" fontId="11" fillId="0" borderId="51" xfId="0" applyFont="1" applyBorder="1" applyAlignment="1">
      <alignment horizontal="center" vertical="top" wrapText="1"/>
    </xf>
    <xf numFmtId="176" fontId="11" fillId="0" borderId="30" xfId="3" applyNumberFormat="1" applyFont="1" applyBorder="1" applyAlignment="1">
      <alignment horizontal="right" vertical="top"/>
    </xf>
    <xf numFmtId="177" fontId="11" fillId="0" borderId="59" xfId="3" applyNumberFormat="1" applyFont="1" applyBorder="1" applyAlignment="1">
      <alignment horizontal="center" vertical="top"/>
    </xf>
    <xf numFmtId="177" fontId="11" fillId="0" borderId="59" xfId="3" applyNumberFormat="1" applyFont="1" applyBorder="1" applyAlignment="1">
      <alignment horizontal="center" vertical="top" wrapText="1"/>
    </xf>
    <xf numFmtId="177" fontId="11" fillId="0" borderId="31" xfId="3" applyNumberFormat="1" applyFont="1" applyBorder="1" applyAlignment="1">
      <alignment horizontal="center" vertical="top" wrapText="1"/>
    </xf>
    <xf numFmtId="177" fontId="11" fillId="0" borderId="13" xfId="3" applyNumberFormat="1" applyFont="1" applyBorder="1" applyAlignment="1">
      <alignment horizontal="center" vertical="top" wrapText="1"/>
    </xf>
    <xf numFmtId="0" fontId="11" fillId="0" borderId="12" xfId="0" applyFont="1" applyBorder="1" applyAlignment="1">
      <alignment horizontal="center" vertical="top"/>
    </xf>
    <xf numFmtId="0" fontId="13" fillId="4" borderId="61" xfId="0" applyFont="1" applyFill="1" applyBorder="1" applyAlignment="1">
      <alignment vertical="top"/>
    </xf>
    <xf numFmtId="0" fontId="10" fillId="2" borderId="50" xfId="0" applyFont="1" applyFill="1" applyBorder="1" applyAlignment="1">
      <alignment horizontal="left" vertical="top"/>
    </xf>
    <xf numFmtId="49" fontId="12" fillId="0" borderId="34" xfId="0" applyNumberFormat="1" applyFont="1" applyBorder="1" applyAlignment="1">
      <alignment horizontal="left" vertical="top"/>
    </xf>
    <xf numFmtId="49" fontId="11" fillId="0" borderId="2" xfId="0" applyNumberFormat="1" applyFont="1" applyBorder="1" applyAlignment="1">
      <alignment horizontal="center" vertical="top"/>
    </xf>
    <xf numFmtId="49" fontId="11" fillId="0" borderId="34" xfId="0" applyNumberFormat="1" applyFont="1" applyBorder="1" applyAlignment="1">
      <alignment horizontal="center" vertical="top"/>
    </xf>
    <xf numFmtId="0" fontId="10" fillId="0" borderId="32" xfId="0" applyFont="1" applyBorder="1" applyAlignment="1">
      <alignment horizontal="left" vertical="top"/>
    </xf>
    <xf numFmtId="0" fontId="11" fillId="0" borderId="33" xfId="0" applyFont="1" applyBorder="1" applyAlignment="1">
      <alignment horizontal="center" vertical="top" wrapText="1"/>
    </xf>
    <xf numFmtId="176" fontId="11" fillId="0" borderId="34" xfId="3" applyNumberFormat="1" applyFont="1" applyBorder="1" applyAlignment="1">
      <alignment horizontal="right" vertical="top"/>
    </xf>
    <xf numFmtId="177" fontId="11" fillId="0" borderId="69" xfId="3" applyNumberFormat="1" applyFont="1" applyBorder="1" applyAlignment="1">
      <alignment horizontal="center" vertical="top"/>
    </xf>
    <xf numFmtId="177" fontId="11" fillId="0" borderId="69" xfId="3" applyNumberFormat="1" applyFont="1" applyBorder="1" applyAlignment="1">
      <alignment horizontal="center" vertical="top" wrapText="1"/>
    </xf>
    <xf numFmtId="177" fontId="11" fillId="0" borderId="12" xfId="3" applyNumberFormat="1" applyFont="1" applyBorder="1" applyAlignment="1">
      <alignment horizontal="center" vertical="top" wrapText="1"/>
    </xf>
    <xf numFmtId="177" fontId="11" fillId="0" borderId="32" xfId="3" applyNumberFormat="1" applyFont="1" applyBorder="1" applyAlignment="1">
      <alignment horizontal="center" vertical="top" wrapText="1"/>
    </xf>
    <xf numFmtId="0" fontId="10" fillId="4" borderId="63" xfId="0" applyFont="1" applyFill="1" applyBorder="1" applyAlignment="1">
      <alignment vertical="top" wrapText="1"/>
    </xf>
    <xf numFmtId="0" fontId="10" fillId="2" borderId="118" xfId="0" applyFont="1" applyFill="1" applyBorder="1" applyAlignment="1">
      <alignment horizontal="left" vertical="top"/>
    </xf>
    <xf numFmtId="0" fontId="11" fillId="0" borderId="120" xfId="0" applyFont="1" applyBorder="1" applyAlignment="1">
      <alignment horizontal="center" vertical="top"/>
    </xf>
    <xf numFmtId="49" fontId="12" fillId="0" borderId="118" xfId="0" applyNumberFormat="1" applyFont="1" applyBorder="1" applyAlignment="1">
      <alignment horizontal="left" vertical="top"/>
    </xf>
    <xf numFmtId="49" fontId="11" fillId="0" borderId="121" xfId="0" applyNumberFormat="1" applyFont="1" applyBorder="1" applyAlignment="1">
      <alignment horizontal="center" vertical="top"/>
    </xf>
    <xf numFmtId="49" fontId="11" fillId="0" borderId="118" xfId="0" applyNumberFormat="1" applyFont="1" applyBorder="1" applyAlignment="1">
      <alignment horizontal="center" vertical="top"/>
    </xf>
    <xf numFmtId="0" fontId="10" fillId="0" borderId="119" xfId="0" applyFont="1" applyBorder="1" applyAlignment="1">
      <alignment horizontal="left" vertical="top"/>
    </xf>
    <xf numFmtId="0" fontId="11" fillId="0" borderId="122" xfId="0" applyFont="1" applyBorder="1" applyAlignment="1">
      <alignment horizontal="center" vertical="top" wrapText="1"/>
    </xf>
    <xf numFmtId="176" fontId="11" fillId="0" borderId="118" xfId="3" applyNumberFormat="1" applyFont="1" applyFill="1" applyBorder="1" applyAlignment="1">
      <alignment horizontal="right" vertical="top"/>
    </xf>
    <xf numFmtId="177" fontId="11" fillId="0" borderId="123" xfId="3" applyNumberFormat="1" applyFont="1" applyFill="1" applyBorder="1" applyAlignment="1">
      <alignment horizontal="center" vertical="top"/>
    </xf>
    <xf numFmtId="177" fontId="11" fillId="0" borderId="123" xfId="3" applyNumberFormat="1" applyFont="1" applyFill="1" applyBorder="1" applyAlignment="1">
      <alignment horizontal="center" vertical="top" wrapText="1"/>
    </xf>
    <xf numFmtId="177" fontId="11" fillId="0" borderId="120" xfId="3" applyNumberFormat="1" applyFont="1" applyFill="1" applyBorder="1" applyAlignment="1">
      <alignment horizontal="center" vertical="top" wrapText="1"/>
    </xf>
    <xf numFmtId="177" fontId="11" fillId="0" borderId="119" xfId="3" applyNumberFormat="1" applyFont="1" applyFill="1" applyBorder="1" applyAlignment="1">
      <alignment horizontal="center" vertical="top" wrapText="1"/>
    </xf>
    <xf numFmtId="0" fontId="10" fillId="2" borderId="34" xfId="0" applyFont="1" applyFill="1" applyBorder="1" applyAlignment="1">
      <alignment vertical="top"/>
    </xf>
    <xf numFmtId="0" fontId="11" fillId="0" borderId="71" xfId="0" applyFont="1" applyBorder="1" applyAlignment="1">
      <alignment horizontal="center" vertical="top"/>
    </xf>
    <xf numFmtId="49" fontId="12" fillId="0" borderId="73" xfId="0" applyNumberFormat="1" applyFont="1" applyBorder="1" applyAlignment="1">
      <alignment horizontal="left" vertical="top"/>
    </xf>
    <xf numFmtId="49" fontId="11" fillId="0" borderId="72" xfId="0" applyNumberFormat="1" applyFont="1" applyBorder="1" applyAlignment="1">
      <alignment horizontal="center" vertical="top"/>
    </xf>
    <xf numFmtId="49" fontId="11" fillId="0" borderId="73" xfId="0" applyNumberFormat="1" applyFont="1" applyBorder="1" applyAlignment="1">
      <alignment horizontal="center" vertical="top"/>
    </xf>
    <xf numFmtId="0" fontId="10" fillId="0" borderId="74" xfId="0" applyFont="1" applyBorder="1" applyAlignment="1">
      <alignment horizontal="left" vertical="top"/>
    </xf>
    <xf numFmtId="0" fontId="11" fillId="0" borderId="75" xfId="0" applyFont="1" applyBorder="1" applyAlignment="1">
      <alignment horizontal="center" vertical="top" wrapText="1"/>
    </xf>
    <xf numFmtId="176" fontId="11" fillId="0" borderId="73" xfId="3" applyNumberFormat="1" applyFont="1" applyFill="1" applyBorder="1" applyAlignment="1">
      <alignment horizontal="right" vertical="top"/>
    </xf>
    <xf numFmtId="177" fontId="11" fillId="0" borderId="76" xfId="3" applyNumberFormat="1" applyFont="1" applyFill="1" applyBorder="1" applyAlignment="1">
      <alignment horizontal="center" vertical="top"/>
    </xf>
    <xf numFmtId="177" fontId="11" fillId="0" borderId="76" xfId="3" applyNumberFormat="1" applyFont="1" applyFill="1" applyBorder="1" applyAlignment="1">
      <alignment horizontal="center" vertical="top" wrapText="1"/>
    </xf>
    <xf numFmtId="177" fontId="11" fillId="0" borderId="71" xfId="3" applyNumberFormat="1" applyFont="1" applyFill="1" applyBorder="1" applyAlignment="1">
      <alignment horizontal="center" vertical="top" wrapText="1"/>
    </xf>
    <xf numFmtId="177" fontId="11" fillId="0" borderId="74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vertical="top"/>
    </xf>
    <xf numFmtId="0" fontId="11" fillId="0" borderId="77" xfId="0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left" vertical="top"/>
    </xf>
    <xf numFmtId="49" fontId="11" fillId="0" borderId="78" xfId="0" applyNumberFormat="1" applyFont="1" applyBorder="1" applyAlignment="1">
      <alignment horizontal="center" vertical="top"/>
    </xf>
    <xf numFmtId="49" fontId="11" fillId="0" borderId="79" xfId="0" applyNumberFormat="1" applyFont="1" applyBorder="1" applyAlignment="1">
      <alignment horizontal="center" vertical="top"/>
    </xf>
    <xf numFmtId="0" fontId="5" fillId="0" borderId="80" xfId="0" applyFont="1" applyBorder="1" applyAlignment="1">
      <alignment horizontal="left" vertical="top"/>
    </xf>
    <xf numFmtId="0" fontId="11" fillId="0" borderId="81" xfId="0" applyFont="1" applyBorder="1" applyAlignment="1">
      <alignment horizontal="center" vertical="top" wrapText="1"/>
    </xf>
    <xf numFmtId="176" fontId="11" fillId="0" borderId="79" xfId="3" applyNumberFormat="1" applyFont="1" applyFill="1" applyBorder="1" applyAlignment="1">
      <alignment horizontal="right" vertical="top"/>
    </xf>
    <xf numFmtId="177" fontId="11" fillId="0" borderId="82" xfId="3" applyNumberFormat="1" applyFont="1" applyFill="1" applyBorder="1" applyAlignment="1">
      <alignment horizontal="center" vertical="top"/>
    </xf>
    <xf numFmtId="177" fontId="11" fillId="0" borderId="82" xfId="3" applyNumberFormat="1" applyFont="1" applyFill="1" applyBorder="1" applyAlignment="1">
      <alignment horizontal="center" vertical="top" wrapText="1"/>
    </xf>
    <xf numFmtId="177" fontId="11" fillId="0" borderId="77" xfId="3" applyNumberFormat="1" applyFont="1" applyFill="1" applyBorder="1" applyAlignment="1">
      <alignment horizontal="center" vertical="top" wrapText="1"/>
    </xf>
    <xf numFmtId="177" fontId="11" fillId="0" borderId="80" xfId="3" applyNumberFormat="1" applyFont="1" applyFill="1" applyBorder="1" applyAlignment="1">
      <alignment horizontal="center" vertical="top" wrapText="1"/>
    </xf>
    <xf numFmtId="0" fontId="14" fillId="2" borderId="37" xfId="0" applyFont="1" applyFill="1" applyBorder="1" applyAlignment="1">
      <alignment vertical="top"/>
    </xf>
    <xf numFmtId="0" fontId="11" fillId="0" borderId="101" xfId="0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left" vertical="top"/>
    </xf>
    <xf numFmtId="49" fontId="11" fillId="0" borderId="102" xfId="0" applyNumberFormat="1" applyFont="1" applyBorder="1" applyAlignment="1">
      <alignment horizontal="center" vertical="top"/>
    </xf>
    <xf numFmtId="49" fontId="11" fillId="0" borderId="124" xfId="0" applyNumberFormat="1" applyFont="1" applyBorder="1" applyAlignment="1">
      <alignment horizontal="center" vertical="top"/>
    </xf>
    <xf numFmtId="0" fontId="5" fillId="0" borderId="103" xfId="0" applyFont="1" applyBorder="1" applyAlignment="1">
      <alignment horizontal="left" vertical="top"/>
    </xf>
    <xf numFmtId="0" fontId="11" fillId="0" borderId="125" xfId="0" applyFont="1" applyBorder="1" applyAlignment="1">
      <alignment horizontal="center" vertical="top" wrapText="1"/>
    </xf>
    <xf numFmtId="176" fontId="11" fillId="0" borderId="124" xfId="3" applyNumberFormat="1" applyFont="1" applyFill="1" applyBorder="1" applyAlignment="1">
      <alignment horizontal="right" vertical="top"/>
    </xf>
    <xf numFmtId="177" fontId="11" fillId="0" borderId="126" xfId="3" applyNumberFormat="1" applyFont="1" applyFill="1" applyBorder="1" applyAlignment="1">
      <alignment horizontal="center" vertical="top"/>
    </xf>
    <xf numFmtId="177" fontId="11" fillId="0" borderId="126" xfId="3" applyNumberFormat="1" applyFont="1" applyFill="1" applyBorder="1" applyAlignment="1">
      <alignment horizontal="center" vertical="top" wrapText="1"/>
    </xf>
    <xf numFmtId="177" fontId="11" fillId="0" borderId="101" xfId="3" applyNumberFormat="1" applyFont="1" applyFill="1" applyBorder="1" applyAlignment="1">
      <alignment horizontal="center" vertical="top" wrapText="1"/>
    </xf>
    <xf numFmtId="177" fontId="11" fillId="0" borderId="103" xfId="3" applyNumberFormat="1" applyFont="1" applyFill="1" applyBorder="1" applyAlignment="1">
      <alignment horizontal="center" vertical="top" wrapText="1"/>
    </xf>
    <xf numFmtId="0" fontId="14" fillId="2" borderId="39" xfId="0" applyFont="1" applyFill="1" applyBorder="1" applyAlignment="1">
      <alignment vertical="top"/>
    </xf>
    <xf numFmtId="0" fontId="11" fillId="0" borderId="86" xfId="0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left" vertical="top"/>
    </xf>
    <xf numFmtId="49" fontId="11" fillId="0" borderId="87" xfId="0" applyNumberFormat="1" applyFont="1" applyBorder="1" applyAlignment="1">
      <alignment horizontal="center" vertical="top"/>
    </xf>
    <xf numFmtId="49" fontId="11" fillId="0" borderId="88" xfId="0" applyNumberFormat="1" applyFont="1" applyBorder="1" applyAlignment="1">
      <alignment horizontal="center" vertical="top"/>
    </xf>
    <xf numFmtId="0" fontId="5" fillId="0" borderId="89" xfId="0" applyFont="1" applyBorder="1" applyAlignment="1">
      <alignment horizontal="left" vertical="top"/>
    </xf>
    <xf numFmtId="0" fontId="11" fillId="0" borderId="90" xfId="0" applyFont="1" applyBorder="1" applyAlignment="1">
      <alignment horizontal="center" vertical="top" wrapText="1"/>
    </xf>
    <xf numFmtId="176" fontId="11" fillId="0" borderId="88" xfId="3" applyNumberFormat="1" applyFont="1" applyFill="1" applyBorder="1" applyAlignment="1">
      <alignment horizontal="right" vertical="top"/>
    </xf>
    <xf numFmtId="177" fontId="11" fillId="0" borderId="91" xfId="3" applyNumberFormat="1" applyFont="1" applyFill="1" applyBorder="1" applyAlignment="1">
      <alignment horizontal="center" vertical="top"/>
    </xf>
    <xf numFmtId="177" fontId="11" fillId="0" borderId="91" xfId="3" applyNumberFormat="1" applyFont="1" applyFill="1" applyBorder="1" applyAlignment="1">
      <alignment horizontal="center" vertical="top" wrapText="1"/>
    </xf>
    <xf numFmtId="177" fontId="11" fillId="0" borderId="86" xfId="3" applyNumberFormat="1" applyFont="1" applyFill="1" applyBorder="1" applyAlignment="1">
      <alignment horizontal="center" vertical="top" wrapText="1"/>
    </xf>
    <xf numFmtId="177" fontId="11" fillId="0" borderId="89" xfId="3" applyNumberFormat="1" applyFont="1" applyFill="1" applyBorder="1" applyAlignment="1">
      <alignment horizontal="center" vertical="top" wrapText="1"/>
    </xf>
    <xf numFmtId="0" fontId="10" fillId="2" borderId="68" xfId="0" applyFont="1" applyFill="1" applyBorder="1" applyAlignment="1">
      <alignment vertical="top"/>
    </xf>
    <xf numFmtId="0" fontId="11" fillId="0" borderId="92" xfId="0" applyFont="1" applyBorder="1" applyAlignment="1">
      <alignment horizontal="center" vertical="top"/>
    </xf>
    <xf numFmtId="49" fontId="12" fillId="0" borderId="94" xfId="0" applyNumberFormat="1" applyFont="1" applyBorder="1" applyAlignment="1">
      <alignment horizontal="left" vertical="top"/>
    </xf>
    <xf numFmtId="49" fontId="11" fillId="0" borderId="93" xfId="0" applyNumberFormat="1" applyFont="1" applyBorder="1" applyAlignment="1">
      <alignment horizontal="center" vertical="top"/>
    </xf>
    <xf numFmtId="49" fontId="11" fillId="0" borderId="94" xfId="0" applyNumberFormat="1" applyFont="1" applyBorder="1" applyAlignment="1">
      <alignment horizontal="center" vertical="top"/>
    </xf>
    <xf numFmtId="0" fontId="10" fillId="0" borderId="95" xfId="0" applyFont="1" applyBorder="1" applyAlignment="1">
      <alignment horizontal="left" vertical="top"/>
    </xf>
    <xf numFmtId="0" fontId="11" fillId="0" borderId="96" xfId="0" applyFont="1" applyBorder="1" applyAlignment="1">
      <alignment horizontal="center" vertical="top" wrapText="1"/>
    </xf>
    <xf numFmtId="176" fontId="11" fillId="0" borderId="94" xfId="3" applyNumberFormat="1" applyFont="1" applyFill="1" applyBorder="1" applyAlignment="1">
      <alignment horizontal="right" vertical="top"/>
    </xf>
    <xf numFmtId="177" fontId="11" fillId="0" borderId="97" xfId="3" applyNumberFormat="1" applyFont="1" applyFill="1" applyBorder="1" applyAlignment="1">
      <alignment horizontal="center" vertical="top"/>
    </xf>
    <xf numFmtId="177" fontId="11" fillId="0" borderId="97" xfId="3" applyNumberFormat="1" applyFont="1" applyFill="1" applyBorder="1" applyAlignment="1">
      <alignment horizontal="center" vertical="top" wrapText="1"/>
    </xf>
    <xf numFmtId="177" fontId="11" fillId="0" borderId="92" xfId="3" applyNumberFormat="1" applyFont="1" applyFill="1" applyBorder="1" applyAlignment="1">
      <alignment horizontal="center" vertical="top" wrapText="1"/>
    </xf>
    <xf numFmtId="177" fontId="11" fillId="0" borderId="95" xfId="3" applyNumberFormat="1" applyFont="1" applyFill="1" applyBorder="1" applyAlignment="1">
      <alignment horizontal="center" vertical="top" wrapText="1"/>
    </xf>
    <xf numFmtId="0" fontId="13" fillId="4" borderId="14" xfId="0" applyFont="1" applyFill="1" applyBorder="1" applyAlignment="1">
      <alignment vertical="top" wrapText="1"/>
    </xf>
    <xf numFmtId="0" fontId="13" fillId="4" borderId="24" xfId="0" applyFont="1" applyFill="1" applyBorder="1" applyAlignment="1">
      <alignment vertical="top" wrapText="1"/>
    </xf>
    <xf numFmtId="176" fontId="11" fillId="0" borderId="9" xfId="3" applyNumberFormat="1" applyFont="1" applyFill="1" applyBorder="1" applyAlignment="1">
      <alignment horizontal="right" vertical="top"/>
    </xf>
    <xf numFmtId="177" fontId="11" fillId="0" borderId="56" xfId="3" applyNumberFormat="1" applyFont="1" applyFill="1" applyBorder="1" applyAlignment="1">
      <alignment horizontal="center" vertical="top"/>
    </xf>
    <xf numFmtId="177" fontId="11" fillId="0" borderId="56" xfId="3" applyNumberFormat="1" applyFont="1" applyFill="1" applyBorder="1" applyAlignment="1">
      <alignment horizontal="center" vertical="top" wrapText="1"/>
    </xf>
    <xf numFmtId="177" fontId="11" fillId="0" borderId="7" xfId="3" applyNumberFormat="1" applyFont="1" applyFill="1" applyBorder="1" applyAlignment="1">
      <alignment horizontal="center" vertical="top" wrapText="1"/>
    </xf>
    <xf numFmtId="177" fontId="11" fillId="0" borderId="11" xfId="3" applyNumberFormat="1" applyFont="1" applyFill="1" applyBorder="1" applyAlignment="1">
      <alignment horizontal="center" vertical="top" wrapText="1"/>
    </xf>
    <xf numFmtId="176" fontId="11" fillId="0" borderId="28" xfId="3" applyNumberFormat="1" applyFont="1" applyFill="1" applyBorder="1" applyAlignment="1">
      <alignment horizontal="right" vertical="top"/>
    </xf>
    <xf numFmtId="177" fontId="11" fillId="0" borderId="57" xfId="3" applyNumberFormat="1" applyFont="1" applyFill="1" applyBorder="1" applyAlignment="1">
      <alignment horizontal="center" vertical="top"/>
    </xf>
    <xf numFmtId="177" fontId="11" fillId="0" borderId="57" xfId="3" applyNumberFormat="1" applyFont="1" applyFill="1" applyBorder="1" applyAlignment="1">
      <alignment horizontal="center" vertical="top" wrapText="1"/>
    </xf>
    <xf numFmtId="177" fontId="11" fillId="0" borderId="17" xfId="3" applyNumberFormat="1" applyFont="1" applyFill="1" applyBorder="1" applyAlignment="1">
      <alignment horizontal="center" vertical="top" wrapText="1"/>
    </xf>
    <xf numFmtId="177" fontId="11" fillId="0" borderId="16" xfId="3" applyNumberFormat="1" applyFont="1" applyFill="1" applyBorder="1" applyAlignment="1">
      <alignment horizontal="center" vertical="top" wrapText="1"/>
    </xf>
    <xf numFmtId="0" fontId="14" fillId="2" borderId="36" xfId="0" applyFont="1" applyFill="1" applyBorder="1" applyAlignment="1">
      <alignment horizontal="left" vertical="top"/>
    </xf>
    <xf numFmtId="0" fontId="14" fillId="2" borderId="37" xfId="0" applyFont="1" applyFill="1" applyBorder="1" applyAlignment="1">
      <alignment horizontal="left" vertical="top"/>
    </xf>
    <xf numFmtId="0" fontId="10" fillId="4" borderId="45" xfId="0" applyFont="1" applyFill="1" applyBorder="1" applyAlignment="1">
      <alignment vertical="top" wrapText="1"/>
    </xf>
    <xf numFmtId="0" fontId="13" fillId="4" borderId="66" xfId="0" applyFont="1" applyFill="1" applyBorder="1" applyAlignment="1">
      <alignment vertical="top" wrapText="1"/>
    </xf>
    <xf numFmtId="49" fontId="12" fillId="0" borderId="98" xfId="0" applyNumberFormat="1" applyFont="1" applyBorder="1" applyAlignment="1">
      <alignment horizontal="left" vertical="top"/>
    </xf>
    <xf numFmtId="0" fontId="10" fillId="0" borderId="98" xfId="0" applyFont="1" applyBorder="1" applyAlignment="1">
      <alignment horizontal="left" vertical="top"/>
    </xf>
    <xf numFmtId="0" fontId="11" fillId="0" borderId="71" xfId="0" applyFont="1" applyBorder="1" applyAlignment="1">
      <alignment horizontal="center" vertical="top" wrapText="1"/>
    </xf>
    <xf numFmtId="49" fontId="11" fillId="0" borderId="99" xfId="0" applyNumberFormat="1" applyFont="1" applyBorder="1" applyAlignment="1">
      <alignment horizontal="left" vertical="top"/>
    </xf>
    <xf numFmtId="0" fontId="5" fillId="0" borderId="99" xfId="0" applyFont="1" applyBorder="1" applyAlignment="1">
      <alignment horizontal="left" vertical="top"/>
    </xf>
    <xf numFmtId="0" fontId="11" fillId="0" borderId="77" xfId="0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 wrapText="1"/>
    </xf>
    <xf numFmtId="49" fontId="11" fillId="0" borderId="100" xfId="0" applyNumberFormat="1" applyFont="1" applyBorder="1" applyAlignment="1">
      <alignment horizontal="left" vertical="top"/>
    </xf>
    <xf numFmtId="0" fontId="11" fillId="0" borderId="86" xfId="0" applyFont="1" applyBorder="1" applyAlignment="1">
      <alignment horizontal="center" vertical="top" wrapText="1"/>
    </xf>
    <xf numFmtId="0" fontId="10" fillId="4" borderId="21" xfId="0" applyFont="1" applyFill="1" applyBorder="1" applyAlignment="1">
      <alignment vertical="top"/>
    </xf>
    <xf numFmtId="0" fontId="10" fillId="0" borderId="92" xfId="0" applyFont="1" applyBorder="1" applyAlignment="1">
      <alignment horizontal="left" vertical="top"/>
    </xf>
    <xf numFmtId="0" fontId="5" fillId="0" borderId="93" xfId="0" applyFont="1" applyBorder="1" applyAlignment="1">
      <alignment horizontal="center" vertical="top" wrapText="1"/>
    </xf>
    <xf numFmtId="0" fontId="5" fillId="0" borderId="95" xfId="0" applyFont="1" applyBorder="1" applyAlignment="1">
      <alignment horizontal="left" vertical="top"/>
    </xf>
    <xf numFmtId="0" fontId="10" fillId="0" borderId="77" xfId="0" applyFont="1" applyBorder="1" applyAlignment="1">
      <alignment horizontal="left" vertical="top"/>
    </xf>
    <xf numFmtId="0" fontId="5" fillId="0" borderId="78" xfId="0" applyFont="1" applyBorder="1" applyAlignment="1">
      <alignment horizontal="center" vertical="top" wrapText="1"/>
    </xf>
    <xf numFmtId="0" fontId="10" fillId="0" borderId="83" xfId="0" applyFont="1" applyBorder="1" applyAlignment="1">
      <alignment horizontal="left" vertical="top"/>
    </xf>
    <xf numFmtId="0" fontId="5" fillId="0" borderId="84" xfId="0" applyFont="1" applyBorder="1" applyAlignment="1">
      <alignment horizontal="center" vertical="top" wrapText="1"/>
    </xf>
    <xf numFmtId="0" fontId="5" fillId="0" borderId="85" xfId="0" applyFont="1" applyBorder="1" applyAlignment="1">
      <alignment horizontal="left" vertical="top"/>
    </xf>
    <xf numFmtId="0" fontId="10" fillId="0" borderId="71" xfId="0" applyFont="1" applyBorder="1" applyAlignment="1">
      <alignment horizontal="left" vertical="top"/>
    </xf>
    <xf numFmtId="0" fontId="5" fillId="0" borderId="72" xfId="0" applyFont="1" applyBorder="1" applyAlignment="1">
      <alignment horizontal="center" vertical="top" wrapText="1"/>
    </xf>
    <xf numFmtId="0" fontId="5" fillId="0" borderId="74" xfId="0" applyFont="1" applyBorder="1" applyAlignment="1">
      <alignment horizontal="left" vertical="top"/>
    </xf>
    <xf numFmtId="0" fontId="10" fillId="0" borderId="101" xfId="0" applyFont="1" applyBorder="1" applyAlignment="1">
      <alignment horizontal="left" vertical="top"/>
    </xf>
    <xf numFmtId="0" fontId="5" fillId="0" borderId="102" xfId="0" applyFont="1" applyBorder="1" applyAlignment="1">
      <alignment horizontal="center" vertical="top" wrapText="1"/>
    </xf>
    <xf numFmtId="0" fontId="10" fillId="2" borderId="16" xfId="0" applyFont="1" applyFill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 wrapText="1"/>
    </xf>
    <xf numFmtId="0" fontId="5" fillId="0" borderId="27" xfId="0" applyFont="1" applyBorder="1" applyAlignment="1">
      <alignment horizontal="left" vertical="top"/>
    </xf>
    <xf numFmtId="0" fontId="10" fillId="2" borderId="32" xfId="0" applyFont="1" applyFill="1" applyBorder="1" applyAlignment="1">
      <alignment horizontal="left" vertical="top"/>
    </xf>
    <xf numFmtId="0" fontId="10" fillId="0" borderId="14" xfId="0" applyFont="1" applyBorder="1" applyAlignment="1">
      <alignment horizontal="left" vertical="top"/>
    </xf>
    <xf numFmtId="0" fontId="14" fillId="2" borderId="105" xfId="0" applyFont="1" applyFill="1" applyBorder="1" applyAlignment="1">
      <alignment vertical="top"/>
    </xf>
    <xf numFmtId="0" fontId="10" fillId="4" borderId="63" xfId="0" applyFont="1" applyFill="1" applyBorder="1" applyAlignment="1">
      <alignment vertical="top"/>
    </xf>
    <xf numFmtId="0" fontId="10" fillId="2" borderId="70" xfId="0" applyFont="1" applyFill="1" applyBorder="1" applyAlignment="1">
      <alignment vertical="top"/>
    </xf>
    <xf numFmtId="0" fontId="10" fillId="0" borderId="106" xfId="0" applyFont="1" applyBorder="1" applyAlignment="1">
      <alignment horizontal="left" vertical="top"/>
    </xf>
    <xf numFmtId="0" fontId="5" fillId="0" borderId="107" xfId="0" applyFont="1" applyBorder="1" applyAlignment="1">
      <alignment horizontal="center" vertical="top" wrapText="1"/>
    </xf>
    <xf numFmtId="0" fontId="5" fillId="0" borderId="108" xfId="0" applyFont="1" applyBorder="1" applyAlignment="1">
      <alignment horizontal="left" vertical="top"/>
    </xf>
    <xf numFmtId="0" fontId="5" fillId="0" borderId="104" xfId="0" applyFont="1" applyBorder="1" applyAlignment="1">
      <alignment horizontal="left" vertical="top"/>
    </xf>
    <xf numFmtId="0" fontId="12" fillId="2" borderId="34" xfId="0" applyFont="1" applyFill="1" applyBorder="1" applyAlignment="1">
      <alignment vertical="top"/>
    </xf>
    <xf numFmtId="0" fontId="10" fillId="2" borderId="20" xfId="0" applyFont="1" applyFill="1" applyBorder="1" applyAlignment="1">
      <alignment horizontal="left" vertical="top"/>
    </xf>
    <xf numFmtId="0" fontId="10" fillId="0" borderId="64" xfId="0" applyFont="1" applyBorder="1" applyAlignment="1">
      <alignment horizontal="left" vertical="top"/>
    </xf>
    <xf numFmtId="0" fontId="5" fillId="0" borderId="5" xfId="0" applyFont="1" applyBorder="1" applyAlignment="1">
      <alignment horizontal="center" vertical="top" wrapText="1"/>
    </xf>
    <xf numFmtId="0" fontId="5" fillId="0" borderId="15" xfId="0" applyFont="1" applyBorder="1" applyAlignment="1">
      <alignment horizontal="left" vertical="top"/>
    </xf>
    <xf numFmtId="0" fontId="10" fillId="0" borderId="12" xfId="0" applyFont="1" applyBorder="1" applyAlignment="1">
      <alignment horizontal="left" vertical="top"/>
    </xf>
    <xf numFmtId="0" fontId="5" fillId="0" borderId="2" xfId="0" applyFont="1" applyBorder="1" applyAlignment="1">
      <alignment horizontal="center" vertical="top" wrapText="1"/>
    </xf>
    <xf numFmtId="0" fontId="5" fillId="0" borderId="32" xfId="0" applyFont="1" applyBorder="1" applyAlignment="1">
      <alignment horizontal="left" vertical="top"/>
    </xf>
    <xf numFmtId="0" fontId="10" fillId="0" borderId="109" xfId="0" applyFont="1" applyBorder="1" applyAlignment="1">
      <alignment horizontal="left" vertical="top"/>
    </xf>
    <xf numFmtId="0" fontId="10" fillId="0" borderId="110" xfId="0" applyFont="1" applyBorder="1" applyAlignment="1">
      <alignment horizontal="left" vertical="top"/>
    </xf>
    <xf numFmtId="0" fontId="10" fillId="0" borderId="111" xfId="0" applyFont="1" applyBorder="1" applyAlignment="1">
      <alignment horizontal="left" vertical="top"/>
    </xf>
    <xf numFmtId="0" fontId="5" fillId="0" borderId="114" xfId="0" applyFont="1" applyBorder="1" applyAlignment="1">
      <alignment horizontal="left" vertical="top"/>
    </xf>
    <xf numFmtId="0" fontId="10" fillId="0" borderId="115" xfId="0" applyFont="1" applyBorder="1" applyAlignment="1">
      <alignment horizontal="left" vertical="top"/>
    </xf>
    <xf numFmtId="0" fontId="5" fillId="0" borderId="116" xfId="0" applyFont="1" applyBorder="1" applyAlignment="1">
      <alignment horizontal="left" vertical="top"/>
    </xf>
    <xf numFmtId="0" fontId="5" fillId="0" borderId="117" xfId="0" applyFont="1" applyBorder="1" applyAlignment="1">
      <alignment horizontal="left" vertical="top"/>
    </xf>
    <xf numFmtId="0" fontId="10" fillId="0" borderId="112" xfId="0" applyFont="1" applyBorder="1" applyAlignment="1">
      <alignment horizontal="left" vertical="top"/>
    </xf>
    <xf numFmtId="0" fontId="5" fillId="0" borderId="87" xfId="0" applyFont="1" applyBorder="1" applyAlignment="1">
      <alignment horizontal="center" vertical="top" wrapText="1"/>
    </xf>
    <xf numFmtId="0" fontId="5" fillId="0" borderId="113" xfId="0" applyFont="1" applyBorder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9" fillId="3" borderId="23" xfId="0" applyFont="1" applyFill="1" applyBorder="1" applyAlignment="1">
      <alignment horizontal="left" vertical="top" wrapText="1"/>
    </xf>
    <xf numFmtId="0" fontId="5" fillId="0" borderId="0" xfId="0" applyFont="1" applyAlignment="1">
      <alignment vertical="top" wrapText="1"/>
    </xf>
    <xf numFmtId="0" fontId="9" fillId="3" borderId="45" xfId="0" applyFont="1" applyFill="1" applyBorder="1" applyAlignment="1">
      <alignment horizontal="center" vertical="top"/>
    </xf>
    <xf numFmtId="0" fontId="5" fillId="2" borderId="8" xfId="0" applyFont="1" applyFill="1" applyBorder="1" applyAlignment="1">
      <alignment horizontal="center" vertical="top"/>
    </xf>
    <xf numFmtId="0" fontId="5" fillId="2" borderId="19" xfId="0" applyFont="1" applyFill="1" applyBorder="1" applyAlignment="1">
      <alignment horizontal="center" vertical="top"/>
    </xf>
    <xf numFmtId="0" fontId="5" fillId="2" borderId="1" xfId="0" applyFont="1" applyFill="1" applyBorder="1" applyAlignment="1">
      <alignment horizontal="center" vertical="top"/>
    </xf>
    <xf numFmtId="0" fontId="10" fillId="4" borderId="24" xfId="0" applyFont="1" applyFill="1" applyBorder="1" applyAlignment="1">
      <alignment horizontal="left" vertical="top"/>
    </xf>
    <xf numFmtId="0" fontId="5" fillId="2" borderId="25" xfId="0" applyFont="1" applyFill="1" applyBorder="1" applyAlignment="1">
      <alignment horizontal="center" vertical="top"/>
    </xf>
    <xf numFmtId="0" fontId="10" fillId="4" borderId="47" xfId="0" applyFont="1" applyFill="1" applyBorder="1" applyAlignment="1">
      <alignment horizontal="left" vertical="top"/>
    </xf>
    <xf numFmtId="0" fontId="5" fillId="2" borderId="48" xfId="0" applyFont="1" applyFill="1" applyBorder="1" applyAlignment="1">
      <alignment horizontal="center" vertical="top"/>
    </xf>
    <xf numFmtId="0" fontId="15" fillId="0" borderId="0" xfId="0" applyFont="1" applyAlignment="1">
      <alignment vertical="top" wrapText="1"/>
    </xf>
    <xf numFmtId="0" fontId="9" fillId="3" borderId="40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vertical="top"/>
    </xf>
    <xf numFmtId="0" fontId="9" fillId="3" borderId="23" xfId="0" applyFont="1" applyFill="1" applyBorder="1" applyAlignment="1">
      <alignment horizontal="center" vertical="top"/>
    </xf>
    <xf numFmtId="0" fontId="9" fillId="3" borderId="66" xfId="0" applyFont="1" applyFill="1" applyBorder="1" applyAlignment="1">
      <alignment vertical="top"/>
    </xf>
    <xf numFmtId="0" fontId="9" fillId="3" borderId="0" xfId="0" applyFont="1" applyFill="1" applyAlignment="1">
      <alignment vertical="top"/>
    </xf>
    <xf numFmtId="0" fontId="9" fillId="3" borderId="35" xfId="0" applyFont="1" applyFill="1" applyBorder="1" applyAlignment="1">
      <alignment vertical="top"/>
    </xf>
    <xf numFmtId="0" fontId="9" fillId="3" borderId="27" xfId="0" applyFont="1" applyFill="1" applyBorder="1" applyAlignment="1">
      <alignment vertical="top"/>
    </xf>
    <xf numFmtId="0" fontId="5" fillId="0" borderId="104" xfId="0" applyFont="1" applyBorder="1" applyAlignment="1">
      <alignment vertical="top"/>
    </xf>
    <xf numFmtId="0" fontId="9" fillId="3" borderId="21" xfId="0" applyFont="1" applyFill="1" applyBorder="1" applyAlignment="1">
      <alignment horizontal="center" vertical="top"/>
    </xf>
    <xf numFmtId="0" fontId="9" fillId="3" borderId="67" xfId="0" applyFont="1" applyFill="1" applyBorder="1" applyAlignment="1">
      <alignment horizontal="center" vertical="top"/>
    </xf>
    <xf numFmtId="0" fontId="9" fillId="3" borderId="68" xfId="0" applyFont="1" applyFill="1" applyBorder="1" applyAlignment="1">
      <alignment horizontal="center" vertical="top"/>
    </xf>
    <xf numFmtId="0" fontId="5" fillId="0" borderId="8" xfId="0" applyFont="1" applyBorder="1" applyAlignment="1">
      <alignment vertical="top"/>
    </xf>
    <xf numFmtId="178" fontId="5" fillId="0" borderId="8" xfId="0" applyNumberFormat="1" applyFont="1" applyBorder="1" applyAlignment="1">
      <alignment vertical="top"/>
    </xf>
    <xf numFmtId="179" fontId="5" fillId="0" borderId="68" xfId="0" applyNumberFormat="1" applyFont="1" applyBorder="1" applyAlignment="1">
      <alignment vertical="top"/>
    </xf>
    <xf numFmtId="49" fontId="5" fillId="0" borderId="11" xfId="0" applyNumberFormat="1" applyFont="1" applyBorder="1" applyAlignment="1">
      <alignment vertical="top"/>
    </xf>
    <xf numFmtId="179" fontId="5" fillId="0" borderId="54" xfId="0" applyNumberFormat="1" applyFont="1" applyBorder="1" applyAlignment="1">
      <alignment horizontal="center" vertical="top" wrapText="1"/>
    </xf>
    <xf numFmtId="0" fontId="5" fillId="0" borderId="1" xfId="0" applyFont="1" applyBorder="1" applyAlignment="1">
      <alignment vertical="top"/>
    </xf>
    <xf numFmtId="178" fontId="5" fillId="0" borderId="1" xfId="0" applyNumberFormat="1" applyFont="1" applyBorder="1" applyAlignment="1">
      <alignment vertical="top"/>
    </xf>
    <xf numFmtId="179" fontId="5" fillId="0" borderId="1" xfId="0" applyNumberFormat="1" applyFont="1" applyBorder="1" applyAlignment="1">
      <alignment vertical="top"/>
    </xf>
    <xf numFmtId="49" fontId="5" fillId="0" borderId="16" xfId="0" applyNumberFormat="1" applyFont="1" applyBorder="1" applyAlignment="1">
      <alignment vertical="top"/>
    </xf>
    <xf numFmtId="179" fontId="5" fillId="0" borderId="57" xfId="0" applyNumberFormat="1" applyFont="1" applyBorder="1" applyAlignment="1">
      <alignment horizontal="center" vertical="top" wrapText="1"/>
    </xf>
    <xf numFmtId="179" fontId="5" fillId="0" borderId="37" xfId="0" applyNumberFormat="1" applyFont="1" applyBorder="1" applyAlignment="1">
      <alignment vertical="top"/>
    </xf>
    <xf numFmtId="179" fontId="5" fillId="0" borderId="60" xfId="0" applyNumberFormat="1" applyFont="1" applyBorder="1" applyAlignment="1">
      <alignment horizontal="center" vertical="top" wrapText="1"/>
    </xf>
    <xf numFmtId="0" fontId="13" fillId="4" borderId="62" xfId="0" applyFont="1" applyFill="1" applyBorder="1" applyAlignment="1">
      <alignment vertical="top"/>
    </xf>
    <xf numFmtId="0" fontId="10" fillId="4" borderId="44" xfId="0" applyFont="1" applyFill="1" applyBorder="1" applyAlignment="1">
      <alignment horizontal="center" vertical="top"/>
    </xf>
    <xf numFmtId="178" fontId="10" fillId="4" borderId="19" xfId="0" applyNumberFormat="1" applyFont="1" applyFill="1" applyBorder="1" applyAlignment="1">
      <alignment vertical="top"/>
    </xf>
    <xf numFmtId="179" fontId="10" fillId="4" borderId="29" xfId="0" applyNumberFormat="1" applyFont="1" applyFill="1" applyBorder="1" applyAlignment="1">
      <alignment vertical="top"/>
    </xf>
    <xf numFmtId="49" fontId="5" fillId="4" borderId="20" xfId="0" applyNumberFormat="1" applyFont="1" applyFill="1" applyBorder="1" applyAlignment="1">
      <alignment vertical="top"/>
    </xf>
    <xf numFmtId="179" fontId="10" fillId="4" borderId="58" xfId="0" applyNumberFormat="1" applyFont="1" applyFill="1" applyBorder="1" applyAlignment="1">
      <alignment horizontal="center" vertical="top" wrapText="1"/>
    </xf>
    <xf numFmtId="179" fontId="5" fillId="0" borderId="8" xfId="0" applyNumberFormat="1" applyFont="1" applyBorder="1" applyAlignment="1">
      <alignment vertical="top"/>
    </xf>
    <xf numFmtId="179" fontId="5" fillId="0" borderId="56" xfId="0" applyNumberFormat="1" applyFont="1" applyBorder="1" applyAlignment="1">
      <alignment horizontal="center" vertical="top" wrapText="1"/>
    </xf>
    <xf numFmtId="0" fontId="8" fillId="4" borderId="44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9" fillId="3" borderId="2" xfId="0" applyFont="1" applyFill="1" applyBorder="1" applyAlignment="1">
      <alignment horizontal="center" vertical="top"/>
    </xf>
    <xf numFmtId="49" fontId="9" fillId="3" borderId="2" xfId="0" applyNumberFormat="1" applyFont="1" applyFill="1" applyBorder="1" applyAlignment="1">
      <alignment horizontal="center" vertical="top"/>
    </xf>
    <xf numFmtId="0" fontId="9" fillId="3" borderId="3" xfId="0" applyFont="1" applyFill="1" applyBorder="1" applyAlignment="1">
      <alignment vertical="top"/>
    </xf>
    <xf numFmtId="49" fontId="9" fillId="3" borderId="3" xfId="0" applyNumberFormat="1" applyFont="1" applyFill="1" applyBorder="1" applyAlignment="1">
      <alignment vertical="top"/>
    </xf>
    <xf numFmtId="0" fontId="9" fillId="3" borderId="3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left" vertical="top"/>
    </xf>
    <xf numFmtId="181" fontId="5" fillId="0" borderId="1" xfId="0" applyNumberFormat="1" applyFont="1" applyBorder="1" applyAlignment="1">
      <alignment horizontal="center" vertical="top"/>
    </xf>
    <xf numFmtId="49" fontId="5" fillId="0" borderId="1" xfId="0" applyNumberFormat="1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horizontal="center" vertical="top"/>
    </xf>
    <xf numFmtId="49" fontId="5" fillId="0" borderId="1" xfId="0" applyNumberFormat="1" applyFont="1" applyBorder="1" applyAlignment="1">
      <alignment vertical="top"/>
    </xf>
    <xf numFmtId="180" fontId="5" fillId="0" borderId="1" xfId="0" applyNumberFormat="1" applyFont="1" applyBorder="1" applyAlignment="1">
      <alignment horizontal="center" vertical="top"/>
    </xf>
    <xf numFmtId="49" fontId="5" fillId="0" borderId="0" xfId="0" applyNumberFormat="1" applyFont="1" applyAlignment="1">
      <alignment horizontal="center" vertical="top"/>
    </xf>
    <xf numFmtId="49" fontId="11" fillId="0" borderId="56" xfId="3" applyNumberFormat="1" applyFont="1" applyBorder="1" applyAlignment="1">
      <alignment horizontal="left" vertical="top" wrapText="1"/>
    </xf>
    <xf numFmtId="49" fontId="11" fillId="0" borderId="57" xfId="3" applyNumberFormat="1" applyFont="1" applyBorder="1" applyAlignment="1">
      <alignment horizontal="left" vertical="top" wrapText="1"/>
    </xf>
    <xf numFmtId="49" fontId="11" fillId="0" borderId="58" xfId="3" applyNumberFormat="1" applyFont="1" applyBorder="1" applyAlignment="1">
      <alignment horizontal="left" vertical="top" wrapText="1"/>
    </xf>
    <xf numFmtId="49" fontId="11" fillId="0" borderId="59" xfId="3" applyNumberFormat="1" applyFont="1" applyBorder="1" applyAlignment="1">
      <alignment horizontal="left" vertical="top" wrapText="1"/>
    </xf>
    <xf numFmtId="49" fontId="11" fillId="0" borderId="69" xfId="3" applyNumberFormat="1" applyFont="1" applyBorder="1" applyAlignment="1">
      <alignment horizontal="left" vertical="top" wrapText="1"/>
    </xf>
    <xf numFmtId="49" fontId="11" fillId="0" borderId="123" xfId="3" applyNumberFormat="1" applyFont="1" applyFill="1" applyBorder="1" applyAlignment="1">
      <alignment horizontal="left" vertical="top" wrapText="1"/>
    </xf>
    <xf numFmtId="49" fontId="11" fillId="0" borderId="76" xfId="3" applyNumberFormat="1" applyFont="1" applyFill="1" applyBorder="1" applyAlignment="1">
      <alignment horizontal="left" vertical="top" wrapText="1"/>
    </xf>
    <xf numFmtId="49" fontId="11" fillId="0" borderId="82" xfId="3" applyNumberFormat="1" applyFont="1" applyFill="1" applyBorder="1" applyAlignment="1">
      <alignment horizontal="left" vertical="top" wrapText="1"/>
    </xf>
    <xf numFmtId="49" fontId="11" fillId="0" borderId="126" xfId="3" applyNumberFormat="1" applyFont="1" applyFill="1" applyBorder="1" applyAlignment="1">
      <alignment horizontal="left" vertical="top" wrapText="1"/>
    </xf>
    <xf numFmtId="49" fontId="11" fillId="0" borderId="91" xfId="3" applyNumberFormat="1" applyFont="1" applyFill="1" applyBorder="1" applyAlignment="1">
      <alignment horizontal="left" vertical="top" wrapText="1"/>
    </xf>
    <xf numFmtId="49" fontId="11" fillId="0" borderId="97" xfId="3" applyNumberFormat="1" applyFont="1" applyFill="1" applyBorder="1" applyAlignment="1">
      <alignment horizontal="left" vertical="top" wrapText="1"/>
    </xf>
    <xf numFmtId="49" fontId="11" fillId="0" borderId="56" xfId="3" applyNumberFormat="1" applyFont="1" applyFill="1" applyBorder="1" applyAlignment="1">
      <alignment horizontal="left" vertical="top" wrapText="1"/>
    </xf>
    <xf numFmtId="49" fontId="11" fillId="0" borderId="57" xfId="3" applyNumberFormat="1" applyFont="1" applyFill="1" applyBorder="1" applyAlignment="1">
      <alignment horizontal="left" vertical="top" wrapText="1"/>
    </xf>
    <xf numFmtId="0" fontId="9" fillId="3" borderId="43" xfId="0" applyFont="1" applyFill="1" applyBorder="1" applyAlignment="1">
      <alignment horizontal="center" vertical="top"/>
    </xf>
    <xf numFmtId="0" fontId="12" fillId="4" borderId="45" xfId="0" applyFont="1" applyFill="1" applyBorder="1" applyAlignment="1">
      <alignment vertical="top" wrapText="1"/>
    </xf>
    <xf numFmtId="0" fontId="5" fillId="0" borderId="0" xfId="0" applyFont="1" applyAlignment="1">
      <alignment horizontal="center" vertical="top" wrapText="1"/>
    </xf>
    <xf numFmtId="0" fontId="9" fillId="3" borderId="7" xfId="0" applyFont="1" applyFill="1" applyBorder="1" applyAlignment="1">
      <alignment horizontal="center" vertical="top" wrapText="1"/>
    </xf>
    <xf numFmtId="0" fontId="9" fillId="3" borderId="54" xfId="0" applyFont="1" applyFill="1" applyBorder="1" applyAlignment="1">
      <alignment horizontal="center" vertical="top" wrapText="1"/>
    </xf>
    <xf numFmtId="0" fontId="9" fillId="3" borderId="12" xfId="0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 wrapText="1"/>
    </xf>
    <xf numFmtId="49" fontId="11" fillId="0" borderId="128" xfId="0" applyNumberFormat="1" applyFont="1" applyBorder="1" applyAlignment="1">
      <alignment horizontal="left" vertical="top" wrapText="1"/>
    </xf>
    <xf numFmtId="49" fontId="11" fillId="0" borderId="129" xfId="0" applyNumberFormat="1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 wrapText="1"/>
    </xf>
    <xf numFmtId="49" fontId="11" fillId="0" borderId="79" xfId="0" applyNumberFormat="1" applyFont="1" applyBorder="1" applyAlignment="1">
      <alignment horizontal="left" vertical="top" wrapText="1"/>
    </xf>
    <xf numFmtId="49" fontId="11" fillId="0" borderId="78" xfId="0" applyNumberFormat="1" applyFont="1" applyBorder="1" applyAlignment="1">
      <alignment horizontal="center" vertical="top" wrapText="1"/>
    </xf>
    <xf numFmtId="0" fontId="5" fillId="0" borderId="80" xfId="0" applyFont="1" applyBorder="1" applyAlignment="1">
      <alignment horizontal="left" vertical="top" wrapText="1"/>
    </xf>
    <xf numFmtId="49" fontId="11" fillId="0" borderId="87" xfId="0" applyNumberFormat="1" applyFont="1" applyBorder="1" applyAlignment="1">
      <alignment horizontal="center" vertical="top" wrapText="1"/>
    </xf>
    <xf numFmtId="0" fontId="5" fillId="0" borderId="89" xfId="0" applyFont="1" applyBorder="1" applyAlignment="1">
      <alignment horizontal="left" vertical="top" wrapText="1"/>
    </xf>
    <xf numFmtId="49" fontId="11" fillId="0" borderId="99" xfId="0" applyNumberFormat="1" applyFont="1" applyBorder="1" applyAlignment="1">
      <alignment horizontal="left" vertical="top" wrapText="1"/>
    </xf>
    <xf numFmtId="49" fontId="11" fillId="0" borderId="100" xfId="0" applyNumberFormat="1" applyFont="1" applyBorder="1" applyAlignment="1">
      <alignment horizontal="left" vertical="top" wrapText="1"/>
    </xf>
    <xf numFmtId="0" fontId="5" fillId="0" borderId="11" xfId="0" applyFont="1" applyBorder="1" applyAlignment="1">
      <alignment horizontal="center" vertical="top" wrapText="1"/>
    </xf>
    <xf numFmtId="0" fontId="5" fillId="0" borderId="20" xfId="0" applyFont="1" applyBorder="1" applyAlignment="1">
      <alignment horizontal="center" vertical="top" wrapText="1"/>
    </xf>
    <xf numFmtId="0" fontId="5" fillId="0" borderId="16" xfId="0" applyFont="1" applyBorder="1" applyAlignment="1">
      <alignment horizontal="center" vertical="top" wrapText="1"/>
    </xf>
    <xf numFmtId="0" fontId="5" fillId="0" borderId="46" xfId="0" applyFont="1" applyBorder="1" applyAlignment="1">
      <alignment horizontal="center" vertical="top" wrapText="1"/>
    </xf>
    <xf numFmtId="0" fontId="5" fillId="0" borderId="49" xfId="0" applyFont="1" applyBorder="1" applyAlignment="1">
      <alignment horizontal="center" vertical="top" wrapText="1"/>
    </xf>
    <xf numFmtId="0" fontId="11" fillId="0" borderId="133" xfId="0" applyFont="1" applyBorder="1" applyAlignment="1">
      <alignment horizontal="center" vertical="top" wrapText="1"/>
    </xf>
    <xf numFmtId="49" fontId="11" fillId="0" borderId="134" xfId="0" applyNumberFormat="1" applyFont="1" applyBorder="1" applyAlignment="1">
      <alignment horizontal="left" vertical="top" wrapText="1"/>
    </xf>
    <xf numFmtId="49" fontId="11" fillId="0" borderId="135" xfId="0" applyNumberFormat="1" applyFont="1" applyBorder="1" applyAlignment="1">
      <alignment horizontal="center" vertical="top" wrapText="1"/>
    </xf>
    <xf numFmtId="0" fontId="5" fillId="0" borderId="136" xfId="0" applyFont="1" applyBorder="1" applyAlignment="1">
      <alignment horizontal="left" vertical="top" wrapText="1"/>
    </xf>
    <xf numFmtId="0" fontId="11" fillId="0" borderId="139" xfId="0" applyFont="1" applyBorder="1" applyAlignment="1">
      <alignment horizontal="center" vertical="top" wrapText="1"/>
    </xf>
    <xf numFmtId="49" fontId="11" fillId="0" borderId="140" xfId="0" applyNumberFormat="1" applyFont="1" applyBorder="1" applyAlignment="1">
      <alignment horizontal="left" vertical="top" wrapText="1"/>
    </xf>
    <xf numFmtId="49" fontId="11" fillId="0" borderId="141" xfId="0" applyNumberFormat="1" applyFont="1" applyBorder="1" applyAlignment="1">
      <alignment horizontal="center" vertical="top" wrapText="1"/>
    </xf>
    <xf numFmtId="0" fontId="5" fillId="0" borderId="142" xfId="0" applyFont="1" applyBorder="1" applyAlignment="1">
      <alignment horizontal="left" vertical="top" wrapText="1"/>
    </xf>
    <xf numFmtId="0" fontId="11" fillId="0" borderId="145" xfId="0" applyFont="1" applyBorder="1" applyAlignment="1">
      <alignment horizontal="center" vertical="top" wrapText="1"/>
    </xf>
    <xf numFmtId="49" fontId="11" fillId="0" borderId="146" xfId="0" applyNumberFormat="1" applyFont="1" applyBorder="1" applyAlignment="1">
      <alignment horizontal="center" vertical="top" wrapText="1"/>
    </xf>
    <xf numFmtId="0" fontId="5" fillId="0" borderId="147" xfId="0" applyFont="1" applyBorder="1" applyAlignment="1">
      <alignment horizontal="left" vertical="top" wrapText="1"/>
    </xf>
    <xf numFmtId="49" fontId="11" fillId="0" borderId="150" xfId="0" applyNumberFormat="1" applyFont="1" applyBorder="1" applyAlignment="1">
      <alignment horizontal="left" vertical="top" wrapText="1"/>
    </xf>
    <xf numFmtId="0" fontId="11" fillId="0" borderId="151" xfId="0" applyFont="1" applyBorder="1" applyAlignment="1">
      <alignment horizontal="center" vertical="top" wrapText="1"/>
    </xf>
    <xf numFmtId="49" fontId="11" fillId="0" borderId="152" xfId="0" applyNumberFormat="1" applyFont="1" applyBorder="1" applyAlignment="1">
      <alignment horizontal="left" vertical="top" wrapText="1"/>
    </xf>
    <xf numFmtId="49" fontId="11" fillId="0" borderId="153" xfId="0" applyNumberFormat="1" applyFont="1" applyBorder="1" applyAlignment="1">
      <alignment horizontal="center" vertical="top" wrapText="1"/>
    </xf>
    <xf numFmtId="0" fontId="5" fillId="0" borderId="154" xfId="0" applyFont="1" applyBorder="1" applyAlignment="1">
      <alignment horizontal="left" vertical="top" wrapText="1"/>
    </xf>
    <xf numFmtId="0" fontId="5" fillId="0" borderId="135" xfId="0" applyFont="1" applyBorder="1" applyAlignment="1">
      <alignment horizontal="left" vertical="top" wrapText="1"/>
    </xf>
    <xf numFmtId="0" fontId="5" fillId="0" borderId="141" xfId="0" applyFont="1" applyBorder="1" applyAlignment="1">
      <alignment horizontal="left" vertical="top" wrapText="1"/>
    </xf>
    <xf numFmtId="0" fontId="5" fillId="0" borderId="146" xfId="0" applyFont="1" applyBorder="1" applyAlignment="1">
      <alignment horizontal="left" vertical="top" wrapText="1"/>
    </xf>
    <xf numFmtId="0" fontId="5" fillId="0" borderId="153" xfId="0" applyFont="1" applyBorder="1" applyAlignment="1">
      <alignment horizontal="left" vertical="top" wrapText="1"/>
    </xf>
    <xf numFmtId="0" fontId="5" fillId="0" borderId="129" xfId="0" applyFont="1" applyBorder="1" applyAlignment="1">
      <alignment horizontal="left" vertical="top" wrapText="1"/>
    </xf>
    <xf numFmtId="0" fontId="5" fillId="0" borderId="78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left" vertical="top"/>
    </xf>
    <xf numFmtId="0" fontId="9" fillId="3" borderId="21" xfId="0" applyFont="1" applyFill="1" applyBorder="1" applyAlignment="1">
      <alignment horizontal="center" vertical="top" wrapText="1"/>
    </xf>
    <xf numFmtId="0" fontId="9" fillId="3" borderId="24" xfId="0" applyFont="1" applyFill="1" applyBorder="1" applyAlignment="1">
      <alignment horizontal="center" vertical="top" wrapText="1"/>
    </xf>
    <xf numFmtId="0" fontId="9" fillId="3" borderId="55" xfId="0" applyFont="1" applyFill="1" applyBorder="1" applyAlignment="1">
      <alignment horizontal="center" vertical="top" wrapText="1"/>
    </xf>
    <xf numFmtId="0" fontId="9" fillId="3" borderId="18" xfId="0" applyFont="1" applyFill="1" applyBorder="1" applyAlignment="1">
      <alignment horizontal="center" vertical="top" wrapText="1"/>
    </xf>
    <xf numFmtId="0" fontId="9" fillId="3" borderId="19" xfId="0" applyFont="1" applyFill="1" applyBorder="1" applyAlignment="1">
      <alignment horizontal="center" vertical="top" wrapText="1"/>
    </xf>
    <xf numFmtId="0" fontId="9" fillId="3" borderId="20" xfId="0" applyFont="1" applyFill="1" applyBorder="1" applyAlignment="1">
      <alignment horizontal="center" vertical="top" wrapText="1"/>
    </xf>
    <xf numFmtId="0" fontId="11" fillId="5" borderId="137" xfId="0" applyFont="1" applyFill="1" applyBorder="1" applyAlignment="1">
      <alignment horizontal="center" vertical="top" wrapText="1"/>
    </xf>
    <xf numFmtId="177" fontId="11" fillId="5" borderId="138" xfId="3" applyNumberFormat="1" applyFont="1" applyFill="1" applyBorder="1" applyAlignment="1">
      <alignment horizontal="center" vertical="top" wrapText="1"/>
    </xf>
    <xf numFmtId="0" fontId="11" fillId="5" borderId="143" xfId="0" applyFont="1" applyFill="1" applyBorder="1" applyAlignment="1">
      <alignment horizontal="center" vertical="top" wrapText="1"/>
    </xf>
    <xf numFmtId="177" fontId="11" fillId="5" borderId="144" xfId="3" applyNumberFormat="1" applyFont="1" applyFill="1" applyBorder="1" applyAlignment="1">
      <alignment horizontal="center" vertical="top" wrapText="1"/>
    </xf>
    <xf numFmtId="0" fontId="11" fillId="5" borderId="148" xfId="0" applyFont="1" applyFill="1" applyBorder="1" applyAlignment="1">
      <alignment horizontal="center" vertical="top" wrapText="1"/>
    </xf>
    <xf numFmtId="177" fontId="11" fillId="5" borderId="149" xfId="3" applyNumberFormat="1" applyFont="1" applyFill="1" applyBorder="1" applyAlignment="1">
      <alignment horizontal="center" vertical="top" wrapText="1"/>
    </xf>
    <xf numFmtId="0" fontId="11" fillId="5" borderId="155" xfId="0" applyFont="1" applyFill="1" applyBorder="1" applyAlignment="1">
      <alignment horizontal="center" vertical="top" wrapText="1"/>
    </xf>
    <xf numFmtId="177" fontId="11" fillId="5" borderId="156" xfId="3" applyNumberFormat="1" applyFont="1" applyFill="1" applyBorder="1" applyAlignment="1">
      <alignment horizontal="center" vertical="top" wrapText="1"/>
    </xf>
    <xf numFmtId="0" fontId="11" fillId="5" borderId="131" xfId="0" applyFont="1" applyFill="1" applyBorder="1" applyAlignment="1">
      <alignment horizontal="center" vertical="top" wrapText="1"/>
    </xf>
    <xf numFmtId="177" fontId="11" fillId="5" borderId="132" xfId="3" applyNumberFormat="1" applyFont="1" applyFill="1" applyBorder="1" applyAlignment="1">
      <alignment horizontal="center" vertical="top" wrapText="1"/>
    </xf>
    <xf numFmtId="0" fontId="11" fillId="5" borderId="81" xfId="0" applyFont="1" applyFill="1" applyBorder="1" applyAlignment="1">
      <alignment horizontal="center" vertical="top" wrapText="1"/>
    </xf>
    <xf numFmtId="177" fontId="11" fillId="5" borderId="82" xfId="3" applyNumberFormat="1" applyFont="1" applyFill="1" applyBorder="1" applyAlignment="1">
      <alignment horizontal="center" vertical="top" wrapText="1"/>
    </xf>
    <xf numFmtId="0" fontId="11" fillId="5" borderId="90" xfId="0" applyFont="1" applyFill="1" applyBorder="1" applyAlignment="1">
      <alignment horizontal="center" vertical="top" wrapText="1"/>
    </xf>
    <xf numFmtId="177" fontId="11" fillId="5" borderId="91" xfId="3" applyNumberFormat="1" applyFont="1" applyFill="1" applyBorder="1" applyAlignment="1">
      <alignment horizontal="center" vertical="top" wrapText="1"/>
    </xf>
    <xf numFmtId="0" fontId="11" fillId="0" borderId="83" xfId="0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left" vertical="top"/>
    </xf>
    <xf numFmtId="49" fontId="11" fillId="0" borderId="84" xfId="0" applyNumberFormat="1" applyFont="1" applyBorder="1" applyAlignment="1">
      <alignment horizontal="center" vertical="top"/>
    </xf>
    <xf numFmtId="49" fontId="11" fillId="0" borderId="157" xfId="0" applyNumberFormat="1" applyFont="1" applyBorder="1" applyAlignment="1">
      <alignment horizontal="center" vertical="top"/>
    </xf>
    <xf numFmtId="0" fontId="11" fillId="0" borderId="158" xfId="0" applyFont="1" applyBorder="1" applyAlignment="1">
      <alignment horizontal="center" vertical="top" wrapText="1"/>
    </xf>
    <xf numFmtId="176" fontId="11" fillId="0" borderId="157" xfId="3" applyNumberFormat="1" applyFont="1" applyFill="1" applyBorder="1" applyAlignment="1">
      <alignment horizontal="right" vertical="top"/>
    </xf>
    <xf numFmtId="177" fontId="11" fillId="0" borderId="159" xfId="3" applyNumberFormat="1" applyFont="1" applyFill="1" applyBorder="1" applyAlignment="1">
      <alignment horizontal="center" vertical="top"/>
    </xf>
    <xf numFmtId="49" fontId="11" fillId="0" borderId="159" xfId="3" applyNumberFormat="1" applyFont="1" applyFill="1" applyBorder="1" applyAlignment="1">
      <alignment horizontal="left" vertical="top" wrapText="1"/>
    </xf>
    <xf numFmtId="177" fontId="11" fillId="0" borderId="83" xfId="3" applyNumberFormat="1" applyFont="1" applyFill="1" applyBorder="1" applyAlignment="1">
      <alignment horizontal="center" vertical="top" wrapText="1"/>
    </xf>
    <xf numFmtId="177" fontId="11" fillId="0" borderId="85" xfId="3" applyNumberFormat="1" applyFont="1" applyFill="1" applyBorder="1" applyAlignment="1">
      <alignment horizontal="center" vertical="top" wrapText="1"/>
    </xf>
    <xf numFmtId="177" fontId="11" fillId="0" borderId="159" xfId="3" applyNumberFormat="1" applyFont="1" applyFill="1" applyBorder="1" applyAlignment="1">
      <alignment horizontal="center" vertical="top" wrapText="1"/>
    </xf>
    <xf numFmtId="0" fontId="11" fillId="0" borderId="127" xfId="0" applyFont="1" applyBorder="1" applyAlignment="1">
      <alignment horizontal="center" vertical="top"/>
    </xf>
    <xf numFmtId="49" fontId="12" fillId="0" borderId="128" xfId="0" applyNumberFormat="1" applyFont="1" applyBorder="1" applyAlignment="1">
      <alignment horizontal="left" vertical="top"/>
    </xf>
    <xf numFmtId="49" fontId="11" fillId="0" borderId="129" xfId="0" applyNumberFormat="1" applyFont="1" applyBorder="1" applyAlignment="1">
      <alignment horizontal="center" vertical="top"/>
    </xf>
    <xf numFmtId="49" fontId="11" fillId="0" borderId="128" xfId="0" applyNumberFormat="1" applyFont="1" applyBorder="1" applyAlignment="1">
      <alignment horizontal="center" vertical="top"/>
    </xf>
    <xf numFmtId="0" fontId="10" fillId="0" borderId="130" xfId="0" applyFont="1" applyBorder="1" applyAlignment="1">
      <alignment horizontal="left" vertical="top"/>
    </xf>
    <xf numFmtId="0" fontId="11" fillId="0" borderId="131" xfId="0" applyFont="1" applyBorder="1" applyAlignment="1">
      <alignment horizontal="center" vertical="top" wrapText="1"/>
    </xf>
    <xf numFmtId="176" fontId="11" fillId="0" borderId="128" xfId="3" applyNumberFormat="1" applyFont="1" applyFill="1" applyBorder="1" applyAlignment="1">
      <alignment horizontal="right" vertical="top"/>
    </xf>
    <xf numFmtId="177" fontId="11" fillId="0" borderId="132" xfId="3" applyNumberFormat="1" applyFont="1" applyFill="1" applyBorder="1" applyAlignment="1">
      <alignment horizontal="center" vertical="top"/>
    </xf>
    <xf numFmtId="49" fontId="11" fillId="0" borderId="132" xfId="3" applyNumberFormat="1" applyFont="1" applyFill="1" applyBorder="1" applyAlignment="1">
      <alignment horizontal="left" vertical="top" wrapText="1"/>
    </xf>
    <xf numFmtId="177" fontId="11" fillId="0" borderId="127" xfId="3" applyNumberFormat="1" applyFont="1" applyFill="1" applyBorder="1" applyAlignment="1">
      <alignment horizontal="center" vertical="top" wrapText="1"/>
    </xf>
    <xf numFmtId="177" fontId="11" fillId="0" borderId="130" xfId="3" applyNumberFormat="1" applyFont="1" applyFill="1" applyBorder="1" applyAlignment="1">
      <alignment horizontal="center" vertical="top" wrapText="1"/>
    </xf>
    <xf numFmtId="177" fontId="11" fillId="0" borderId="132" xfId="3" applyNumberFormat="1" applyFont="1" applyFill="1" applyBorder="1" applyAlignment="1">
      <alignment horizontal="center" vertical="top" wrapText="1"/>
    </xf>
    <xf numFmtId="0" fontId="10" fillId="0" borderId="127" xfId="0" applyFont="1" applyBorder="1" applyAlignment="1">
      <alignment horizontal="left" vertical="top"/>
    </xf>
    <xf numFmtId="0" fontId="5" fillId="0" borderId="129" xfId="0" applyFont="1" applyBorder="1" applyAlignment="1">
      <alignment horizontal="center" vertical="top" wrapText="1"/>
    </xf>
    <xf numFmtId="0" fontId="5" fillId="0" borderId="130" xfId="0" applyFont="1" applyBorder="1" applyAlignment="1">
      <alignment horizontal="left" vertical="top"/>
    </xf>
    <xf numFmtId="49" fontId="11" fillId="0" borderId="128" xfId="0" applyNumberFormat="1" applyFont="1" applyBorder="1" applyAlignment="1">
      <alignment horizontal="left" vertical="top"/>
    </xf>
    <xf numFmtId="0" fontId="9" fillId="3" borderId="1" xfId="0" applyFont="1" applyFill="1" applyBorder="1" applyAlignment="1">
      <alignment horizontal="center" vertical="top" wrapText="1"/>
    </xf>
    <xf numFmtId="0" fontId="11" fillId="4" borderId="1" xfId="0" applyFont="1" applyFill="1" applyBorder="1" applyAlignment="1">
      <alignment horizontal="center" vertical="top" wrapText="1"/>
    </xf>
    <xf numFmtId="0" fontId="12" fillId="0" borderId="1" xfId="0" applyFont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top" wrapText="1"/>
    </xf>
    <xf numFmtId="0" fontId="9" fillId="3" borderId="3" xfId="0" applyFont="1" applyFill="1" applyBorder="1" applyAlignment="1">
      <alignment horizontal="center" vertical="top" wrapText="1"/>
    </xf>
    <xf numFmtId="0" fontId="9" fillId="3" borderId="2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 wrapText="1"/>
    </xf>
    <xf numFmtId="0" fontId="9" fillId="3" borderId="28" xfId="0" applyFont="1" applyFill="1" applyBorder="1" applyAlignment="1">
      <alignment horizontal="center" vertical="top"/>
    </xf>
    <xf numFmtId="0" fontId="9" fillId="3" borderId="41" xfId="0" applyFont="1" applyFill="1" applyBorder="1" applyAlignment="1">
      <alignment horizontal="center" vertical="top"/>
    </xf>
    <xf numFmtId="0" fontId="9" fillId="3" borderId="1" xfId="0" applyFont="1" applyFill="1" applyBorder="1" applyAlignment="1">
      <alignment horizontal="center" vertical="top"/>
    </xf>
    <xf numFmtId="49" fontId="9" fillId="3" borderId="34" xfId="0" applyNumberFormat="1" applyFont="1" applyFill="1" applyBorder="1" applyAlignment="1">
      <alignment horizontal="center" vertical="top"/>
    </xf>
    <xf numFmtId="49" fontId="9" fillId="3" borderId="33" xfId="0" applyNumberFormat="1" applyFont="1" applyFill="1" applyBorder="1" applyAlignment="1">
      <alignment horizontal="center" vertical="top"/>
    </xf>
    <xf numFmtId="49" fontId="9" fillId="3" borderId="37" xfId="0" applyNumberFormat="1" applyFont="1" applyFill="1" applyBorder="1" applyAlignment="1">
      <alignment vertical="top"/>
    </xf>
    <xf numFmtId="49" fontId="9" fillId="3" borderId="38" xfId="0" applyNumberFormat="1" applyFont="1" applyFill="1" applyBorder="1" applyAlignment="1">
      <alignment vertical="top"/>
    </xf>
    <xf numFmtId="0" fontId="9" fillId="3" borderId="7" xfId="0" applyFont="1" applyFill="1" applyBorder="1" applyAlignment="1">
      <alignment horizontal="center" vertical="top"/>
    </xf>
    <xf numFmtId="0" fontId="9" fillId="3" borderId="9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/>
    </xf>
    <xf numFmtId="0" fontId="9" fillId="3" borderId="26" xfId="0" applyFont="1" applyFill="1" applyBorder="1" applyAlignment="1">
      <alignment horizontal="center" vertical="top"/>
    </xf>
    <xf numFmtId="0" fontId="9" fillId="3" borderId="53" xfId="0" applyFont="1" applyFill="1" applyBorder="1" applyAlignment="1">
      <alignment horizontal="center" vertical="top"/>
    </xf>
    <xf numFmtId="0" fontId="9" fillId="3" borderId="10" xfId="0" applyFont="1" applyFill="1" applyBorder="1" applyAlignment="1">
      <alignment horizontal="center" vertical="top"/>
    </xf>
    <xf numFmtId="0" fontId="9" fillId="3" borderId="11" xfId="0" applyFont="1" applyFill="1" applyBorder="1" applyAlignment="1">
      <alignment horizontal="center" vertical="top"/>
    </xf>
    <xf numFmtId="0" fontId="9" fillId="3" borderId="52" xfId="0" applyFont="1" applyFill="1" applyBorder="1" applyAlignment="1">
      <alignment horizontal="center" vertical="top" wrapText="1"/>
    </xf>
    <xf numFmtId="0" fontId="9" fillId="3" borderId="26" xfId="0" applyFont="1" applyFill="1" applyBorder="1" applyAlignment="1">
      <alignment horizontal="center" vertical="top" wrapText="1"/>
    </xf>
    <xf numFmtId="0" fontId="9" fillId="3" borderId="53" xfId="0" applyFont="1" applyFill="1" applyBorder="1" applyAlignment="1">
      <alignment horizontal="center" vertical="top" wrapText="1"/>
    </xf>
    <xf numFmtId="0" fontId="9" fillId="3" borderId="45" xfId="0" applyFont="1" applyFill="1" applyBorder="1" applyAlignment="1">
      <alignment horizontal="center" vertical="top"/>
    </xf>
    <xf numFmtId="0" fontId="9" fillId="3" borderId="22" xfId="0" applyFont="1" applyFill="1" applyBorder="1" applyAlignment="1">
      <alignment horizontal="center" vertical="top"/>
    </xf>
    <xf numFmtId="0" fontId="9" fillId="3" borderId="28" xfId="0" applyFont="1" applyFill="1" applyBorder="1" applyAlignment="1">
      <alignment horizontal="center" vertical="top" wrapText="1"/>
    </xf>
    <xf numFmtId="0" fontId="9" fillId="3" borderId="41" xfId="0" applyFont="1" applyFill="1" applyBorder="1" applyAlignment="1">
      <alignment horizontal="center" vertical="top" wrapText="1"/>
    </xf>
  </cellXfs>
  <cellStyles count="6">
    <cellStyle name="쉼표 [0]" xfId="3" builtinId="6"/>
    <cellStyle name="쉼표 [0] 2" xfId="2" xr:uid="{45003987-6B87-4A11-BC34-B24611FAEB98}"/>
    <cellStyle name="쉼표 [0] 3" xfId="5" xr:uid="{6D6EF1B1-64BF-459F-956F-DD435BF34B09}"/>
    <cellStyle name="표준" xfId="0" builtinId="0"/>
    <cellStyle name="표준 2" xfId="1" xr:uid="{694FF0B6-DC19-4C5C-9C1B-270C1F1629F6}"/>
    <cellStyle name="표준 3" xfId="4" xr:uid="{02D4BCD2-63DE-4B84-A4A9-2A48360E352B}"/>
  </cellStyles>
  <dxfs count="6"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strike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  <dxf>
      <font>
        <b/>
        <i val="0"/>
        <color theme="1"/>
      </font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0066FF"/>
      <color rgb="FFC1ECFB"/>
      <color rgb="FF8CDBF8"/>
      <color rgb="FFFF7C80"/>
      <color rgb="FF0000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16"/>
  <sheetViews>
    <sheetView workbookViewId="0">
      <selection activeCell="E25" sqref="E25"/>
    </sheetView>
  </sheetViews>
  <sheetFormatPr defaultRowHeight="14.45" customHeight="1" x14ac:dyDescent="0.2"/>
  <cols>
    <col min="1" max="1" width="1.7109375" style="1" customWidth="1"/>
    <col min="2" max="2" width="15" style="1" customWidth="1"/>
    <col min="3" max="3" width="9.140625" style="2"/>
    <col min="4" max="16384" width="9.140625" style="1"/>
  </cols>
  <sheetData>
    <row r="2" spans="2:3" ht="14.45" customHeight="1" x14ac:dyDescent="0.2">
      <c r="B2" s="3" t="s">
        <v>251</v>
      </c>
      <c r="C2" s="3" t="s">
        <v>252</v>
      </c>
    </row>
    <row r="3" spans="2:3" ht="14.45" customHeight="1" x14ac:dyDescent="0.2">
      <c r="B3" s="4" t="s">
        <v>253</v>
      </c>
      <c r="C3" s="4" t="s">
        <v>1846</v>
      </c>
    </row>
    <row r="5" spans="2:3" ht="14.45" customHeight="1" x14ac:dyDescent="0.2">
      <c r="B5" s="3" t="s">
        <v>132</v>
      </c>
    </row>
    <row r="6" spans="2:3" ht="14.45" customHeight="1" x14ac:dyDescent="0.2">
      <c r="B6" s="4" t="s">
        <v>41</v>
      </c>
    </row>
    <row r="7" spans="2:3" ht="14.45" customHeight="1" x14ac:dyDescent="0.2">
      <c r="B7" s="4" t="s">
        <v>1282</v>
      </c>
    </row>
    <row r="8" spans="2:3" ht="14.45" customHeight="1" x14ac:dyDescent="0.2">
      <c r="B8" s="4" t="s">
        <v>2011</v>
      </c>
    </row>
    <row r="9" spans="2:3" ht="14.45" customHeight="1" x14ac:dyDescent="0.2">
      <c r="B9" s="4" t="s">
        <v>1380</v>
      </c>
    </row>
    <row r="10" spans="2:3" ht="14.45" customHeight="1" x14ac:dyDescent="0.2">
      <c r="B10" s="4" t="s">
        <v>1381</v>
      </c>
    </row>
    <row r="11" spans="2:3" ht="14.45" customHeight="1" x14ac:dyDescent="0.2">
      <c r="B11" s="4" t="s">
        <v>507</v>
      </c>
    </row>
    <row r="13" spans="2:3" ht="14.45" customHeight="1" x14ac:dyDescent="0.2">
      <c r="B13" s="3" t="s">
        <v>1391</v>
      </c>
    </row>
    <row r="14" spans="2:3" ht="14.45" customHeight="1" x14ac:dyDescent="0.2">
      <c r="B14" s="4" t="s">
        <v>1392</v>
      </c>
    </row>
    <row r="15" spans="2:3" ht="14.45" customHeight="1" x14ac:dyDescent="0.2">
      <c r="B15" s="4" t="s">
        <v>1393</v>
      </c>
    </row>
    <row r="16" spans="2:3" ht="14.45" customHeight="1" x14ac:dyDescent="0.2">
      <c r="B16" s="4" t="s">
        <v>1394</v>
      </c>
    </row>
  </sheetData>
  <phoneticPr fontId="2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3C1DF4-F808-4828-B817-9F05E61E1B7E}">
  <sheetPr codeName="Sheet16">
    <pageSetUpPr fitToPage="1"/>
  </sheetPr>
  <dimension ref="B1:O322"/>
  <sheetViews>
    <sheetView showGridLines="0" zoomScaleNormal="100" workbookViewId="0">
      <pane ySplit="3" topLeftCell="A48" activePane="bottomLeft" state="frozen"/>
      <selection pane="bottomLeft" activeCell="K54" sqref="K54"/>
    </sheetView>
  </sheetViews>
  <sheetFormatPr defaultRowHeight="14.45" customHeight="1" x14ac:dyDescent="0.2"/>
  <cols>
    <col min="1" max="1" width="1.28515625" style="5" customWidth="1"/>
    <col min="2" max="2" width="33.7109375" style="5" customWidth="1"/>
    <col min="3" max="3" width="38.7109375" style="5" customWidth="1"/>
    <col min="4" max="4" width="4.7109375" style="5" customWidth="1"/>
    <col min="5" max="5" width="45" style="5" customWidth="1"/>
    <col min="6" max="6" width="3.28515625" style="5" customWidth="1"/>
    <col min="7" max="7" width="2.7109375" style="5" customWidth="1"/>
    <col min="8" max="8" width="84.7109375" style="5" customWidth="1"/>
    <col min="9" max="9" width="4.42578125" style="6" customWidth="1"/>
    <col min="10" max="10" width="7" style="6" customWidth="1"/>
    <col min="11" max="11" width="3.28515625" style="7" customWidth="1"/>
    <col min="12" max="12" width="19.7109375" style="7" customWidth="1"/>
    <col min="13" max="14" width="5.7109375" style="7" customWidth="1"/>
    <col min="15" max="15" width="6.28515625" style="7" customWidth="1"/>
    <col min="16" max="16384" width="9.140625" style="5"/>
  </cols>
  <sheetData>
    <row r="1" spans="2:15" ht="14.45" customHeight="1" thickBot="1" x14ac:dyDescent="0.25"/>
    <row r="2" spans="2:15" ht="14.45" customHeight="1" x14ac:dyDescent="0.2">
      <c r="B2" s="403" t="s">
        <v>25</v>
      </c>
      <c r="C2" s="404"/>
      <c r="D2" s="405" t="s">
        <v>50</v>
      </c>
      <c r="E2" s="406"/>
      <c r="F2" s="406"/>
      <c r="G2" s="406"/>
      <c r="H2" s="407"/>
      <c r="I2" s="408" t="s">
        <v>376</v>
      </c>
      <c r="J2" s="409"/>
      <c r="K2" s="8" t="s">
        <v>380</v>
      </c>
      <c r="L2" s="8" t="s">
        <v>393</v>
      </c>
      <c r="M2" s="403" t="s">
        <v>1395</v>
      </c>
      <c r="N2" s="409"/>
      <c r="O2" s="8" t="s">
        <v>1845</v>
      </c>
    </row>
    <row r="3" spans="2:15" ht="14.45" customHeight="1" thickBot="1" x14ac:dyDescent="0.25">
      <c r="B3" s="9" t="s">
        <v>23</v>
      </c>
      <c r="C3" s="10" t="s">
        <v>24</v>
      </c>
      <c r="D3" s="11" t="s">
        <v>132</v>
      </c>
      <c r="E3" s="10" t="s">
        <v>561</v>
      </c>
      <c r="F3" s="295"/>
      <c r="G3" s="13"/>
      <c r="H3" s="12" t="s">
        <v>562</v>
      </c>
      <c r="I3" s="13" t="s">
        <v>1279</v>
      </c>
      <c r="J3" s="14" t="s">
        <v>377</v>
      </c>
      <c r="K3" s="15"/>
      <c r="L3" s="16"/>
      <c r="M3" s="11" t="s">
        <v>249</v>
      </c>
      <c r="N3" s="12" t="s">
        <v>250</v>
      </c>
      <c r="O3" s="15"/>
    </row>
    <row r="4" spans="2:15" ht="14.45" customHeight="1" x14ac:dyDescent="0.2">
      <c r="B4" s="17" t="s">
        <v>1715</v>
      </c>
      <c r="C4" s="18" t="s">
        <v>1730</v>
      </c>
      <c r="D4" s="19" t="s">
        <v>41</v>
      </c>
      <c r="E4" s="20" t="s">
        <v>134</v>
      </c>
      <c r="F4" s="21" t="s">
        <v>1854</v>
      </c>
      <c r="G4" s="22" t="s">
        <v>1385</v>
      </c>
      <c r="H4" s="23" t="s">
        <v>161</v>
      </c>
      <c r="I4" s="24" t="s">
        <v>1147</v>
      </c>
      <c r="J4" s="25">
        <v>2912</v>
      </c>
      <c r="K4" s="26" t="s">
        <v>1423</v>
      </c>
      <c r="L4" s="282"/>
      <c r="M4" s="28"/>
      <c r="N4" s="29"/>
      <c r="O4" s="27" t="str">
        <f t="shared" ref="O4:O70" si="0">B4&amp;"-"&amp;C4&amp;"-"&amp;F4</f>
        <v>[入]제01장 개설-제01절 개요-01</v>
      </c>
    </row>
    <row r="5" spans="2:15" ht="14.45" customHeight="1" x14ac:dyDescent="0.2">
      <c r="B5" s="30" t="s">
        <v>1714</v>
      </c>
      <c r="C5" s="31" t="s">
        <v>1745</v>
      </c>
      <c r="D5" s="32" t="s">
        <v>133</v>
      </c>
      <c r="E5" s="33" t="s">
        <v>134</v>
      </c>
      <c r="F5" s="34" t="s">
        <v>1854</v>
      </c>
      <c r="G5" s="35" t="s">
        <v>1384</v>
      </c>
      <c r="H5" s="36" t="s">
        <v>323</v>
      </c>
      <c r="I5" s="37" t="s">
        <v>1148</v>
      </c>
      <c r="J5" s="38">
        <v>2657</v>
      </c>
      <c r="K5" s="39" t="s">
        <v>1423</v>
      </c>
      <c r="L5" s="283"/>
      <c r="M5" s="41"/>
      <c r="N5" s="42"/>
      <c r="O5" s="40" t="str">
        <f t="shared" si="0"/>
        <v>[入]제01장 개설-제02절 필수 용어 정리-01</v>
      </c>
    </row>
    <row r="6" spans="2:15" ht="14.45" customHeight="1" x14ac:dyDescent="0.2">
      <c r="B6" s="30" t="s">
        <v>1714</v>
      </c>
      <c r="C6" s="31" t="s">
        <v>1758</v>
      </c>
      <c r="D6" s="32" t="s">
        <v>133</v>
      </c>
      <c r="E6" s="33" t="s">
        <v>134</v>
      </c>
      <c r="F6" s="34" t="s">
        <v>1854</v>
      </c>
      <c r="G6" s="35" t="s">
        <v>1384</v>
      </c>
      <c r="H6" s="36" t="s">
        <v>254</v>
      </c>
      <c r="I6" s="37" t="s">
        <v>1149</v>
      </c>
      <c r="J6" s="38">
        <v>2206</v>
      </c>
      <c r="K6" s="39" t="s">
        <v>1423</v>
      </c>
      <c r="L6" s="283"/>
      <c r="M6" s="41"/>
      <c r="N6" s="42"/>
      <c r="O6" s="40" t="str">
        <f t="shared" si="0"/>
        <v>[入]제01장 개설-제03절 행정법의 기본구조-01</v>
      </c>
    </row>
    <row r="7" spans="2:15" ht="14.45" customHeight="1" thickBot="1" x14ac:dyDescent="0.25">
      <c r="B7" s="43" t="s">
        <v>1714</v>
      </c>
      <c r="C7" s="44" t="s">
        <v>1768</v>
      </c>
      <c r="D7" s="45" t="s">
        <v>133</v>
      </c>
      <c r="E7" s="46" t="s">
        <v>134</v>
      </c>
      <c r="F7" s="47" t="s">
        <v>1854</v>
      </c>
      <c r="G7" s="48" t="s">
        <v>1384</v>
      </c>
      <c r="H7" s="49" t="s">
        <v>162</v>
      </c>
      <c r="I7" s="50" t="s">
        <v>1150</v>
      </c>
      <c r="J7" s="51">
        <v>3218</v>
      </c>
      <c r="K7" s="52" t="s">
        <v>1423</v>
      </c>
      <c r="L7" s="284"/>
      <c r="M7" s="54"/>
      <c r="N7" s="55"/>
      <c r="O7" s="53" t="str">
        <f t="shared" si="0"/>
        <v>[入]제01장 개설-제04절 행정법의 법원-01</v>
      </c>
    </row>
    <row r="8" spans="2:15" ht="14.45" customHeight="1" x14ac:dyDescent="0.2">
      <c r="B8" s="17" t="s">
        <v>1717</v>
      </c>
      <c r="C8" s="18" t="s">
        <v>1731</v>
      </c>
      <c r="D8" s="19" t="s">
        <v>133</v>
      </c>
      <c r="E8" s="20" t="s">
        <v>255</v>
      </c>
      <c r="F8" s="21" t="s">
        <v>1854</v>
      </c>
      <c r="G8" s="22" t="s">
        <v>1384</v>
      </c>
      <c r="H8" s="23" t="s">
        <v>163</v>
      </c>
      <c r="I8" s="24" t="s">
        <v>1151</v>
      </c>
      <c r="J8" s="25">
        <v>2660</v>
      </c>
      <c r="K8" s="26" t="s">
        <v>1423</v>
      </c>
      <c r="L8" s="282"/>
      <c r="M8" s="28"/>
      <c r="N8" s="29"/>
      <c r="O8" s="27" t="str">
        <f t="shared" si="0"/>
        <v>[入]제02장 행정입법(법규명령・행정규칙)-제01절 법규명령-01</v>
      </c>
    </row>
    <row r="9" spans="2:15" ht="14.45" customHeight="1" x14ac:dyDescent="0.2">
      <c r="B9" s="30" t="s">
        <v>1716</v>
      </c>
      <c r="C9" s="31" t="s">
        <v>1746</v>
      </c>
      <c r="D9" s="32" t="s">
        <v>133</v>
      </c>
      <c r="E9" s="33" t="s">
        <v>255</v>
      </c>
      <c r="F9" s="34" t="s">
        <v>1854</v>
      </c>
      <c r="G9" s="35" t="s">
        <v>1384</v>
      </c>
      <c r="H9" s="36" t="s">
        <v>164</v>
      </c>
      <c r="I9" s="37" t="s">
        <v>1152</v>
      </c>
      <c r="J9" s="38">
        <v>2045</v>
      </c>
      <c r="K9" s="39" t="s">
        <v>1423</v>
      </c>
      <c r="L9" s="283"/>
      <c r="M9" s="41"/>
      <c r="N9" s="42"/>
      <c r="O9" s="40" t="str">
        <f t="shared" si="0"/>
        <v>[入]제02장 행정입법(법규명령・행정규칙)-제02절 행정규칙(행정명령)-01</v>
      </c>
    </row>
    <row r="10" spans="2:15" ht="14.45" customHeight="1" thickBot="1" x14ac:dyDescent="0.25">
      <c r="B10" s="43" t="s">
        <v>1716</v>
      </c>
      <c r="C10" s="44" t="s">
        <v>1759</v>
      </c>
      <c r="D10" s="45" t="s">
        <v>133</v>
      </c>
      <c r="E10" s="46" t="s">
        <v>255</v>
      </c>
      <c r="F10" s="47" t="s">
        <v>1854</v>
      </c>
      <c r="G10" s="48" t="s">
        <v>1384</v>
      </c>
      <c r="H10" s="49" t="s">
        <v>165</v>
      </c>
      <c r="I10" s="50" t="s">
        <v>1153</v>
      </c>
      <c r="J10" s="51">
        <v>2179</v>
      </c>
      <c r="K10" s="52" t="s">
        <v>1423</v>
      </c>
      <c r="L10" s="284"/>
      <c r="M10" s="54"/>
      <c r="N10" s="55"/>
      <c r="O10" s="53" t="str">
        <f t="shared" si="0"/>
        <v>[入]제02장 행정입법(법규명령・행정규칙)-제03절 행정규칙의 형식과 내용-01</v>
      </c>
    </row>
    <row r="11" spans="2:15" ht="14.45" customHeight="1" x14ac:dyDescent="0.2">
      <c r="B11" s="17" t="s">
        <v>1719</v>
      </c>
      <c r="C11" s="18" t="s">
        <v>1732</v>
      </c>
      <c r="D11" s="19" t="s">
        <v>133</v>
      </c>
      <c r="E11" s="20" t="s">
        <v>135</v>
      </c>
      <c r="F11" s="21" t="s">
        <v>1854</v>
      </c>
      <c r="G11" s="22" t="s">
        <v>1384</v>
      </c>
      <c r="H11" s="23" t="s">
        <v>166</v>
      </c>
      <c r="I11" s="24" t="s">
        <v>1154</v>
      </c>
      <c r="J11" s="25">
        <v>2373</v>
      </c>
      <c r="K11" s="26" t="s">
        <v>1423</v>
      </c>
      <c r="L11" s="282"/>
      <c r="M11" s="28"/>
      <c r="N11" s="29"/>
      <c r="O11" s="27" t="str">
        <f t="shared" si="0"/>
        <v>[入]제03장 행정법의 일반 원칙-제01절 비례의 원칙-01</v>
      </c>
    </row>
    <row r="12" spans="2:15" ht="14.45" customHeight="1" x14ac:dyDescent="0.2">
      <c r="B12" s="30" t="s">
        <v>1718</v>
      </c>
      <c r="C12" s="31" t="s">
        <v>1747</v>
      </c>
      <c r="D12" s="32" t="s">
        <v>133</v>
      </c>
      <c r="E12" s="33" t="s">
        <v>135</v>
      </c>
      <c r="F12" s="34" t="s">
        <v>1854</v>
      </c>
      <c r="G12" s="35" t="s">
        <v>1384</v>
      </c>
      <c r="H12" s="36" t="s">
        <v>167</v>
      </c>
      <c r="I12" s="37" t="s">
        <v>1155</v>
      </c>
      <c r="J12" s="38">
        <v>2589</v>
      </c>
      <c r="K12" s="39" t="s">
        <v>1423</v>
      </c>
      <c r="L12" s="283"/>
      <c r="M12" s="41"/>
      <c r="N12" s="42"/>
      <c r="O12" s="40" t="str">
        <f t="shared" si="0"/>
        <v>[入]제03장 행정법의 일반 원칙-제02절 신뢰보호의 원칙-01</v>
      </c>
    </row>
    <row r="13" spans="2:15" ht="14.45" customHeight="1" x14ac:dyDescent="0.2">
      <c r="B13" s="30" t="s">
        <v>1718</v>
      </c>
      <c r="C13" s="31" t="s">
        <v>1760</v>
      </c>
      <c r="D13" s="32" t="s">
        <v>133</v>
      </c>
      <c r="E13" s="33" t="s">
        <v>135</v>
      </c>
      <c r="F13" s="34" t="s">
        <v>1854</v>
      </c>
      <c r="G13" s="35" t="s">
        <v>1384</v>
      </c>
      <c r="H13" s="36" t="s">
        <v>168</v>
      </c>
      <c r="I13" s="37" t="s">
        <v>1156</v>
      </c>
      <c r="J13" s="38">
        <v>2713</v>
      </c>
      <c r="K13" s="39" t="s">
        <v>1423</v>
      </c>
      <c r="L13" s="283"/>
      <c r="M13" s="41"/>
      <c r="N13" s="42"/>
      <c r="O13" s="40" t="str">
        <f t="shared" si="0"/>
        <v>[入]제03장 행정법의 일반 원칙-제03절 평등의 원칙-01</v>
      </c>
    </row>
    <row r="14" spans="2:15" ht="14.45" customHeight="1" x14ac:dyDescent="0.2">
      <c r="B14" s="30" t="s">
        <v>1718</v>
      </c>
      <c r="C14" s="31" t="s">
        <v>1769</v>
      </c>
      <c r="D14" s="32" t="s">
        <v>133</v>
      </c>
      <c r="E14" s="33" t="s">
        <v>135</v>
      </c>
      <c r="F14" s="34" t="s">
        <v>1854</v>
      </c>
      <c r="G14" s="35" t="s">
        <v>1384</v>
      </c>
      <c r="H14" s="36" t="s">
        <v>169</v>
      </c>
      <c r="I14" s="37" t="s">
        <v>1157</v>
      </c>
      <c r="J14" s="38">
        <v>2903</v>
      </c>
      <c r="K14" s="39" t="s">
        <v>1423</v>
      </c>
      <c r="L14" s="283"/>
      <c r="M14" s="41"/>
      <c r="N14" s="42"/>
      <c r="O14" s="40" t="str">
        <f t="shared" si="0"/>
        <v>[入]제03장 행정법의 일반 원칙-제04절 자기구속의 원칙-01</v>
      </c>
    </row>
    <row r="15" spans="2:15" ht="14.45" customHeight="1" x14ac:dyDescent="0.2">
      <c r="B15" s="30" t="s">
        <v>1718</v>
      </c>
      <c r="C15" s="31" t="s">
        <v>1776</v>
      </c>
      <c r="D15" s="32" t="s">
        <v>133</v>
      </c>
      <c r="E15" s="33" t="s">
        <v>135</v>
      </c>
      <c r="F15" s="34" t="s">
        <v>1854</v>
      </c>
      <c r="G15" s="35" t="s">
        <v>1384</v>
      </c>
      <c r="H15" s="36" t="s">
        <v>170</v>
      </c>
      <c r="I15" s="37" t="s">
        <v>1158</v>
      </c>
      <c r="J15" s="38">
        <v>2881</v>
      </c>
      <c r="K15" s="39" t="s">
        <v>1423</v>
      </c>
      <c r="L15" s="283"/>
      <c r="M15" s="41"/>
      <c r="N15" s="42"/>
      <c r="O15" s="40" t="str">
        <f t="shared" si="0"/>
        <v>[入]제03장 행정법의 일반 원칙-제05절 부당결부금지의 원칙-01</v>
      </c>
    </row>
    <row r="16" spans="2:15" ht="14.45" customHeight="1" thickBot="1" x14ac:dyDescent="0.25">
      <c r="B16" s="43" t="s">
        <v>1718</v>
      </c>
      <c r="C16" s="44" t="s">
        <v>1779</v>
      </c>
      <c r="D16" s="45" t="s">
        <v>133</v>
      </c>
      <c r="E16" s="46" t="s">
        <v>135</v>
      </c>
      <c r="F16" s="47" t="s">
        <v>1854</v>
      </c>
      <c r="G16" s="48" t="s">
        <v>1384</v>
      </c>
      <c r="H16" s="49" t="s">
        <v>171</v>
      </c>
      <c r="I16" s="50" t="s">
        <v>1159</v>
      </c>
      <c r="J16" s="51">
        <v>1977</v>
      </c>
      <c r="K16" s="52" t="s">
        <v>1423</v>
      </c>
      <c r="L16" s="284"/>
      <c r="M16" s="54"/>
      <c r="N16" s="55"/>
      <c r="O16" s="53" t="str">
        <f t="shared" si="0"/>
        <v>[入]제03장 행정법의 일반 원칙-제06절 기타 제 원칙-01</v>
      </c>
    </row>
    <row r="17" spans="2:15" ht="14.45" customHeight="1" x14ac:dyDescent="0.2">
      <c r="B17" s="17" t="s">
        <v>1721</v>
      </c>
      <c r="C17" s="18" t="s">
        <v>1733</v>
      </c>
      <c r="D17" s="19" t="s">
        <v>133</v>
      </c>
      <c r="E17" s="20" t="s">
        <v>137</v>
      </c>
      <c r="F17" s="21" t="s">
        <v>1854</v>
      </c>
      <c r="G17" s="22" t="s">
        <v>1384</v>
      </c>
      <c r="H17" s="23" t="s">
        <v>564</v>
      </c>
      <c r="I17" s="24" t="s">
        <v>1160</v>
      </c>
      <c r="J17" s="25">
        <v>2115</v>
      </c>
      <c r="K17" s="26" t="s">
        <v>1423</v>
      </c>
      <c r="L17" s="282"/>
      <c r="M17" s="28"/>
      <c r="N17" s="29"/>
      <c r="O17" s="27" t="str">
        <f t="shared" si="0"/>
        <v>[入]제04장 행정법 관계-제01절 행정법 관계의 서설-01</v>
      </c>
    </row>
    <row r="18" spans="2:15" ht="14.45" customHeight="1" x14ac:dyDescent="0.2">
      <c r="B18" s="30" t="s">
        <v>1720</v>
      </c>
      <c r="C18" s="31" t="s">
        <v>1748</v>
      </c>
      <c r="D18" s="32" t="s">
        <v>133</v>
      </c>
      <c r="E18" s="33" t="s">
        <v>136</v>
      </c>
      <c r="F18" s="34" t="s">
        <v>1854</v>
      </c>
      <c r="G18" s="35" t="s">
        <v>1384</v>
      </c>
      <c r="H18" s="36" t="s">
        <v>173</v>
      </c>
      <c r="I18" s="37" t="s">
        <v>1161</v>
      </c>
      <c r="J18" s="38">
        <v>3261</v>
      </c>
      <c r="K18" s="39" t="s">
        <v>1423</v>
      </c>
      <c r="L18" s="283"/>
      <c r="M18" s="41"/>
      <c r="N18" s="42"/>
      <c r="O18" s="40" t="str">
        <f t="shared" si="0"/>
        <v>[入]제04장 행정법 관계-제02절 행정법 관계의 당사자-01</v>
      </c>
    </row>
    <row r="19" spans="2:15" ht="14.45" customHeight="1" x14ac:dyDescent="0.2">
      <c r="B19" s="30" t="s">
        <v>1720</v>
      </c>
      <c r="C19" s="31" t="s">
        <v>1761</v>
      </c>
      <c r="D19" s="32" t="s">
        <v>133</v>
      </c>
      <c r="E19" s="33" t="s">
        <v>136</v>
      </c>
      <c r="F19" s="34" t="s">
        <v>1854</v>
      </c>
      <c r="G19" s="35" t="s">
        <v>1384</v>
      </c>
      <c r="H19" s="36" t="s">
        <v>174</v>
      </c>
      <c r="I19" s="37" t="s">
        <v>1162</v>
      </c>
      <c r="J19" s="38">
        <v>3651</v>
      </c>
      <c r="K19" s="39" t="s">
        <v>1423</v>
      </c>
      <c r="L19" s="283"/>
      <c r="M19" s="41"/>
      <c r="N19" s="42"/>
      <c r="O19" s="40" t="str">
        <f t="shared" si="0"/>
        <v>[入]제04장 행정법 관계-제03절 행정상 법률관계-01</v>
      </c>
    </row>
    <row r="20" spans="2:15" ht="14.45" customHeight="1" thickBot="1" x14ac:dyDescent="0.25">
      <c r="B20" s="30" t="s">
        <v>1720</v>
      </c>
      <c r="C20" s="56" t="s">
        <v>1770</v>
      </c>
      <c r="D20" s="57" t="s">
        <v>133</v>
      </c>
      <c r="E20" s="58" t="s">
        <v>136</v>
      </c>
      <c r="F20" s="59" t="s">
        <v>1854</v>
      </c>
      <c r="G20" s="60" t="s">
        <v>1384</v>
      </c>
      <c r="H20" s="61" t="s">
        <v>241</v>
      </c>
      <c r="I20" s="62" t="s">
        <v>1163</v>
      </c>
      <c r="J20" s="63">
        <v>2634</v>
      </c>
      <c r="K20" s="64" t="s">
        <v>1423</v>
      </c>
      <c r="L20" s="285"/>
      <c r="M20" s="66"/>
      <c r="N20" s="67"/>
      <c r="O20" s="65" t="str">
        <f t="shared" si="0"/>
        <v>[入]제04장 행정법 관계-제04절 공법관계와 사법관계-01</v>
      </c>
    </row>
    <row r="21" spans="2:15" ht="14.45" customHeight="1" x14ac:dyDescent="0.2">
      <c r="B21" s="17" t="s">
        <v>1723</v>
      </c>
      <c r="C21" s="18" t="s">
        <v>1734</v>
      </c>
      <c r="D21" s="19" t="s">
        <v>133</v>
      </c>
      <c r="E21" s="20" t="s">
        <v>139</v>
      </c>
      <c r="F21" s="21" t="s">
        <v>1854</v>
      </c>
      <c r="G21" s="22" t="s">
        <v>1384</v>
      </c>
      <c r="H21" s="23" t="s">
        <v>175</v>
      </c>
      <c r="I21" s="24" t="s">
        <v>1164</v>
      </c>
      <c r="J21" s="25">
        <v>2071</v>
      </c>
      <c r="K21" s="26" t="s">
        <v>1423</v>
      </c>
      <c r="L21" s="282"/>
      <c r="M21" s="28"/>
      <c r="N21" s="29"/>
      <c r="O21" s="27" t="str">
        <f t="shared" si="0"/>
        <v>[入]제05장 공법행위-제01절 개념 및 종류-01</v>
      </c>
    </row>
    <row r="22" spans="2:15" ht="14.45" customHeight="1" thickBot="1" x14ac:dyDescent="0.25">
      <c r="B22" s="43" t="s">
        <v>1722</v>
      </c>
      <c r="C22" s="44" t="s">
        <v>1749</v>
      </c>
      <c r="D22" s="45" t="s">
        <v>133</v>
      </c>
      <c r="E22" s="46" t="s">
        <v>138</v>
      </c>
      <c r="F22" s="47" t="s">
        <v>1854</v>
      </c>
      <c r="G22" s="48" t="s">
        <v>1384</v>
      </c>
      <c r="H22" s="49" t="s">
        <v>176</v>
      </c>
      <c r="I22" s="50" t="s">
        <v>1165</v>
      </c>
      <c r="J22" s="51">
        <v>3389</v>
      </c>
      <c r="K22" s="52" t="s">
        <v>1423</v>
      </c>
      <c r="L22" s="284"/>
      <c r="M22" s="54"/>
      <c r="N22" s="55"/>
      <c r="O22" s="53" t="str">
        <f t="shared" si="0"/>
        <v>[入]제05장 공법행위-제02절 신고 및 신청-01</v>
      </c>
    </row>
    <row r="23" spans="2:15" ht="14.45" customHeight="1" x14ac:dyDescent="0.2">
      <c r="B23" s="17" t="s">
        <v>1725</v>
      </c>
      <c r="C23" s="18" t="s">
        <v>1735</v>
      </c>
      <c r="D23" s="19" t="s">
        <v>133</v>
      </c>
      <c r="E23" s="20" t="s">
        <v>13</v>
      </c>
      <c r="F23" s="21" t="s">
        <v>1854</v>
      </c>
      <c r="G23" s="22" t="s">
        <v>1384</v>
      </c>
      <c r="H23" s="23" t="s">
        <v>177</v>
      </c>
      <c r="I23" s="24" t="s">
        <v>1166</v>
      </c>
      <c r="J23" s="25">
        <v>2923</v>
      </c>
      <c r="K23" s="26" t="s">
        <v>1423</v>
      </c>
      <c r="L23" s="282"/>
      <c r="M23" s="28"/>
      <c r="N23" s="29"/>
      <c r="O23" s="27" t="str">
        <f t="shared" si="0"/>
        <v>[入]제06장 행정행위-제01절 행정행위 일반-01</v>
      </c>
    </row>
    <row r="24" spans="2:15" ht="14.45" customHeight="1" x14ac:dyDescent="0.2">
      <c r="B24" s="30" t="s">
        <v>1724</v>
      </c>
      <c r="C24" s="31" t="s">
        <v>1750</v>
      </c>
      <c r="D24" s="32" t="s">
        <v>133</v>
      </c>
      <c r="E24" s="33" t="s">
        <v>140</v>
      </c>
      <c r="F24" s="34" t="s">
        <v>1854</v>
      </c>
      <c r="G24" s="35" t="s">
        <v>1384</v>
      </c>
      <c r="H24" s="36" t="s">
        <v>277</v>
      </c>
      <c r="I24" s="37" t="s">
        <v>1167</v>
      </c>
      <c r="J24" s="38">
        <v>6291</v>
      </c>
      <c r="K24" s="39" t="s">
        <v>1423</v>
      </c>
      <c r="L24" s="283"/>
      <c r="M24" s="41"/>
      <c r="N24" s="42"/>
      <c r="O24" s="40" t="str">
        <f t="shared" si="0"/>
        <v>[入]제06장 행정행위-제02절 행정행위 내용에 따른 구분-01</v>
      </c>
    </row>
    <row r="25" spans="2:15" ht="14.45" customHeight="1" x14ac:dyDescent="0.2">
      <c r="B25" s="30" t="s">
        <v>1724</v>
      </c>
      <c r="C25" s="31" t="s">
        <v>1762</v>
      </c>
      <c r="D25" s="32" t="s">
        <v>133</v>
      </c>
      <c r="E25" s="33" t="s">
        <v>140</v>
      </c>
      <c r="F25" s="34" t="s">
        <v>1854</v>
      </c>
      <c r="G25" s="35" t="s">
        <v>1384</v>
      </c>
      <c r="H25" s="36" t="s">
        <v>324</v>
      </c>
      <c r="I25" s="37" t="s">
        <v>1168</v>
      </c>
      <c r="J25" s="38">
        <v>1874</v>
      </c>
      <c r="K25" s="39" t="s">
        <v>1423</v>
      </c>
      <c r="L25" s="283"/>
      <c r="M25" s="41"/>
      <c r="N25" s="42"/>
      <c r="O25" s="40" t="str">
        <f t="shared" si="0"/>
        <v>[入]제06장 행정행위-제03절 법적 구속 정도에 따른 구분-01</v>
      </c>
    </row>
    <row r="26" spans="2:15" ht="14.45" customHeight="1" thickBot="1" x14ac:dyDescent="0.25">
      <c r="B26" s="43" t="s">
        <v>1724</v>
      </c>
      <c r="C26" s="44" t="s">
        <v>1771</v>
      </c>
      <c r="D26" s="45" t="s">
        <v>133</v>
      </c>
      <c r="E26" s="46" t="s">
        <v>140</v>
      </c>
      <c r="F26" s="47" t="s">
        <v>1854</v>
      </c>
      <c r="G26" s="48" t="s">
        <v>1384</v>
      </c>
      <c r="H26" s="49" t="s">
        <v>270</v>
      </c>
      <c r="I26" s="50" t="s">
        <v>1169</v>
      </c>
      <c r="J26" s="51">
        <v>1923</v>
      </c>
      <c r="K26" s="52" t="s">
        <v>1423</v>
      </c>
      <c r="L26" s="284"/>
      <c r="M26" s="54"/>
      <c r="N26" s="55"/>
      <c r="O26" s="53" t="str">
        <f t="shared" si="0"/>
        <v>[入]제06장 행정행위-제04절 다단계 행정결정-01</v>
      </c>
    </row>
    <row r="27" spans="2:15" ht="14.45" customHeight="1" x14ac:dyDescent="0.2">
      <c r="B27" s="17" t="s">
        <v>1727</v>
      </c>
      <c r="C27" s="18" t="s">
        <v>1736</v>
      </c>
      <c r="D27" s="19" t="s">
        <v>133</v>
      </c>
      <c r="E27" s="20" t="s">
        <v>142</v>
      </c>
      <c r="F27" s="21" t="s">
        <v>1854</v>
      </c>
      <c r="G27" s="22" t="s">
        <v>1384</v>
      </c>
      <c r="H27" s="23" t="s">
        <v>178</v>
      </c>
      <c r="I27" s="24" t="s">
        <v>1170</v>
      </c>
      <c r="J27" s="25">
        <v>2182</v>
      </c>
      <c r="K27" s="26" t="s">
        <v>1423</v>
      </c>
      <c r="L27" s="282"/>
      <c r="M27" s="28"/>
      <c r="N27" s="29"/>
      <c r="O27" s="27" t="str">
        <f t="shared" si="0"/>
        <v>[入]제07장 행정의 실효성 확보수단-제01절 행정행위의 실효성 확보수단-01</v>
      </c>
    </row>
    <row r="28" spans="2:15" ht="14.45" customHeight="1" x14ac:dyDescent="0.2">
      <c r="B28" s="30" t="s">
        <v>1726</v>
      </c>
      <c r="C28" s="31" t="s">
        <v>1751</v>
      </c>
      <c r="D28" s="32" t="s">
        <v>133</v>
      </c>
      <c r="E28" s="33" t="s">
        <v>141</v>
      </c>
      <c r="F28" s="34" t="s">
        <v>1854</v>
      </c>
      <c r="G28" s="35" t="s">
        <v>1384</v>
      </c>
      <c r="H28" s="36" t="s">
        <v>179</v>
      </c>
      <c r="I28" s="37" t="s">
        <v>1171</v>
      </c>
      <c r="J28" s="38">
        <v>1907</v>
      </c>
      <c r="K28" s="39" t="s">
        <v>1423</v>
      </c>
      <c r="L28" s="283"/>
      <c r="M28" s="41"/>
      <c r="N28" s="42"/>
      <c r="O28" s="40" t="str">
        <f t="shared" si="0"/>
        <v>[入]제07장 행정의 실효성 확보수단-제02절 대집행-01</v>
      </c>
    </row>
    <row r="29" spans="2:15" ht="14.45" customHeight="1" x14ac:dyDescent="0.2">
      <c r="B29" s="30" t="s">
        <v>1726</v>
      </c>
      <c r="C29" s="31" t="s">
        <v>1763</v>
      </c>
      <c r="D29" s="32" t="s">
        <v>133</v>
      </c>
      <c r="E29" s="33" t="s">
        <v>141</v>
      </c>
      <c r="F29" s="34" t="s">
        <v>1854</v>
      </c>
      <c r="G29" s="35" t="s">
        <v>1384</v>
      </c>
      <c r="H29" s="36" t="s">
        <v>180</v>
      </c>
      <c r="I29" s="37" t="s">
        <v>1172</v>
      </c>
      <c r="J29" s="38">
        <v>1250</v>
      </c>
      <c r="K29" s="39" t="s">
        <v>1423</v>
      </c>
      <c r="L29" s="283"/>
      <c r="M29" s="41"/>
      <c r="N29" s="42"/>
      <c r="O29" s="40" t="str">
        <f t="shared" si="0"/>
        <v>[入]제07장 행정의 실효성 확보수단-제03절 직접강제-01</v>
      </c>
    </row>
    <row r="30" spans="2:15" ht="14.45" customHeight="1" x14ac:dyDescent="0.2">
      <c r="B30" s="30" t="s">
        <v>1726</v>
      </c>
      <c r="C30" s="56" t="s">
        <v>1772</v>
      </c>
      <c r="D30" s="68" t="s">
        <v>133</v>
      </c>
      <c r="E30" s="33" t="s">
        <v>141</v>
      </c>
      <c r="F30" s="34" t="s">
        <v>1854</v>
      </c>
      <c r="G30" s="35" t="s">
        <v>1384</v>
      </c>
      <c r="H30" s="36" t="s">
        <v>181</v>
      </c>
      <c r="I30" s="37" t="s">
        <v>1173</v>
      </c>
      <c r="J30" s="38">
        <v>1590</v>
      </c>
      <c r="K30" s="39" t="s">
        <v>1423</v>
      </c>
      <c r="L30" s="283"/>
      <c r="M30" s="41"/>
      <c r="N30" s="42"/>
      <c r="O30" s="40" t="str">
        <f t="shared" si="0"/>
        <v>[入]제07장 행정의 실효성 확보수단-제04절 강제징수-01</v>
      </c>
    </row>
    <row r="31" spans="2:15" ht="14.45" customHeight="1" x14ac:dyDescent="0.2">
      <c r="B31" s="30" t="s">
        <v>1726</v>
      </c>
      <c r="C31" s="31" t="s">
        <v>1777</v>
      </c>
      <c r="D31" s="32" t="s">
        <v>133</v>
      </c>
      <c r="E31" s="33" t="s">
        <v>142</v>
      </c>
      <c r="F31" s="34" t="s">
        <v>1854</v>
      </c>
      <c r="G31" s="35" t="s">
        <v>1384</v>
      </c>
      <c r="H31" s="36" t="s">
        <v>182</v>
      </c>
      <c r="I31" s="37" t="s">
        <v>1174</v>
      </c>
      <c r="J31" s="38">
        <v>1528</v>
      </c>
      <c r="K31" s="39" t="s">
        <v>1423</v>
      </c>
      <c r="L31" s="283"/>
      <c r="M31" s="41"/>
      <c r="N31" s="42"/>
      <c r="O31" s="40" t="str">
        <f t="shared" si="0"/>
        <v>[入]제07장 행정의 실효성 확보수단-제05절 즉시강제-01</v>
      </c>
    </row>
    <row r="32" spans="2:15" ht="14.45" customHeight="1" x14ac:dyDescent="0.2">
      <c r="B32" s="30" t="s">
        <v>1726</v>
      </c>
      <c r="C32" s="56" t="s">
        <v>1780</v>
      </c>
      <c r="D32" s="68" t="s">
        <v>133</v>
      </c>
      <c r="E32" s="33" t="s">
        <v>142</v>
      </c>
      <c r="F32" s="34" t="s">
        <v>1854</v>
      </c>
      <c r="G32" s="35" t="s">
        <v>1384</v>
      </c>
      <c r="H32" s="36" t="s">
        <v>285</v>
      </c>
      <c r="I32" s="37" t="s">
        <v>1175</v>
      </c>
      <c r="J32" s="38">
        <v>1451</v>
      </c>
      <c r="K32" s="39" t="s">
        <v>1423</v>
      </c>
      <c r="L32" s="283"/>
      <c r="M32" s="41"/>
      <c r="N32" s="42"/>
      <c r="O32" s="40" t="str">
        <f t="shared" si="0"/>
        <v>[入]제07장 행정의 실효성 확보수단-제06절 이행강제금(집행벌)-01</v>
      </c>
    </row>
    <row r="33" spans="2:15" ht="14.45" customHeight="1" x14ac:dyDescent="0.2">
      <c r="B33" s="30" t="s">
        <v>1726</v>
      </c>
      <c r="C33" s="56" t="s">
        <v>1782</v>
      </c>
      <c r="D33" s="68" t="s">
        <v>133</v>
      </c>
      <c r="E33" s="33" t="s">
        <v>141</v>
      </c>
      <c r="F33" s="34" t="s">
        <v>1854</v>
      </c>
      <c r="G33" s="35" t="s">
        <v>1384</v>
      </c>
      <c r="H33" s="36" t="s">
        <v>183</v>
      </c>
      <c r="I33" s="37" t="s">
        <v>1176</v>
      </c>
      <c r="J33" s="38">
        <v>1501</v>
      </c>
      <c r="K33" s="39" t="s">
        <v>1423</v>
      </c>
      <c r="L33" s="283"/>
      <c r="M33" s="41"/>
      <c r="N33" s="42"/>
      <c r="O33" s="40" t="str">
        <f t="shared" si="0"/>
        <v>[入]제07장 행정의 실효성 확보수단-제07절 행정조사-01</v>
      </c>
    </row>
    <row r="34" spans="2:15" ht="14.45" customHeight="1" x14ac:dyDescent="0.2">
      <c r="B34" s="30" t="s">
        <v>1726</v>
      </c>
      <c r="C34" s="56" t="s">
        <v>1784</v>
      </c>
      <c r="D34" s="68" t="s">
        <v>133</v>
      </c>
      <c r="E34" s="33" t="s">
        <v>141</v>
      </c>
      <c r="F34" s="34" t="s">
        <v>1854</v>
      </c>
      <c r="G34" s="35" t="s">
        <v>1384</v>
      </c>
      <c r="H34" s="36" t="s">
        <v>184</v>
      </c>
      <c r="I34" s="37" t="s">
        <v>1177</v>
      </c>
      <c r="J34" s="38">
        <v>25</v>
      </c>
      <c r="K34" s="39" t="s">
        <v>1423</v>
      </c>
      <c r="L34" s="283"/>
      <c r="M34" s="41"/>
      <c r="N34" s="42"/>
      <c r="O34" s="40" t="str">
        <f t="shared" si="0"/>
        <v>[入]제07장 행정의 실효성 확보수단-제08절 행정벌-01</v>
      </c>
    </row>
    <row r="35" spans="2:15" ht="14.45" customHeight="1" thickBot="1" x14ac:dyDescent="0.25">
      <c r="B35" s="43" t="s">
        <v>1726</v>
      </c>
      <c r="C35" s="44" t="s">
        <v>1785</v>
      </c>
      <c r="D35" s="45" t="s">
        <v>133</v>
      </c>
      <c r="E35" s="46" t="s">
        <v>141</v>
      </c>
      <c r="F35" s="47" t="s">
        <v>1854</v>
      </c>
      <c r="G35" s="48" t="s">
        <v>1384</v>
      </c>
      <c r="H35" s="49" t="s">
        <v>185</v>
      </c>
      <c r="I35" s="50" t="s">
        <v>1178</v>
      </c>
      <c r="J35" s="51">
        <v>2634</v>
      </c>
      <c r="K35" s="52" t="s">
        <v>1423</v>
      </c>
      <c r="L35" s="284"/>
      <c r="M35" s="54"/>
      <c r="N35" s="55"/>
      <c r="O35" s="53" t="str">
        <f t="shared" si="0"/>
        <v>[入]제07장 행정의 실효성 확보수단-제09절 새로운 실효성 확보수단-01</v>
      </c>
    </row>
    <row r="36" spans="2:15" ht="14.45" customHeight="1" x14ac:dyDescent="0.2">
      <c r="B36" s="17" t="s">
        <v>1729</v>
      </c>
      <c r="C36" s="18" t="s">
        <v>1737</v>
      </c>
      <c r="D36" s="19" t="s">
        <v>133</v>
      </c>
      <c r="E36" s="20" t="s">
        <v>29</v>
      </c>
      <c r="F36" s="21" t="s">
        <v>1854</v>
      </c>
      <c r="G36" s="22" t="s">
        <v>1384</v>
      </c>
      <c r="H36" s="23" t="s">
        <v>186</v>
      </c>
      <c r="I36" s="24" t="s">
        <v>1179</v>
      </c>
      <c r="J36" s="25">
        <v>2295</v>
      </c>
      <c r="K36" s="26" t="s">
        <v>1423</v>
      </c>
      <c r="L36" s="282"/>
      <c r="M36" s="28"/>
      <c r="N36" s="29"/>
      <c r="O36" s="27" t="str">
        <f t="shared" si="0"/>
        <v>[入]제08장 행정쟁송-제01절 행정심판 개관-01</v>
      </c>
    </row>
    <row r="37" spans="2:15" ht="14.45" customHeight="1" thickBot="1" x14ac:dyDescent="0.25">
      <c r="B37" s="69" t="s">
        <v>1728</v>
      </c>
      <c r="C37" s="70" t="s">
        <v>1752</v>
      </c>
      <c r="D37" s="68" t="s">
        <v>133</v>
      </c>
      <c r="E37" s="71" t="s">
        <v>29</v>
      </c>
      <c r="F37" s="72" t="s">
        <v>1854</v>
      </c>
      <c r="G37" s="73" t="s">
        <v>1384</v>
      </c>
      <c r="H37" s="74" t="s">
        <v>187</v>
      </c>
      <c r="I37" s="75" t="s">
        <v>1180</v>
      </c>
      <c r="J37" s="76">
        <v>2993</v>
      </c>
      <c r="K37" s="77" t="s">
        <v>1423</v>
      </c>
      <c r="L37" s="286"/>
      <c r="M37" s="79"/>
      <c r="N37" s="80"/>
      <c r="O37" s="78" t="str">
        <f t="shared" si="0"/>
        <v>[入]제08장 행정쟁송-제02절 행정소송 개관-01</v>
      </c>
    </row>
    <row r="38" spans="2:15" ht="14.45" customHeight="1" thickTop="1" x14ac:dyDescent="0.2">
      <c r="B38" s="81" t="s">
        <v>1397</v>
      </c>
      <c r="C38" s="82" t="s">
        <v>1738</v>
      </c>
      <c r="D38" s="83" t="s">
        <v>133</v>
      </c>
      <c r="E38" s="84" t="s">
        <v>143</v>
      </c>
      <c r="F38" s="85" t="s">
        <v>1854</v>
      </c>
      <c r="G38" s="86" t="s">
        <v>1387</v>
      </c>
      <c r="H38" s="87" t="s">
        <v>321</v>
      </c>
      <c r="I38" s="88" t="s">
        <v>1425</v>
      </c>
      <c r="J38" s="89">
        <v>2368</v>
      </c>
      <c r="K38" s="90" t="s">
        <v>1423</v>
      </c>
      <c r="L38" s="287"/>
      <c r="M38" s="92"/>
      <c r="N38" s="93"/>
      <c r="O38" s="91" t="str">
        <f t="shared" si="0"/>
        <v>제01장 행정소송의 일반론-제01절 행정소송의 일반론 개관-01</v>
      </c>
    </row>
    <row r="39" spans="2:15" ht="14.45" customHeight="1" x14ac:dyDescent="0.2">
      <c r="B39" s="30" t="s">
        <v>1396</v>
      </c>
      <c r="C39" s="94" t="s">
        <v>1753</v>
      </c>
      <c r="D39" s="95" t="s">
        <v>133</v>
      </c>
      <c r="E39" s="96" t="s">
        <v>143</v>
      </c>
      <c r="F39" s="97" t="s">
        <v>1854</v>
      </c>
      <c r="G39" s="98" t="s">
        <v>1386</v>
      </c>
      <c r="H39" s="99" t="s">
        <v>322</v>
      </c>
      <c r="I39" s="100" t="s">
        <v>1181</v>
      </c>
      <c r="J39" s="101">
        <v>3547</v>
      </c>
      <c r="K39" s="102" t="s">
        <v>1423</v>
      </c>
      <c r="L39" s="288"/>
      <c r="M39" s="104"/>
      <c r="N39" s="105"/>
      <c r="O39" s="103" t="str">
        <f t="shared" si="0"/>
        <v>제01장 행정소송의 일반론-제02절 행정소송의 유형-01</v>
      </c>
    </row>
    <row r="40" spans="2:15" ht="14.45" customHeight="1" x14ac:dyDescent="0.2">
      <c r="B40" s="30" t="s">
        <v>2168</v>
      </c>
      <c r="C40" s="106" t="s">
        <v>2169</v>
      </c>
      <c r="D40" s="372" t="s">
        <v>1379</v>
      </c>
      <c r="E40" s="387" t="s">
        <v>105</v>
      </c>
      <c r="F40" s="374" t="s">
        <v>1855</v>
      </c>
      <c r="G40" s="375" t="s">
        <v>1386</v>
      </c>
      <c r="H40" s="386" t="s">
        <v>2166</v>
      </c>
      <c r="I40" s="377" t="s">
        <v>2167</v>
      </c>
      <c r="J40" s="378">
        <v>1634</v>
      </c>
      <c r="K40" s="379" t="s">
        <v>1423</v>
      </c>
      <c r="L40" s="380"/>
      <c r="M40" s="381">
        <v>46248</v>
      </c>
      <c r="N40" s="382">
        <v>46248</v>
      </c>
      <c r="O40" s="383" t="str">
        <f t="shared" si="0"/>
        <v>제01장 행정소송의 일반론-제02절 행정소송의 유형-02</v>
      </c>
    </row>
    <row r="41" spans="2:15" ht="14.45" customHeight="1" x14ac:dyDescent="0.2">
      <c r="B41" s="30" t="s">
        <v>2168</v>
      </c>
      <c r="C41" s="106" t="s">
        <v>2169</v>
      </c>
      <c r="D41" s="372" t="s">
        <v>1379</v>
      </c>
      <c r="E41" s="387" t="s">
        <v>104</v>
      </c>
      <c r="F41" s="374" t="s">
        <v>426</v>
      </c>
      <c r="G41" s="375" t="s">
        <v>1386</v>
      </c>
      <c r="H41" s="386" t="s">
        <v>2171</v>
      </c>
      <c r="I41" s="377" t="s">
        <v>2172</v>
      </c>
      <c r="J41" s="378">
        <v>1317</v>
      </c>
      <c r="K41" s="379" t="s">
        <v>1423</v>
      </c>
      <c r="L41" s="380"/>
      <c r="M41" s="381">
        <v>46248</v>
      </c>
      <c r="N41" s="382">
        <v>46248</v>
      </c>
      <c r="O41" s="383" t="s">
        <v>2173</v>
      </c>
    </row>
    <row r="42" spans="2:15" ht="14.45" customHeight="1" x14ac:dyDescent="0.2">
      <c r="B42" s="30" t="s">
        <v>2168</v>
      </c>
      <c r="C42" s="106" t="s">
        <v>2169</v>
      </c>
      <c r="D42" s="372" t="s">
        <v>1379</v>
      </c>
      <c r="E42" s="387" t="s">
        <v>2174</v>
      </c>
      <c r="F42" s="374" t="s">
        <v>412</v>
      </c>
      <c r="G42" s="375" t="s">
        <v>1386</v>
      </c>
      <c r="H42" s="386" t="s">
        <v>2182</v>
      </c>
      <c r="I42" s="377" t="s">
        <v>2184</v>
      </c>
      <c r="J42" s="378">
        <v>2962</v>
      </c>
      <c r="K42" s="379" t="s">
        <v>1423</v>
      </c>
      <c r="L42" s="380" t="s">
        <v>2200</v>
      </c>
      <c r="M42" s="381">
        <v>46248</v>
      </c>
      <c r="N42" s="382">
        <v>46248</v>
      </c>
      <c r="O42" s="383" t="s">
        <v>2173</v>
      </c>
    </row>
    <row r="43" spans="2:15" ht="14.45" customHeight="1" x14ac:dyDescent="0.2">
      <c r="B43" s="30" t="s">
        <v>1396</v>
      </c>
      <c r="C43" s="106" t="s">
        <v>1753</v>
      </c>
      <c r="D43" s="372" t="s">
        <v>1379</v>
      </c>
      <c r="E43" s="387" t="s">
        <v>103</v>
      </c>
      <c r="F43" s="374" t="s">
        <v>2175</v>
      </c>
      <c r="G43" s="375" t="s">
        <v>1386</v>
      </c>
      <c r="H43" s="386" t="s">
        <v>2133</v>
      </c>
      <c r="I43" s="377" t="s">
        <v>2134</v>
      </c>
      <c r="J43" s="378">
        <v>2573</v>
      </c>
      <c r="K43" s="379" t="s">
        <v>1422</v>
      </c>
      <c r="L43" s="380"/>
      <c r="M43" s="381">
        <v>46248</v>
      </c>
      <c r="N43" s="382">
        <v>46248</v>
      </c>
      <c r="O43" s="383" t="s">
        <v>2203</v>
      </c>
    </row>
    <row r="44" spans="2:15" ht="14.45" customHeight="1" x14ac:dyDescent="0.2">
      <c r="B44" s="30" t="s">
        <v>1396</v>
      </c>
      <c r="C44" s="106" t="s">
        <v>1753</v>
      </c>
      <c r="D44" s="107" t="s">
        <v>2010</v>
      </c>
      <c r="E44" s="108" t="s">
        <v>1812</v>
      </c>
      <c r="F44" s="109" t="s">
        <v>2176</v>
      </c>
      <c r="G44" s="110" t="s">
        <v>1386</v>
      </c>
      <c r="H44" s="111" t="s">
        <v>1361</v>
      </c>
      <c r="I44" s="112" t="s">
        <v>2034</v>
      </c>
      <c r="J44" s="113">
        <v>1493</v>
      </c>
      <c r="K44" s="114" t="s">
        <v>1423</v>
      </c>
      <c r="L44" s="289"/>
      <c r="M44" s="116">
        <v>46244</v>
      </c>
      <c r="N44" s="117">
        <v>46244</v>
      </c>
      <c r="O44" s="115" t="str">
        <f t="shared" si="0"/>
        <v>제01장 행정소송의 일반론-제02절 행정소송의 유형-06</v>
      </c>
    </row>
    <row r="45" spans="2:15" ht="14.45" customHeight="1" x14ac:dyDescent="0.2">
      <c r="B45" s="30" t="s">
        <v>1396</v>
      </c>
      <c r="C45" s="118" t="s">
        <v>1753</v>
      </c>
      <c r="D45" s="119" t="s">
        <v>2010</v>
      </c>
      <c r="E45" s="120" t="s">
        <v>1813</v>
      </c>
      <c r="F45" s="121" t="s">
        <v>2193</v>
      </c>
      <c r="G45" s="122" t="s">
        <v>1386</v>
      </c>
      <c r="H45" s="123" t="s">
        <v>1362</v>
      </c>
      <c r="I45" s="124" t="s">
        <v>2035</v>
      </c>
      <c r="J45" s="125">
        <v>1140</v>
      </c>
      <c r="K45" s="126" t="s">
        <v>1423</v>
      </c>
      <c r="L45" s="290"/>
      <c r="M45" s="128">
        <v>46244</v>
      </c>
      <c r="N45" s="129">
        <v>46244</v>
      </c>
      <c r="O45" s="127" t="str">
        <f t="shared" si="0"/>
        <v>제01장 행정소송의 일반론-제02절 행정소송의 유형-07</v>
      </c>
    </row>
    <row r="46" spans="2:15" ht="14.45" customHeight="1" x14ac:dyDescent="0.2">
      <c r="B46" s="30" t="s">
        <v>1396</v>
      </c>
      <c r="C46" s="94" t="s">
        <v>405</v>
      </c>
      <c r="D46" s="95" t="s">
        <v>133</v>
      </c>
      <c r="E46" s="96" t="s">
        <v>143</v>
      </c>
      <c r="F46" s="97" t="s">
        <v>1854</v>
      </c>
      <c r="G46" s="98" t="s">
        <v>1386</v>
      </c>
      <c r="H46" s="99" t="s">
        <v>188</v>
      </c>
      <c r="I46" s="100" t="s">
        <v>1182</v>
      </c>
      <c r="J46" s="101">
        <v>2780</v>
      </c>
      <c r="K46" s="102" t="s">
        <v>1423</v>
      </c>
      <c r="L46" s="288"/>
      <c r="M46" s="104"/>
      <c r="N46" s="105"/>
      <c r="O46" s="103" t="str">
        <f t="shared" si="0"/>
        <v>제01장 행정소송의 일반론-제03절 행정소송의 한계-01</v>
      </c>
    </row>
    <row r="47" spans="2:15" ht="14.45" customHeight="1" thickBot="1" x14ac:dyDescent="0.25">
      <c r="B47" s="43" t="s">
        <v>1396</v>
      </c>
      <c r="C47" s="130" t="s">
        <v>405</v>
      </c>
      <c r="D47" s="131" t="s">
        <v>1379</v>
      </c>
      <c r="E47" s="132" t="s">
        <v>1254</v>
      </c>
      <c r="F47" s="133" t="s">
        <v>1855</v>
      </c>
      <c r="G47" s="134" t="s">
        <v>1386</v>
      </c>
      <c r="H47" s="135" t="s">
        <v>1231</v>
      </c>
      <c r="I47" s="136" t="s">
        <v>1232</v>
      </c>
      <c r="J47" s="137">
        <v>2053</v>
      </c>
      <c r="K47" s="138" t="s">
        <v>1393</v>
      </c>
      <c r="L47" s="291"/>
      <c r="M47" s="140">
        <v>46244</v>
      </c>
      <c r="N47" s="141">
        <v>46244</v>
      </c>
      <c r="O47" s="139" t="str">
        <f t="shared" si="0"/>
        <v>제01장 행정소송의 일반론-제03절 행정소송의 한계-02</v>
      </c>
    </row>
    <row r="48" spans="2:15" ht="14.45" customHeight="1" x14ac:dyDescent="0.2">
      <c r="B48" s="17" t="s">
        <v>406</v>
      </c>
      <c r="C48" s="142" t="s">
        <v>1739</v>
      </c>
      <c r="D48" s="143" t="s">
        <v>133</v>
      </c>
      <c r="E48" s="144" t="s">
        <v>42</v>
      </c>
      <c r="F48" s="145" t="s">
        <v>1854</v>
      </c>
      <c r="G48" s="146" t="s">
        <v>1386</v>
      </c>
      <c r="H48" s="147" t="s">
        <v>189</v>
      </c>
      <c r="I48" s="148" t="s">
        <v>1183</v>
      </c>
      <c r="J48" s="149">
        <v>2517</v>
      </c>
      <c r="K48" s="150" t="s">
        <v>1423</v>
      </c>
      <c r="L48" s="292"/>
      <c r="M48" s="152"/>
      <c r="N48" s="153"/>
      <c r="O48" s="151" t="str">
        <f t="shared" si="0"/>
        <v>제02장 취소소송의 대상적격-제01절 소송요건의 일반론-01</v>
      </c>
    </row>
    <row r="49" spans="2:15" ht="14.45" customHeight="1" x14ac:dyDescent="0.2">
      <c r="B49" s="154" t="s">
        <v>1398</v>
      </c>
      <c r="C49" s="106" t="s">
        <v>1739</v>
      </c>
      <c r="D49" s="107" t="s">
        <v>2010</v>
      </c>
      <c r="E49" s="108" t="s">
        <v>1814</v>
      </c>
      <c r="F49" s="109" t="s">
        <v>1855</v>
      </c>
      <c r="G49" s="110" t="s">
        <v>1386</v>
      </c>
      <c r="H49" s="111" t="s">
        <v>51</v>
      </c>
      <c r="I49" s="112" t="s">
        <v>2032</v>
      </c>
      <c r="J49" s="113">
        <v>1507</v>
      </c>
      <c r="K49" s="114" t="s">
        <v>1423</v>
      </c>
      <c r="L49" s="289"/>
      <c r="M49" s="116">
        <v>46244</v>
      </c>
      <c r="N49" s="117">
        <v>46244</v>
      </c>
      <c r="O49" s="115" t="str">
        <f t="shared" si="0"/>
        <v>제02장 취소소송의 대상적격-제01절 소송요건의 일반론-02</v>
      </c>
    </row>
    <row r="50" spans="2:15" ht="14.45" customHeight="1" x14ac:dyDescent="0.2">
      <c r="B50" s="154" t="s">
        <v>1398</v>
      </c>
      <c r="C50" s="118" t="s">
        <v>1739</v>
      </c>
      <c r="D50" s="119" t="s">
        <v>2010</v>
      </c>
      <c r="E50" s="120" t="s">
        <v>1815</v>
      </c>
      <c r="F50" s="121" t="s">
        <v>426</v>
      </c>
      <c r="G50" s="122" t="s">
        <v>1386</v>
      </c>
      <c r="H50" s="123" t="s">
        <v>1378</v>
      </c>
      <c r="I50" s="124" t="s">
        <v>2033</v>
      </c>
      <c r="J50" s="125">
        <v>1348</v>
      </c>
      <c r="K50" s="126" t="s">
        <v>1423</v>
      </c>
      <c r="L50" s="290"/>
      <c r="M50" s="128">
        <v>46244</v>
      </c>
      <c r="N50" s="129">
        <v>46244</v>
      </c>
      <c r="O50" s="127" t="str">
        <f t="shared" si="0"/>
        <v>제02장 취소소송의 대상적격-제01절 소송요건의 일반론-03</v>
      </c>
    </row>
    <row r="51" spans="2:15" ht="14.45" customHeight="1" x14ac:dyDescent="0.2">
      <c r="B51" s="154" t="s">
        <v>1398</v>
      </c>
      <c r="C51" s="94" t="s">
        <v>410</v>
      </c>
      <c r="D51" s="95" t="s">
        <v>133</v>
      </c>
      <c r="E51" s="96" t="s">
        <v>42</v>
      </c>
      <c r="F51" s="97" t="s">
        <v>1854</v>
      </c>
      <c r="G51" s="98" t="s">
        <v>1386</v>
      </c>
      <c r="H51" s="99" t="s">
        <v>190</v>
      </c>
      <c r="I51" s="100" t="s">
        <v>1184</v>
      </c>
      <c r="J51" s="101">
        <v>4444</v>
      </c>
      <c r="K51" s="102" t="s">
        <v>1424</v>
      </c>
      <c r="L51" s="288"/>
      <c r="M51" s="104"/>
      <c r="N51" s="105"/>
      <c r="O51" s="103" t="str">
        <f t="shared" si="0"/>
        <v>제02장 취소소송의 대상적격-제02절 처분-01</v>
      </c>
    </row>
    <row r="52" spans="2:15" ht="14.45" customHeight="1" x14ac:dyDescent="0.2">
      <c r="B52" s="154" t="s">
        <v>1398</v>
      </c>
      <c r="C52" s="106" t="s">
        <v>410</v>
      </c>
      <c r="D52" s="107" t="s">
        <v>1379</v>
      </c>
      <c r="E52" s="108" t="s">
        <v>66</v>
      </c>
      <c r="F52" s="109" t="s">
        <v>1855</v>
      </c>
      <c r="G52" s="110" t="s">
        <v>1386</v>
      </c>
      <c r="H52" s="111" t="s">
        <v>242</v>
      </c>
      <c r="I52" s="112" t="s">
        <v>1140</v>
      </c>
      <c r="J52" s="113">
        <v>3411</v>
      </c>
      <c r="K52" s="114" t="s">
        <v>1424</v>
      </c>
      <c r="L52" s="289"/>
      <c r="M52" s="116">
        <v>46244</v>
      </c>
      <c r="N52" s="117">
        <v>46244</v>
      </c>
      <c r="O52" s="115" t="str">
        <f t="shared" si="0"/>
        <v>제02장 취소소송의 대상적격-제02절 처분-02</v>
      </c>
    </row>
    <row r="53" spans="2:15" ht="14.45" customHeight="1" x14ac:dyDescent="0.2">
      <c r="B53" s="154" t="s">
        <v>1398</v>
      </c>
      <c r="C53" s="106" t="s">
        <v>410</v>
      </c>
      <c r="D53" s="107" t="s">
        <v>1379</v>
      </c>
      <c r="E53" s="108" t="s">
        <v>243</v>
      </c>
      <c r="F53" s="109" t="s">
        <v>426</v>
      </c>
      <c r="G53" s="110" t="s">
        <v>1386</v>
      </c>
      <c r="H53" s="111" t="s">
        <v>1236</v>
      </c>
      <c r="I53" s="112" t="s">
        <v>1237</v>
      </c>
      <c r="J53" s="113">
        <v>3624</v>
      </c>
      <c r="K53" s="114" t="s">
        <v>1424</v>
      </c>
      <c r="L53" s="289" t="s">
        <v>2068</v>
      </c>
      <c r="M53" s="116">
        <v>46244</v>
      </c>
      <c r="N53" s="117">
        <v>46244</v>
      </c>
      <c r="O53" s="115" t="str">
        <f t="shared" si="0"/>
        <v>제02장 취소소송의 대상적격-제02절 처분-03</v>
      </c>
    </row>
    <row r="54" spans="2:15" ht="14.45" customHeight="1" x14ac:dyDescent="0.2">
      <c r="B54" s="154" t="s">
        <v>1398</v>
      </c>
      <c r="C54" s="106" t="s">
        <v>410</v>
      </c>
      <c r="D54" s="107" t="s">
        <v>1379</v>
      </c>
      <c r="E54" s="108" t="s">
        <v>65</v>
      </c>
      <c r="F54" s="109" t="s">
        <v>412</v>
      </c>
      <c r="G54" s="110" t="s">
        <v>1386</v>
      </c>
      <c r="H54" s="111" t="s">
        <v>1234</v>
      </c>
      <c r="I54" s="112" t="s">
        <v>1235</v>
      </c>
      <c r="J54" s="113">
        <v>1682</v>
      </c>
      <c r="K54" s="114" t="s">
        <v>1424</v>
      </c>
      <c r="L54" s="289" t="s">
        <v>2069</v>
      </c>
      <c r="M54" s="116">
        <v>46244</v>
      </c>
      <c r="N54" s="117">
        <v>46244</v>
      </c>
      <c r="O54" s="115" t="str">
        <f t="shared" si="0"/>
        <v>제02장 취소소송의 대상적격-제02절 처분-04</v>
      </c>
    </row>
    <row r="55" spans="2:15" ht="14.45" customHeight="1" x14ac:dyDescent="0.2">
      <c r="B55" s="154" t="s">
        <v>1398</v>
      </c>
      <c r="C55" s="106" t="s">
        <v>410</v>
      </c>
      <c r="D55" s="107" t="s">
        <v>1379</v>
      </c>
      <c r="E55" s="108" t="s">
        <v>1256</v>
      </c>
      <c r="F55" s="109" t="s">
        <v>430</v>
      </c>
      <c r="G55" s="110" t="s">
        <v>1386</v>
      </c>
      <c r="H55" s="111" t="s">
        <v>1788</v>
      </c>
      <c r="I55" s="112" t="s">
        <v>1789</v>
      </c>
      <c r="J55" s="113">
        <v>1731</v>
      </c>
      <c r="K55" s="114" t="s">
        <v>1423</v>
      </c>
      <c r="L55" s="289"/>
      <c r="M55" s="116">
        <v>46244</v>
      </c>
      <c r="N55" s="117">
        <v>46244</v>
      </c>
      <c r="O55" s="115" t="str">
        <f t="shared" si="0"/>
        <v>제02장 취소소송의 대상적격-제02절 처분-06</v>
      </c>
    </row>
    <row r="56" spans="2:15" ht="14.45" customHeight="1" x14ac:dyDescent="0.2">
      <c r="B56" s="154" t="s">
        <v>1398</v>
      </c>
      <c r="C56" s="106" t="s">
        <v>410</v>
      </c>
      <c r="D56" s="107" t="s">
        <v>1379</v>
      </c>
      <c r="E56" s="108" t="s">
        <v>1382</v>
      </c>
      <c r="F56" s="109" t="s">
        <v>458</v>
      </c>
      <c r="G56" s="110" t="s">
        <v>1386</v>
      </c>
      <c r="H56" s="111" t="s">
        <v>1411</v>
      </c>
      <c r="I56" s="112" t="s">
        <v>1412</v>
      </c>
      <c r="J56" s="113">
        <v>2941</v>
      </c>
      <c r="K56" s="114" t="s">
        <v>1423</v>
      </c>
      <c r="L56" s="289" t="s">
        <v>2043</v>
      </c>
      <c r="M56" s="116">
        <v>46244</v>
      </c>
      <c r="N56" s="117">
        <v>46244</v>
      </c>
      <c r="O56" s="115" t="str">
        <f t="shared" si="0"/>
        <v>제02장 취소소송의 대상적격-제02절 처분-07</v>
      </c>
    </row>
    <row r="57" spans="2:15" ht="14.45" customHeight="1" x14ac:dyDescent="0.2">
      <c r="B57" s="154" t="s">
        <v>1398</v>
      </c>
      <c r="C57" s="106" t="s">
        <v>410</v>
      </c>
      <c r="D57" s="107" t="s">
        <v>1379</v>
      </c>
      <c r="E57" s="108" t="s">
        <v>248</v>
      </c>
      <c r="F57" s="109" t="s">
        <v>1856</v>
      </c>
      <c r="G57" s="110" t="s">
        <v>1386</v>
      </c>
      <c r="H57" s="111" t="s">
        <v>1409</v>
      </c>
      <c r="I57" s="112" t="s">
        <v>1410</v>
      </c>
      <c r="J57" s="113">
        <v>3823</v>
      </c>
      <c r="K57" s="114" t="s">
        <v>1424</v>
      </c>
      <c r="L57" s="289"/>
      <c r="M57" s="116">
        <v>46244</v>
      </c>
      <c r="N57" s="117">
        <v>46244</v>
      </c>
      <c r="O57" s="115" t="str">
        <f t="shared" si="0"/>
        <v>제02장 취소소송의 대상적격-제02절 처분-08</v>
      </c>
    </row>
    <row r="58" spans="2:15" ht="14.45" customHeight="1" x14ac:dyDescent="0.2">
      <c r="B58" s="154" t="s">
        <v>1398</v>
      </c>
      <c r="C58" s="106" t="s">
        <v>410</v>
      </c>
      <c r="D58" s="107" t="s">
        <v>1379</v>
      </c>
      <c r="E58" s="108" t="s">
        <v>1255</v>
      </c>
      <c r="F58" s="109" t="s">
        <v>1857</v>
      </c>
      <c r="G58" s="110" t="s">
        <v>1386</v>
      </c>
      <c r="H58" s="111" t="s">
        <v>2131</v>
      </c>
      <c r="I58" s="112" t="s">
        <v>2132</v>
      </c>
      <c r="J58" s="113">
        <v>1503</v>
      </c>
      <c r="K58" s="114" t="s">
        <v>1422</v>
      </c>
      <c r="L58" s="289"/>
      <c r="M58" s="116">
        <v>46244</v>
      </c>
      <c r="N58" s="117">
        <v>46244</v>
      </c>
      <c r="O58" s="115" t="str">
        <f t="shared" si="0"/>
        <v>제02장 취소소송의 대상적격-제02절 처분-09</v>
      </c>
    </row>
    <row r="59" spans="2:15" ht="14.45" customHeight="1" x14ac:dyDescent="0.2">
      <c r="B59" s="154" t="s">
        <v>1398</v>
      </c>
      <c r="C59" s="106" t="s">
        <v>410</v>
      </c>
      <c r="D59" s="107" t="s">
        <v>556</v>
      </c>
      <c r="E59" s="108" t="s">
        <v>1884</v>
      </c>
      <c r="F59" s="109" t="s">
        <v>447</v>
      </c>
      <c r="G59" s="110" t="s">
        <v>1386</v>
      </c>
      <c r="H59" s="111" t="s">
        <v>1560</v>
      </c>
      <c r="I59" s="112" t="s">
        <v>2046</v>
      </c>
      <c r="J59" s="113">
        <v>416</v>
      </c>
      <c r="K59" s="114" t="s">
        <v>1424</v>
      </c>
      <c r="L59" s="289" t="s">
        <v>2047</v>
      </c>
      <c r="M59" s="116"/>
      <c r="N59" s="117"/>
      <c r="O59" s="115" t="str">
        <f t="shared" si="0"/>
        <v>제02장 취소소송의 대상적격-제02절 처분-10</v>
      </c>
    </row>
    <row r="60" spans="2:15" ht="14.45" customHeight="1" x14ac:dyDescent="0.2">
      <c r="B60" s="154" t="s">
        <v>1398</v>
      </c>
      <c r="C60" s="106" t="s">
        <v>410</v>
      </c>
      <c r="D60" s="107" t="s">
        <v>556</v>
      </c>
      <c r="E60" s="108" t="s">
        <v>1885</v>
      </c>
      <c r="F60" s="109" t="s">
        <v>1858</v>
      </c>
      <c r="G60" s="110" t="s">
        <v>1386</v>
      </c>
      <c r="H60" s="111" t="s">
        <v>1561</v>
      </c>
      <c r="I60" s="112" t="s">
        <v>1440</v>
      </c>
      <c r="J60" s="113">
        <v>593</v>
      </c>
      <c r="K60" s="114" t="s">
        <v>1424</v>
      </c>
      <c r="L60" s="289" t="s">
        <v>1664</v>
      </c>
      <c r="M60" s="116"/>
      <c r="N60" s="117"/>
      <c r="O60" s="115" t="str">
        <f t="shared" si="0"/>
        <v>제02장 취소소송의 대상적격-제02절 처분-11</v>
      </c>
    </row>
    <row r="61" spans="2:15" ht="14.45" customHeight="1" x14ac:dyDescent="0.2">
      <c r="B61" s="154" t="s">
        <v>1398</v>
      </c>
      <c r="C61" s="106" t="s">
        <v>410</v>
      </c>
      <c r="D61" s="107" t="s">
        <v>556</v>
      </c>
      <c r="E61" s="108" t="s">
        <v>1886</v>
      </c>
      <c r="F61" s="109" t="s">
        <v>1859</v>
      </c>
      <c r="G61" s="110" t="s">
        <v>1386</v>
      </c>
      <c r="H61" s="111" t="s">
        <v>1562</v>
      </c>
      <c r="I61" s="112" t="s">
        <v>1441</v>
      </c>
      <c r="J61" s="113">
        <v>656</v>
      </c>
      <c r="K61" s="114" t="s">
        <v>1424</v>
      </c>
      <c r="L61" s="289" t="s">
        <v>1661</v>
      </c>
      <c r="M61" s="116"/>
      <c r="N61" s="117"/>
      <c r="O61" s="115" t="str">
        <f t="shared" si="0"/>
        <v>제02장 취소소송의 대상적격-제02절 처분-12</v>
      </c>
    </row>
    <row r="62" spans="2:15" ht="14.45" customHeight="1" x14ac:dyDescent="0.2">
      <c r="B62" s="154" t="s">
        <v>1398</v>
      </c>
      <c r="C62" s="106" t="s">
        <v>410</v>
      </c>
      <c r="D62" s="107" t="s">
        <v>556</v>
      </c>
      <c r="E62" s="108" t="s">
        <v>1887</v>
      </c>
      <c r="F62" s="109" t="s">
        <v>1860</v>
      </c>
      <c r="G62" s="110" t="s">
        <v>1386</v>
      </c>
      <c r="H62" s="111" t="s">
        <v>1563</v>
      </c>
      <c r="I62" s="112" t="s">
        <v>1442</v>
      </c>
      <c r="J62" s="113">
        <v>920</v>
      </c>
      <c r="K62" s="114" t="s">
        <v>1424</v>
      </c>
      <c r="L62" s="289" t="s">
        <v>1661</v>
      </c>
      <c r="M62" s="116"/>
      <c r="N62" s="117"/>
      <c r="O62" s="115" t="str">
        <f t="shared" si="0"/>
        <v>제02장 취소소송의 대상적격-제02절 처분-13</v>
      </c>
    </row>
    <row r="63" spans="2:15" ht="14.45" customHeight="1" x14ac:dyDescent="0.2">
      <c r="B63" s="154" t="s">
        <v>1398</v>
      </c>
      <c r="C63" s="106" t="s">
        <v>410</v>
      </c>
      <c r="D63" s="107" t="s">
        <v>556</v>
      </c>
      <c r="E63" s="108" t="s">
        <v>1888</v>
      </c>
      <c r="F63" s="109" t="s">
        <v>1861</v>
      </c>
      <c r="G63" s="110" t="s">
        <v>1386</v>
      </c>
      <c r="H63" s="111" t="s">
        <v>1564</v>
      </c>
      <c r="I63" s="112" t="s">
        <v>1443</v>
      </c>
      <c r="J63" s="113">
        <v>1252</v>
      </c>
      <c r="K63" s="114" t="s">
        <v>1424</v>
      </c>
      <c r="L63" s="289" t="s">
        <v>1661</v>
      </c>
      <c r="M63" s="116"/>
      <c r="N63" s="117"/>
      <c r="O63" s="115" t="str">
        <f t="shared" si="0"/>
        <v>제02장 취소소송의 대상적격-제02절 처분-14</v>
      </c>
    </row>
    <row r="64" spans="2:15" ht="14.45" customHeight="1" x14ac:dyDescent="0.2">
      <c r="B64" s="154" t="s">
        <v>1398</v>
      </c>
      <c r="C64" s="106" t="s">
        <v>410</v>
      </c>
      <c r="D64" s="107" t="s">
        <v>556</v>
      </c>
      <c r="E64" s="108" t="s">
        <v>1889</v>
      </c>
      <c r="F64" s="109" t="s">
        <v>419</v>
      </c>
      <c r="G64" s="110" t="s">
        <v>1386</v>
      </c>
      <c r="H64" s="111" t="s">
        <v>1565</v>
      </c>
      <c r="I64" s="112" t="s">
        <v>1444</v>
      </c>
      <c r="J64" s="113">
        <v>631</v>
      </c>
      <c r="K64" s="114" t="s">
        <v>1424</v>
      </c>
      <c r="L64" s="289" t="s">
        <v>1661</v>
      </c>
      <c r="M64" s="116"/>
      <c r="N64" s="117"/>
      <c r="O64" s="115" t="str">
        <f t="shared" si="0"/>
        <v>제02장 취소소송의 대상적격-제02절 처분-15</v>
      </c>
    </row>
    <row r="65" spans="2:15" ht="14.45" customHeight="1" x14ac:dyDescent="0.2">
      <c r="B65" s="154" t="s">
        <v>1398</v>
      </c>
      <c r="C65" s="106" t="s">
        <v>410</v>
      </c>
      <c r="D65" s="107" t="s">
        <v>556</v>
      </c>
      <c r="E65" s="108" t="s">
        <v>1890</v>
      </c>
      <c r="F65" s="109" t="s">
        <v>422</v>
      </c>
      <c r="G65" s="110" t="s">
        <v>1386</v>
      </c>
      <c r="H65" s="111" t="s">
        <v>1566</v>
      </c>
      <c r="I65" s="112" t="s">
        <v>1445</v>
      </c>
      <c r="J65" s="113">
        <v>287</v>
      </c>
      <c r="K65" s="114" t="s">
        <v>1424</v>
      </c>
      <c r="L65" s="289" t="s">
        <v>1661</v>
      </c>
      <c r="M65" s="116"/>
      <c r="N65" s="117"/>
      <c r="O65" s="115" t="str">
        <f t="shared" si="0"/>
        <v>제02장 취소소송의 대상적격-제02절 처분-16</v>
      </c>
    </row>
    <row r="66" spans="2:15" ht="14.45" customHeight="1" x14ac:dyDescent="0.2">
      <c r="B66" s="154" t="s">
        <v>1398</v>
      </c>
      <c r="C66" s="106" t="s">
        <v>410</v>
      </c>
      <c r="D66" s="107" t="s">
        <v>556</v>
      </c>
      <c r="E66" s="108" t="s">
        <v>1891</v>
      </c>
      <c r="F66" s="109" t="s">
        <v>1862</v>
      </c>
      <c r="G66" s="110" t="s">
        <v>1386</v>
      </c>
      <c r="H66" s="111" t="s">
        <v>1567</v>
      </c>
      <c r="I66" s="112" t="s">
        <v>1446</v>
      </c>
      <c r="J66" s="113">
        <v>593</v>
      </c>
      <c r="K66" s="114" t="s">
        <v>1424</v>
      </c>
      <c r="L66" s="289" t="s">
        <v>1665</v>
      </c>
      <c r="M66" s="116"/>
      <c r="N66" s="117"/>
      <c r="O66" s="115" t="str">
        <f t="shared" si="0"/>
        <v>제02장 취소소송의 대상적격-제02절 처분-17</v>
      </c>
    </row>
    <row r="67" spans="2:15" ht="14.45" customHeight="1" x14ac:dyDescent="0.2">
      <c r="B67" s="154" t="s">
        <v>1398</v>
      </c>
      <c r="C67" s="106" t="s">
        <v>410</v>
      </c>
      <c r="D67" s="107" t="s">
        <v>556</v>
      </c>
      <c r="E67" s="108" t="s">
        <v>1887</v>
      </c>
      <c r="F67" s="109" t="s">
        <v>1863</v>
      </c>
      <c r="G67" s="110" t="s">
        <v>1386</v>
      </c>
      <c r="H67" s="111" t="s">
        <v>1568</v>
      </c>
      <c r="I67" s="112" t="s">
        <v>1447</v>
      </c>
      <c r="J67" s="113">
        <v>685</v>
      </c>
      <c r="K67" s="114" t="s">
        <v>1424</v>
      </c>
      <c r="L67" s="289" t="s">
        <v>1661</v>
      </c>
      <c r="M67" s="116"/>
      <c r="N67" s="117"/>
      <c r="O67" s="115" t="str">
        <f t="shared" si="0"/>
        <v>제02장 취소소송의 대상적격-제02절 처분-18</v>
      </c>
    </row>
    <row r="68" spans="2:15" ht="14.45" customHeight="1" x14ac:dyDescent="0.2">
      <c r="B68" s="154" t="s">
        <v>1398</v>
      </c>
      <c r="C68" s="106" t="s">
        <v>410</v>
      </c>
      <c r="D68" s="107" t="s">
        <v>556</v>
      </c>
      <c r="E68" s="108" t="s">
        <v>1892</v>
      </c>
      <c r="F68" s="109" t="s">
        <v>1864</v>
      </c>
      <c r="G68" s="110" t="s">
        <v>1386</v>
      </c>
      <c r="H68" s="111" t="s">
        <v>1569</v>
      </c>
      <c r="I68" s="112" t="s">
        <v>1448</v>
      </c>
      <c r="J68" s="113">
        <v>1175</v>
      </c>
      <c r="K68" s="114" t="s">
        <v>1424</v>
      </c>
      <c r="L68" s="289" t="s">
        <v>1666</v>
      </c>
      <c r="M68" s="116"/>
      <c r="N68" s="117"/>
      <c r="O68" s="115" t="str">
        <f t="shared" si="0"/>
        <v>제02장 취소소송의 대상적격-제02절 처분-19</v>
      </c>
    </row>
    <row r="69" spans="2:15" ht="14.45" customHeight="1" x14ac:dyDescent="0.2">
      <c r="B69" s="154" t="s">
        <v>1398</v>
      </c>
      <c r="C69" s="106" t="s">
        <v>410</v>
      </c>
      <c r="D69" s="107" t="s">
        <v>556</v>
      </c>
      <c r="E69" s="108" t="s">
        <v>1893</v>
      </c>
      <c r="F69" s="109" t="s">
        <v>1865</v>
      </c>
      <c r="G69" s="110" t="s">
        <v>1386</v>
      </c>
      <c r="H69" s="111" t="s">
        <v>1570</v>
      </c>
      <c r="I69" s="112" t="s">
        <v>1449</v>
      </c>
      <c r="J69" s="113">
        <v>526</v>
      </c>
      <c r="K69" s="114" t="s">
        <v>1424</v>
      </c>
      <c r="L69" s="289" t="s">
        <v>1667</v>
      </c>
      <c r="M69" s="116"/>
      <c r="N69" s="117"/>
      <c r="O69" s="115" t="str">
        <f t="shared" si="0"/>
        <v>제02장 취소소송의 대상적격-제02절 처분-20</v>
      </c>
    </row>
    <row r="70" spans="2:15" ht="14.45" customHeight="1" x14ac:dyDescent="0.2">
      <c r="B70" s="154" t="s">
        <v>1398</v>
      </c>
      <c r="C70" s="106" t="s">
        <v>410</v>
      </c>
      <c r="D70" s="107" t="s">
        <v>556</v>
      </c>
      <c r="E70" s="108" t="s">
        <v>1894</v>
      </c>
      <c r="F70" s="109" t="s">
        <v>1866</v>
      </c>
      <c r="G70" s="110" t="s">
        <v>1386</v>
      </c>
      <c r="H70" s="111" t="s">
        <v>1571</v>
      </c>
      <c r="I70" s="112" t="s">
        <v>1450</v>
      </c>
      <c r="J70" s="113">
        <v>1152</v>
      </c>
      <c r="K70" s="114" t="s">
        <v>1424</v>
      </c>
      <c r="L70" s="289" t="s">
        <v>1668</v>
      </c>
      <c r="M70" s="116"/>
      <c r="N70" s="117"/>
      <c r="O70" s="115" t="str">
        <f t="shared" si="0"/>
        <v>제02장 취소소송의 대상적격-제02절 처분-21</v>
      </c>
    </row>
    <row r="71" spans="2:15" ht="14.45" customHeight="1" x14ac:dyDescent="0.2">
      <c r="B71" s="154" t="s">
        <v>1398</v>
      </c>
      <c r="C71" s="106" t="s">
        <v>410</v>
      </c>
      <c r="D71" s="107" t="s">
        <v>556</v>
      </c>
      <c r="E71" s="108" t="s">
        <v>1895</v>
      </c>
      <c r="F71" s="109" t="s">
        <v>1867</v>
      </c>
      <c r="G71" s="110" t="s">
        <v>1386</v>
      </c>
      <c r="H71" s="111" t="s">
        <v>1572</v>
      </c>
      <c r="I71" s="112" t="s">
        <v>1451</v>
      </c>
      <c r="J71" s="113">
        <v>881</v>
      </c>
      <c r="K71" s="114" t="s">
        <v>1424</v>
      </c>
      <c r="L71" s="289" t="s">
        <v>1668</v>
      </c>
      <c r="M71" s="116"/>
      <c r="N71" s="117"/>
      <c r="O71" s="115" t="str">
        <f t="shared" ref="O71:O136" si="1">B71&amp;"-"&amp;C71&amp;"-"&amp;F71</f>
        <v>제02장 취소소송의 대상적격-제02절 처분-22</v>
      </c>
    </row>
    <row r="72" spans="2:15" ht="14.45" customHeight="1" x14ac:dyDescent="0.2">
      <c r="B72" s="154" t="s">
        <v>1398</v>
      </c>
      <c r="C72" s="106" t="s">
        <v>410</v>
      </c>
      <c r="D72" s="107" t="s">
        <v>556</v>
      </c>
      <c r="E72" s="108" t="s">
        <v>1896</v>
      </c>
      <c r="F72" s="109" t="s">
        <v>1868</v>
      </c>
      <c r="G72" s="110" t="s">
        <v>1386</v>
      </c>
      <c r="H72" s="111" t="s">
        <v>1573</v>
      </c>
      <c r="I72" s="112" t="s">
        <v>1452</v>
      </c>
      <c r="J72" s="113">
        <v>404</v>
      </c>
      <c r="K72" s="114" t="s">
        <v>1424</v>
      </c>
      <c r="L72" s="289" t="s">
        <v>1668</v>
      </c>
      <c r="M72" s="116"/>
      <c r="N72" s="117"/>
      <c r="O72" s="115" t="str">
        <f t="shared" si="1"/>
        <v>제02장 취소소송의 대상적격-제02절 처분-23</v>
      </c>
    </row>
    <row r="73" spans="2:15" ht="14.45" customHeight="1" x14ac:dyDescent="0.2">
      <c r="B73" s="154" t="s">
        <v>1398</v>
      </c>
      <c r="C73" s="106" t="s">
        <v>410</v>
      </c>
      <c r="D73" s="107" t="s">
        <v>556</v>
      </c>
      <c r="E73" s="108" t="s">
        <v>1897</v>
      </c>
      <c r="F73" s="109" t="s">
        <v>1869</v>
      </c>
      <c r="G73" s="110" t="s">
        <v>1386</v>
      </c>
      <c r="H73" s="111" t="s">
        <v>1574</v>
      </c>
      <c r="I73" s="112" t="s">
        <v>1453</v>
      </c>
      <c r="J73" s="113">
        <v>759</v>
      </c>
      <c r="K73" s="114" t="s">
        <v>1424</v>
      </c>
      <c r="L73" s="289" t="s">
        <v>1661</v>
      </c>
      <c r="M73" s="116"/>
      <c r="N73" s="117"/>
      <c r="O73" s="115" t="str">
        <f t="shared" si="1"/>
        <v>제02장 취소소송의 대상적격-제02절 처분-24</v>
      </c>
    </row>
    <row r="74" spans="2:15" ht="14.45" customHeight="1" x14ac:dyDescent="0.2">
      <c r="B74" s="154" t="s">
        <v>1398</v>
      </c>
      <c r="C74" s="106" t="s">
        <v>410</v>
      </c>
      <c r="D74" s="107" t="s">
        <v>556</v>
      </c>
      <c r="E74" s="108" t="s">
        <v>1898</v>
      </c>
      <c r="F74" s="109" t="s">
        <v>1870</v>
      </c>
      <c r="G74" s="110" t="s">
        <v>1386</v>
      </c>
      <c r="H74" s="111" t="s">
        <v>1575</v>
      </c>
      <c r="I74" s="112" t="s">
        <v>1454</v>
      </c>
      <c r="J74" s="113">
        <v>890</v>
      </c>
      <c r="K74" s="114" t="s">
        <v>1424</v>
      </c>
      <c r="L74" s="289" t="s">
        <v>1661</v>
      </c>
      <c r="M74" s="116"/>
      <c r="N74" s="117"/>
      <c r="O74" s="115" t="str">
        <f t="shared" si="1"/>
        <v>제02장 취소소송의 대상적격-제02절 처분-25</v>
      </c>
    </row>
    <row r="75" spans="2:15" ht="14.45" customHeight="1" x14ac:dyDescent="0.2">
      <c r="B75" s="154" t="s">
        <v>1398</v>
      </c>
      <c r="C75" s="106" t="s">
        <v>410</v>
      </c>
      <c r="D75" s="107" t="s">
        <v>556</v>
      </c>
      <c r="E75" s="108" t="s">
        <v>1899</v>
      </c>
      <c r="F75" s="109" t="s">
        <v>1871</v>
      </c>
      <c r="G75" s="110" t="s">
        <v>1386</v>
      </c>
      <c r="H75" s="111" t="s">
        <v>1576</v>
      </c>
      <c r="I75" s="112" t="s">
        <v>1455</v>
      </c>
      <c r="J75" s="113">
        <v>765</v>
      </c>
      <c r="K75" s="114" t="s">
        <v>1424</v>
      </c>
      <c r="L75" s="289" t="s">
        <v>1663</v>
      </c>
      <c r="M75" s="116"/>
      <c r="N75" s="117"/>
      <c r="O75" s="115" t="str">
        <f t="shared" si="1"/>
        <v>제02장 취소소송의 대상적격-제02절 처분-26</v>
      </c>
    </row>
    <row r="76" spans="2:15" ht="14.45" customHeight="1" x14ac:dyDescent="0.2">
      <c r="B76" s="154" t="s">
        <v>1398</v>
      </c>
      <c r="C76" s="106" t="s">
        <v>410</v>
      </c>
      <c r="D76" s="107" t="s">
        <v>556</v>
      </c>
      <c r="E76" s="108" t="s">
        <v>1900</v>
      </c>
      <c r="F76" s="109" t="s">
        <v>1872</v>
      </c>
      <c r="G76" s="110" t="s">
        <v>1386</v>
      </c>
      <c r="H76" s="111" t="s">
        <v>1577</v>
      </c>
      <c r="I76" s="112" t="s">
        <v>1456</v>
      </c>
      <c r="J76" s="113">
        <v>530</v>
      </c>
      <c r="K76" s="114" t="s">
        <v>1424</v>
      </c>
      <c r="L76" s="289" t="s">
        <v>1669</v>
      </c>
      <c r="M76" s="116"/>
      <c r="N76" s="117"/>
      <c r="O76" s="115" t="str">
        <f t="shared" si="1"/>
        <v>제02장 취소소송의 대상적격-제02절 처분-27</v>
      </c>
    </row>
    <row r="77" spans="2:15" ht="14.45" customHeight="1" x14ac:dyDescent="0.2">
      <c r="B77" s="154" t="s">
        <v>1398</v>
      </c>
      <c r="C77" s="106" t="s">
        <v>410</v>
      </c>
      <c r="D77" s="107" t="s">
        <v>556</v>
      </c>
      <c r="E77" s="108" t="s">
        <v>1901</v>
      </c>
      <c r="F77" s="109" t="s">
        <v>1873</v>
      </c>
      <c r="G77" s="110" t="s">
        <v>1386</v>
      </c>
      <c r="H77" s="111" t="s">
        <v>1578</v>
      </c>
      <c r="I77" s="112" t="s">
        <v>1457</v>
      </c>
      <c r="J77" s="113">
        <v>600</v>
      </c>
      <c r="K77" s="114" t="s">
        <v>1424</v>
      </c>
      <c r="L77" s="289" t="s">
        <v>1670</v>
      </c>
      <c r="M77" s="116"/>
      <c r="N77" s="117"/>
      <c r="O77" s="115" t="str">
        <f t="shared" si="1"/>
        <v>제02장 취소소송의 대상적격-제02절 처분-28</v>
      </c>
    </row>
    <row r="78" spans="2:15" ht="14.45" customHeight="1" x14ac:dyDescent="0.2">
      <c r="B78" s="154" t="s">
        <v>1398</v>
      </c>
      <c r="C78" s="106" t="s">
        <v>410</v>
      </c>
      <c r="D78" s="107" t="s">
        <v>556</v>
      </c>
      <c r="E78" s="108" t="s">
        <v>1902</v>
      </c>
      <c r="F78" s="109" t="s">
        <v>1874</v>
      </c>
      <c r="G78" s="110" t="s">
        <v>1386</v>
      </c>
      <c r="H78" s="111" t="s">
        <v>1579</v>
      </c>
      <c r="I78" s="112" t="s">
        <v>1458</v>
      </c>
      <c r="J78" s="113">
        <v>462</v>
      </c>
      <c r="K78" s="114" t="s">
        <v>1424</v>
      </c>
      <c r="L78" s="289" t="s">
        <v>1663</v>
      </c>
      <c r="M78" s="116"/>
      <c r="N78" s="117"/>
      <c r="O78" s="115" t="str">
        <f t="shared" si="1"/>
        <v>제02장 취소소송의 대상적격-제02절 처분-29</v>
      </c>
    </row>
    <row r="79" spans="2:15" ht="14.45" customHeight="1" x14ac:dyDescent="0.2">
      <c r="B79" s="154" t="s">
        <v>1398</v>
      </c>
      <c r="C79" s="106" t="s">
        <v>410</v>
      </c>
      <c r="D79" s="107" t="s">
        <v>556</v>
      </c>
      <c r="E79" s="108" t="s">
        <v>1903</v>
      </c>
      <c r="F79" s="109" t="s">
        <v>1875</v>
      </c>
      <c r="G79" s="110" t="s">
        <v>1386</v>
      </c>
      <c r="H79" s="111" t="s">
        <v>1580</v>
      </c>
      <c r="I79" s="112" t="s">
        <v>1459</v>
      </c>
      <c r="J79" s="113">
        <v>460</v>
      </c>
      <c r="K79" s="114" t="s">
        <v>1424</v>
      </c>
      <c r="L79" s="289" t="s">
        <v>1671</v>
      </c>
      <c r="M79" s="116"/>
      <c r="N79" s="117"/>
      <c r="O79" s="115" t="str">
        <f t="shared" si="1"/>
        <v>제02장 취소소송의 대상적격-제02절 처분-30</v>
      </c>
    </row>
    <row r="80" spans="2:15" ht="14.45" customHeight="1" x14ac:dyDescent="0.2">
      <c r="B80" s="154" t="s">
        <v>1398</v>
      </c>
      <c r="C80" s="106" t="s">
        <v>410</v>
      </c>
      <c r="D80" s="107" t="s">
        <v>556</v>
      </c>
      <c r="E80" s="108" t="s">
        <v>1904</v>
      </c>
      <c r="F80" s="109" t="s">
        <v>1876</v>
      </c>
      <c r="G80" s="110" t="s">
        <v>1386</v>
      </c>
      <c r="H80" s="111" t="s">
        <v>1581</v>
      </c>
      <c r="I80" s="112" t="s">
        <v>1460</v>
      </c>
      <c r="J80" s="113">
        <v>375</v>
      </c>
      <c r="K80" s="114" t="s">
        <v>1424</v>
      </c>
      <c r="L80" s="289" t="s">
        <v>1672</v>
      </c>
      <c r="M80" s="116"/>
      <c r="N80" s="117"/>
      <c r="O80" s="115" t="str">
        <f t="shared" si="1"/>
        <v>제02장 취소소송의 대상적격-제02절 처분-31</v>
      </c>
    </row>
    <row r="81" spans="2:15" ht="14.45" customHeight="1" x14ac:dyDescent="0.2">
      <c r="B81" s="154" t="s">
        <v>1398</v>
      </c>
      <c r="C81" s="106" t="s">
        <v>410</v>
      </c>
      <c r="D81" s="107" t="s">
        <v>556</v>
      </c>
      <c r="E81" s="108" t="s">
        <v>1905</v>
      </c>
      <c r="F81" s="109" t="s">
        <v>1877</v>
      </c>
      <c r="G81" s="110" t="s">
        <v>1386</v>
      </c>
      <c r="H81" s="111" t="s">
        <v>1582</v>
      </c>
      <c r="I81" s="112" t="s">
        <v>1461</v>
      </c>
      <c r="J81" s="113">
        <v>1117</v>
      </c>
      <c r="K81" s="114" t="s">
        <v>1424</v>
      </c>
      <c r="L81" s="289" t="s">
        <v>1673</v>
      </c>
      <c r="M81" s="116"/>
      <c r="N81" s="117"/>
      <c r="O81" s="115" t="str">
        <f t="shared" si="1"/>
        <v>제02장 취소소송의 대상적격-제02절 처분-32</v>
      </c>
    </row>
    <row r="82" spans="2:15" ht="14.45" customHeight="1" x14ac:dyDescent="0.2">
      <c r="B82" s="154" t="s">
        <v>1398</v>
      </c>
      <c r="C82" s="106" t="s">
        <v>410</v>
      </c>
      <c r="D82" s="107" t="s">
        <v>556</v>
      </c>
      <c r="E82" s="108" t="s">
        <v>1906</v>
      </c>
      <c r="F82" s="109" t="s">
        <v>1878</v>
      </c>
      <c r="G82" s="110" t="s">
        <v>1386</v>
      </c>
      <c r="H82" s="111" t="s">
        <v>1583</v>
      </c>
      <c r="I82" s="112" t="s">
        <v>1462</v>
      </c>
      <c r="J82" s="113">
        <v>599</v>
      </c>
      <c r="K82" s="114" t="s">
        <v>1424</v>
      </c>
      <c r="L82" s="289" t="s">
        <v>1674</v>
      </c>
      <c r="M82" s="116"/>
      <c r="N82" s="117"/>
      <c r="O82" s="115" t="str">
        <f t="shared" si="1"/>
        <v>제02장 취소소송의 대상적격-제02절 처분-33</v>
      </c>
    </row>
    <row r="83" spans="2:15" ht="14.45" customHeight="1" x14ac:dyDescent="0.2">
      <c r="B83" s="154" t="s">
        <v>1398</v>
      </c>
      <c r="C83" s="106" t="s">
        <v>410</v>
      </c>
      <c r="D83" s="107" t="s">
        <v>556</v>
      </c>
      <c r="E83" s="108" t="s">
        <v>1907</v>
      </c>
      <c r="F83" s="109" t="s">
        <v>1879</v>
      </c>
      <c r="G83" s="110" t="s">
        <v>1386</v>
      </c>
      <c r="H83" s="111" t="s">
        <v>1584</v>
      </c>
      <c r="I83" s="112" t="s">
        <v>1463</v>
      </c>
      <c r="J83" s="113">
        <v>625</v>
      </c>
      <c r="K83" s="114" t="s">
        <v>1424</v>
      </c>
      <c r="L83" s="289" t="s">
        <v>1675</v>
      </c>
      <c r="M83" s="116"/>
      <c r="N83" s="117"/>
      <c r="O83" s="115" t="str">
        <f t="shared" si="1"/>
        <v>제02장 취소소송의 대상적격-제02절 처분-34</v>
      </c>
    </row>
    <row r="84" spans="2:15" ht="14.45" customHeight="1" x14ac:dyDescent="0.2">
      <c r="B84" s="154" t="s">
        <v>1398</v>
      </c>
      <c r="C84" s="106" t="s">
        <v>410</v>
      </c>
      <c r="D84" s="107" t="s">
        <v>556</v>
      </c>
      <c r="E84" s="108" t="s">
        <v>1908</v>
      </c>
      <c r="F84" s="109" t="s">
        <v>1880</v>
      </c>
      <c r="G84" s="110" t="s">
        <v>1386</v>
      </c>
      <c r="H84" s="111" t="s">
        <v>1585</v>
      </c>
      <c r="I84" s="112" t="s">
        <v>1464</v>
      </c>
      <c r="J84" s="113">
        <v>1126</v>
      </c>
      <c r="K84" s="114" t="s">
        <v>1424</v>
      </c>
      <c r="L84" s="289" t="s">
        <v>1661</v>
      </c>
      <c r="M84" s="116"/>
      <c r="N84" s="117"/>
      <c r="O84" s="115" t="str">
        <f t="shared" si="1"/>
        <v>제02장 취소소송의 대상적격-제02절 처분-35</v>
      </c>
    </row>
    <row r="85" spans="2:15" ht="14.45" customHeight="1" x14ac:dyDescent="0.2">
      <c r="B85" s="154" t="s">
        <v>1398</v>
      </c>
      <c r="C85" s="106" t="s">
        <v>410</v>
      </c>
      <c r="D85" s="107" t="s">
        <v>556</v>
      </c>
      <c r="E85" s="108" t="s">
        <v>1909</v>
      </c>
      <c r="F85" s="109" t="s">
        <v>1881</v>
      </c>
      <c r="G85" s="110" t="s">
        <v>1386</v>
      </c>
      <c r="H85" s="111" t="s">
        <v>1586</v>
      </c>
      <c r="I85" s="112" t="s">
        <v>1465</v>
      </c>
      <c r="J85" s="113">
        <v>544</v>
      </c>
      <c r="K85" s="114" t="s">
        <v>1424</v>
      </c>
      <c r="L85" s="289" t="s">
        <v>1661</v>
      </c>
      <c r="M85" s="116"/>
      <c r="N85" s="117"/>
      <c r="O85" s="115" t="str">
        <f t="shared" si="1"/>
        <v>제02장 취소소송의 대상적격-제02절 처분-36</v>
      </c>
    </row>
    <row r="86" spans="2:15" ht="14.45" customHeight="1" x14ac:dyDescent="0.2">
      <c r="B86" s="154" t="s">
        <v>1398</v>
      </c>
      <c r="C86" s="106" t="s">
        <v>410</v>
      </c>
      <c r="D86" s="107" t="s">
        <v>556</v>
      </c>
      <c r="E86" s="108" t="s">
        <v>1910</v>
      </c>
      <c r="F86" s="109" t="s">
        <v>1882</v>
      </c>
      <c r="G86" s="110" t="s">
        <v>1386</v>
      </c>
      <c r="H86" s="111" t="s">
        <v>1587</v>
      </c>
      <c r="I86" s="112" t="s">
        <v>1466</v>
      </c>
      <c r="J86" s="113">
        <v>1174</v>
      </c>
      <c r="K86" s="114" t="s">
        <v>1424</v>
      </c>
      <c r="L86" s="289" t="s">
        <v>1663</v>
      </c>
      <c r="M86" s="116"/>
      <c r="N86" s="117"/>
      <c r="O86" s="115" t="str">
        <f t="shared" si="1"/>
        <v>제02장 취소소송의 대상적격-제02절 처분-37</v>
      </c>
    </row>
    <row r="87" spans="2:15" ht="14.45" customHeight="1" x14ac:dyDescent="0.2">
      <c r="B87" s="154" t="s">
        <v>1398</v>
      </c>
      <c r="C87" s="118" t="s">
        <v>410</v>
      </c>
      <c r="D87" s="119" t="s">
        <v>556</v>
      </c>
      <c r="E87" s="120" t="s">
        <v>1911</v>
      </c>
      <c r="F87" s="121" t="s">
        <v>1883</v>
      </c>
      <c r="G87" s="122" t="s">
        <v>1386</v>
      </c>
      <c r="H87" s="123" t="s">
        <v>1588</v>
      </c>
      <c r="I87" s="124" t="s">
        <v>1467</v>
      </c>
      <c r="J87" s="125">
        <v>1043</v>
      </c>
      <c r="K87" s="126" t="s">
        <v>1422</v>
      </c>
      <c r="L87" s="290" t="s">
        <v>1663</v>
      </c>
      <c r="M87" s="128"/>
      <c r="N87" s="129"/>
      <c r="O87" s="127" t="str">
        <f t="shared" si="1"/>
        <v>제02장 취소소송의 대상적격-제02절 처분-38</v>
      </c>
    </row>
    <row r="88" spans="2:15" ht="14.45" customHeight="1" x14ac:dyDescent="0.2">
      <c r="B88" s="154" t="s">
        <v>1398</v>
      </c>
      <c r="C88" s="94" t="s">
        <v>424</v>
      </c>
      <c r="D88" s="95" t="s">
        <v>133</v>
      </c>
      <c r="E88" s="96" t="s">
        <v>42</v>
      </c>
      <c r="F88" s="97" t="s">
        <v>1854</v>
      </c>
      <c r="G88" s="98" t="s">
        <v>1386</v>
      </c>
      <c r="H88" s="99" t="s">
        <v>191</v>
      </c>
      <c r="I88" s="100" t="s">
        <v>1185</v>
      </c>
      <c r="J88" s="101">
        <v>2838</v>
      </c>
      <c r="K88" s="102" t="s">
        <v>1424</v>
      </c>
      <c r="L88" s="288"/>
      <c r="M88" s="104"/>
      <c r="N88" s="105"/>
      <c r="O88" s="103" t="str">
        <f t="shared" si="1"/>
        <v>제02장 취소소송의 대상적격-제03절 재결-01</v>
      </c>
    </row>
    <row r="89" spans="2:15" ht="14.45" customHeight="1" x14ac:dyDescent="0.2">
      <c r="B89" s="154" t="s">
        <v>1398</v>
      </c>
      <c r="C89" s="106" t="s">
        <v>424</v>
      </c>
      <c r="D89" s="107" t="s">
        <v>1379</v>
      </c>
      <c r="E89" s="108" t="s">
        <v>74</v>
      </c>
      <c r="F89" s="109" t="s">
        <v>1855</v>
      </c>
      <c r="G89" s="110" t="s">
        <v>1386</v>
      </c>
      <c r="H89" s="111" t="s">
        <v>1249</v>
      </c>
      <c r="I89" s="112" t="s">
        <v>1250</v>
      </c>
      <c r="J89" s="113">
        <v>1894</v>
      </c>
      <c r="K89" s="114" t="s">
        <v>1423</v>
      </c>
      <c r="L89" s="289"/>
      <c r="M89" s="116">
        <v>46244</v>
      </c>
      <c r="N89" s="117">
        <v>46244</v>
      </c>
      <c r="O89" s="115" t="str">
        <f t="shared" si="1"/>
        <v>제02장 취소소송의 대상적격-제03절 재결-02</v>
      </c>
    </row>
    <row r="90" spans="2:15" ht="14.45" customHeight="1" x14ac:dyDescent="0.2">
      <c r="B90" s="154" t="s">
        <v>1398</v>
      </c>
      <c r="C90" s="106" t="s">
        <v>424</v>
      </c>
      <c r="D90" s="107" t="s">
        <v>1379</v>
      </c>
      <c r="E90" s="108" t="s">
        <v>73</v>
      </c>
      <c r="F90" s="109" t="s">
        <v>426</v>
      </c>
      <c r="G90" s="110" t="s">
        <v>1386</v>
      </c>
      <c r="H90" s="111" t="s">
        <v>1247</v>
      </c>
      <c r="I90" s="112" t="s">
        <v>1248</v>
      </c>
      <c r="J90" s="113">
        <v>1944</v>
      </c>
      <c r="K90" s="114" t="s">
        <v>1424</v>
      </c>
      <c r="L90" s="289"/>
      <c r="M90" s="116">
        <v>46244</v>
      </c>
      <c r="N90" s="117">
        <v>46244</v>
      </c>
      <c r="O90" s="115" t="str">
        <f t="shared" si="1"/>
        <v>제02장 취소소송의 대상적격-제03절 재결-03</v>
      </c>
    </row>
    <row r="91" spans="2:15" ht="14.45" customHeight="1" x14ac:dyDescent="0.2">
      <c r="B91" s="154" t="s">
        <v>1398</v>
      </c>
      <c r="C91" s="106" t="s">
        <v>424</v>
      </c>
      <c r="D91" s="107" t="s">
        <v>1379</v>
      </c>
      <c r="E91" s="108" t="s">
        <v>72</v>
      </c>
      <c r="F91" s="109" t="s">
        <v>412</v>
      </c>
      <c r="G91" s="110" t="s">
        <v>1386</v>
      </c>
      <c r="H91" s="111" t="s">
        <v>1245</v>
      </c>
      <c r="I91" s="112" t="s">
        <v>1246</v>
      </c>
      <c r="J91" s="113">
        <v>1579</v>
      </c>
      <c r="K91" s="114" t="s">
        <v>1424</v>
      </c>
      <c r="L91" s="289"/>
      <c r="M91" s="116">
        <v>46244</v>
      </c>
      <c r="N91" s="117">
        <v>46244</v>
      </c>
      <c r="O91" s="115" t="str">
        <f t="shared" si="1"/>
        <v>제02장 취소소송의 대상적격-제03절 재결-04</v>
      </c>
    </row>
    <row r="92" spans="2:15" ht="14.45" customHeight="1" x14ac:dyDescent="0.2">
      <c r="B92" s="154" t="s">
        <v>1398</v>
      </c>
      <c r="C92" s="106" t="s">
        <v>424</v>
      </c>
      <c r="D92" s="107" t="s">
        <v>1379</v>
      </c>
      <c r="E92" s="108" t="s">
        <v>69</v>
      </c>
      <c r="F92" s="109" t="s">
        <v>428</v>
      </c>
      <c r="G92" s="110" t="s">
        <v>1386</v>
      </c>
      <c r="H92" s="111" t="s">
        <v>1243</v>
      </c>
      <c r="I92" s="112" t="s">
        <v>1244</v>
      </c>
      <c r="J92" s="113">
        <v>2495</v>
      </c>
      <c r="K92" s="114" t="s">
        <v>1424</v>
      </c>
      <c r="L92" s="289"/>
      <c r="M92" s="116">
        <v>46244</v>
      </c>
      <c r="N92" s="117">
        <v>46244</v>
      </c>
      <c r="O92" s="115" t="str">
        <f t="shared" si="1"/>
        <v>제02장 취소소송의 대상적격-제03절 재결-05</v>
      </c>
    </row>
    <row r="93" spans="2:15" ht="14.45" customHeight="1" x14ac:dyDescent="0.2">
      <c r="B93" s="154" t="s">
        <v>1398</v>
      </c>
      <c r="C93" s="106" t="s">
        <v>424</v>
      </c>
      <c r="D93" s="107" t="s">
        <v>1379</v>
      </c>
      <c r="E93" s="108" t="s">
        <v>70</v>
      </c>
      <c r="F93" s="109" t="s">
        <v>430</v>
      </c>
      <c r="G93" s="110" t="s">
        <v>1386</v>
      </c>
      <c r="H93" s="111" t="s">
        <v>71</v>
      </c>
      <c r="I93" s="112" t="s">
        <v>1141</v>
      </c>
      <c r="J93" s="113">
        <v>1340</v>
      </c>
      <c r="K93" s="114" t="s">
        <v>1424</v>
      </c>
      <c r="L93" s="289"/>
      <c r="M93" s="116">
        <v>46244</v>
      </c>
      <c r="N93" s="117">
        <v>46244</v>
      </c>
      <c r="O93" s="115" t="str">
        <f t="shared" si="1"/>
        <v>제02장 취소소송의 대상적격-제03절 재결-06</v>
      </c>
    </row>
    <row r="94" spans="2:15" ht="14.45" customHeight="1" x14ac:dyDescent="0.2">
      <c r="B94" s="154" t="s">
        <v>1398</v>
      </c>
      <c r="C94" s="106" t="s">
        <v>424</v>
      </c>
      <c r="D94" s="107" t="s">
        <v>1379</v>
      </c>
      <c r="E94" s="108" t="s">
        <v>246</v>
      </c>
      <c r="F94" s="109" t="s">
        <v>458</v>
      </c>
      <c r="G94" s="110" t="s">
        <v>1386</v>
      </c>
      <c r="H94" s="111" t="s">
        <v>1241</v>
      </c>
      <c r="I94" s="112" t="s">
        <v>1242</v>
      </c>
      <c r="J94" s="113">
        <v>2187</v>
      </c>
      <c r="K94" s="114" t="s">
        <v>1422</v>
      </c>
      <c r="L94" s="289"/>
      <c r="M94" s="116">
        <v>46244</v>
      </c>
      <c r="N94" s="117">
        <v>46245</v>
      </c>
      <c r="O94" s="115" t="str">
        <f t="shared" si="1"/>
        <v>제02장 취소소송의 대상적격-제03절 재결-07</v>
      </c>
    </row>
    <row r="95" spans="2:15" ht="14.45" customHeight="1" x14ac:dyDescent="0.2">
      <c r="B95" s="154" t="s">
        <v>1398</v>
      </c>
      <c r="C95" s="106" t="s">
        <v>424</v>
      </c>
      <c r="D95" s="107" t="s">
        <v>1379</v>
      </c>
      <c r="E95" s="108" t="s">
        <v>68</v>
      </c>
      <c r="F95" s="109" t="s">
        <v>1856</v>
      </c>
      <c r="G95" s="110" t="s">
        <v>1386</v>
      </c>
      <c r="H95" s="111" t="s">
        <v>1363</v>
      </c>
      <c r="I95" s="112" t="s">
        <v>1364</v>
      </c>
      <c r="J95" s="113">
        <v>1770</v>
      </c>
      <c r="K95" s="114" t="s">
        <v>1424</v>
      </c>
      <c r="L95" s="289" t="s">
        <v>1792</v>
      </c>
      <c r="M95" s="116">
        <v>46244</v>
      </c>
      <c r="N95" s="117">
        <v>46245</v>
      </c>
      <c r="O95" s="115" t="str">
        <f t="shared" si="1"/>
        <v>제02장 취소소송의 대상적격-제03절 재결-08</v>
      </c>
    </row>
    <row r="96" spans="2:15" ht="14.45" customHeight="1" x14ac:dyDescent="0.2">
      <c r="B96" s="154" t="s">
        <v>1398</v>
      </c>
      <c r="C96" s="106" t="s">
        <v>424</v>
      </c>
      <c r="D96" s="107" t="s">
        <v>1379</v>
      </c>
      <c r="E96" s="108" t="s">
        <v>67</v>
      </c>
      <c r="F96" s="109" t="s">
        <v>1857</v>
      </c>
      <c r="G96" s="110" t="s">
        <v>1386</v>
      </c>
      <c r="H96" s="111" t="s">
        <v>1413</v>
      </c>
      <c r="I96" s="112" t="s">
        <v>1414</v>
      </c>
      <c r="J96" s="113">
        <v>2029</v>
      </c>
      <c r="K96" s="114" t="s">
        <v>1422</v>
      </c>
      <c r="L96" s="289" t="s">
        <v>2097</v>
      </c>
      <c r="M96" s="116">
        <v>46244</v>
      </c>
      <c r="N96" s="117">
        <v>46245</v>
      </c>
      <c r="O96" s="115" t="str">
        <f t="shared" si="1"/>
        <v>제02장 취소소송의 대상적격-제03절 재결-09</v>
      </c>
    </row>
    <row r="97" spans="2:15" ht="14.45" customHeight="1" thickBot="1" x14ac:dyDescent="0.25">
      <c r="B97" s="155" t="s">
        <v>1398</v>
      </c>
      <c r="C97" s="130" t="s">
        <v>424</v>
      </c>
      <c r="D97" s="131" t="s">
        <v>556</v>
      </c>
      <c r="E97" s="132" t="s">
        <v>1912</v>
      </c>
      <c r="F97" s="133" t="s">
        <v>447</v>
      </c>
      <c r="G97" s="134" t="s">
        <v>1386</v>
      </c>
      <c r="H97" s="135" t="s">
        <v>1589</v>
      </c>
      <c r="I97" s="136" t="s">
        <v>1468</v>
      </c>
      <c r="J97" s="137">
        <v>824</v>
      </c>
      <c r="K97" s="138" t="s">
        <v>1424</v>
      </c>
      <c r="L97" s="291" t="s">
        <v>332</v>
      </c>
      <c r="M97" s="140"/>
      <c r="N97" s="141"/>
      <c r="O97" s="139" t="str">
        <f t="shared" si="1"/>
        <v>제02장 취소소송의 대상적격-제03절 재결-10</v>
      </c>
    </row>
    <row r="98" spans="2:15" ht="14.45" customHeight="1" x14ac:dyDescent="0.2">
      <c r="B98" s="17" t="s">
        <v>436</v>
      </c>
      <c r="C98" s="142" t="s">
        <v>437</v>
      </c>
      <c r="D98" s="143" t="s">
        <v>133</v>
      </c>
      <c r="E98" s="144" t="s">
        <v>144</v>
      </c>
      <c r="F98" s="145" t="s">
        <v>1854</v>
      </c>
      <c r="G98" s="146" t="s">
        <v>1386</v>
      </c>
      <c r="H98" s="147" t="s">
        <v>48</v>
      </c>
      <c r="I98" s="148" t="s">
        <v>1186</v>
      </c>
      <c r="J98" s="149">
        <v>2929</v>
      </c>
      <c r="K98" s="150" t="s">
        <v>1424</v>
      </c>
      <c r="L98" s="292"/>
      <c r="M98" s="152"/>
      <c r="N98" s="153"/>
      <c r="O98" s="151" t="str">
        <f t="shared" si="1"/>
        <v>제03장 취소소송의 당사자적격-제01절 원고적격-01</v>
      </c>
    </row>
    <row r="99" spans="2:15" ht="14.45" customHeight="1" x14ac:dyDescent="0.2">
      <c r="B99" s="154" t="s">
        <v>1399</v>
      </c>
      <c r="C99" s="106" t="s">
        <v>437</v>
      </c>
      <c r="D99" s="107" t="s">
        <v>1379</v>
      </c>
      <c r="E99" s="108" t="s">
        <v>66</v>
      </c>
      <c r="F99" s="109" t="s">
        <v>1855</v>
      </c>
      <c r="G99" s="110" t="s">
        <v>1386</v>
      </c>
      <c r="H99" s="111" t="s">
        <v>242</v>
      </c>
      <c r="I99" s="112" t="s">
        <v>1140</v>
      </c>
      <c r="J99" s="113">
        <v>3411</v>
      </c>
      <c r="K99" s="114" t="s">
        <v>1424</v>
      </c>
      <c r="L99" s="289" t="s">
        <v>1795</v>
      </c>
      <c r="M99" s="116"/>
      <c r="N99" s="117"/>
      <c r="O99" s="115" t="str">
        <f t="shared" si="1"/>
        <v>제03장 취소소송의 당사자적격-제01절 원고적격-02</v>
      </c>
    </row>
    <row r="100" spans="2:15" ht="14.45" customHeight="1" x14ac:dyDescent="0.2">
      <c r="B100" s="154" t="s">
        <v>1399</v>
      </c>
      <c r="C100" s="106" t="s">
        <v>437</v>
      </c>
      <c r="D100" s="107" t="s">
        <v>1379</v>
      </c>
      <c r="E100" s="108" t="s">
        <v>77</v>
      </c>
      <c r="F100" s="109" t="s">
        <v>426</v>
      </c>
      <c r="G100" s="110" t="s">
        <v>1386</v>
      </c>
      <c r="H100" s="111" t="s">
        <v>1843</v>
      </c>
      <c r="I100" s="112" t="s">
        <v>1844</v>
      </c>
      <c r="J100" s="113">
        <v>2037</v>
      </c>
      <c r="K100" s="114" t="s">
        <v>1424</v>
      </c>
      <c r="L100" s="289"/>
      <c r="M100" s="116">
        <v>46244</v>
      </c>
      <c r="N100" s="117">
        <v>46245</v>
      </c>
      <c r="O100" s="115" t="str">
        <f t="shared" si="1"/>
        <v>제03장 취소소송의 당사자적격-제01절 원고적격-03</v>
      </c>
    </row>
    <row r="101" spans="2:15" ht="14.45" customHeight="1" x14ac:dyDescent="0.2">
      <c r="B101" s="154" t="s">
        <v>1399</v>
      </c>
      <c r="C101" s="106" t="s">
        <v>437</v>
      </c>
      <c r="D101" s="107" t="s">
        <v>1379</v>
      </c>
      <c r="E101" s="108" t="s">
        <v>76</v>
      </c>
      <c r="F101" s="109" t="s">
        <v>412</v>
      </c>
      <c r="G101" s="110" t="s">
        <v>1386</v>
      </c>
      <c r="H101" s="111" t="s">
        <v>1299</v>
      </c>
      <c r="I101" s="112" t="s">
        <v>1300</v>
      </c>
      <c r="J101" s="113">
        <v>1832</v>
      </c>
      <c r="K101" s="114" t="s">
        <v>1424</v>
      </c>
      <c r="L101" s="289" t="s">
        <v>2098</v>
      </c>
      <c r="M101" s="116">
        <v>46244</v>
      </c>
      <c r="N101" s="117">
        <v>46245</v>
      </c>
      <c r="O101" s="115" t="str">
        <f t="shared" si="1"/>
        <v>제03장 취소소송의 당사자적격-제01절 원고적격-04</v>
      </c>
    </row>
    <row r="102" spans="2:15" ht="14.45" customHeight="1" x14ac:dyDescent="0.2">
      <c r="B102" s="154" t="s">
        <v>1399</v>
      </c>
      <c r="C102" s="106" t="s">
        <v>437</v>
      </c>
      <c r="D102" s="107" t="s">
        <v>1379</v>
      </c>
      <c r="E102" s="108" t="s">
        <v>1257</v>
      </c>
      <c r="F102" s="109" t="s">
        <v>428</v>
      </c>
      <c r="G102" s="110" t="s">
        <v>1386</v>
      </c>
      <c r="H102" s="111" t="s">
        <v>1297</v>
      </c>
      <c r="I102" s="112" t="s">
        <v>1298</v>
      </c>
      <c r="J102" s="113">
        <v>2137</v>
      </c>
      <c r="K102" s="114" t="s">
        <v>1423</v>
      </c>
      <c r="L102" s="289"/>
      <c r="M102" s="116">
        <v>46245</v>
      </c>
      <c r="N102" s="117">
        <v>46245</v>
      </c>
      <c r="O102" s="115" t="str">
        <f t="shared" si="1"/>
        <v>제03장 취소소송의 당사자적격-제01절 원고적격-05</v>
      </c>
    </row>
    <row r="103" spans="2:15" ht="14.45" customHeight="1" x14ac:dyDescent="0.2">
      <c r="B103" s="154" t="s">
        <v>1399</v>
      </c>
      <c r="C103" s="106" t="s">
        <v>437</v>
      </c>
      <c r="D103" s="107" t="s">
        <v>1379</v>
      </c>
      <c r="E103" s="108" t="s">
        <v>75</v>
      </c>
      <c r="F103" s="109" t="s">
        <v>430</v>
      </c>
      <c r="G103" s="110" t="s">
        <v>1386</v>
      </c>
      <c r="H103" s="111" t="s">
        <v>1366</v>
      </c>
      <c r="I103" s="112" t="s">
        <v>1367</v>
      </c>
      <c r="J103" s="113">
        <v>1911</v>
      </c>
      <c r="K103" s="114" t="s">
        <v>1422</v>
      </c>
      <c r="L103" s="289"/>
      <c r="M103" s="116">
        <v>46245</v>
      </c>
      <c r="N103" s="117">
        <v>46245</v>
      </c>
      <c r="O103" s="115" t="str">
        <f t="shared" si="1"/>
        <v>제03장 취소소송의 당사자적격-제01절 원고적격-06</v>
      </c>
    </row>
    <row r="104" spans="2:15" ht="14.45" customHeight="1" x14ac:dyDescent="0.2">
      <c r="B104" s="154" t="s">
        <v>1399</v>
      </c>
      <c r="C104" s="106" t="s">
        <v>437</v>
      </c>
      <c r="D104" s="107" t="s">
        <v>556</v>
      </c>
      <c r="E104" s="108" t="s">
        <v>1913</v>
      </c>
      <c r="F104" s="109" t="s">
        <v>458</v>
      </c>
      <c r="G104" s="110" t="s">
        <v>1386</v>
      </c>
      <c r="H104" s="111" t="s">
        <v>1591</v>
      </c>
      <c r="I104" s="112" t="s">
        <v>1470</v>
      </c>
      <c r="J104" s="113">
        <v>1167</v>
      </c>
      <c r="K104" s="114" t="s">
        <v>1424</v>
      </c>
      <c r="L104" s="289"/>
      <c r="M104" s="116"/>
      <c r="N104" s="117"/>
      <c r="O104" s="115" t="str">
        <f t="shared" si="1"/>
        <v>제03장 취소소송의 당사자적격-제01절 원고적격-07</v>
      </c>
    </row>
    <row r="105" spans="2:15" ht="14.45" customHeight="1" x14ac:dyDescent="0.2">
      <c r="B105" s="154" t="s">
        <v>1399</v>
      </c>
      <c r="C105" s="106" t="s">
        <v>437</v>
      </c>
      <c r="D105" s="107" t="s">
        <v>556</v>
      </c>
      <c r="E105" s="108" t="s">
        <v>1914</v>
      </c>
      <c r="F105" s="109" t="s">
        <v>1856</v>
      </c>
      <c r="G105" s="110" t="s">
        <v>1386</v>
      </c>
      <c r="H105" s="111" t="s">
        <v>1592</v>
      </c>
      <c r="I105" s="112" t="s">
        <v>1471</v>
      </c>
      <c r="J105" s="113">
        <v>1200</v>
      </c>
      <c r="K105" s="114" t="s">
        <v>1424</v>
      </c>
      <c r="L105" s="289"/>
      <c r="M105" s="116"/>
      <c r="N105" s="117"/>
      <c r="O105" s="115" t="str">
        <f t="shared" si="1"/>
        <v>제03장 취소소송의 당사자적격-제01절 원고적격-08</v>
      </c>
    </row>
    <row r="106" spans="2:15" ht="14.45" customHeight="1" x14ac:dyDescent="0.2">
      <c r="B106" s="154" t="s">
        <v>1399</v>
      </c>
      <c r="C106" s="106" t="s">
        <v>437</v>
      </c>
      <c r="D106" s="107" t="s">
        <v>556</v>
      </c>
      <c r="E106" s="108" t="s">
        <v>1915</v>
      </c>
      <c r="F106" s="109" t="s">
        <v>1857</v>
      </c>
      <c r="G106" s="110" t="s">
        <v>1386</v>
      </c>
      <c r="H106" s="111" t="s">
        <v>1593</v>
      </c>
      <c r="I106" s="112" t="s">
        <v>1472</v>
      </c>
      <c r="J106" s="113">
        <v>576</v>
      </c>
      <c r="K106" s="114" t="s">
        <v>1424</v>
      </c>
      <c r="L106" s="289"/>
      <c r="M106" s="116"/>
      <c r="N106" s="117"/>
      <c r="O106" s="115" t="str">
        <f t="shared" si="1"/>
        <v>제03장 취소소송의 당사자적격-제01절 원고적격-09</v>
      </c>
    </row>
    <row r="107" spans="2:15" ht="14.45" customHeight="1" x14ac:dyDescent="0.2">
      <c r="B107" s="154" t="s">
        <v>1399</v>
      </c>
      <c r="C107" s="106" t="s">
        <v>437</v>
      </c>
      <c r="D107" s="107" t="s">
        <v>556</v>
      </c>
      <c r="E107" s="108" t="s">
        <v>1916</v>
      </c>
      <c r="F107" s="109" t="s">
        <v>447</v>
      </c>
      <c r="G107" s="110" t="s">
        <v>1386</v>
      </c>
      <c r="H107" s="111" t="s">
        <v>2045</v>
      </c>
      <c r="I107" s="112" t="s">
        <v>1473</v>
      </c>
      <c r="J107" s="113">
        <v>1063</v>
      </c>
      <c r="K107" s="114" t="s">
        <v>1424</v>
      </c>
      <c r="L107" s="289"/>
      <c r="M107" s="116"/>
      <c r="N107" s="117"/>
      <c r="O107" s="115" t="str">
        <f t="shared" si="1"/>
        <v>제03장 취소소송의 당사자적격-제01절 원고적격-10</v>
      </c>
    </row>
    <row r="108" spans="2:15" ht="14.45" customHeight="1" x14ac:dyDescent="0.2">
      <c r="B108" s="154" t="s">
        <v>1399</v>
      </c>
      <c r="C108" s="106" t="s">
        <v>437</v>
      </c>
      <c r="D108" s="107" t="s">
        <v>556</v>
      </c>
      <c r="E108" s="108" t="s">
        <v>1917</v>
      </c>
      <c r="F108" s="109" t="s">
        <v>1858</v>
      </c>
      <c r="G108" s="110" t="s">
        <v>1386</v>
      </c>
      <c r="H108" s="111" t="s">
        <v>1594</v>
      </c>
      <c r="I108" s="112" t="s">
        <v>1474</v>
      </c>
      <c r="J108" s="113">
        <v>1570</v>
      </c>
      <c r="K108" s="114" t="s">
        <v>1424</v>
      </c>
      <c r="L108" s="289"/>
      <c r="M108" s="116"/>
      <c r="N108" s="117"/>
      <c r="O108" s="115" t="str">
        <f t="shared" si="1"/>
        <v>제03장 취소소송의 당사자적격-제01절 원고적격-11</v>
      </c>
    </row>
    <row r="109" spans="2:15" ht="14.45" customHeight="1" x14ac:dyDescent="0.2">
      <c r="B109" s="154" t="s">
        <v>1399</v>
      </c>
      <c r="C109" s="106" t="s">
        <v>437</v>
      </c>
      <c r="D109" s="107" t="s">
        <v>556</v>
      </c>
      <c r="E109" s="108" t="s">
        <v>1918</v>
      </c>
      <c r="F109" s="109" t="s">
        <v>1859</v>
      </c>
      <c r="G109" s="110" t="s">
        <v>1386</v>
      </c>
      <c r="H109" s="111" t="s">
        <v>1595</v>
      </c>
      <c r="I109" s="112" t="s">
        <v>1475</v>
      </c>
      <c r="J109" s="113">
        <v>1331</v>
      </c>
      <c r="K109" s="114"/>
      <c r="L109" s="289"/>
      <c r="M109" s="116"/>
      <c r="N109" s="117"/>
      <c r="O109" s="115" t="str">
        <f t="shared" si="1"/>
        <v>제03장 취소소송의 당사자적격-제01절 원고적격-12</v>
      </c>
    </row>
    <row r="110" spans="2:15" ht="14.45" customHeight="1" x14ac:dyDescent="0.2">
      <c r="B110" s="154" t="s">
        <v>1399</v>
      </c>
      <c r="C110" s="106" t="s">
        <v>437</v>
      </c>
      <c r="D110" s="107" t="s">
        <v>556</v>
      </c>
      <c r="E110" s="108" t="s">
        <v>1919</v>
      </c>
      <c r="F110" s="109" t="s">
        <v>1860</v>
      </c>
      <c r="G110" s="110" t="s">
        <v>1386</v>
      </c>
      <c r="H110" s="111" t="s">
        <v>1596</v>
      </c>
      <c r="I110" s="112" t="s">
        <v>1476</v>
      </c>
      <c r="J110" s="113">
        <v>419</v>
      </c>
      <c r="K110" s="114"/>
      <c r="L110" s="289"/>
      <c r="M110" s="116"/>
      <c r="N110" s="117"/>
      <c r="O110" s="115" t="str">
        <f t="shared" si="1"/>
        <v>제03장 취소소송의 당사자적격-제01절 원고적격-13</v>
      </c>
    </row>
    <row r="111" spans="2:15" ht="14.45" customHeight="1" x14ac:dyDescent="0.2">
      <c r="B111" s="154" t="s">
        <v>1399</v>
      </c>
      <c r="C111" s="106" t="s">
        <v>437</v>
      </c>
      <c r="D111" s="107" t="s">
        <v>556</v>
      </c>
      <c r="E111" s="108" t="s">
        <v>1920</v>
      </c>
      <c r="F111" s="109" t="s">
        <v>1861</v>
      </c>
      <c r="G111" s="110" t="s">
        <v>1386</v>
      </c>
      <c r="H111" s="111" t="s">
        <v>1597</v>
      </c>
      <c r="I111" s="112" t="s">
        <v>1477</v>
      </c>
      <c r="J111" s="113">
        <v>1932</v>
      </c>
      <c r="K111" s="114"/>
      <c r="L111" s="289"/>
      <c r="M111" s="116"/>
      <c r="N111" s="117"/>
      <c r="O111" s="115" t="str">
        <f t="shared" si="1"/>
        <v>제03장 취소소송의 당사자적격-제01절 원고적격-14</v>
      </c>
    </row>
    <row r="112" spans="2:15" ht="14.45" customHeight="1" x14ac:dyDescent="0.2">
      <c r="B112" s="154" t="s">
        <v>1399</v>
      </c>
      <c r="C112" s="106" t="s">
        <v>437</v>
      </c>
      <c r="D112" s="107" t="s">
        <v>556</v>
      </c>
      <c r="E112" s="108" t="s">
        <v>1921</v>
      </c>
      <c r="F112" s="109" t="s">
        <v>419</v>
      </c>
      <c r="G112" s="110" t="s">
        <v>1386</v>
      </c>
      <c r="H112" s="111" t="s">
        <v>1598</v>
      </c>
      <c r="I112" s="112" t="s">
        <v>1478</v>
      </c>
      <c r="J112" s="113">
        <v>706</v>
      </c>
      <c r="K112" s="114"/>
      <c r="L112" s="289"/>
      <c r="M112" s="116"/>
      <c r="N112" s="117"/>
      <c r="O112" s="115" t="str">
        <f t="shared" si="1"/>
        <v>제03장 취소소송의 당사자적격-제01절 원고적격-15</v>
      </c>
    </row>
    <row r="113" spans="2:15" ht="14.45" customHeight="1" x14ac:dyDescent="0.2">
      <c r="B113" s="154" t="s">
        <v>1399</v>
      </c>
      <c r="C113" s="106" t="s">
        <v>437</v>
      </c>
      <c r="D113" s="107" t="s">
        <v>556</v>
      </c>
      <c r="E113" s="108" t="s">
        <v>1922</v>
      </c>
      <c r="F113" s="109" t="s">
        <v>422</v>
      </c>
      <c r="G113" s="110" t="s">
        <v>1386</v>
      </c>
      <c r="H113" s="111" t="s">
        <v>1599</v>
      </c>
      <c r="I113" s="112" t="s">
        <v>1479</v>
      </c>
      <c r="J113" s="113">
        <v>637</v>
      </c>
      <c r="K113" s="114"/>
      <c r="L113" s="289"/>
      <c r="M113" s="116"/>
      <c r="N113" s="117"/>
      <c r="O113" s="115" t="str">
        <f t="shared" si="1"/>
        <v>제03장 취소소송의 당사자적격-제01절 원고적격-16</v>
      </c>
    </row>
    <row r="114" spans="2:15" ht="14.45" customHeight="1" x14ac:dyDescent="0.2">
      <c r="B114" s="154" t="s">
        <v>1399</v>
      </c>
      <c r="C114" s="106" t="s">
        <v>437</v>
      </c>
      <c r="D114" s="107" t="s">
        <v>556</v>
      </c>
      <c r="E114" s="108" t="s">
        <v>1923</v>
      </c>
      <c r="F114" s="109" t="s">
        <v>1862</v>
      </c>
      <c r="G114" s="110" t="s">
        <v>1386</v>
      </c>
      <c r="H114" s="111" t="s">
        <v>1600</v>
      </c>
      <c r="I114" s="112" t="s">
        <v>1480</v>
      </c>
      <c r="J114" s="113">
        <v>830</v>
      </c>
      <c r="K114" s="114"/>
      <c r="L114" s="289"/>
      <c r="M114" s="116"/>
      <c r="N114" s="117"/>
      <c r="O114" s="115" t="str">
        <f t="shared" si="1"/>
        <v>제03장 취소소송의 당사자적격-제01절 원고적격-17</v>
      </c>
    </row>
    <row r="115" spans="2:15" ht="14.45" customHeight="1" x14ac:dyDescent="0.2">
      <c r="B115" s="154" t="s">
        <v>1399</v>
      </c>
      <c r="C115" s="118" t="s">
        <v>437</v>
      </c>
      <c r="D115" s="119" t="s">
        <v>556</v>
      </c>
      <c r="E115" s="120" t="s">
        <v>1924</v>
      </c>
      <c r="F115" s="121" t="s">
        <v>1863</v>
      </c>
      <c r="G115" s="122" t="s">
        <v>1386</v>
      </c>
      <c r="H115" s="123" t="s">
        <v>1601</v>
      </c>
      <c r="I115" s="124" t="s">
        <v>1481</v>
      </c>
      <c r="J115" s="125">
        <v>846</v>
      </c>
      <c r="K115" s="126"/>
      <c r="L115" s="290"/>
      <c r="M115" s="128"/>
      <c r="N115" s="129"/>
      <c r="O115" s="127" t="str">
        <f t="shared" si="1"/>
        <v>제03장 취소소송의 당사자적격-제01절 원고적격-18</v>
      </c>
    </row>
    <row r="116" spans="2:15" ht="14.45" customHeight="1" x14ac:dyDescent="0.2">
      <c r="B116" s="154" t="s">
        <v>1399</v>
      </c>
      <c r="C116" s="94" t="s">
        <v>439</v>
      </c>
      <c r="D116" s="95" t="s">
        <v>133</v>
      </c>
      <c r="E116" s="96" t="s">
        <v>144</v>
      </c>
      <c r="F116" s="97" t="s">
        <v>1854</v>
      </c>
      <c r="G116" s="98" t="s">
        <v>1386</v>
      </c>
      <c r="H116" s="99" t="s">
        <v>192</v>
      </c>
      <c r="I116" s="100" t="s">
        <v>1187</v>
      </c>
      <c r="J116" s="101">
        <v>3328</v>
      </c>
      <c r="K116" s="102" t="s">
        <v>1424</v>
      </c>
      <c r="L116" s="288"/>
      <c r="M116" s="104"/>
      <c r="N116" s="105"/>
      <c r="O116" s="103" t="str">
        <f t="shared" si="1"/>
        <v>제03장 취소소송의 당사자적격-제02절 피고적격-01</v>
      </c>
    </row>
    <row r="117" spans="2:15" ht="14.45" customHeight="1" x14ac:dyDescent="0.2">
      <c r="B117" s="154" t="s">
        <v>1399</v>
      </c>
      <c r="C117" s="106" t="s">
        <v>439</v>
      </c>
      <c r="D117" s="107" t="s">
        <v>1379</v>
      </c>
      <c r="E117" s="108" t="s">
        <v>66</v>
      </c>
      <c r="F117" s="109" t="s">
        <v>1855</v>
      </c>
      <c r="G117" s="110" t="s">
        <v>1386</v>
      </c>
      <c r="H117" s="111" t="s">
        <v>242</v>
      </c>
      <c r="I117" s="112" t="s">
        <v>1140</v>
      </c>
      <c r="J117" s="113">
        <v>3411</v>
      </c>
      <c r="K117" s="114" t="s">
        <v>1424</v>
      </c>
      <c r="L117" s="289" t="s">
        <v>1796</v>
      </c>
      <c r="M117" s="116"/>
      <c r="N117" s="117"/>
      <c r="O117" s="115" t="str">
        <f t="shared" si="1"/>
        <v>제03장 취소소송의 당사자적격-제02절 피고적격-02</v>
      </c>
    </row>
    <row r="118" spans="2:15" ht="14.45" customHeight="1" x14ac:dyDescent="0.2">
      <c r="B118" s="154" t="s">
        <v>1399</v>
      </c>
      <c r="C118" s="106" t="s">
        <v>439</v>
      </c>
      <c r="D118" s="107" t="s">
        <v>1379</v>
      </c>
      <c r="E118" s="108" t="s">
        <v>69</v>
      </c>
      <c r="F118" s="109" t="s">
        <v>426</v>
      </c>
      <c r="G118" s="110" t="s">
        <v>1386</v>
      </c>
      <c r="H118" s="111" t="s">
        <v>1243</v>
      </c>
      <c r="I118" s="112" t="s">
        <v>1244</v>
      </c>
      <c r="J118" s="113">
        <v>2495</v>
      </c>
      <c r="K118" s="114" t="s">
        <v>1424</v>
      </c>
      <c r="L118" s="289" t="s">
        <v>1795</v>
      </c>
      <c r="M118" s="116"/>
      <c r="N118" s="117"/>
      <c r="O118" s="115" t="str">
        <f t="shared" si="1"/>
        <v>제03장 취소소송의 당사자적격-제02절 피고적격-03</v>
      </c>
    </row>
    <row r="119" spans="2:15" ht="14.45" customHeight="1" x14ac:dyDescent="0.2">
      <c r="B119" s="154" t="s">
        <v>1399</v>
      </c>
      <c r="C119" s="106" t="s">
        <v>439</v>
      </c>
      <c r="D119" s="107" t="s">
        <v>1379</v>
      </c>
      <c r="E119" s="108" t="s">
        <v>246</v>
      </c>
      <c r="F119" s="109" t="s">
        <v>412</v>
      </c>
      <c r="G119" s="110" t="s">
        <v>1386</v>
      </c>
      <c r="H119" s="111" t="s">
        <v>1241</v>
      </c>
      <c r="I119" s="112" t="s">
        <v>1242</v>
      </c>
      <c r="J119" s="113">
        <v>2187</v>
      </c>
      <c r="K119" s="114" t="s">
        <v>1424</v>
      </c>
      <c r="L119" s="289" t="s">
        <v>1795</v>
      </c>
      <c r="M119" s="116"/>
      <c r="N119" s="117"/>
      <c r="O119" s="115" t="str">
        <f t="shared" si="1"/>
        <v>제03장 취소소송의 당사자적격-제02절 피고적격-04</v>
      </c>
    </row>
    <row r="120" spans="2:15" ht="14.45" customHeight="1" x14ac:dyDescent="0.2">
      <c r="B120" s="154" t="s">
        <v>2191</v>
      </c>
      <c r="C120" s="106" t="s">
        <v>2192</v>
      </c>
      <c r="D120" s="107" t="s">
        <v>1379</v>
      </c>
      <c r="E120" s="108" t="s">
        <v>2174</v>
      </c>
      <c r="F120" s="109" t="s">
        <v>2175</v>
      </c>
      <c r="G120" s="110" t="s">
        <v>1386</v>
      </c>
      <c r="H120" s="111" t="s">
        <v>2181</v>
      </c>
      <c r="I120" s="112" t="s">
        <v>2183</v>
      </c>
      <c r="J120" s="113">
        <v>2962</v>
      </c>
      <c r="K120" s="114" t="s">
        <v>1423</v>
      </c>
      <c r="L120" s="289" t="s">
        <v>2199</v>
      </c>
      <c r="M120" s="116"/>
      <c r="N120" s="117"/>
      <c r="O120" s="115" t="s">
        <v>2187</v>
      </c>
    </row>
    <row r="121" spans="2:15" ht="14.45" customHeight="1" x14ac:dyDescent="0.2">
      <c r="B121" s="154" t="s">
        <v>1399</v>
      </c>
      <c r="C121" s="106" t="s">
        <v>439</v>
      </c>
      <c r="D121" s="107" t="s">
        <v>1379</v>
      </c>
      <c r="E121" s="108" t="s">
        <v>103</v>
      </c>
      <c r="F121" s="109" t="s">
        <v>2176</v>
      </c>
      <c r="G121" s="110" t="s">
        <v>1386</v>
      </c>
      <c r="H121" s="111" t="s">
        <v>2133</v>
      </c>
      <c r="I121" s="112" t="s">
        <v>2134</v>
      </c>
      <c r="J121" s="113">
        <v>2573</v>
      </c>
      <c r="K121" s="114" t="s">
        <v>1422</v>
      </c>
      <c r="L121" s="289" t="s">
        <v>2199</v>
      </c>
      <c r="M121" s="116"/>
      <c r="N121" s="117"/>
      <c r="O121" s="115" t="str">
        <f t="shared" si="1"/>
        <v>제03장 취소소송의 당사자적격-제02절 피고적격-06</v>
      </c>
    </row>
    <row r="122" spans="2:15" ht="14.45" customHeight="1" x14ac:dyDescent="0.2">
      <c r="B122" s="154" t="s">
        <v>1399</v>
      </c>
      <c r="C122" s="106" t="s">
        <v>439</v>
      </c>
      <c r="D122" s="107" t="s">
        <v>1379</v>
      </c>
      <c r="E122" s="108" t="s">
        <v>78</v>
      </c>
      <c r="F122" s="109" t="s">
        <v>423</v>
      </c>
      <c r="G122" s="110" t="s">
        <v>1386</v>
      </c>
      <c r="H122" s="111" t="s">
        <v>2129</v>
      </c>
      <c r="I122" s="112" t="s">
        <v>2130</v>
      </c>
      <c r="J122" s="113">
        <v>2222</v>
      </c>
      <c r="K122" s="114" t="s">
        <v>1422</v>
      </c>
      <c r="L122" s="289"/>
      <c r="M122" s="116">
        <v>46245</v>
      </c>
      <c r="N122" s="117">
        <v>46245</v>
      </c>
      <c r="O122" s="115" t="str">
        <f t="shared" si="1"/>
        <v>제03장 취소소송의 당사자적격-제02절 피고적격-07</v>
      </c>
    </row>
    <row r="123" spans="2:15" ht="14.45" customHeight="1" x14ac:dyDescent="0.2">
      <c r="B123" s="154" t="s">
        <v>1399</v>
      </c>
      <c r="C123" s="106" t="s">
        <v>439</v>
      </c>
      <c r="D123" s="107" t="s">
        <v>1379</v>
      </c>
      <c r="E123" s="108" t="s">
        <v>1223</v>
      </c>
      <c r="F123" s="109" t="s">
        <v>431</v>
      </c>
      <c r="G123" s="110" t="s">
        <v>1386</v>
      </c>
      <c r="H123" s="111" t="s">
        <v>1413</v>
      </c>
      <c r="I123" s="112" t="s">
        <v>1414</v>
      </c>
      <c r="J123" s="113">
        <v>2029</v>
      </c>
      <c r="K123" s="114" t="s">
        <v>1422</v>
      </c>
      <c r="L123" s="289" t="s">
        <v>1795</v>
      </c>
      <c r="M123" s="116"/>
      <c r="N123" s="117"/>
      <c r="O123" s="115" t="str">
        <f t="shared" si="1"/>
        <v>제03장 취소소송의 당사자적격-제02절 피고적격-08</v>
      </c>
    </row>
    <row r="124" spans="2:15" ht="14.45" customHeight="1" x14ac:dyDescent="0.2">
      <c r="B124" s="154" t="s">
        <v>1399</v>
      </c>
      <c r="C124" s="106" t="s">
        <v>439</v>
      </c>
      <c r="D124" s="107" t="s">
        <v>556</v>
      </c>
      <c r="E124" s="108" t="s">
        <v>1925</v>
      </c>
      <c r="F124" s="109" t="s">
        <v>414</v>
      </c>
      <c r="G124" s="110" t="s">
        <v>1386</v>
      </c>
      <c r="H124" s="111" t="s">
        <v>1617</v>
      </c>
      <c r="I124" s="112" t="s">
        <v>1497</v>
      </c>
      <c r="J124" s="113">
        <v>424</v>
      </c>
      <c r="K124" s="114"/>
      <c r="L124" s="289"/>
      <c r="M124" s="116"/>
      <c r="N124" s="117"/>
      <c r="O124" s="115" t="str">
        <f t="shared" si="1"/>
        <v>제03장 취소소송의 당사자적격-제02절 피고적격-09</v>
      </c>
    </row>
    <row r="125" spans="2:15" ht="14.45" customHeight="1" x14ac:dyDescent="0.2">
      <c r="B125" s="154" t="s">
        <v>1399</v>
      </c>
      <c r="C125" s="106" t="s">
        <v>439</v>
      </c>
      <c r="D125" s="107" t="s">
        <v>556</v>
      </c>
      <c r="E125" s="108" t="s">
        <v>1926</v>
      </c>
      <c r="F125" s="109" t="s">
        <v>432</v>
      </c>
      <c r="G125" s="110" t="s">
        <v>1386</v>
      </c>
      <c r="H125" s="111" t="s">
        <v>1618</v>
      </c>
      <c r="I125" s="112" t="s">
        <v>1498</v>
      </c>
      <c r="J125" s="113">
        <v>404</v>
      </c>
      <c r="K125" s="114"/>
      <c r="L125" s="289"/>
      <c r="M125" s="116"/>
      <c r="N125" s="117"/>
      <c r="O125" s="115" t="str">
        <f t="shared" si="1"/>
        <v>제03장 취소소송의 당사자적격-제02절 피고적격-10</v>
      </c>
    </row>
    <row r="126" spans="2:15" ht="14.45" customHeight="1" x14ac:dyDescent="0.2">
      <c r="B126" s="154" t="s">
        <v>1399</v>
      </c>
      <c r="C126" s="118" t="s">
        <v>439</v>
      </c>
      <c r="D126" s="119" t="s">
        <v>556</v>
      </c>
      <c r="E126" s="120" t="s">
        <v>1927</v>
      </c>
      <c r="F126" s="121" t="s">
        <v>415</v>
      </c>
      <c r="G126" s="122" t="s">
        <v>1386</v>
      </c>
      <c r="H126" s="123" t="s">
        <v>1619</v>
      </c>
      <c r="I126" s="124" t="s">
        <v>1499</v>
      </c>
      <c r="J126" s="125">
        <v>1211</v>
      </c>
      <c r="K126" s="126"/>
      <c r="L126" s="290"/>
      <c r="M126" s="128"/>
      <c r="N126" s="129"/>
      <c r="O126" s="127" t="str">
        <f t="shared" si="1"/>
        <v>제03장 취소소송의 당사자적격-제02절 피고적격-11</v>
      </c>
    </row>
    <row r="127" spans="2:15" ht="14.45" customHeight="1" x14ac:dyDescent="0.2">
      <c r="B127" s="154" t="s">
        <v>1399</v>
      </c>
      <c r="C127" s="94" t="s">
        <v>441</v>
      </c>
      <c r="D127" s="95" t="s">
        <v>133</v>
      </c>
      <c r="E127" s="96" t="s">
        <v>144</v>
      </c>
      <c r="F127" s="97" t="s">
        <v>1854</v>
      </c>
      <c r="G127" s="98" t="s">
        <v>1386</v>
      </c>
      <c r="H127" s="99" t="s">
        <v>193</v>
      </c>
      <c r="I127" s="100" t="s">
        <v>1188</v>
      </c>
      <c r="J127" s="101">
        <v>2891</v>
      </c>
      <c r="K127" s="102" t="s">
        <v>1424</v>
      </c>
      <c r="L127" s="288"/>
      <c r="M127" s="104"/>
      <c r="N127" s="105"/>
      <c r="O127" s="103" t="str">
        <f t="shared" si="1"/>
        <v>제03장 취소소송의 당사자적격-제03절 권리보호의 필요(협의의 소의 이익)-01</v>
      </c>
    </row>
    <row r="128" spans="2:15" ht="14.45" customHeight="1" x14ac:dyDescent="0.2">
      <c r="B128" s="154" t="s">
        <v>1399</v>
      </c>
      <c r="C128" s="106" t="s">
        <v>441</v>
      </c>
      <c r="D128" s="107" t="s">
        <v>1379</v>
      </c>
      <c r="E128" s="108" t="s">
        <v>66</v>
      </c>
      <c r="F128" s="109" t="s">
        <v>1855</v>
      </c>
      <c r="G128" s="110" t="s">
        <v>1386</v>
      </c>
      <c r="H128" s="111" t="s">
        <v>242</v>
      </c>
      <c r="I128" s="112" t="s">
        <v>1140</v>
      </c>
      <c r="J128" s="113">
        <v>3411</v>
      </c>
      <c r="K128" s="114" t="s">
        <v>1424</v>
      </c>
      <c r="L128" s="289" t="s">
        <v>1797</v>
      </c>
      <c r="M128" s="116"/>
      <c r="N128" s="117"/>
      <c r="O128" s="115" t="str">
        <f t="shared" si="1"/>
        <v>제03장 취소소송의 당사자적격-제03절 권리보호의 필요(협의의 소의 이익)-02</v>
      </c>
    </row>
    <row r="129" spans="2:15" ht="14.45" customHeight="1" x14ac:dyDescent="0.2">
      <c r="B129" s="154" t="s">
        <v>1399</v>
      </c>
      <c r="C129" s="106" t="s">
        <v>441</v>
      </c>
      <c r="D129" s="107" t="s">
        <v>1379</v>
      </c>
      <c r="E129" s="108" t="s">
        <v>80</v>
      </c>
      <c r="F129" s="109" t="s">
        <v>426</v>
      </c>
      <c r="G129" s="110" t="s">
        <v>1386</v>
      </c>
      <c r="H129" s="111" t="s">
        <v>1305</v>
      </c>
      <c r="I129" s="112" t="s">
        <v>1306</v>
      </c>
      <c r="J129" s="113">
        <v>2084</v>
      </c>
      <c r="K129" s="114" t="s">
        <v>1424</v>
      </c>
      <c r="L129" s="289"/>
      <c r="M129" s="116">
        <v>46245</v>
      </c>
      <c r="N129" s="117">
        <v>46245</v>
      </c>
      <c r="O129" s="115" t="str">
        <f t="shared" si="1"/>
        <v>제03장 취소소송의 당사자적격-제03절 권리보호의 필요(협의의 소의 이익)-03</v>
      </c>
    </row>
    <row r="130" spans="2:15" ht="14.45" customHeight="1" x14ac:dyDescent="0.2">
      <c r="B130" s="154" t="s">
        <v>1399</v>
      </c>
      <c r="C130" s="106" t="s">
        <v>441</v>
      </c>
      <c r="D130" s="107" t="s">
        <v>1379</v>
      </c>
      <c r="E130" s="108" t="s">
        <v>1258</v>
      </c>
      <c r="F130" s="109" t="s">
        <v>412</v>
      </c>
      <c r="G130" s="110" t="s">
        <v>1386</v>
      </c>
      <c r="H130" s="111" t="s">
        <v>1303</v>
      </c>
      <c r="I130" s="112" t="s">
        <v>1304</v>
      </c>
      <c r="J130" s="113">
        <v>1740</v>
      </c>
      <c r="K130" s="114" t="s">
        <v>1424</v>
      </c>
      <c r="L130" s="289"/>
      <c r="M130" s="116">
        <v>46245</v>
      </c>
      <c r="N130" s="117">
        <v>46245</v>
      </c>
      <c r="O130" s="115" t="str">
        <f t="shared" si="1"/>
        <v>제03장 취소소송의 당사자적격-제03절 권리보호의 필요(협의의 소의 이익)-04</v>
      </c>
    </row>
    <row r="131" spans="2:15" ht="14.45" customHeight="1" x14ac:dyDescent="0.2">
      <c r="B131" s="154" t="s">
        <v>1399</v>
      </c>
      <c r="C131" s="106" t="s">
        <v>441</v>
      </c>
      <c r="D131" s="107" t="s">
        <v>1379</v>
      </c>
      <c r="E131" s="108" t="s">
        <v>79</v>
      </c>
      <c r="F131" s="109" t="s">
        <v>428</v>
      </c>
      <c r="G131" s="110" t="s">
        <v>1386</v>
      </c>
      <c r="H131" s="111" t="s">
        <v>1301</v>
      </c>
      <c r="I131" s="112" t="s">
        <v>1302</v>
      </c>
      <c r="J131" s="113">
        <v>1973</v>
      </c>
      <c r="K131" s="114" t="s">
        <v>1424</v>
      </c>
      <c r="L131" s="289" t="s">
        <v>2099</v>
      </c>
      <c r="M131" s="116">
        <v>46245</v>
      </c>
      <c r="N131" s="117">
        <v>46245</v>
      </c>
      <c r="O131" s="115" t="str">
        <f t="shared" si="1"/>
        <v>제03장 취소소송의 당사자적격-제03절 권리보호의 필요(협의의 소의 이익)-05</v>
      </c>
    </row>
    <row r="132" spans="2:15" ht="14.45" customHeight="1" x14ac:dyDescent="0.2">
      <c r="B132" s="154" t="s">
        <v>1399</v>
      </c>
      <c r="C132" s="106" t="s">
        <v>441</v>
      </c>
      <c r="D132" s="107" t="s">
        <v>556</v>
      </c>
      <c r="E132" s="108" t="s">
        <v>1928</v>
      </c>
      <c r="F132" s="109" t="s">
        <v>430</v>
      </c>
      <c r="G132" s="110" t="s">
        <v>1386</v>
      </c>
      <c r="H132" s="111" t="s">
        <v>1602</v>
      </c>
      <c r="I132" s="112" t="s">
        <v>1482</v>
      </c>
      <c r="J132" s="113">
        <v>1891</v>
      </c>
      <c r="K132" s="114"/>
      <c r="L132" s="289"/>
      <c r="M132" s="116"/>
      <c r="N132" s="117"/>
      <c r="O132" s="115" t="str">
        <f t="shared" si="1"/>
        <v>제03장 취소소송의 당사자적격-제03절 권리보호의 필요(협의의 소의 이익)-06</v>
      </c>
    </row>
    <row r="133" spans="2:15" ht="14.45" customHeight="1" x14ac:dyDescent="0.2">
      <c r="B133" s="154" t="s">
        <v>1399</v>
      </c>
      <c r="C133" s="106" t="s">
        <v>441</v>
      </c>
      <c r="D133" s="107" t="s">
        <v>556</v>
      </c>
      <c r="E133" s="108" t="s">
        <v>1929</v>
      </c>
      <c r="F133" s="109" t="s">
        <v>458</v>
      </c>
      <c r="G133" s="110" t="s">
        <v>1386</v>
      </c>
      <c r="H133" s="111" t="s">
        <v>1603</v>
      </c>
      <c r="I133" s="112" t="s">
        <v>1483</v>
      </c>
      <c r="J133" s="113">
        <v>417</v>
      </c>
      <c r="K133" s="114"/>
      <c r="L133" s="289"/>
      <c r="M133" s="116"/>
      <c r="N133" s="117"/>
      <c r="O133" s="115" t="str">
        <f t="shared" si="1"/>
        <v>제03장 취소소송의 당사자적격-제03절 권리보호의 필요(협의의 소의 이익)-07</v>
      </c>
    </row>
    <row r="134" spans="2:15" ht="14.45" customHeight="1" x14ac:dyDescent="0.2">
      <c r="B134" s="154" t="s">
        <v>1399</v>
      </c>
      <c r="C134" s="106" t="s">
        <v>441</v>
      </c>
      <c r="D134" s="107" t="s">
        <v>556</v>
      </c>
      <c r="E134" s="108" t="s">
        <v>1930</v>
      </c>
      <c r="F134" s="109" t="s">
        <v>1856</v>
      </c>
      <c r="G134" s="110" t="s">
        <v>1386</v>
      </c>
      <c r="H134" s="111" t="s">
        <v>1604</v>
      </c>
      <c r="I134" s="112" t="s">
        <v>1484</v>
      </c>
      <c r="J134" s="113">
        <v>653</v>
      </c>
      <c r="K134" s="114" t="s">
        <v>1424</v>
      </c>
      <c r="L134" s="289"/>
      <c r="M134" s="116"/>
      <c r="N134" s="117"/>
      <c r="O134" s="115" t="str">
        <f t="shared" si="1"/>
        <v>제03장 취소소송의 당사자적격-제03절 권리보호의 필요(협의의 소의 이익)-08</v>
      </c>
    </row>
    <row r="135" spans="2:15" ht="14.45" customHeight="1" x14ac:dyDescent="0.2">
      <c r="B135" s="154" t="s">
        <v>1399</v>
      </c>
      <c r="C135" s="106" t="s">
        <v>441</v>
      </c>
      <c r="D135" s="107" t="s">
        <v>556</v>
      </c>
      <c r="E135" s="108" t="s">
        <v>1931</v>
      </c>
      <c r="F135" s="109" t="s">
        <v>1857</v>
      </c>
      <c r="G135" s="110" t="s">
        <v>1386</v>
      </c>
      <c r="H135" s="111" t="s">
        <v>1605</v>
      </c>
      <c r="I135" s="112" t="s">
        <v>1485</v>
      </c>
      <c r="J135" s="113">
        <v>1167</v>
      </c>
      <c r="K135" s="114"/>
      <c r="L135" s="289"/>
      <c r="M135" s="116"/>
      <c r="N135" s="117"/>
      <c r="O135" s="115" t="str">
        <f t="shared" si="1"/>
        <v>제03장 취소소송의 당사자적격-제03절 권리보호의 필요(협의의 소의 이익)-09</v>
      </c>
    </row>
    <row r="136" spans="2:15" ht="14.45" customHeight="1" x14ac:dyDescent="0.2">
      <c r="B136" s="154" t="s">
        <v>1399</v>
      </c>
      <c r="C136" s="106" t="s">
        <v>441</v>
      </c>
      <c r="D136" s="107" t="s">
        <v>556</v>
      </c>
      <c r="E136" s="108" t="s">
        <v>1932</v>
      </c>
      <c r="F136" s="109" t="s">
        <v>447</v>
      </c>
      <c r="G136" s="110" t="s">
        <v>1386</v>
      </c>
      <c r="H136" s="111" t="s">
        <v>1606</v>
      </c>
      <c r="I136" s="112" t="s">
        <v>1486</v>
      </c>
      <c r="J136" s="113">
        <v>1862</v>
      </c>
      <c r="K136" s="114" t="s">
        <v>1424</v>
      </c>
      <c r="L136" s="289" t="s">
        <v>2044</v>
      </c>
      <c r="M136" s="116"/>
      <c r="N136" s="117"/>
      <c r="O136" s="115" t="str">
        <f t="shared" si="1"/>
        <v>제03장 취소소송의 당사자적격-제03절 권리보호의 필요(협의의 소의 이익)-10</v>
      </c>
    </row>
    <row r="137" spans="2:15" ht="14.45" customHeight="1" x14ac:dyDescent="0.2">
      <c r="B137" s="154" t="s">
        <v>1399</v>
      </c>
      <c r="C137" s="106" t="s">
        <v>441</v>
      </c>
      <c r="D137" s="107" t="s">
        <v>556</v>
      </c>
      <c r="E137" s="108" t="s">
        <v>1933</v>
      </c>
      <c r="F137" s="109" t="s">
        <v>1858</v>
      </c>
      <c r="G137" s="110" t="s">
        <v>1386</v>
      </c>
      <c r="H137" s="111" t="s">
        <v>1607</v>
      </c>
      <c r="I137" s="112" t="s">
        <v>1487</v>
      </c>
      <c r="J137" s="113">
        <v>382</v>
      </c>
      <c r="K137" s="114"/>
      <c r="L137" s="289"/>
      <c r="M137" s="116"/>
      <c r="N137" s="117"/>
      <c r="O137" s="115" t="str">
        <f t="shared" ref="O137:O200" si="2">B137&amp;"-"&amp;C137&amp;"-"&amp;F137</f>
        <v>제03장 취소소송의 당사자적격-제03절 권리보호의 필요(협의의 소의 이익)-11</v>
      </c>
    </row>
    <row r="138" spans="2:15" ht="14.45" customHeight="1" x14ac:dyDescent="0.2">
      <c r="B138" s="154" t="s">
        <v>1399</v>
      </c>
      <c r="C138" s="106" t="s">
        <v>441</v>
      </c>
      <c r="D138" s="107" t="s">
        <v>556</v>
      </c>
      <c r="E138" s="108" t="s">
        <v>1934</v>
      </c>
      <c r="F138" s="109" t="s">
        <v>1859</v>
      </c>
      <c r="G138" s="110" t="s">
        <v>1386</v>
      </c>
      <c r="H138" s="111" t="s">
        <v>1608</v>
      </c>
      <c r="I138" s="112" t="s">
        <v>1488</v>
      </c>
      <c r="J138" s="113">
        <v>744</v>
      </c>
      <c r="K138" s="114"/>
      <c r="L138" s="289"/>
      <c r="M138" s="116"/>
      <c r="N138" s="117"/>
      <c r="O138" s="115" t="str">
        <f t="shared" si="2"/>
        <v>제03장 취소소송의 당사자적격-제03절 권리보호의 필요(협의의 소의 이익)-12</v>
      </c>
    </row>
    <row r="139" spans="2:15" ht="14.45" customHeight="1" x14ac:dyDescent="0.2">
      <c r="B139" s="154" t="s">
        <v>1399</v>
      </c>
      <c r="C139" s="106" t="s">
        <v>441</v>
      </c>
      <c r="D139" s="107" t="s">
        <v>556</v>
      </c>
      <c r="E139" s="108" t="s">
        <v>1935</v>
      </c>
      <c r="F139" s="109" t="s">
        <v>1860</v>
      </c>
      <c r="G139" s="110" t="s">
        <v>1386</v>
      </c>
      <c r="H139" s="111" t="s">
        <v>1609</v>
      </c>
      <c r="I139" s="112" t="s">
        <v>1489</v>
      </c>
      <c r="J139" s="113">
        <v>786</v>
      </c>
      <c r="K139" s="114"/>
      <c r="L139" s="289"/>
      <c r="M139" s="116"/>
      <c r="N139" s="117"/>
      <c r="O139" s="115" t="str">
        <f t="shared" si="2"/>
        <v>제03장 취소소송의 당사자적격-제03절 권리보호의 필요(협의의 소의 이익)-13</v>
      </c>
    </row>
    <row r="140" spans="2:15" ht="14.45" customHeight="1" x14ac:dyDescent="0.2">
      <c r="B140" s="154" t="s">
        <v>1399</v>
      </c>
      <c r="C140" s="106" t="s">
        <v>441</v>
      </c>
      <c r="D140" s="107" t="s">
        <v>556</v>
      </c>
      <c r="E140" s="108" t="s">
        <v>1936</v>
      </c>
      <c r="F140" s="109" t="s">
        <v>1861</v>
      </c>
      <c r="G140" s="110" t="s">
        <v>1386</v>
      </c>
      <c r="H140" s="111" t="s">
        <v>1610</v>
      </c>
      <c r="I140" s="112" t="s">
        <v>1490</v>
      </c>
      <c r="J140" s="113">
        <v>784</v>
      </c>
      <c r="K140" s="114"/>
      <c r="L140" s="289"/>
      <c r="M140" s="116"/>
      <c r="N140" s="117"/>
      <c r="O140" s="115" t="str">
        <f t="shared" si="2"/>
        <v>제03장 취소소송의 당사자적격-제03절 권리보호의 필요(협의의 소의 이익)-14</v>
      </c>
    </row>
    <row r="141" spans="2:15" ht="14.45" customHeight="1" x14ac:dyDescent="0.2">
      <c r="B141" s="154" t="s">
        <v>1399</v>
      </c>
      <c r="C141" s="106" t="s">
        <v>441</v>
      </c>
      <c r="D141" s="107" t="s">
        <v>556</v>
      </c>
      <c r="E141" s="108" t="s">
        <v>1937</v>
      </c>
      <c r="F141" s="109" t="s">
        <v>419</v>
      </c>
      <c r="G141" s="110" t="s">
        <v>1386</v>
      </c>
      <c r="H141" s="111" t="s">
        <v>1611</v>
      </c>
      <c r="I141" s="112" t="s">
        <v>1491</v>
      </c>
      <c r="J141" s="113">
        <v>497</v>
      </c>
      <c r="K141" s="114"/>
      <c r="L141" s="289"/>
      <c r="M141" s="116"/>
      <c r="N141" s="117"/>
      <c r="O141" s="115" t="str">
        <f t="shared" si="2"/>
        <v>제03장 취소소송의 당사자적격-제03절 권리보호의 필요(협의의 소의 이익)-15</v>
      </c>
    </row>
    <row r="142" spans="2:15" ht="14.45" customHeight="1" x14ac:dyDescent="0.2">
      <c r="B142" s="154" t="s">
        <v>1399</v>
      </c>
      <c r="C142" s="106" t="s">
        <v>441</v>
      </c>
      <c r="D142" s="107" t="s">
        <v>556</v>
      </c>
      <c r="E142" s="108" t="s">
        <v>1938</v>
      </c>
      <c r="F142" s="109" t="s">
        <v>422</v>
      </c>
      <c r="G142" s="110" t="s">
        <v>1386</v>
      </c>
      <c r="H142" s="111" t="s">
        <v>1612</v>
      </c>
      <c r="I142" s="112" t="s">
        <v>1492</v>
      </c>
      <c r="J142" s="113">
        <v>614</v>
      </c>
      <c r="K142" s="114"/>
      <c r="L142" s="289"/>
      <c r="M142" s="116"/>
      <c r="N142" s="117"/>
      <c r="O142" s="115" t="str">
        <f t="shared" si="2"/>
        <v>제03장 취소소송의 당사자적격-제03절 권리보호의 필요(협의의 소의 이익)-16</v>
      </c>
    </row>
    <row r="143" spans="2:15" ht="14.45" customHeight="1" x14ac:dyDescent="0.2">
      <c r="B143" s="154" t="s">
        <v>1399</v>
      </c>
      <c r="C143" s="106" t="s">
        <v>441</v>
      </c>
      <c r="D143" s="107" t="s">
        <v>556</v>
      </c>
      <c r="E143" s="108" t="s">
        <v>1939</v>
      </c>
      <c r="F143" s="109" t="s">
        <v>1862</v>
      </c>
      <c r="G143" s="110" t="s">
        <v>1386</v>
      </c>
      <c r="H143" s="111" t="s">
        <v>1613</v>
      </c>
      <c r="I143" s="112" t="s">
        <v>1493</v>
      </c>
      <c r="J143" s="113">
        <v>479</v>
      </c>
      <c r="K143" s="114"/>
      <c r="L143" s="289"/>
      <c r="M143" s="116"/>
      <c r="N143" s="117"/>
      <c r="O143" s="115" t="str">
        <f t="shared" si="2"/>
        <v>제03장 취소소송의 당사자적격-제03절 권리보호의 필요(협의의 소의 이익)-17</v>
      </c>
    </row>
    <row r="144" spans="2:15" ht="14.45" customHeight="1" x14ac:dyDescent="0.2">
      <c r="B144" s="154" t="s">
        <v>1399</v>
      </c>
      <c r="C144" s="106" t="s">
        <v>441</v>
      </c>
      <c r="D144" s="107" t="s">
        <v>556</v>
      </c>
      <c r="E144" s="108" t="s">
        <v>1940</v>
      </c>
      <c r="F144" s="109" t="s">
        <v>1863</v>
      </c>
      <c r="G144" s="110" t="s">
        <v>1386</v>
      </c>
      <c r="H144" s="111" t="s">
        <v>1614</v>
      </c>
      <c r="I144" s="112" t="s">
        <v>1494</v>
      </c>
      <c r="J144" s="113">
        <v>880</v>
      </c>
      <c r="K144" s="114"/>
      <c r="L144" s="289"/>
      <c r="M144" s="116"/>
      <c r="N144" s="117"/>
      <c r="O144" s="115" t="str">
        <f t="shared" si="2"/>
        <v>제03장 취소소송의 당사자적격-제03절 권리보호의 필요(협의의 소의 이익)-18</v>
      </c>
    </row>
    <row r="145" spans="2:15" ht="14.45" customHeight="1" x14ac:dyDescent="0.2">
      <c r="B145" s="154" t="s">
        <v>1399</v>
      </c>
      <c r="C145" s="106" t="s">
        <v>441</v>
      </c>
      <c r="D145" s="107" t="s">
        <v>556</v>
      </c>
      <c r="E145" s="108" t="s">
        <v>1941</v>
      </c>
      <c r="F145" s="109" t="s">
        <v>1864</v>
      </c>
      <c r="G145" s="110" t="s">
        <v>1386</v>
      </c>
      <c r="H145" s="111" t="s">
        <v>1615</v>
      </c>
      <c r="I145" s="112" t="s">
        <v>1495</v>
      </c>
      <c r="J145" s="113">
        <v>683</v>
      </c>
      <c r="K145" s="114"/>
      <c r="L145" s="289"/>
      <c r="M145" s="116"/>
      <c r="N145" s="117"/>
      <c r="O145" s="115" t="str">
        <f t="shared" si="2"/>
        <v>제03장 취소소송의 당사자적격-제03절 권리보호의 필요(협의의 소의 이익)-19</v>
      </c>
    </row>
    <row r="146" spans="2:15" ht="14.45" customHeight="1" x14ac:dyDescent="0.2">
      <c r="B146" s="154" t="s">
        <v>1399</v>
      </c>
      <c r="C146" s="118" t="s">
        <v>441</v>
      </c>
      <c r="D146" s="119" t="s">
        <v>556</v>
      </c>
      <c r="E146" s="120" t="s">
        <v>1942</v>
      </c>
      <c r="F146" s="121" t="s">
        <v>1865</v>
      </c>
      <c r="G146" s="122" t="s">
        <v>1386</v>
      </c>
      <c r="H146" s="123" t="s">
        <v>1616</v>
      </c>
      <c r="I146" s="124" t="s">
        <v>1496</v>
      </c>
      <c r="J146" s="125">
        <v>769</v>
      </c>
      <c r="K146" s="126"/>
      <c r="L146" s="290"/>
      <c r="M146" s="128"/>
      <c r="N146" s="129"/>
      <c r="O146" s="127" t="str">
        <f t="shared" si="2"/>
        <v>제03장 취소소송의 당사자적격-제03절 권리보호의 필요(협의의 소의 이익)-20</v>
      </c>
    </row>
    <row r="147" spans="2:15" ht="14.45" customHeight="1" x14ac:dyDescent="0.2">
      <c r="B147" s="154" t="s">
        <v>1399</v>
      </c>
      <c r="C147" s="94" t="s">
        <v>1773</v>
      </c>
      <c r="D147" s="95" t="s">
        <v>133</v>
      </c>
      <c r="E147" s="96" t="s">
        <v>144</v>
      </c>
      <c r="F147" s="97" t="s">
        <v>1854</v>
      </c>
      <c r="G147" s="98" t="s">
        <v>1386</v>
      </c>
      <c r="H147" s="99" t="s">
        <v>366</v>
      </c>
      <c r="I147" s="100" t="s">
        <v>1189</v>
      </c>
      <c r="J147" s="101">
        <v>2543</v>
      </c>
      <c r="K147" s="102" t="s">
        <v>1422</v>
      </c>
      <c r="L147" s="288"/>
      <c r="M147" s="104"/>
      <c r="N147" s="105"/>
      <c r="O147" s="103" t="str">
        <f t="shared" si="2"/>
        <v>제03장 취소소송의 당사자적격-제04절 소송참가-01</v>
      </c>
    </row>
    <row r="148" spans="2:15" ht="14.45" customHeight="1" x14ac:dyDescent="0.2">
      <c r="B148" s="154" t="s">
        <v>1399</v>
      </c>
      <c r="C148" s="106" t="s">
        <v>1773</v>
      </c>
      <c r="D148" s="107" t="s">
        <v>1379</v>
      </c>
      <c r="E148" s="108" t="s">
        <v>1259</v>
      </c>
      <c r="F148" s="109" t="s">
        <v>1855</v>
      </c>
      <c r="G148" s="110" t="s">
        <v>1386</v>
      </c>
      <c r="H148" s="111" t="s">
        <v>2001</v>
      </c>
      <c r="I148" s="112" t="s">
        <v>2002</v>
      </c>
      <c r="J148" s="113">
        <v>1370</v>
      </c>
      <c r="K148" s="114" t="s">
        <v>1422</v>
      </c>
      <c r="L148" s="289"/>
      <c r="M148" s="116">
        <v>46245</v>
      </c>
      <c r="N148" s="117">
        <v>46245</v>
      </c>
      <c r="O148" s="115" t="str">
        <f t="shared" si="2"/>
        <v>제03장 취소소송의 당사자적격-제04절 소송참가-02</v>
      </c>
    </row>
    <row r="149" spans="2:15" ht="14.45" customHeight="1" x14ac:dyDescent="0.2">
      <c r="B149" s="154" t="s">
        <v>1399</v>
      </c>
      <c r="C149" s="106" t="s">
        <v>1773</v>
      </c>
      <c r="D149" s="107" t="s">
        <v>2010</v>
      </c>
      <c r="E149" s="108" t="s">
        <v>1816</v>
      </c>
      <c r="F149" s="109" t="s">
        <v>426</v>
      </c>
      <c r="G149" s="110" t="s">
        <v>1386</v>
      </c>
      <c r="H149" s="111" t="s">
        <v>1293</v>
      </c>
      <c r="I149" s="112" t="s">
        <v>2030</v>
      </c>
      <c r="J149" s="113">
        <v>1370</v>
      </c>
      <c r="K149" s="114" t="s">
        <v>1422</v>
      </c>
      <c r="L149" s="289"/>
      <c r="M149" s="116">
        <v>46245</v>
      </c>
      <c r="N149" s="117">
        <v>46245</v>
      </c>
      <c r="O149" s="115" t="str">
        <f t="shared" si="2"/>
        <v>제03장 취소소송의 당사자적격-제04절 소송참가-03</v>
      </c>
    </row>
    <row r="150" spans="2:15" ht="14.45" customHeight="1" thickBot="1" x14ac:dyDescent="0.25">
      <c r="B150" s="155" t="s">
        <v>1399</v>
      </c>
      <c r="C150" s="130" t="s">
        <v>1773</v>
      </c>
      <c r="D150" s="131" t="s">
        <v>2010</v>
      </c>
      <c r="E150" s="132" t="s">
        <v>1817</v>
      </c>
      <c r="F150" s="133" t="s">
        <v>412</v>
      </c>
      <c r="G150" s="134" t="s">
        <v>1386</v>
      </c>
      <c r="H150" s="135" t="s">
        <v>1415</v>
      </c>
      <c r="I150" s="136" t="s">
        <v>2031</v>
      </c>
      <c r="J150" s="137">
        <v>1388</v>
      </c>
      <c r="K150" s="138" t="s">
        <v>1422</v>
      </c>
      <c r="L150" s="291"/>
      <c r="M150" s="140">
        <v>46245</v>
      </c>
      <c r="N150" s="141">
        <v>46245</v>
      </c>
      <c r="O150" s="139" t="str">
        <f t="shared" si="2"/>
        <v>제03장 취소소송의 당사자적격-제04절 소송참가-04</v>
      </c>
    </row>
    <row r="151" spans="2:15" ht="14.45" customHeight="1" x14ac:dyDescent="0.2">
      <c r="B151" s="17" t="s">
        <v>444</v>
      </c>
      <c r="C151" s="142" t="s">
        <v>445</v>
      </c>
      <c r="D151" s="143" t="s">
        <v>133</v>
      </c>
      <c r="E151" s="144" t="s">
        <v>145</v>
      </c>
      <c r="F151" s="145" t="s">
        <v>1854</v>
      </c>
      <c r="G151" s="146" t="s">
        <v>1386</v>
      </c>
      <c r="H151" s="147" t="s">
        <v>81</v>
      </c>
      <c r="I151" s="148" t="s">
        <v>1190</v>
      </c>
      <c r="J151" s="149">
        <v>3559</v>
      </c>
      <c r="K151" s="150" t="s">
        <v>1422</v>
      </c>
      <c r="L151" s="292"/>
      <c r="M151" s="152"/>
      <c r="N151" s="153"/>
      <c r="O151" s="151" t="str">
        <f t="shared" si="2"/>
        <v>제04장 취소소송의 기타 소송요건-제01절 행정심판전치주의-01</v>
      </c>
    </row>
    <row r="152" spans="2:15" ht="14.45" customHeight="1" x14ac:dyDescent="0.2">
      <c r="B152" s="30" t="s">
        <v>1400</v>
      </c>
      <c r="C152" s="106" t="s">
        <v>445</v>
      </c>
      <c r="D152" s="107" t="s">
        <v>1379</v>
      </c>
      <c r="E152" s="108" t="s">
        <v>82</v>
      </c>
      <c r="F152" s="109" t="s">
        <v>1855</v>
      </c>
      <c r="G152" s="110" t="s">
        <v>1386</v>
      </c>
      <c r="H152" s="111" t="s">
        <v>2003</v>
      </c>
      <c r="I152" s="112" t="s">
        <v>2004</v>
      </c>
      <c r="J152" s="113">
        <v>1664</v>
      </c>
      <c r="K152" s="114" t="s">
        <v>1422</v>
      </c>
      <c r="L152" s="289"/>
      <c r="M152" s="116">
        <v>46245</v>
      </c>
      <c r="N152" s="117">
        <v>46245</v>
      </c>
      <c r="O152" s="115" t="str">
        <f t="shared" si="2"/>
        <v>제04장 취소소송의 기타 소송요건-제01절 행정심판전치주의-02</v>
      </c>
    </row>
    <row r="153" spans="2:15" ht="14.45" customHeight="1" x14ac:dyDescent="0.2">
      <c r="B153" s="30" t="s">
        <v>1400</v>
      </c>
      <c r="C153" s="106" t="s">
        <v>445</v>
      </c>
      <c r="D153" s="107" t="s">
        <v>1379</v>
      </c>
      <c r="E153" s="108" t="s">
        <v>1260</v>
      </c>
      <c r="F153" s="109" t="s">
        <v>426</v>
      </c>
      <c r="G153" s="110" t="s">
        <v>1386</v>
      </c>
      <c r="H153" s="111" t="s">
        <v>242</v>
      </c>
      <c r="I153" s="112" t="s">
        <v>1140</v>
      </c>
      <c r="J153" s="113">
        <v>3411</v>
      </c>
      <c r="K153" s="114" t="s">
        <v>1424</v>
      </c>
      <c r="L153" s="289" t="s">
        <v>2007</v>
      </c>
      <c r="M153" s="116"/>
      <c r="N153" s="117"/>
      <c r="O153" s="115" t="str">
        <f t="shared" si="2"/>
        <v>제04장 취소소송의 기타 소송요건-제01절 행정심판전치주의-03</v>
      </c>
    </row>
    <row r="154" spans="2:15" ht="14.45" customHeight="1" x14ac:dyDescent="0.2">
      <c r="B154" s="30" t="s">
        <v>1400</v>
      </c>
      <c r="C154" s="106" t="s">
        <v>445</v>
      </c>
      <c r="D154" s="107" t="s">
        <v>1379</v>
      </c>
      <c r="E154" s="108" t="s">
        <v>1224</v>
      </c>
      <c r="F154" s="109" t="s">
        <v>412</v>
      </c>
      <c r="G154" s="110" t="s">
        <v>1386</v>
      </c>
      <c r="H154" s="111" t="s">
        <v>1307</v>
      </c>
      <c r="I154" s="112" t="s">
        <v>1308</v>
      </c>
      <c r="J154" s="113">
        <v>2091</v>
      </c>
      <c r="K154" s="114" t="s">
        <v>1422</v>
      </c>
      <c r="L154" s="289" t="s">
        <v>2037</v>
      </c>
      <c r="M154" s="116">
        <v>46245</v>
      </c>
      <c r="N154" s="117">
        <v>46245</v>
      </c>
      <c r="O154" s="115" t="str">
        <f t="shared" si="2"/>
        <v>제04장 취소소송의 기타 소송요건-제01절 행정심판전치주의-04</v>
      </c>
    </row>
    <row r="155" spans="2:15" ht="14.45" customHeight="1" x14ac:dyDescent="0.2">
      <c r="B155" s="30" t="s">
        <v>1400</v>
      </c>
      <c r="C155" s="106" t="s">
        <v>445</v>
      </c>
      <c r="D155" s="107" t="s">
        <v>556</v>
      </c>
      <c r="E155" s="108" t="s">
        <v>1943</v>
      </c>
      <c r="F155" s="109" t="s">
        <v>428</v>
      </c>
      <c r="G155" s="110" t="s">
        <v>1386</v>
      </c>
      <c r="H155" s="111" t="s">
        <v>1550</v>
      </c>
      <c r="I155" s="112" t="s">
        <v>1430</v>
      </c>
      <c r="J155" s="113">
        <v>1032</v>
      </c>
      <c r="K155" s="114"/>
      <c r="L155" s="289"/>
      <c r="M155" s="116"/>
      <c r="N155" s="117"/>
      <c r="O155" s="115" t="str">
        <f t="shared" si="2"/>
        <v>제04장 취소소송의 기타 소송요건-제01절 행정심판전치주의-05</v>
      </c>
    </row>
    <row r="156" spans="2:15" ht="14.45" customHeight="1" x14ac:dyDescent="0.2">
      <c r="B156" s="30" t="s">
        <v>1400</v>
      </c>
      <c r="C156" s="118" t="s">
        <v>445</v>
      </c>
      <c r="D156" s="119" t="s">
        <v>556</v>
      </c>
      <c r="E156" s="120" t="s">
        <v>1944</v>
      </c>
      <c r="F156" s="121" t="s">
        <v>430</v>
      </c>
      <c r="G156" s="122" t="s">
        <v>1386</v>
      </c>
      <c r="H156" s="123" t="s">
        <v>1551</v>
      </c>
      <c r="I156" s="124" t="s">
        <v>1431</v>
      </c>
      <c r="J156" s="125">
        <v>765</v>
      </c>
      <c r="K156" s="126"/>
      <c r="L156" s="290"/>
      <c r="M156" s="128"/>
      <c r="N156" s="129"/>
      <c r="O156" s="127" t="str">
        <f t="shared" si="2"/>
        <v>제04장 취소소송의 기타 소송요건-제01절 행정심판전치주의-06</v>
      </c>
    </row>
    <row r="157" spans="2:15" ht="14.45" customHeight="1" x14ac:dyDescent="0.2">
      <c r="B157" s="30" t="s">
        <v>1400</v>
      </c>
      <c r="C157" s="94" t="s">
        <v>1754</v>
      </c>
      <c r="D157" s="95" t="s">
        <v>133</v>
      </c>
      <c r="E157" s="96" t="s">
        <v>145</v>
      </c>
      <c r="F157" s="97" t="s">
        <v>1854</v>
      </c>
      <c r="G157" s="98" t="s">
        <v>1386</v>
      </c>
      <c r="H157" s="99" t="s">
        <v>83</v>
      </c>
      <c r="I157" s="100" t="s">
        <v>1191</v>
      </c>
      <c r="J157" s="101">
        <v>2914</v>
      </c>
      <c r="K157" s="102" t="s">
        <v>1422</v>
      </c>
      <c r="L157" s="288"/>
      <c r="M157" s="104"/>
      <c r="N157" s="105"/>
      <c r="O157" s="103" t="str">
        <f t="shared" si="2"/>
        <v>제04장 취소소송의 기타 소송요건-제02절 제소기간-01</v>
      </c>
    </row>
    <row r="158" spans="2:15" ht="14.45" customHeight="1" x14ac:dyDescent="0.2">
      <c r="B158" s="30" t="s">
        <v>1400</v>
      </c>
      <c r="C158" s="106" t="s">
        <v>1754</v>
      </c>
      <c r="D158" s="107" t="s">
        <v>1379</v>
      </c>
      <c r="E158" s="108" t="s">
        <v>66</v>
      </c>
      <c r="F158" s="109" t="s">
        <v>1855</v>
      </c>
      <c r="G158" s="110" t="s">
        <v>1386</v>
      </c>
      <c r="H158" s="111" t="s">
        <v>242</v>
      </c>
      <c r="I158" s="112" t="s">
        <v>1140</v>
      </c>
      <c r="J158" s="113">
        <v>3411</v>
      </c>
      <c r="K158" s="114" t="s">
        <v>1424</v>
      </c>
      <c r="L158" s="289" t="s">
        <v>1798</v>
      </c>
      <c r="M158" s="116"/>
      <c r="N158" s="117"/>
      <c r="O158" s="115" t="str">
        <f t="shared" si="2"/>
        <v>제04장 취소소송의 기타 소송요건-제02절 제소기간-02</v>
      </c>
    </row>
    <row r="159" spans="2:15" ht="14.45" customHeight="1" x14ac:dyDescent="0.2">
      <c r="B159" s="30" t="s">
        <v>1400</v>
      </c>
      <c r="C159" s="106" t="s">
        <v>1754</v>
      </c>
      <c r="D159" s="107" t="s">
        <v>1379</v>
      </c>
      <c r="E159" s="108" t="s">
        <v>69</v>
      </c>
      <c r="F159" s="109" t="s">
        <v>426</v>
      </c>
      <c r="G159" s="110" t="s">
        <v>1386</v>
      </c>
      <c r="H159" s="111" t="s">
        <v>1243</v>
      </c>
      <c r="I159" s="112" t="s">
        <v>1244</v>
      </c>
      <c r="J159" s="113">
        <v>2495</v>
      </c>
      <c r="K159" s="114" t="s">
        <v>1424</v>
      </c>
      <c r="L159" s="289" t="s">
        <v>1796</v>
      </c>
      <c r="M159" s="116"/>
      <c r="N159" s="117"/>
      <c r="O159" s="115" t="str">
        <f t="shared" si="2"/>
        <v>제04장 취소소송의 기타 소송요건-제02절 제소기간-03</v>
      </c>
    </row>
    <row r="160" spans="2:15" ht="14.45" customHeight="1" x14ac:dyDescent="0.2">
      <c r="B160" s="30" t="s">
        <v>1400</v>
      </c>
      <c r="C160" s="106" t="s">
        <v>1754</v>
      </c>
      <c r="D160" s="107" t="s">
        <v>1379</v>
      </c>
      <c r="E160" s="108" t="s">
        <v>246</v>
      </c>
      <c r="F160" s="109" t="s">
        <v>412</v>
      </c>
      <c r="G160" s="110" t="s">
        <v>1386</v>
      </c>
      <c r="H160" s="111" t="s">
        <v>1241</v>
      </c>
      <c r="I160" s="112" t="s">
        <v>1242</v>
      </c>
      <c r="J160" s="113">
        <v>2187</v>
      </c>
      <c r="K160" s="114" t="s">
        <v>1424</v>
      </c>
      <c r="L160" s="289" t="s">
        <v>1796</v>
      </c>
      <c r="M160" s="116"/>
      <c r="N160" s="117"/>
      <c r="O160" s="115" t="str">
        <f t="shared" si="2"/>
        <v>제04장 취소소송의 기타 소송요건-제02절 제소기간-04</v>
      </c>
    </row>
    <row r="161" spans="2:15" ht="14.45" customHeight="1" x14ac:dyDescent="0.2">
      <c r="B161" s="30" t="s">
        <v>1400</v>
      </c>
      <c r="C161" s="106" t="s">
        <v>1754</v>
      </c>
      <c r="D161" s="107" t="s">
        <v>1379</v>
      </c>
      <c r="E161" s="108" t="s">
        <v>247</v>
      </c>
      <c r="F161" s="109" t="s">
        <v>428</v>
      </c>
      <c r="G161" s="110" t="s">
        <v>1386</v>
      </c>
      <c r="H161" s="111" t="s">
        <v>1411</v>
      </c>
      <c r="I161" s="112" t="s">
        <v>1412</v>
      </c>
      <c r="J161" s="113">
        <v>2941</v>
      </c>
      <c r="K161" s="114" t="s">
        <v>1423</v>
      </c>
      <c r="L161" s="289" t="s">
        <v>1795</v>
      </c>
      <c r="M161" s="116"/>
      <c r="N161" s="117"/>
      <c r="O161" s="115" t="str">
        <f t="shared" si="2"/>
        <v>제04장 취소소송의 기타 소송요건-제02절 제소기간-05</v>
      </c>
    </row>
    <row r="162" spans="2:15" ht="14.45" customHeight="1" x14ac:dyDescent="0.2">
      <c r="B162" s="30" t="s">
        <v>1400</v>
      </c>
      <c r="C162" s="106" t="s">
        <v>1754</v>
      </c>
      <c r="D162" s="107" t="s">
        <v>1379</v>
      </c>
      <c r="E162" s="108" t="s">
        <v>248</v>
      </c>
      <c r="F162" s="109" t="s">
        <v>430</v>
      </c>
      <c r="G162" s="110" t="s">
        <v>1386</v>
      </c>
      <c r="H162" s="111" t="s">
        <v>1409</v>
      </c>
      <c r="I162" s="112" t="s">
        <v>1410</v>
      </c>
      <c r="J162" s="113">
        <v>3823</v>
      </c>
      <c r="K162" s="114" t="s">
        <v>1424</v>
      </c>
      <c r="L162" s="289" t="s">
        <v>1795</v>
      </c>
      <c r="M162" s="116"/>
      <c r="N162" s="117"/>
      <c r="O162" s="115" t="str">
        <f t="shared" si="2"/>
        <v>제04장 취소소송의 기타 소송요건-제02절 제소기간-06</v>
      </c>
    </row>
    <row r="163" spans="2:15" ht="14.45" customHeight="1" x14ac:dyDescent="0.2">
      <c r="B163" s="30" t="s">
        <v>1400</v>
      </c>
      <c r="C163" s="106" t="s">
        <v>1754</v>
      </c>
      <c r="D163" s="107" t="s">
        <v>1379</v>
      </c>
      <c r="E163" s="108" t="s">
        <v>67</v>
      </c>
      <c r="F163" s="109" t="s">
        <v>458</v>
      </c>
      <c r="G163" s="110" t="s">
        <v>1386</v>
      </c>
      <c r="H163" s="111" t="s">
        <v>1413</v>
      </c>
      <c r="I163" s="112" t="s">
        <v>1414</v>
      </c>
      <c r="J163" s="113">
        <v>2029</v>
      </c>
      <c r="K163" s="114" t="s">
        <v>1422</v>
      </c>
      <c r="L163" s="289" t="s">
        <v>1796</v>
      </c>
      <c r="M163" s="116"/>
      <c r="N163" s="117"/>
      <c r="O163" s="115" t="str">
        <f t="shared" si="2"/>
        <v>제04장 취소소송의 기타 소송요건-제02절 제소기간-07</v>
      </c>
    </row>
    <row r="164" spans="2:15" ht="14.45" customHeight="1" x14ac:dyDescent="0.2">
      <c r="B164" s="30" t="s">
        <v>1400</v>
      </c>
      <c r="C164" s="106" t="s">
        <v>1754</v>
      </c>
      <c r="D164" s="107" t="s">
        <v>556</v>
      </c>
      <c r="E164" s="108" t="s">
        <v>1945</v>
      </c>
      <c r="F164" s="109" t="s">
        <v>1856</v>
      </c>
      <c r="G164" s="110" t="s">
        <v>1386</v>
      </c>
      <c r="H164" s="111" t="s">
        <v>1620</v>
      </c>
      <c r="I164" s="112" t="s">
        <v>1500</v>
      </c>
      <c r="J164" s="113">
        <v>1034</v>
      </c>
      <c r="K164" s="114" t="s">
        <v>1424</v>
      </c>
      <c r="L164" s="289"/>
      <c r="M164" s="116"/>
      <c r="N164" s="117"/>
      <c r="O164" s="115" t="str">
        <f t="shared" si="2"/>
        <v>제04장 취소소송의 기타 소송요건-제02절 제소기간-08</v>
      </c>
    </row>
    <row r="165" spans="2:15" ht="14.45" customHeight="1" x14ac:dyDescent="0.2">
      <c r="B165" s="30" t="s">
        <v>1400</v>
      </c>
      <c r="C165" s="106" t="s">
        <v>1754</v>
      </c>
      <c r="D165" s="107" t="s">
        <v>556</v>
      </c>
      <c r="E165" s="108" t="s">
        <v>1884</v>
      </c>
      <c r="F165" s="109" t="s">
        <v>1857</v>
      </c>
      <c r="G165" s="110" t="s">
        <v>1386</v>
      </c>
      <c r="H165" s="111" t="s">
        <v>1621</v>
      </c>
      <c r="I165" s="112" t="s">
        <v>1501</v>
      </c>
      <c r="J165" s="113">
        <v>542</v>
      </c>
      <c r="K165" s="114" t="s">
        <v>1424</v>
      </c>
      <c r="L165" s="289" t="s">
        <v>1794</v>
      </c>
      <c r="M165" s="116"/>
      <c r="N165" s="117"/>
      <c r="O165" s="115" t="str">
        <f t="shared" si="2"/>
        <v>제04장 취소소송의 기타 소송요건-제02절 제소기간-09</v>
      </c>
    </row>
    <row r="166" spans="2:15" ht="14.45" customHeight="1" x14ac:dyDescent="0.2">
      <c r="B166" s="30" t="s">
        <v>1400</v>
      </c>
      <c r="C166" s="106" t="s">
        <v>1754</v>
      </c>
      <c r="D166" s="107" t="s">
        <v>556</v>
      </c>
      <c r="E166" s="108" t="s">
        <v>1946</v>
      </c>
      <c r="F166" s="109" t="s">
        <v>447</v>
      </c>
      <c r="G166" s="110" t="s">
        <v>1386</v>
      </c>
      <c r="H166" s="111" t="s">
        <v>1622</v>
      </c>
      <c r="I166" s="112" t="s">
        <v>1502</v>
      </c>
      <c r="J166" s="113">
        <v>652</v>
      </c>
      <c r="K166" s="114" t="s">
        <v>1423</v>
      </c>
      <c r="L166" s="289"/>
      <c r="M166" s="116"/>
      <c r="N166" s="117"/>
      <c r="O166" s="115" t="str">
        <f t="shared" si="2"/>
        <v>제04장 취소소송의 기타 소송요건-제02절 제소기간-10</v>
      </c>
    </row>
    <row r="167" spans="2:15" ht="14.45" customHeight="1" x14ac:dyDescent="0.2">
      <c r="B167" s="30" t="s">
        <v>1400</v>
      </c>
      <c r="C167" s="106" t="s">
        <v>1754</v>
      </c>
      <c r="D167" s="107" t="s">
        <v>556</v>
      </c>
      <c r="E167" s="108" t="s">
        <v>1947</v>
      </c>
      <c r="F167" s="109" t="s">
        <v>1858</v>
      </c>
      <c r="G167" s="110" t="s">
        <v>1386</v>
      </c>
      <c r="H167" s="111" t="s">
        <v>1623</v>
      </c>
      <c r="I167" s="112" t="s">
        <v>1503</v>
      </c>
      <c r="J167" s="113">
        <v>780</v>
      </c>
      <c r="K167" s="114" t="s">
        <v>1422</v>
      </c>
      <c r="L167" s="289"/>
      <c r="M167" s="116"/>
      <c r="N167" s="117"/>
      <c r="O167" s="115" t="str">
        <f t="shared" si="2"/>
        <v>제04장 취소소송의 기타 소송요건-제02절 제소기간-11</v>
      </c>
    </row>
    <row r="168" spans="2:15" ht="14.45" customHeight="1" x14ac:dyDescent="0.2">
      <c r="B168" s="30" t="s">
        <v>1400</v>
      </c>
      <c r="C168" s="106" t="s">
        <v>1754</v>
      </c>
      <c r="D168" s="107" t="s">
        <v>556</v>
      </c>
      <c r="E168" s="108" t="s">
        <v>1948</v>
      </c>
      <c r="F168" s="109" t="s">
        <v>1859</v>
      </c>
      <c r="G168" s="110" t="s">
        <v>1386</v>
      </c>
      <c r="H168" s="111" t="s">
        <v>1624</v>
      </c>
      <c r="I168" s="112" t="s">
        <v>1504</v>
      </c>
      <c r="J168" s="113">
        <v>1130</v>
      </c>
      <c r="K168" s="114" t="s">
        <v>1424</v>
      </c>
      <c r="L168" s="289"/>
      <c r="M168" s="116"/>
      <c r="N168" s="117"/>
      <c r="O168" s="115" t="str">
        <f t="shared" si="2"/>
        <v>제04장 취소소송의 기타 소송요건-제02절 제소기간-12</v>
      </c>
    </row>
    <row r="169" spans="2:15" ht="14.45" customHeight="1" x14ac:dyDescent="0.2">
      <c r="B169" s="30" t="s">
        <v>1400</v>
      </c>
      <c r="C169" s="118" t="s">
        <v>1754</v>
      </c>
      <c r="D169" s="119" t="s">
        <v>556</v>
      </c>
      <c r="E169" s="120" t="s">
        <v>1948</v>
      </c>
      <c r="F169" s="121" t="s">
        <v>1860</v>
      </c>
      <c r="G169" s="122" t="s">
        <v>1386</v>
      </c>
      <c r="H169" s="123" t="s">
        <v>1625</v>
      </c>
      <c r="I169" s="124" t="s">
        <v>1505</v>
      </c>
      <c r="J169" s="125">
        <v>1121</v>
      </c>
      <c r="K169" s="126" t="s">
        <v>1423</v>
      </c>
      <c r="L169" s="290" t="s">
        <v>1793</v>
      </c>
      <c r="M169" s="128"/>
      <c r="N169" s="129"/>
      <c r="O169" s="127" t="str">
        <f t="shared" si="2"/>
        <v>제04장 취소소송의 기타 소송요건-제02절 제소기간-13</v>
      </c>
    </row>
    <row r="170" spans="2:15" ht="14.45" customHeight="1" x14ac:dyDescent="0.2">
      <c r="B170" s="30" t="s">
        <v>1400</v>
      </c>
      <c r="C170" s="94" t="s">
        <v>449</v>
      </c>
      <c r="D170" s="95" t="s">
        <v>133</v>
      </c>
      <c r="E170" s="96" t="s">
        <v>145</v>
      </c>
      <c r="F170" s="97" t="s">
        <v>1854</v>
      </c>
      <c r="G170" s="98" t="s">
        <v>1386</v>
      </c>
      <c r="H170" s="99" t="s">
        <v>84</v>
      </c>
      <c r="I170" s="100" t="s">
        <v>1192</v>
      </c>
      <c r="J170" s="101">
        <v>2252</v>
      </c>
      <c r="K170" s="102" t="s">
        <v>1422</v>
      </c>
      <c r="L170" s="288"/>
      <c r="M170" s="104"/>
      <c r="N170" s="105"/>
      <c r="O170" s="103" t="str">
        <f t="shared" si="2"/>
        <v>제04장 취소소송의 기타 소송요건-제03절 관할법원-01</v>
      </c>
    </row>
    <row r="171" spans="2:15" ht="14.45" customHeight="1" thickBot="1" x14ac:dyDescent="0.25">
      <c r="B171" s="43" t="s">
        <v>1400</v>
      </c>
      <c r="C171" s="130" t="s">
        <v>449</v>
      </c>
      <c r="D171" s="131" t="s">
        <v>1379</v>
      </c>
      <c r="E171" s="132" t="s">
        <v>1260</v>
      </c>
      <c r="F171" s="133" t="s">
        <v>1855</v>
      </c>
      <c r="G171" s="134" t="s">
        <v>1386</v>
      </c>
      <c r="H171" s="135" t="s">
        <v>242</v>
      </c>
      <c r="I171" s="136" t="s">
        <v>1140</v>
      </c>
      <c r="J171" s="137">
        <v>3411</v>
      </c>
      <c r="K171" s="138" t="s">
        <v>1424</v>
      </c>
      <c r="L171" s="291" t="s">
        <v>1799</v>
      </c>
      <c r="M171" s="140"/>
      <c r="N171" s="141"/>
      <c r="O171" s="139" t="str">
        <f t="shared" si="2"/>
        <v>제04장 취소소송의 기타 소송요건-제03절 관할법원-02</v>
      </c>
    </row>
    <row r="172" spans="2:15" ht="14.45" customHeight="1" x14ac:dyDescent="0.2">
      <c r="B172" s="17" t="s">
        <v>450</v>
      </c>
      <c r="C172" s="142" t="s">
        <v>1740</v>
      </c>
      <c r="D172" s="143" t="s">
        <v>133</v>
      </c>
      <c r="E172" s="144" t="s">
        <v>109</v>
      </c>
      <c r="F172" s="145" t="s">
        <v>1854</v>
      </c>
      <c r="G172" s="146" t="s">
        <v>1386</v>
      </c>
      <c r="H172" s="147" t="s">
        <v>194</v>
      </c>
      <c r="I172" s="148" t="s">
        <v>1193</v>
      </c>
      <c r="J172" s="149">
        <v>2396</v>
      </c>
      <c r="K172" s="150" t="s">
        <v>1423</v>
      </c>
      <c r="L172" s="292"/>
      <c r="M172" s="152"/>
      <c r="N172" s="153"/>
      <c r="O172" s="151" t="str">
        <f t="shared" si="2"/>
        <v>제05장 취소소송의 심리-제01절 심리-01</v>
      </c>
    </row>
    <row r="173" spans="2:15" ht="14.45" customHeight="1" x14ac:dyDescent="0.2">
      <c r="B173" s="154" t="s">
        <v>1401</v>
      </c>
      <c r="C173" s="106" t="s">
        <v>1740</v>
      </c>
      <c r="D173" s="107" t="s">
        <v>2010</v>
      </c>
      <c r="E173" s="108" t="s">
        <v>1818</v>
      </c>
      <c r="F173" s="109" t="s">
        <v>1855</v>
      </c>
      <c r="G173" s="110" t="s">
        <v>1386</v>
      </c>
      <c r="H173" s="111" t="s">
        <v>52</v>
      </c>
      <c r="I173" s="112" t="s">
        <v>2028</v>
      </c>
      <c r="J173" s="113">
        <v>1218</v>
      </c>
      <c r="K173" s="114" t="s">
        <v>1424</v>
      </c>
      <c r="L173" s="289"/>
      <c r="M173" s="116">
        <v>46245</v>
      </c>
      <c r="N173" s="117">
        <v>46245</v>
      </c>
      <c r="O173" s="115" t="str">
        <f t="shared" si="2"/>
        <v>제05장 취소소송의 심리-제01절 심리-02</v>
      </c>
    </row>
    <row r="174" spans="2:15" ht="14.45" customHeight="1" x14ac:dyDescent="0.2">
      <c r="B174" s="154" t="s">
        <v>1401</v>
      </c>
      <c r="C174" s="106" t="s">
        <v>1740</v>
      </c>
      <c r="D174" s="107" t="s">
        <v>2010</v>
      </c>
      <c r="E174" s="108" t="s">
        <v>1819</v>
      </c>
      <c r="F174" s="109" t="s">
        <v>426</v>
      </c>
      <c r="G174" s="110" t="s">
        <v>1386</v>
      </c>
      <c r="H174" s="111" t="s">
        <v>53</v>
      </c>
      <c r="I174" s="112" t="s">
        <v>2029</v>
      </c>
      <c r="J174" s="113">
        <v>1335</v>
      </c>
      <c r="K174" s="114" t="s">
        <v>1423</v>
      </c>
      <c r="L174" s="289"/>
      <c r="M174" s="116">
        <v>46245</v>
      </c>
      <c r="N174" s="117">
        <v>46245</v>
      </c>
      <c r="O174" s="115" t="str">
        <f t="shared" si="2"/>
        <v>제05장 취소소송의 심리-제01절 심리-03</v>
      </c>
    </row>
    <row r="175" spans="2:15" ht="14.45" customHeight="1" x14ac:dyDescent="0.2">
      <c r="B175" s="154" t="s">
        <v>1401</v>
      </c>
      <c r="C175" s="106" t="s">
        <v>1740</v>
      </c>
      <c r="D175" s="107" t="s">
        <v>556</v>
      </c>
      <c r="E175" s="108" t="s">
        <v>1949</v>
      </c>
      <c r="F175" s="109" t="s">
        <v>412</v>
      </c>
      <c r="G175" s="110" t="s">
        <v>1386</v>
      </c>
      <c r="H175" s="111" t="s">
        <v>1633</v>
      </c>
      <c r="I175" s="112" t="s">
        <v>1513</v>
      </c>
      <c r="J175" s="113">
        <v>390</v>
      </c>
      <c r="K175" s="114"/>
      <c r="L175" s="289"/>
      <c r="M175" s="116"/>
      <c r="N175" s="117"/>
      <c r="O175" s="115" t="str">
        <f t="shared" si="2"/>
        <v>제05장 취소소송의 심리-제01절 심리-04</v>
      </c>
    </row>
    <row r="176" spans="2:15" ht="14.45" customHeight="1" x14ac:dyDescent="0.2">
      <c r="B176" s="154" t="s">
        <v>1401</v>
      </c>
      <c r="C176" s="106" t="s">
        <v>1740</v>
      </c>
      <c r="D176" s="107" t="s">
        <v>556</v>
      </c>
      <c r="E176" s="108" t="s">
        <v>1950</v>
      </c>
      <c r="F176" s="109" t="s">
        <v>428</v>
      </c>
      <c r="G176" s="110" t="s">
        <v>1386</v>
      </c>
      <c r="H176" s="111" t="s">
        <v>1634</v>
      </c>
      <c r="I176" s="112" t="s">
        <v>1514</v>
      </c>
      <c r="J176" s="113">
        <v>333</v>
      </c>
      <c r="K176" s="114"/>
      <c r="L176" s="289"/>
      <c r="M176" s="116"/>
      <c r="N176" s="117"/>
      <c r="O176" s="115" t="str">
        <f t="shared" si="2"/>
        <v>제05장 취소소송의 심리-제01절 심리-05</v>
      </c>
    </row>
    <row r="177" spans="2:15" ht="14.45" customHeight="1" x14ac:dyDescent="0.2">
      <c r="B177" s="154" t="s">
        <v>1401</v>
      </c>
      <c r="C177" s="106" t="s">
        <v>1740</v>
      </c>
      <c r="D177" s="107" t="s">
        <v>556</v>
      </c>
      <c r="E177" s="108" t="s">
        <v>1951</v>
      </c>
      <c r="F177" s="109" t="s">
        <v>430</v>
      </c>
      <c r="G177" s="110" t="s">
        <v>1386</v>
      </c>
      <c r="H177" s="111" t="s">
        <v>1635</v>
      </c>
      <c r="I177" s="112" t="s">
        <v>1515</v>
      </c>
      <c r="J177" s="113">
        <v>850</v>
      </c>
      <c r="K177" s="114"/>
      <c r="L177" s="289"/>
      <c r="M177" s="116"/>
      <c r="N177" s="117"/>
      <c r="O177" s="115" t="str">
        <f t="shared" si="2"/>
        <v>제05장 취소소송의 심리-제01절 심리-06</v>
      </c>
    </row>
    <row r="178" spans="2:15" ht="14.45" customHeight="1" x14ac:dyDescent="0.2">
      <c r="B178" s="154" t="s">
        <v>1401</v>
      </c>
      <c r="C178" s="106" t="s">
        <v>1740</v>
      </c>
      <c r="D178" s="107" t="s">
        <v>556</v>
      </c>
      <c r="E178" s="108" t="s">
        <v>1952</v>
      </c>
      <c r="F178" s="109" t="s">
        <v>458</v>
      </c>
      <c r="G178" s="110" t="s">
        <v>1386</v>
      </c>
      <c r="H178" s="111" t="s">
        <v>1642</v>
      </c>
      <c r="I178" s="112" t="s">
        <v>1522</v>
      </c>
      <c r="J178" s="113">
        <v>470</v>
      </c>
      <c r="K178" s="114"/>
      <c r="L178" s="289"/>
      <c r="M178" s="116"/>
      <c r="N178" s="117"/>
      <c r="O178" s="115" t="str">
        <f t="shared" si="2"/>
        <v>제05장 취소소송의 심리-제01절 심리-07</v>
      </c>
    </row>
    <row r="179" spans="2:15" ht="14.45" customHeight="1" x14ac:dyDescent="0.2">
      <c r="B179" s="154" t="s">
        <v>1401</v>
      </c>
      <c r="C179" s="118" t="s">
        <v>1740</v>
      </c>
      <c r="D179" s="119" t="s">
        <v>556</v>
      </c>
      <c r="E179" s="120" t="s">
        <v>1953</v>
      </c>
      <c r="F179" s="121" t="s">
        <v>1856</v>
      </c>
      <c r="G179" s="122" t="s">
        <v>1386</v>
      </c>
      <c r="H179" s="123" t="s">
        <v>1643</v>
      </c>
      <c r="I179" s="124" t="s">
        <v>1523</v>
      </c>
      <c r="J179" s="125">
        <v>421</v>
      </c>
      <c r="K179" s="126"/>
      <c r="L179" s="290"/>
      <c r="M179" s="128"/>
      <c r="N179" s="129"/>
      <c r="O179" s="127" t="str">
        <f t="shared" si="2"/>
        <v>제05장 취소소송의 심리-제01절 심리-08</v>
      </c>
    </row>
    <row r="180" spans="2:15" ht="14.45" customHeight="1" x14ac:dyDescent="0.2">
      <c r="B180" s="154" t="s">
        <v>1401</v>
      </c>
      <c r="C180" s="94" t="s">
        <v>452</v>
      </c>
      <c r="D180" s="95" t="s">
        <v>133</v>
      </c>
      <c r="E180" s="96" t="s">
        <v>109</v>
      </c>
      <c r="F180" s="97" t="s">
        <v>1854</v>
      </c>
      <c r="G180" s="98" t="s">
        <v>1386</v>
      </c>
      <c r="H180" s="99" t="s">
        <v>195</v>
      </c>
      <c r="I180" s="100" t="s">
        <v>1194</v>
      </c>
      <c r="J180" s="101">
        <v>2191</v>
      </c>
      <c r="K180" s="102" t="s">
        <v>1424</v>
      </c>
      <c r="L180" s="288"/>
      <c r="M180" s="104"/>
      <c r="N180" s="105"/>
      <c r="O180" s="103" t="str">
        <f t="shared" si="2"/>
        <v>제05장 취소소송의 심리-제02절 위법성 판단의 기준시-01</v>
      </c>
    </row>
    <row r="181" spans="2:15" ht="14.45" customHeight="1" x14ac:dyDescent="0.2">
      <c r="B181" s="154" t="s">
        <v>1401</v>
      </c>
      <c r="C181" s="118" t="s">
        <v>452</v>
      </c>
      <c r="D181" s="119" t="s">
        <v>1379</v>
      </c>
      <c r="E181" s="120" t="s">
        <v>1261</v>
      </c>
      <c r="F181" s="121" t="s">
        <v>1855</v>
      </c>
      <c r="G181" s="122" t="s">
        <v>1386</v>
      </c>
      <c r="H181" s="123" t="s">
        <v>1309</v>
      </c>
      <c r="I181" s="124" t="s">
        <v>1310</v>
      </c>
      <c r="J181" s="125">
        <v>1702</v>
      </c>
      <c r="K181" s="126" t="s">
        <v>1424</v>
      </c>
      <c r="L181" s="290" t="s">
        <v>2118</v>
      </c>
      <c r="M181" s="128">
        <v>46245</v>
      </c>
      <c r="N181" s="129">
        <v>46245</v>
      </c>
      <c r="O181" s="127" t="str">
        <f t="shared" si="2"/>
        <v>제05장 취소소송의 심리-제02절 위법성 판단의 기준시-02</v>
      </c>
    </row>
    <row r="182" spans="2:15" ht="14.45" customHeight="1" x14ac:dyDescent="0.2">
      <c r="B182" s="154" t="s">
        <v>1401</v>
      </c>
      <c r="C182" s="94" t="s">
        <v>453</v>
      </c>
      <c r="D182" s="95" t="s">
        <v>133</v>
      </c>
      <c r="E182" s="96" t="s">
        <v>146</v>
      </c>
      <c r="F182" s="97" t="s">
        <v>1854</v>
      </c>
      <c r="G182" s="98" t="s">
        <v>1386</v>
      </c>
      <c r="H182" s="99" t="s">
        <v>196</v>
      </c>
      <c r="I182" s="100" t="s">
        <v>1195</v>
      </c>
      <c r="J182" s="101">
        <v>2579</v>
      </c>
      <c r="K182" s="102" t="s">
        <v>1424</v>
      </c>
      <c r="L182" s="288"/>
      <c r="M182" s="104"/>
      <c r="N182" s="105"/>
      <c r="O182" s="103" t="str">
        <f t="shared" si="2"/>
        <v>제05장 취소소송의 심리-제03절 처분사유의 추가・변경-01</v>
      </c>
    </row>
    <row r="183" spans="2:15" ht="14.45" customHeight="1" x14ac:dyDescent="0.2">
      <c r="B183" s="154" t="s">
        <v>1401</v>
      </c>
      <c r="C183" s="106" t="s">
        <v>453</v>
      </c>
      <c r="D183" s="107" t="s">
        <v>1379</v>
      </c>
      <c r="E183" s="108" t="s">
        <v>87</v>
      </c>
      <c r="F183" s="109" t="s">
        <v>1855</v>
      </c>
      <c r="G183" s="110" t="s">
        <v>1386</v>
      </c>
      <c r="H183" s="111" t="s">
        <v>1315</v>
      </c>
      <c r="I183" s="112" t="s">
        <v>1316</v>
      </c>
      <c r="J183" s="113">
        <v>1586</v>
      </c>
      <c r="K183" s="114" t="s">
        <v>1424</v>
      </c>
      <c r="L183" s="289"/>
      <c r="M183" s="116">
        <v>46246</v>
      </c>
      <c r="N183" s="117">
        <v>46246</v>
      </c>
      <c r="O183" s="115" t="str">
        <f t="shared" si="2"/>
        <v>제05장 취소소송의 심리-제03절 처분사유의 추가・변경-02</v>
      </c>
    </row>
    <row r="184" spans="2:15" ht="14.45" customHeight="1" x14ac:dyDescent="0.2">
      <c r="B184" s="154" t="s">
        <v>1401</v>
      </c>
      <c r="C184" s="106" t="s">
        <v>453</v>
      </c>
      <c r="D184" s="107" t="s">
        <v>1379</v>
      </c>
      <c r="E184" s="108" t="s">
        <v>86</v>
      </c>
      <c r="F184" s="109" t="s">
        <v>426</v>
      </c>
      <c r="G184" s="110" t="s">
        <v>1386</v>
      </c>
      <c r="H184" s="111" t="s">
        <v>1353</v>
      </c>
      <c r="I184" s="112" t="s">
        <v>1354</v>
      </c>
      <c r="J184" s="113">
        <v>1626</v>
      </c>
      <c r="K184" s="114" t="s">
        <v>1424</v>
      </c>
      <c r="L184" s="289"/>
      <c r="M184" s="116">
        <v>46246</v>
      </c>
      <c r="N184" s="117">
        <v>46246</v>
      </c>
      <c r="O184" s="115" t="str">
        <f t="shared" si="2"/>
        <v>제05장 취소소송의 심리-제03절 처분사유의 추가・변경-03</v>
      </c>
    </row>
    <row r="185" spans="2:15" ht="14.45" customHeight="1" x14ac:dyDescent="0.2">
      <c r="B185" s="154" t="s">
        <v>1401</v>
      </c>
      <c r="C185" s="106" t="s">
        <v>453</v>
      </c>
      <c r="D185" s="107" t="s">
        <v>1379</v>
      </c>
      <c r="E185" s="108" t="s">
        <v>1262</v>
      </c>
      <c r="F185" s="109" t="s">
        <v>412</v>
      </c>
      <c r="G185" s="110" t="s">
        <v>1386</v>
      </c>
      <c r="H185" s="111" t="s">
        <v>1313</v>
      </c>
      <c r="I185" s="112" t="s">
        <v>1314</v>
      </c>
      <c r="J185" s="113">
        <v>1935</v>
      </c>
      <c r="K185" s="114" t="s">
        <v>1424</v>
      </c>
      <c r="L185" s="289"/>
      <c r="M185" s="116">
        <v>46246</v>
      </c>
      <c r="N185" s="117">
        <v>46246</v>
      </c>
      <c r="O185" s="115" t="str">
        <f t="shared" si="2"/>
        <v>제05장 취소소송의 심리-제03절 처분사유의 추가・변경-04</v>
      </c>
    </row>
    <row r="186" spans="2:15" ht="14.45" customHeight="1" x14ac:dyDescent="0.2">
      <c r="B186" s="154" t="s">
        <v>1401</v>
      </c>
      <c r="C186" s="106" t="s">
        <v>453</v>
      </c>
      <c r="D186" s="107" t="s">
        <v>1379</v>
      </c>
      <c r="E186" s="108" t="s">
        <v>85</v>
      </c>
      <c r="F186" s="109" t="s">
        <v>428</v>
      </c>
      <c r="G186" s="110" t="s">
        <v>1386</v>
      </c>
      <c r="H186" s="111" t="s">
        <v>1311</v>
      </c>
      <c r="I186" s="112" t="s">
        <v>1312</v>
      </c>
      <c r="J186" s="113">
        <v>1888</v>
      </c>
      <c r="K186" s="114" t="s">
        <v>1424</v>
      </c>
      <c r="L186" s="289"/>
      <c r="M186" s="116">
        <v>46246</v>
      </c>
      <c r="N186" s="117">
        <v>46246</v>
      </c>
      <c r="O186" s="115" t="str">
        <f t="shared" si="2"/>
        <v>제05장 취소소송의 심리-제03절 처분사유의 추가・변경-05</v>
      </c>
    </row>
    <row r="187" spans="2:15" ht="14.45" customHeight="1" x14ac:dyDescent="0.2">
      <c r="B187" s="154" t="s">
        <v>1401</v>
      </c>
      <c r="C187" s="106" t="s">
        <v>453</v>
      </c>
      <c r="D187" s="107" t="s">
        <v>556</v>
      </c>
      <c r="E187" s="108" t="s">
        <v>1954</v>
      </c>
      <c r="F187" s="109" t="s">
        <v>430</v>
      </c>
      <c r="G187" s="110" t="s">
        <v>1386</v>
      </c>
      <c r="H187" s="111" t="s">
        <v>1639</v>
      </c>
      <c r="I187" s="112" t="s">
        <v>1519</v>
      </c>
      <c r="J187" s="113">
        <v>780</v>
      </c>
      <c r="K187" s="114"/>
      <c r="L187" s="289"/>
      <c r="M187" s="116"/>
      <c r="N187" s="117"/>
      <c r="O187" s="115" t="str">
        <f t="shared" si="2"/>
        <v>제05장 취소소송의 심리-제03절 처분사유의 추가・변경-06</v>
      </c>
    </row>
    <row r="188" spans="2:15" ht="14.45" customHeight="1" x14ac:dyDescent="0.2">
      <c r="B188" s="154" t="s">
        <v>1401</v>
      </c>
      <c r="C188" s="106" t="s">
        <v>453</v>
      </c>
      <c r="D188" s="107" t="s">
        <v>556</v>
      </c>
      <c r="E188" s="108" t="s">
        <v>1955</v>
      </c>
      <c r="F188" s="109" t="s">
        <v>458</v>
      </c>
      <c r="G188" s="110" t="s">
        <v>1386</v>
      </c>
      <c r="H188" s="111" t="s">
        <v>1640</v>
      </c>
      <c r="I188" s="112" t="s">
        <v>1520</v>
      </c>
      <c r="J188" s="113">
        <v>1504</v>
      </c>
      <c r="K188" s="114"/>
      <c r="L188" s="289"/>
      <c r="M188" s="116"/>
      <c r="N188" s="117"/>
      <c r="O188" s="115" t="str">
        <f t="shared" si="2"/>
        <v>제05장 취소소송의 심리-제03절 처분사유의 추가・변경-07</v>
      </c>
    </row>
    <row r="189" spans="2:15" ht="14.45" customHeight="1" thickBot="1" x14ac:dyDescent="0.25">
      <c r="B189" s="155" t="s">
        <v>1401</v>
      </c>
      <c r="C189" s="130" t="s">
        <v>453</v>
      </c>
      <c r="D189" s="131" t="s">
        <v>556</v>
      </c>
      <c r="E189" s="132" t="s">
        <v>1956</v>
      </c>
      <c r="F189" s="133" t="s">
        <v>1856</v>
      </c>
      <c r="G189" s="134" t="s">
        <v>1386</v>
      </c>
      <c r="H189" s="135" t="s">
        <v>1641</v>
      </c>
      <c r="I189" s="136" t="s">
        <v>1521</v>
      </c>
      <c r="J189" s="137">
        <v>1108</v>
      </c>
      <c r="K189" s="138"/>
      <c r="L189" s="291"/>
      <c r="M189" s="140"/>
      <c r="N189" s="141"/>
      <c r="O189" s="139" t="str">
        <f t="shared" si="2"/>
        <v>제05장 취소소송의 심리-제03절 처분사유의 추가・변경-08</v>
      </c>
    </row>
    <row r="190" spans="2:15" ht="14.45" customHeight="1" x14ac:dyDescent="0.2">
      <c r="B190" s="17" t="s">
        <v>454</v>
      </c>
      <c r="C190" s="142" t="s">
        <v>455</v>
      </c>
      <c r="D190" s="143" t="s">
        <v>133</v>
      </c>
      <c r="E190" s="144" t="s">
        <v>148</v>
      </c>
      <c r="F190" s="145" t="s">
        <v>1854</v>
      </c>
      <c r="G190" s="146" t="s">
        <v>1386</v>
      </c>
      <c r="H190" s="147" t="s">
        <v>197</v>
      </c>
      <c r="I190" s="148" t="s">
        <v>1196</v>
      </c>
      <c r="J190" s="149">
        <v>2148</v>
      </c>
      <c r="K190" s="150" t="s">
        <v>1422</v>
      </c>
      <c r="L190" s="292"/>
      <c r="M190" s="152"/>
      <c r="N190" s="153"/>
      <c r="O190" s="151" t="str">
        <f t="shared" si="2"/>
        <v>제06장 취소소송의 종료-제01절 법원의 판결-01</v>
      </c>
    </row>
    <row r="191" spans="2:15" ht="14.45" customHeight="1" x14ac:dyDescent="0.2">
      <c r="B191" s="30" t="s">
        <v>1402</v>
      </c>
      <c r="C191" s="106" t="s">
        <v>455</v>
      </c>
      <c r="D191" s="107" t="s">
        <v>1379</v>
      </c>
      <c r="E191" s="108" t="s">
        <v>88</v>
      </c>
      <c r="F191" s="109" t="s">
        <v>1855</v>
      </c>
      <c r="G191" s="110" t="s">
        <v>1386</v>
      </c>
      <c r="H191" s="111" t="s">
        <v>1321</v>
      </c>
      <c r="I191" s="112" t="s">
        <v>1322</v>
      </c>
      <c r="J191" s="113">
        <v>1654</v>
      </c>
      <c r="K191" s="114" t="s">
        <v>1423</v>
      </c>
      <c r="L191" s="289"/>
      <c r="M191" s="116">
        <v>46246</v>
      </c>
      <c r="N191" s="117">
        <v>46246</v>
      </c>
      <c r="O191" s="115" t="str">
        <f t="shared" si="2"/>
        <v>제06장 취소소송의 종료-제01절 법원의 판결-02</v>
      </c>
    </row>
    <row r="192" spans="2:15" ht="14.45" customHeight="1" x14ac:dyDescent="0.2">
      <c r="B192" s="30" t="s">
        <v>1402</v>
      </c>
      <c r="C192" s="106" t="s">
        <v>455</v>
      </c>
      <c r="D192" s="107" t="s">
        <v>1379</v>
      </c>
      <c r="E192" s="108" t="s">
        <v>1263</v>
      </c>
      <c r="F192" s="109" t="s">
        <v>426</v>
      </c>
      <c r="G192" s="110" t="s">
        <v>1386</v>
      </c>
      <c r="H192" s="111" t="s">
        <v>1319</v>
      </c>
      <c r="I192" s="112" t="s">
        <v>1320</v>
      </c>
      <c r="J192" s="113">
        <v>1615</v>
      </c>
      <c r="K192" s="114" t="s">
        <v>1423</v>
      </c>
      <c r="L192" s="289"/>
      <c r="M192" s="116">
        <v>46246</v>
      </c>
      <c r="N192" s="117">
        <v>46246</v>
      </c>
      <c r="O192" s="115" t="str">
        <f t="shared" si="2"/>
        <v>제06장 취소소송의 종료-제01절 법원의 판결-03</v>
      </c>
    </row>
    <row r="193" spans="2:15" ht="14.45" customHeight="1" x14ac:dyDescent="0.2">
      <c r="B193" s="30" t="s">
        <v>1402</v>
      </c>
      <c r="C193" s="106" t="s">
        <v>455</v>
      </c>
      <c r="D193" s="107" t="s">
        <v>1379</v>
      </c>
      <c r="E193" s="108" t="s">
        <v>1225</v>
      </c>
      <c r="F193" s="109" t="s">
        <v>412</v>
      </c>
      <c r="G193" s="110" t="s">
        <v>1386</v>
      </c>
      <c r="H193" s="111" t="s">
        <v>1317</v>
      </c>
      <c r="I193" s="112" t="s">
        <v>1318</v>
      </c>
      <c r="J193" s="113">
        <v>2141</v>
      </c>
      <c r="K193" s="114" t="s">
        <v>1422</v>
      </c>
      <c r="L193" s="289"/>
      <c r="M193" s="116">
        <v>46246</v>
      </c>
      <c r="N193" s="117">
        <v>46246</v>
      </c>
      <c r="O193" s="115" t="str">
        <f t="shared" si="2"/>
        <v>제06장 취소소송의 종료-제01절 법원의 판결-04</v>
      </c>
    </row>
    <row r="194" spans="2:15" ht="14.45" customHeight="1" x14ac:dyDescent="0.2">
      <c r="B194" s="30" t="s">
        <v>1402</v>
      </c>
      <c r="C194" s="106" t="s">
        <v>455</v>
      </c>
      <c r="D194" s="107" t="s">
        <v>556</v>
      </c>
      <c r="E194" s="108" t="s">
        <v>1957</v>
      </c>
      <c r="F194" s="109" t="s">
        <v>428</v>
      </c>
      <c r="G194" s="110" t="s">
        <v>1386</v>
      </c>
      <c r="H194" s="111" t="s">
        <v>1644</v>
      </c>
      <c r="I194" s="112" t="s">
        <v>1524</v>
      </c>
      <c r="J194" s="113">
        <v>244</v>
      </c>
      <c r="K194" s="114"/>
      <c r="L194" s="289"/>
      <c r="M194" s="116"/>
      <c r="N194" s="117"/>
      <c r="O194" s="115" t="str">
        <f t="shared" si="2"/>
        <v>제06장 취소소송의 종료-제01절 법원의 판결-05</v>
      </c>
    </row>
    <row r="195" spans="2:15" ht="14.45" customHeight="1" x14ac:dyDescent="0.2">
      <c r="B195" s="30" t="s">
        <v>1402</v>
      </c>
      <c r="C195" s="106" t="s">
        <v>455</v>
      </c>
      <c r="D195" s="107" t="s">
        <v>556</v>
      </c>
      <c r="E195" s="108" t="s">
        <v>1958</v>
      </c>
      <c r="F195" s="109" t="s">
        <v>430</v>
      </c>
      <c r="G195" s="110" t="s">
        <v>1386</v>
      </c>
      <c r="H195" s="111" t="s">
        <v>2051</v>
      </c>
      <c r="I195" s="112" t="s">
        <v>1525</v>
      </c>
      <c r="J195" s="113">
        <v>794</v>
      </c>
      <c r="K195" s="114" t="s">
        <v>1424</v>
      </c>
      <c r="L195" s="289"/>
      <c r="M195" s="116"/>
      <c r="N195" s="117"/>
      <c r="O195" s="115" t="str">
        <f t="shared" si="2"/>
        <v>제06장 취소소송의 종료-제01절 법원의 판결-06</v>
      </c>
    </row>
    <row r="196" spans="2:15" ht="14.45" customHeight="1" x14ac:dyDescent="0.2">
      <c r="B196" s="30" t="s">
        <v>1402</v>
      </c>
      <c r="C196" s="106" t="s">
        <v>455</v>
      </c>
      <c r="D196" s="107" t="s">
        <v>556</v>
      </c>
      <c r="E196" s="108" t="s">
        <v>1959</v>
      </c>
      <c r="F196" s="109" t="s">
        <v>458</v>
      </c>
      <c r="G196" s="110" t="s">
        <v>1386</v>
      </c>
      <c r="H196" s="111" t="s">
        <v>1645</v>
      </c>
      <c r="I196" s="112" t="s">
        <v>1526</v>
      </c>
      <c r="J196" s="113">
        <v>590</v>
      </c>
      <c r="K196" s="114"/>
      <c r="L196" s="289"/>
      <c r="M196" s="116"/>
      <c r="N196" s="117"/>
      <c r="O196" s="115" t="str">
        <f t="shared" si="2"/>
        <v>제06장 취소소송의 종료-제01절 법원의 판결-07</v>
      </c>
    </row>
    <row r="197" spans="2:15" ht="14.45" customHeight="1" x14ac:dyDescent="0.2">
      <c r="B197" s="30" t="s">
        <v>1402</v>
      </c>
      <c r="C197" s="106" t="s">
        <v>455</v>
      </c>
      <c r="D197" s="107" t="s">
        <v>556</v>
      </c>
      <c r="E197" s="108" t="s">
        <v>1960</v>
      </c>
      <c r="F197" s="109" t="s">
        <v>1856</v>
      </c>
      <c r="G197" s="110" t="s">
        <v>1386</v>
      </c>
      <c r="H197" s="111" t="s">
        <v>2052</v>
      </c>
      <c r="I197" s="112" t="s">
        <v>1527</v>
      </c>
      <c r="J197" s="113">
        <v>617</v>
      </c>
      <c r="K197" s="114" t="s">
        <v>1424</v>
      </c>
      <c r="L197" s="289"/>
      <c r="M197" s="116"/>
      <c r="N197" s="117"/>
      <c r="O197" s="115" t="str">
        <f t="shared" si="2"/>
        <v>제06장 취소소송의 종료-제01절 법원의 판결-08</v>
      </c>
    </row>
    <row r="198" spans="2:15" ht="14.45" customHeight="1" x14ac:dyDescent="0.2">
      <c r="B198" s="30" t="s">
        <v>1402</v>
      </c>
      <c r="C198" s="106" t="s">
        <v>455</v>
      </c>
      <c r="D198" s="107" t="s">
        <v>556</v>
      </c>
      <c r="E198" s="108" t="s">
        <v>1961</v>
      </c>
      <c r="F198" s="109" t="s">
        <v>1857</v>
      </c>
      <c r="G198" s="110" t="s">
        <v>1386</v>
      </c>
      <c r="H198" s="111" t="s">
        <v>1646</v>
      </c>
      <c r="I198" s="112" t="s">
        <v>1528</v>
      </c>
      <c r="J198" s="113">
        <v>811</v>
      </c>
      <c r="K198" s="114"/>
      <c r="L198" s="289"/>
      <c r="M198" s="116"/>
      <c r="N198" s="117"/>
      <c r="O198" s="115" t="str">
        <f t="shared" si="2"/>
        <v>제06장 취소소송의 종료-제01절 법원의 판결-09</v>
      </c>
    </row>
    <row r="199" spans="2:15" ht="14.45" customHeight="1" x14ac:dyDescent="0.2">
      <c r="B199" s="30" t="s">
        <v>1402</v>
      </c>
      <c r="C199" s="106" t="s">
        <v>455</v>
      </c>
      <c r="D199" s="107" t="s">
        <v>556</v>
      </c>
      <c r="E199" s="108" t="s">
        <v>1962</v>
      </c>
      <c r="F199" s="109" t="s">
        <v>447</v>
      </c>
      <c r="G199" s="110" t="s">
        <v>1386</v>
      </c>
      <c r="H199" s="111" t="s">
        <v>2048</v>
      </c>
      <c r="I199" s="112" t="s">
        <v>1529</v>
      </c>
      <c r="J199" s="113">
        <v>1199</v>
      </c>
      <c r="K199" s="114" t="s">
        <v>1424</v>
      </c>
      <c r="L199" s="289"/>
      <c r="M199" s="116"/>
      <c r="N199" s="117"/>
      <c r="O199" s="115" t="str">
        <f t="shared" si="2"/>
        <v>제06장 취소소송의 종료-제01절 법원의 판결-10</v>
      </c>
    </row>
    <row r="200" spans="2:15" ht="14.45" customHeight="1" x14ac:dyDescent="0.2">
      <c r="B200" s="30" t="s">
        <v>1402</v>
      </c>
      <c r="C200" s="106" t="s">
        <v>455</v>
      </c>
      <c r="D200" s="107" t="s">
        <v>556</v>
      </c>
      <c r="E200" s="108" t="s">
        <v>1963</v>
      </c>
      <c r="F200" s="109" t="s">
        <v>1858</v>
      </c>
      <c r="G200" s="110" t="s">
        <v>1386</v>
      </c>
      <c r="H200" s="111" t="s">
        <v>2049</v>
      </c>
      <c r="I200" s="112" t="s">
        <v>1530</v>
      </c>
      <c r="J200" s="113">
        <v>408</v>
      </c>
      <c r="K200" s="114"/>
      <c r="L200" s="289"/>
      <c r="M200" s="116"/>
      <c r="N200" s="117"/>
      <c r="O200" s="115" t="str">
        <f t="shared" si="2"/>
        <v>제06장 취소소송의 종료-제01절 법원의 판결-11</v>
      </c>
    </row>
    <row r="201" spans="2:15" ht="14.45" customHeight="1" x14ac:dyDescent="0.2">
      <c r="B201" s="30" t="s">
        <v>1402</v>
      </c>
      <c r="C201" s="118" t="s">
        <v>455</v>
      </c>
      <c r="D201" s="119" t="s">
        <v>556</v>
      </c>
      <c r="E201" s="120" t="s">
        <v>1964</v>
      </c>
      <c r="F201" s="121" t="s">
        <v>1859</v>
      </c>
      <c r="G201" s="122" t="s">
        <v>1386</v>
      </c>
      <c r="H201" s="123" t="s">
        <v>2050</v>
      </c>
      <c r="I201" s="124" t="s">
        <v>1531</v>
      </c>
      <c r="J201" s="125">
        <v>775</v>
      </c>
      <c r="K201" s="126" t="s">
        <v>1424</v>
      </c>
      <c r="L201" s="290"/>
      <c r="M201" s="128"/>
      <c r="N201" s="129"/>
      <c r="O201" s="127" t="str">
        <f t="shared" ref="O201:O264" si="3">B201&amp;"-"&amp;C201&amp;"-"&amp;F201</f>
        <v>제06장 취소소송의 종료-제01절 법원의 판결-12</v>
      </c>
    </row>
    <row r="202" spans="2:15" ht="14.45" customHeight="1" x14ac:dyDescent="0.2">
      <c r="B202" s="30" t="s">
        <v>1402</v>
      </c>
      <c r="C202" s="94" t="s">
        <v>456</v>
      </c>
      <c r="D202" s="95" t="s">
        <v>133</v>
      </c>
      <c r="E202" s="96" t="s">
        <v>148</v>
      </c>
      <c r="F202" s="97" t="s">
        <v>1854</v>
      </c>
      <c r="G202" s="98" t="s">
        <v>1386</v>
      </c>
      <c r="H202" s="99" t="s">
        <v>198</v>
      </c>
      <c r="I202" s="100" t="s">
        <v>1197</v>
      </c>
      <c r="J202" s="101">
        <v>2892</v>
      </c>
      <c r="K202" s="102" t="s">
        <v>1422</v>
      </c>
      <c r="L202" s="288"/>
      <c r="M202" s="104"/>
      <c r="N202" s="105"/>
      <c r="O202" s="103" t="str">
        <f t="shared" si="3"/>
        <v>제06장 취소소송의 종료-제02절 판결의 효력-01</v>
      </c>
    </row>
    <row r="203" spans="2:15" ht="14.45" customHeight="1" x14ac:dyDescent="0.2">
      <c r="B203" s="30" t="s">
        <v>1402</v>
      </c>
      <c r="C203" s="106" t="s">
        <v>456</v>
      </c>
      <c r="D203" s="107" t="s">
        <v>1379</v>
      </c>
      <c r="E203" s="108" t="s">
        <v>94</v>
      </c>
      <c r="F203" s="109" t="s">
        <v>1855</v>
      </c>
      <c r="G203" s="110" t="s">
        <v>1386</v>
      </c>
      <c r="H203" s="111" t="s">
        <v>1333</v>
      </c>
      <c r="I203" s="112" t="s">
        <v>1334</v>
      </c>
      <c r="J203" s="113">
        <v>3171</v>
      </c>
      <c r="K203" s="114" t="s">
        <v>1423</v>
      </c>
      <c r="L203" s="289"/>
      <c r="M203" s="116">
        <v>46246</v>
      </c>
      <c r="N203" s="117">
        <v>46246</v>
      </c>
      <c r="O203" s="115" t="str">
        <f t="shared" si="3"/>
        <v>제06장 취소소송의 종료-제02절 판결의 효력-02</v>
      </c>
    </row>
    <row r="204" spans="2:15" ht="14.45" customHeight="1" x14ac:dyDescent="0.2">
      <c r="B204" s="30" t="s">
        <v>1402</v>
      </c>
      <c r="C204" s="106" t="s">
        <v>456</v>
      </c>
      <c r="D204" s="107" t="s">
        <v>1379</v>
      </c>
      <c r="E204" s="108" t="s">
        <v>95</v>
      </c>
      <c r="F204" s="109" t="s">
        <v>426</v>
      </c>
      <c r="G204" s="110" t="s">
        <v>1386</v>
      </c>
      <c r="H204" s="111" t="s">
        <v>96</v>
      </c>
      <c r="I204" s="112" t="s">
        <v>1143</v>
      </c>
      <c r="J204" s="113">
        <v>1762</v>
      </c>
      <c r="K204" s="114" t="s">
        <v>1423</v>
      </c>
      <c r="L204" s="289"/>
      <c r="M204" s="116">
        <v>46246</v>
      </c>
      <c r="N204" s="117">
        <v>46246</v>
      </c>
      <c r="O204" s="115" t="str">
        <f t="shared" si="3"/>
        <v>제06장 취소소송의 종료-제02절 판결의 효력-03</v>
      </c>
    </row>
    <row r="205" spans="2:15" ht="14.45" customHeight="1" x14ac:dyDescent="0.2">
      <c r="B205" s="30" t="s">
        <v>1402</v>
      </c>
      <c r="C205" s="106" t="s">
        <v>456</v>
      </c>
      <c r="D205" s="107" t="s">
        <v>1379</v>
      </c>
      <c r="E205" s="108" t="s">
        <v>93</v>
      </c>
      <c r="F205" s="109" t="s">
        <v>412</v>
      </c>
      <c r="G205" s="110" t="s">
        <v>1386</v>
      </c>
      <c r="H205" s="111" t="s">
        <v>1332</v>
      </c>
      <c r="I205" s="112" t="s">
        <v>1377</v>
      </c>
      <c r="J205" s="113">
        <v>1914</v>
      </c>
      <c r="K205" s="114" t="s">
        <v>1423</v>
      </c>
      <c r="L205" s="289"/>
      <c r="M205" s="116">
        <v>46246</v>
      </c>
      <c r="N205" s="117">
        <v>46246</v>
      </c>
      <c r="O205" s="115" t="str">
        <f t="shared" si="3"/>
        <v>제06장 취소소송의 종료-제02절 판결의 효력-04</v>
      </c>
    </row>
    <row r="206" spans="2:15" ht="14.45" customHeight="1" x14ac:dyDescent="0.2">
      <c r="B206" s="30" t="s">
        <v>1402</v>
      </c>
      <c r="C206" s="106" t="s">
        <v>456</v>
      </c>
      <c r="D206" s="107" t="s">
        <v>1379</v>
      </c>
      <c r="E206" s="108" t="s">
        <v>245</v>
      </c>
      <c r="F206" s="109" t="s">
        <v>428</v>
      </c>
      <c r="G206" s="110" t="s">
        <v>1386</v>
      </c>
      <c r="H206" s="111" t="s">
        <v>244</v>
      </c>
      <c r="I206" s="112" t="s">
        <v>1142</v>
      </c>
      <c r="J206" s="113">
        <v>3498</v>
      </c>
      <c r="K206" s="114" t="s">
        <v>1423</v>
      </c>
      <c r="L206" s="289" t="s">
        <v>2041</v>
      </c>
      <c r="M206" s="116">
        <v>46246</v>
      </c>
      <c r="N206" s="117">
        <v>46246</v>
      </c>
      <c r="O206" s="115" t="str">
        <f t="shared" si="3"/>
        <v>제06장 취소소송의 종료-제02절 판결의 효력-05</v>
      </c>
    </row>
    <row r="207" spans="2:15" ht="14.45" customHeight="1" x14ac:dyDescent="0.2">
      <c r="B207" s="30" t="s">
        <v>1402</v>
      </c>
      <c r="C207" s="106" t="s">
        <v>456</v>
      </c>
      <c r="D207" s="107" t="s">
        <v>1379</v>
      </c>
      <c r="E207" s="108" t="s">
        <v>92</v>
      </c>
      <c r="F207" s="109" t="s">
        <v>430</v>
      </c>
      <c r="G207" s="110" t="s">
        <v>1386</v>
      </c>
      <c r="H207" s="111" t="s">
        <v>1331</v>
      </c>
      <c r="I207" s="112" t="s">
        <v>1376</v>
      </c>
      <c r="J207" s="113">
        <v>3914</v>
      </c>
      <c r="K207" s="114" t="s">
        <v>1424</v>
      </c>
      <c r="L207" s="289" t="s">
        <v>2128</v>
      </c>
      <c r="M207" s="116">
        <v>46246</v>
      </c>
      <c r="N207" s="117">
        <v>46246</v>
      </c>
      <c r="O207" s="115" t="str">
        <f t="shared" si="3"/>
        <v>제06장 취소소송의 종료-제02절 판결의 효력-06</v>
      </c>
    </row>
    <row r="208" spans="2:15" ht="14.45" customHeight="1" x14ac:dyDescent="0.2">
      <c r="B208" s="30" t="s">
        <v>1402</v>
      </c>
      <c r="C208" s="106" t="s">
        <v>456</v>
      </c>
      <c r="D208" s="107" t="s">
        <v>1379</v>
      </c>
      <c r="E208" s="108" t="s">
        <v>91</v>
      </c>
      <c r="F208" s="109" t="s">
        <v>458</v>
      </c>
      <c r="G208" s="110" t="s">
        <v>1386</v>
      </c>
      <c r="H208" s="111" t="s">
        <v>1329</v>
      </c>
      <c r="I208" s="112" t="s">
        <v>1330</v>
      </c>
      <c r="J208" s="113">
        <v>1864</v>
      </c>
      <c r="K208" s="114" t="s">
        <v>1423</v>
      </c>
      <c r="L208" s="289" t="s">
        <v>2154</v>
      </c>
      <c r="M208" s="116">
        <v>46246</v>
      </c>
      <c r="N208" s="117">
        <v>46246</v>
      </c>
      <c r="O208" s="115" t="str">
        <f t="shared" si="3"/>
        <v>제06장 취소소송의 종료-제02절 판결의 효력-07</v>
      </c>
    </row>
    <row r="209" spans="2:15" ht="14.45" customHeight="1" x14ac:dyDescent="0.2">
      <c r="B209" s="30" t="s">
        <v>1402</v>
      </c>
      <c r="C209" s="106" t="s">
        <v>456</v>
      </c>
      <c r="D209" s="107" t="s">
        <v>1379</v>
      </c>
      <c r="E209" s="108" t="s">
        <v>89</v>
      </c>
      <c r="F209" s="109" t="s">
        <v>1856</v>
      </c>
      <c r="G209" s="110" t="s">
        <v>1386</v>
      </c>
      <c r="H209" s="111" t="s">
        <v>1323</v>
      </c>
      <c r="I209" s="112" t="s">
        <v>1324</v>
      </c>
      <c r="J209" s="113">
        <v>2484</v>
      </c>
      <c r="K209" s="114" t="s">
        <v>1422</v>
      </c>
      <c r="L209" s="289"/>
      <c r="M209" s="116">
        <v>46246</v>
      </c>
      <c r="N209" s="117">
        <v>46246</v>
      </c>
      <c r="O209" s="115" t="str">
        <f t="shared" si="3"/>
        <v>제06장 취소소송의 종료-제02절 판결의 효력-08</v>
      </c>
    </row>
    <row r="210" spans="2:15" ht="14.45" customHeight="1" x14ac:dyDescent="0.2">
      <c r="B210" s="30" t="s">
        <v>1402</v>
      </c>
      <c r="C210" s="106" t="s">
        <v>456</v>
      </c>
      <c r="D210" s="107" t="s">
        <v>556</v>
      </c>
      <c r="E210" s="108" t="s">
        <v>1965</v>
      </c>
      <c r="F210" s="109" t="s">
        <v>1857</v>
      </c>
      <c r="G210" s="110" t="s">
        <v>1386</v>
      </c>
      <c r="H210" s="111" t="s">
        <v>1647</v>
      </c>
      <c r="I210" s="112" t="s">
        <v>1532</v>
      </c>
      <c r="J210" s="113">
        <v>253</v>
      </c>
      <c r="K210" s="114"/>
      <c r="L210" s="289"/>
      <c r="M210" s="116"/>
      <c r="N210" s="117"/>
      <c r="O210" s="115" t="str">
        <f t="shared" si="3"/>
        <v>제06장 취소소송의 종료-제02절 판결의 효력-09</v>
      </c>
    </row>
    <row r="211" spans="2:15" ht="14.45" customHeight="1" x14ac:dyDescent="0.2">
      <c r="B211" s="30" t="s">
        <v>1402</v>
      </c>
      <c r="C211" s="106" t="s">
        <v>456</v>
      </c>
      <c r="D211" s="107" t="s">
        <v>556</v>
      </c>
      <c r="E211" s="108" t="s">
        <v>1966</v>
      </c>
      <c r="F211" s="109" t="s">
        <v>447</v>
      </c>
      <c r="G211" s="110" t="s">
        <v>1386</v>
      </c>
      <c r="H211" s="111" t="s">
        <v>1648</v>
      </c>
      <c r="I211" s="112" t="s">
        <v>1533</v>
      </c>
      <c r="J211" s="113">
        <v>420</v>
      </c>
      <c r="K211" s="114"/>
      <c r="L211" s="289"/>
      <c r="M211" s="116"/>
      <c r="N211" s="117"/>
      <c r="O211" s="115" t="str">
        <f t="shared" si="3"/>
        <v>제06장 취소소송의 종료-제02절 판결의 효력-10</v>
      </c>
    </row>
    <row r="212" spans="2:15" ht="14.45" customHeight="1" x14ac:dyDescent="0.2">
      <c r="B212" s="30" t="s">
        <v>1402</v>
      </c>
      <c r="C212" s="106" t="s">
        <v>456</v>
      </c>
      <c r="D212" s="107" t="s">
        <v>556</v>
      </c>
      <c r="E212" s="108" t="s">
        <v>1967</v>
      </c>
      <c r="F212" s="109" t="s">
        <v>1858</v>
      </c>
      <c r="G212" s="110" t="s">
        <v>1386</v>
      </c>
      <c r="H212" s="111" t="s">
        <v>1649</v>
      </c>
      <c r="I212" s="112" t="s">
        <v>1534</v>
      </c>
      <c r="J212" s="113">
        <v>755</v>
      </c>
      <c r="K212" s="114"/>
      <c r="L212" s="289"/>
      <c r="M212" s="116"/>
      <c r="N212" s="117"/>
      <c r="O212" s="115" t="str">
        <f t="shared" si="3"/>
        <v>제06장 취소소송의 종료-제02절 판결의 효력-11</v>
      </c>
    </row>
    <row r="213" spans="2:15" ht="14.45" customHeight="1" x14ac:dyDescent="0.2">
      <c r="B213" s="30" t="s">
        <v>1402</v>
      </c>
      <c r="C213" s="106" t="s">
        <v>456</v>
      </c>
      <c r="D213" s="107" t="s">
        <v>556</v>
      </c>
      <c r="E213" s="108" t="s">
        <v>1968</v>
      </c>
      <c r="F213" s="109" t="s">
        <v>1859</v>
      </c>
      <c r="G213" s="110" t="s">
        <v>1386</v>
      </c>
      <c r="H213" s="111" t="s">
        <v>1650</v>
      </c>
      <c r="I213" s="112" t="s">
        <v>1535</v>
      </c>
      <c r="J213" s="113">
        <v>652</v>
      </c>
      <c r="K213" s="114"/>
      <c r="L213" s="289"/>
      <c r="M213" s="116"/>
      <c r="N213" s="117"/>
      <c r="O213" s="115" t="str">
        <f t="shared" si="3"/>
        <v>제06장 취소소송의 종료-제02절 판결의 효력-12</v>
      </c>
    </row>
    <row r="214" spans="2:15" ht="14.45" customHeight="1" x14ac:dyDescent="0.2">
      <c r="B214" s="30" t="s">
        <v>1402</v>
      </c>
      <c r="C214" s="106" t="s">
        <v>456</v>
      </c>
      <c r="D214" s="107" t="s">
        <v>556</v>
      </c>
      <c r="E214" s="108" t="s">
        <v>1969</v>
      </c>
      <c r="F214" s="109" t="s">
        <v>1860</v>
      </c>
      <c r="G214" s="110" t="s">
        <v>1386</v>
      </c>
      <c r="H214" s="111" t="s">
        <v>1651</v>
      </c>
      <c r="I214" s="112" t="s">
        <v>1536</v>
      </c>
      <c r="J214" s="113">
        <v>569</v>
      </c>
      <c r="K214" s="114"/>
      <c r="L214" s="289"/>
      <c r="M214" s="116"/>
      <c r="N214" s="117"/>
      <c r="O214" s="115" t="str">
        <f t="shared" si="3"/>
        <v>제06장 취소소송의 종료-제02절 판결의 효력-13</v>
      </c>
    </row>
    <row r="215" spans="2:15" ht="14.45" customHeight="1" x14ac:dyDescent="0.2">
      <c r="B215" s="30" t="s">
        <v>1402</v>
      </c>
      <c r="C215" s="106" t="s">
        <v>456</v>
      </c>
      <c r="D215" s="107" t="s">
        <v>556</v>
      </c>
      <c r="E215" s="108" t="s">
        <v>1970</v>
      </c>
      <c r="F215" s="109" t="s">
        <v>1861</v>
      </c>
      <c r="G215" s="110" t="s">
        <v>1386</v>
      </c>
      <c r="H215" s="111" t="s">
        <v>1652</v>
      </c>
      <c r="I215" s="112" t="s">
        <v>1537</v>
      </c>
      <c r="J215" s="113">
        <v>894</v>
      </c>
      <c r="K215" s="114"/>
      <c r="L215" s="289"/>
      <c r="M215" s="116"/>
      <c r="N215" s="117"/>
      <c r="O215" s="115" t="str">
        <f t="shared" si="3"/>
        <v>제06장 취소소송의 종료-제02절 판결의 효력-14</v>
      </c>
    </row>
    <row r="216" spans="2:15" ht="14.45" customHeight="1" x14ac:dyDescent="0.2">
      <c r="B216" s="30" t="s">
        <v>1402</v>
      </c>
      <c r="C216" s="106" t="s">
        <v>456</v>
      </c>
      <c r="D216" s="107" t="s">
        <v>556</v>
      </c>
      <c r="E216" s="108" t="s">
        <v>1971</v>
      </c>
      <c r="F216" s="109" t="s">
        <v>419</v>
      </c>
      <c r="G216" s="110" t="s">
        <v>1386</v>
      </c>
      <c r="H216" s="111" t="s">
        <v>1653</v>
      </c>
      <c r="I216" s="112" t="s">
        <v>1538</v>
      </c>
      <c r="J216" s="113">
        <v>538</v>
      </c>
      <c r="K216" s="114"/>
      <c r="L216" s="289"/>
      <c r="M216" s="116"/>
      <c r="N216" s="117"/>
      <c r="O216" s="115" t="str">
        <f t="shared" si="3"/>
        <v>제06장 취소소송의 종료-제02절 판결의 효력-15</v>
      </c>
    </row>
    <row r="217" spans="2:15" ht="14.45" customHeight="1" x14ac:dyDescent="0.2">
      <c r="B217" s="30" t="s">
        <v>1402</v>
      </c>
      <c r="C217" s="118" t="s">
        <v>456</v>
      </c>
      <c r="D217" s="119" t="s">
        <v>556</v>
      </c>
      <c r="E217" s="120" t="s">
        <v>1972</v>
      </c>
      <c r="F217" s="121" t="s">
        <v>422</v>
      </c>
      <c r="G217" s="122" t="s">
        <v>1386</v>
      </c>
      <c r="H217" s="123" t="s">
        <v>1654</v>
      </c>
      <c r="I217" s="124" t="s">
        <v>1539</v>
      </c>
      <c r="J217" s="125">
        <v>447</v>
      </c>
      <c r="K217" s="126"/>
      <c r="L217" s="290"/>
      <c r="M217" s="128"/>
      <c r="N217" s="129"/>
      <c r="O217" s="127" t="str">
        <f t="shared" si="3"/>
        <v>제06장 취소소송의 종료-제02절 판결의 효력-16</v>
      </c>
    </row>
    <row r="218" spans="2:15" ht="14.45" customHeight="1" x14ac:dyDescent="0.2">
      <c r="B218" s="30" t="s">
        <v>1402</v>
      </c>
      <c r="C218" s="94" t="s">
        <v>459</v>
      </c>
      <c r="D218" s="95" t="s">
        <v>133</v>
      </c>
      <c r="E218" s="96" t="s">
        <v>148</v>
      </c>
      <c r="F218" s="97" t="s">
        <v>1854</v>
      </c>
      <c r="G218" s="98" t="s">
        <v>1386</v>
      </c>
      <c r="H218" s="99" t="s">
        <v>199</v>
      </c>
      <c r="I218" s="100" t="s">
        <v>1198</v>
      </c>
      <c r="J218" s="101">
        <v>2142</v>
      </c>
      <c r="K218" s="102" t="s">
        <v>1423</v>
      </c>
      <c r="L218" s="288"/>
      <c r="M218" s="104"/>
      <c r="N218" s="105"/>
      <c r="O218" s="103" t="str">
        <f t="shared" si="3"/>
        <v>제06장 취소소송의 종료-제03절 재심-01</v>
      </c>
    </row>
    <row r="219" spans="2:15" ht="14.45" customHeight="1" x14ac:dyDescent="0.2">
      <c r="B219" s="30" t="s">
        <v>1402</v>
      </c>
      <c r="C219" s="118" t="s">
        <v>459</v>
      </c>
      <c r="D219" s="119" t="s">
        <v>1379</v>
      </c>
      <c r="E219" s="120" t="s">
        <v>1264</v>
      </c>
      <c r="F219" s="121" t="s">
        <v>1855</v>
      </c>
      <c r="G219" s="122" t="s">
        <v>1386</v>
      </c>
      <c r="H219" s="123" t="s">
        <v>1335</v>
      </c>
      <c r="I219" s="124" t="s">
        <v>1336</v>
      </c>
      <c r="J219" s="125">
        <v>1628</v>
      </c>
      <c r="K219" s="126" t="s">
        <v>1423</v>
      </c>
      <c r="L219" s="290"/>
      <c r="M219" s="128">
        <v>46246</v>
      </c>
      <c r="N219" s="129">
        <v>46246</v>
      </c>
      <c r="O219" s="127" t="str">
        <f t="shared" si="3"/>
        <v>제06장 취소소송의 종료-제03절 재심-02</v>
      </c>
    </row>
    <row r="220" spans="2:15" ht="14.45" customHeight="1" x14ac:dyDescent="0.2">
      <c r="B220" s="30" t="s">
        <v>1402</v>
      </c>
      <c r="C220" s="94" t="s">
        <v>1774</v>
      </c>
      <c r="D220" s="95" t="s">
        <v>133</v>
      </c>
      <c r="E220" s="96" t="s">
        <v>147</v>
      </c>
      <c r="F220" s="97" t="s">
        <v>1854</v>
      </c>
      <c r="G220" s="98" t="s">
        <v>1386</v>
      </c>
      <c r="H220" s="99" t="s">
        <v>200</v>
      </c>
      <c r="I220" s="100" t="s">
        <v>1199</v>
      </c>
      <c r="J220" s="101">
        <v>1936</v>
      </c>
      <c r="K220" s="102" t="s">
        <v>1423</v>
      </c>
      <c r="L220" s="288"/>
      <c r="M220" s="104"/>
      <c r="N220" s="105"/>
      <c r="O220" s="103" t="str">
        <f t="shared" si="3"/>
        <v>제06장 취소소송의 종료-제04절 취소소송의 종료 사유-01</v>
      </c>
    </row>
    <row r="221" spans="2:15" ht="14.45" customHeight="1" thickBot="1" x14ac:dyDescent="0.25">
      <c r="B221" s="43" t="s">
        <v>1402</v>
      </c>
      <c r="C221" s="130" t="s">
        <v>1774</v>
      </c>
      <c r="D221" s="131" t="s">
        <v>1379</v>
      </c>
      <c r="E221" s="132" t="s">
        <v>1265</v>
      </c>
      <c r="F221" s="133" t="s">
        <v>1855</v>
      </c>
      <c r="G221" s="134" t="s">
        <v>1386</v>
      </c>
      <c r="H221" s="135" t="s">
        <v>1337</v>
      </c>
      <c r="I221" s="136" t="s">
        <v>1338</v>
      </c>
      <c r="J221" s="137">
        <v>1469</v>
      </c>
      <c r="K221" s="138" t="s">
        <v>1423</v>
      </c>
      <c r="L221" s="291"/>
      <c r="M221" s="140">
        <v>46246</v>
      </c>
      <c r="N221" s="141">
        <v>46246</v>
      </c>
      <c r="O221" s="139" t="str">
        <f t="shared" si="3"/>
        <v>제06장 취소소송의 종료-제04절 취소소송의 종료 사유-02</v>
      </c>
    </row>
    <row r="222" spans="2:15" ht="14.45" customHeight="1" x14ac:dyDescent="0.2">
      <c r="B222" s="17" t="s">
        <v>461</v>
      </c>
      <c r="C222" s="142" t="s">
        <v>462</v>
      </c>
      <c r="D222" s="143" t="s">
        <v>133</v>
      </c>
      <c r="E222" s="144" t="s">
        <v>149</v>
      </c>
      <c r="F222" s="145" t="s">
        <v>1854</v>
      </c>
      <c r="G222" s="146" t="s">
        <v>1386</v>
      </c>
      <c r="H222" s="147" t="s">
        <v>201</v>
      </c>
      <c r="I222" s="148" t="s">
        <v>1200</v>
      </c>
      <c r="J222" s="149">
        <v>3479</v>
      </c>
      <c r="K222" s="150" t="s">
        <v>1422</v>
      </c>
      <c r="L222" s="292"/>
      <c r="M222" s="152"/>
      <c r="N222" s="153"/>
      <c r="O222" s="151" t="str">
        <f t="shared" si="3"/>
        <v>제07장 취소소송의 가구제-제01절 집행정지-01</v>
      </c>
    </row>
    <row r="223" spans="2:15" ht="14.45" customHeight="1" x14ac:dyDescent="0.2">
      <c r="B223" s="30" t="s">
        <v>1403</v>
      </c>
      <c r="C223" s="106" t="s">
        <v>462</v>
      </c>
      <c r="D223" s="107" t="s">
        <v>1379</v>
      </c>
      <c r="E223" s="108" t="s">
        <v>1266</v>
      </c>
      <c r="F223" s="109" t="s">
        <v>1855</v>
      </c>
      <c r="G223" s="110" t="s">
        <v>1386</v>
      </c>
      <c r="H223" s="111" t="s">
        <v>97</v>
      </c>
      <c r="I223" s="112" t="s">
        <v>1144</v>
      </c>
      <c r="J223" s="113">
        <v>1252</v>
      </c>
      <c r="K223" s="114" t="s">
        <v>1422</v>
      </c>
      <c r="L223" s="289"/>
      <c r="M223" s="116">
        <v>46247</v>
      </c>
      <c r="N223" s="117">
        <v>46247</v>
      </c>
      <c r="O223" s="115" t="str">
        <f t="shared" si="3"/>
        <v>제07장 취소소송의 가구제-제01절 집행정지-02</v>
      </c>
    </row>
    <row r="224" spans="2:15" ht="14.45" customHeight="1" x14ac:dyDescent="0.2">
      <c r="B224" s="30" t="s">
        <v>1403</v>
      </c>
      <c r="C224" s="106" t="s">
        <v>462</v>
      </c>
      <c r="D224" s="107" t="s">
        <v>556</v>
      </c>
      <c r="E224" s="108" t="s">
        <v>1973</v>
      </c>
      <c r="F224" s="109" t="s">
        <v>426</v>
      </c>
      <c r="G224" s="110" t="s">
        <v>1386</v>
      </c>
      <c r="H224" s="111" t="s">
        <v>1626</v>
      </c>
      <c r="I224" s="112" t="s">
        <v>1506</v>
      </c>
      <c r="J224" s="113">
        <v>641</v>
      </c>
      <c r="K224" s="114"/>
      <c r="L224" s="289"/>
      <c r="M224" s="116"/>
      <c r="N224" s="117"/>
      <c r="O224" s="115" t="str">
        <f t="shared" si="3"/>
        <v>제07장 취소소송의 가구제-제01절 집행정지-03</v>
      </c>
    </row>
    <row r="225" spans="2:15" ht="14.45" customHeight="1" x14ac:dyDescent="0.2">
      <c r="B225" s="30" t="s">
        <v>1403</v>
      </c>
      <c r="C225" s="106" t="s">
        <v>462</v>
      </c>
      <c r="D225" s="107" t="s">
        <v>556</v>
      </c>
      <c r="E225" s="108" t="s">
        <v>1974</v>
      </c>
      <c r="F225" s="109" t="s">
        <v>412</v>
      </c>
      <c r="G225" s="110" t="s">
        <v>1386</v>
      </c>
      <c r="H225" s="111" t="s">
        <v>1627</v>
      </c>
      <c r="I225" s="112" t="s">
        <v>1507</v>
      </c>
      <c r="J225" s="113">
        <v>1026</v>
      </c>
      <c r="K225" s="114"/>
      <c r="L225" s="289" t="s">
        <v>539</v>
      </c>
      <c r="M225" s="116"/>
      <c r="N225" s="117"/>
      <c r="O225" s="115" t="str">
        <f t="shared" si="3"/>
        <v>제07장 취소소송의 가구제-제01절 집행정지-04</v>
      </c>
    </row>
    <row r="226" spans="2:15" ht="14.45" customHeight="1" x14ac:dyDescent="0.2">
      <c r="B226" s="30" t="s">
        <v>1403</v>
      </c>
      <c r="C226" s="106" t="s">
        <v>462</v>
      </c>
      <c r="D226" s="107" t="s">
        <v>556</v>
      </c>
      <c r="E226" s="108" t="s">
        <v>1975</v>
      </c>
      <c r="F226" s="109" t="s">
        <v>428</v>
      </c>
      <c r="G226" s="110" t="s">
        <v>1386</v>
      </c>
      <c r="H226" s="111" t="s">
        <v>1628</v>
      </c>
      <c r="I226" s="112" t="s">
        <v>1508</v>
      </c>
      <c r="J226" s="113">
        <v>1901</v>
      </c>
      <c r="K226" s="114"/>
      <c r="L226" s="289" t="s">
        <v>539</v>
      </c>
      <c r="M226" s="116"/>
      <c r="N226" s="117"/>
      <c r="O226" s="115" t="str">
        <f t="shared" si="3"/>
        <v>제07장 취소소송의 가구제-제01절 집행정지-05</v>
      </c>
    </row>
    <row r="227" spans="2:15" ht="14.45" customHeight="1" x14ac:dyDescent="0.2">
      <c r="B227" s="30" t="s">
        <v>1403</v>
      </c>
      <c r="C227" s="106" t="s">
        <v>462</v>
      </c>
      <c r="D227" s="107" t="s">
        <v>556</v>
      </c>
      <c r="E227" s="108" t="s">
        <v>1976</v>
      </c>
      <c r="F227" s="109" t="s">
        <v>430</v>
      </c>
      <c r="G227" s="110" t="s">
        <v>1386</v>
      </c>
      <c r="H227" s="111" t="s">
        <v>1629</v>
      </c>
      <c r="I227" s="112" t="s">
        <v>1509</v>
      </c>
      <c r="J227" s="113">
        <v>381</v>
      </c>
      <c r="K227" s="114"/>
      <c r="L227" s="289" t="s">
        <v>1790</v>
      </c>
      <c r="M227" s="116"/>
      <c r="N227" s="117"/>
      <c r="O227" s="115" t="str">
        <f t="shared" si="3"/>
        <v>제07장 취소소송의 가구제-제01절 집행정지-06</v>
      </c>
    </row>
    <row r="228" spans="2:15" ht="14.45" customHeight="1" x14ac:dyDescent="0.2">
      <c r="B228" s="30" t="s">
        <v>1403</v>
      </c>
      <c r="C228" s="106" t="s">
        <v>462</v>
      </c>
      <c r="D228" s="107" t="s">
        <v>556</v>
      </c>
      <c r="E228" s="108" t="s">
        <v>1977</v>
      </c>
      <c r="F228" s="109" t="s">
        <v>458</v>
      </c>
      <c r="G228" s="110" t="s">
        <v>1386</v>
      </c>
      <c r="H228" s="111" t="s">
        <v>1630</v>
      </c>
      <c r="I228" s="112" t="s">
        <v>1510</v>
      </c>
      <c r="J228" s="113">
        <v>677</v>
      </c>
      <c r="K228" s="114"/>
      <c r="L228" s="289"/>
      <c r="M228" s="116"/>
      <c r="N228" s="117"/>
      <c r="O228" s="115" t="str">
        <f t="shared" si="3"/>
        <v>제07장 취소소송의 가구제-제01절 집행정지-07</v>
      </c>
    </row>
    <row r="229" spans="2:15" ht="14.45" customHeight="1" x14ac:dyDescent="0.2">
      <c r="B229" s="30" t="s">
        <v>1403</v>
      </c>
      <c r="C229" s="106" t="s">
        <v>462</v>
      </c>
      <c r="D229" s="107" t="s">
        <v>556</v>
      </c>
      <c r="E229" s="108" t="s">
        <v>1978</v>
      </c>
      <c r="F229" s="109" t="s">
        <v>1856</v>
      </c>
      <c r="G229" s="110" t="s">
        <v>1386</v>
      </c>
      <c r="H229" s="111" t="s">
        <v>1631</v>
      </c>
      <c r="I229" s="112" t="s">
        <v>1511</v>
      </c>
      <c r="J229" s="113">
        <v>988</v>
      </c>
      <c r="K229" s="114" t="s">
        <v>1424</v>
      </c>
      <c r="L229" s="289"/>
      <c r="M229" s="116"/>
      <c r="N229" s="117"/>
      <c r="O229" s="115" t="str">
        <f t="shared" si="3"/>
        <v>제07장 취소소송의 가구제-제01절 집행정지-08</v>
      </c>
    </row>
    <row r="230" spans="2:15" ht="14.45" customHeight="1" x14ac:dyDescent="0.2">
      <c r="B230" s="30" t="s">
        <v>1403</v>
      </c>
      <c r="C230" s="118" t="s">
        <v>462</v>
      </c>
      <c r="D230" s="119" t="s">
        <v>556</v>
      </c>
      <c r="E230" s="120" t="s">
        <v>1979</v>
      </c>
      <c r="F230" s="121" t="s">
        <v>1857</v>
      </c>
      <c r="G230" s="122" t="s">
        <v>1386</v>
      </c>
      <c r="H230" s="123" t="s">
        <v>1632</v>
      </c>
      <c r="I230" s="124" t="s">
        <v>1512</v>
      </c>
      <c r="J230" s="125">
        <v>1654</v>
      </c>
      <c r="K230" s="126" t="s">
        <v>1424</v>
      </c>
      <c r="L230" s="290"/>
      <c r="M230" s="128"/>
      <c r="N230" s="129"/>
      <c r="O230" s="127" t="str">
        <f t="shared" si="3"/>
        <v>제07장 취소소송의 가구제-제01절 집행정지-09</v>
      </c>
    </row>
    <row r="231" spans="2:15" ht="14.45" customHeight="1" x14ac:dyDescent="0.2">
      <c r="B231" s="30" t="s">
        <v>1403</v>
      </c>
      <c r="C231" s="94" t="s">
        <v>1755</v>
      </c>
      <c r="D231" s="95" t="s">
        <v>133</v>
      </c>
      <c r="E231" s="96" t="s">
        <v>149</v>
      </c>
      <c r="F231" s="97" t="s">
        <v>1854</v>
      </c>
      <c r="G231" s="98" t="s">
        <v>1386</v>
      </c>
      <c r="H231" s="99" t="s">
        <v>202</v>
      </c>
      <c r="I231" s="100" t="s">
        <v>1201</v>
      </c>
      <c r="J231" s="101">
        <v>2569</v>
      </c>
      <c r="K231" s="102" t="s">
        <v>1422</v>
      </c>
      <c r="L231" s="288"/>
      <c r="M231" s="104"/>
      <c r="N231" s="105"/>
      <c r="O231" s="103" t="str">
        <f t="shared" si="3"/>
        <v>제07장 취소소송의 가구제-제02절 가처분-01</v>
      </c>
    </row>
    <row r="232" spans="2:15" ht="14.45" customHeight="1" x14ac:dyDescent="0.2">
      <c r="B232" s="30" t="s">
        <v>1403</v>
      </c>
      <c r="C232" s="106" t="s">
        <v>1755</v>
      </c>
      <c r="D232" s="107" t="s">
        <v>2010</v>
      </c>
      <c r="E232" s="108" t="s">
        <v>1820</v>
      </c>
      <c r="F232" s="109" t="s">
        <v>1855</v>
      </c>
      <c r="G232" s="110" t="s">
        <v>1386</v>
      </c>
      <c r="H232" s="111" t="s">
        <v>54</v>
      </c>
      <c r="I232" s="112" t="s">
        <v>2026</v>
      </c>
      <c r="J232" s="113">
        <v>1371</v>
      </c>
      <c r="K232" s="114" t="s">
        <v>1422</v>
      </c>
      <c r="L232" s="289"/>
      <c r="M232" s="116">
        <v>46247</v>
      </c>
      <c r="N232" s="117">
        <v>46247</v>
      </c>
      <c r="O232" s="115" t="str">
        <f t="shared" si="3"/>
        <v>제07장 취소소송의 가구제-제02절 가처분-02</v>
      </c>
    </row>
    <row r="233" spans="2:15" ht="14.45" customHeight="1" thickBot="1" x14ac:dyDescent="0.25">
      <c r="B233" s="43" t="s">
        <v>1403</v>
      </c>
      <c r="C233" s="130" t="s">
        <v>1755</v>
      </c>
      <c r="D233" s="131" t="s">
        <v>2010</v>
      </c>
      <c r="E233" s="132" t="s">
        <v>1821</v>
      </c>
      <c r="F233" s="133" t="s">
        <v>426</v>
      </c>
      <c r="G233" s="134" t="s">
        <v>1386</v>
      </c>
      <c r="H233" s="135" t="s">
        <v>55</v>
      </c>
      <c r="I233" s="136" t="s">
        <v>2027</v>
      </c>
      <c r="J233" s="137">
        <v>1271</v>
      </c>
      <c r="K233" s="138" t="s">
        <v>1422</v>
      </c>
      <c r="L233" s="291"/>
      <c r="M233" s="140">
        <v>46247</v>
      </c>
      <c r="N233" s="141">
        <v>46247</v>
      </c>
      <c r="O233" s="139" t="str">
        <f t="shared" si="3"/>
        <v>제07장 취소소송의 가구제-제02절 가처분-03</v>
      </c>
    </row>
    <row r="234" spans="2:15" ht="14.45" customHeight="1" x14ac:dyDescent="0.2">
      <c r="B234" s="17" t="s">
        <v>464</v>
      </c>
      <c r="C234" s="142" t="s">
        <v>1741</v>
      </c>
      <c r="D234" s="143" t="s">
        <v>133</v>
      </c>
      <c r="E234" s="144" t="s">
        <v>151</v>
      </c>
      <c r="F234" s="145" t="s">
        <v>1854</v>
      </c>
      <c r="G234" s="146" t="s">
        <v>1386</v>
      </c>
      <c r="H234" s="147" t="s">
        <v>558</v>
      </c>
      <c r="I234" s="148" t="s">
        <v>1202</v>
      </c>
      <c r="J234" s="149">
        <v>3040</v>
      </c>
      <c r="K234" s="150" t="s">
        <v>1424</v>
      </c>
      <c r="L234" s="292"/>
      <c r="M234" s="152"/>
      <c r="N234" s="153"/>
      <c r="O234" s="151" t="str">
        <f t="shared" si="3"/>
        <v>제08장 청구의 병합과 소의 변경-제01절 관련청구소송의 병합・이송-01</v>
      </c>
    </row>
    <row r="235" spans="2:15" ht="14.45" customHeight="1" x14ac:dyDescent="0.2">
      <c r="B235" s="30" t="s">
        <v>1404</v>
      </c>
      <c r="C235" s="106" t="s">
        <v>1741</v>
      </c>
      <c r="D235" s="107" t="s">
        <v>1379</v>
      </c>
      <c r="E235" s="108" t="s">
        <v>98</v>
      </c>
      <c r="F235" s="109" t="s">
        <v>1855</v>
      </c>
      <c r="G235" s="110" t="s">
        <v>1386</v>
      </c>
      <c r="H235" s="111" t="s">
        <v>2008</v>
      </c>
      <c r="I235" s="112" t="s">
        <v>2009</v>
      </c>
      <c r="J235" s="113">
        <v>1583</v>
      </c>
      <c r="K235" s="114" t="s">
        <v>1424</v>
      </c>
      <c r="L235" s="289"/>
      <c r="M235" s="116">
        <v>46247</v>
      </c>
      <c r="N235" s="117">
        <v>46247</v>
      </c>
      <c r="O235" s="115" t="str">
        <f t="shared" si="3"/>
        <v>제08장 청구의 병합과 소의 변경-제01절 관련청구소송의 병합・이송-02</v>
      </c>
    </row>
    <row r="236" spans="2:15" ht="14.45" customHeight="1" x14ac:dyDescent="0.2">
      <c r="B236" s="30" t="s">
        <v>1404</v>
      </c>
      <c r="C236" s="106" t="s">
        <v>1741</v>
      </c>
      <c r="D236" s="107" t="s">
        <v>1379</v>
      </c>
      <c r="E236" s="108" t="s">
        <v>1267</v>
      </c>
      <c r="F236" s="109" t="s">
        <v>426</v>
      </c>
      <c r="G236" s="110" t="s">
        <v>1386</v>
      </c>
      <c r="H236" s="111" t="s">
        <v>1341</v>
      </c>
      <c r="I236" s="112" t="s">
        <v>1342</v>
      </c>
      <c r="J236" s="113">
        <v>1572</v>
      </c>
      <c r="K236" s="114" t="s">
        <v>1424</v>
      </c>
      <c r="L236" s="289"/>
      <c r="M236" s="116">
        <v>46247</v>
      </c>
      <c r="N236" s="117">
        <v>46247</v>
      </c>
      <c r="O236" s="115" t="str">
        <f t="shared" si="3"/>
        <v>제08장 청구의 병합과 소의 변경-제01절 관련청구소송의 병합・이송-03</v>
      </c>
    </row>
    <row r="237" spans="2:15" ht="14.45" customHeight="1" x14ac:dyDescent="0.2">
      <c r="B237" s="30" t="s">
        <v>1404</v>
      </c>
      <c r="C237" s="106" t="s">
        <v>1741</v>
      </c>
      <c r="D237" s="107" t="s">
        <v>1379</v>
      </c>
      <c r="E237" s="108" t="s">
        <v>1226</v>
      </c>
      <c r="F237" s="109" t="s">
        <v>412</v>
      </c>
      <c r="G237" s="110" t="s">
        <v>1386</v>
      </c>
      <c r="H237" s="111" t="s">
        <v>1339</v>
      </c>
      <c r="I237" s="112" t="s">
        <v>1340</v>
      </c>
      <c r="J237" s="113">
        <v>2236</v>
      </c>
      <c r="K237" s="114" t="s">
        <v>1424</v>
      </c>
      <c r="L237" s="289"/>
      <c r="M237" s="116">
        <v>46247</v>
      </c>
      <c r="N237" s="117">
        <v>46247</v>
      </c>
      <c r="O237" s="115" t="str">
        <f t="shared" si="3"/>
        <v>제08장 청구의 병합과 소의 변경-제01절 관련청구소송의 병합・이송-04</v>
      </c>
    </row>
    <row r="238" spans="2:15" ht="14.45" customHeight="1" x14ac:dyDescent="0.2">
      <c r="B238" s="30" t="s">
        <v>1404</v>
      </c>
      <c r="C238" s="106" t="s">
        <v>1741</v>
      </c>
      <c r="D238" s="107" t="s">
        <v>556</v>
      </c>
      <c r="E238" s="108" t="s">
        <v>1980</v>
      </c>
      <c r="F238" s="109" t="s">
        <v>428</v>
      </c>
      <c r="G238" s="110" t="s">
        <v>1386</v>
      </c>
      <c r="H238" s="111" t="s">
        <v>1636</v>
      </c>
      <c r="I238" s="112" t="s">
        <v>1516</v>
      </c>
      <c r="J238" s="113">
        <v>560</v>
      </c>
      <c r="K238" s="114"/>
      <c r="L238" s="289"/>
      <c r="M238" s="116"/>
      <c r="N238" s="117"/>
      <c r="O238" s="115" t="str">
        <f t="shared" si="3"/>
        <v>제08장 청구의 병합과 소의 변경-제01절 관련청구소송의 병합・이송-05</v>
      </c>
    </row>
    <row r="239" spans="2:15" ht="14.45" customHeight="1" x14ac:dyDescent="0.2">
      <c r="B239" s="30" t="s">
        <v>1404</v>
      </c>
      <c r="C239" s="106" t="s">
        <v>1741</v>
      </c>
      <c r="D239" s="107" t="s">
        <v>556</v>
      </c>
      <c r="E239" s="108" t="s">
        <v>1981</v>
      </c>
      <c r="F239" s="109" t="s">
        <v>430</v>
      </c>
      <c r="G239" s="110" t="s">
        <v>1386</v>
      </c>
      <c r="H239" s="111" t="s">
        <v>1637</v>
      </c>
      <c r="I239" s="112" t="s">
        <v>1517</v>
      </c>
      <c r="J239" s="113">
        <v>633</v>
      </c>
      <c r="K239" s="114"/>
      <c r="L239" s="289"/>
      <c r="M239" s="116"/>
      <c r="N239" s="117"/>
      <c r="O239" s="115" t="str">
        <f t="shared" si="3"/>
        <v>제08장 청구의 병합과 소의 변경-제01절 관련청구소송의 병합・이송-06</v>
      </c>
    </row>
    <row r="240" spans="2:15" ht="14.45" customHeight="1" x14ac:dyDescent="0.2">
      <c r="B240" s="30" t="s">
        <v>1404</v>
      </c>
      <c r="C240" s="118" t="s">
        <v>1741</v>
      </c>
      <c r="D240" s="119" t="s">
        <v>556</v>
      </c>
      <c r="E240" s="120" t="s">
        <v>1939</v>
      </c>
      <c r="F240" s="121" t="s">
        <v>458</v>
      </c>
      <c r="G240" s="122" t="s">
        <v>1386</v>
      </c>
      <c r="H240" s="123" t="s">
        <v>1638</v>
      </c>
      <c r="I240" s="124" t="s">
        <v>1518</v>
      </c>
      <c r="J240" s="125">
        <v>464</v>
      </c>
      <c r="K240" s="126"/>
      <c r="L240" s="290"/>
      <c r="M240" s="128"/>
      <c r="N240" s="129"/>
      <c r="O240" s="127" t="str">
        <f t="shared" si="3"/>
        <v>제08장 청구의 병합과 소의 변경-제01절 관련청구소송의 병합・이송-07</v>
      </c>
    </row>
    <row r="241" spans="2:15" ht="14.45" customHeight="1" x14ac:dyDescent="0.2">
      <c r="B241" s="30" t="s">
        <v>1404</v>
      </c>
      <c r="C241" s="94" t="s">
        <v>1756</v>
      </c>
      <c r="D241" s="95" t="s">
        <v>133</v>
      </c>
      <c r="E241" s="96" t="s">
        <v>150</v>
      </c>
      <c r="F241" s="97" t="s">
        <v>1854</v>
      </c>
      <c r="G241" s="98" t="s">
        <v>1386</v>
      </c>
      <c r="H241" s="99" t="s">
        <v>203</v>
      </c>
      <c r="I241" s="100" t="s">
        <v>1203</v>
      </c>
      <c r="J241" s="101">
        <v>2415</v>
      </c>
      <c r="K241" s="102" t="s">
        <v>1423</v>
      </c>
      <c r="L241" s="288"/>
      <c r="M241" s="104"/>
      <c r="N241" s="105"/>
      <c r="O241" s="103" t="str">
        <f t="shared" si="3"/>
        <v>제08장 청구의 병합과 소의 변경-제02절 소의 변경-01</v>
      </c>
    </row>
    <row r="242" spans="2:15" ht="14.45" customHeight="1" x14ac:dyDescent="0.2">
      <c r="B242" s="30" t="s">
        <v>1404</v>
      </c>
      <c r="C242" s="106" t="s">
        <v>1756</v>
      </c>
      <c r="D242" s="107" t="s">
        <v>2010</v>
      </c>
      <c r="E242" s="108" t="s">
        <v>1804</v>
      </c>
      <c r="F242" s="109" t="s">
        <v>1855</v>
      </c>
      <c r="G242" s="110" t="s">
        <v>1386</v>
      </c>
      <c r="H242" s="111" t="s">
        <v>56</v>
      </c>
      <c r="I242" s="112" t="s">
        <v>2024</v>
      </c>
      <c r="J242" s="113">
        <v>1396</v>
      </c>
      <c r="K242" s="114" t="s">
        <v>1423</v>
      </c>
      <c r="L242" s="289"/>
      <c r="M242" s="116">
        <v>46247</v>
      </c>
      <c r="N242" s="117">
        <v>46247</v>
      </c>
      <c r="O242" s="115" t="str">
        <f t="shared" si="3"/>
        <v>제08장 청구의 병합과 소의 변경-제02절 소의 변경-02</v>
      </c>
    </row>
    <row r="243" spans="2:15" ht="14.45" customHeight="1" thickBot="1" x14ac:dyDescent="0.25">
      <c r="B243" s="43" t="s">
        <v>1404</v>
      </c>
      <c r="C243" s="130" t="s">
        <v>1756</v>
      </c>
      <c r="D243" s="131" t="s">
        <v>2010</v>
      </c>
      <c r="E243" s="132" t="s">
        <v>1805</v>
      </c>
      <c r="F243" s="133" t="s">
        <v>426</v>
      </c>
      <c r="G243" s="134" t="s">
        <v>1386</v>
      </c>
      <c r="H243" s="135" t="s">
        <v>57</v>
      </c>
      <c r="I243" s="136" t="s">
        <v>2025</v>
      </c>
      <c r="J243" s="137">
        <v>1315</v>
      </c>
      <c r="K243" s="138" t="s">
        <v>1423</v>
      </c>
      <c r="L243" s="291"/>
      <c r="M243" s="140">
        <v>46247</v>
      </c>
      <c r="N243" s="141">
        <v>46247</v>
      </c>
      <c r="O243" s="139" t="str">
        <f t="shared" si="3"/>
        <v>제08장 청구의 병합과 소의 변경-제02절 소의 변경-03</v>
      </c>
    </row>
    <row r="244" spans="2:15" ht="14.45" customHeight="1" x14ac:dyDescent="0.2">
      <c r="B244" s="17" t="s">
        <v>1406</v>
      </c>
      <c r="C244" s="18" t="s">
        <v>1742</v>
      </c>
      <c r="D244" s="19" t="s">
        <v>133</v>
      </c>
      <c r="E244" s="20" t="s">
        <v>153</v>
      </c>
      <c r="F244" s="21" t="s">
        <v>1854</v>
      </c>
      <c r="G244" s="22" t="s">
        <v>1386</v>
      </c>
      <c r="H244" s="23" t="s">
        <v>204</v>
      </c>
      <c r="I244" s="24" t="s">
        <v>1204</v>
      </c>
      <c r="J244" s="156">
        <v>2096</v>
      </c>
      <c r="K244" s="157" t="s">
        <v>1422</v>
      </c>
      <c r="L244" s="293"/>
      <c r="M244" s="159"/>
      <c r="N244" s="160"/>
      <c r="O244" s="158" t="str">
        <f t="shared" si="3"/>
        <v>제09장 무효등 확인소송-제01절 무효등 확인소송의 의의-01</v>
      </c>
    </row>
    <row r="245" spans="2:15" ht="14.45" customHeight="1" x14ac:dyDescent="0.2">
      <c r="B245" s="30" t="s">
        <v>1405</v>
      </c>
      <c r="C245" s="94" t="s">
        <v>466</v>
      </c>
      <c r="D245" s="95" t="s">
        <v>133</v>
      </c>
      <c r="E245" s="96" t="s">
        <v>152</v>
      </c>
      <c r="F245" s="97" t="s">
        <v>1854</v>
      </c>
      <c r="G245" s="98" t="s">
        <v>1386</v>
      </c>
      <c r="H245" s="99" t="s">
        <v>205</v>
      </c>
      <c r="I245" s="100" t="s">
        <v>1205</v>
      </c>
      <c r="J245" s="101">
        <v>2171</v>
      </c>
      <c r="K245" s="102" t="s">
        <v>1422</v>
      </c>
      <c r="L245" s="288"/>
      <c r="M245" s="104"/>
      <c r="N245" s="105"/>
      <c r="O245" s="103" t="str">
        <f t="shared" si="3"/>
        <v>제09장 무효등 확인소송-제02절 무효등 확인소송의 요건-01</v>
      </c>
    </row>
    <row r="246" spans="2:15" ht="14.45" customHeight="1" x14ac:dyDescent="0.2">
      <c r="B246" s="30" t="s">
        <v>1405</v>
      </c>
      <c r="C246" s="106" t="s">
        <v>466</v>
      </c>
      <c r="D246" s="107" t="s">
        <v>1379</v>
      </c>
      <c r="E246" s="108" t="s">
        <v>1268</v>
      </c>
      <c r="F246" s="109" t="s">
        <v>1855</v>
      </c>
      <c r="G246" s="110" t="s">
        <v>1386</v>
      </c>
      <c r="H246" s="111" t="s">
        <v>2129</v>
      </c>
      <c r="I246" s="112" t="s">
        <v>2130</v>
      </c>
      <c r="J246" s="113">
        <v>2225</v>
      </c>
      <c r="K246" s="114" t="s">
        <v>1422</v>
      </c>
      <c r="L246" s="289" t="s">
        <v>1795</v>
      </c>
      <c r="M246" s="116"/>
      <c r="N246" s="117"/>
      <c r="O246" s="115" t="str">
        <f t="shared" si="3"/>
        <v>제09장 무효등 확인소송-제02절 무효등 확인소송의 요건-02</v>
      </c>
    </row>
    <row r="247" spans="2:15" ht="14.45" customHeight="1" x14ac:dyDescent="0.2">
      <c r="B247" s="30" t="s">
        <v>1405</v>
      </c>
      <c r="C247" s="118" t="s">
        <v>466</v>
      </c>
      <c r="D247" s="119" t="s">
        <v>556</v>
      </c>
      <c r="E247" s="120" t="s">
        <v>1942</v>
      </c>
      <c r="F247" s="121" t="s">
        <v>426</v>
      </c>
      <c r="G247" s="122" t="s">
        <v>1386</v>
      </c>
      <c r="H247" s="123" t="s">
        <v>1616</v>
      </c>
      <c r="I247" s="124" t="s">
        <v>1496</v>
      </c>
      <c r="J247" s="125">
        <v>712</v>
      </c>
      <c r="K247" s="126" t="s">
        <v>1422</v>
      </c>
      <c r="L247" s="290"/>
      <c r="M247" s="128"/>
      <c r="N247" s="129"/>
      <c r="O247" s="127" t="str">
        <f t="shared" si="3"/>
        <v>제09장 무효등 확인소송-제02절 무효등 확인소송의 요건-03</v>
      </c>
    </row>
    <row r="248" spans="2:15" ht="14.45" customHeight="1" x14ac:dyDescent="0.2">
      <c r="B248" s="30" t="s">
        <v>1405</v>
      </c>
      <c r="C248" s="94" t="s">
        <v>1764</v>
      </c>
      <c r="D248" s="95" t="s">
        <v>133</v>
      </c>
      <c r="E248" s="96" t="s">
        <v>152</v>
      </c>
      <c r="F248" s="97" t="s">
        <v>1854</v>
      </c>
      <c r="G248" s="98" t="s">
        <v>1386</v>
      </c>
      <c r="H248" s="99" t="s">
        <v>206</v>
      </c>
      <c r="I248" s="100" t="s">
        <v>1206</v>
      </c>
      <c r="J248" s="101">
        <v>1738</v>
      </c>
      <c r="K248" s="102" t="s">
        <v>1422</v>
      </c>
      <c r="L248" s="288"/>
      <c r="M248" s="104"/>
      <c r="N248" s="105"/>
      <c r="O248" s="103" t="str">
        <f t="shared" si="3"/>
        <v>제09장 무효등 확인소송-제03절 무효등 확인소송의 심리-01</v>
      </c>
    </row>
    <row r="249" spans="2:15" ht="14.45" customHeight="1" x14ac:dyDescent="0.2">
      <c r="B249" s="30" t="s">
        <v>1405</v>
      </c>
      <c r="C249" s="118" t="s">
        <v>1764</v>
      </c>
      <c r="D249" s="361" t="s">
        <v>1379</v>
      </c>
      <c r="E249" s="362" t="s">
        <v>1269</v>
      </c>
      <c r="F249" s="363" t="s">
        <v>1855</v>
      </c>
      <c r="G249" s="364" t="s">
        <v>1386</v>
      </c>
      <c r="H249" s="187" t="s">
        <v>1343</v>
      </c>
      <c r="I249" s="365" t="s">
        <v>1344</v>
      </c>
      <c r="J249" s="366">
        <v>1837</v>
      </c>
      <c r="K249" s="367" t="s">
        <v>1422</v>
      </c>
      <c r="L249" s="368" t="s">
        <v>2153</v>
      </c>
      <c r="M249" s="369">
        <v>46247</v>
      </c>
      <c r="N249" s="370">
        <v>46247</v>
      </c>
      <c r="O249" s="371" t="str">
        <f t="shared" si="3"/>
        <v>제09장 무효등 확인소송-제03절 무효등 확인소송의 심리-02</v>
      </c>
    </row>
    <row r="250" spans="2:15" ht="14.45" customHeight="1" x14ac:dyDescent="0.2">
      <c r="B250" s="30" t="s">
        <v>1405</v>
      </c>
      <c r="C250" s="94" t="s">
        <v>1775</v>
      </c>
      <c r="D250" s="95" t="s">
        <v>133</v>
      </c>
      <c r="E250" s="96" t="s">
        <v>152</v>
      </c>
      <c r="F250" s="97" t="s">
        <v>1854</v>
      </c>
      <c r="G250" s="98" t="s">
        <v>1386</v>
      </c>
      <c r="H250" s="99" t="s">
        <v>207</v>
      </c>
      <c r="I250" s="100" t="s">
        <v>1207</v>
      </c>
      <c r="J250" s="101">
        <v>2002</v>
      </c>
      <c r="K250" s="102" t="s">
        <v>1422</v>
      </c>
      <c r="L250" s="288"/>
      <c r="M250" s="104"/>
      <c r="N250" s="105"/>
      <c r="O250" s="103" t="str">
        <f t="shared" si="3"/>
        <v>제09장 무효등 확인소송-제04절 무효등 확인소송의 종료-01</v>
      </c>
    </row>
    <row r="251" spans="2:15" ht="14.45" customHeight="1" x14ac:dyDescent="0.2">
      <c r="B251" s="30" t="s">
        <v>1405</v>
      </c>
      <c r="C251" s="106" t="s">
        <v>1775</v>
      </c>
      <c r="D251" s="107" t="s">
        <v>1379</v>
      </c>
      <c r="E251" s="108" t="s">
        <v>90</v>
      </c>
      <c r="F251" s="109" t="s">
        <v>1855</v>
      </c>
      <c r="G251" s="110" t="s">
        <v>1386</v>
      </c>
      <c r="H251" s="111" t="s">
        <v>1327</v>
      </c>
      <c r="I251" s="112" t="s">
        <v>1328</v>
      </c>
      <c r="J251" s="113">
        <v>2028</v>
      </c>
      <c r="K251" s="114" t="s">
        <v>1422</v>
      </c>
      <c r="L251" s="289" t="s">
        <v>2155</v>
      </c>
      <c r="M251" s="116">
        <v>46247</v>
      </c>
      <c r="N251" s="117">
        <v>46247</v>
      </c>
      <c r="O251" s="115" t="str">
        <f t="shared" si="3"/>
        <v>제09장 무효등 확인소송-제04절 무효등 확인소송의 종료-02</v>
      </c>
    </row>
    <row r="252" spans="2:15" ht="14.45" customHeight="1" x14ac:dyDescent="0.2">
      <c r="B252" s="30" t="s">
        <v>1405</v>
      </c>
      <c r="C252" s="106" t="s">
        <v>1775</v>
      </c>
      <c r="D252" s="107" t="s">
        <v>1379</v>
      </c>
      <c r="E252" s="108" t="s">
        <v>1368</v>
      </c>
      <c r="F252" s="109" t="s">
        <v>426</v>
      </c>
      <c r="G252" s="110" t="s">
        <v>1386</v>
      </c>
      <c r="H252" s="111" t="s">
        <v>1325</v>
      </c>
      <c r="I252" s="112" t="s">
        <v>1326</v>
      </c>
      <c r="J252" s="113">
        <v>1936</v>
      </c>
      <c r="K252" s="114" t="s">
        <v>1422</v>
      </c>
      <c r="L252" s="289"/>
      <c r="M252" s="116">
        <v>46247</v>
      </c>
      <c r="N252" s="117">
        <v>46248</v>
      </c>
      <c r="O252" s="115" t="str">
        <f t="shared" si="3"/>
        <v>제09장 무효등 확인소송-제04절 무효등 확인소송의 종료-03</v>
      </c>
    </row>
    <row r="253" spans="2:15" ht="14.45" customHeight="1" x14ac:dyDescent="0.2">
      <c r="B253" s="30" t="s">
        <v>1405</v>
      </c>
      <c r="C253" s="106" t="s">
        <v>1775</v>
      </c>
      <c r="D253" s="107" t="s">
        <v>2010</v>
      </c>
      <c r="E253" s="108" t="s">
        <v>1806</v>
      </c>
      <c r="F253" s="109" t="s">
        <v>412</v>
      </c>
      <c r="G253" s="110" t="s">
        <v>1386</v>
      </c>
      <c r="H253" s="111" t="s">
        <v>379</v>
      </c>
      <c r="I253" s="112" t="s">
        <v>2022</v>
      </c>
      <c r="J253" s="113">
        <v>1274</v>
      </c>
      <c r="K253" s="114" t="s">
        <v>1422</v>
      </c>
      <c r="L253" s="289"/>
      <c r="M253" s="116">
        <v>46247</v>
      </c>
      <c r="N253" s="117">
        <v>46248</v>
      </c>
      <c r="O253" s="115" t="str">
        <f t="shared" si="3"/>
        <v>제09장 무효등 확인소송-제04절 무효등 확인소송의 종료-04</v>
      </c>
    </row>
    <row r="254" spans="2:15" ht="14.45" customHeight="1" x14ac:dyDescent="0.2">
      <c r="B254" s="30" t="s">
        <v>1405</v>
      </c>
      <c r="C254" s="118" t="s">
        <v>1775</v>
      </c>
      <c r="D254" s="119" t="s">
        <v>2010</v>
      </c>
      <c r="E254" s="120" t="s">
        <v>1807</v>
      </c>
      <c r="F254" s="121" t="s">
        <v>428</v>
      </c>
      <c r="G254" s="122" t="s">
        <v>1386</v>
      </c>
      <c r="H254" s="123" t="s">
        <v>58</v>
      </c>
      <c r="I254" s="124" t="s">
        <v>2023</v>
      </c>
      <c r="J254" s="125">
        <v>1501</v>
      </c>
      <c r="K254" s="126" t="s">
        <v>1422</v>
      </c>
      <c r="L254" s="290"/>
      <c r="M254" s="128">
        <v>46247</v>
      </c>
      <c r="N254" s="129"/>
      <c r="O254" s="127" t="str">
        <f t="shared" si="3"/>
        <v>제09장 무효등 확인소송-제04절 무효등 확인소송의 종료-05</v>
      </c>
    </row>
    <row r="255" spans="2:15" ht="14.45" customHeight="1" x14ac:dyDescent="0.2">
      <c r="B255" s="30" t="s">
        <v>1405</v>
      </c>
      <c r="C255" s="94" t="s">
        <v>468</v>
      </c>
      <c r="D255" s="372" t="s">
        <v>133</v>
      </c>
      <c r="E255" s="373" t="s">
        <v>152</v>
      </c>
      <c r="F255" s="374" t="s">
        <v>1854</v>
      </c>
      <c r="G255" s="375" t="s">
        <v>1386</v>
      </c>
      <c r="H255" s="376" t="s">
        <v>208</v>
      </c>
      <c r="I255" s="377" t="s">
        <v>1208</v>
      </c>
      <c r="J255" s="378">
        <v>6158</v>
      </c>
      <c r="K255" s="379" t="s">
        <v>1422</v>
      </c>
      <c r="L255" s="380"/>
      <c r="M255" s="381"/>
      <c r="N255" s="382"/>
      <c r="O255" s="383" t="str">
        <f t="shared" si="3"/>
        <v>제09장 무효등 확인소송-제05절 취소소송과의 관계-01</v>
      </c>
    </row>
    <row r="256" spans="2:15" ht="14.45" customHeight="1" x14ac:dyDescent="0.2">
      <c r="B256" s="30" t="s">
        <v>1405</v>
      </c>
      <c r="C256" s="118" t="s">
        <v>468</v>
      </c>
      <c r="D256" s="119" t="s">
        <v>1379</v>
      </c>
      <c r="E256" s="120" t="s">
        <v>1270</v>
      </c>
      <c r="F256" s="121" t="s">
        <v>1855</v>
      </c>
      <c r="G256" s="122" t="s">
        <v>1386</v>
      </c>
      <c r="H256" s="123" t="s">
        <v>1345</v>
      </c>
      <c r="I256" s="124" t="s">
        <v>1346</v>
      </c>
      <c r="J256" s="125">
        <v>1781</v>
      </c>
      <c r="K256" s="126" t="s">
        <v>1422</v>
      </c>
      <c r="L256" s="290"/>
      <c r="M256" s="128">
        <v>46247</v>
      </c>
      <c r="N256" s="129"/>
      <c r="O256" s="127" t="str">
        <f t="shared" si="3"/>
        <v>제09장 무효등 확인소송-제05절 취소소송과의 관계-02</v>
      </c>
    </row>
    <row r="257" spans="2:15" ht="14.45" customHeight="1" x14ac:dyDescent="0.2">
      <c r="B257" s="30" t="s">
        <v>1405</v>
      </c>
      <c r="C257" s="94" t="s">
        <v>1781</v>
      </c>
      <c r="D257" s="95" t="s">
        <v>133</v>
      </c>
      <c r="E257" s="96" t="s">
        <v>152</v>
      </c>
      <c r="F257" s="97" t="s">
        <v>1854</v>
      </c>
      <c r="G257" s="98" t="s">
        <v>1386</v>
      </c>
      <c r="H257" s="99" t="s">
        <v>209</v>
      </c>
      <c r="I257" s="100" t="s">
        <v>1209</v>
      </c>
      <c r="J257" s="101">
        <v>1110</v>
      </c>
      <c r="K257" s="102" t="s">
        <v>1422</v>
      </c>
      <c r="L257" s="288"/>
      <c r="M257" s="104"/>
      <c r="N257" s="105"/>
      <c r="O257" s="103" t="str">
        <f t="shared" si="3"/>
        <v>제09장 무효등 확인소송-제06절 가구제-01</v>
      </c>
    </row>
    <row r="258" spans="2:15" ht="14.45" customHeight="1" x14ac:dyDescent="0.2">
      <c r="B258" s="30" t="s">
        <v>1405</v>
      </c>
      <c r="C258" s="106" t="s">
        <v>1781</v>
      </c>
      <c r="D258" s="107" t="s">
        <v>2010</v>
      </c>
      <c r="E258" s="108" t="s">
        <v>1808</v>
      </c>
      <c r="F258" s="109" t="s">
        <v>1855</v>
      </c>
      <c r="G258" s="110" t="s">
        <v>1386</v>
      </c>
      <c r="H258" s="111" t="s">
        <v>1847</v>
      </c>
      <c r="I258" s="112" t="s">
        <v>2020</v>
      </c>
      <c r="J258" s="113">
        <v>1564</v>
      </c>
      <c r="K258" s="114" t="s">
        <v>1424</v>
      </c>
      <c r="L258" s="289"/>
      <c r="M258" s="116">
        <v>46247</v>
      </c>
      <c r="N258" s="117"/>
      <c r="O258" s="115" t="str">
        <f t="shared" si="3"/>
        <v>제09장 무효등 확인소송-제06절 가구제-02</v>
      </c>
    </row>
    <row r="259" spans="2:15" ht="14.45" customHeight="1" x14ac:dyDescent="0.2">
      <c r="B259" s="30" t="s">
        <v>1405</v>
      </c>
      <c r="C259" s="118" t="s">
        <v>1781</v>
      </c>
      <c r="D259" s="119" t="s">
        <v>2010</v>
      </c>
      <c r="E259" s="120" t="s">
        <v>1809</v>
      </c>
      <c r="F259" s="121" t="s">
        <v>426</v>
      </c>
      <c r="G259" s="122" t="s">
        <v>1386</v>
      </c>
      <c r="H259" s="123" t="s">
        <v>59</v>
      </c>
      <c r="I259" s="124" t="s">
        <v>2021</v>
      </c>
      <c r="J259" s="125">
        <v>1362</v>
      </c>
      <c r="K259" s="126" t="s">
        <v>1422</v>
      </c>
      <c r="L259" s="290"/>
      <c r="M259" s="128">
        <v>46247</v>
      </c>
      <c r="N259" s="129"/>
      <c r="O259" s="127" t="str">
        <f t="shared" si="3"/>
        <v>제09장 무효등 확인소송-제06절 가구제-03</v>
      </c>
    </row>
    <row r="260" spans="2:15" ht="14.45" customHeight="1" x14ac:dyDescent="0.2">
      <c r="B260" s="30" t="s">
        <v>1405</v>
      </c>
      <c r="C260" s="94" t="s">
        <v>1783</v>
      </c>
      <c r="D260" s="95" t="s">
        <v>133</v>
      </c>
      <c r="E260" s="96" t="s">
        <v>152</v>
      </c>
      <c r="F260" s="97" t="s">
        <v>1854</v>
      </c>
      <c r="G260" s="98" t="s">
        <v>1386</v>
      </c>
      <c r="H260" s="99" t="s">
        <v>150</v>
      </c>
      <c r="I260" s="100" t="s">
        <v>1210</v>
      </c>
      <c r="J260" s="101">
        <v>1112</v>
      </c>
      <c r="K260" s="102" t="s">
        <v>1422</v>
      </c>
      <c r="L260" s="288"/>
      <c r="M260" s="104"/>
      <c r="N260" s="105"/>
      <c r="O260" s="103" t="str">
        <f t="shared" si="3"/>
        <v>제09장 무효등 확인소송-제07절 청구의 병합과 소의 변경-01</v>
      </c>
    </row>
    <row r="261" spans="2:15" ht="14.45" customHeight="1" x14ac:dyDescent="0.2">
      <c r="B261" s="30" t="s">
        <v>1405</v>
      </c>
      <c r="C261" s="106" t="s">
        <v>1783</v>
      </c>
      <c r="D261" s="107" t="s">
        <v>2010</v>
      </c>
      <c r="E261" s="108" t="s">
        <v>1810</v>
      </c>
      <c r="F261" s="109" t="s">
        <v>1855</v>
      </c>
      <c r="G261" s="110" t="s">
        <v>1386</v>
      </c>
      <c r="H261" s="111" t="s">
        <v>378</v>
      </c>
      <c r="I261" s="112" t="s">
        <v>2018</v>
      </c>
      <c r="J261" s="113">
        <v>1310</v>
      </c>
      <c r="K261" s="114" t="s">
        <v>1422</v>
      </c>
      <c r="L261" s="289"/>
      <c r="M261" s="116">
        <v>46247</v>
      </c>
      <c r="N261" s="117"/>
      <c r="O261" s="115" t="str">
        <f t="shared" si="3"/>
        <v>제09장 무효등 확인소송-제07절 청구의 병합과 소의 변경-02</v>
      </c>
    </row>
    <row r="262" spans="2:15" ht="14.45" customHeight="1" thickBot="1" x14ac:dyDescent="0.25">
      <c r="B262" s="43" t="s">
        <v>1405</v>
      </c>
      <c r="C262" s="130" t="s">
        <v>1783</v>
      </c>
      <c r="D262" s="131" t="s">
        <v>2010</v>
      </c>
      <c r="E262" s="132" t="s">
        <v>1811</v>
      </c>
      <c r="F262" s="133" t="s">
        <v>426</v>
      </c>
      <c r="G262" s="134" t="s">
        <v>1386</v>
      </c>
      <c r="H262" s="135" t="s">
        <v>60</v>
      </c>
      <c r="I262" s="136" t="s">
        <v>2019</v>
      </c>
      <c r="J262" s="137">
        <v>1305</v>
      </c>
      <c r="K262" s="138" t="s">
        <v>1422</v>
      </c>
      <c r="L262" s="291"/>
      <c r="M262" s="140">
        <v>46247</v>
      </c>
      <c r="N262" s="141"/>
      <c r="O262" s="139" t="str">
        <f t="shared" si="3"/>
        <v>제09장 무효등 확인소송-제07절 청구의 병합과 소의 변경-03</v>
      </c>
    </row>
    <row r="263" spans="2:15" ht="14.45" customHeight="1" x14ac:dyDescent="0.2">
      <c r="B263" s="17" t="s">
        <v>476</v>
      </c>
      <c r="C263" s="142" t="s">
        <v>472</v>
      </c>
      <c r="D263" s="143" t="s">
        <v>133</v>
      </c>
      <c r="E263" s="144" t="s">
        <v>155</v>
      </c>
      <c r="F263" s="145" t="s">
        <v>1854</v>
      </c>
      <c r="G263" s="146" t="s">
        <v>1386</v>
      </c>
      <c r="H263" s="147" t="s">
        <v>102</v>
      </c>
      <c r="I263" s="148" t="s">
        <v>1211</v>
      </c>
      <c r="J263" s="149">
        <v>3425</v>
      </c>
      <c r="K263" s="150" t="s">
        <v>1424</v>
      </c>
      <c r="L263" s="292"/>
      <c r="M263" s="152"/>
      <c r="N263" s="153"/>
      <c r="O263" s="151" t="str">
        <f t="shared" si="3"/>
        <v>제10장 부작위위법확인소송 및 기타소송-제01절 부작위위법확인소송-01</v>
      </c>
    </row>
    <row r="264" spans="2:15" ht="14.45" customHeight="1" x14ac:dyDescent="0.2">
      <c r="B264" s="30" t="s">
        <v>471</v>
      </c>
      <c r="C264" s="106" t="s">
        <v>472</v>
      </c>
      <c r="D264" s="107" t="s">
        <v>1379</v>
      </c>
      <c r="E264" s="108" t="s">
        <v>101</v>
      </c>
      <c r="F264" s="109" t="s">
        <v>1855</v>
      </c>
      <c r="G264" s="110" t="s">
        <v>1386</v>
      </c>
      <c r="H264" s="111" t="s">
        <v>1848</v>
      </c>
      <c r="I264" s="112" t="s">
        <v>1849</v>
      </c>
      <c r="J264" s="113">
        <v>3218</v>
      </c>
      <c r="K264" s="114" t="s">
        <v>1422</v>
      </c>
      <c r="L264" s="289"/>
      <c r="M264" s="116">
        <v>46247</v>
      </c>
      <c r="N264" s="117"/>
      <c r="O264" s="115" t="str">
        <f t="shared" si="3"/>
        <v>제10장 부작위위법확인소송 및 기타소송-제01절 부작위위법확인소송-02</v>
      </c>
    </row>
    <row r="265" spans="2:15" ht="14.45" customHeight="1" x14ac:dyDescent="0.2">
      <c r="B265" s="30" t="s">
        <v>471</v>
      </c>
      <c r="C265" s="106" t="s">
        <v>472</v>
      </c>
      <c r="D265" s="107" t="s">
        <v>1379</v>
      </c>
      <c r="E265" s="108" t="s">
        <v>243</v>
      </c>
      <c r="F265" s="109" t="s">
        <v>426</v>
      </c>
      <c r="G265" s="110" t="s">
        <v>1386</v>
      </c>
      <c r="H265" s="111" t="s">
        <v>1236</v>
      </c>
      <c r="I265" s="112" t="s">
        <v>1237</v>
      </c>
      <c r="J265" s="113">
        <v>3625</v>
      </c>
      <c r="K265" s="114" t="s">
        <v>1424</v>
      </c>
      <c r="L265" s="289" t="s">
        <v>1795</v>
      </c>
      <c r="M265" s="116"/>
      <c r="N265" s="117"/>
      <c r="O265" s="115" t="str">
        <f t="shared" ref="O265:O322" si="4">B265&amp;"-"&amp;C265&amp;"-"&amp;F265</f>
        <v>제10장 부작위위법확인소송 및 기타소송-제01절 부작위위법확인소송-03</v>
      </c>
    </row>
    <row r="266" spans="2:15" ht="14.45" customHeight="1" x14ac:dyDescent="0.2">
      <c r="B266" s="30" t="s">
        <v>471</v>
      </c>
      <c r="C266" s="106" t="s">
        <v>472</v>
      </c>
      <c r="D266" s="107" t="s">
        <v>1379</v>
      </c>
      <c r="E266" s="108" t="s">
        <v>1271</v>
      </c>
      <c r="F266" s="109" t="s">
        <v>412</v>
      </c>
      <c r="G266" s="110" t="s">
        <v>1386</v>
      </c>
      <c r="H266" s="111" t="s">
        <v>100</v>
      </c>
      <c r="I266" s="112" t="s">
        <v>1145</v>
      </c>
      <c r="J266" s="113">
        <v>1677</v>
      </c>
      <c r="K266" s="114" t="s">
        <v>1424</v>
      </c>
      <c r="L266" s="289"/>
      <c r="M266" s="116">
        <v>46247</v>
      </c>
      <c r="N266" s="117"/>
      <c r="O266" s="115" t="str">
        <f t="shared" si="4"/>
        <v>제10장 부작위위법확인소송 및 기타소송-제01절 부작위위법확인소송-04</v>
      </c>
    </row>
    <row r="267" spans="2:15" ht="14.45" customHeight="1" x14ac:dyDescent="0.2">
      <c r="B267" s="30" t="s">
        <v>471</v>
      </c>
      <c r="C267" s="106" t="s">
        <v>472</v>
      </c>
      <c r="D267" s="107" t="s">
        <v>1379</v>
      </c>
      <c r="E267" s="108" t="s">
        <v>99</v>
      </c>
      <c r="F267" s="109" t="s">
        <v>428</v>
      </c>
      <c r="G267" s="110" t="s">
        <v>1386</v>
      </c>
      <c r="H267" s="111" t="s">
        <v>1347</v>
      </c>
      <c r="I267" s="112" t="s">
        <v>1348</v>
      </c>
      <c r="J267" s="113">
        <v>1961</v>
      </c>
      <c r="K267" s="114" t="s">
        <v>1424</v>
      </c>
      <c r="L267" s="289"/>
      <c r="M267" s="116">
        <v>46247</v>
      </c>
      <c r="N267" s="117"/>
      <c r="O267" s="115" t="str">
        <f t="shared" si="4"/>
        <v>제10장 부작위위법확인소송 및 기타소송-제01절 부작위위법확인소송-05</v>
      </c>
    </row>
    <row r="268" spans="2:15" ht="14.45" customHeight="1" x14ac:dyDescent="0.2">
      <c r="B268" s="30" t="s">
        <v>471</v>
      </c>
      <c r="C268" s="106" t="s">
        <v>472</v>
      </c>
      <c r="D268" s="107" t="s">
        <v>2010</v>
      </c>
      <c r="E268" s="108" t="s">
        <v>1283</v>
      </c>
      <c r="F268" s="109" t="s">
        <v>430</v>
      </c>
      <c r="G268" s="110" t="s">
        <v>1386</v>
      </c>
      <c r="H268" s="111" t="s">
        <v>582</v>
      </c>
      <c r="I268" s="112" t="s">
        <v>2060</v>
      </c>
      <c r="J268" s="113">
        <v>1997</v>
      </c>
      <c r="K268" s="114" t="s">
        <v>1424</v>
      </c>
      <c r="L268" s="289"/>
      <c r="M268" s="116">
        <v>46248</v>
      </c>
      <c r="N268" s="117">
        <v>46248</v>
      </c>
      <c r="O268" s="115" t="str">
        <f t="shared" si="4"/>
        <v>제10장 부작위위법확인소송 및 기타소송-제01절 부작위위법확인소송-06</v>
      </c>
    </row>
    <row r="269" spans="2:15" ht="14.45" customHeight="1" x14ac:dyDescent="0.2">
      <c r="B269" s="30" t="s">
        <v>471</v>
      </c>
      <c r="C269" s="118" t="s">
        <v>472</v>
      </c>
      <c r="D269" s="119" t="s">
        <v>556</v>
      </c>
      <c r="E269" s="120" t="s">
        <v>1982</v>
      </c>
      <c r="F269" s="121" t="s">
        <v>458</v>
      </c>
      <c r="G269" s="122" t="s">
        <v>1386</v>
      </c>
      <c r="H269" s="123" t="s">
        <v>1590</v>
      </c>
      <c r="I269" s="124" t="s">
        <v>1469</v>
      </c>
      <c r="J269" s="125">
        <v>1055</v>
      </c>
      <c r="K269" s="126"/>
      <c r="L269" s="290" t="s">
        <v>1662</v>
      </c>
      <c r="M269" s="128"/>
      <c r="N269" s="129"/>
      <c r="O269" s="127" t="str">
        <f t="shared" si="4"/>
        <v>제10장 부작위위법확인소송 및 기타소송-제01절 부작위위법확인소송-07</v>
      </c>
    </row>
    <row r="270" spans="2:15" ht="14.45" customHeight="1" x14ac:dyDescent="0.2">
      <c r="B270" s="30" t="s">
        <v>471</v>
      </c>
      <c r="C270" s="94" t="s">
        <v>475</v>
      </c>
      <c r="D270" s="95" t="s">
        <v>133</v>
      </c>
      <c r="E270" s="96" t="s">
        <v>154</v>
      </c>
      <c r="F270" s="97" t="s">
        <v>2185</v>
      </c>
      <c r="G270" s="98" t="s">
        <v>1386</v>
      </c>
      <c r="H270" s="99" t="s">
        <v>210</v>
      </c>
      <c r="I270" s="100" t="s">
        <v>1212</v>
      </c>
      <c r="J270" s="101">
        <v>2590</v>
      </c>
      <c r="K270" s="102" t="s">
        <v>1423</v>
      </c>
      <c r="L270" s="288"/>
      <c r="M270" s="104"/>
      <c r="N270" s="105"/>
      <c r="O270" s="103" t="str">
        <f t="shared" si="4"/>
        <v>제10장 부작위위법확인소송 및 기타소송-제02절 당사자소송-01</v>
      </c>
    </row>
    <row r="271" spans="2:15" ht="14.45" customHeight="1" x14ac:dyDescent="0.2">
      <c r="B271" s="30" t="s">
        <v>471</v>
      </c>
      <c r="C271" s="106" t="s">
        <v>475</v>
      </c>
      <c r="D271" s="107" t="s">
        <v>1379</v>
      </c>
      <c r="E271" s="108" t="s">
        <v>2038</v>
      </c>
      <c r="F271" s="109" t="s">
        <v>403</v>
      </c>
      <c r="G271" s="110" t="s">
        <v>1386</v>
      </c>
      <c r="H271" s="111" t="s">
        <v>1359</v>
      </c>
      <c r="I271" s="112" t="s">
        <v>1360</v>
      </c>
      <c r="J271" s="113">
        <v>2091</v>
      </c>
      <c r="K271" s="114" t="s">
        <v>1422</v>
      </c>
      <c r="L271" s="289" t="s">
        <v>2042</v>
      </c>
      <c r="M271" s="116"/>
      <c r="N271" s="117"/>
      <c r="O271" s="115" t="str">
        <f t="shared" si="4"/>
        <v>제10장 부작위위법확인소송 및 기타소송-제02절 당사자소송-03</v>
      </c>
    </row>
    <row r="272" spans="2:15" ht="14.45" customHeight="1" x14ac:dyDescent="0.2">
      <c r="B272" s="30" t="s">
        <v>471</v>
      </c>
      <c r="C272" s="106" t="s">
        <v>475</v>
      </c>
      <c r="D272" s="107" t="s">
        <v>556</v>
      </c>
      <c r="E272" s="108" t="s">
        <v>1983</v>
      </c>
      <c r="F272" s="109" t="s">
        <v>416</v>
      </c>
      <c r="G272" s="110" t="s">
        <v>1386</v>
      </c>
      <c r="H272" s="111" t="s">
        <v>1655</v>
      </c>
      <c r="I272" s="112" t="s">
        <v>1540</v>
      </c>
      <c r="J272" s="113">
        <v>1422</v>
      </c>
      <c r="K272" s="114"/>
      <c r="L272" s="289"/>
      <c r="M272" s="116"/>
      <c r="N272" s="117"/>
      <c r="O272" s="115" t="str">
        <f t="shared" si="4"/>
        <v>제10장 부작위위법확인소송 및 기타소송-제02절 당사자소송-04</v>
      </c>
    </row>
    <row r="273" spans="2:15" ht="14.45" customHeight="1" x14ac:dyDescent="0.2">
      <c r="B273" s="30" t="s">
        <v>471</v>
      </c>
      <c r="C273" s="106" t="s">
        <v>475</v>
      </c>
      <c r="D273" s="107" t="s">
        <v>556</v>
      </c>
      <c r="E273" s="108" t="s">
        <v>1984</v>
      </c>
      <c r="F273" s="109" t="s">
        <v>418</v>
      </c>
      <c r="G273" s="110" t="s">
        <v>1386</v>
      </c>
      <c r="H273" s="111" t="s">
        <v>1656</v>
      </c>
      <c r="I273" s="112" t="s">
        <v>1541</v>
      </c>
      <c r="J273" s="113">
        <v>641</v>
      </c>
      <c r="K273" s="114"/>
      <c r="L273" s="289"/>
      <c r="M273" s="116"/>
      <c r="N273" s="117"/>
      <c r="O273" s="115" t="str">
        <f t="shared" si="4"/>
        <v>제10장 부작위위법확인소송 및 기타소송-제02절 당사자소송-05</v>
      </c>
    </row>
    <row r="274" spans="2:15" ht="14.45" customHeight="1" x14ac:dyDescent="0.2">
      <c r="B274" s="30" t="s">
        <v>471</v>
      </c>
      <c r="C274" s="106" t="s">
        <v>475</v>
      </c>
      <c r="D274" s="107" t="s">
        <v>556</v>
      </c>
      <c r="E274" s="108" t="s">
        <v>1985</v>
      </c>
      <c r="F274" s="109" t="s">
        <v>420</v>
      </c>
      <c r="G274" s="110" t="s">
        <v>1386</v>
      </c>
      <c r="H274" s="111" t="s">
        <v>1657</v>
      </c>
      <c r="I274" s="112" t="s">
        <v>1542</v>
      </c>
      <c r="J274" s="113">
        <v>1145</v>
      </c>
      <c r="K274" s="114"/>
      <c r="L274" s="289"/>
      <c r="M274" s="116"/>
      <c r="N274" s="117"/>
      <c r="O274" s="115" t="str">
        <f t="shared" si="4"/>
        <v>제10장 부작위위법확인소송 및 기타소송-제02절 당사자소송-06</v>
      </c>
    </row>
    <row r="275" spans="2:15" ht="14.45" customHeight="1" x14ac:dyDescent="0.2">
      <c r="B275" s="30" t="s">
        <v>471</v>
      </c>
      <c r="C275" s="106" t="s">
        <v>475</v>
      </c>
      <c r="D275" s="107" t="s">
        <v>556</v>
      </c>
      <c r="E275" s="108" t="s">
        <v>1986</v>
      </c>
      <c r="F275" s="109" t="s">
        <v>423</v>
      </c>
      <c r="G275" s="110" t="s">
        <v>1386</v>
      </c>
      <c r="H275" s="111" t="s">
        <v>1658</v>
      </c>
      <c r="I275" s="112" t="s">
        <v>1543</v>
      </c>
      <c r="J275" s="113">
        <v>1345</v>
      </c>
      <c r="K275" s="114"/>
      <c r="L275" s="289"/>
      <c r="M275" s="116"/>
      <c r="N275" s="117"/>
      <c r="O275" s="115" t="str">
        <f t="shared" si="4"/>
        <v>제10장 부작위위법확인소송 및 기타소송-제02절 당사자소송-07</v>
      </c>
    </row>
    <row r="276" spans="2:15" ht="14.45" customHeight="1" x14ac:dyDescent="0.2">
      <c r="B276" s="30" t="s">
        <v>471</v>
      </c>
      <c r="C276" s="106" t="s">
        <v>475</v>
      </c>
      <c r="D276" s="107" t="s">
        <v>556</v>
      </c>
      <c r="E276" s="108" t="s">
        <v>1987</v>
      </c>
      <c r="F276" s="109" t="s">
        <v>431</v>
      </c>
      <c r="G276" s="110" t="s">
        <v>1386</v>
      </c>
      <c r="H276" s="111" t="s">
        <v>1659</v>
      </c>
      <c r="I276" s="112" t="s">
        <v>1544</v>
      </c>
      <c r="J276" s="113">
        <v>779</v>
      </c>
      <c r="K276" s="114"/>
      <c r="L276" s="289"/>
      <c r="M276" s="116"/>
      <c r="N276" s="117"/>
      <c r="O276" s="115" t="str">
        <f t="shared" si="4"/>
        <v>제10장 부작위위법확인소송 및 기타소송-제02절 당사자소송-08</v>
      </c>
    </row>
    <row r="277" spans="2:15" ht="14.45" customHeight="1" x14ac:dyDescent="0.2">
      <c r="B277" s="30" t="s">
        <v>471</v>
      </c>
      <c r="C277" s="118" t="s">
        <v>475</v>
      </c>
      <c r="D277" s="119" t="s">
        <v>556</v>
      </c>
      <c r="E277" s="120" t="s">
        <v>1988</v>
      </c>
      <c r="F277" s="121" t="s">
        <v>414</v>
      </c>
      <c r="G277" s="122" t="s">
        <v>1386</v>
      </c>
      <c r="H277" s="123" t="s">
        <v>1660</v>
      </c>
      <c r="I277" s="124" t="s">
        <v>1545</v>
      </c>
      <c r="J277" s="125">
        <v>456</v>
      </c>
      <c r="K277" s="126"/>
      <c r="L277" s="290" t="s">
        <v>2165</v>
      </c>
      <c r="M277" s="128"/>
      <c r="N277" s="129"/>
      <c r="O277" s="127" t="str">
        <f t="shared" si="4"/>
        <v>제10장 부작위위법확인소송 및 기타소송-제02절 당사자소송-09</v>
      </c>
    </row>
    <row r="278" spans="2:15" ht="14.45" customHeight="1" x14ac:dyDescent="0.2">
      <c r="B278" s="30" t="s">
        <v>471</v>
      </c>
      <c r="C278" s="31" t="s">
        <v>1765</v>
      </c>
      <c r="D278" s="32" t="s">
        <v>133</v>
      </c>
      <c r="E278" s="33" t="s">
        <v>154</v>
      </c>
      <c r="F278" s="34" t="s">
        <v>1854</v>
      </c>
      <c r="G278" s="35" t="s">
        <v>1386</v>
      </c>
      <c r="H278" s="36" t="s">
        <v>211</v>
      </c>
      <c r="I278" s="37" t="s">
        <v>1213</v>
      </c>
      <c r="J278" s="161">
        <v>1279</v>
      </c>
      <c r="K278" s="162" t="s">
        <v>1422</v>
      </c>
      <c r="L278" s="294"/>
      <c r="M278" s="164"/>
      <c r="N278" s="165"/>
      <c r="O278" s="163" t="str">
        <f t="shared" si="4"/>
        <v>제10장 부작위위법확인소송 및 기타소송-제03절 민중소송-01</v>
      </c>
    </row>
    <row r="279" spans="2:15" ht="14.45" customHeight="1" x14ac:dyDescent="0.2">
      <c r="B279" s="30" t="s">
        <v>471</v>
      </c>
      <c r="C279" s="94" t="s">
        <v>477</v>
      </c>
      <c r="D279" s="95" t="s">
        <v>133</v>
      </c>
      <c r="E279" s="96" t="s">
        <v>154</v>
      </c>
      <c r="F279" s="97" t="s">
        <v>1854</v>
      </c>
      <c r="G279" s="98" t="s">
        <v>1386</v>
      </c>
      <c r="H279" s="99" t="s">
        <v>106</v>
      </c>
      <c r="I279" s="100" t="s">
        <v>1214</v>
      </c>
      <c r="J279" s="101">
        <v>1903</v>
      </c>
      <c r="K279" s="102" t="s">
        <v>1422</v>
      </c>
      <c r="L279" s="288"/>
      <c r="M279" s="104"/>
      <c r="N279" s="105"/>
      <c r="O279" s="103" t="str">
        <f t="shared" si="4"/>
        <v>제10장 부작위위법확인소송 및 기타소송-제04절 기관소송-01</v>
      </c>
    </row>
    <row r="280" spans="2:15" ht="14.45" customHeight="1" thickBot="1" x14ac:dyDescent="0.25">
      <c r="B280" s="43" t="s">
        <v>471</v>
      </c>
      <c r="C280" s="130" t="s">
        <v>477</v>
      </c>
      <c r="D280" s="131" t="s">
        <v>1379</v>
      </c>
      <c r="E280" s="132" t="s">
        <v>1227</v>
      </c>
      <c r="F280" s="133" t="s">
        <v>1855</v>
      </c>
      <c r="G280" s="134" t="s">
        <v>1386</v>
      </c>
      <c r="H280" s="135" t="s">
        <v>1850</v>
      </c>
      <c r="I280" s="136" t="s">
        <v>1851</v>
      </c>
      <c r="J280" s="137">
        <v>1598</v>
      </c>
      <c r="K280" s="138" t="s">
        <v>1422</v>
      </c>
      <c r="L280" s="291"/>
      <c r="M280" s="140">
        <v>46248</v>
      </c>
      <c r="N280" s="141"/>
      <c r="O280" s="139" t="str">
        <f t="shared" si="4"/>
        <v>제10장 부작위위법확인소송 및 기타소송-제04절 기관소송-02</v>
      </c>
    </row>
    <row r="281" spans="2:15" ht="14.45" customHeight="1" x14ac:dyDescent="0.2">
      <c r="B281" s="17" t="s">
        <v>386</v>
      </c>
      <c r="C281" s="142" t="s">
        <v>479</v>
      </c>
      <c r="D281" s="143" t="s">
        <v>133</v>
      </c>
      <c r="E281" s="144" t="s">
        <v>157</v>
      </c>
      <c r="F281" s="145" t="s">
        <v>1854</v>
      </c>
      <c r="G281" s="146" t="s">
        <v>1386</v>
      </c>
      <c r="H281" s="147" t="s">
        <v>172</v>
      </c>
      <c r="I281" s="148" t="s">
        <v>1215</v>
      </c>
      <c r="J281" s="149">
        <v>1501</v>
      </c>
      <c r="K281" s="150" t="s">
        <v>1423</v>
      </c>
      <c r="L281" s="292"/>
      <c r="M281" s="152"/>
      <c r="N281" s="153"/>
      <c r="O281" s="151" t="str">
        <f t="shared" si="4"/>
        <v>제11장 행정심판의 일반론-제01절 서설-01</v>
      </c>
    </row>
    <row r="282" spans="2:15" ht="14.45" customHeight="1" x14ac:dyDescent="0.2">
      <c r="B282" s="30" t="s">
        <v>478</v>
      </c>
      <c r="C282" s="106" t="s">
        <v>479</v>
      </c>
      <c r="D282" s="107" t="s">
        <v>1379</v>
      </c>
      <c r="E282" s="108" t="s">
        <v>1273</v>
      </c>
      <c r="F282" s="109" t="s">
        <v>1855</v>
      </c>
      <c r="G282" s="110" t="s">
        <v>1386</v>
      </c>
      <c r="H282" s="111" t="s">
        <v>1349</v>
      </c>
      <c r="I282" s="112" t="s">
        <v>1350</v>
      </c>
      <c r="J282" s="113">
        <v>1648</v>
      </c>
      <c r="K282" s="114" t="s">
        <v>1423</v>
      </c>
      <c r="L282" s="289"/>
      <c r="M282" s="116">
        <v>46248</v>
      </c>
      <c r="N282" s="117">
        <v>46248</v>
      </c>
      <c r="O282" s="115" t="str">
        <f t="shared" si="4"/>
        <v>제11장 행정심판의 일반론-제01절 서설-02</v>
      </c>
    </row>
    <row r="283" spans="2:15" ht="14.45" customHeight="1" x14ac:dyDescent="0.2">
      <c r="B283" s="30" t="s">
        <v>478</v>
      </c>
      <c r="C283" s="166" t="s">
        <v>479</v>
      </c>
      <c r="D283" s="107" t="s">
        <v>556</v>
      </c>
      <c r="E283" s="108" t="s">
        <v>1989</v>
      </c>
      <c r="F283" s="109" t="s">
        <v>426</v>
      </c>
      <c r="G283" s="110" t="s">
        <v>1386</v>
      </c>
      <c r="H283" s="111" t="s">
        <v>1546</v>
      </c>
      <c r="I283" s="112" t="s">
        <v>1426</v>
      </c>
      <c r="J283" s="113">
        <v>1138</v>
      </c>
      <c r="K283" s="114" t="s">
        <v>1423</v>
      </c>
      <c r="L283" s="289"/>
      <c r="M283" s="116"/>
      <c r="N283" s="117"/>
      <c r="O283" s="115" t="str">
        <f t="shared" si="4"/>
        <v>제11장 행정심판의 일반론-제01절 서설-03</v>
      </c>
    </row>
    <row r="284" spans="2:15" ht="14.45" customHeight="1" x14ac:dyDescent="0.2">
      <c r="B284" s="30" t="s">
        <v>478</v>
      </c>
      <c r="C284" s="166" t="s">
        <v>479</v>
      </c>
      <c r="D284" s="107" t="s">
        <v>556</v>
      </c>
      <c r="E284" s="108" t="s">
        <v>1990</v>
      </c>
      <c r="F284" s="109" t="s">
        <v>412</v>
      </c>
      <c r="G284" s="110" t="s">
        <v>1386</v>
      </c>
      <c r="H284" s="111" t="s">
        <v>1547</v>
      </c>
      <c r="I284" s="112" t="s">
        <v>1427</v>
      </c>
      <c r="J284" s="113">
        <v>926</v>
      </c>
      <c r="K284" s="114" t="s">
        <v>1423</v>
      </c>
      <c r="L284" s="289"/>
      <c r="M284" s="116"/>
      <c r="N284" s="117"/>
      <c r="O284" s="115" t="str">
        <f t="shared" si="4"/>
        <v>제11장 행정심판의 일반론-제01절 서설-04</v>
      </c>
    </row>
    <row r="285" spans="2:15" ht="14.45" customHeight="1" x14ac:dyDescent="0.2">
      <c r="B285" s="30" t="s">
        <v>478</v>
      </c>
      <c r="C285" s="166" t="s">
        <v>479</v>
      </c>
      <c r="D285" s="107" t="s">
        <v>556</v>
      </c>
      <c r="E285" s="108" t="s">
        <v>1991</v>
      </c>
      <c r="F285" s="109" t="s">
        <v>428</v>
      </c>
      <c r="G285" s="110" t="s">
        <v>1386</v>
      </c>
      <c r="H285" s="111" t="s">
        <v>1548</v>
      </c>
      <c r="I285" s="112" t="s">
        <v>1428</v>
      </c>
      <c r="J285" s="113">
        <v>1440</v>
      </c>
      <c r="K285" s="114" t="s">
        <v>1423</v>
      </c>
      <c r="L285" s="289"/>
      <c r="M285" s="116"/>
      <c r="N285" s="117"/>
      <c r="O285" s="115" t="str">
        <f t="shared" si="4"/>
        <v>제11장 행정심판의 일반론-제01절 서설-05</v>
      </c>
    </row>
    <row r="286" spans="2:15" ht="14.45" customHeight="1" x14ac:dyDescent="0.2">
      <c r="B286" s="30" t="s">
        <v>478</v>
      </c>
      <c r="C286" s="167" t="s">
        <v>479</v>
      </c>
      <c r="D286" s="119" t="s">
        <v>556</v>
      </c>
      <c r="E286" s="120" t="s">
        <v>1992</v>
      </c>
      <c r="F286" s="121" t="s">
        <v>430</v>
      </c>
      <c r="G286" s="122" t="s">
        <v>1386</v>
      </c>
      <c r="H286" s="123" t="s">
        <v>1549</v>
      </c>
      <c r="I286" s="124" t="s">
        <v>1429</v>
      </c>
      <c r="J286" s="125">
        <v>841</v>
      </c>
      <c r="K286" s="126" t="s">
        <v>1423</v>
      </c>
      <c r="L286" s="290"/>
      <c r="M286" s="128"/>
      <c r="N286" s="129"/>
      <c r="O286" s="127" t="str">
        <f t="shared" si="4"/>
        <v>제11장 행정심판의 일반론-제01절 서설-06</v>
      </c>
    </row>
    <row r="287" spans="2:15" ht="14.45" customHeight="1" x14ac:dyDescent="0.2">
      <c r="B287" s="30" t="s">
        <v>478</v>
      </c>
      <c r="C287" s="94" t="s">
        <v>480</v>
      </c>
      <c r="D287" s="95" t="s">
        <v>133</v>
      </c>
      <c r="E287" s="96" t="s">
        <v>156</v>
      </c>
      <c r="F287" s="97" t="s">
        <v>1854</v>
      </c>
      <c r="G287" s="98" t="s">
        <v>1386</v>
      </c>
      <c r="H287" s="99" t="s">
        <v>212</v>
      </c>
      <c r="I287" s="100" t="s">
        <v>1216</v>
      </c>
      <c r="J287" s="101">
        <v>2365</v>
      </c>
      <c r="K287" s="102" t="s">
        <v>1423</v>
      </c>
      <c r="L287" s="288"/>
      <c r="M287" s="104"/>
      <c r="N287" s="105"/>
      <c r="O287" s="103" t="str">
        <f t="shared" si="4"/>
        <v>제11장 행정심판의 일반론-제02절 행정심판의 종류-01</v>
      </c>
    </row>
    <row r="288" spans="2:15" ht="14.45" customHeight="1" x14ac:dyDescent="0.2">
      <c r="B288" s="30" t="s">
        <v>478</v>
      </c>
      <c r="C288" s="118" t="s">
        <v>480</v>
      </c>
      <c r="D288" s="119" t="s">
        <v>1379</v>
      </c>
      <c r="E288" s="120" t="s">
        <v>1274</v>
      </c>
      <c r="F288" s="121" t="s">
        <v>1855</v>
      </c>
      <c r="G288" s="122" t="s">
        <v>1386</v>
      </c>
      <c r="H288" s="123" t="s">
        <v>1416</v>
      </c>
      <c r="I288" s="124" t="s">
        <v>1417</v>
      </c>
      <c r="J288" s="125">
        <v>1413</v>
      </c>
      <c r="K288" s="126" t="s">
        <v>1423</v>
      </c>
      <c r="L288" s="290"/>
      <c r="M288" s="128">
        <v>46248</v>
      </c>
      <c r="N288" s="129">
        <v>46248</v>
      </c>
      <c r="O288" s="127" t="str">
        <f t="shared" si="4"/>
        <v>제11장 행정심판의 일반론-제02절 행정심판의 종류-02</v>
      </c>
    </row>
    <row r="289" spans="2:15" ht="14.45" customHeight="1" x14ac:dyDescent="0.2">
      <c r="B289" s="30" t="s">
        <v>478</v>
      </c>
      <c r="C289" s="94" t="s">
        <v>1766</v>
      </c>
      <c r="D289" s="95" t="s">
        <v>133</v>
      </c>
      <c r="E289" s="96" t="s">
        <v>156</v>
      </c>
      <c r="F289" s="97" t="s">
        <v>1854</v>
      </c>
      <c r="G289" s="98" t="s">
        <v>1386</v>
      </c>
      <c r="H289" s="99" t="s">
        <v>213</v>
      </c>
      <c r="I289" s="100" t="s">
        <v>1217</v>
      </c>
      <c r="J289" s="101">
        <v>1599</v>
      </c>
      <c r="K289" s="102" t="s">
        <v>1424</v>
      </c>
      <c r="L289" s="288"/>
      <c r="M289" s="104"/>
      <c r="N289" s="105"/>
      <c r="O289" s="103" t="str">
        <f t="shared" si="4"/>
        <v>제11장 행정심판의 일반론-제03절 고지제도-01</v>
      </c>
    </row>
    <row r="290" spans="2:15" ht="14.45" customHeight="1" thickBot="1" x14ac:dyDescent="0.25">
      <c r="B290" s="43" t="s">
        <v>478</v>
      </c>
      <c r="C290" s="130" t="s">
        <v>1766</v>
      </c>
      <c r="D290" s="131" t="s">
        <v>1379</v>
      </c>
      <c r="E290" s="132" t="s">
        <v>1275</v>
      </c>
      <c r="F290" s="133" t="s">
        <v>1855</v>
      </c>
      <c r="G290" s="134" t="s">
        <v>1386</v>
      </c>
      <c r="H290" s="135" t="s">
        <v>1351</v>
      </c>
      <c r="I290" s="136" t="s">
        <v>1352</v>
      </c>
      <c r="J290" s="137">
        <v>1785</v>
      </c>
      <c r="K290" s="138" t="s">
        <v>1424</v>
      </c>
      <c r="L290" s="291"/>
      <c r="M290" s="140">
        <v>46248</v>
      </c>
      <c r="N290" s="141">
        <v>46248</v>
      </c>
      <c r="O290" s="139" t="str">
        <f t="shared" si="4"/>
        <v>제11장 행정심판의 일반론-제03절 고지제도-02</v>
      </c>
    </row>
    <row r="291" spans="2:15" ht="14.45" customHeight="1" x14ac:dyDescent="0.2">
      <c r="B291" s="17" t="s">
        <v>387</v>
      </c>
      <c r="C291" s="142" t="s">
        <v>1743</v>
      </c>
      <c r="D291" s="143" t="s">
        <v>133</v>
      </c>
      <c r="E291" s="144" t="s">
        <v>159</v>
      </c>
      <c r="F291" s="145" t="s">
        <v>1854</v>
      </c>
      <c r="G291" s="146" t="s">
        <v>1386</v>
      </c>
      <c r="H291" s="147" t="s">
        <v>214</v>
      </c>
      <c r="I291" s="148" t="s">
        <v>1218</v>
      </c>
      <c r="J291" s="149">
        <v>1351</v>
      </c>
      <c r="K291" s="150" t="s">
        <v>1423</v>
      </c>
      <c r="L291" s="292"/>
      <c r="M291" s="152"/>
      <c r="N291" s="153"/>
      <c r="O291" s="151" t="str">
        <f t="shared" si="4"/>
        <v>제12장 행정심판의 청구요건 및 가구제-제01절 행정심판의 대상적격-01</v>
      </c>
    </row>
    <row r="292" spans="2:15" ht="14.45" customHeight="1" x14ac:dyDescent="0.2">
      <c r="B292" s="154" t="s">
        <v>487</v>
      </c>
      <c r="C292" s="106" t="s">
        <v>1743</v>
      </c>
      <c r="D292" s="372" t="s">
        <v>1379</v>
      </c>
      <c r="E292" s="387" t="s">
        <v>64</v>
      </c>
      <c r="F292" s="374" t="s">
        <v>428</v>
      </c>
      <c r="G292" s="375" t="s">
        <v>1386</v>
      </c>
      <c r="H292" s="386" t="s">
        <v>2070</v>
      </c>
      <c r="I292" s="377" t="s">
        <v>2071</v>
      </c>
      <c r="J292" s="378">
        <v>1880</v>
      </c>
      <c r="K292" s="379" t="s">
        <v>1423</v>
      </c>
      <c r="L292" s="380"/>
      <c r="M292" s="381">
        <v>46248</v>
      </c>
      <c r="N292" s="382">
        <v>46244</v>
      </c>
      <c r="O292" s="383" t="s">
        <v>2073</v>
      </c>
    </row>
    <row r="293" spans="2:15" ht="14.45" customHeight="1" x14ac:dyDescent="0.2">
      <c r="B293" s="30" t="s">
        <v>487</v>
      </c>
      <c r="C293" s="106" t="s">
        <v>1743</v>
      </c>
      <c r="D293" s="107" t="s">
        <v>2010</v>
      </c>
      <c r="E293" s="108" t="s">
        <v>1284</v>
      </c>
      <c r="F293" s="109" t="s">
        <v>1855</v>
      </c>
      <c r="G293" s="110" t="s">
        <v>1386</v>
      </c>
      <c r="H293" s="111" t="s">
        <v>1852</v>
      </c>
      <c r="I293" s="112" t="s">
        <v>2016</v>
      </c>
      <c r="J293" s="113">
        <v>1441</v>
      </c>
      <c r="K293" s="114" t="s">
        <v>1423</v>
      </c>
      <c r="L293" s="289"/>
      <c r="M293" s="116">
        <v>46248</v>
      </c>
      <c r="N293" s="117">
        <v>46248</v>
      </c>
      <c r="O293" s="115" t="str">
        <f t="shared" si="4"/>
        <v>제12장 행정심판의 청구요건 및 가구제-제01절 행정심판의 대상적격-02</v>
      </c>
    </row>
    <row r="294" spans="2:15" ht="14.45" customHeight="1" x14ac:dyDescent="0.2">
      <c r="B294" s="30" t="s">
        <v>487</v>
      </c>
      <c r="C294" s="118" t="s">
        <v>1743</v>
      </c>
      <c r="D294" s="119" t="s">
        <v>2010</v>
      </c>
      <c r="E294" s="120" t="s">
        <v>1285</v>
      </c>
      <c r="F294" s="121" t="s">
        <v>426</v>
      </c>
      <c r="G294" s="122" t="s">
        <v>1386</v>
      </c>
      <c r="H294" s="123" t="s">
        <v>61</v>
      </c>
      <c r="I294" s="124" t="s">
        <v>2017</v>
      </c>
      <c r="J294" s="125">
        <v>1629</v>
      </c>
      <c r="K294" s="126" t="s">
        <v>1423</v>
      </c>
      <c r="L294" s="290"/>
      <c r="M294" s="128">
        <v>46248</v>
      </c>
      <c r="N294" s="129">
        <v>46248</v>
      </c>
      <c r="O294" s="127" t="str">
        <f t="shared" si="4"/>
        <v>제12장 행정심판의 청구요건 및 가구제-제01절 행정심판의 대상적격-03</v>
      </c>
    </row>
    <row r="295" spans="2:15" ht="14.45" customHeight="1" x14ac:dyDescent="0.2">
      <c r="B295" s="30" t="s">
        <v>487</v>
      </c>
      <c r="C295" s="94" t="s">
        <v>2077</v>
      </c>
      <c r="D295" s="95" t="s">
        <v>133</v>
      </c>
      <c r="E295" s="96" t="s">
        <v>158</v>
      </c>
      <c r="F295" s="97" t="s">
        <v>1854</v>
      </c>
      <c r="G295" s="98" t="s">
        <v>1386</v>
      </c>
      <c r="H295" s="99" t="s">
        <v>2076</v>
      </c>
      <c r="I295" s="100" t="s">
        <v>1219</v>
      </c>
      <c r="J295" s="101">
        <v>1686</v>
      </c>
      <c r="K295" s="102" t="s">
        <v>1422</v>
      </c>
      <c r="L295" s="288"/>
      <c r="M295" s="104"/>
      <c r="N295" s="105"/>
      <c r="O295" s="103" t="str">
        <f t="shared" si="4"/>
        <v>제12장 행정심판의 청구요건 및 가구제-제02절 행정심판의 당사자적격-01</v>
      </c>
    </row>
    <row r="296" spans="2:15" ht="14.45" customHeight="1" x14ac:dyDescent="0.2">
      <c r="B296" s="30" t="s">
        <v>487</v>
      </c>
      <c r="C296" s="106" t="s">
        <v>484</v>
      </c>
      <c r="D296" s="372" t="s">
        <v>1379</v>
      </c>
      <c r="E296" s="387" t="s">
        <v>64</v>
      </c>
      <c r="F296" s="374" t="s">
        <v>428</v>
      </c>
      <c r="G296" s="375" t="s">
        <v>1386</v>
      </c>
      <c r="H296" s="386" t="s">
        <v>2070</v>
      </c>
      <c r="I296" s="377" t="s">
        <v>2071</v>
      </c>
      <c r="J296" s="378">
        <v>1880</v>
      </c>
      <c r="K296" s="379" t="s">
        <v>1423</v>
      </c>
      <c r="L296" s="380" t="s">
        <v>2072</v>
      </c>
      <c r="M296" s="381"/>
      <c r="N296" s="382"/>
      <c r="O296" s="383" t="s">
        <v>2074</v>
      </c>
    </row>
    <row r="297" spans="2:15" ht="14.45" customHeight="1" x14ac:dyDescent="0.2">
      <c r="B297" s="30" t="s">
        <v>487</v>
      </c>
      <c r="C297" s="106" t="s">
        <v>484</v>
      </c>
      <c r="D297" s="107" t="s">
        <v>1379</v>
      </c>
      <c r="E297" s="108" t="s">
        <v>1276</v>
      </c>
      <c r="F297" s="109" t="s">
        <v>1855</v>
      </c>
      <c r="G297" s="110" t="s">
        <v>1386</v>
      </c>
      <c r="H297" s="111" t="s">
        <v>1247</v>
      </c>
      <c r="I297" s="112" t="s">
        <v>1248</v>
      </c>
      <c r="J297" s="113">
        <v>1944</v>
      </c>
      <c r="K297" s="114" t="s">
        <v>1424</v>
      </c>
      <c r="L297" s="289" t="s">
        <v>1795</v>
      </c>
      <c r="M297" s="116"/>
      <c r="N297" s="117"/>
      <c r="O297" s="115" t="str">
        <f t="shared" si="4"/>
        <v>제12장 행정심판의 청구요건 및 가구제-제02절 행정심판의 당사자적격-02</v>
      </c>
    </row>
    <row r="298" spans="2:15" ht="14.45" customHeight="1" x14ac:dyDescent="0.2">
      <c r="B298" s="30" t="s">
        <v>487</v>
      </c>
      <c r="C298" s="118" t="s">
        <v>484</v>
      </c>
      <c r="D298" s="119" t="s">
        <v>1379</v>
      </c>
      <c r="E298" s="120" t="s">
        <v>1228</v>
      </c>
      <c r="F298" s="121" t="s">
        <v>426</v>
      </c>
      <c r="G298" s="122" t="s">
        <v>1386</v>
      </c>
      <c r="H298" s="123" t="s">
        <v>1355</v>
      </c>
      <c r="I298" s="124" t="s">
        <v>1356</v>
      </c>
      <c r="J298" s="125">
        <v>1940</v>
      </c>
      <c r="K298" s="126" t="s">
        <v>1422</v>
      </c>
      <c r="L298" s="290" t="s">
        <v>2209</v>
      </c>
      <c r="M298" s="128">
        <v>46248</v>
      </c>
      <c r="N298" s="129">
        <v>46248</v>
      </c>
      <c r="O298" s="127" t="str">
        <f t="shared" si="4"/>
        <v>제12장 행정심판의 청구요건 및 가구제-제02절 행정심판의 당사자적격-03</v>
      </c>
    </row>
    <row r="299" spans="2:15" ht="14.45" customHeight="1" x14ac:dyDescent="0.2">
      <c r="B299" s="30" t="s">
        <v>487</v>
      </c>
      <c r="C299" s="94" t="s">
        <v>1767</v>
      </c>
      <c r="D299" s="95" t="s">
        <v>133</v>
      </c>
      <c r="E299" s="96" t="s">
        <v>158</v>
      </c>
      <c r="F299" s="97" t="s">
        <v>1854</v>
      </c>
      <c r="G299" s="98" t="s">
        <v>1386</v>
      </c>
      <c r="H299" s="99" t="s">
        <v>215</v>
      </c>
      <c r="I299" s="100" t="s">
        <v>1220</v>
      </c>
      <c r="J299" s="101">
        <v>1763</v>
      </c>
      <c r="K299" s="102" t="s">
        <v>1423</v>
      </c>
      <c r="L299" s="288"/>
      <c r="M299" s="104"/>
      <c r="N299" s="105"/>
      <c r="O299" s="103" t="str">
        <f t="shared" si="4"/>
        <v>제12장 행정심판의 청구요건 및 가구제-제03절 행정심판의 청구-01</v>
      </c>
    </row>
    <row r="300" spans="2:15" ht="14.45" customHeight="1" x14ac:dyDescent="0.2">
      <c r="B300" s="30" t="s">
        <v>487</v>
      </c>
      <c r="C300" s="106" t="s">
        <v>1767</v>
      </c>
      <c r="D300" s="107" t="s">
        <v>2010</v>
      </c>
      <c r="E300" s="108" t="s">
        <v>1286</v>
      </c>
      <c r="F300" s="109" t="s">
        <v>1855</v>
      </c>
      <c r="G300" s="110" t="s">
        <v>1386</v>
      </c>
      <c r="H300" s="111" t="s">
        <v>1365</v>
      </c>
      <c r="I300" s="112" t="s">
        <v>2014</v>
      </c>
      <c r="J300" s="113">
        <v>1183</v>
      </c>
      <c r="K300" s="114" t="s">
        <v>1423</v>
      </c>
      <c r="L300" s="289"/>
      <c r="M300" s="116">
        <v>46248</v>
      </c>
      <c r="N300" s="117">
        <v>46248</v>
      </c>
      <c r="O300" s="115" t="str">
        <f t="shared" si="4"/>
        <v>제12장 행정심판의 청구요건 및 가구제-제03절 행정심판의 청구-02</v>
      </c>
    </row>
    <row r="301" spans="2:15" ht="14.45" customHeight="1" x14ac:dyDescent="0.2">
      <c r="B301" s="30" t="s">
        <v>487</v>
      </c>
      <c r="C301" s="106" t="s">
        <v>1767</v>
      </c>
      <c r="D301" s="107" t="s">
        <v>2010</v>
      </c>
      <c r="E301" s="108" t="s">
        <v>1287</v>
      </c>
      <c r="F301" s="109" t="s">
        <v>426</v>
      </c>
      <c r="G301" s="110" t="s">
        <v>1386</v>
      </c>
      <c r="H301" s="111" t="s">
        <v>1853</v>
      </c>
      <c r="I301" s="112" t="s">
        <v>2015</v>
      </c>
      <c r="J301" s="113">
        <v>1228</v>
      </c>
      <c r="K301" s="114" t="s">
        <v>1423</v>
      </c>
      <c r="L301" s="289" t="s">
        <v>2210</v>
      </c>
      <c r="M301" s="116">
        <v>46248</v>
      </c>
      <c r="N301" s="117"/>
      <c r="O301" s="115" t="str">
        <f t="shared" si="4"/>
        <v>제12장 행정심판의 청구요건 및 가구제-제03절 행정심판의 청구-03</v>
      </c>
    </row>
    <row r="302" spans="2:15" ht="14.45" customHeight="1" x14ac:dyDescent="0.2">
      <c r="B302" s="30" t="s">
        <v>487</v>
      </c>
      <c r="C302" s="106" t="s">
        <v>1767</v>
      </c>
      <c r="D302" s="107" t="s">
        <v>556</v>
      </c>
      <c r="E302" s="108" t="s">
        <v>1993</v>
      </c>
      <c r="F302" s="109" t="s">
        <v>412</v>
      </c>
      <c r="G302" s="110" t="s">
        <v>1386</v>
      </c>
      <c r="H302" s="111" t="s">
        <v>1552</v>
      </c>
      <c r="I302" s="112" t="s">
        <v>1432</v>
      </c>
      <c r="J302" s="113">
        <v>646</v>
      </c>
      <c r="K302" s="114"/>
      <c r="L302" s="289"/>
      <c r="M302" s="116"/>
      <c r="N302" s="117"/>
      <c r="O302" s="115" t="str">
        <f t="shared" si="4"/>
        <v>제12장 행정심판의 청구요건 및 가구제-제03절 행정심판의 청구-04</v>
      </c>
    </row>
    <row r="303" spans="2:15" ht="14.45" customHeight="1" x14ac:dyDescent="0.2">
      <c r="B303" s="30" t="s">
        <v>487</v>
      </c>
      <c r="C303" s="118" t="s">
        <v>1767</v>
      </c>
      <c r="D303" s="119" t="s">
        <v>556</v>
      </c>
      <c r="E303" s="120" t="s">
        <v>1994</v>
      </c>
      <c r="F303" s="121" t="s">
        <v>428</v>
      </c>
      <c r="G303" s="122" t="s">
        <v>1386</v>
      </c>
      <c r="H303" s="123" t="s">
        <v>1553</v>
      </c>
      <c r="I303" s="124" t="s">
        <v>1433</v>
      </c>
      <c r="J303" s="125">
        <v>825</v>
      </c>
      <c r="K303" s="126"/>
      <c r="L303" s="290"/>
      <c r="M303" s="128"/>
      <c r="N303" s="129"/>
      <c r="O303" s="127" t="str">
        <f t="shared" si="4"/>
        <v>제12장 행정심판의 청구요건 및 가구제-제03절 행정심판의 청구-05</v>
      </c>
    </row>
    <row r="304" spans="2:15" ht="14.45" customHeight="1" x14ac:dyDescent="0.2">
      <c r="B304" s="30" t="s">
        <v>487</v>
      </c>
      <c r="C304" s="94" t="s">
        <v>486</v>
      </c>
      <c r="D304" s="95" t="s">
        <v>133</v>
      </c>
      <c r="E304" s="96" t="s">
        <v>159</v>
      </c>
      <c r="F304" s="97" t="s">
        <v>1854</v>
      </c>
      <c r="G304" s="98" t="s">
        <v>1386</v>
      </c>
      <c r="H304" s="99" t="s">
        <v>216</v>
      </c>
      <c r="I304" s="100" t="s">
        <v>1221</v>
      </c>
      <c r="J304" s="101">
        <v>2691</v>
      </c>
      <c r="K304" s="102" t="s">
        <v>1422</v>
      </c>
      <c r="L304" s="288"/>
      <c r="M304" s="104"/>
      <c r="N304" s="105"/>
      <c r="O304" s="103" t="str">
        <f t="shared" si="4"/>
        <v>제12장 행정심판의 청구요건 및 가구제-제04절 행정심판기관-01</v>
      </c>
    </row>
    <row r="305" spans="2:15" ht="14.45" customHeight="1" x14ac:dyDescent="0.2">
      <c r="B305" s="30" t="s">
        <v>487</v>
      </c>
      <c r="C305" s="118" t="s">
        <v>486</v>
      </c>
      <c r="D305" s="119" t="s">
        <v>1379</v>
      </c>
      <c r="E305" s="120" t="s">
        <v>1228</v>
      </c>
      <c r="F305" s="121" t="s">
        <v>1855</v>
      </c>
      <c r="G305" s="122" t="s">
        <v>1386</v>
      </c>
      <c r="H305" s="123" t="s">
        <v>1355</v>
      </c>
      <c r="I305" s="124" t="s">
        <v>1356</v>
      </c>
      <c r="J305" s="125">
        <v>1940</v>
      </c>
      <c r="K305" s="126" t="s">
        <v>1422</v>
      </c>
      <c r="L305" s="290" t="s">
        <v>1795</v>
      </c>
      <c r="M305" s="128"/>
      <c r="N305" s="129"/>
      <c r="O305" s="127" t="str">
        <f t="shared" si="4"/>
        <v>제12장 행정심판의 청구요건 및 가구제-제04절 행정심판기관-02</v>
      </c>
    </row>
    <row r="306" spans="2:15" ht="14.45" customHeight="1" x14ac:dyDescent="0.2">
      <c r="B306" s="30" t="s">
        <v>487</v>
      </c>
      <c r="C306" s="94" t="s">
        <v>1778</v>
      </c>
      <c r="D306" s="95" t="s">
        <v>133</v>
      </c>
      <c r="E306" s="96" t="s">
        <v>159</v>
      </c>
      <c r="F306" s="97" t="s">
        <v>1854</v>
      </c>
      <c r="G306" s="98" t="s">
        <v>1386</v>
      </c>
      <c r="H306" s="99" t="s">
        <v>209</v>
      </c>
      <c r="I306" s="100" t="s">
        <v>1222</v>
      </c>
      <c r="J306" s="101">
        <v>1955</v>
      </c>
      <c r="K306" s="102" t="s">
        <v>1424</v>
      </c>
      <c r="L306" s="288"/>
      <c r="M306" s="104"/>
      <c r="N306" s="105"/>
      <c r="O306" s="103" t="str">
        <f t="shared" si="4"/>
        <v>제12장 행정심판의 청구요건 및 가구제-제05절 가구제-01</v>
      </c>
    </row>
    <row r="307" spans="2:15" ht="14.45" customHeight="1" x14ac:dyDescent="0.2">
      <c r="B307" s="30" t="s">
        <v>487</v>
      </c>
      <c r="C307" s="106" t="s">
        <v>1778</v>
      </c>
      <c r="D307" s="107" t="s">
        <v>1379</v>
      </c>
      <c r="E307" s="108" t="s">
        <v>1277</v>
      </c>
      <c r="F307" s="109" t="s">
        <v>1855</v>
      </c>
      <c r="G307" s="110" t="s">
        <v>1386</v>
      </c>
      <c r="H307" s="111" t="s">
        <v>1418</v>
      </c>
      <c r="I307" s="112" t="s">
        <v>1419</v>
      </c>
      <c r="J307" s="113">
        <v>1288</v>
      </c>
      <c r="K307" s="114" t="s">
        <v>1424</v>
      </c>
      <c r="L307" s="289"/>
      <c r="M307" s="116">
        <v>46248</v>
      </c>
      <c r="N307" s="117"/>
      <c r="O307" s="115" t="str">
        <f t="shared" si="4"/>
        <v>제12장 행정심판의 청구요건 및 가구제-제05절 가구제-02</v>
      </c>
    </row>
    <row r="308" spans="2:15" ht="14.45" customHeight="1" thickBot="1" x14ac:dyDescent="0.25">
      <c r="B308" s="43" t="s">
        <v>487</v>
      </c>
      <c r="C308" s="130" t="s">
        <v>1778</v>
      </c>
      <c r="D308" s="131" t="s">
        <v>1379</v>
      </c>
      <c r="E308" s="132" t="s">
        <v>1229</v>
      </c>
      <c r="F308" s="133" t="s">
        <v>426</v>
      </c>
      <c r="G308" s="134" t="s">
        <v>1386</v>
      </c>
      <c r="H308" s="135" t="s">
        <v>1420</v>
      </c>
      <c r="I308" s="136" t="s">
        <v>1421</v>
      </c>
      <c r="J308" s="137">
        <v>1955</v>
      </c>
      <c r="K308" s="138" t="s">
        <v>1424</v>
      </c>
      <c r="L308" s="291"/>
      <c r="M308" s="140">
        <v>46248</v>
      </c>
      <c r="N308" s="141"/>
      <c r="O308" s="139" t="str">
        <f t="shared" si="4"/>
        <v>제12장 행정심판의 청구요건 및 가구제-제05절 가구제-03</v>
      </c>
    </row>
    <row r="309" spans="2:15" ht="14.45" customHeight="1" x14ac:dyDescent="0.2">
      <c r="B309" s="168" t="s">
        <v>388</v>
      </c>
      <c r="C309" s="142" t="s">
        <v>1744</v>
      </c>
      <c r="D309" s="143" t="s">
        <v>133</v>
      </c>
      <c r="E309" s="144" t="s">
        <v>160</v>
      </c>
      <c r="F309" s="145" t="s">
        <v>1854</v>
      </c>
      <c r="G309" s="146" t="s">
        <v>1386</v>
      </c>
      <c r="H309" s="147" t="s">
        <v>1708</v>
      </c>
      <c r="I309" s="148" t="s">
        <v>1710</v>
      </c>
      <c r="J309" s="149">
        <v>2567</v>
      </c>
      <c r="K309" s="150" t="s">
        <v>1423</v>
      </c>
      <c r="L309" s="292"/>
      <c r="M309" s="152"/>
      <c r="N309" s="153"/>
      <c r="O309" s="151" t="str">
        <f t="shared" si="4"/>
        <v>제13장 행정심판의 심리・재결-제01절 행정심판의 심리-01</v>
      </c>
    </row>
    <row r="310" spans="2:15" ht="14.45" customHeight="1" x14ac:dyDescent="0.2">
      <c r="B310" s="169" t="s">
        <v>489</v>
      </c>
      <c r="C310" s="106" t="s">
        <v>1744</v>
      </c>
      <c r="D310" s="107" t="s">
        <v>2010</v>
      </c>
      <c r="E310" s="108" t="s">
        <v>1288</v>
      </c>
      <c r="F310" s="109" t="s">
        <v>1855</v>
      </c>
      <c r="G310" s="110" t="s">
        <v>1386</v>
      </c>
      <c r="H310" s="111" t="s">
        <v>62</v>
      </c>
      <c r="I310" s="112" t="s">
        <v>2012</v>
      </c>
      <c r="J310" s="113">
        <v>1372</v>
      </c>
      <c r="K310" s="114" t="s">
        <v>1423</v>
      </c>
      <c r="L310" s="289"/>
      <c r="M310" s="116">
        <v>46248</v>
      </c>
      <c r="N310" s="117"/>
      <c r="O310" s="115" t="str">
        <f t="shared" si="4"/>
        <v>제13장 행정심판의 심리・재결-제01절 행정심판의 심리-02</v>
      </c>
    </row>
    <row r="311" spans="2:15" ht="14.45" customHeight="1" x14ac:dyDescent="0.2">
      <c r="B311" s="169" t="s">
        <v>489</v>
      </c>
      <c r="C311" s="106" t="s">
        <v>1744</v>
      </c>
      <c r="D311" s="107" t="s">
        <v>2010</v>
      </c>
      <c r="E311" s="108" t="s">
        <v>1289</v>
      </c>
      <c r="F311" s="109" t="s">
        <v>426</v>
      </c>
      <c r="G311" s="110" t="s">
        <v>1386</v>
      </c>
      <c r="H311" s="111" t="s">
        <v>63</v>
      </c>
      <c r="I311" s="112" t="s">
        <v>2013</v>
      </c>
      <c r="J311" s="113">
        <v>1453</v>
      </c>
      <c r="K311" s="114" t="s">
        <v>1423</v>
      </c>
      <c r="L311" s="289"/>
      <c r="M311" s="116">
        <v>46248</v>
      </c>
      <c r="N311" s="117"/>
      <c r="O311" s="115" t="str">
        <f t="shared" si="4"/>
        <v>제13장 행정심판의 심리・재결-제01절 행정심판의 심리-03</v>
      </c>
    </row>
    <row r="312" spans="2:15" ht="14.45" customHeight="1" x14ac:dyDescent="0.2">
      <c r="B312" s="169" t="s">
        <v>489</v>
      </c>
      <c r="C312" s="118" t="s">
        <v>1744</v>
      </c>
      <c r="D312" s="119" t="s">
        <v>556</v>
      </c>
      <c r="E312" s="120" t="s">
        <v>1995</v>
      </c>
      <c r="F312" s="121" t="s">
        <v>412</v>
      </c>
      <c r="G312" s="122" t="s">
        <v>1386</v>
      </c>
      <c r="H312" s="123" t="s">
        <v>1554</v>
      </c>
      <c r="I312" s="124" t="s">
        <v>1434</v>
      </c>
      <c r="J312" s="125">
        <v>470</v>
      </c>
      <c r="K312" s="126"/>
      <c r="L312" s="290"/>
      <c r="M312" s="128"/>
      <c r="N312" s="129"/>
      <c r="O312" s="127" t="str">
        <f t="shared" si="4"/>
        <v>제13장 행정심판의 심리・재결-제01절 행정심판의 심리-04</v>
      </c>
    </row>
    <row r="313" spans="2:15" ht="14.45" customHeight="1" x14ac:dyDescent="0.2">
      <c r="B313" s="169" t="s">
        <v>489</v>
      </c>
      <c r="C313" s="94" t="s">
        <v>1757</v>
      </c>
      <c r="D313" s="95" t="s">
        <v>133</v>
      </c>
      <c r="E313" s="170" t="s">
        <v>160</v>
      </c>
      <c r="F313" s="97" t="s">
        <v>1854</v>
      </c>
      <c r="G313" s="97" t="s">
        <v>1386</v>
      </c>
      <c r="H313" s="171" t="s">
        <v>1709</v>
      </c>
      <c r="I313" s="172" t="s">
        <v>1711</v>
      </c>
      <c r="J313" s="101">
        <v>2364</v>
      </c>
      <c r="K313" s="102" t="s">
        <v>1424</v>
      </c>
      <c r="L313" s="288"/>
      <c r="M313" s="104"/>
      <c r="N313" s="105"/>
      <c r="O313" s="103" t="str">
        <f t="shared" si="4"/>
        <v>제13장 행정심판의 심리・재결-제02절 행정심판의 재결-01</v>
      </c>
    </row>
    <row r="314" spans="2:15" ht="14.45" customHeight="1" x14ac:dyDescent="0.2">
      <c r="B314" s="169" t="s">
        <v>489</v>
      </c>
      <c r="C314" s="106" t="s">
        <v>1757</v>
      </c>
      <c r="D314" s="107" t="s">
        <v>1379</v>
      </c>
      <c r="E314" s="173" t="s">
        <v>107</v>
      </c>
      <c r="F314" s="109" t="s">
        <v>1855</v>
      </c>
      <c r="G314" s="109" t="s">
        <v>1386</v>
      </c>
      <c r="H314" s="174" t="s">
        <v>108</v>
      </c>
      <c r="I314" s="175" t="s">
        <v>1146</v>
      </c>
      <c r="J314" s="113">
        <v>1519</v>
      </c>
      <c r="K314" s="114" t="s">
        <v>1422</v>
      </c>
      <c r="L314" s="289"/>
      <c r="M314" s="116">
        <v>46248</v>
      </c>
      <c r="N314" s="117"/>
      <c r="O314" s="115" t="str">
        <f t="shared" si="4"/>
        <v>제13장 행정심판의 심리・재결-제02절 행정심판의 재결-02</v>
      </c>
    </row>
    <row r="315" spans="2:15" ht="14.45" customHeight="1" x14ac:dyDescent="0.2">
      <c r="B315" s="169" t="s">
        <v>489</v>
      </c>
      <c r="C315" s="106" t="s">
        <v>1757</v>
      </c>
      <c r="D315" s="107" t="s">
        <v>1379</v>
      </c>
      <c r="E315" s="173" t="s">
        <v>245</v>
      </c>
      <c r="F315" s="109" t="s">
        <v>426</v>
      </c>
      <c r="G315" s="109" t="s">
        <v>1386</v>
      </c>
      <c r="H315" s="174" t="s">
        <v>244</v>
      </c>
      <c r="I315" s="175" t="s">
        <v>1142</v>
      </c>
      <c r="J315" s="113">
        <v>3498</v>
      </c>
      <c r="K315" s="114" t="s">
        <v>1423</v>
      </c>
      <c r="L315" s="289" t="s">
        <v>1795</v>
      </c>
      <c r="M315" s="116"/>
      <c r="N315" s="117"/>
      <c r="O315" s="115" t="str">
        <f t="shared" si="4"/>
        <v>제13장 행정심판의 심리・재결-제02절 행정심판의 재결-03</v>
      </c>
    </row>
    <row r="316" spans="2:15" ht="14.45" customHeight="1" x14ac:dyDescent="0.2">
      <c r="B316" s="169" t="s">
        <v>489</v>
      </c>
      <c r="C316" s="106" t="s">
        <v>1757</v>
      </c>
      <c r="D316" s="107" t="s">
        <v>1379</v>
      </c>
      <c r="E316" s="173" t="s">
        <v>1278</v>
      </c>
      <c r="F316" s="109" t="s">
        <v>412</v>
      </c>
      <c r="G316" s="109" t="s">
        <v>1386</v>
      </c>
      <c r="H316" s="174" t="s">
        <v>2005</v>
      </c>
      <c r="I316" s="175" t="s">
        <v>2006</v>
      </c>
      <c r="J316" s="113">
        <v>1481</v>
      </c>
      <c r="K316" s="114" t="s">
        <v>1424</v>
      </c>
      <c r="L316" s="289"/>
      <c r="M316" s="116">
        <v>46248</v>
      </c>
      <c r="N316" s="117"/>
      <c r="O316" s="115" t="str">
        <f t="shared" si="4"/>
        <v>제13장 행정심판의 심리・재결-제02절 행정심판의 재결-04</v>
      </c>
    </row>
    <row r="317" spans="2:15" ht="14.45" customHeight="1" x14ac:dyDescent="0.2">
      <c r="B317" s="169" t="s">
        <v>489</v>
      </c>
      <c r="C317" s="106" t="s">
        <v>1757</v>
      </c>
      <c r="D317" s="107" t="s">
        <v>1379</v>
      </c>
      <c r="E317" s="173" t="s">
        <v>1230</v>
      </c>
      <c r="F317" s="109" t="s">
        <v>428</v>
      </c>
      <c r="G317" s="109" t="s">
        <v>1386</v>
      </c>
      <c r="H317" s="174" t="s">
        <v>1357</v>
      </c>
      <c r="I317" s="175" t="s">
        <v>1358</v>
      </c>
      <c r="J317" s="113">
        <v>1898</v>
      </c>
      <c r="K317" s="114" t="s">
        <v>1424</v>
      </c>
      <c r="L317" s="289"/>
      <c r="M317" s="116">
        <v>46248</v>
      </c>
      <c r="N317" s="117"/>
      <c r="O317" s="115" t="str">
        <f t="shared" si="4"/>
        <v>제13장 행정심판의 심리・재결-제02절 행정심판의 재결-05</v>
      </c>
    </row>
    <row r="318" spans="2:15" ht="14.45" customHeight="1" x14ac:dyDescent="0.2">
      <c r="B318" s="169" t="s">
        <v>489</v>
      </c>
      <c r="C318" s="106" t="s">
        <v>1757</v>
      </c>
      <c r="D318" s="107" t="s">
        <v>556</v>
      </c>
      <c r="E318" s="173" t="s">
        <v>1996</v>
      </c>
      <c r="F318" s="109" t="s">
        <v>430</v>
      </c>
      <c r="G318" s="109" t="s">
        <v>1386</v>
      </c>
      <c r="H318" s="111" t="s">
        <v>1555</v>
      </c>
      <c r="I318" s="175" t="s">
        <v>1435</v>
      </c>
      <c r="J318" s="113">
        <v>494</v>
      </c>
      <c r="K318" s="114"/>
      <c r="L318" s="289"/>
      <c r="M318" s="116"/>
      <c r="N318" s="117"/>
      <c r="O318" s="115" t="str">
        <f t="shared" si="4"/>
        <v>제13장 행정심판의 심리・재결-제02절 행정심판의 재결-06</v>
      </c>
    </row>
    <row r="319" spans="2:15" ht="14.45" customHeight="1" x14ac:dyDescent="0.2">
      <c r="B319" s="169" t="s">
        <v>489</v>
      </c>
      <c r="C319" s="106" t="s">
        <v>1757</v>
      </c>
      <c r="D319" s="107" t="s">
        <v>556</v>
      </c>
      <c r="E319" s="173" t="s">
        <v>1997</v>
      </c>
      <c r="F319" s="109" t="s">
        <v>458</v>
      </c>
      <c r="G319" s="109" t="s">
        <v>1386</v>
      </c>
      <c r="H319" s="111" t="s">
        <v>1556</v>
      </c>
      <c r="I319" s="175" t="s">
        <v>1436</v>
      </c>
      <c r="J319" s="113">
        <v>794</v>
      </c>
      <c r="K319" s="114"/>
      <c r="L319" s="289"/>
      <c r="M319" s="116"/>
      <c r="N319" s="117"/>
      <c r="O319" s="115" t="str">
        <f t="shared" si="4"/>
        <v>제13장 행정심판의 심리・재결-제02절 행정심판의 재결-07</v>
      </c>
    </row>
    <row r="320" spans="2:15" ht="14.45" customHeight="1" x14ac:dyDescent="0.2">
      <c r="B320" s="169" t="s">
        <v>489</v>
      </c>
      <c r="C320" s="106" t="s">
        <v>1757</v>
      </c>
      <c r="D320" s="107" t="s">
        <v>556</v>
      </c>
      <c r="E320" s="173" t="s">
        <v>1998</v>
      </c>
      <c r="F320" s="109" t="s">
        <v>1856</v>
      </c>
      <c r="G320" s="109" t="s">
        <v>1386</v>
      </c>
      <c r="H320" s="111" t="s">
        <v>1557</v>
      </c>
      <c r="I320" s="175" t="s">
        <v>1437</v>
      </c>
      <c r="J320" s="113">
        <v>847</v>
      </c>
      <c r="K320" s="114"/>
      <c r="L320" s="289"/>
      <c r="M320" s="116"/>
      <c r="N320" s="117"/>
      <c r="O320" s="115" t="str">
        <f t="shared" si="4"/>
        <v>제13장 행정심판의 심리・재결-제02절 행정심판의 재결-08</v>
      </c>
    </row>
    <row r="321" spans="2:15" ht="14.45" customHeight="1" x14ac:dyDescent="0.2">
      <c r="B321" s="169" t="s">
        <v>489</v>
      </c>
      <c r="C321" s="106" t="s">
        <v>1757</v>
      </c>
      <c r="D321" s="107" t="s">
        <v>556</v>
      </c>
      <c r="E321" s="173" t="s">
        <v>1999</v>
      </c>
      <c r="F321" s="109" t="s">
        <v>1857</v>
      </c>
      <c r="G321" s="109" t="s">
        <v>1386</v>
      </c>
      <c r="H321" s="111" t="s">
        <v>1558</v>
      </c>
      <c r="I321" s="175" t="s">
        <v>1438</v>
      </c>
      <c r="J321" s="113">
        <v>919</v>
      </c>
      <c r="K321" s="114"/>
      <c r="L321" s="289"/>
      <c r="M321" s="116"/>
      <c r="N321" s="117"/>
      <c r="O321" s="115" t="str">
        <f t="shared" si="4"/>
        <v>제13장 행정심판의 심리・재결-제02절 행정심판의 재결-09</v>
      </c>
    </row>
    <row r="322" spans="2:15" ht="14.45" customHeight="1" thickBot="1" x14ac:dyDescent="0.25">
      <c r="B322" s="176" t="s">
        <v>489</v>
      </c>
      <c r="C322" s="130" t="s">
        <v>1757</v>
      </c>
      <c r="D322" s="131" t="s">
        <v>556</v>
      </c>
      <c r="E322" s="177" t="s">
        <v>2000</v>
      </c>
      <c r="F322" s="133" t="s">
        <v>447</v>
      </c>
      <c r="G322" s="133" t="s">
        <v>1386</v>
      </c>
      <c r="H322" s="135" t="s">
        <v>1559</v>
      </c>
      <c r="I322" s="178" t="s">
        <v>1439</v>
      </c>
      <c r="J322" s="137">
        <v>1029</v>
      </c>
      <c r="K322" s="138"/>
      <c r="L322" s="291"/>
      <c r="M322" s="140"/>
      <c r="N322" s="141"/>
      <c r="O322" s="139" t="str">
        <f t="shared" si="4"/>
        <v>제13장 행정심판의 심리・재결-제02절 행정심판의 재결-10</v>
      </c>
    </row>
  </sheetData>
  <autoFilter ref="B3:O322" xr:uid="{5B3C1DF4-F808-4828-B817-9F05E61E1B7E}">
    <sortState xmlns:xlrd2="http://schemas.microsoft.com/office/spreadsheetml/2017/richdata2" ref="B4:O322">
      <sortCondition ref="O3"/>
    </sortState>
  </autoFilter>
  <mergeCells count="4">
    <mergeCell ref="B2:C2"/>
    <mergeCell ref="D2:H2"/>
    <mergeCell ref="I2:J2"/>
    <mergeCell ref="M2:N2"/>
  </mergeCells>
  <phoneticPr fontId="2" type="noConversion"/>
  <conditionalFormatting sqref="B4:O322">
    <cfRule type="expression" dxfId="4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C3E8C57-699F-4ABB-ADE2-B107FE64D997}">
          <x14:formula1>
            <xm:f>설정!$B$14:$B$16</xm:f>
          </x14:formula1>
          <xm:sqref>K4:K322</xm:sqref>
        </x14:dataValidation>
        <x14:dataValidation type="list" allowBlank="1" showInputMessage="1" showErrorMessage="1" xr:uid="{0E1205FA-49B1-473C-8DE6-6E33961F97B8}">
          <x14:formula1>
            <xm:f>설정!$B$6:$B$11</xm:f>
          </x14:formula1>
          <xm:sqref>D4:D322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09492-6A9F-442A-B838-AE446E7098E9}">
  <sheetPr codeName="Sheet14" filterMode="1"/>
  <dimension ref="B2:S121"/>
  <sheetViews>
    <sheetView showGridLines="0" tabSelected="1" zoomScaleNormal="100" workbookViewId="0">
      <pane ySplit="3" topLeftCell="A99" activePane="bottomLeft" state="frozen"/>
      <selection pane="bottomLeft" activeCell="J109" sqref="J109"/>
    </sheetView>
  </sheetViews>
  <sheetFormatPr defaultRowHeight="14.45" customHeight="1" x14ac:dyDescent="0.2"/>
  <cols>
    <col min="1" max="1" width="1.28515625" style="5" customWidth="1"/>
    <col min="2" max="2" width="3.7109375" style="7" customWidth="1"/>
    <col min="3" max="4" width="5.7109375" style="281" customWidth="1"/>
    <col min="5" max="5" width="3.7109375" style="281" customWidth="1"/>
    <col min="6" max="6" width="40.7109375" style="5" customWidth="1"/>
    <col min="7" max="7" width="3.7109375" style="281" customWidth="1"/>
    <col min="8" max="8" width="42.7109375" style="7" customWidth="1"/>
    <col min="9" max="9" width="3.7109375" style="281" customWidth="1"/>
    <col min="10" max="10" width="91.7109375" style="5" customWidth="1"/>
    <col min="11" max="12" width="4.42578125" style="5" customWidth="1"/>
    <col min="13" max="13" width="27.7109375" style="5" customWidth="1"/>
    <col min="14" max="17" width="6.7109375" style="5" customWidth="1"/>
    <col min="18" max="18" width="1.7109375" style="5" customWidth="1"/>
    <col min="19" max="16384" width="9.140625" style="5"/>
  </cols>
  <sheetData>
    <row r="2" spans="2:19" ht="14.45" customHeight="1" x14ac:dyDescent="0.2">
      <c r="B2" s="269" t="s">
        <v>389</v>
      </c>
      <c r="C2" s="270" t="s">
        <v>390</v>
      </c>
      <c r="D2" s="399" t="s">
        <v>391</v>
      </c>
      <c r="E2" s="400"/>
      <c r="F2" s="398" t="s">
        <v>25</v>
      </c>
      <c r="G2" s="398"/>
      <c r="H2" s="398"/>
      <c r="I2" s="398"/>
      <c r="J2" s="269" t="s">
        <v>392</v>
      </c>
      <c r="K2" s="269" t="s">
        <v>1280</v>
      </c>
      <c r="L2" s="269" t="s">
        <v>1281</v>
      </c>
      <c r="M2" s="269" t="s">
        <v>393</v>
      </c>
      <c r="N2" s="396" t="s">
        <v>394</v>
      </c>
      <c r="O2" s="397"/>
      <c r="P2" s="397"/>
      <c r="Q2" s="397"/>
    </row>
    <row r="3" spans="2:19" ht="14.45" customHeight="1" x14ac:dyDescent="0.2">
      <c r="B3" s="271"/>
      <c r="C3" s="272"/>
      <c r="D3" s="401"/>
      <c r="E3" s="402"/>
      <c r="F3" s="398" t="s">
        <v>23</v>
      </c>
      <c r="G3" s="398"/>
      <c r="H3" s="398" t="s">
        <v>24</v>
      </c>
      <c r="I3" s="398"/>
      <c r="J3" s="271"/>
      <c r="K3" s="273"/>
      <c r="L3" s="273"/>
      <c r="M3" s="271"/>
      <c r="N3" s="274" t="s">
        <v>1383</v>
      </c>
      <c r="O3" s="274" t="s">
        <v>2053</v>
      </c>
      <c r="P3" s="274" t="s">
        <v>395</v>
      </c>
      <c r="Q3" s="274" t="s">
        <v>396</v>
      </c>
      <c r="S3" s="5" t="s">
        <v>2055</v>
      </c>
    </row>
    <row r="4" spans="2:19" ht="14.45" hidden="1" customHeight="1" x14ac:dyDescent="0.2">
      <c r="B4" s="230">
        <f t="shared" ref="B4:B35" si="0">ROW()-3</f>
        <v>1</v>
      </c>
      <c r="C4" s="275">
        <v>9.07</v>
      </c>
      <c r="D4" s="276" t="s">
        <v>398</v>
      </c>
      <c r="E4" s="276" t="s">
        <v>400</v>
      </c>
      <c r="F4" s="252" t="s">
        <v>1405</v>
      </c>
      <c r="G4" s="276" t="s">
        <v>432</v>
      </c>
      <c r="H4" s="340" t="s">
        <v>1783</v>
      </c>
      <c r="I4" s="276" t="s">
        <v>399</v>
      </c>
      <c r="J4" s="252" t="s">
        <v>2211</v>
      </c>
      <c r="K4" s="277" t="str">
        <f>VLOOKUP(S4,통합목록!$E$4:$I$322,5,0)</f>
        <v>열기2-03.행정쟁송법\02.문제\[모의][09.07-1]무효확인청구와 취소청구의 병합 가능성 및 두 청구의 관계에 따른 판례의 입장.txt</v>
      </c>
      <c r="L4" s="278" t="s">
        <v>2010</v>
      </c>
      <c r="M4" s="279"/>
      <c r="N4" s="277" t="str">
        <f t="shared" ref="N4:N35" si="1">F4&amp;"&gt;"&amp;G4&amp;"&gt;"&amp;D4&amp;"&gt;"&amp;M4</f>
        <v>제09장 무효등 확인소송&gt;10&gt;1&gt;</v>
      </c>
      <c r="O4" s="277" t="str">
        <f t="shared" ref="O4:O35" si="2">F4&amp;"&gt;"&amp;H4&amp;"&gt;"&amp;I4</f>
        <v>제09장 무효등 확인소송&gt;제07절 청구의 병합과 소의 변경&gt;01</v>
      </c>
      <c r="P4" s="277" t="str">
        <f t="shared" ref="P4:P35" si="3">L4&amp;"&gt;"&amp;C4&amp;"&gt;"&amp;E4</f>
        <v>모의&gt;9.07&gt;2</v>
      </c>
      <c r="Q4" s="277" t="str">
        <f t="shared" ref="Q4:Q35" si="4">L4&amp;"&gt;"&amp;C4&amp;"&gt;"&amp;D4</f>
        <v>모의&gt;9.07&gt;1</v>
      </c>
      <c r="S4" s="5" t="str">
        <f t="shared" ref="S4:S35" si="5">C4&amp;"-"&amp;D4</f>
        <v>9.07-1</v>
      </c>
    </row>
    <row r="5" spans="2:19" ht="14.45" hidden="1" customHeight="1" x14ac:dyDescent="0.2">
      <c r="B5" s="230">
        <f t="shared" si="0"/>
        <v>2</v>
      </c>
      <c r="C5" s="275">
        <v>9.07</v>
      </c>
      <c r="D5" s="276" t="s">
        <v>400</v>
      </c>
      <c r="E5" s="276" t="s">
        <v>398</v>
      </c>
      <c r="F5" s="252" t="s">
        <v>1405</v>
      </c>
      <c r="G5" s="276" t="s">
        <v>415</v>
      </c>
      <c r="H5" s="340" t="s">
        <v>1783</v>
      </c>
      <c r="I5" s="276" t="s">
        <v>401</v>
      </c>
      <c r="J5" s="252" t="s">
        <v>2212</v>
      </c>
      <c r="K5" s="277" t="str">
        <f>VLOOKUP(S5,통합목록!$E$4:$I$322,5,0)</f>
        <v>열기2-03.행정쟁송법\02.문제\[모의][09.07-2]무효확인소송에서 취소소송으로의 변경 시 제소기간 준수의 기준 시점.txt</v>
      </c>
      <c r="L5" s="278" t="s">
        <v>2010</v>
      </c>
      <c r="M5" s="279"/>
      <c r="N5" s="277" t="str">
        <f t="shared" si="1"/>
        <v>제09장 무효등 확인소송&gt;11&gt;2&gt;</v>
      </c>
      <c r="O5" s="277" t="str">
        <f t="shared" si="2"/>
        <v>제09장 무효등 확인소송&gt;제07절 청구의 병합과 소의 변경&gt;02</v>
      </c>
      <c r="P5" s="277" t="str">
        <f t="shared" si="3"/>
        <v>모의&gt;9.07&gt;1</v>
      </c>
      <c r="Q5" s="277" t="str">
        <f t="shared" si="4"/>
        <v>모의&gt;9.07&gt;2</v>
      </c>
      <c r="S5" s="5" t="str">
        <f t="shared" si="5"/>
        <v>9.07-2</v>
      </c>
    </row>
    <row r="6" spans="2:19" ht="14.45" hidden="1" customHeight="1" x14ac:dyDescent="0.2">
      <c r="B6" s="230">
        <f t="shared" si="0"/>
        <v>3</v>
      </c>
      <c r="C6" s="275">
        <v>9.06</v>
      </c>
      <c r="D6" s="276" t="s">
        <v>398</v>
      </c>
      <c r="E6" s="276" t="s">
        <v>400</v>
      </c>
      <c r="F6" s="252" t="s">
        <v>1405</v>
      </c>
      <c r="G6" s="276" t="s">
        <v>431</v>
      </c>
      <c r="H6" s="340" t="s">
        <v>1781</v>
      </c>
      <c r="I6" s="276" t="s">
        <v>399</v>
      </c>
      <c r="J6" s="252" t="s">
        <v>2213</v>
      </c>
      <c r="K6" s="277" t="str">
        <f>VLOOKUP(S6,통합목록!$E$4:$I$322,5,0)</f>
        <v>열기2-03.행정쟁송법\02.문제\[모의][09.06-1]무효확인소송에서 집행정지 규정의 준용 여부와 회복하기 어려운 손해의 의미.txt</v>
      </c>
      <c r="L6" s="278" t="s">
        <v>2010</v>
      </c>
      <c r="M6" s="279"/>
      <c r="N6" s="277" t="str">
        <f t="shared" si="1"/>
        <v>제09장 무효등 확인소송&gt;08&gt;1&gt;</v>
      </c>
      <c r="O6" s="277" t="str">
        <f t="shared" si="2"/>
        <v>제09장 무효등 확인소송&gt;제06절 가구제&gt;01</v>
      </c>
      <c r="P6" s="277" t="str">
        <f t="shared" si="3"/>
        <v>모의&gt;9.06&gt;2</v>
      </c>
      <c r="Q6" s="277" t="str">
        <f t="shared" si="4"/>
        <v>모의&gt;9.06&gt;1</v>
      </c>
      <c r="S6" s="5" t="str">
        <f t="shared" si="5"/>
        <v>9.06-1</v>
      </c>
    </row>
    <row r="7" spans="2:19" ht="14.45" hidden="1" customHeight="1" x14ac:dyDescent="0.2">
      <c r="B7" s="230">
        <f t="shared" si="0"/>
        <v>4</v>
      </c>
      <c r="C7" s="275">
        <v>9.06</v>
      </c>
      <c r="D7" s="276" t="s">
        <v>400</v>
      </c>
      <c r="E7" s="276" t="s">
        <v>398</v>
      </c>
      <c r="F7" s="252" t="s">
        <v>1405</v>
      </c>
      <c r="G7" s="276" t="s">
        <v>414</v>
      </c>
      <c r="H7" s="340" t="s">
        <v>1781</v>
      </c>
      <c r="I7" s="276" t="s">
        <v>401</v>
      </c>
      <c r="J7" s="252" t="s">
        <v>2214</v>
      </c>
      <c r="K7" s="277" t="str">
        <f>VLOOKUP(S7,통합목록!$E$4:$I$322,5,0)</f>
        <v>열기2-03.행정쟁송법\02.문제\[모의][09.06-2]무효확인소송에서 가처분의 준용 여부와 예방적 금지 성격의 가처분 허용 여부.txt</v>
      </c>
      <c r="L7" s="278" t="s">
        <v>2010</v>
      </c>
      <c r="M7" s="279"/>
      <c r="N7" s="277" t="str">
        <f t="shared" si="1"/>
        <v>제09장 무효등 확인소송&gt;09&gt;2&gt;</v>
      </c>
      <c r="O7" s="277" t="str">
        <f t="shared" si="2"/>
        <v>제09장 무효등 확인소송&gt;제06절 가구제&gt;02</v>
      </c>
      <c r="P7" s="277" t="str">
        <f t="shared" si="3"/>
        <v>모의&gt;9.06&gt;1</v>
      </c>
      <c r="Q7" s="277" t="str">
        <f t="shared" si="4"/>
        <v>모의&gt;9.06&gt;2</v>
      </c>
      <c r="S7" s="5" t="str">
        <f t="shared" si="5"/>
        <v>9.06-2</v>
      </c>
    </row>
    <row r="8" spans="2:19" ht="14.45" hidden="1" customHeight="1" x14ac:dyDescent="0.2">
      <c r="B8" s="230">
        <f t="shared" si="0"/>
        <v>5</v>
      </c>
      <c r="C8" s="275">
        <v>9.0399999999999991</v>
      </c>
      <c r="D8" s="276" t="s">
        <v>398</v>
      </c>
      <c r="E8" s="276" t="s">
        <v>400</v>
      </c>
      <c r="F8" s="252" t="s">
        <v>1405</v>
      </c>
      <c r="G8" s="276" t="s">
        <v>420</v>
      </c>
      <c r="H8" s="340" t="s">
        <v>1775</v>
      </c>
      <c r="I8" s="276" t="s">
        <v>403</v>
      </c>
      <c r="J8" s="252" t="s">
        <v>2215</v>
      </c>
      <c r="K8" s="277" t="str">
        <f>VLOOKUP(S8,통합목록!$E$4:$I$322,5,0)</f>
        <v>열기2-03.행정쟁송법\02.문제\[모의][09.04-1]무효확인소송에서 사정판결의 준용 여부 및 사안에 대한 판단.txt</v>
      </c>
      <c r="L8" s="278" t="s">
        <v>2010</v>
      </c>
      <c r="M8" s="279"/>
      <c r="N8" s="277" t="str">
        <f t="shared" si="1"/>
        <v>제09장 무효등 확인소송&gt;06&gt;1&gt;</v>
      </c>
      <c r="O8" s="277" t="str">
        <f t="shared" si="2"/>
        <v>제09장 무효등 확인소송&gt;제04절 무효등 확인소송의 종료&gt;03</v>
      </c>
      <c r="P8" s="277" t="str">
        <f t="shared" si="3"/>
        <v>모의&gt;9.04&gt;2</v>
      </c>
      <c r="Q8" s="277" t="str">
        <f t="shared" si="4"/>
        <v>모의&gt;9.04&gt;1</v>
      </c>
      <c r="S8" s="5" t="str">
        <f t="shared" si="5"/>
        <v>9.04-1</v>
      </c>
    </row>
    <row r="9" spans="2:19" ht="14.45" hidden="1" customHeight="1" x14ac:dyDescent="0.2">
      <c r="B9" s="230">
        <f t="shared" si="0"/>
        <v>6</v>
      </c>
      <c r="C9" s="275">
        <v>9.0399999999999991</v>
      </c>
      <c r="D9" s="276" t="s">
        <v>400</v>
      </c>
      <c r="E9" s="276" t="s">
        <v>398</v>
      </c>
      <c r="F9" s="252" t="s">
        <v>1405</v>
      </c>
      <c r="G9" s="276" t="s">
        <v>423</v>
      </c>
      <c r="H9" s="340" t="s">
        <v>1775</v>
      </c>
      <c r="I9" s="276" t="s">
        <v>416</v>
      </c>
      <c r="J9" s="252" t="s">
        <v>2216</v>
      </c>
      <c r="K9" s="277" t="str">
        <f>VLOOKUP(S9,통합목록!$E$4:$I$322,5,0)</f>
        <v>열기2-03.행정쟁송법\02.문제\[모의][09.04-2]무효확인판결의 제3자효와 기속력의 의미 및 재처분의무의 인정 여부.txt</v>
      </c>
      <c r="L9" s="278" t="s">
        <v>2010</v>
      </c>
      <c r="M9" s="279"/>
      <c r="N9" s="277" t="str">
        <f t="shared" si="1"/>
        <v>제09장 무효등 확인소송&gt;07&gt;2&gt;</v>
      </c>
      <c r="O9" s="277" t="str">
        <f t="shared" si="2"/>
        <v>제09장 무효등 확인소송&gt;제04절 무효등 확인소송의 종료&gt;04</v>
      </c>
      <c r="P9" s="277" t="str">
        <f t="shared" si="3"/>
        <v>모의&gt;9.04&gt;1</v>
      </c>
      <c r="Q9" s="277" t="str">
        <f t="shared" si="4"/>
        <v>모의&gt;9.04&gt;2</v>
      </c>
      <c r="S9" s="5" t="str">
        <f t="shared" si="5"/>
        <v>9.04-2</v>
      </c>
    </row>
    <row r="10" spans="2:19" ht="14.45" hidden="1" customHeight="1" x14ac:dyDescent="0.2">
      <c r="B10" s="230">
        <f t="shared" si="0"/>
        <v>7</v>
      </c>
      <c r="C10" s="275">
        <v>8.02</v>
      </c>
      <c r="D10" s="276" t="s">
        <v>398</v>
      </c>
      <c r="E10" s="276" t="s">
        <v>400</v>
      </c>
      <c r="F10" s="252" t="s">
        <v>1404</v>
      </c>
      <c r="G10" s="276" t="s">
        <v>416</v>
      </c>
      <c r="H10" s="340" t="s">
        <v>1756</v>
      </c>
      <c r="I10" s="276" t="s">
        <v>399</v>
      </c>
      <c r="J10" s="252" t="s">
        <v>2217</v>
      </c>
      <c r="K10" s="277" t="str">
        <f>VLOOKUP(S10,통합목록!$E$4:$I$322,5,0)</f>
        <v>열기2-03.행정쟁송법\02.문제\[모의][08.02-1]취소소송에서 부작위위법확인소송으로의 소의 종류의 변경의 요건 및 허용 범위.txt</v>
      </c>
      <c r="L10" s="278" t="s">
        <v>2010</v>
      </c>
      <c r="M10" s="279"/>
      <c r="N10" s="277" t="str">
        <f t="shared" si="1"/>
        <v>제08장 청구의 병합과 소의 변경&gt;04&gt;1&gt;</v>
      </c>
      <c r="O10" s="277" t="str">
        <f t="shared" si="2"/>
        <v>제08장 청구의 병합과 소의 변경&gt;제02절 소의 변경&gt;01</v>
      </c>
      <c r="P10" s="277" t="str">
        <f t="shared" si="3"/>
        <v>모의&gt;8.02&gt;2</v>
      </c>
      <c r="Q10" s="277" t="str">
        <f t="shared" si="4"/>
        <v>모의&gt;8.02&gt;1</v>
      </c>
      <c r="S10" s="5" t="str">
        <f t="shared" si="5"/>
        <v>8.02-1</v>
      </c>
    </row>
    <row r="11" spans="2:19" ht="14.45" hidden="1" customHeight="1" x14ac:dyDescent="0.2">
      <c r="B11" s="230">
        <f t="shared" si="0"/>
        <v>8</v>
      </c>
      <c r="C11" s="275">
        <v>8.02</v>
      </c>
      <c r="D11" s="276" t="s">
        <v>400</v>
      </c>
      <c r="E11" s="276" t="s">
        <v>398</v>
      </c>
      <c r="F11" s="252" t="s">
        <v>1404</v>
      </c>
      <c r="G11" s="276" t="s">
        <v>418</v>
      </c>
      <c r="H11" s="340" t="s">
        <v>1756</v>
      </c>
      <c r="I11" s="276" t="s">
        <v>401</v>
      </c>
      <c r="J11" s="252" t="s">
        <v>2218</v>
      </c>
      <c r="K11" s="277" t="str">
        <f>VLOOKUP(S11,통합목록!$E$4:$I$322,5,0)</f>
        <v>열기2-03.행정쟁송법\02.문제\[모의][08.02-2]처분변경으로 인한 소의 변경의 요건과 신청 기한.txt</v>
      </c>
      <c r="L11" s="278" t="s">
        <v>2010</v>
      </c>
      <c r="M11" s="279"/>
      <c r="N11" s="277" t="str">
        <f t="shared" si="1"/>
        <v>제08장 청구의 병합과 소의 변경&gt;05&gt;2&gt;</v>
      </c>
      <c r="O11" s="277" t="str">
        <f t="shared" si="2"/>
        <v>제08장 청구의 병합과 소의 변경&gt;제02절 소의 변경&gt;02</v>
      </c>
      <c r="P11" s="277" t="str">
        <f t="shared" si="3"/>
        <v>모의&gt;8.02&gt;1</v>
      </c>
      <c r="Q11" s="277" t="str">
        <f t="shared" si="4"/>
        <v>모의&gt;8.02&gt;2</v>
      </c>
      <c r="S11" s="5" t="str">
        <f t="shared" si="5"/>
        <v>8.02-2</v>
      </c>
    </row>
    <row r="12" spans="2:19" ht="14.45" hidden="1" customHeight="1" x14ac:dyDescent="0.2">
      <c r="B12" s="230">
        <f t="shared" si="0"/>
        <v>9</v>
      </c>
      <c r="C12" s="275">
        <v>7.02</v>
      </c>
      <c r="D12" s="276" t="s">
        <v>398</v>
      </c>
      <c r="E12" s="276" t="s">
        <v>400</v>
      </c>
      <c r="F12" s="252" t="s">
        <v>1403</v>
      </c>
      <c r="G12" s="276" t="s">
        <v>401</v>
      </c>
      <c r="H12" s="340" t="s">
        <v>1755</v>
      </c>
      <c r="I12" s="276" t="s">
        <v>399</v>
      </c>
      <c r="J12" s="252" t="s">
        <v>2219</v>
      </c>
      <c r="K12" s="277" t="str">
        <f>VLOOKUP(S12,통합목록!$E$4:$I$322,5,0)</f>
        <v>열기2-03.행정쟁송법\02.문제\[모의][07.02-1]항고소송에서 민사소송법상 가처분 규정의 준용 여부에 관한 학설 및 판례의 입장.txt</v>
      </c>
      <c r="L12" s="278" t="s">
        <v>2010</v>
      </c>
      <c r="M12" s="279"/>
      <c r="N12" s="277" t="str">
        <f t="shared" si="1"/>
        <v>제07장 취소소송의 가구제&gt;02&gt;1&gt;</v>
      </c>
      <c r="O12" s="277" t="str">
        <f t="shared" si="2"/>
        <v>제07장 취소소송의 가구제&gt;제02절 가처분&gt;01</v>
      </c>
      <c r="P12" s="277" t="str">
        <f t="shared" si="3"/>
        <v>모의&gt;7.02&gt;2</v>
      </c>
      <c r="Q12" s="277" t="str">
        <f t="shared" si="4"/>
        <v>모의&gt;7.02&gt;1</v>
      </c>
      <c r="S12" s="5" t="str">
        <f t="shared" si="5"/>
        <v>7.02-1</v>
      </c>
    </row>
    <row r="13" spans="2:19" ht="14.45" hidden="1" customHeight="1" x14ac:dyDescent="0.2">
      <c r="B13" s="230">
        <f t="shared" si="0"/>
        <v>10</v>
      </c>
      <c r="C13" s="275">
        <v>7.02</v>
      </c>
      <c r="D13" s="276" t="s">
        <v>400</v>
      </c>
      <c r="E13" s="276" t="s">
        <v>398</v>
      </c>
      <c r="F13" s="252" t="s">
        <v>1403</v>
      </c>
      <c r="G13" s="276" t="s">
        <v>403</v>
      </c>
      <c r="H13" s="340" t="s">
        <v>1755</v>
      </c>
      <c r="I13" s="276" t="s">
        <v>401</v>
      </c>
      <c r="J13" s="252" t="s">
        <v>2220</v>
      </c>
      <c r="K13" s="277" t="str">
        <f>VLOOKUP(S13,통합목록!$E$4:$I$322,5,0)</f>
        <v>열기2-03.행정쟁송법\02.문제\[모의][07.02-2]거부처분 취소소송에서 집행정지의 실효성 결여와 가처분의 허용 여부.txt</v>
      </c>
      <c r="L13" s="278" t="s">
        <v>2010</v>
      </c>
      <c r="M13" s="279"/>
      <c r="N13" s="277" t="str">
        <f t="shared" si="1"/>
        <v>제07장 취소소송의 가구제&gt;03&gt;2&gt;</v>
      </c>
      <c r="O13" s="277" t="str">
        <f t="shared" si="2"/>
        <v>제07장 취소소송의 가구제&gt;제02절 가처분&gt;02</v>
      </c>
      <c r="P13" s="277" t="str">
        <f t="shared" si="3"/>
        <v>모의&gt;7.02&gt;1</v>
      </c>
      <c r="Q13" s="277" t="str">
        <f t="shared" si="4"/>
        <v>모의&gt;7.02&gt;2</v>
      </c>
      <c r="S13" s="5" t="str">
        <f t="shared" si="5"/>
        <v>7.02-2</v>
      </c>
    </row>
    <row r="14" spans="2:19" ht="14.45" hidden="1" customHeight="1" x14ac:dyDescent="0.2">
      <c r="B14" s="230">
        <f t="shared" si="0"/>
        <v>11</v>
      </c>
      <c r="C14" s="275">
        <v>5.01</v>
      </c>
      <c r="D14" s="276" t="s">
        <v>398</v>
      </c>
      <c r="E14" s="276" t="s">
        <v>400</v>
      </c>
      <c r="F14" s="252" t="s">
        <v>1401</v>
      </c>
      <c r="G14" s="276" t="s">
        <v>420</v>
      </c>
      <c r="H14" s="340" t="s">
        <v>1740</v>
      </c>
      <c r="I14" s="276" t="s">
        <v>399</v>
      </c>
      <c r="J14" s="252" t="s">
        <v>2221</v>
      </c>
      <c r="K14" s="277" t="str">
        <f>VLOOKUP(S14,통합목록!$E$4:$I$322,5,0)</f>
        <v>열기2-03.행정쟁송법\02.문제\[모의][05.01-1]처분사유의 추가・변경의 허용 여부와 한계에 대한 판례의 입장.txt</v>
      </c>
      <c r="L14" s="278" t="s">
        <v>2010</v>
      </c>
      <c r="M14" s="279"/>
      <c r="N14" s="277" t="str">
        <f t="shared" si="1"/>
        <v>제05장 취소소송의 심리&gt;06&gt;1&gt;</v>
      </c>
      <c r="O14" s="277" t="str">
        <f t="shared" si="2"/>
        <v>제05장 취소소송의 심리&gt;제01절 심리&gt;01</v>
      </c>
      <c r="P14" s="277" t="str">
        <f t="shared" si="3"/>
        <v>모의&gt;5.01&gt;2</v>
      </c>
      <c r="Q14" s="277" t="str">
        <f t="shared" si="4"/>
        <v>모의&gt;5.01&gt;1</v>
      </c>
      <c r="S14" s="5" t="str">
        <f t="shared" si="5"/>
        <v>5.01-1</v>
      </c>
    </row>
    <row r="15" spans="2:19" ht="14.45" hidden="1" customHeight="1" x14ac:dyDescent="0.2">
      <c r="B15" s="230">
        <f t="shared" si="0"/>
        <v>12</v>
      </c>
      <c r="C15" s="275">
        <v>5.01</v>
      </c>
      <c r="D15" s="276" t="s">
        <v>400</v>
      </c>
      <c r="E15" s="276" t="s">
        <v>398</v>
      </c>
      <c r="F15" s="252" t="s">
        <v>1401</v>
      </c>
      <c r="G15" s="276" t="s">
        <v>423</v>
      </c>
      <c r="H15" s="340" t="s">
        <v>1740</v>
      </c>
      <c r="I15" s="276" t="s">
        <v>401</v>
      </c>
      <c r="J15" s="252" t="s">
        <v>2222</v>
      </c>
      <c r="K15" s="277" t="str">
        <f>VLOOKUP(S15,통합목록!$E$4:$I$322,5,0)</f>
        <v>열기2-03.행정쟁송법\02.문제\[모의][05.01-2]행정심판기록 제출명령의 의의와 효과.txt</v>
      </c>
      <c r="L15" s="278" t="s">
        <v>2010</v>
      </c>
      <c r="M15" s="279"/>
      <c r="N15" s="277" t="str">
        <f t="shared" si="1"/>
        <v>제05장 취소소송의 심리&gt;07&gt;2&gt;</v>
      </c>
      <c r="O15" s="277" t="str">
        <f t="shared" si="2"/>
        <v>제05장 취소소송의 심리&gt;제01절 심리&gt;02</v>
      </c>
      <c r="P15" s="277" t="str">
        <f t="shared" si="3"/>
        <v>모의&gt;5.01&gt;1</v>
      </c>
      <c r="Q15" s="277" t="str">
        <f t="shared" si="4"/>
        <v>모의&gt;5.01&gt;2</v>
      </c>
      <c r="S15" s="5" t="str">
        <f t="shared" si="5"/>
        <v>5.01-2</v>
      </c>
    </row>
    <row r="16" spans="2:19" ht="14.45" hidden="1" customHeight="1" x14ac:dyDescent="0.2">
      <c r="B16" s="230">
        <f t="shared" si="0"/>
        <v>13</v>
      </c>
      <c r="C16" s="275">
        <v>3.04</v>
      </c>
      <c r="D16" s="276" t="s">
        <v>1291</v>
      </c>
      <c r="E16" s="276" t="s">
        <v>1292</v>
      </c>
      <c r="F16" s="252" t="s">
        <v>1399</v>
      </c>
      <c r="G16" s="276" t="s">
        <v>1863</v>
      </c>
      <c r="H16" s="340" t="s">
        <v>1773</v>
      </c>
      <c r="I16" s="276" t="s">
        <v>1295</v>
      </c>
      <c r="J16" s="252" t="s">
        <v>2223</v>
      </c>
      <c r="K16" s="277" t="str">
        <f>VLOOKUP(S16,통합목록!$E$4:$I$322,5,0)</f>
        <v>열기2-03.행정쟁송법\02.문제\[모의][03.04-1]폐기물 처리시설 설치 승인 처분의 수익자인 회사가 취소소송에 참가하기 위한 요건과 절차.txt</v>
      </c>
      <c r="L16" s="278" t="s">
        <v>2010</v>
      </c>
      <c r="M16" s="279"/>
      <c r="N16" s="277" t="str">
        <f t="shared" si="1"/>
        <v>제03장 취소소송의 당사자적격&gt;18&gt;1&gt;</v>
      </c>
      <c r="O16" s="277" t="str">
        <f t="shared" si="2"/>
        <v>제03장 취소소송의 당사자적격&gt;제04절 소송참가&gt;05</v>
      </c>
      <c r="P16" s="277" t="str">
        <f t="shared" si="3"/>
        <v>모의&gt;3.04&gt;2</v>
      </c>
      <c r="Q16" s="277" t="str">
        <f t="shared" si="4"/>
        <v>모의&gt;3.04&gt;1</v>
      </c>
      <c r="S16" s="5" t="str">
        <f t="shared" si="5"/>
        <v>3.04-1</v>
      </c>
    </row>
    <row r="17" spans="2:19" ht="14.45" hidden="1" customHeight="1" x14ac:dyDescent="0.2">
      <c r="B17" s="230">
        <f t="shared" si="0"/>
        <v>14</v>
      </c>
      <c r="C17" s="275">
        <v>3.04</v>
      </c>
      <c r="D17" s="276" t="s">
        <v>1292</v>
      </c>
      <c r="E17" s="276" t="s">
        <v>1291</v>
      </c>
      <c r="F17" s="252" t="s">
        <v>1399</v>
      </c>
      <c r="G17" s="276" t="s">
        <v>1864</v>
      </c>
      <c r="H17" s="340" t="s">
        <v>1773</v>
      </c>
      <c r="I17" s="276" t="s">
        <v>1296</v>
      </c>
      <c r="J17" s="252" t="s">
        <v>2224</v>
      </c>
      <c r="K17" s="277" t="str">
        <f>VLOOKUP(S17,통합목록!$E$4:$I$322,5,0)</f>
        <v>열기2-03.행정쟁송법\02.문제\[모의][03.04-2]인근 주민의 취소소송 참가 가능성 및 행정소송법 제16조상 참가인의 법적 지위.txt</v>
      </c>
      <c r="L17" s="278" t="s">
        <v>2010</v>
      </c>
      <c r="M17" s="279"/>
      <c r="N17" s="277" t="str">
        <f t="shared" si="1"/>
        <v>제03장 취소소송의 당사자적격&gt;19&gt;2&gt;</v>
      </c>
      <c r="O17" s="277" t="str">
        <f t="shared" si="2"/>
        <v>제03장 취소소송의 당사자적격&gt;제04절 소송참가&gt;06</v>
      </c>
      <c r="P17" s="277" t="str">
        <f t="shared" si="3"/>
        <v>모의&gt;3.04&gt;1</v>
      </c>
      <c r="Q17" s="277" t="str">
        <f t="shared" si="4"/>
        <v>모의&gt;3.04&gt;2</v>
      </c>
      <c r="S17" s="5" t="str">
        <f t="shared" si="5"/>
        <v>3.04-2</v>
      </c>
    </row>
    <row r="18" spans="2:19" ht="14.45" hidden="1" customHeight="1" x14ac:dyDescent="0.2">
      <c r="B18" s="230">
        <f t="shared" si="0"/>
        <v>15</v>
      </c>
      <c r="C18" s="275">
        <v>2.0099999999999998</v>
      </c>
      <c r="D18" s="276" t="s">
        <v>398</v>
      </c>
      <c r="E18" s="276" t="s">
        <v>400</v>
      </c>
      <c r="F18" s="252" t="s">
        <v>1398</v>
      </c>
      <c r="G18" s="276" t="s">
        <v>407</v>
      </c>
      <c r="H18" s="340" t="s">
        <v>1739</v>
      </c>
      <c r="I18" s="276" t="s">
        <v>399</v>
      </c>
      <c r="J18" s="252" t="s">
        <v>2225</v>
      </c>
      <c r="K18" s="277" t="str">
        <f>VLOOKUP(S18,통합목록!$E$4:$I$322,5,0)</f>
        <v>열기2-03.행정쟁송법\02.문제\[모의][02.01-1]취소소송 소송요건의 법적 성질 및 법원의 직권조사 원칙과 예외.txt</v>
      </c>
      <c r="L18" s="278" t="s">
        <v>2010</v>
      </c>
      <c r="M18" s="279"/>
      <c r="N18" s="277" t="str">
        <f t="shared" si="1"/>
        <v>제02장 취소소송의 대상적격&gt;17&gt;1&gt;</v>
      </c>
      <c r="O18" s="277" t="str">
        <f t="shared" si="2"/>
        <v>제02장 취소소송의 대상적격&gt;제01절 소송요건의 일반론&gt;01</v>
      </c>
      <c r="P18" s="277" t="str">
        <f t="shared" si="3"/>
        <v>모의&gt;2.01&gt;2</v>
      </c>
      <c r="Q18" s="277" t="str">
        <f t="shared" si="4"/>
        <v>모의&gt;2.01&gt;1</v>
      </c>
      <c r="S18" s="5" t="str">
        <f t="shared" si="5"/>
        <v>2.01-1</v>
      </c>
    </row>
    <row r="19" spans="2:19" ht="14.45" hidden="1" customHeight="1" x14ac:dyDescent="0.2">
      <c r="B19" s="230">
        <f t="shared" si="0"/>
        <v>16</v>
      </c>
      <c r="C19" s="275">
        <v>2.0099999999999998</v>
      </c>
      <c r="D19" s="276" t="s">
        <v>400</v>
      </c>
      <c r="E19" s="276" t="s">
        <v>398</v>
      </c>
      <c r="F19" s="252" t="s">
        <v>1398</v>
      </c>
      <c r="G19" s="276" t="s">
        <v>409</v>
      </c>
      <c r="H19" s="340" t="s">
        <v>1739</v>
      </c>
      <c r="I19" s="276" t="s">
        <v>401</v>
      </c>
      <c r="J19" s="252" t="s">
        <v>2226</v>
      </c>
      <c r="K19" s="277" t="str">
        <f>VLOOKUP(S19,통합목록!$E$4:$I$322,5,0)</f>
        <v>열기2-03.행정쟁송법\02.문제\[모의][02.01-2]권고조치를 대상으로 한 취소소송에서 대상적격의 의미 및 소송요건 결여 시 판결의 종류와 사유.txt</v>
      </c>
      <c r="L19" s="278" t="s">
        <v>2010</v>
      </c>
      <c r="M19" s="279"/>
      <c r="N19" s="277" t="str">
        <f t="shared" si="1"/>
        <v>제02장 취소소송의 대상적격&gt;18&gt;2&gt;</v>
      </c>
      <c r="O19" s="277" t="str">
        <f t="shared" si="2"/>
        <v>제02장 취소소송의 대상적격&gt;제01절 소송요건의 일반론&gt;02</v>
      </c>
      <c r="P19" s="277" t="str">
        <f t="shared" si="3"/>
        <v>모의&gt;2.01&gt;1</v>
      </c>
      <c r="Q19" s="277" t="str">
        <f t="shared" si="4"/>
        <v>모의&gt;2.01&gt;2</v>
      </c>
      <c r="S19" s="5" t="str">
        <f t="shared" si="5"/>
        <v>2.01-2</v>
      </c>
    </row>
    <row r="20" spans="2:19" ht="14.45" hidden="1" customHeight="1" x14ac:dyDescent="0.2">
      <c r="B20" s="230">
        <f t="shared" si="0"/>
        <v>17</v>
      </c>
      <c r="C20" s="275">
        <v>13.01</v>
      </c>
      <c r="D20" s="276" t="s">
        <v>398</v>
      </c>
      <c r="E20" s="276" t="s">
        <v>400</v>
      </c>
      <c r="F20" s="252" t="s">
        <v>489</v>
      </c>
      <c r="G20" s="276" t="s">
        <v>418</v>
      </c>
      <c r="H20" s="340" t="s">
        <v>1744</v>
      </c>
      <c r="I20" s="276" t="s">
        <v>399</v>
      </c>
      <c r="J20" s="252" t="s">
        <v>2227</v>
      </c>
      <c r="K20" s="277" t="str">
        <f>VLOOKUP(S20,통합목록!$E$4:$I$322,5,0)</f>
        <v>열기2-03.행정쟁송법\02.문제\[모의][13.01-1]직권심리주의의 의미와 범위 및 당사자가 주장하지 않은 사실에 대한 심리 한계.txt</v>
      </c>
      <c r="L20" s="278" t="s">
        <v>2010</v>
      </c>
      <c r="M20" s="279"/>
      <c r="N20" s="277" t="str">
        <f t="shared" si="1"/>
        <v>제13장 행정심판의 심리・재결&gt;05&gt;1&gt;</v>
      </c>
      <c r="O20" s="277" t="str">
        <f t="shared" si="2"/>
        <v>제13장 행정심판의 심리・재결&gt;제01절 행정심판의 심리&gt;01</v>
      </c>
      <c r="P20" s="277" t="str">
        <f t="shared" si="3"/>
        <v>모의&gt;13.01&gt;2</v>
      </c>
      <c r="Q20" s="277" t="str">
        <f t="shared" si="4"/>
        <v>모의&gt;13.01&gt;1</v>
      </c>
      <c r="S20" s="5" t="str">
        <f t="shared" si="5"/>
        <v>13.01-1</v>
      </c>
    </row>
    <row r="21" spans="2:19" ht="14.45" hidden="1" customHeight="1" x14ac:dyDescent="0.2">
      <c r="B21" s="230">
        <f t="shared" si="0"/>
        <v>18</v>
      </c>
      <c r="C21" s="275">
        <v>13.01</v>
      </c>
      <c r="D21" s="276" t="s">
        <v>400</v>
      </c>
      <c r="E21" s="276" t="s">
        <v>398</v>
      </c>
      <c r="F21" s="252" t="s">
        <v>489</v>
      </c>
      <c r="G21" s="276" t="s">
        <v>420</v>
      </c>
      <c r="H21" s="340" t="s">
        <v>1744</v>
      </c>
      <c r="I21" s="276" t="s">
        <v>401</v>
      </c>
      <c r="J21" s="252" t="s">
        <v>2228</v>
      </c>
      <c r="K21" s="277" t="str">
        <f>VLOOKUP(S21,통합목록!$E$4:$I$322,5,0)</f>
        <v>열기2-03.행정쟁송법\02.문제\[모의][13.01-2]구술심리와 서면심리의 관계 및 구술심리 신청 거절의 예외적 사유.txt</v>
      </c>
      <c r="L21" s="278" t="s">
        <v>2010</v>
      </c>
      <c r="M21" s="279"/>
      <c r="N21" s="277" t="str">
        <f t="shared" si="1"/>
        <v>제13장 행정심판의 심리・재결&gt;06&gt;2&gt;</v>
      </c>
      <c r="O21" s="277" t="str">
        <f t="shared" si="2"/>
        <v>제13장 행정심판의 심리・재결&gt;제01절 행정심판의 심리&gt;02</v>
      </c>
      <c r="P21" s="277" t="str">
        <f t="shared" si="3"/>
        <v>모의&gt;13.01&gt;1</v>
      </c>
      <c r="Q21" s="277" t="str">
        <f t="shared" si="4"/>
        <v>모의&gt;13.01&gt;2</v>
      </c>
      <c r="S21" s="5" t="str">
        <f t="shared" si="5"/>
        <v>13.01-2</v>
      </c>
    </row>
    <row r="22" spans="2:19" ht="14.45" hidden="1" customHeight="1" x14ac:dyDescent="0.2">
      <c r="B22" s="230">
        <f t="shared" si="0"/>
        <v>19</v>
      </c>
      <c r="C22" s="275">
        <v>12.03</v>
      </c>
      <c r="D22" s="276" t="s">
        <v>398</v>
      </c>
      <c r="E22" s="276" t="s">
        <v>400</v>
      </c>
      <c r="F22" s="252" t="s">
        <v>487</v>
      </c>
      <c r="G22" s="276" t="s">
        <v>431</v>
      </c>
      <c r="H22" s="340" t="s">
        <v>1767</v>
      </c>
      <c r="I22" s="276" t="s">
        <v>399</v>
      </c>
      <c r="J22" s="252" t="s">
        <v>2229</v>
      </c>
      <c r="K22" s="277" t="str">
        <f>VLOOKUP(S22,통합목록!$E$4:$I$322,5,0)</f>
        <v>열기2-03.행정쟁송법\02.문제\[모의][12.03-1]불고지에 따른 행정심판의 청구기간의 특례와 청구의 적법성 여부.txt</v>
      </c>
      <c r="L22" s="278" t="s">
        <v>2010</v>
      </c>
      <c r="M22" s="279"/>
      <c r="N22" s="277" t="str">
        <f t="shared" si="1"/>
        <v>제12장 행정심판의 청구요건 및 가구제&gt;08&gt;1&gt;</v>
      </c>
      <c r="O22" s="277" t="str">
        <f t="shared" si="2"/>
        <v>제12장 행정심판의 청구요건 및 가구제&gt;제03절 행정심판의 청구&gt;01</v>
      </c>
      <c r="P22" s="277" t="str">
        <f t="shared" si="3"/>
        <v>모의&gt;12.03&gt;2</v>
      </c>
      <c r="Q22" s="277" t="str">
        <f t="shared" si="4"/>
        <v>모의&gt;12.03&gt;1</v>
      </c>
      <c r="S22" s="5" t="str">
        <f t="shared" si="5"/>
        <v>12.03-1</v>
      </c>
    </row>
    <row r="23" spans="2:19" ht="14.45" hidden="1" customHeight="1" x14ac:dyDescent="0.2">
      <c r="B23" s="230">
        <f t="shared" si="0"/>
        <v>20</v>
      </c>
      <c r="C23" s="275">
        <v>12.03</v>
      </c>
      <c r="D23" s="276" t="s">
        <v>400</v>
      </c>
      <c r="E23" s="276" t="s">
        <v>398</v>
      </c>
      <c r="F23" s="252" t="s">
        <v>487</v>
      </c>
      <c r="G23" s="276" t="s">
        <v>414</v>
      </c>
      <c r="H23" s="340" t="s">
        <v>1767</v>
      </c>
      <c r="I23" s="276" t="s">
        <v>401</v>
      </c>
      <c r="J23" s="252" t="s">
        <v>2230</v>
      </c>
      <c r="K23" s="277" t="str">
        <f>VLOOKUP(S23,통합목록!$E$4:$I$322,5,0)</f>
        <v>열기2-03.행정쟁송법\02.문제\[모의][12.03-2]피청구인을 잘못 지정한 경우의 구제 절차와 피청구인의 경정 제도.txt</v>
      </c>
      <c r="L23" s="278" t="s">
        <v>2010</v>
      </c>
      <c r="M23" s="279"/>
      <c r="N23" s="277" t="str">
        <f t="shared" si="1"/>
        <v>제12장 행정심판의 청구요건 및 가구제&gt;09&gt;2&gt;</v>
      </c>
      <c r="O23" s="277" t="str">
        <f t="shared" si="2"/>
        <v>제12장 행정심판의 청구요건 및 가구제&gt;제03절 행정심판의 청구&gt;02</v>
      </c>
      <c r="P23" s="277" t="str">
        <f t="shared" si="3"/>
        <v>모의&gt;12.03&gt;1</v>
      </c>
      <c r="Q23" s="277" t="str">
        <f t="shared" si="4"/>
        <v>모의&gt;12.03&gt;2</v>
      </c>
      <c r="S23" s="5" t="str">
        <f t="shared" si="5"/>
        <v>12.03-2</v>
      </c>
    </row>
    <row r="24" spans="2:19" ht="14.45" hidden="1" customHeight="1" x14ac:dyDescent="0.2">
      <c r="B24" s="230">
        <f t="shared" si="0"/>
        <v>21</v>
      </c>
      <c r="C24" s="275">
        <v>12.01</v>
      </c>
      <c r="D24" s="276" t="s">
        <v>398</v>
      </c>
      <c r="E24" s="276" t="s">
        <v>400</v>
      </c>
      <c r="F24" s="252" t="s">
        <v>487</v>
      </c>
      <c r="G24" s="276" t="s">
        <v>420</v>
      </c>
      <c r="H24" s="340" t="s">
        <v>1743</v>
      </c>
      <c r="I24" s="276" t="s">
        <v>399</v>
      </c>
      <c r="J24" s="252" t="s">
        <v>2231</v>
      </c>
      <c r="K24" s="277" t="str">
        <f>VLOOKUP(S24,통합목록!$E$4:$I$322,5,0)</f>
        <v>열기2-03.행정쟁송법\02.문제\[모의][12.01-1]처분의 개념과 행정청의 시정권고가 행정심판의 대상인지 여부.txt</v>
      </c>
      <c r="L24" s="278" t="s">
        <v>2010</v>
      </c>
      <c r="M24" s="279"/>
      <c r="N24" s="277" t="str">
        <f t="shared" si="1"/>
        <v>제12장 행정심판의 청구요건 및 가구제&gt;06&gt;1&gt;</v>
      </c>
      <c r="O24" s="277" t="str">
        <f t="shared" si="2"/>
        <v>제12장 행정심판의 청구요건 및 가구제&gt;제01절 행정심판의 대상적격&gt;01</v>
      </c>
      <c r="P24" s="277" t="str">
        <f t="shared" si="3"/>
        <v>모의&gt;12.01&gt;2</v>
      </c>
      <c r="Q24" s="277" t="str">
        <f t="shared" si="4"/>
        <v>모의&gt;12.01&gt;1</v>
      </c>
      <c r="S24" s="5" t="str">
        <f t="shared" si="5"/>
        <v>12.01-1</v>
      </c>
    </row>
    <row r="25" spans="2:19" ht="14.45" hidden="1" customHeight="1" x14ac:dyDescent="0.2">
      <c r="B25" s="230">
        <f t="shared" si="0"/>
        <v>22</v>
      </c>
      <c r="C25" s="275">
        <v>12.01</v>
      </c>
      <c r="D25" s="276" t="s">
        <v>400</v>
      </c>
      <c r="E25" s="276" t="s">
        <v>398</v>
      </c>
      <c r="F25" s="252" t="s">
        <v>487</v>
      </c>
      <c r="G25" s="276" t="s">
        <v>423</v>
      </c>
      <c r="H25" s="340" t="s">
        <v>1743</v>
      </c>
      <c r="I25" s="276" t="s">
        <v>401</v>
      </c>
      <c r="J25" s="252" t="s">
        <v>2232</v>
      </c>
      <c r="K25" s="277" t="str">
        <f>VLOOKUP(S25,통합목록!$E$4:$I$322,5,0)</f>
        <v>열기2-03.행정쟁송법\02.문제\[모의][12.01-2]부작위에 대한 행정심판의 종류, 부작위 성립 요건 및 행정심판 제기의 예외 사유.txt</v>
      </c>
      <c r="L25" s="278" t="s">
        <v>2010</v>
      </c>
      <c r="M25" s="279"/>
      <c r="N25" s="277" t="str">
        <f t="shared" si="1"/>
        <v>제12장 행정심판의 청구요건 및 가구제&gt;07&gt;2&gt;</v>
      </c>
      <c r="O25" s="277" t="str">
        <f t="shared" si="2"/>
        <v>제12장 행정심판의 청구요건 및 가구제&gt;제01절 행정심판의 대상적격&gt;02</v>
      </c>
      <c r="P25" s="277" t="str">
        <f t="shared" si="3"/>
        <v>모의&gt;12.01&gt;1</v>
      </c>
      <c r="Q25" s="277" t="str">
        <f t="shared" si="4"/>
        <v>모의&gt;12.01&gt;2</v>
      </c>
      <c r="S25" s="5" t="str">
        <f t="shared" si="5"/>
        <v>12.01-2</v>
      </c>
    </row>
    <row r="26" spans="2:19" ht="14.45" hidden="1" customHeight="1" x14ac:dyDescent="0.2">
      <c r="B26" s="230">
        <f t="shared" si="0"/>
        <v>23</v>
      </c>
      <c r="C26" s="275">
        <v>10.01</v>
      </c>
      <c r="D26" s="276" t="s">
        <v>1291</v>
      </c>
      <c r="E26" s="276" t="s">
        <v>1291</v>
      </c>
      <c r="F26" s="252" t="s">
        <v>471</v>
      </c>
      <c r="G26" s="276" t="s">
        <v>415</v>
      </c>
      <c r="H26" s="340" t="s">
        <v>472</v>
      </c>
      <c r="I26" s="276" t="s">
        <v>1295</v>
      </c>
      <c r="J26" s="252" t="s">
        <v>2233</v>
      </c>
      <c r="K26" s="277" t="str">
        <f>VLOOKUP(S26,통합목록!$E$4:$I$322,5,0)</f>
        <v>열기2-03.행정쟁송법\02.문제\[모의][10.01-1]부작위위법확인소송과 행정심판전치주의의 관계.txt</v>
      </c>
      <c r="L26" s="278" t="s">
        <v>2010</v>
      </c>
      <c r="M26" s="279"/>
      <c r="N26" s="277" t="str">
        <f t="shared" si="1"/>
        <v>제10장 부작위위법확인소송 및 기타소송&gt;11&gt;1&gt;</v>
      </c>
      <c r="O26" s="277" t="str">
        <f t="shared" si="2"/>
        <v>제10장 부작위위법확인소송 및 기타소송&gt;제01절 부작위위법확인소송&gt;05</v>
      </c>
      <c r="P26" s="277" t="str">
        <f t="shared" si="3"/>
        <v>모의&gt;10.01&gt;1</v>
      </c>
      <c r="Q26" s="277" t="str">
        <f t="shared" si="4"/>
        <v>모의&gt;10.01&gt;1</v>
      </c>
      <c r="S26" s="5" t="str">
        <f t="shared" si="5"/>
        <v>10.01-1</v>
      </c>
    </row>
    <row r="27" spans="2:19" ht="14.45" hidden="1" customHeight="1" x14ac:dyDescent="0.2">
      <c r="B27" s="230">
        <f t="shared" si="0"/>
        <v>24</v>
      </c>
      <c r="C27" s="275">
        <v>1.02</v>
      </c>
      <c r="D27" s="276" t="s">
        <v>398</v>
      </c>
      <c r="E27" s="276" t="s">
        <v>400</v>
      </c>
      <c r="F27" s="252" t="s">
        <v>1396</v>
      </c>
      <c r="G27" s="276" t="s">
        <v>2176</v>
      </c>
      <c r="H27" s="340" t="s">
        <v>1753</v>
      </c>
      <c r="I27" s="276" t="s">
        <v>2175</v>
      </c>
      <c r="J27" s="252" t="s">
        <v>2234</v>
      </c>
      <c r="K27" s="277" t="str">
        <f>VLOOKUP(S27,통합목록!$E$4:$I$322,5,0)</f>
        <v>열기2-03.행정쟁송법\02.문제\[모의][01.02-1]인근 주민이 제기하고자 하는 예방적 금지소송의 허용 여부 및 대체 소송 수단.txt</v>
      </c>
      <c r="L27" s="278" t="s">
        <v>2010</v>
      </c>
      <c r="M27" s="279"/>
      <c r="N27" s="277" t="str">
        <f t="shared" si="1"/>
        <v>제01장 행정소송의 일반론&gt;06&gt;1&gt;</v>
      </c>
      <c r="O27" s="277" t="str">
        <f t="shared" si="2"/>
        <v>제01장 행정소송의 일반론&gt;제02절 행정소송의 유형&gt;05</v>
      </c>
      <c r="P27" s="277" t="str">
        <f t="shared" si="3"/>
        <v>모의&gt;1.02&gt;2</v>
      </c>
      <c r="Q27" s="277" t="str">
        <f t="shared" si="4"/>
        <v>모의&gt;1.02&gt;1</v>
      </c>
      <c r="S27" s="5" t="str">
        <f t="shared" si="5"/>
        <v>1.02-1</v>
      </c>
    </row>
    <row r="28" spans="2:19" ht="14.45" hidden="1" customHeight="1" x14ac:dyDescent="0.2">
      <c r="B28" s="230">
        <f t="shared" si="0"/>
        <v>25</v>
      </c>
      <c r="C28" s="275">
        <v>1.02</v>
      </c>
      <c r="D28" s="276" t="s">
        <v>400</v>
      </c>
      <c r="E28" s="276" t="s">
        <v>398</v>
      </c>
      <c r="F28" s="252" t="s">
        <v>1396</v>
      </c>
      <c r="G28" s="276" t="s">
        <v>2193</v>
      </c>
      <c r="H28" s="340" t="s">
        <v>1753</v>
      </c>
      <c r="I28" s="276" t="s">
        <v>2176</v>
      </c>
      <c r="J28" s="252" t="s">
        <v>2235</v>
      </c>
      <c r="K28" s="277" t="str">
        <f>VLOOKUP(S28,통합목록!$E$4:$I$322,5,0)</f>
        <v>열기2-03.행정쟁송법\02.문제\[모의][01.02-2]공무원이 미지급된 보수를 청구하기 위해 제기해야 하는 소송의 유형 및 구분 근거.txt</v>
      </c>
      <c r="L28" s="278" t="s">
        <v>2010</v>
      </c>
      <c r="M28" s="279"/>
      <c r="N28" s="277" t="str">
        <f t="shared" si="1"/>
        <v>제01장 행정소송의 일반론&gt;07&gt;2&gt;</v>
      </c>
      <c r="O28" s="277" t="str">
        <f t="shared" si="2"/>
        <v>제01장 행정소송의 일반론&gt;제02절 행정소송의 유형&gt;06</v>
      </c>
      <c r="P28" s="277" t="str">
        <f t="shared" si="3"/>
        <v>모의&gt;1.02&gt;1</v>
      </c>
      <c r="Q28" s="277" t="str">
        <f t="shared" si="4"/>
        <v>모의&gt;1.02&gt;2</v>
      </c>
      <c r="S28" s="5" t="str">
        <f t="shared" si="5"/>
        <v>1.02-2</v>
      </c>
    </row>
    <row r="29" spans="2:19" ht="14.45" hidden="1" customHeight="1" x14ac:dyDescent="0.2">
      <c r="B29" s="230">
        <f t="shared" si="0"/>
        <v>26</v>
      </c>
      <c r="C29" s="280">
        <v>2025</v>
      </c>
      <c r="D29" s="276" t="s">
        <v>413</v>
      </c>
      <c r="E29" s="276" t="s">
        <v>440</v>
      </c>
      <c r="F29" s="252" t="s">
        <v>1402</v>
      </c>
      <c r="G29" s="276" t="s">
        <v>399</v>
      </c>
      <c r="H29" s="340" t="s">
        <v>456</v>
      </c>
      <c r="I29" s="276" t="s">
        <v>399</v>
      </c>
      <c r="J29" s="252" t="s">
        <v>2236</v>
      </c>
      <c r="K29" s="277" t="str">
        <f>VLOOKUP(S29,통합목록!$E$4:$I$322,5,0)</f>
        <v>열기2-03.행정쟁송법\02.문제\[기출][2025-1-1]최초 거부처분에서 추가한 사유를 다시 제기한 재거부처분에 대한 간접강제 신청의 인용 여부.txt</v>
      </c>
      <c r="L29" s="278" t="s">
        <v>1282</v>
      </c>
      <c r="M29" s="279"/>
      <c r="N29" s="277" t="str">
        <f t="shared" si="1"/>
        <v>제06장 취소소송의 종료&gt;01&gt;1-1&gt;</v>
      </c>
      <c r="O29" s="277" t="str">
        <f t="shared" si="2"/>
        <v>제06장 취소소송의 종료&gt;제02절 판결의 효력&gt;01</v>
      </c>
      <c r="P29" s="277" t="str">
        <f t="shared" si="3"/>
        <v>기출&gt;2025&gt;7</v>
      </c>
      <c r="Q29" s="277" t="str">
        <f t="shared" si="4"/>
        <v>기출&gt;2025&gt;1-1</v>
      </c>
      <c r="S29" s="5" t="str">
        <f t="shared" si="5"/>
        <v>2025-1-1</v>
      </c>
    </row>
    <row r="30" spans="2:19" ht="14.45" hidden="1" customHeight="1" x14ac:dyDescent="0.2">
      <c r="B30" s="230">
        <f t="shared" si="0"/>
        <v>27</v>
      </c>
      <c r="C30" s="280">
        <v>2025</v>
      </c>
      <c r="D30" s="276" t="s">
        <v>404</v>
      </c>
      <c r="E30" s="276" t="s">
        <v>429</v>
      </c>
      <c r="F30" s="252" t="s">
        <v>1399</v>
      </c>
      <c r="G30" s="276" t="s">
        <v>399</v>
      </c>
      <c r="H30" s="340" t="s">
        <v>439</v>
      </c>
      <c r="I30" s="276" t="s">
        <v>399</v>
      </c>
      <c r="J30" s="252" t="s">
        <v>2237</v>
      </c>
      <c r="K30" s="277" t="str">
        <f>VLOOKUP(S30,통합목록!$E$4:$I$322,5,0)</f>
        <v>열기2-03.행정쟁송법\02.문제\[기출][2025-1-2]내부위임 일탈 처분에 대한 항고소송의 유형과 피고적격, 인용판결에 따른 환수금 반환 가능성.txt</v>
      </c>
      <c r="L30" s="278" t="s">
        <v>1282</v>
      </c>
      <c r="M30" s="279"/>
      <c r="N30" s="277" t="str">
        <f t="shared" si="1"/>
        <v>제03장 취소소송의 당사자적격&gt;01&gt;1-2&gt;</v>
      </c>
      <c r="O30" s="277" t="str">
        <f t="shared" si="2"/>
        <v>제03장 취소소송의 당사자적격&gt;제02절 피고적격&gt;01</v>
      </c>
      <c r="P30" s="277" t="str">
        <f t="shared" si="3"/>
        <v>기출&gt;2025&gt;6</v>
      </c>
      <c r="Q30" s="277" t="str">
        <f t="shared" si="4"/>
        <v>기출&gt;2025&gt;1-2</v>
      </c>
      <c r="S30" s="5" t="str">
        <f t="shared" si="5"/>
        <v>2025-1-2</v>
      </c>
    </row>
    <row r="31" spans="2:19" ht="14.45" hidden="1" customHeight="1" x14ac:dyDescent="0.2">
      <c r="B31" s="230">
        <f t="shared" si="0"/>
        <v>28</v>
      </c>
      <c r="C31" s="280">
        <v>2025</v>
      </c>
      <c r="D31" s="276" t="s">
        <v>404</v>
      </c>
      <c r="E31" s="276" t="s">
        <v>425</v>
      </c>
      <c r="F31" s="252" t="s">
        <v>2088</v>
      </c>
      <c r="G31" s="276" t="s">
        <v>399</v>
      </c>
      <c r="H31" s="340" t="s">
        <v>2089</v>
      </c>
      <c r="I31" s="276" t="s">
        <v>399</v>
      </c>
      <c r="J31" s="252" t="s">
        <v>2237</v>
      </c>
      <c r="K31" s="277" t="str">
        <f>VLOOKUP(S31,통합목록!$E$4:$I$322,5,0)</f>
        <v>열기2-03.행정쟁송법\02.문제\[기출][2025-1-2]내부위임 일탈 처분에 대한 항고소송의 유형과 피고적격, 인용판결에 따른 환수금 반환 가능성.txt</v>
      </c>
      <c r="L31" s="278" t="s">
        <v>1282</v>
      </c>
      <c r="M31" s="279"/>
      <c r="N31" s="277" t="str">
        <f t="shared" si="1"/>
        <v>제09장 무효등 확인소송&gt;01&gt;1-2&gt;</v>
      </c>
      <c r="O31" s="277" t="str">
        <f t="shared" si="2"/>
        <v>제09장 무효등 확인소송&gt;제02절 무효등 확인소송의 요건&gt;01</v>
      </c>
      <c r="P31" s="277" t="str">
        <f t="shared" si="3"/>
        <v>기출&gt;2025&gt;5</v>
      </c>
      <c r="Q31" s="277" t="str">
        <f t="shared" si="4"/>
        <v>기출&gt;2025&gt;1-2</v>
      </c>
      <c r="S31" s="5" t="str">
        <f t="shared" si="5"/>
        <v>2025-1-2</v>
      </c>
    </row>
    <row r="32" spans="2:19" ht="14.45" hidden="1" customHeight="1" x14ac:dyDescent="0.2">
      <c r="B32" s="230">
        <f t="shared" si="0"/>
        <v>29</v>
      </c>
      <c r="C32" s="280">
        <v>2025</v>
      </c>
      <c r="D32" s="276" t="s">
        <v>400</v>
      </c>
      <c r="E32" s="276" t="s">
        <v>411</v>
      </c>
      <c r="F32" s="252" t="s">
        <v>1398</v>
      </c>
      <c r="G32" s="276" t="s">
        <v>399</v>
      </c>
      <c r="H32" s="340" t="s">
        <v>424</v>
      </c>
      <c r="I32" s="276" t="s">
        <v>399</v>
      </c>
      <c r="J32" s="252" t="s">
        <v>2238</v>
      </c>
      <c r="K32" s="277" t="str">
        <f>VLOOKUP(S32,통합목록!$E$4:$I$322,5,0)</f>
        <v>열기2-03.행정쟁송법\02.문제\[기출][2025-2]감경 변경재결 및 후속 변경처분에 따른 취소소송의 대상적격・피고적격・제소기간 준수 여부.txt</v>
      </c>
      <c r="L32" s="278" t="s">
        <v>1282</v>
      </c>
      <c r="M32" s="279"/>
      <c r="N32" s="277" t="str">
        <f t="shared" si="1"/>
        <v>제02장 취소소송의 대상적격&gt;01&gt;2&gt;</v>
      </c>
      <c r="O32" s="277" t="str">
        <f t="shared" si="2"/>
        <v>제02장 취소소송의 대상적격&gt;제03절 재결&gt;01</v>
      </c>
      <c r="P32" s="277" t="str">
        <f t="shared" si="3"/>
        <v>기출&gt;2025&gt;4</v>
      </c>
      <c r="Q32" s="277" t="str">
        <f t="shared" si="4"/>
        <v>기출&gt;2025&gt;2</v>
      </c>
      <c r="S32" s="5" t="str">
        <f t="shared" si="5"/>
        <v>2025-2</v>
      </c>
    </row>
    <row r="33" spans="2:19" ht="14.45" hidden="1" customHeight="1" x14ac:dyDescent="0.2">
      <c r="B33" s="230">
        <f t="shared" si="0"/>
        <v>30</v>
      </c>
      <c r="C33" s="280">
        <v>2025</v>
      </c>
      <c r="D33" s="276" t="s">
        <v>400</v>
      </c>
      <c r="E33" s="276" t="s">
        <v>397</v>
      </c>
      <c r="F33" s="252" t="s">
        <v>2080</v>
      </c>
      <c r="G33" s="276" t="s">
        <v>401</v>
      </c>
      <c r="H33" s="340" t="s">
        <v>2083</v>
      </c>
      <c r="I33" s="276" t="s">
        <v>401</v>
      </c>
      <c r="J33" s="252" t="s">
        <v>2238</v>
      </c>
      <c r="K33" s="277" t="str">
        <f>VLOOKUP(S33,통합목록!$E$4:$I$322,5,0)</f>
        <v>열기2-03.행정쟁송법\02.문제\[기출][2025-2]감경 변경재결 및 후속 변경처분에 따른 취소소송의 대상적격・피고적격・제소기간 준수 여부.txt</v>
      </c>
      <c r="L33" s="278" t="s">
        <v>1282</v>
      </c>
      <c r="M33" s="279"/>
      <c r="N33" s="277" t="str">
        <f t="shared" si="1"/>
        <v>제03장 취소소송의 당사자적격&gt;02&gt;2&gt;</v>
      </c>
      <c r="O33" s="277" t="str">
        <f t="shared" si="2"/>
        <v>제03장 취소소송의 당사자적격&gt;제02절 피고적격&gt;02</v>
      </c>
      <c r="P33" s="277" t="str">
        <f t="shared" si="3"/>
        <v>기출&gt;2025&gt;3</v>
      </c>
      <c r="Q33" s="277" t="str">
        <f t="shared" si="4"/>
        <v>기출&gt;2025&gt;2</v>
      </c>
      <c r="S33" s="5" t="str">
        <f t="shared" si="5"/>
        <v>2025-2</v>
      </c>
    </row>
    <row r="34" spans="2:19" ht="14.45" hidden="1" customHeight="1" x14ac:dyDescent="0.2">
      <c r="B34" s="230">
        <f t="shared" si="0"/>
        <v>31</v>
      </c>
      <c r="C34" s="280">
        <v>2025</v>
      </c>
      <c r="D34" s="276" t="s">
        <v>400</v>
      </c>
      <c r="E34" s="276" t="s">
        <v>400</v>
      </c>
      <c r="F34" s="252" t="s">
        <v>2081</v>
      </c>
      <c r="G34" s="276" t="s">
        <v>399</v>
      </c>
      <c r="H34" s="340" t="s">
        <v>2086</v>
      </c>
      <c r="I34" s="276" t="s">
        <v>399</v>
      </c>
      <c r="J34" s="252" t="s">
        <v>2238</v>
      </c>
      <c r="K34" s="277" t="str">
        <f>VLOOKUP(S34,통합목록!$E$4:$I$322,5,0)</f>
        <v>열기2-03.행정쟁송법\02.문제\[기출][2025-2]감경 변경재결 및 후속 변경처분에 따른 취소소송의 대상적격・피고적격・제소기간 준수 여부.txt</v>
      </c>
      <c r="L34" s="278" t="s">
        <v>1282</v>
      </c>
      <c r="M34" s="279"/>
      <c r="N34" s="277" t="str">
        <f t="shared" si="1"/>
        <v>제04장 취소소송의 기타 소송요건&gt;01&gt;2&gt;</v>
      </c>
      <c r="O34" s="277" t="str">
        <f t="shared" si="2"/>
        <v>제04장 취소소송의 기타 소송요건&gt;제02절 제소기간&gt;01</v>
      </c>
      <c r="P34" s="277" t="str">
        <f t="shared" si="3"/>
        <v>기출&gt;2025&gt;2</v>
      </c>
      <c r="Q34" s="277" t="str">
        <f t="shared" si="4"/>
        <v>기출&gt;2025&gt;2</v>
      </c>
      <c r="S34" s="5" t="str">
        <f t="shared" si="5"/>
        <v>2025-2</v>
      </c>
    </row>
    <row r="35" spans="2:19" ht="14.45" hidden="1" customHeight="1" x14ac:dyDescent="0.2">
      <c r="B35" s="230">
        <f t="shared" si="0"/>
        <v>32</v>
      </c>
      <c r="C35" s="280">
        <v>2025</v>
      </c>
      <c r="D35" s="276" t="s">
        <v>397</v>
      </c>
      <c r="E35" s="276" t="s">
        <v>398</v>
      </c>
      <c r="F35" s="252" t="s">
        <v>1398</v>
      </c>
      <c r="G35" s="276" t="s">
        <v>401</v>
      </c>
      <c r="H35" s="340" t="s">
        <v>410</v>
      </c>
      <c r="I35" s="276" t="s">
        <v>399</v>
      </c>
      <c r="J35" s="252" t="s">
        <v>2239</v>
      </c>
      <c r="K35" s="277" t="str">
        <f>VLOOKUP(S35,통합목록!$E$4:$I$322,5,0)</f>
        <v>열기2-03.행정쟁송법\02.문제\[기출][2025-3]위탁운영계약(국유재산 사용・수익허가)의 해지에 대한 구제수단으로서의 무효등 확인소송.txt</v>
      </c>
      <c r="L35" s="278" t="s">
        <v>1282</v>
      </c>
      <c r="M35" s="279"/>
      <c r="N35" s="277" t="str">
        <f t="shared" si="1"/>
        <v>제02장 취소소송의 대상적격&gt;02&gt;3&gt;</v>
      </c>
      <c r="O35" s="277" t="str">
        <f t="shared" si="2"/>
        <v>제02장 취소소송의 대상적격&gt;제02절 처분&gt;01</v>
      </c>
      <c r="P35" s="277" t="str">
        <f t="shared" si="3"/>
        <v>기출&gt;2025&gt;1</v>
      </c>
      <c r="Q35" s="277" t="str">
        <f t="shared" si="4"/>
        <v>기출&gt;2025&gt;3</v>
      </c>
      <c r="S35" s="5" t="str">
        <f t="shared" si="5"/>
        <v>2025-3</v>
      </c>
    </row>
    <row r="36" spans="2:19" ht="14.45" hidden="1" customHeight="1" x14ac:dyDescent="0.2">
      <c r="B36" s="230">
        <f t="shared" ref="B36:B67" si="6">ROW()-3</f>
        <v>33</v>
      </c>
      <c r="C36" s="280">
        <v>2024</v>
      </c>
      <c r="D36" s="276" t="s">
        <v>2201</v>
      </c>
      <c r="E36" s="276" t="s">
        <v>2202</v>
      </c>
      <c r="F36" s="252" t="s">
        <v>2168</v>
      </c>
      <c r="G36" s="276" t="s">
        <v>2185</v>
      </c>
      <c r="H36" s="340" t="s">
        <v>2169</v>
      </c>
      <c r="I36" s="276" t="s">
        <v>2185</v>
      </c>
      <c r="J36" s="252" t="s">
        <v>2133</v>
      </c>
      <c r="K36" s="277" t="str">
        <f>VLOOKUP(S36,통합목록!$E$4:$I$322,5,0)</f>
        <v>열기2-03.행정쟁송법\02.문제\[기출][2024-1-1-1]거부처분에 대하여 대한민국을 피고로 지정한 민사상 금전지급 청구소송의 적법 여부 및 법원의 판단.txt</v>
      </c>
      <c r="L36" s="278" t="s">
        <v>2190</v>
      </c>
      <c r="M36" s="279"/>
      <c r="N36" s="277" t="str">
        <f t="shared" ref="N36:N67" si="7">F36&amp;"&gt;"&amp;G36&amp;"&gt;"&amp;D36&amp;"&gt;"&amp;M36</f>
        <v>제01장 행정소송의 일반론&gt;01&gt;1-1-1&gt;</v>
      </c>
      <c r="O36" s="277" t="str">
        <f t="shared" ref="O36:O67" si="8">F36&amp;"&gt;"&amp;H36&amp;"&gt;"&amp;I36</f>
        <v>제01장 행정소송의 일반론&gt;제02절 행정소송의 유형&gt;01</v>
      </c>
      <c r="P36" s="277" t="str">
        <f t="shared" ref="P36:P67" si="9">L36&amp;"&gt;"&amp;C36&amp;"&gt;"&amp;E36</f>
        <v>기출&gt;2024&gt;9</v>
      </c>
      <c r="Q36" s="277" t="str">
        <f t="shared" ref="Q36:Q67" si="10">L36&amp;"&gt;"&amp;C36&amp;"&gt;"&amp;D36</f>
        <v>기출&gt;2024&gt;1-1-1</v>
      </c>
      <c r="S36" s="5" t="str">
        <f t="shared" ref="S36:S67" si="11">C36&amp;"-"&amp;D36</f>
        <v>2024-1-1-1</v>
      </c>
    </row>
    <row r="37" spans="2:19" ht="14.45" hidden="1" customHeight="1" x14ac:dyDescent="0.2">
      <c r="B37" s="230">
        <f t="shared" si="6"/>
        <v>34</v>
      </c>
      <c r="C37" s="280">
        <v>2024</v>
      </c>
      <c r="D37" s="276" t="s">
        <v>474</v>
      </c>
      <c r="E37" s="276" t="s">
        <v>438</v>
      </c>
      <c r="F37" s="252" t="s">
        <v>2135</v>
      </c>
      <c r="G37" s="276" t="s">
        <v>403</v>
      </c>
      <c r="H37" s="340" t="s">
        <v>2136</v>
      </c>
      <c r="I37" s="276" t="s">
        <v>403</v>
      </c>
      <c r="J37" s="252" t="s">
        <v>2133</v>
      </c>
      <c r="K37" s="277" t="str">
        <f>VLOOKUP(S37,통합목록!$E$4:$I$322,5,0)</f>
        <v>열기2-03.행정쟁송법\02.문제\[기출][2024-1-1-1]거부처분에 대하여 대한민국을 피고로 지정한 민사상 금전지급 청구소송의 적법 여부 및 법원의 판단.txt</v>
      </c>
      <c r="L37" s="278" t="s">
        <v>1282</v>
      </c>
      <c r="M37" s="279"/>
      <c r="N37" s="277" t="str">
        <f t="shared" si="7"/>
        <v>제03장 취소소송의 당사자적격&gt;03&gt;1-1-1&gt;</v>
      </c>
      <c r="O37" s="277" t="str">
        <f t="shared" si="8"/>
        <v>제03장 취소소송의 당사자적격&gt;제02절 피고적격&gt;03</v>
      </c>
      <c r="P37" s="277" t="str">
        <f t="shared" si="9"/>
        <v>기출&gt;2024&gt;8</v>
      </c>
      <c r="Q37" s="277" t="str">
        <f t="shared" si="10"/>
        <v>기출&gt;2024&gt;1-1-1</v>
      </c>
      <c r="S37" s="5" t="str">
        <f t="shared" si="11"/>
        <v>2024-1-1-1</v>
      </c>
    </row>
    <row r="38" spans="2:19" ht="14.45" hidden="1" customHeight="1" x14ac:dyDescent="0.2">
      <c r="B38" s="230">
        <f t="shared" si="6"/>
        <v>35</v>
      </c>
      <c r="C38" s="280">
        <v>2024</v>
      </c>
      <c r="D38" s="276" t="s">
        <v>2039</v>
      </c>
      <c r="E38" s="276" t="s">
        <v>440</v>
      </c>
      <c r="F38" s="252" t="s">
        <v>1400</v>
      </c>
      <c r="G38" s="276" t="s">
        <v>2040</v>
      </c>
      <c r="H38" s="340" t="s">
        <v>445</v>
      </c>
      <c r="I38" s="276" t="s">
        <v>2040</v>
      </c>
      <c r="J38" s="252" t="s">
        <v>1359</v>
      </c>
      <c r="K38" s="277" t="str">
        <f>VLOOKUP(S38,통합목록!$E$4:$I$322,5,0)</f>
        <v>열기2-03.행정쟁송법\02.문제\[기출][2024-1-1-2]소청절차를 거치지 않고 제기한 지방공무원의 시간외근무수당 청구소송의 적법 여부.txt</v>
      </c>
      <c r="L38" s="278" t="s">
        <v>1379</v>
      </c>
      <c r="M38" s="279"/>
      <c r="N38" s="277" t="str">
        <f t="shared" si="7"/>
        <v>제04장 취소소송의 기타 소송요건&gt;02&gt;1-1-2&gt;</v>
      </c>
      <c r="O38" s="277" t="str">
        <f t="shared" si="8"/>
        <v>제04장 취소소송의 기타 소송요건&gt;제01절 행정심판전치주의&gt;02</v>
      </c>
      <c r="P38" s="277" t="str">
        <f t="shared" si="9"/>
        <v>기출&gt;2024&gt;7</v>
      </c>
      <c r="Q38" s="277" t="str">
        <f t="shared" si="10"/>
        <v>기출&gt;2024&gt;1-1-2</v>
      </c>
      <c r="S38" s="5" t="str">
        <f t="shared" si="11"/>
        <v>2024-1-1-2</v>
      </c>
    </row>
    <row r="39" spans="2:19" ht="14.45" hidden="1" customHeight="1" x14ac:dyDescent="0.2">
      <c r="B39" s="230">
        <f t="shared" si="6"/>
        <v>36</v>
      </c>
      <c r="C39" s="280">
        <v>2024</v>
      </c>
      <c r="D39" s="276" t="s">
        <v>443</v>
      </c>
      <c r="E39" s="276" t="s">
        <v>429</v>
      </c>
      <c r="F39" s="252" t="s">
        <v>2090</v>
      </c>
      <c r="G39" s="276" t="s">
        <v>399</v>
      </c>
      <c r="H39" s="340" t="s">
        <v>2091</v>
      </c>
      <c r="I39" s="276" t="s">
        <v>399</v>
      </c>
      <c r="J39" s="252" t="s">
        <v>1359</v>
      </c>
      <c r="K39" s="277" t="str">
        <f>VLOOKUP(S39,통합목록!$E$4:$I$322,5,0)</f>
        <v>열기2-03.행정쟁송법\02.문제\[기출][2024-1-1-2]소청절차를 거치지 않고 제기한 지방공무원의 시간외근무수당 청구소송의 적법 여부.txt</v>
      </c>
      <c r="L39" s="278" t="s">
        <v>1282</v>
      </c>
      <c r="M39" s="279"/>
      <c r="N39" s="277" t="str">
        <f t="shared" si="7"/>
        <v>제10장 부작위위법확인소송 및 기타소송&gt;01&gt;1-1-2&gt;</v>
      </c>
      <c r="O39" s="277" t="str">
        <f t="shared" si="8"/>
        <v>제10장 부작위위법확인소송 및 기타소송&gt;제02절 당사자소송&gt;01</v>
      </c>
      <c r="P39" s="277" t="str">
        <f t="shared" si="9"/>
        <v>기출&gt;2024&gt;6</v>
      </c>
      <c r="Q39" s="277" t="str">
        <f t="shared" si="10"/>
        <v>기출&gt;2024&gt;1-1-2</v>
      </c>
      <c r="S39" s="5" t="str">
        <f t="shared" si="11"/>
        <v>2024-1-1-2</v>
      </c>
    </row>
    <row r="40" spans="2:19" ht="14.45" hidden="1" customHeight="1" x14ac:dyDescent="0.2">
      <c r="B40" s="230">
        <f t="shared" si="6"/>
        <v>37</v>
      </c>
      <c r="C40" s="280">
        <v>2024</v>
      </c>
      <c r="D40" s="276" t="s">
        <v>404</v>
      </c>
      <c r="E40" s="276" t="s">
        <v>425</v>
      </c>
      <c r="F40" s="252" t="s">
        <v>1402</v>
      </c>
      <c r="G40" s="276" t="s">
        <v>401</v>
      </c>
      <c r="H40" s="340" t="s">
        <v>455</v>
      </c>
      <c r="I40" s="276" t="s">
        <v>399</v>
      </c>
      <c r="J40" s="252" t="s">
        <v>2240</v>
      </c>
      <c r="K40" s="277" t="str">
        <f>VLOOKUP(S40,통합목록!$E$4:$I$322,5,0)</f>
        <v>열기2-03.행정쟁송법\02.문제\[기출][2024-1-2]추가징수 처분에 대한 취소소송 제기 시 법원의 일부취소판결 가능성 여부.txt</v>
      </c>
      <c r="L40" s="278" t="s">
        <v>1282</v>
      </c>
      <c r="M40" s="279"/>
      <c r="N40" s="277" t="str">
        <f t="shared" si="7"/>
        <v>제06장 취소소송의 종료&gt;02&gt;1-2&gt;</v>
      </c>
      <c r="O40" s="277" t="str">
        <f t="shared" si="8"/>
        <v>제06장 취소소송의 종료&gt;제01절 법원의 판결&gt;01</v>
      </c>
      <c r="P40" s="277" t="str">
        <f t="shared" si="9"/>
        <v>기출&gt;2024&gt;5</v>
      </c>
      <c r="Q40" s="277" t="str">
        <f t="shared" si="10"/>
        <v>기출&gt;2024&gt;1-2</v>
      </c>
      <c r="S40" s="5" t="str">
        <f t="shared" si="11"/>
        <v>2024-1-2</v>
      </c>
    </row>
    <row r="41" spans="2:19" ht="14.45" hidden="1" customHeight="1" x14ac:dyDescent="0.2">
      <c r="B41" s="230">
        <f t="shared" si="6"/>
        <v>38</v>
      </c>
      <c r="C41" s="280">
        <v>2024</v>
      </c>
      <c r="D41" s="276" t="s">
        <v>400</v>
      </c>
      <c r="E41" s="276" t="s">
        <v>411</v>
      </c>
      <c r="F41" s="252" t="s">
        <v>487</v>
      </c>
      <c r="G41" s="276" t="s">
        <v>399</v>
      </c>
      <c r="H41" s="340" t="s">
        <v>484</v>
      </c>
      <c r="I41" s="276" t="s">
        <v>399</v>
      </c>
      <c r="J41" s="252" t="s">
        <v>2241</v>
      </c>
      <c r="K41" s="277" t="str">
        <f>VLOOKUP(S41,통합목록!$E$4:$I$322,5,0)</f>
        <v>열기2-03.행정쟁송법\02.문제\[기출][2024-2]중앙노동위원회 이행강제금 부과처분에 대한 취소심판 청구 시 관할 행정심판기관 및 피청구인 적격.txt</v>
      </c>
      <c r="L41" s="278" t="s">
        <v>1282</v>
      </c>
      <c r="M41" s="279"/>
      <c r="N41" s="277" t="str">
        <f t="shared" si="7"/>
        <v>제12장 행정심판의 청구요건 및 가구제&gt;01&gt;2&gt;</v>
      </c>
      <c r="O41" s="277" t="str">
        <f t="shared" si="8"/>
        <v>제12장 행정심판의 청구요건 및 가구제&gt;제02절 행정심판의 당사자적격&gt;01</v>
      </c>
      <c r="P41" s="277" t="str">
        <f t="shared" si="9"/>
        <v>기출&gt;2024&gt;4</v>
      </c>
      <c r="Q41" s="277" t="str">
        <f t="shared" si="10"/>
        <v>기출&gt;2024&gt;2</v>
      </c>
      <c r="S41" s="5" t="str">
        <f t="shared" si="11"/>
        <v>2024-2</v>
      </c>
    </row>
    <row r="42" spans="2:19" ht="14.45" hidden="1" customHeight="1" x14ac:dyDescent="0.2">
      <c r="B42" s="230">
        <f t="shared" si="6"/>
        <v>39</v>
      </c>
      <c r="C42" s="280">
        <v>2024</v>
      </c>
      <c r="D42" s="276" t="s">
        <v>400</v>
      </c>
      <c r="E42" s="276" t="s">
        <v>397</v>
      </c>
      <c r="F42" s="252" t="s">
        <v>2079</v>
      </c>
      <c r="G42" s="276" t="s">
        <v>401</v>
      </c>
      <c r="H42" s="340" t="s">
        <v>2092</v>
      </c>
      <c r="I42" s="276" t="s">
        <v>399</v>
      </c>
      <c r="J42" s="252" t="s">
        <v>2241</v>
      </c>
      <c r="K42" s="277" t="str">
        <f>VLOOKUP(S42,통합목록!$E$4:$I$322,5,0)</f>
        <v>열기2-03.행정쟁송법\02.문제\[기출][2024-2]중앙노동위원회 이행강제금 부과처분에 대한 취소심판 청구 시 관할 행정심판기관 및 피청구인 적격.txt</v>
      </c>
      <c r="L42" s="278" t="s">
        <v>1282</v>
      </c>
      <c r="M42" s="279"/>
      <c r="N42" s="277" t="str">
        <f t="shared" si="7"/>
        <v>제12장 행정심판의 청구요건 및 가구제&gt;02&gt;2&gt;</v>
      </c>
      <c r="O42" s="277" t="str">
        <f t="shared" si="8"/>
        <v>제12장 행정심판의 청구요건 및 가구제&gt;제04절 행정심판기관&gt;01</v>
      </c>
      <c r="P42" s="277" t="str">
        <f t="shared" si="9"/>
        <v>기출&gt;2024&gt;3</v>
      </c>
      <c r="Q42" s="277" t="str">
        <f t="shared" si="10"/>
        <v>기출&gt;2024&gt;2</v>
      </c>
      <c r="S42" s="5" t="str">
        <f t="shared" si="11"/>
        <v>2024-2</v>
      </c>
    </row>
    <row r="43" spans="2:19" ht="14.45" hidden="1" customHeight="1" x14ac:dyDescent="0.2">
      <c r="B43" s="230">
        <f t="shared" si="6"/>
        <v>40</v>
      </c>
      <c r="C43" s="280">
        <v>2024</v>
      </c>
      <c r="D43" s="276" t="s">
        <v>397</v>
      </c>
      <c r="E43" s="276" t="s">
        <v>400</v>
      </c>
      <c r="F43" s="252" t="s">
        <v>1398</v>
      </c>
      <c r="G43" s="276" t="s">
        <v>403</v>
      </c>
      <c r="H43" s="340" t="s">
        <v>410</v>
      </c>
      <c r="I43" s="276" t="s">
        <v>401</v>
      </c>
      <c r="J43" s="252" t="s">
        <v>2242</v>
      </c>
      <c r="K43" s="277" t="str">
        <f>VLOOKUP(S43,통합목록!$E$4:$I$322,5,0)</f>
        <v>열기2-03.행정쟁송법\02.문제\[기출][2024-3]일부 변경된 집합금지명령의 대상적격성 및 고시・공고에 의한 일반처분의 제소기간 준수 여부.txt</v>
      </c>
      <c r="L43" s="278" t="s">
        <v>1282</v>
      </c>
      <c r="M43" s="279"/>
      <c r="N43" s="277" t="str">
        <f t="shared" si="7"/>
        <v>제02장 취소소송의 대상적격&gt;03&gt;3&gt;</v>
      </c>
      <c r="O43" s="277" t="str">
        <f t="shared" si="8"/>
        <v>제02장 취소소송의 대상적격&gt;제02절 처분&gt;02</v>
      </c>
      <c r="P43" s="277" t="str">
        <f t="shared" si="9"/>
        <v>기출&gt;2024&gt;2</v>
      </c>
      <c r="Q43" s="277" t="str">
        <f t="shared" si="10"/>
        <v>기출&gt;2024&gt;3</v>
      </c>
      <c r="S43" s="5" t="str">
        <f t="shared" si="11"/>
        <v>2024-3</v>
      </c>
    </row>
    <row r="44" spans="2:19" ht="14.45" hidden="1" customHeight="1" x14ac:dyDescent="0.2">
      <c r="B44" s="230">
        <f t="shared" si="6"/>
        <v>41</v>
      </c>
      <c r="C44" s="280">
        <v>2024</v>
      </c>
      <c r="D44" s="276" t="s">
        <v>397</v>
      </c>
      <c r="E44" s="276" t="s">
        <v>398</v>
      </c>
      <c r="F44" s="252" t="s">
        <v>2081</v>
      </c>
      <c r="G44" s="276" t="s">
        <v>403</v>
      </c>
      <c r="H44" s="340" t="s">
        <v>2086</v>
      </c>
      <c r="I44" s="276" t="s">
        <v>401</v>
      </c>
      <c r="J44" s="252" t="s">
        <v>2242</v>
      </c>
      <c r="K44" s="277" t="str">
        <f>VLOOKUP(S44,통합목록!$E$4:$I$322,5,0)</f>
        <v>열기2-03.행정쟁송법\02.문제\[기출][2024-3]일부 변경된 집합금지명령의 대상적격성 및 고시・공고에 의한 일반처분의 제소기간 준수 여부.txt</v>
      </c>
      <c r="L44" s="278" t="s">
        <v>1282</v>
      </c>
      <c r="M44" s="279"/>
      <c r="N44" s="277" t="str">
        <f t="shared" si="7"/>
        <v>제04장 취소소송의 기타 소송요건&gt;03&gt;3&gt;</v>
      </c>
      <c r="O44" s="277" t="str">
        <f t="shared" si="8"/>
        <v>제04장 취소소송의 기타 소송요건&gt;제02절 제소기간&gt;02</v>
      </c>
      <c r="P44" s="277" t="str">
        <f t="shared" si="9"/>
        <v>기출&gt;2024&gt;1</v>
      </c>
      <c r="Q44" s="277" t="str">
        <f t="shared" si="10"/>
        <v>기출&gt;2024&gt;3</v>
      </c>
      <c r="S44" s="5" t="str">
        <f t="shared" si="11"/>
        <v>2024-3</v>
      </c>
    </row>
    <row r="45" spans="2:19" ht="14.45" hidden="1" customHeight="1" x14ac:dyDescent="0.2">
      <c r="B45" s="230">
        <f t="shared" si="6"/>
        <v>42</v>
      </c>
      <c r="C45" s="280">
        <v>2023</v>
      </c>
      <c r="D45" s="276" t="s">
        <v>413</v>
      </c>
      <c r="E45" s="276" t="s">
        <v>425</v>
      </c>
      <c r="F45" s="252" t="s">
        <v>1398</v>
      </c>
      <c r="G45" s="276" t="s">
        <v>1407</v>
      </c>
      <c r="H45" s="340" t="s">
        <v>410</v>
      </c>
      <c r="I45" s="276" t="s">
        <v>403</v>
      </c>
      <c r="J45" s="252" t="s">
        <v>2243</v>
      </c>
      <c r="K45" s="277" t="str">
        <f>VLOOKUP(S45,통합목록!$E$4:$I$322,5,0)</f>
        <v>열기2-03.행정쟁송법\02.문제\[기출][2023-1-1]행정청의 이주대책 대상자 제외 재결정에 대한 취소소송의 대상적격과 제소기간 기산점.txt</v>
      </c>
      <c r="L45" s="278" t="s">
        <v>1282</v>
      </c>
      <c r="M45" s="279" t="s">
        <v>427</v>
      </c>
      <c r="N45" s="277" t="str">
        <f t="shared" si="7"/>
        <v>제02장 취소소송의 대상적격&gt;04&gt;1-1&gt;2017-3 참조</v>
      </c>
      <c r="O45" s="277" t="str">
        <f t="shared" si="8"/>
        <v>제02장 취소소송의 대상적격&gt;제02절 처분&gt;03</v>
      </c>
      <c r="P45" s="277" t="str">
        <f t="shared" si="9"/>
        <v>기출&gt;2023&gt;5</v>
      </c>
      <c r="Q45" s="277" t="str">
        <f t="shared" si="10"/>
        <v>기출&gt;2023&gt;1-1</v>
      </c>
      <c r="S45" s="5" t="str">
        <f t="shared" si="11"/>
        <v>2023-1-1</v>
      </c>
    </row>
    <row r="46" spans="2:19" ht="14.45" hidden="1" customHeight="1" x14ac:dyDescent="0.2">
      <c r="B46" s="230">
        <f t="shared" si="6"/>
        <v>43</v>
      </c>
      <c r="C46" s="280">
        <v>2023</v>
      </c>
      <c r="D46" s="276" t="s">
        <v>413</v>
      </c>
      <c r="E46" s="276" t="s">
        <v>411</v>
      </c>
      <c r="F46" s="252" t="s">
        <v>2081</v>
      </c>
      <c r="G46" s="276" t="s">
        <v>412</v>
      </c>
      <c r="H46" s="340" t="s">
        <v>2086</v>
      </c>
      <c r="I46" s="276" t="s">
        <v>403</v>
      </c>
      <c r="J46" s="252" t="s">
        <v>2243</v>
      </c>
      <c r="K46" s="277" t="str">
        <f>VLOOKUP(S46,통합목록!$E$4:$I$322,5,0)</f>
        <v>열기2-03.행정쟁송법\02.문제\[기출][2023-1-1]행정청의 이주대책 대상자 제외 재결정에 대한 취소소송의 대상적격과 제소기간 기산점.txt</v>
      </c>
      <c r="L46" s="278" t="s">
        <v>1282</v>
      </c>
      <c r="M46" s="279"/>
      <c r="N46" s="277" t="str">
        <f t="shared" si="7"/>
        <v>제04장 취소소송의 기타 소송요건&gt;04&gt;1-1&gt;</v>
      </c>
      <c r="O46" s="277" t="str">
        <f t="shared" si="8"/>
        <v>제04장 취소소송의 기타 소송요건&gt;제02절 제소기간&gt;03</v>
      </c>
      <c r="P46" s="277" t="str">
        <f t="shared" si="9"/>
        <v>기출&gt;2023&gt;4</v>
      </c>
      <c r="Q46" s="277" t="str">
        <f t="shared" si="10"/>
        <v>기출&gt;2023&gt;1-1</v>
      </c>
      <c r="S46" s="5" t="str">
        <f t="shared" si="11"/>
        <v>2023-1-1</v>
      </c>
    </row>
    <row r="47" spans="2:19" ht="14.45" hidden="1" customHeight="1" x14ac:dyDescent="0.2">
      <c r="B47" s="230">
        <f t="shared" si="6"/>
        <v>44</v>
      </c>
      <c r="C47" s="280">
        <v>2023</v>
      </c>
      <c r="D47" s="276" t="s">
        <v>404</v>
      </c>
      <c r="E47" s="276" t="s">
        <v>397</v>
      </c>
      <c r="F47" s="252" t="s">
        <v>1405</v>
      </c>
      <c r="G47" s="276" t="s">
        <v>1369</v>
      </c>
      <c r="H47" s="340" t="s">
        <v>1775</v>
      </c>
      <c r="I47" s="276" t="s">
        <v>399</v>
      </c>
      <c r="J47" s="252" t="s">
        <v>1325</v>
      </c>
      <c r="K47" s="277" t="str">
        <f>VLOOKUP(S47,통합목록!$E$4:$I$322,5,0)</f>
        <v>열기2-03.행정쟁송법\02.문제\[기출][2023-1-2]무효확인소송 인용판결 확정 후 피고 행정청의 재처분의무 및 이행 강제를 위한 소송법상 수단.txt</v>
      </c>
      <c r="L47" s="278" t="s">
        <v>1282</v>
      </c>
      <c r="M47" s="279"/>
      <c r="N47" s="277" t="str">
        <f t="shared" si="7"/>
        <v>제09장 무효등 확인소송&gt;02&gt;1-2&gt;</v>
      </c>
      <c r="O47" s="277" t="str">
        <f t="shared" si="8"/>
        <v>제09장 무효등 확인소송&gt;제04절 무효등 확인소송의 종료&gt;01</v>
      </c>
      <c r="P47" s="277" t="str">
        <f t="shared" si="9"/>
        <v>기출&gt;2023&gt;3</v>
      </c>
      <c r="Q47" s="277" t="str">
        <f t="shared" si="10"/>
        <v>기출&gt;2023&gt;1-2</v>
      </c>
      <c r="S47" s="5" t="str">
        <f t="shared" si="11"/>
        <v>2023-1-2</v>
      </c>
    </row>
    <row r="48" spans="2:19" ht="14.45" hidden="1" customHeight="1" x14ac:dyDescent="0.2">
      <c r="B48" s="230">
        <f t="shared" si="6"/>
        <v>45</v>
      </c>
      <c r="C48" s="280">
        <v>2023</v>
      </c>
      <c r="D48" s="276" t="s">
        <v>400</v>
      </c>
      <c r="E48" s="276" t="s">
        <v>400</v>
      </c>
      <c r="F48" s="252" t="s">
        <v>1399</v>
      </c>
      <c r="G48" s="276" t="s">
        <v>416</v>
      </c>
      <c r="H48" s="340" t="s">
        <v>437</v>
      </c>
      <c r="I48" s="276" t="s">
        <v>399</v>
      </c>
      <c r="J48" s="252" t="s">
        <v>2244</v>
      </c>
      <c r="K48" s="277" t="str">
        <f>VLOOKUP(S48,통합목록!$E$4:$I$322,5,0)</f>
        <v>열기2-03.행정쟁송법\02.문제\[기출][2023-2]여객자동차운송사업 양도・양수 인가처분에 대한 제3자 경업자의 원고적격 인정 여부.txt</v>
      </c>
      <c r="L48" s="278" t="s">
        <v>1282</v>
      </c>
      <c r="M48" s="279"/>
      <c r="N48" s="277" t="str">
        <f t="shared" si="7"/>
        <v>제03장 취소소송의 당사자적격&gt;04&gt;2&gt;</v>
      </c>
      <c r="O48" s="277" t="str">
        <f t="shared" si="8"/>
        <v>제03장 취소소송의 당사자적격&gt;제01절 원고적격&gt;01</v>
      </c>
      <c r="P48" s="277" t="str">
        <f t="shared" si="9"/>
        <v>기출&gt;2023&gt;2</v>
      </c>
      <c r="Q48" s="277" t="str">
        <f t="shared" si="10"/>
        <v>기출&gt;2023&gt;2</v>
      </c>
      <c r="S48" s="5" t="str">
        <f t="shared" si="11"/>
        <v>2023-2</v>
      </c>
    </row>
    <row r="49" spans="2:19" ht="14.45" hidden="1" customHeight="1" x14ac:dyDescent="0.2">
      <c r="B49" s="230">
        <f t="shared" si="6"/>
        <v>46</v>
      </c>
      <c r="C49" s="280">
        <v>2023</v>
      </c>
      <c r="D49" s="276" t="s">
        <v>397</v>
      </c>
      <c r="E49" s="276" t="s">
        <v>398</v>
      </c>
      <c r="F49" s="252" t="s">
        <v>2168</v>
      </c>
      <c r="G49" s="276" t="s">
        <v>401</v>
      </c>
      <c r="H49" s="340" t="s">
        <v>2169</v>
      </c>
      <c r="I49" s="276" t="s">
        <v>2186</v>
      </c>
      <c r="J49" s="252" t="s">
        <v>2181</v>
      </c>
      <c r="K49" s="277" t="str">
        <f>VLOOKUP(S49,통합목록!$E$4:$I$322,5,0)</f>
        <v>열기2-03.행정쟁송법\02.문제\[기출][2023-3]공사 전부 도급 시 고용・산재보험료 부존재확인 및 부당이득반환 청구의 적법한 소송의 유형과 피고적격.txt</v>
      </c>
      <c r="L49" s="278" t="s">
        <v>1282</v>
      </c>
      <c r="M49" s="279"/>
      <c r="N49" s="277" t="str">
        <f t="shared" si="7"/>
        <v>제01장 행정소송의 일반론&gt;02&gt;3&gt;</v>
      </c>
      <c r="O49" s="277" t="str">
        <f t="shared" si="8"/>
        <v>제01장 행정소송의 일반론&gt;제02절 행정소송의 유형&gt;02</v>
      </c>
      <c r="P49" s="277" t="str">
        <f t="shared" si="9"/>
        <v>기출&gt;2023&gt;1</v>
      </c>
      <c r="Q49" s="277" t="str">
        <f t="shared" si="10"/>
        <v>기출&gt;2023&gt;3</v>
      </c>
      <c r="S49" s="5" t="str">
        <f t="shared" si="11"/>
        <v>2023-3</v>
      </c>
    </row>
    <row r="50" spans="2:19" ht="14.45" hidden="1" customHeight="1" x14ac:dyDescent="0.2">
      <c r="B50" s="230">
        <f t="shared" si="6"/>
        <v>47</v>
      </c>
      <c r="C50" s="280">
        <v>2023</v>
      </c>
      <c r="D50" s="276" t="s">
        <v>2188</v>
      </c>
      <c r="E50" s="276" t="s">
        <v>2189</v>
      </c>
      <c r="F50" s="252" t="s">
        <v>2191</v>
      </c>
      <c r="G50" s="276" t="s">
        <v>2175</v>
      </c>
      <c r="H50" s="340" t="s">
        <v>2192</v>
      </c>
      <c r="I50" s="276" t="s">
        <v>2194</v>
      </c>
      <c r="J50" s="252" t="s">
        <v>2181</v>
      </c>
      <c r="K50" s="277" t="str">
        <f>VLOOKUP(S50,통합목록!$E$4:$I$322,5,0)</f>
        <v>열기2-03.행정쟁송법\02.문제\[기출][2023-3]공사 전부 도급 시 고용・산재보험료 부존재확인 및 부당이득반환 청구의 적법한 소송의 유형과 피고적격.txt</v>
      </c>
      <c r="L50" s="278" t="s">
        <v>2190</v>
      </c>
      <c r="M50" s="279"/>
      <c r="N50" s="277" t="str">
        <f t="shared" si="7"/>
        <v>제03장 취소소송의 당사자적격&gt;05&gt;3&gt;</v>
      </c>
      <c r="O50" s="277" t="str">
        <f t="shared" si="8"/>
        <v>제03장 취소소송의 당사자적격&gt;제02절 피고적격&gt;04</v>
      </c>
      <c r="P50" s="277" t="str">
        <f t="shared" si="9"/>
        <v>기출&gt;2023&gt;1</v>
      </c>
      <c r="Q50" s="277" t="str">
        <f t="shared" si="10"/>
        <v>기출&gt;2023&gt;3</v>
      </c>
      <c r="S50" s="5" t="str">
        <f t="shared" si="11"/>
        <v>2023-3</v>
      </c>
    </row>
    <row r="51" spans="2:19" ht="14.45" hidden="1" customHeight="1" x14ac:dyDescent="0.2">
      <c r="B51" s="230">
        <f t="shared" si="6"/>
        <v>48</v>
      </c>
      <c r="C51" s="280">
        <v>2022</v>
      </c>
      <c r="D51" s="276" t="s">
        <v>413</v>
      </c>
      <c r="E51" s="276" t="s">
        <v>411</v>
      </c>
      <c r="F51" s="252" t="s">
        <v>1399</v>
      </c>
      <c r="G51" s="276" t="s">
        <v>420</v>
      </c>
      <c r="H51" s="340" t="s">
        <v>437</v>
      </c>
      <c r="I51" s="276" t="s">
        <v>401</v>
      </c>
      <c r="J51" s="252" t="s">
        <v>2245</v>
      </c>
      <c r="K51" s="277" t="str">
        <f>VLOOKUP(S51,통합목록!$E$4:$I$322,5,0)</f>
        <v>열기2-03.행정쟁송법\02.문제\[기출][2022-1-1]토석채취허가에 대하여 비산먼지 피해를 우려하는 인근 영농법인의 취소소송 원고적격 인정 여부.txt</v>
      </c>
      <c r="L51" s="278" t="s">
        <v>1282</v>
      </c>
      <c r="M51" s="279"/>
      <c r="N51" s="277" t="str">
        <f t="shared" si="7"/>
        <v>제03장 취소소송의 당사자적격&gt;06&gt;1-1&gt;</v>
      </c>
      <c r="O51" s="277" t="str">
        <f t="shared" si="8"/>
        <v>제03장 취소소송의 당사자적격&gt;제01절 원고적격&gt;02</v>
      </c>
      <c r="P51" s="277" t="str">
        <f t="shared" si="9"/>
        <v>기출&gt;2022&gt;4</v>
      </c>
      <c r="Q51" s="277" t="str">
        <f t="shared" si="10"/>
        <v>기출&gt;2022&gt;1-1</v>
      </c>
      <c r="S51" s="5" t="str">
        <f t="shared" si="11"/>
        <v>2022-1-1</v>
      </c>
    </row>
    <row r="52" spans="2:19" ht="14.45" hidden="1" customHeight="1" x14ac:dyDescent="0.2">
      <c r="B52" s="230">
        <f t="shared" si="6"/>
        <v>49</v>
      </c>
      <c r="C52" s="280">
        <v>2022</v>
      </c>
      <c r="D52" s="276" t="s">
        <v>404</v>
      </c>
      <c r="E52" s="276" t="s">
        <v>397</v>
      </c>
      <c r="F52" s="252" t="s">
        <v>1396</v>
      </c>
      <c r="G52" s="276" t="s">
        <v>403</v>
      </c>
      <c r="H52" s="340" t="s">
        <v>405</v>
      </c>
      <c r="I52" s="276" t="s">
        <v>399</v>
      </c>
      <c r="J52" s="252" t="s">
        <v>2246</v>
      </c>
      <c r="K52" s="277" t="str">
        <f>VLOOKUP(S52,통합목록!$E$4:$I$322,5,0)</f>
        <v>열기2-03.행정쟁송법\02.문제\[기출][2022-1-2]관할행정청의 처분 전에 제3자가 예방적으로 처분 금지를 구하는 소송의 허용 여부.txt</v>
      </c>
      <c r="L52" s="278" t="s">
        <v>1282</v>
      </c>
      <c r="M52" s="279"/>
      <c r="N52" s="277" t="str">
        <f t="shared" si="7"/>
        <v>제01장 행정소송의 일반론&gt;03&gt;1-2&gt;</v>
      </c>
      <c r="O52" s="277" t="str">
        <f t="shared" si="8"/>
        <v>제01장 행정소송의 일반론&gt;제03절 행정소송의 한계&gt;01</v>
      </c>
      <c r="P52" s="277" t="str">
        <f t="shared" si="9"/>
        <v>기출&gt;2022&gt;3</v>
      </c>
      <c r="Q52" s="277" t="str">
        <f t="shared" si="10"/>
        <v>기출&gt;2022&gt;1-2</v>
      </c>
      <c r="S52" s="5" t="str">
        <f t="shared" si="11"/>
        <v>2022-1-2</v>
      </c>
    </row>
    <row r="53" spans="2:19" ht="14.45" hidden="1" customHeight="1" x14ac:dyDescent="0.2">
      <c r="B53" s="230">
        <f t="shared" si="6"/>
        <v>50</v>
      </c>
      <c r="C53" s="280">
        <v>2022</v>
      </c>
      <c r="D53" s="276" t="s">
        <v>400</v>
      </c>
      <c r="E53" s="276" t="s">
        <v>400</v>
      </c>
      <c r="F53" s="252" t="s">
        <v>1399</v>
      </c>
      <c r="G53" s="276" t="s">
        <v>2193</v>
      </c>
      <c r="H53" s="340" t="s">
        <v>441</v>
      </c>
      <c r="I53" s="276" t="s">
        <v>399</v>
      </c>
      <c r="J53" s="252" t="s">
        <v>2247</v>
      </c>
      <c r="K53" s="277" t="str">
        <f>VLOOKUP(S53,통합목록!$E$4:$I$322,5,0)</f>
        <v>열기2-03.행정쟁송법\02.문제\[기출][2022-2]소송 계속 중 정년 도과와 금전보상명령의 협의의 소의 이익 인정 여부.txt</v>
      </c>
      <c r="L53" s="278" t="s">
        <v>1282</v>
      </c>
      <c r="M53" s="279"/>
      <c r="N53" s="277" t="str">
        <f t="shared" si="7"/>
        <v>제03장 취소소송의 당사자적격&gt;07&gt;2&gt;</v>
      </c>
      <c r="O53" s="277" t="str">
        <f t="shared" si="8"/>
        <v>제03장 취소소송의 당사자적격&gt;제03절 권리보호의 필요(협의의 소의 이익)&gt;01</v>
      </c>
      <c r="P53" s="277" t="str">
        <f t="shared" si="9"/>
        <v>기출&gt;2022&gt;2</v>
      </c>
      <c r="Q53" s="277" t="str">
        <f t="shared" si="10"/>
        <v>기출&gt;2022&gt;2</v>
      </c>
      <c r="S53" s="5" t="str">
        <f t="shared" si="11"/>
        <v>2022-2</v>
      </c>
    </row>
    <row r="54" spans="2:19" ht="14.45" hidden="1" customHeight="1" x14ac:dyDescent="0.2">
      <c r="B54" s="230">
        <f t="shared" si="6"/>
        <v>51</v>
      </c>
      <c r="C54" s="280">
        <v>2022</v>
      </c>
      <c r="D54" s="276" t="s">
        <v>397</v>
      </c>
      <c r="E54" s="276" t="s">
        <v>398</v>
      </c>
      <c r="F54" s="252" t="s">
        <v>1401</v>
      </c>
      <c r="G54" s="276" t="s">
        <v>399</v>
      </c>
      <c r="H54" s="340" t="s">
        <v>452</v>
      </c>
      <c r="I54" s="276" t="s">
        <v>399</v>
      </c>
      <c r="J54" s="252" t="s">
        <v>2248</v>
      </c>
      <c r="K54" s="277" t="str">
        <f>VLOOKUP(S54,통합목록!$E$4:$I$322,5,0)</f>
        <v>열기2-03.행정쟁송법\02.문제\[기출][2022-3]거부처분 후 법령이 개정된 경우 취소소송에서 위법성 판단의 기준시점.txt</v>
      </c>
      <c r="L54" s="278" t="s">
        <v>1282</v>
      </c>
      <c r="M54" s="279"/>
      <c r="N54" s="277" t="str">
        <f t="shared" si="7"/>
        <v>제05장 취소소송의 심리&gt;01&gt;3&gt;</v>
      </c>
      <c r="O54" s="277" t="str">
        <f t="shared" si="8"/>
        <v>제05장 취소소송의 심리&gt;제02절 위법성 판단의 기준시&gt;01</v>
      </c>
      <c r="P54" s="277" t="str">
        <f t="shared" si="9"/>
        <v>기출&gt;2022&gt;1</v>
      </c>
      <c r="Q54" s="277" t="str">
        <f t="shared" si="10"/>
        <v>기출&gt;2022&gt;3</v>
      </c>
      <c r="S54" s="5" t="str">
        <f t="shared" si="11"/>
        <v>2022-3</v>
      </c>
    </row>
    <row r="55" spans="2:19" ht="14.45" hidden="1" customHeight="1" x14ac:dyDescent="0.2">
      <c r="B55" s="230">
        <f t="shared" si="6"/>
        <v>52</v>
      </c>
      <c r="C55" s="280">
        <v>2021</v>
      </c>
      <c r="D55" s="276" t="s">
        <v>413</v>
      </c>
      <c r="E55" s="276" t="s">
        <v>425</v>
      </c>
      <c r="F55" s="252" t="s">
        <v>1405</v>
      </c>
      <c r="G55" s="276" t="s">
        <v>403</v>
      </c>
      <c r="H55" s="340" t="s">
        <v>1764</v>
      </c>
      <c r="I55" s="276" t="s">
        <v>399</v>
      </c>
      <c r="J55" s="252" t="s">
        <v>2249</v>
      </c>
      <c r="K55" s="277" t="str">
        <f>VLOOKUP(S55,통합목록!$E$4:$I$322,5,0)</f>
        <v>열기2-03.행정쟁송법\02.문제\[기출][2021-1-1]급여지급결정 취소처분에 대한 무효확인소송에서 처분의 무효 사유에 대한 입증책임의 귀속 주체.txt</v>
      </c>
      <c r="L55" s="278" t="s">
        <v>1282</v>
      </c>
      <c r="M55" s="279"/>
      <c r="N55" s="277" t="str">
        <f t="shared" si="7"/>
        <v>제09장 무효등 확인소송&gt;03&gt;1-1&gt;</v>
      </c>
      <c r="O55" s="277" t="str">
        <f t="shared" si="8"/>
        <v>제09장 무효등 확인소송&gt;제03절 무효등 확인소송의 심리&gt;01</v>
      </c>
      <c r="P55" s="277" t="str">
        <f t="shared" si="9"/>
        <v>기출&gt;2021&gt;5</v>
      </c>
      <c r="Q55" s="277" t="str">
        <f t="shared" si="10"/>
        <v>기출&gt;2021&gt;1-1</v>
      </c>
      <c r="S55" s="5" t="str">
        <f t="shared" si="11"/>
        <v>2021-1-1</v>
      </c>
    </row>
    <row r="56" spans="2:19" ht="14.45" hidden="1" customHeight="1" x14ac:dyDescent="0.2">
      <c r="B56" s="230">
        <f t="shared" si="6"/>
        <v>53</v>
      </c>
      <c r="C56" s="280">
        <v>2021</v>
      </c>
      <c r="D56" s="276" t="s">
        <v>404</v>
      </c>
      <c r="E56" s="276" t="s">
        <v>411</v>
      </c>
      <c r="F56" s="252" t="s">
        <v>1404</v>
      </c>
      <c r="G56" s="276" t="s">
        <v>399</v>
      </c>
      <c r="H56" s="340" t="s">
        <v>1741</v>
      </c>
      <c r="I56" s="276" t="s">
        <v>399</v>
      </c>
      <c r="J56" s="252" t="s">
        <v>2250</v>
      </c>
      <c r="K56" s="277" t="str">
        <f>VLOOKUP(S56,통합목록!$E$4:$I$322,5,0)</f>
        <v>열기2-03.행정쟁송법\02.문제\[기출][2021-1-2]무효확인소송 계속 중 동일한 처분에 대한 취소소송 추가 병합의 적법 여부.txt</v>
      </c>
      <c r="L56" s="278" t="s">
        <v>1282</v>
      </c>
      <c r="M56" s="279"/>
      <c r="N56" s="277" t="str">
        <f t="shared" si="7"/>
        <v>제08장 청구의 병합과 소의 변경&gt;01&gt;1-2&gt;</v>
      </c>
      <c r="O56" s="277" t="str">
        <f t="shared" si="8"/>
        <v>제08장 청구의 병합과 소의 변경&gt;제01절 관련청구소송의 병합・이송&gt;01</v>
      </c>
      <c r="P56" s="277" t="str">
        <f t="shared" si="9"/>
        <v>기출&gt;2021&gt;4</v>
      </c>
      <c r="Q56" s="277" t="str">
        <f t="shared" si="10"/>
        <v>기출&gt;2021&gt;1-2</v>
      </c>
      <c r="S56" s="5" t="str">
        <f t="shared" si="11"/>
        <v>2021-1-2</v>
      </c>
    </row>
    <row r="57" spans="2:19" ht="14.45" hidden="1" customHeight="1" x14ac:dyDescent="0.2">
      <c r="B57" s="230">
        <f t="shared" si="6"/>
        <v>54</v>
      </c>
      <c r="C57" s="280">
        <v>2021</v>
      </c>
      <c r="D57" s="276" t="s">
        <v>457</v>
      </c>
      <c r="E57" s="276" t="s">
        <v>397</v>
      </c>
      <c r="F57" s="252" t="s">
        <v>1405</v>
      </c>
      <c r="G57" s="276" t="s">
        <v>412</v>
      </c>
      <c r="H57" s="340" t="s">
        <v>1775</v>
      </c>
      <c r="I57" s="276" t="s">
        <v>401</v>
      </c>
      <c r="J57" s="252" t="s">
        <v>1327</v>
      </c>
      <c r="K57" s="277" t="str">
        <f>VLOOKUP(S57,통합목록!$E$4:$I$322,5,0)</f>
        <v>열기2-03.행정쟁송법\02.문제\[기출][2021-1-3]무효확인소송 기각판결 확정 후 후속 국가배상청구소송에서 수소법원의 법령 위반 인정 여부.txt</v>
      </c>
      <c r="L57" s="278" t="s">
        <v>1282</v>
      </c>
      <c r="M57" s="279"/>
      <c r="N57" s="277" t="str">
        <f t="shared" si="7"/>
        <v>제09장 무효등 확인소송&gt;04&gt;1-3&gt;</v>
      </c>
      <c r="O57" s="277" t="str">
        <f t="shared" si="8"/>
        <v>제09장 무효등 확인소송&gt;제04절 무효등 확인소송의 종료&gt;02</v>
      </c>
      <c r="P57" s="277" t="str">
        <f t="shared" si="9"/>
        <v>기출&gt;2021&gt;3</v>
      </c>
      <c r="Q57" s="277" t="str">
        <f t="shared" si="10"/>
        <v>기출&gt;2021&gt;1-3</v>
      </c>
      <c r="S57" s="5" t="str">
        <f t="shared" si="11"/>
        <v>2021-1-3</v>
      </c>
    </row>
    <row r="58" spans="2:19" ht="14.45" hidden="1" customHeight="1" x14ac:dyDescent="0.2">
      <c r="B58" s="230">
        <f t="shared" si="6"/>
        <v>55</v>
      </c>
      <c r="C58" s="280">
        <v>2021</v>
      </c>
      <c r="D58" s="276" t="s">
        <v>400</v>
      </c>
      <c r="E58" s="276" t="s">
        <v>400</v>
      </c>
      <c r="F58" s="252" t="s">
        <v>1398</v>
      </c>
      <c r="G58" s="276" t="s">
        <v>1408</v>
      </c>
      <c r="H58" s="340" t="s">
        <v>424</v>
      </c>
      <c r="I58" s="276" t="s">
        <v>401</v>
      </c>
      <c r="J58" s="252" t="s">
        <v>2251</v>
      </c>
      <c r="K58" s="277" t="str">
        <f>VLOOKUP(S58,통합목록!$E$4:$I$322,5,0)</f>
        <v>열기2-03.행정쟁송법\02.문제\[기출][2021-2]행정청의 환지예정지지정처분에 대한 사정재결 후 취소소송 대상.txt</v>
      </c>
      <c r="L58" s="278" t="s">
        <v>1282</v>
      </c>
      <c r="M58" s="279"/>
      <c r="N58" s="277" t="str">
        <f t="shared" si="7"/>
        <v>제02장 취소소송의 대상적격&gt;05&gt;2&gt;</v>
      </c>
      <c r="O58" s="277" t="str">
        <f t="shared" si="8"/>
        <v>제02장 취소소송의 대상적격&gt;제03절 재결&gt;02</v>
      </c>
      <c r="P58" s="277" t="str">
        <f t="shared" si="9"/>
        <v>기출&gt;2021&gt;2</v>
      </c>
      <c r="Q58" s="277" t="str">
        <f t="shared" si="10"/>
        <v>기출&gt;2021&gt;2</v>
      </c>
      <c r="S58" s="5" t="str">
        <f t="shared" si="11"/>
        <v>2021-2</v>
      </c>
    </row>
    <row r="59" spans="2:19" ht="14.45" hidden="1" customHeight="1" x14ac:dyDescent="0.2">
      <c r="B59" s="230">
        <f t="shared" si="6"/>
        <v>56</v>
      </c>
      <c r="C59" s="280">
        <v>2021</v>
      </c>
      <c r="D59" s="276" t="s">
        <v>397</v>
      </c>
      <c r="E59" s="276" t="s">
        <v>398</v>
      </c>
      <c r="F59" s="252" t="s">
        <v>1401</v>
      </c>
      <c r="G59" s="276" t="s">
        <v>401</v>
      </c>
      <c r="H59" s="340" t="s">
        <v>453</v>
      </c>
      <c r="I59" s="276" t="s">
        <v>399</v>
      </c>
      <c r="J59" s="252" t="s">
        <v>2252</v>
      </c>
      <c r="K59" s="277" t="str">
        <f>VLOOKUP(S59,통합목록!$E$4:$I$322,5,0)</f>
        <v>열기2-03.행정쟁송법\02.문제\[기출][2021-3]취소소송 계속 중 피고 행정청이 당초 징계사유 외에 다른 징계사유를 추가적으로 주장할 수 있는지 여부.txt</v>
      </c>
      <c r="L59" s="278" t="s">
        <v>1282</v>
      </c>
      <c r="M59" s="279"/>
      <c r="N59" s="277" t="str">
        <f t="shared" si="7"/>
        <v>제05장 취소소송의 심리&gt;02&gt;3&gt;</v>
      </c>
      <c r="O59" s="277" t="str">
        <f t="shared" si="8"/>
        <v>제05장 취소소송의 심리&gt;제03절 처분사유의 추가・변경&gt;01</v>
      </c>
      <c r="P59" s="277" t="str">
        <f t="shared" si="9"/>
        <v>기출&gt;2021&gt;1</v>
      </c>
      <c r="Q59" s="277" t="str">
        <f t="shared" si="10"/>
        <v>기출&gt;2021&gt;3</v>
      </c>
      <c r="S59" s="5" t="str">
        <f t="shared" si="11"/>
        <v>2021-3</v>
      </c>
    </row>
    <row r="60" spans="2:19" ht="14.45" hidden="1" customHeight="1" x14ac:dyDescent="0.2">
      <c r="B60" s="230">
        <f t="shared" si="6"/>
        <v>57</v>
      </c>
      <c r="C60" s="280">
        <v>2020</v>
      </c>
      <c r="D60" s="276" t="s">
        <v>413</v>
      </c>
      <c r="E60" s="276" t="s">
        <v>429</v>
      </c>
      <c r="F60" s="252" t="s">
        <v>1398</v>
      </c>
      <c r="G60" s="276" t="s">
        <v>430</v>
      </c>
      <c r="H60" s="340" t="s">
        <v>424</v>
      </c>
      <c r="I60" s="276" t="s">
        <v>403</v>
      </c>
      <c r="J60" s="252" t="s">
        <v>2253</v>
      </c>
      <c r="K60" s="277" t="str">
        <f>VLOOKUP(S60,통합목록!$E$4:$I$322,5,0)</f>
        <v>열기2-03.행정쟁송법\02.문제\[기출][2020-1-1]일부인용재결 및 감경처분에 따른 취소소송의 대상적격・피고적격・제소기간 준수 여부.txt</v>
      </c>
      <c r="L60" s="278" t="s">
        <v>1282</v>
      </c>
      <c r="M60" s="279"/>
      <c r="N60" s="277" t="str">
        <f t="shared" si="7"/>
        <v>제02장 취소소송의 대상적격&gt;06&gt;1-1&gt;</v>
      </c>
      <c r="O60" s="277" t="str">
        <f t="shared" si="8"/>
        <v>제02장 취소소송의 대상적격&gt;제03절 재결&gt;03</v>
      </c>
      <c r="P60" s="277" t="str">
        <f t="shared" si="9"/>
        <v>기출&gt;2020&gt;6</v>
      </c>
      <c r="Q60" s="277" t="str">
        <f t="shared" si="10"/>
        <v>기출&gt;2020&gt;1-1</v>
      </c>
      <c r="S60" s="5" t="str">
        <f t="shared" si="11"/>
        <v>2020-1-1</v>
      </c>
    </row>
    <row r="61" spans="2:19" ht="14.45" hidden="1" customHeight="1" x14ac:dyDescent="0.2">
      <c r="B61" s="230">
        <f t="shared" si="6"/>
        <v>58</v>
      </c>
      <c r="C61" s="280">
        <v>2020</v>
      </c>
      <c r="D61" s="276" t="s">
        <v>413</v>
      </c>
      <c r="E61" s="276" t="s">
        <v>425</v>
      </c>
      <c r="F61" s="252" t="s">
        <v>2080</v>
      </c>
      <c r="G61" s="276" t="s">
        <v>1856</v>
      </c>
      <c r="H61" s="340" t="s">
        <v>2083</v>
      </c>
      <c r="I61" s="276" t="s">
        <v>418</v>
      </c>
      <c r="J61" s="252" t="s">
        <v>2253</v>
      </c>
      <c r="K61" s="277" t="str">
        <f>VLOOKUP(S61,통합목록!$E$4:$I$322,5,0)</f>
        <v>열기2-03.행정쟁송법\02.문제\[기출][2020-1-1]일부인용재결 및 감경처분에 따른 취소소송의 대상적격・피고적격・제소기간 준수 여부.txt</v>
      </c>
      <c r="L61" s="278" t="s">
        <v>1282</v>
      </c>
      <c r="M61" s="279"/>
      <c r="N61" s="277" t="str">
        <f t="shared" si="7"/>
        <v>제03장 취소소송의 당사자적격&gt;08&gt;1-1&gt;</v>
      </c>
      <c r="O61" s="277" t="str">
        <f t="shared" si="8"/>
        <v>제03장 취소소송의 당사자적격&gt;제02절 피고적격&gt;05</v>
      </c>
      <c r="P61" s="277" t="str">
        <f t="shared" si="9"/>
        <v>기출&gt;2020&gt;5</v>
      </c>
      <c r="Q61" s="277" t="str">
        <f t="shared" si="10"/>
        <v>기출&gt;2020&gt;1-1</v>
      </c>
      <c r="S61" s="5" t="str">
        <f t="shared" si="11"/>
        <v>2020-1-1</v>
      </c>
    </row>
    <row r="62" spans="2:19" ht="14.45" hidden="1" customHeight="1" x14ac:dyDescent="0.2">
      <c r="B62" s="230">
        <f t="shared" si="6"/>
        <v>59</v>
      </c>
      <c r="C62" s="280">
        <v>2020</v>
      </c>
      <c r="D62" s="276" t="s">
        <v>413</v>
      </c>
      <c r="E62" s="276" t="s">
        <v>411</v>
      </c>
      <c r="F62" s="252" t="s">
        <v>2081</v>
      </c>
      <c r="G62" s="276" t="s">
        <v>428</v>
      </c>
      <c r="H62" s="340" t="s">
        <v>2093</v>
      </c>
      <c r="I62" s="276" t="s">
        <v>416</v>
      </c>
      <c r="J62" s="252" t="s">
        <v>2253</v>
      </c>
      <c r="K62" s="277" t="str">
        <f>VLOOKUP(S62,통합목록!$E$4:$I$322,5,0)</f>
        <v>열기2-03.행정쟁송법\02.문제\[기출][2020-1-1]일부인용재결 및 감경처분에 따른 취소소송의 대상적격・피고적격・제소기간 준수 여부.txt</v>
      </c>
      <c r="L62" s="278" t="s">
        <v>1282</v>
      </c>
      <c r="M62" s="279"/>
      <c r="N62" s="277" t="str">
        <f t="shared" si="7"/>
        <v>제04장 취소소송의 기타 소송요건&gt;05&gt;1-1&gt;</v>
      </c>
      <c r="O62" s="277" t="str">
        <f t="shared" si="8"/>
        <v>제04장 취소소송의 기타 소송요건&gt;.제02절 제소기간&gt;04</v>
      </c>
      <c r="P62" s="277" t="str">
        <f t="shared" si="9"/>
        <v>기출&gt;2020&gt;4</v>
      </c>
      <c r="Q62" s="277" t="str">
        <f t="shared" si="10"/>
        <v>기출&gt;2020&gt;1-1</v>
      </c>
      <c r="S62" s="5" t="str">
        <f t="shared" si="11"/>
        <v>2020-1-1</v>
      </c>
    </row>
    <row r="63" spans="2:19" ht="14.45" hidden="1" customHeight="1" x14ac:dyDescent="0.2">
      <c r="B63" s="230">
        <f t="shared" si="6"/>
        <v>60</v>
      </c>
      <c r="C63" s="280">
        <v>2020</v>
      </c>
      <c r="D63" s="276" t="s">
        <v>404</v>
      </c>
      <c r="E63" s="276" t="s">
        <v>397</v>
      </c>
      <c r="F63" s="252" t="s">
        <v>1399</v>
      </c>
      <c r="G63" s="276" t="s">
        <v>1857</v>
      </c>
      <c r="H63" s="340" t="s">
        <v>441</v>
      </c>
      <c r="I63" s="276" t="s">
        <v>401</v>
      </c>
      <c r="J63" s="252" t="s">
        <v>2254</v>
      </c>
      <c r="K63" s="277" t="str">
        <f>VLOOKUP(S63,통합목록!$E$4:$I$322,5,0)</f>
        <v>열기2-03.행정쟁송법\02.문제\[기출][2020-1-2]영업정지기간 도과 후 가중적 제재 우려가 있는 경우의 협의의 소의 이익 인정 여부.txt</v>
      </c>
      <c r="L63" s="278" t="s">
        <v>1282</v>
      </c>
      <c r="M63" s="279"/>
      <c r="N63" s="277" t="str">
        <f t="shared" si="7"/>
        <v>제03장 취소소송의 당사자적격&gt;09&gt;1-2&gt;</v>
      </c>
      <c r="O63" s="277" t="str">
        <f t="shared" si="8"/>
        <v>제03장 취소소송의 당사자적격&gt;제03절 권리보호의 필요(협의의 소의 이익)&gt;02</v>
      </c>
      <c r="P63" s="277" t="str">
        <f t="shared" si="9"/>
        <v>기출&gt;2020&gt;3</v>
      </c>
      <c r="Q63" s="277" t="str">
        <f t="shared" si="10"/>
        <v>기출&gt;2020&gt;1-2</v>
      </c>
      <c r="S63" s="5" t="str">
        <f t="shared" si="11"/>
        <v>2020-1-2</v>
      </c>
    </row>
    <row r="64" spans="2:19" ht="14.45" hidden="1" customHeight="1" x14ac:dyDescent="0.2">
      <c r="B64" s="230">
        <f t="shared" si="6"/>
        <v>61</v>
      </c>
      <c r="C64" s="280">
        <v>2020</v>
      </c>
      <c r="D64" s="276" t="s">
        <v>400</v>
      </c>
      <c r="E64" s="276" t="s">
        <v>400</v>
      </c>
      <c r="F64" s="252" t="s">
        <v>478</v>
      </c>
      <c r="G64" s="276" t="s">
        <v>399</v>
      </c>
      <c r="H64" s="340" t="s">
        <v>479</v>
      </c>
      <c r="I64" s="276" t="s">
        <v>399</v>
      </c>
      <c r="J64" s="252" t="s">
        <v>2255</v>
      </c>
      <c r="K64" s="277" t="str">
        <f>VLOOKUP(S64,통합목록!$E$4:$I$322,5,0)</f>
        <v>열기2-03.행정쟁송법\02.문제\[기출][2020-2]이의신청에 대한 행정청의 기각결정을 행정심판의 기각재결로 볼 수 있는지 여부.txt</v>
      </c>
      <c r="L64" s="278" t="s">
        <v>1282</v>
      </c>
      <c r="M64" s="279"/>
      <c r="N64" s="277" t="str">
        <f t="shared" si="7"/>
        <v>제11장 행정심판의 일반론&gt;01&gt;2&gt;</v>
      </c>
      <c r="O64" s="277" t="str">
        <f t="shared" si="8"/>
        <v>제11장 행정심판의 일반론&gt;제01절 서설&gt;01</v>
      </c>
      <c r="P64" s="277" t="str">
        <f t="shared" si="9"/>
        <v>기출&gt;2020&gt;2</v>
      </c>
      <c r="Q64" s="277" t="str">
        <f t="shared" si="10"/>
        <v>기출&gt;2020&gt;2</v>
      </c>
      <c r="S64" s="5" t="str">
        <f t="shared" si="11"/>
        <v>2020-2</v>
      </c>
    </row>
    <row r="65" spans="2:19" ht="14.45" hidden="1" customHeight="1" x14ac:dyDescent="0.2">
      <c r="B65" s="230">
        <f t="shared" si="6"/>
        <v>62</v>
      </c>
      <c r="C65" s="280">
        <v>2020</v>
      </c>
      <c r="D65" s="276" t="s">
        <v>397</v>
      </c>
      <c r="E65" s="276" t="s">
        <v>398</v>
      </c>
      <c r="F65" s="252" t="s">
        <v>471</v>
      </c>
      <c r="G65" s="276" t="s">
        <v>403</v>
      </c>
      <c r="H65" s="340" t="s">
        <v>472</v>
      </c>
      <c r="I65" s="276" t="s">
        <v>399</v>
      </c>
      <c r="J65" s="252" t="s">
        <v>2256</v>
      </c>
      <c r="K65" s="277" t="str">
        <f>VLOOKUP(S65,통합목록!$E$4:$I$322,5,0)</f>
        <v>열기2-03.행정쟁송법\02.문제\[기출][2020-3]공사중지명령 철회신청에 대한 무응답 행위의 위법 부작위 해당 여부.txt</v>
      </c>
      <c r="L65" s="278" t="s">
        <v>1282</v>
      </c>
      <c r="M65" s="279"/>
      <c r="N65" s="277" t="str">
        <f t="shared" si="7"/>
        <v>제10장 부작위위법확인소송 및 기타소송&gt;03&gt;3&gt;</v>
      </c>
      <c r="O65" s="277" t="str">
        <f t="shared" si="8"/>
        <v>제10장 부작위위법확인소송 및 기타소송&gt;제01절 부작위위법확인소송&gt;01</v>
      </c>
      <c r="P65" s="277" t="str">
        <f t="shared" si="9"/>
        <v>기출&gt;2020&gt;1</v>
      </c>
      <c r="Q65" s="277" t="str">
        <f t="shared" si="10"/>
        <v>기출&gt;2020&gt;3</v>
      </c>
      <c r="S65" s="5" t="str">
        <f t="shared" si="11"/>
        <v>2020-3</v>
      </c>
    </row>
    <row r="66" spans="2:19" ht="14.45" hidden="1" customHeight="1" x14ac:dyDescent="0.2">
      <c r="B66" s="230">
        <f t="shared" si="6"/>
        <v>63</v>
      </c>
      <c r="C66" s="280">
        <v>2019</v>
      </c>
      <c r="D66" s="276" t="s">
        <v>413</v>
      </c>
      <c r="E66" s="276" t="s">
        <v>411</v>
      </c>
      <c r="F66" s="252" t="s">
        <v>1402</v>
      </c>
      <c r="G66" s="276" t="s">
        <v>1370</v>
      </c>
      <c r="H66" s="340" t="s">
        <v>456</v>
      </c>
      <c r="I66" s="276" t="s">
        <v>401</v>
      </c>
      <c r="J66" s="252" t="s">
        <v>2257</v>
      </c>
      <c r="K66" s="277" t="str">
        <f>VLOOKUP(S66,통합목록!$E$4:$I$322,5,0)</f>
        <v>열기2-03.행정쟁송법\02.문제\[기출][2019-1-1]절차상 하자로 취소된 재심판정에 대한 확정판결 기속력의 내용과 중앙노동위원회의 법적 의무.txt</v>
      </c>
      <c r="L66" s="278" t="s">
        <v>1282</v>
      </c>
      <c r="M66" s="279"/>
      <c r="N66" s="277" t="str">
        <f t="shared" si="7"/>
        <v>제06장 취소소송의 종료&gt;03&gt;1-1&gt;</v>
      </c>
      <c r="O66" s="277" t="str">
        <f t="shared" si="8"/>
        <v>제06장 취소소송의 종료&gt;제02절 판결의 효력&gt;02</v>
      </c>
      <c r="P66" s="277" t="str">
        <f t="shared" si="9"/>
        <v>기출&gt;2019&gt;4</v>
      </c>
      <c r="Q66" s="277" t="str">
        <f t="shared" si="10"/>
        <v>기출&gt;2019&gt;1-1</v>
      </c>
      <c r="S66" s="5" t="str">
        <f t="shared" si="11"/>
        <v>2019-1-1</v>
      </c>
    </row>
    <row r="67" spans="2:19" ht="14.45" hidden="1" customHeight="1" x14ac:dyDescent="0.2">
      <c r="B67" s="230">
        <f t="shared" si="6"/>
        <v>64</v>
      </c>
      <c r="C67" s="280">
        <v>2019</v>
      </c>
      <c r="D67" s="276" t="s">
        <v>404</v>
      </c>
      <c r="E67" s="276" t="s">
        <v>397</v>
      </c>
      <c r="F67" s="252" t="s">
        <v>1401</v>
      </c>
      <c r="G67" s="276" t="s">
        <v>426</v>
      </c>
      <c r="H67" s="340" t="s">
        <v>453</v>
      </c>
      <c r="I67" s="276" t="s">
        <v>401</v>
      </c>
      <c r="J67" s="252" t="s">
        <v>2258</v>
      </c>
      <c r="K67" s="277" t="str">
        <f>VLOOKUP(S67,통합목록!$E$4:$I$322,5,0)</f>
        <v>열기2-03.행정쟁송법\02.문제\[기출][2019-1-2]취소소송 계속 중 피고인 중앙노동위원회가 징계사유를 추가적으로 주장하는 것의 허용 여부 및 타당성.txt</v>
      </c>
      <c r="L67" s="278" t="s">
        <v>1282</v>
      </c>
      <c r="M67" s="279"/>
      <c r="N67" s="277" t="str">
        <f t="shared" si="7"/>
        <v>제05장 취소소송의 심리&gt;03&gt;1-2&gt;</v>
      </c>
      <c r="O67" s="277" t="str">
        <f t="shared" si="8"/>
        <v>제05장 취소소송의 심리&gt;제03절 처분사유의 추가・변경&gt;02</v>
      </c>
      <c r="P67" s="277" t="str">
        <f t="shared" si="9"/>
        <v>기출&gt;2019&gt;3</v>
      </c>
      <c r="Q67" s="277" t="str">
        <f t="shared" si="10"/>
        <v>기출&gt;2019&gt;1-2</v>
      </c>
      <c r="S67" s="5" t="str">
        <f t="shared" si="11"/>
        <v>2019-1-2</v>
      </c>
    </row>
    <row r="68" spans="2:19" ht="14.45" hidden="1" customHeight="1" x14ac:dyDescent="0.2">
      <c r="B68" s="230">
        <f t="shared" ref="B68:B99" si="12">ROW()-3</f>
        <v>65</v>
      </c>
      <c r="C68" s="280">
        <v>2019</v>
      </c>
      <c r="D68" s="276" t="s">
        <v>400</v>
      </c>
      <c r="E68" s="276" t="s">
        <v>400</v>
      </c>
      <c r="F68" s="252" t="s">
        <v>489</v>
      </c>
      <c r="G68" s="276" t="s">
        <v>399</v>
      </c>
      <c r="H68" s="340" t="s">
        <v>1757</v>
      </c>
      <c r="I68" s="276" t="s">
        <v>399</v>
      </c>
      <c r="J68" s="252" t="s">
        <v>2259</v>
      </c>
      <c r="K68" s="277" t="str">
        <f>VLOOKUP(S68,통합목록!$E$4:$I$322,5,0)</f>
        <v>열기2-03.행정쟁송법\02.문제\[기출][2019-2]입학점수 공개거부취소재결의 실효성 확보를 위한 행정심판법상 구제 수단.txt</v>
      </c>
      <c r="L68" s="278" t="s">
        <v>1282</v>
      </c>
      <c r="M68" s="279"/>
      <c r="N68" s="277" t="str">
        <f t="shared" ref="N68:N99" si="13">F68&amp;"&gt;"&amp;G68&amp;"&gt;"&amp;D68&amp;"&gt;"&amp;M68</f>
        <v>제13장 행정심판의 심리・재결&gt;01&gt;2&gt;</v>
      </c>
      <c r="O68" s="277" t="str">
        <f t="shared" ref="O68:O99" si="14">F68&amp;"&gt;"&amp;H68&amp;"&gt;"&amp;I68</f>
        <v>제13장 행정심판의 심리・재결&gt;제02절 행정심판의 재결&gt;01</v>
      </c>
      <c r="P68" s="277" t="str">
        <f t="shared" ref="P68:P99" si="15">L68&amp;"&gt;"&amp;C68&amp;"&gt;"&amp;E68</f>
        <v>기출&gt;2019&gt;2</v>
      </c>
      <c r="Q68" s="277" t="str">
        <f t="shared" ref="Q68:Q99" si="16">L68&amp;"&gt;"&amp;C68&amp;"&gt;"&amp;D68</f>
        <v>기출&gt;2019&gt;2</v>
      </c>
      <c r="S68" s="5" t="str">
        <f t="shared" ref="S68:S99" si="17">C68&amp;"-"&amp;D68</f>
        <v>2019-2</v>
      </c>
    </row>
    <row r="69" spans="2:19" ht="14.45" hidden="1" customHeight="1" x14ac:dyDescent="0.2">
      <c r="B69" s="230">
        <f t="shared" si="12"/>
        <v>66</v>
      </c>
      <c r="C69" s="280">
        <v>2019</v>
      </c>
      <c r="D69" s="276" t="s">
        <v>397</v>
      </c>
      <c r="E69" s="276" t="s">
        <v>398</v>
      </c>
      <c r="F69" s="252" t="s">
        <v>2168</v>
      </c>
      <c r="G69" s="276" t="s">
        <v>416</v>
      </c>
      <c r="H69" s="340" t="s">
        <v>2169</v>
      </c>
      <c r="I69" s="276" t="s">
        <v>2195</v>
      </c>
      <c r="J69" s="252" t="s">
        <v>2171</v>
      </c>
      <c r="K69" s="277" t="str">
        <f>VLOOKUP(S69,통합목록!$E$4:$I$322,5,0)</f>
        <v>열기2-03.행정쟁송법\02.문제\[기출][2019-3]납세의무부존재확인소송의 법적 성질 및 소송법상 특징.txt</v>
      </c>
      <c r="L69" s="278" t="s">
        <v>1282</v>
      </c>
      <c r="M69" s="279"/>
      <c r="N69" s="277" t="str">
        <f t="shared" si="13"/>
        <v>제01장 행정소송의 일반론&gt;04&gt;3&gt;</v>
      </c>
      <c r="O69" s="277" t="str">
        <f t="shared" si="14"/>
        <v>제01장 행정소송의 일반론&gt;제02절 행정소송의 유형&gt;03</v>
      </c>
      <c r="P69" s="277" t="str">
        <f t="shared" si="15"/>
        <v>기출&gt;2019&gt;1</v>
      </c>
      <c r="Q69" s="277" t="str">
        <f t="shared" si="16"/>
        <v>기출&gt;2019&gt;3</v>
      </c>
      <c r="S69" s="5" t="str">
        <f t="shared" si="17"/>
        <v>2019-3</v>
      </c>
    </row>
    <row r="70" spans="2:19" ht="14.45" hidden="1" customHeight="1" x14ac:dyDescent="0.2">
      <c r="B70" s="230">
        <f t="shared" si="12"/>
        <v>67</v>
      </c>
      <c r="C70" s="280">
        <v>2018</v>
      </c>
      <c r="D70" s="276" t="s">
        <v>413</v>
      </c>
      <c r="E70" s="276" t="s">
        <v>411</v>
      </c>
      <c r="F70" s="252" t="s">
        <v>487</v>
      </c>
      <c r="G70" s="276" t="s">
        <v>403</v>
      </c>
      <c r="H70" s="340" t="s">
        <v>1778</v>
      </c>
      <c r="I70" s="276" t="s">
        <v>399</v>
      </c>
      <c r="J70" s="252" t="s">
        <v>2260</v>
      </c>
      <c r="K70" s="277" t="str">
        <f>VLOOKUP(S70,통합목록!$E$4:$I$322,5,0)</f>
        <v>열기2-03.행정쟁송법\02.문제\[기출][2018-1-1]거부처분에 대한 행정심판 청구 시 임시처분의 요건 및 사안에의 인용가능성.txt</v>
      </c>
      <c r="L70" s="278" t="s">
        <v>1282</v>
      </c>
      <c r="M70" s="279"/>
      <c r="N70" s="277" t="str">
        <f t="shared" si="13"/>
        <v>제12장 행정심판의 청구요건 및 가구제&gt;03&gt;1-1&gt;</v>
      </c>
      <c r="O70" s="277" t="str">
        <f t="shared" si="14"/>
        <v>제12장 행정심판의 청구요건 및 가구제&gt;제05절 가구제&gt;01</v>
      </c>
      <c r="P70" s="277" t="str">
        <f t="shared" si="15"/>
        <v>기출&gt;2018&gt;4</v>
      </c>
      <c r="Q70" s="277" t="str">
        <f t="shared" si="16"/>
        <v>기출&gt;2018&gt;1-1</v>
      </c>
      <c r="S70" s="5" t="str">
        <f t="shared" si="17"/>
        <v>2018-1-1</v>
      </c>
    </row>
    <row r="71" spans="2:19" ht="14.45" hidden="1" customHeight="1" x14ac:dyDescent="0.2">
      <c r="B71" s="230">
        <f t="shared" si="12"/>
        <v>68</v>
      </c>
      <c r="C71" s="280">
        <v>2018</v>
      </c>
      <c r="D71" s="276" t="s">
        <v>404</v>
      </c>
      <c r="E71" s="276" t="s">
        <v>397</v>
      </c>
      <c r="F71" s="252" t="s">
        <v>1402</v>
      </c>
      <c r="G71" s="276" t="s">
        <v>1371</v>
      </c>
      <c r="H71" s="340" t="s">
        <v>456</v>
      </c>
      <c r="I71" s="276" t="s">
        <v>403</v>
      </c>
      <c r="J71" s="252" t="s">
        <v>2261</v>
      </c>
      <c r="K71" s="277" t="str">
        <f>VLOOKUP(S71,통합목록!$E$4:$I$322,5,0)</f>
        <v>열기2-03.행정쟁송법\02.문제\[기출][2018-1-2]기속력의 객관적 범위와 다른 사유를 근거로 한 재거부처분의 적법성 여부.txt</v>
      </c>
      <c r="L71" s="278" t="s">
        <v>1282</v>
      </c>
      <c r="M71" s="279"/>
      <c r="N71" s="277" t="str">
        <f t="shared" si="13"/>
        <v>제06장 취소소송의 종료&gt;04&gt;1-2&gt;</v>
      </c>
      <c r="O71" s="277" t="str">
        <f t="shared" si="14"/>
        <v>제06장 취소소송의 종료&gt;제02절 판결의 효력&gt;03</v>
      </c>
      <c r="P71" s="277" t="str">
        <f t="shared" si="15"/>
        <v>기출&gt;2018&gt;3</v>
      </c>
      <c r="Q71" s="277" t="str">
        <f t="shared" si="16"/>
        <v>기출&gt;2018&gt;1-2</v>
      </c>
      <c r="S71" s="5" t="str">
        <f t="shared" si="17"/>
        <v>2018-1-2</v>
      </c>
    </row>
    <row r="72" spans="2:19" ht="14.45" hidden="1" customHeight="1" x14ac:dyDescent="0.2">
      <c r="B72" s="230">
        <f t="shared" si="12"/>
        <v>69</v>
      </c>
      <c r="C72" s="280">
        <v>2018</v>
      </c>
      <c r="D72" s="276" t="s">
        <v>400</v>
      </c>
      <c r="E72" s="276" t="s">
        <v>400</v>
      </c>
      <c r="F72" s="252" t="s">
        <v>1405</v>
      </c>
      <c r="G72" s="276" t="s">
        <v>418</v>
      </c>
      <c r="H72" s="340" t="s">
        <v>468</v>
      </c>
      <c r="I72" s="276" t="s">
        <v>399</v>
      </c>
      <c r="J72" s="252" t="s">
        <v>2262</v>
      </c>
      <c r="K72" s="277" t="str">
        <f>VLOOKUP(S72,통합목록!$E$4:$I$322,5,0)</f>
        <v>열기2-03.행정쟁송법\02.문제\[기출][2018-2]공사중지명령의 무효확인을 구하는 소송에서 심리 결과 취소사유만 인정되는 경우 법원의 판단.txt</v>
      </c>
      <c r="L72" s="278" t="s">
        <v>1282</v>
      </c>
      <c r="M72" s="279"/>
      <c r="N72" s="277" t="str">
        <f t="shared" si="13"/>
        <v>제09장 무효등 확인소송&gt;05&gt;2&gt;</v>
      </c>
      <c r="O72" s="277" t="str">
        <f t="shared" si="14"/>
        <v>제09장 무효등 확인소송&gt;제05절 취소소송과의 관계&gt;01</v>
      </c>
      <c r="P72" s="277" t="str">
        <f t="shared" si="15"/>
        <v>기출&gt;2018&gt;2</v>
      </c>
      <c r="Q72" s="277" t="str">
        <f t="shared" si="16"/>
        <v>기출&gt;2018&gt;2</v>
      </c>
      <c r="S72" s="5" t="str">
        <f t="shared" si="17"/>
        <v>2018-2</v>
      </c>
    </row>
    <row r="73" spans="2:19" ht="14.45" hidden="1" customHeight="1" x14ac:dyDescent="0.2">
      <c r="B73" s="230">
        <f t="shared" si="12"/>
        <v>70</v>
      </c>
      <c r="C73" s="280">
        <v>2018</v>
      </c>
      <c r="D73" s="276" t="s">
        <v>397</v>
      </c>
      <c r="E73" s="276" t="s">
        <v>398</v>
      </c>
      <c r="F73" s="252" t="s">
        <v>2178</v>
      </c>
      <c r="G73" s="276" t="s">
        <v>401</v>
      </c>
      <c r="H73" s="340" t="s">
        <v>1741</v>
      </c>
      <c r="I73" s="276" t="s">
        <v>401</v>
      </c>
      <c r="J73" s="252" t="s">
        <v>2263</v>
      </c>
      <c r="K73" s="277" t="str">
        <f>VLOOKUP(S73,통합목록!$E$4:$I$322,5,0)</f>
        <v>열기2-03.행정쟁송법\02.문제\[기출][2018-3]영업정지처분 취소소송과 그 처분으로 인한 영업 손해에 대한 국가배상청구소송의 병합 적법 여부.txt</v>
      </c>
      <c r="L73" s="278" t="s">
        <v>1282</v>
      </c>
      <c r="M73" s="279"/>
      <c r="N73" s="277" t="str">
        <f t="shared" si="13"/>
        <v>제08장 청구의 병합과 소의 변경&gt;02&gt;3&gt;</v>
      </c>
      <c r="O73" s="277" t="str">
        <f t="shared" si="14"/>
        <v>제08장 청구의 병합과 소의 변경&gt;제01절 관련청구소송의 병합・이송&gt;02</v>
      </c>
      <c r="P73" s="277" t="str">
        <f t="shared" si="15"/>
        <v>기출&gt;2018&gt;1</v>
      </c>
      <c r="Q73" s="277" t="str">
        <f t="shared" si="16"/>
        <v>기출&gt;2018&gt;3</v>
      </c>
      <c r="S73" s="5" t="str">
        <f t="shared" si="17"/>
        <v>2018-3</v>
      </c>
    </row>
    <row r="74" spans="2:19" ht="14.45" hidden="1" customHeight="1" x14ac:dyDescent="0.2">
      <c r="B74" s="230">
        <f t="shared" si="12"/>
        <v>71</v>
      </c>
      <c r="C74" s="280">
        <v>2017</v>
      </c>
      <c r="D74" s="276" t="s">
        <v>413</v>
      </c>
      <c r="E74" s="276" t="s">
        <v>429</v>
      </c>
      <c r="F74" s="252" t="s">
        <v>1398</v>
      </c>
      <c r="G74" s="276" t="s">
        <v>423</v>
      </c>
      <c r="H74" s="340" t="s">
        <v>424</v>
      </c>
      <c r="I74" s="276" t="s">
        <v>416</v>
      </c>
      <c r="J74" s="252" t="s">
        <v>2264</v>
      </c>
      <c r="K74" s="277" t="str">
        <f>VLOOKUP(S74,통합목록!$E$4:$I$322,5,0)</f>
        <v>열기2-03.행정쟁송법\02.문제\[기출][2017-1-1]감액변경처분에 대한 취소소송의 대상적격과 부적법한 행정심판을 거친 경우의 제소기간 준수 여부.txt</v>
      </c>
      <c r="L74" s="278" t="s">
        <v>1282</v>
      </c>
      <c r="M74" s="279" t="s">
        <v>427</v>
      </c>
      <c r="N74" s="277" t="str">
        <f t="shared" si="13"/>
        <v>제02장 취소소송의 대상적격&gt;07&gt;1-1&gt;2017-3 참조</v>
      </c>
      <c r="O74" s="277" t="str">
        <f t="shared" si="14"/>
        <v>제02장 취소소송의 대상적격&gt;제03절 재결&gt;04</v>
      </c>
      <c r="P74" s="277" t="str">
        <f t="shared" si="15"/>
        <v>기출&gt;2017&gt;6</v>
      </c>
      <c r="Q74" s="277" t="str">
        <f t="shared" si="16"/>
        <v>기출&gt;2017&gt;1-1</v>
      </c>
      <c r="S74" s="5" t="str">
        <f t="shared" si="17"/>
        <v>2017-1-1</v>
      </c>
    </row>
    <row r="75" spans="2:19" ht="14.45" hidden="1" customHeight="1" x14ac:dyDescent="0.2">
      <c r="B75" s="230">
        <f t="shared" si="12"/>
        <v>72</v>
      </c>
      <c r="C75" s="280">
        <v>2017</v>
      </c>
      <c r="D75" s="276" t="s">
        <v>413</v>
      </c>
      <c r="E75" s="276" t="s">
        <v>425</v>
      </c>
      <c r="F75" s="252" t="s">
        <v>2080</v>
      </c>
      <c r="G75" s="276" t="s">
        <v>447</v>
      </c>
      <c r="H75" s="340" t="s">
        <v>2083</v>
      </c>
      <c r="I75" s="276" t="s">
        <v>420</v>
      </c>
      <c r="J75" s="252" t="s">
        <v>2264</v>
      </c>
      <c r="K75" s="277" t="str">
        <f>VLOOKUP(S75,통합목록!$E$4:$I$322,5,0)</f>
        <v>열기2-03.행정쟁송법\02.문제\[기출][2017-1-1]감액변경처분에 대한 취소소송의 대상적격과 부적법한 행정심판을 거친 경우의 제소기간 준수 여부.txt</v>
      </c>
      <c r="L75" s="278" t="s">
        <v>1282</v>
      </c>
      <c r="M75" s="279"/>
      <c r="N75" s="277" t="str">
        <f t="shared" si="13"/>
        <v>제03장 취소소송의 당사자적격&gt;10&gt;1-1&gt;</v>
      </c>
      <c r="O75" s="277" t="str">
        <f t="shared" si="14"/>
        <v>제03장 취소소송의 당사자적격&gt;제02절 피고적격&gt;06</v>
      </c>
      <c r="P75" s="277" t="str">
        <f t="shared" si="15"/>
        <v>기출&gt;2017&gt;5</v>
      </c>
      <c r="Q75" s="277" t="str">
        <f t="shared" si="16"/>
        <v>기출&gt;2017&gt;1-1</v>
      </c>
      <c r="S75" s="5" t="str">
        <f t="shared" si="17"/>
        <v>2017-1-1</v>
      </c>
    </row>
    <row r="76" spans="2:19" ht="14.45" hidden="1" customHeight="1" x14ac:dyDescent="0.2">
      <c r="B76" s="230">
        <f t="shared" si="12"/>
        <v>73</v>
      </c>
      <c r="C76" s="280">
        <v>2017</v>
      </c>
      <c r="D76" s="276" t="s">
        <v>413</v>
      </c>
      <c r="E76" s="276" t="s">
        <v>411</v>
      </c>
      <c r="F76" s="252" t="s">
        <v>2081</v>
      </c>
      <c r="G76" s="276" t="s">
        <v>430</v>
      </c>
      <c r="H76" s="340" t="s">
        <v>2086</v>
      </c>
      <c r="I76" s="276" t="s">
        <v>418</v>
      </c>
      <c r="J76" s="252" t="s">
        <v>2264</v>
      </c>
      <c r="K76" s="277" t="str">
        <f>VLOOKUP(S76,통합목록!$E$4:$I$322,5,0)</f>
        <v>열기2-03.행정쟁송법\02.문제\[기출][2017-1-1]감액변경처분에 대한 취소소송의 대상적격과 부적법한 행정심판을 거친 경우의 제소기간 준수 여부.txt</v>
      </c>
      <c r="L76" s="278" t="s">
        <v>1282</v>
      </c>
      <c r="M76" s="279"/>
      <c r="N76" s="277" t="str">
        <f t="shared" si="13"/>
        <v>제04장 취소소송의 기타 소송요건&gt;06&gt;1-1&gt;</v>
      </c>
      <c r="O76" s="277" t="str">
        <f t="shared" si="14"/>
        <v>제04장 취소소송의 기타 소송요건&gt;제02절 제소기간&gt;05</v>
      </c>
      <c r="P76" s="277" t="str">
        <f t="shared" si="15"/>
        <v>기출&gt;2017&gt;4</v>
      </c>
      <c r="Q76" s="277" t="str">
        <f t="shared" si="16"/>
        <v>기출&gt;2017&gt;1-1</v>
      </c>
      <c r="S76" s="5" t="str">
        <f t="shared" si="17"/>
        <v>2017-1-1</v>
      </c>
    </row>
    <row r="77" spans="2:19" ht="14.45" hidden="1" customHeight="1" x14ac:dyDescent="0.2">
      <c r="B77" s="230">
        <f t="shared" si="12"/>
        <v>74</v>
      </c>
      <c r="C77" s="280">
        <v>2017</v>
      </c>
      <c r="D77" s="276" t="s">
        <v>404</v>
      </c>
      <c r="E77" s="276" t="s">
        <v>397</v>
      </c>
      <c r="F77" s="252" t="s">
        <v>1399</v>
      </c>
      <c r="G77" s="276" t="s">
        <v>1858</v>
      </c>
      <c r="H77" s="340" t="s">
        <v>441</v>
      </c>
      <c r="I77" s="276" t="s">
        <v>403</v>
      </c>
      <c r="J77" s="252" t="s">
        <v>2265</v>
      </c>
      <c r="K77" s="277" t="str">
        <f>VLOOKUP(S77,통합목록!$E$4:$I$322,5,0)</f>
        <v>열기2-03.행정쟁송법\02.문제\[기출][2017-1-2]해임처분취소소송 계속 중 정년에 도달한 공무원의 협의의 소의 이익 인정 여부.txt</v>
      </c>
      <c r="L77" s="278" t="s">
        <v>1282</v>
      </c>
      <c r="M77" s="279"/>
      <c r="N77" s="277" t="str">
        <f t="shared" si="13"/>
        <v>제03장 취소소송의 당사자적격&gt;11&gt;1-2&gt;</v>
      </c>
      <c r="O77" s="277" t="str">
        <f t="shared" si="14"/>
        <v>제03장 취소소송의 당사자적격&gt;제03절 권리보호의 필요(협의의 소의 이익)&gt;03</v>
      </c>
      <c r="P77" s="277" t="str">
        <f t="shared" si="15"/>
        <v>기출&gt;2017&gt;3</v>
      </c>
      <c r="Q77" s="277" t="str">
        <f t="shared" si="16"/>
        <v>기출&gt;2017&gt;1-2</v>
      </c>
      <c r="S77" s="5" t="str">
        <f t="shared" si="17"/>
        <v>2017-1-2</v>
      </c>
    </row>
    <row r="78" spans="2:19" ht="14.45" hidden="1" customHeight="1" x14ac:dyDescent="0.2">
      <c r="B78" s="230">
        <f t="shared" si="12"/>
        <v>75</v>
      </c>
      <c r="C78" s="280">
        <v>2017</v>
      </c>
      <c r="D78" s="276" t="s">
        <v>400</v>
      </c>
      <c r="E78" s="276" t="s">
        <v>400</v>
      </c>
      <c r="F78" s="252" t="s">
        <v>2168</v>
      </c>
      <c r="G78" s="276" t="s">
        <v>418</v>
      </c>
      <c r="H78" s="340" t="s">
        <v>2169</v>
      </c>
      <c r="I78" s="276" t="s">
        <v>2194</v>
      </c>
      <c r="J78" s="252" t="s">
        <v>2166</v>
      </c>
      <c r="K78" s="277" t="str">
        <f>VLOOKUP(S78,통합목록!$E$4:$I$322,5,0)</f>
        <v>열기2-03.행정쟁송법\02.문제\[기출][2017-2]무효인 보험료부과처분에 따라 기납부한 보험료 환급을 위해 제기할 수 있는 소송의 종류.txt</v>
      </c>
      <c r="L78" s="278" t="s">
        <v>1282</v>
      </c>
      <c r="M78" s="279"/>
      <c r="N78" s="277" t="str">
        <f t="shared" si="13"/>
        <v>제01장 행정소송의 일반론&gt;05&gt;2&gt;</v>
      </c>
      <c r="O78" s="277" t="str">
        <f t="shared" si="14"/>
        <v>제01장 행정소송의 일반론&gt;제02절 행정소송의 유형&gt;04</v>
      </c>
      <c r="P78" s="277" t="str">
        <f t="shared" si="15"/>
        <v>기출&gt;2017&gt;2</v>
      </c>
      <c r="Q78" s="277" t="str">
        <f t="shared" si="16"/>
        <v>기출&gt;2017&gt;2</v>
      </c>
      <c r="S78" s="5" t="str">
        <f t="shared" si="17"/>
        <v>2017-2</v>
      </c>
    </row>
    <row r="79" spans="2:19" ht="14.45" hidden="1" customHeight="1" x14ac:dyDescent="0.2">
      <c r="B79" s="230">
        <f t="shared" si="12"/>
        <v>76</v>
      </c>
      <c r="C79" s="280">
        <v>2017</v>
      </c>
      <c r="D79" s="276" t="s">
        <v>397</v>
      </c>
      <c r="E79" s="276" t="s">
        <v>398</v>
      </c>
      <c r="F79" s="252" t="s">
        <v>1398</v>
      </c>
      <c r="G79" s="276" t="s">
        <v>431</v>
      </c>
      <c r="H79" s="340" t="s">
        <v>424</v>
      </c>
      <c r="I79" s="276" t="s">
        <v>418</v>
      </c>
      <c r="J79" s="252" t="s">
        <v>71</v>
      </c>
      <c r="K79" s="277" t="str">
        <f>VLOOKUP(S79,통합목록!$E$4:$I$322,5,0)</f>
        <v>열기2-03.행정쟁송법\02.문제\[기출][2017-3]행정심판의 재결이 취소소송의 대상이 되는 경우.txt</v>
      </c>
      <c r="L79" s="278" t="s">
        <v>1282</v>
      </c>
      <c r="M79" s="279"/>
      <c r="N79" s="277" t="str">
        <f t="shared" si="13"/>
        <v>제02장 취소소송의 대상적격&gt;08&gt;3&gt;</v>
      </c>
      <c r="O79" s="277" t="str">
        <f t="shared" si="14"/>
        <v>제02장 취소소송의 대상적격&gt;제03절 재결&gt;05</v>
      </c>
      <c r="P79" s="277" t="str">
        <f t="shared" si="15"/>
        <v>기출&gt;2017&gt;1</v>
      </c>
      <c r="Q79" s="277" t="str">
        <f t="shared" si="16"/>
        <v>기출&gt;2017&gt;3</v>
      </c>
      <c r="S79" s="5" t="str">
        <f t="shared" si="17"/>
        <v>2017-3</v>
      </c>
    </row>
    <row r="80" spans="2:19" ht="14.45" hidden="1" customHeight="1" x14ac:dyDescent="0.2">
      <c r="B80" s="230">
        <f t="shared" si="12"/>
        <v>77</v>
      </c>
      <c r="C80" s="280">
        <v>2016</v>
      </c>
      <c r="D80" s="276" t="s">
        <v>413</v>
      </c>
      <c r="E80" s="276" t="s">
        <v>411</v>
      </c>
      <c r="F80" s="252" t="s">
        <v>1398</v>
      </c>
      <c r="G80" s="276" t="s">
        <v>414</v>
      </c>
      <c r="H80" s="340" t="s">
        <v>410</v>
      </c>
      <c r="I80" s="276" t="s">
        <v>416</v>
      </c>
      <c r="J80" s="252" t="s">
        <v>2266</v>
      </c>
      <c r="K80" s="277" t="str">
        <f>VLOOKUP(S80,통합목록!$E$4:$I$322,5,0)</f>
        <v>열기2-03.행정쟁송법\02.문제\[기출][2016-1-1]노동조합 설립신고 반려처분에 대한 취소소송상 소송요건과 가구제 및 본안 인용 시 권리구제 방안.txt</v>
      </c>
      <c r="L80" s="278" t="s">
        <v>1282</v>
      </c>
      <c r="M80" s="279"/>
      <c r="N80" s="277" t="str">
        <f t="shared" si="13"/>
        <v>제02장 취소소송의 대상적격&gt;09&gt;1-1&gt;</v>
      </c>
      <c r="O80" s="277" t="str">
        <f t="shared" si="14"/>
        <v>제02장 취소소송의 대상적격&gt;제02절 처분&gt;04</v>
      </c>
      <c r="P80" s="277" t="str">
        <f t="shared" si="15"/>
        <v>기출&gt;2016&gt;4</v>
      </c>
      <c r="Q80" s="277" t="str">
        <f t="shared" si="16"/>
        <v>기출&gt;2016&gt;1-1</v>
      </c>
      <c r="S80" s="5" t="str">
        <f t="shared" si="17"/>
        <v>2016-1-1</v>
      </c>
    </row>
    <row r="81" spans="2:19" ht="14.45" hidden="1" customHeight="1" x14ac:dyDescent="0.2">
      <c r="B81" s="230">
        <f t="shared" si="12"/>
        <v>78</v>
      </c>
      <c r="C81" s="280">
        <v>2016</v>
      </c>
      <c r="D81" s="276" t="s">
        <v>404</v>
      </c>
      <c r="E81" s="276" t="s">
        <v>397</v>
      </c>
      <c r="F81" s="252" t="s">
        <v>1398</v>
      </c>
      <c r="G81" s="276" t="s">
        <v>432</v>
      </c>
      <c r="H81" s="340" t="s">
        <v>424</v>
      </c>
      <c r="I81" s="276" t="s">
        <v>420</v>
      </c>
      <c r="J81" s="252" t="s">
        <v>2267</v>
      </c>
      <c r="K81" s="277" t="str">
        <f>VLOOKUP(S81,통합목록!$E$4:$I$322,5,0)</f>
        <v>열기2-03.행정쟁송법\02.문제\[기출][2016-1-2]중앙노동위원회의 일부인용 재심판정에 대하여 사용자가 제기하는 취소소송의 대상.txt</v>
      </c>
      <c r="L81" s="278" t="s">
        <v>1282</v>
      </c>
      <c r="M81" s="279"/>
      <c r="N81" s="277" t="str">
        <f t="shared" si="13"/>
        <v>제02장 취소소송의 대상적격&gt;10&gt;1-2&gt;</v>
      </c>
      <c r="O81" s="277" t="str">
        <f t="shared" si="14"/>
        <v>제02장 취소소송의 대상적격&gt;제03절 재결&gt;06</v>
      </c>
      <c r="P81" s="277" t="str">
        <f t="shared" si="15"/>
        <v>기출&gt;2016&gt;3</v>
      </c>
      <c r="Q81" s="277" t="str">
        <f t="shared" si="16"/>
        <v>기출&gt;2016&gt;1-2</v>
      </c>
      <c r="S81" s="5" t="str">
        <f t="shared" si="17"/>
        <v>2016-1-2</v>
      </c>
    </row>
    <row r="82" spans="2:19" ht="14.45" hidden="1" customHeight="1" x14ac:dyDescent="0.2">
      <c r="B82" s="230">
        <f t="shared" si="12"/>
        <v>79</v>
      </c>
      <c r="C82" s="280">
        <v>2016</v>
      </c>
      <c r="D82" s="276" t="s">
        <v>400</v>
      </c>
      <c r="E82" s="276" t="s">
        <v>400</v>
      </c>
      <c r="F82" s="252" t="s">
        <v>1402</v>
      </c>
      <c r="G82" s="276" t="s">
        <v>1372</v>
      </c>
      <c r="H82" s="340" t="s">
        <v>459</v>
      </c>
      <c r="I82" s="276" t="s">
        <v>399</v>
      </c>
      <c r="J82" s="252" t="s">
        <v>2268</v>
      </c>
      <c r="K82" s="277" t="str">
        <f>VLOOKUP(S82,통합목록!$E$4:$I$322,5,0)</f>
        <v>열기2-03.행정쟁송법\02.문제\[기출][2016-2]할인점 건축허가 거부처분 취소소송의 인용확정판결에 대한 인근 학교법인의 제3자 재심청구의 적법성 여부.txt</v>
      </c>
      <c r="L82" s="278" t="s">
        <v>1282</v>
      </c>
      <c r="M82" s="279"/>
      <c r="N82" s="277" t="str">
        <f t="shared" si="13"/>
        <v>제06장 취소소송의 종료&gt;05&gt;2&gt;</v>
      </c>
      <c r="O82" s="277" t="str">
        <f t="shared" si="14"/>
        <v>제06장 취소소송의 종료&gt;제03절 재심&gt;01</v>
      </c>
      <c r="P82" s="277" t="str">
        <f t="shared" si="15"/>
        <v>기출&gt;2016&gt;2</v>
      </c>
      <c r="Q82" s="277" t="str">
        <f t="shared" si="16"/>
        <v>기출&gt;2016&gt;2</v>
      </c>
      <c r="S82" s="5" t="str">
        <f t="shared" si="17"/>
        <v>2016-2</v>
      </c>
    </row>
    <row r="83" spans="2:19" ht="14.45" hidden="1" customHeight="1" x14ac:dyDescent="0.2">
      <c r="B83" s="230">
        <f t="shared" si="12"/>
        <v>80</v>
      </c>
      <c r="C83" s="280">
        <v>2016</v>
      </c>
      <c r="D83" s="276" t="s">
        <v>397</v>
      </c>
      <c r="E83" s="276" t="s">
        <v>398</v>
      </c>
      <c r="F83" s="252" t="s">
        <v>1399</v>
      </c>
      <c r="G83" s="276" t="s">
        <v>1859</v>
      </c>
      <c r="H83" s="340" t="s">
        <v>437</v>
      </c>
      <c r="I83" s="276" t="s">
        <v>403</v>
      </c>
      <c r="J83" s="252" t="s">
        <v>2269</v>
      </c>
      <c r="K83" s="277" t="str">
        <f>VLOOKUP(S83,통합목록!$E$4:$I$322,5,0)</f>
        <v>열기2-03.행정쟁송법\02.문제\[기출][2016-3]제3자효 행정행위의 취소소송에서 제3자의 원고적격 인정 범위와 유형별 판단 기준.txt</v>
      </c>
      <c r="L83" s="278" t="s">
        <v>1282</v>
      </c>
      <c r="M83" s="279"/>
      <c r="N83" s="277" t="str">
        <f t="shared" si="13"/>
        <v>제03장 취소소송의 당사자적격&gt;12&gt;3&gt;</v>
      </c>
      <c r="O83" s="277" t="str">
        <f t="shared" si="14"/>
        <v>제03장 취소소송의 당사자적격&gt;제01절 원고적격&gt;03</v>
      </c>
      <c r="P83" s="277" t="str">
        <f t="shared" si="15"/>
        <v>기출&gt;2016&gt;1</v>
      </c>
      <c r="Q83" s="277" t="str">
        <f t="shared" si="16"/>
        <v>기출&gt;2016&gt;3</v>
      </c>
      <c r="S83" s="5" t="str">
        <f t="shared" si="17"/>
        <v>2016-3</v>
      </c>
    </row>
    <row r="84" spans="2:19" ht="14.45" hidden="1" customHeight="1" x14ac:dyDescent="0.2">
      <c r="B84" s="230">
        <f t="shared" si="12"/>
        <v>81</v>
      </c>
      <c r="C84" s="280">
        <v>2015</v>
      </c>
      <c r="D84" s="276" t="s">
        <v>413</v>
      </c>
      <c r="E84" s="276" t="s">
        <v>411</v>
      </c>
      <c r="F84" s="252" t="s">
        <v>478</v>
      </c>
      <c r="G84" s="276" t="s">
        <v>401</v>
      </c>
      <c r="H84" s="340" t="s">
        <v>1766</v>
      </c>
      <c r="I84" s="276" t="s">
        <v>399</v>
      </c>
      <c r="J84" s="252" t="s">
        <v>2281</v>
      </c>
      <c r="K84" s="277" t="str">
        <f>VLOOKUP(S84,통합목록!$E$4:$I$322,5,0)</f>
        <v>열기2-03.행정쟁송법\02.문제\[기출][2015-1-1]개발행위 불허가 처분 시 불고지한 경우의 취소심판 청구기간의 경과 여부.txt</v>
      </c>
      <c r="L84" s="278" t="s">
        <v>1282</v>
      </c>
      <c r="M84" s="279"/>
      <c r="N84" s="277" t="str">
        <f t="shared" si="13"/>
        <v>제11장 행정심판의 일반론&gt;02&gt;1-1&gt;</v>
      </c>
      <c r="O84" s="277" t="str">
        <f t="shared" si="14"/>
        <v>제11장 행정심판의 일반론&gt;제03절 고지제도&gt;01</v>
      </c>
      <c r="P84" s="277" t="str">
        <f t="shared" si="15"/>
        <v>기출&gt;2015&gt;4</v>
      </c>
      <c r="Q84" s="277" t="str">
        <f t="shared" si="16"/>
        <v>기출&gt;2015&gt;1-1</v>
      </c>
      <c r="S84" s="5" t="str">
        <f t="shared" si="17"/>
        <v>2015-1-1</v>
      </c>
    </row>
    <row r="85" spans="2:19" ht="14.45" hidden="1" customHeight="1" x14ac:dyDescent="0.2">
      <c r="B85" s="230">
        <f t="shared" si="12"/>
        <v>82</v>
      </c>
      <c r="C85" s="280">
        <v>2015</v>
      </c>
      <c r="D85" s="276" t="s">
        <v>404</v>
      </c>
      <c r="E85" s="276" t="s">
        <v>397</v>
      </c>
      <c r="F85" s="252" t="s">
        <v>1401</v>
      </c>
      <c r="G85" s="276" t="s">
        <v>412</v>
      </c>
      <c r="H85" s="340" t="s">
        <v>453</v>
      </c>
      <c r="I85" s="276" t="s">
        <v>403</v>
      </c>
      <c r="J85" s="252" t="s">
        <v>2282</v>
      </c>
      <c r="K85" s="277" t="str">
        <f>VLOOKUP(S85,통합목록!$E$4:$I$322,5,0)</f>
        <v>열기2-03.행정쟁송법\02.문제\[기출][2015-1-2]개발행위 불허가 처분 취소소송 중 기반시설 설치계획 부적절 사유 외 환경 부조화 사유 추가 가능 여부.txt</v>
      </c>
      <c r="L85" s="278" t="s">
        <v>1282</v>
      </c>
      <c r="M85" s="279"/>
      <c r="N85" s="277" t="str">
        <f t="shared" si="13"/>
        <v>제05장 취소소송의 심리&gt;04&gt;1-2&gt;</v>
      </c>
      <c r="O85" s="277" t="str">
        <f t="shared" si="14"/>
        <v>제05장 취소소송의 심리&gt;제03절 처분사유의 추가・변경&gt;03</v>
      </c>
      <c r="P85" s="277" t="str">
        <f t="shared" si="15"/>
        <v>기출&gt;2015&gt;3</v>
      </c>
      <c r="Q85" s="277" t="str">
        <f t="shared" si="16"/>
        <v>기출&gt;2015&gt;1-2</v>
      </c>
      <c r="S85" s="5" t="str">
        <f t="shared" si="17"/>
        <v>2015-1-2</v>
      </c>
    </row>
    <row r="86" spans="2:19" ht="14.45" hidden="1" customHeight="1" x14ac:dyDescent="0.2">
      <c r="B86" s="230">
        <f t="shared" si="12"/>
        <v>83</v>
      </c>
      <c r="C86" s="280">
        <v>2015</v>
      </c>
      <c r="D86" s="276" t="s">
        <v>400</v>
      </c>
      <c r="E86" s="276" t="s">
        <v>400</v>
      </c>
      <c r="F86" s="252" t="s">
        <v>487</v>
      </c>
      <c r="G86" s="276" t="s">
        <v>416</v>
      </c>
      <c r="H86" s="340" t="s">
        <v>1778</v>
      </c>
      <c r="I86" s="276" t="s">
        <v>401</v>
      </c>
      <c r="J86" s="252" t="s">
        <v>2283</v>
      </c>
      <c r="K86" s="277" t="str">
        <f>VLOOKUP(S86,통합목록!$E$4:$I$322,5,0)</f>
        <v>열기2-03.행정쟁송법\02.문제\[기출][2015-2]취소심판의 재결이 내려지기 전 청구인이 제기할 수 있는 행정심판법상 잠정적 권리구제수단.txt</v>
      </c>
      <c r="L86" s="278" t="s">
        <v>1282</v>
      </c>
      <c r="M86" s="279"/>
      <c r="N86" s="277" t="str">
        <f t="shared" si="13"/>
        <v>제12장 행정심판의 청구요건 및 가구제&gt;04&gt;2&gt;</v>
      </c>
      <c r="O86" s="277" t="str">
        <f t="shared" si="14"/>
        <v>제12장 행정심판의 청구요건 및 가구제&gt;제05절 가구제&gt;02</v>
      </c>
      <c r="P86" s="277" t="str">
        <f t="shared" si="15"/>
        <v>기출&gt;2015&gt;2</v>
      </c>
      <c r="Q86" s="277" t="str">
        <f t="shared" si="16"/>
        <v>기출&gt;2015&gt;2</v>
      </c>
      <c r="S86" s="5" t="str">
        <f t="shared" si="17"/>
        <v>2015-2</v>
      </c>
    </row>
    <row r="87" spans="2:19" ht="14.45" hidden="1" customHeight="1" x14ac:dyDescent="0.2">
      <c r="B87" s="230">
        <f t="shared" si="12"/>
        <v>84</v>
      </c>
      <c r="C87" s="280">
        <v>2015</v>
      </c>
      <c r="D87" s="276" t="s">
        <v>397</v>
      </c>
      <c r="E87" s="276" t="s">
        <v>398</v>
      </c>
      <c r="F87" s="252" t="s">
        <v>1402</v>
      </c>
      <c r="G87" s="276" t="s">
        <v>1373</v>
      </c>
      <c r="H87" s="340" t="s">
        <v>455</v>
      </c>
      <c r="I87" s="276" t="s">
        <v>401</v>
      </c>
      <c r="J87" s="252" t="s">
        <v>2284</v>
      </c>
      <c r="K87" s="277" t="str">
        <f>VLOOKUP(S87,통합목록!$E$4:$I$322,5,0)</f>
        <v>열기2-03.행정쟁송법\02.문제\[기출][2015-3]항고소송의 사정판결의 의의, 취지, 요건, 효과.txt</v>
      </c>
      <c r="L87" s="278" t="s">
        <v>1282</v>
      </c>
      <c r="M87" s="279"/>
      <c r="N87" s="277" t="str">
        <f t="shared" si="13"/>
        <v>제06장 취소소송의 종료&gt;06&gt;3&gt;</v>
      </c>
      <c r="O87" s="277" t="str">
        <f t="shared" si="14"/>
        <v>제06장 취소소송의 종료&gt;제01절 법원의 판결&gt;02</v>
      </c>
      <c r="P87" s="277" t="str">
        <f t="shared" si="15"/>
        <v>기출&gt;2015&gt;1</v>
      </c>
      <c r="Q87" s="277" t="str">
        <f t="shared" si="16"/>
        <v>기출&gt;2015&gt;3</v>
      </c>
      <c r="S87" s="5" t="str">
        <f t="shared" si="17"/>
        <v>2015-3</v>
      </c>
    </row>
    <row r="88" spans="2:19" ht="14.45" hidden="1" customHeight="1" x14ac:dyDescent="0.2">
      <c r="B88" s="230">
        <f t="shared" si="12"/>
        <v>85</v>
      </c>
      <c r="C88" s="280">
        <v>2014</v>
      </c>
      <c r="D88" s="276" t="s">
        <v>413</v>
      </c>
      <c r="E88" s="276" t="s">
        <v>429</v>
      </c>
      <c r="F88" s="252" t="s">
        <v>487</v>
      </c>
      <c r="G88" s="276" t="s">
        <v>415</v>
      </c>
      <c r="H88" s="340" t="s">
        <v>1743</v>
      </c>
      <c r="I88" s="276" t="s">
        <v>418</v>
      </c>
      <c r="J88" s="252" t="s">
        <v>2070</v>
      </c>
      <c r="K88" s="277" t="str">
        <f>VLOOKUP(S88,통합목록!$E$4:$I$322,5,0)</f>
        <v>열기2-03.행정쟁송법\02.문제\[기출][2014-1-1]무자격 노동조합 설립신고 수리에 대한 사용자의 취소심판 청구의 적법성 여부.txt</v>
      </c>
      <c r="L88" s="278" t="s">
        <v>1282</v>
      </c>
      <c r="M88" s="279"/>
      <c r="N88" s="277" t="str">
        <f t="shared" si="13"/>
        <v>제12장 행정심판의 청구요건 및 가구제&gt;11&gt;1-1&gt;</v>
      </c>
      <c r="O88" s="277" t="str">
        <f t="shared" si="14"/>
        <v>제12장 행정심판의 청구요건 및 가구제&gt;제01절 행정심판의 대상적격&gt;05</v>
      </c>
      <c r="P88" s="277" t="str">
        <f t="shared" si="15"/>
        <v>기출&gt;2014&gt;6</v>
      </c>
      <c r="Q88" s="277" t="str">
        <f t="shared" si="16"/>
        <v>기출&gt;2014&gt;1-1</v>
      </c>
      <c r="S88" s="5" t="str">
        <f t="shared" si="17"/>
        <v>2014-1-1</v>
      </c>
    </row>
    <row r="89" spans="2:19" ht="14.45" hidden="1" customHeight="1" x14ac:dyDescent="0.2">
      <c r="B89" s="230">
        <f t="shared" si="12"/>
        <v>86</v>
      </c>
      <c r="C89" s="280">
        <v>2014</v>
      </c>
      <c r="D89" s="276" t="s">
        <v>2075</v>
      </c>
      <c r="E89" s="276" t="s">
        <v>2078</v>
      </c>
      <c r="F89" s="252" t="s">
        <v>487</v>
      </c>
      <c r="G89" s="276" t="s">
        <v>1859</v>
      </c>
      <c r="H89" s="340" t="s">
        <v>2077</v>
      </c>
      <c r="I89" s="276" t="s">
        <v>430</v>
      </c>
      <c r="J89" s="252" t="s">
        <v>2070</v>
      </c>
      <c r="K89" s="277" t="str">
        <f>VLOOKUP(S89,통합목록!$E$4:$I$322,5,0)</f>
        <v>열기2-03.행정쟁송법\02.문제\[기출][2014-1-1]무자격 노동조합 설립신고 수리에 대한 사용자의 취소심판 청구의 적법성 여부.txt</v>
      </c>
      <c r="L89" s="278" t="s">
        <v>1282</v>
      </c>
      <c r="M89" s="279"/>
      <c r="N89" s="277" t="str">
        <f t="shared" si="13"/>
        <v>제12장 행정심판의 청구요건 및 가구제&gt;12&gt;1-1&gt;</v>
      </c>
      <c r="O89" s="277" t="str">
        <f t="shared" si="14"/>
        <v>제12장 행정심판의 청구요건 및 가구제&gt;제02절 행정심판의 당사자적격&gt;06</v>
      </c>
      <c r="P89" s="277" t="str">
        <f t="shared" si="15"/>
        <v>기출&gt;2014&gt;5</v>
      </c>
      <c r="Q89" s="277" t="str">
        <f t="shared" si="16"/>
        <v>기출&gt;2014&gt;1-1</v>
      </c>
      <c r="S89" s="5" t="str">
        <f t="shared" si="17"/>
        <v>2014-1-1</v>
      </c>
    </row>
    <row r="90" spans="2:19" ht="14.45" hidden="1" customHeight="1" x14ac:dyDescent="0.2">
      <c r="B90" s="230">
        <f t="shared" si="12"/>
        <v>87</v>
      </c>
      <c r="C90" s="280">
        <v>2014</v>
      </c>
      <c r="D90" s="276" t="s">
        <v>404</v>
      </c>
      <c r="E90" s="276" t="s">
        <v>411</v>
      </c>
      <c r="F90" s="252" t="s">
        <v>1398</v>
      </c>
      <c r="G90" s="276" t="s">
        <v>433</v>
      </c>
      <c r="H90" s="340" t="s">
        <v>424</v>
      </c>
      <c r="I90" s="276" t="s">
        <v>423</v>
      </c>
      <c r="J90" s="252" t="s">
        <v>2270</v>
      </c>
      <c r="K90" s="277" t="str">
        <f>VLOOKUP(S90,통합목록!$E$4:$I$322,5,0)</f>
        <v>열기2-03.행정쟁송법\02.문제\[기출][2014-1-2]제3자의 청구에 따른 인용재결로 인하여 불이익을 입게 된 원처분 상대방의 소송제기 가능성 및 소송의 대상.txt</v>
      </c>
      <c r="L90" s="278" t="s">
        <v>1282</v>
      </c>
      <c r="M90" s="279"/>
      <c r="N90" s="277" t="str">
        <f t="shared" si="13"/>
        <v>제02장 취소소송의 대상적격&gt;12&gt;1-2&gt;</v>
      </c>
      <c r="O90" s="277" t="str">
        <f t="shared" si="14"/>
        <v>제02장 취소소송의 대상적격&gt;제03절 재결&gt;07</v>
      </c>
      <c r="P90" s="277" t="str">
        <f t="shared" si="15"/>
        <v>기출&gt;2014&gt;4</v>
      </c>
      <c r="Q90" s="277" t="str">
        <f t="shared" si="16"/>
        <v>기출&gt;2014&gt;1-2</v>
      </c>
      <c r="S90" s="5" t="str">
        <f t="shared" si="17"/>
        <v>2014-1-2</v>
      </c>
    </row>
    <row r="91" spans="2:19" ht="14.45" hidden="1" customHeight="1" x14ac:dyDescent="0.2">
      <c r="B91" s="230">
        <f t="shared" si="12"/>
        <v>88</v>
      </c>
      <c r="C91" s="280">
        <v>2014</v>
      </c>
      <c r="D91" s="276" t="s">
        <v>404</v>
      </c>
      <c r="E91" s="276" t="s">
        <v>397</v>
      </c>
      <c r="F91" s="252" t="s">
        <v>2079</v>
      </c>
      <c r="G91" s="276" t="s">
        <v>418</v>
      </c>
      <c r="H91" s="340" t="s">
        <v>2077</v>
      </c>
      <c r="I91" s="276" t="s">
        <v>401</v>
      </c>
      <c r="J91" s="252" t="s">
        <v>2270</v>
      </c>
      <c r="K91" s="277" t="str">
        <f>VLOOKUP(S91,통합목록!$E$4:$I$322,5,0)</f>
        <v>열기2-03.행정쟁송법\02.문제\[기출][2014-1-2]제3자의 청구에 따른 인용재결로 인하여 불이익을 입게 된 원처분 상대방의 소송제기 가능성 및 소송의 대상.txt</v>
      </c>
      <c r="L91" s="278" t="s">
        <v>1282</v>
      </c>
      <c r="M91" s="279"/>
      <c r="N91" s="277" t="str">
        <f t="shared" si="13"/>
        <v>제12장 행정심판의 청구요건 및 가구제&gt;05&gt;1-2&gt;</v>
      </c>
      <c r="O91" s="277" t="str">
        <f t="shared" si="14"/>
        <v>제12장 행정심판의 청구요건 및 가구제&gt;제02절 행정심판의 당사자적격&gt;02</v>
      </c>
      <c r="P91" s="277" t="str">
        <f t="shared" si="15"/>
        <v>기출&gt;2014&gt;3</v>
      </c>
      <c r="Q91" s="277" t="str">
        <f t="shared" si="16"/>
        <v>기출&gt;2014&gt;1-2</v>
      </c>
      <c r="S91" s="5" t="str">
        <f t="shared" si="17"/>
        <v>2014-1-2</v>
      </c>
    </row>
    <row r="92" spans="2:19" ht="14.45" hidden="1" customHeight="1" x14ac:dyDescent="0.2">
      <c r="B92" s="230">
        <f t="shared" si="12"/>
        <v>89</v>
      </c>
      <c r="C92" s="280">
        <v>2014</v>
      </c>
      <c r="D92" s="276" t="s">
        <v>400</v>
      </c>
      <c r="E92" s="276" t="s">
        <v>400</v>
      </c>
      <c r="F92" s="252" t="s">
        <v>471</v>
      </c>
      <c r="G92" s="276" t="s">
        <v>418</v>
      </c>
      <c r="H92" s="340" t="s">
        <v>472</v>
      </c>
      <c r="I92" s="276" t="s">
        <v>401</v>
      </c>
      <c r="J92" s="252" t="s">
        <v>100</v>
      </c>
      <c r="K92" s="277" t="str">
        <f>VLOOKUP(S92,통합목록!$E$4:$I$322,5,0)</f>
        <v>열기2-03.행정쟁송법\02.문제\[기출][2014-2]부작위위법확인소송에서의 부작위의 의의 및 성립요건.txt</v>
      </c>
      <c r="L92" s="278" t="s">
        <v>1282</v>
      </c>
      <c r="M92" s="279"/>
      <c r="N92" s="277" t="str">
        <f t="shared" si="13"/>
        <v>제10장 부작위위법확인소송 및 기타소송&gt;05&gt;2&gt;</v>
      </c>
      <c r="O92" s="277" t="str">
        <f t="shared" si="14"/>
        <v>제10장 부작위위법확인소송 및 기타소송&gt;제01절 부작위위법확인소송&gt;02</v>
      </c>
      <c r="P92" s="277" t="str">
        <f t="shared" si="15"/>
        <v>기출&gt;2014&gt;2</v>
      </c>
      <c r="Q92" s="277" t="str">
        <f t="shared" si="16"/>
        <v>기출&gt;2014&gt;2</v>
      </c>
      <c r="S92" s="5" t="str">
        <f t="shared" si="17"/>
        <v>2014-2</v>
      </c>
    </row>
    <row r="93" spans="2:19" ht="14.45" hidden="1" customHeight="1" x14ac:dyDescent="0.2">
      <c r="B93" s="230">
        <f t="shared" si="12"/>
        <v>90</v>
      </c>
      <c r="C93" s="280">
        <v>2014</v>
      </c>
      <c r="D93" s="276" t="s">
        <v>397</v>
      </c>
      <c r="E93" s="276" t="s">
        <v>398</v>
      </c>
      <c r="F93" s="252" t="s">
        <v>489</v>
      </c>
      <c r="G93" s="276" t="s">
        <v>401</v>
      </c>
      <c r="H93" s="340" t="s">
        <v>1757</v>
      </c>
      <c r="I93" s="276" t="s">
        <v>401</v>
      </c>
      <c r="J93" s="252" t="s">
        <v>2271</v>
      </c>
      <c r="K93" s="277" t="str">
        <f>VLOOKUP(S93,통합목록!$E$4:$I$322,5,0)</f>
        <v>열기2-03.행정쟁송법\02.문제\[기출][2014-3]이행재결의 기속력 확보수단으로서의 직접처분의 의의, 취지, 요건, 효과.txt</v>
      </c>
      <c r="L93" s="278" t="s">
        <v>1282</v>
      </c>
      <c r="M93" s="279"/>
      <c r="N93" s="277" t="str">
        <f t="shared" si="13"/>
        <v>제13장 행정심판의 심리・재결&gt;02&gt;3&gt;</v>
      </c>
      <c r="O93" s="277" t="str">
        <f t="shared" si="14"/>
        <v>제13장 행정심판의 심리・재결&gt;제02절 행정심판의 재결&gt;02</v>
      </c>
      <c r="P93" s="277" t="str">
        <f t="shared" si="15"/>
        <v>기출&gt;2014&gt;1</v>
      </c>
      <c r="Q93" s="277" t="str">
        <f t="shared" si="16"/>
        <v>기출&gt;2014&gt;3</v>
      </c>
      <c r="S93" s="5" t="str">
        <f t="shared" si="17"/>
        <v>2014-3</v>
      </c>
    </row>
    <row r="94" spans="2:19" ht="14.45" hidden="1" customHeight="1" x14ac:dyDescent="0.2">
      <c r="B94" s="230">
        <f t="shared" si="12"/>
        <v>91</v>
      </c>
      <c r="C94" s="280">
        <v>2013</v>
      </c>
      <c r="D94" s="276" t="s">
        <v>413</v>
      </c>
      <c r="E94" s="276" t="s">
        <v>425</v>
      </c>
      <c r="F94" s="252" t="s">
        <v>1399</v>
      </c>
      <c r="G94" s="276" t="s">
        <v>1860</v>
      </c>
      <c r="H94" s="340" t="s">
        <v>437</v>
      </c>
      <c r="I94" s="276" t="s">
        <v>416</v>
      </c>
      <c r="J94" s="252" t="s">
        <v>2285</v>
      </c>
      <c r="K94" s="277" t="str">
        <f>VLOOKUP(S94,통합목록!$E$4:$I$322,5,0)</f>
        <v>열기2-03.행정쟁송법\02.문제\[기출][2013-1-1]법인인 회사를 대상으로 한 처분에 대한 대표이사 개인과 경제적 불이익을 받는 근로자의 원고적격 여부.txt</v>
      </c>
      <c r="L94" s="278" t="s">
        <v>1282</v>
      </c>
      <c r="M94" s="279"/>
      <c r="N94" s="277" t="str">
        <f t="shared" si="13"/>
        <v>제03장 취소소송의 당사자적격&gt;13&gt;1-1&gt;</v>
      </c>
      <c r="O94" s="277" t="str">
        <f t="shared" si="14"/>
        <v>제03장 취소소송의 당사자적격&gt;제01절 원고적격&gt;04</v>
      </c>
      <c r="P94" s="277" t="str">
        <f t="shared" si="15"/>
        <v>기출&gt;2013&gt;5</v>
      </c>
      <c r="Q94" s="277" t="str">
        <f t="shared" si="16"/>
        <v>기출&gt;2013&gt;1-1</v>
      </c>
      <c r="S94" s="5" t="str">
        <f t="shared" si="17"/>
        <v>2013-1-1</v>
      </c>
    </row>
    <row r="95" spans="2:19" ht="14.45" hidden="1" customHeight="1" x14ac:dyDescent="0.2">
      <c r="B95" s="230">
        <f t="shared" si="12"/>
        <v>92</v>
      </c>
      <c r="C95" s="280">
        <v>2013</v>
      </c>
      <c r="D95" s="276" t="s">
        <v>404</v>
      </c>
      <c r="E95" s="276" t="s">
        <v>411</v>
      </c>
      <c r="F95" s="252" t="s">
        <v>1402</v>
      </c>
      <c r="G95" s="276" t="s">
        <v>423</v>
      </c>
      <c r="H95" s="340" t="s">
        <v>455</v>
      </c>
      <c r="I95" s="276" t="s">
        <v>403</v>
      </c>
      <c r="J95" s="252" t="s">
        <v>2286</v>
      </c>
      <c r="K95" s="277" t="str">
        <f>VLOOKUP(S95,통합목록!$E$4:$I$322,5,0)</f>
        <v>열기2-03.행정쟁송법\02.문제\[기출][2013-1-2]과징금부과처분이 과다할 경우 법원의 일부취소판결 가능성 여부.txt</v>
      </c>
      <c r="L95" s="278" t="s">
        <v>1282</v>
      </c>
      <c r="M95" s="279"/>
      <c r="N95" s="277" t="str">
        <f t="shared" si="13"/>
        <v>제06장 취소소송의 종료&gt;07&gt;1-2&gt;</v>
      </c>
      <c r="O95" s="277" t="str">
        <f t="shared" si="14"/>
        <v>제06장 취소소송의 종료&gt;제01절 법원의 판결&gt;03</v>
      </c>
      <c r="P95" s="277" t="str">
        <f t="shared" si="15"/>
        <v>기출&gt;2013&gt;4</v>
      </c>
      <c r="Q95" s="277" t="str">
        <f t="shared" si="16"/>
        <v>기출&gt;2013&gt;1-2</v>
      </c>
      <c r="S95" s="5" t="str">
        <f t="shared" si="17"/>
        <v>2013-1-2</v>
      </c>
    </row>
    <row r="96" spans="2:19" ht="14.45" hidden="1" customHeight="1" x14ac:dyDescent="0.2">
      <c r="B96" s="230">
        <f t="shared" si="12"/>
        <v>93</v>
      </c>
      <c r="C96" s="280">
        <v>2013</v>
      </c>
      <c r="D96" s="276" t="s">
        <v>400</v>
      </c>
      <c r="E96" s="276" t="s">
        <v>397</v>
      </c>
      <c r="F96" s="252" t="s">
        <v>1402</v>
      </c>
      <c r="G96" s="276" t="s">
        <v>1374</v>
      </c>
      <c r="H96" s="340" t="s">
        <v>456</v>
      </c>
      <c r="I96" s="276" t="s">
        <v>416</v>
      </c>
      <c r="J96" s="252" t="s">
        <v>2272</v>
      </c>
      <c r="K96" s="277" t="str">
        <f>VLOOKUP(S96,통합목록!$E$4:$I$322,5,0)</f>
        <v>열기2-03.행정쟁송법\02.문제\[기출][2013-2]의무이행재결의 실효성 확보 방안 (행정심판법상), 취소판결의 실효성 확보 방안 (행정소송법상).txt</v>
      </c>
      <c r="L96" s="278" t="s">
        <v>1282</v>
      </c>
      <c r="M96" s="279"/>
      <c r="N96" s="277" t="str">
        <f t="shared" si="13"/>
        <v>제06장 취소소송의 종료&gt;08&gt;2&gt;</v>
      </c>
      <c r="O96" s="277" t="str">
        <f t="shared" si="14"/>
        <v>제06장 취소소송의 종료&gt;제02절 판결의 효력&gt;04</v>
      </c>
      <c r="P96" s="277" t="str">
        <f t="shared" si="15"/>
        <v>기출&gt;2013&gt;3</v>
      </c>
      <c r="Q96" s="277" t="str">
        <f t="shared" si="16"/>
        <v>기출&gt;2013&gt;2</v>
      </c>
      <c r="S96" s="5" t="str">
        <f t="shared" si="17"/>
        <v>2013-2</v>
      </c>
    </row>
    <row r="97" spans="2:19" ht="14.45" hidden="1" customHeight="1" x14ac:dyDescent="0.2">
      <c r="B97" s="230">
        <f t="shared" si="12"/>
        <v>94</v>
      </c>
      <c r="C97" s="280">
        <v>2013</v>
      </c>
      <c r="D97" s="276" t="s">
        <v>400</v>
      </c>
      <c r="E97" s="276" t="s">
        <v>400</v>
      </c>
      <c r="F97" s="252" t="s">
        <v>2094</v>
      </c>
      <c r="G97" s="276" t="s">
        <v>426</v>
      </c>
      <c r="H97" s="340" t="s">
        <v>2095</v>
      </c>
      <c r="I97" s="276" t="s">
        <v>403</v>
      </c>
      <c r="J97" s="252" t="s">
        <v>2272</v>
      </c>
      <c r="K97" s="277" t="str">
        <f>VLOOKUP(S97,통합목록!$E$4:$I$322,5,0)</f>
        <v>열기2-03.행정쟁송법\02.문제\[기출][2013-2]의무이행재결의 실효성 확보 방안 (행정심판법상), 취소판결의 실효성 확보 방안 (행정소송법상).txt</v>
      </c>
      <c r="L97" s="278" t="s">
        <v>1282</v>
      </c>
      <c r="M97" s="279"/>
      <c r="N97" s="277" t="str">
        <f t="shared" si="13"/>
        <v>제13장 행정심판의 심리・재결&gt;03&gt;2&gt;</v>
      </c>
      <c r="O97" s="277" t="str">
        <f t="shared" si="14"/>
        <v>제13장 행정심판의 심리・재결&gt;제02절 행정심판의 재결&gt;03</v>
      </c>
      <c r="P97" s="277" t="str">
        <f t="shared" si="15"/>
        <v>기출&gt;2013&gt;2</v>
      </c>
      <c r="Q97" s="277" t="str">
        <f t="shared" si="16"/>
        <v>기출&gt;2013&gt;2</v>
      </c>
      <c r="S97" s="5" t="str">
        <f t="shared" si="17"/>
        <v>2013-2</v>
      </c>
    </row>
    <row r="98" spans="2:19" ht="14.45" hidden="1" customHeight="1" x14ac:dyDescent="0.2">
      <c r="B98" s="230">
        <f t="shared" si="12"/>
        <v>95</v>
      </c>
      <c r="C98" s="280">
        <v>2013</v>
      </c>
      <c r="D98" s="276" t="s">
        <v>397</v>
      </c>
      <c r="E98" s="276" t="s">
        <v>398</v>
      </c>
      <c r="F98" s="252" t="s">
        <v>1402</v>
      </c>
      <c r="G98" s="276" t="s">
        <v>414</v>
      </c>
      <c r="H98" s="340" t="s">
        <v>1774</v>
      </c>
      <c r="I98" s="276" t="s">
        <v>399</v>
      </c>
      <c r="J98" s="252" t="s">
        <v>2273</v>
      </c>
      <c r="K98" s="277" t="str">
        <f>VLOOKUP(S98,통합목록!$E$4:$I$322,5,0)</f>
        <v>열기2-03.행정쟁송법\02.문제\[기출][2013-3]종국판결에 의하지 않은 취소소송의 종료 유형.txt</v>
      </c>
      <c r="L98" s="278" t="s">
        <v>1282</v>
      </c>
      <c r="M98" s="279"/>
      <c r="N98" s="277" t="str">
        <f t="shared" si="13"/>
        <v>제06장 취소소송의 종료&gt;09&gt;3&gt;</v>
      </c>
      <c r="O98" s="277" t="str">
        <f t="shared" si="14"/>
        <v>제06장 취소소송의 종료&gt;제04절 취소소송의 종료 사유&gt;01</v>
      </c>
      <c r="P98" s="277" t="str">
        <f t="shared" si="15"/>
        <v>기출&gt;2013&gt;1</v>
      </c>
      <c r="Q98" s="277" t="str">
        <f t="shared" si="16"/>
        <v>기출&gt;2013&gt;3</v>
      </c>
      <c r="S98" s="5" t="str">
        <f t="shared" si="17"/>
        <v>2013-3</v>
      </c>
    </row>
    <row r="99" spans="2:19" ht="14.45" hidden="1" customHeight="1" x14ac:dyDescent="0.2">
      <c r="B99" s="230">
        <f t="shared" si="12"/>
        <v>96</v>
      </c>
      <c r="C99" s="280">
        <v>2012</v>
      </c>
      <c r="D99" s="276" t="s">
        <v>413</v>
      </c>
      <c r="E99" s="276" t="s">
        <v>411</v>
      </c>
      <c r="F99" s="252" t="s">
        <v>1398</v>
      </c>
      <c r="G99" s="276" t="s">
        <v>417</v>
      </c>
      <c r="H99" s="340" t="s">
        <v>410</v>
      </c>
      <c r="I99" s="276" t="s">
        <v>420</v>
      </c>
      <c r="J99" s="252" t="s">
        <v>2287</v>
      </c>
      <c r="K99" s="277" t="str">
        <f>VLOOKUP(S99,통합목록!$E$4:$I$322,5,0)</f>
        <v>열기2-03.행정쟁송법\02.문제\[기출][2012-1-1]구직자의 노동조합 가입을 이유로 한 설립신고서 반려처분의 취소소송 대상적격 인정 여부.txt</v>
      </c>
      <c r="L99" s="278" t="s">
        <v>1282</v>
      </c>
      <c r="M99" s="279"/>
      <c r="N99" s="277" t="str">
        <f t="shared" si="13"/>
        <v>제02장 취소소송의 대상적격&gt;13&gt;1-1&gt;</v>
      </c>
      <c r="O99" s="277" t="str">
        <f t="shared" si="14"/>
        <v>제02장 취소소송의 대상적격&gt;제02절 처분&gt;06</v>
      </c>
      <c r="P99" s="277" t="str">
        <f t="shared" si="15"/>
        <v>기출&gt;2012&gt;4</v>
      </c>
      <c r="Q99" s="277" t="str">
        <f t="shared" si="16"/>
        <v>기출&gt;2012&gt;1-1</v>
      </c>
      <c r="S99" s="5" t="str">
        <f t="shared" si="17"/>
        <v>2012-1-1</v>
      </c>
    </row>
    <row r="100" spans="2:19" ht="14.45" hidden="1" customHeight="1" x14ac:dyDescent="0.2">
      <c r="B100" s="230">
        <f t="shared" ref="B100:B121" si="18">ROW()-3</f>
        <v>97</v>
      </c>
      <c r="C100" s="280">
        <v>2012</v>
      </c>
      <c r="D100" s="276" t="s">
        <v>404</v>
      </c>
      <c r="E100" s="276" t="s">
        <v>397</v>
      </c>
      <c r="F100" s="252" t="s">
        <v>1402</v>
      </c>
      <c r="G100" s="276" t="s">
        <v>1375</v>
      </c>
      <c r="H100" s="340" t="s">
        <v>456</v>
      </c>
      <c r="I100" s="276" t="s">
        <v>418</v>
      </c>
      <c r="J100" s="252" t="s">
        <v>2288</v>
      </c>
      <c r="K100" s="277" t="str">
        <f>VLOOKUP(S100,통합목록!$E$4:$I$322,5,0)</f>
        <v>열기2-03.행정쟁송법\02.문제\[기출][2012-1-2]설립신고서 반려 취소 판결 후 새로운 사유를 근거로 한 재반려처분의 기속력 위반 여부 및 본안 인용 여부.txt</v>
      </c>
      <c r="L100" s="278" t="s">
        <v>1282</v>
      </c>
      <c r="M100" s="279"/>
      <c r="N100" s="277" t="str">
        <f t="shared" ref="N100:N121" si="19">F100&amp;"&gt;"&amp;G100&amp;"&gt;"&amp;D100&amp;"&gt;"&amp;M100</f>
        <v>제06장 취소소송의 종료&gt;10&gt;1-2&gt;</v>
      </c>
      <c r="O100" s="277" t="str">
        <f t="shared" ref="O100:O121" si="20">F100&amp;"&gt;"&amp;H100&amp;"&gt;"&amp;I100</f>
        <v>제06장 취소소송의 종료&gt;제02절 판결의 효력&gt;05</v>
      </c>
      <c r="P100" s="277" t="str">
        <f t="shared" ref="P100:P121" si="21">L100&amp;"&gt;"&amp;C100&amp;"&gt;"&amp;E100</f>
        <v>기출&gt;2012&gt;3</v>
      </c>
      <c r="Q100" s="277" t="str">
        <f t="shared" ref="Q100:Q121" si="22">L100&amp;"&gt;"&amp;C100&amp;"&gt;"&amp;D100</f>
        <v>기출&gt;2012&gt;1-2</v>
      </c>
      <c r="S100" s="5" t="str">
        <f t="shared" ref="S100:S121" si="23">C100&amp;"-"&amp;D100</f>
        <v>2012-1-2</v>
      </c>
    </row>
    <row r="101" spans="2:19" ht="14.45" hidden="1" customHeight="1" x14ac:dyDescent="0.2">
      <c r="B101" s="230">
        <f t="shared" si="18"/>
        <v>98</v>
      </c>
      <c r="C101" s="280">
        <v>2012</v>
      </c>
      <c r="D101" s="276" t="s">
        <v>400</v>
      </c>
      <c r="E101" s="276" t="s">
        <v>400</v>
      </c>
      <c r="F101" s="252" t="s">
        <v>1403</v>
      </c>
      <c r="G101" s="276" t="s">
        <v>399</v>
      </c>
      <c r="H101" s="340" t="s">
        <v>462</v>
      </c>
      <c r="I101" s="276" t="s">
        <v>399</v>
      </c>
      <c r="J101" s="252" t="s">
        <v>2289</v>
      </c>
      <c r="K101" s="277" t="str">
        <f>VLOOKUP(S101,통합목록!$E$4:$I$322,5,0)</f>
        <v>열기2-03.행정쟁송법\02.문제\[기출][2012-2]행정소송법상 집행정지의 요건.txt</v>
      </c>
      <c r="L101" s="278" t="s">
        <v>1282</v>
      </c>
      <c r="M101" s="279"/>
      <c r="N101" s="277" t="str">
        <f t="shared" si="19"/>
        <v>제07장 취소소송의 가구제&gt;01&gt;2&gt;</v>
      </c>
      <c r="O101" s="277" t="str">
        <f t="shared" si="20"/>
        <v>제07장 취소소송의 가구제&gt;제01절 집행정지&gt;01</v>
      </c>
      <c r="P101" s="277" t="str">
        <f t="shared" si="21"/>
        <v>기출&gt;2012&gt;2</v>
      </c>
      <c r="Q101" s="277" t="str">
        <f t="shared" si="22"/>
        <v>기출&gt;2012&gt;2</v>
      </c>
      <c r="S101" s="5" t="str">
        <f t="shared" si="23"/>
        <v>2012-2</v>
      </c>
    </row>
    <row r="102" spans="2:19" ht="14.45" hidden="1" customHeight="1" x14ac:dyDescent="0.2">
      <c r="B102" s="230">
        <f t="shared" si="18"/>
        <v>99</v>
      </c>
      <c r="C102" s="280">
        <v>2012</v>
      </c>
      <c r="D102" s="276" t="s">
        <v>397</v>
      </c>
      <c r="E102" s="276" t="s">
        <v>398</v>
      </c>
      <c r="F102" s="252" t="s">
        <v>1398</v>
      </c>
      <c r="G102" s="276" t="s">
        <v>434</v>
      </c>
      <c r="H102" s="340" t="s">
        <v>424</v>
      </c>
      <c r="I102" s="276" t="s">
        <v>431</v>
      </c>
      <c r="J102" s="252" t="s">
        <v>2290</v>
      </c>
      <c r="K102" s="277" t="str">
        <f>VLOOKUP(S102,통합목록!$E$4:$I$322,5,0)</f>
        <v>열기2-03.행정쟁송법\02.문제\[기출][2012-3]지방노동위원회의 구제명령 등 처분에 대한 특별행정쟁송절차의 흐름과 요건.txt</v>
      </c>
      <c r="L102" s="278" t="s">
        <v>1282</v>
      </c>
      <c r="M102" s="279" t="s">
        <v>435</v>
      </c>
      <c r="N102" s="277" t="str">
        <f t="shared" si="19"/>
        <v>제02장 취소소송의 대상적격&gt;14&gt;3&gt;적정한 카테고리 없음</v>
      </c>
      <c r="O102" s="277" t="str">
        <f t="shared" si="20"/>
        <v>제02장 취소소송의 대상적격&gt;제03절 재결&gt;08</v>
      </c>
      <c r="P102" s="277" t="str">
        <f t="shared" si="21"/>
        <v>기출&gt;2012&gt;1</v>
      </c>
      <c r="Q102" s="277" t="str">
        <f t="shared" si="22"/>
        <v>기출&gt;2012&gt;3</v>
      </c>
      <c r="S102" s="5" t="str">
        <f t="shared" si="23"/>
        <v>2012-3</v>
      </c>
    </row>
    <row r="103" spans="2:19" ht="14.45" hidden="1" customHeight="1" x14ac:dyDescent="0.2">
      <c r="B103" s="230">
        <f t="shared" si="18"/>
        <v>100</v>
      </c>
      <c r="C103" s="280">
        <v>2011</v>
      </c>
      <c r="D103" s="276" t="s">
        <v>398</v>
      </c>
      <c r="E103" s="276" t="s">
        <v>411</v>
      </c>
      <c r="F103" s="252" t="s">
        <v>1398</v>
      </c>
      <c r="G103" s="276" t="s">
        <v>419</v>
      </c>
      <c r="H103" s="340" t="s">
        <v>410</v>
      </c>
      <c r="I103" s="276" t="s">
        <v>423</v>
      </c>
      <c r="J103" s="252" t="s">
        <v>2291</v>
      </c>
      <c r="K103" s="277" t="str">
        <f>VLOOKUP(S103,통합목록!$E$4:$I$322,5,0)</f>
        <v>열기2-03.행정쟁송법\02.문제\[기출][2011-1]면적축소 관련 법령에 대한 취소소송 및 환원처분을 구하는 소송의 적법성 여부.txt</v>
      </c>
      <c r="L103" s="278" t="s">
        <v>1282</v>
      </c>
      <c r="M103" s="279"/>
      <c r="N103" s="277" t="str">
        <f t="shared" si="19"/>
        <v>제02장 취소소송의 대상적격&gt;15&gt;1&gt;</v>
      </c>
      <c r="O103" s="277" t="str">
        <f t="shared" si="20"/>
        <v>제02장 취소소송의 대상적격&gt;제02절 처분&gt;07</v>
      </c>
      <c r="P103" s="277" t="str">
        <f t="shared" si="21"/>
        <v>기출&gt;2011&gt;4</v>
      </c>
      <c r="Q103" s="277" t="str">
        <f t="shared" si="22"/>
        <v>기출&gt;2011&gt;1</v>
      </c>
      <c r="S103" s="5" t="str">
        <f t="shared" si="23"/>
        <v>2011-1</v>
      </c>
    </row>
    <row r="104" spans="2:19" ht="14.45" hidden="1" customHeight="1" x14ac:dyDescent="0.2">
      <c r="B104" s="230">
        <f t="shared" si="18"/>
        <v>101</v>
      </c>
      <c r="C104" s="280">
        <v>2011</v>
      </c>
      <c r="D104" s="276" t="s">
        <v>398</v>
      </c>
      <c r="E104" s="276" t="s">
        <v>397</v>
      </c>
      <c r="F104" s="252" t="s">
        <v>2090</v>
      </c>
      <c r="G104" s="276" t="s">
        <v>420</v>
      </c>
      <c r="H104" s="340" t="s">
        <v>2096</v>
      </c>
      <c r="I104" s="276" t="s">
        <v>403</v>
      </c>
      <c r="J104" s="252" t="s">
        <v>2274</v>
      </c>
      <c r="K104" s="277" t="str">
        <f>VLOOKUP(S104,통합목록!$E$4:$I$322,5,0)</f>
        <v>열기2-03.행정쟁송법\02.문제\[기출][2011-1]면적축소 관련 법령에 대한 취소소송 및 환원처분을 구하는 소송의 적법성 여부.txt</v>
      </c>
      <c r="L104" s="278" t="s">
        <v>1282</v>
      </c>
      <c r="M104" s="279"/>
      <c r="N104" s="277" t="str">
        <f t="shared" si="19"/>
        <v>제10장 부작위위법확인소송 및 기타소송&gt;06&gt;1&gt;</v>
      </c>
      <c r="O104" s="277" t="str">
        <f t="shared" si="20"/>
        <v>제10장 부작위위법확인소송 및 기타소송&gt;제01절 부작위위법확인소송&gt;03</v>
      </c>
      <c r="P104" s="277" t="str">
        <f t="shared" si="21"/>
        <v>기출&gt;2011&gt;3</v>
      </c>
      <c r="Q104" s="277" t="str">
        <f t="shared" si="22"/>
        <v>기출&gt;2011&gt;1</v>
      </c>
      <c r="S104" s="5" t="str">
        <f t="shared" si="23"/>
        <v>2011-1</v>
      </c>
    </row>
    <row r="105" spans="2:19" ht="14.45" hidden="1" customHeight="1" x14ac:dyDescent="0.2">
      <c r="B105" s="230">
        <f t="shared" si="18"/>
        <v>102</v>
      </c>
      <c r="C105" s="280">
        <v>2011</v>
      </c>
      <c r="D105" s="276" t="s">
        <v>400</v>
      </c>
      <c r="E105" s="276" t="s">
        <v>400</v>
      </c>
      <c r="F105" s="252" t="s">
        <v>1401</v>
      </c>
      <c r="G105" s="276" t="s">
        <v>428</v>
      </c>
      <c r="H105" s="340" t="s">
        <v>453</v>
      </c>
      <c r="I105" s="276" t="s">
        <v>416</v>
      </c>
      <c r="J105" s="252" t="s">
        <v>2275</v>
      </c>
      <c r="K105" s="277" t="str">
        <f>VLOOKUP(S105,통합목록!$E$4:$I$322,5,0)</f>
        <v>열기2-03.행정쟁송법\02.문제\[기출][2011-2]입찰참가자격 제한 처분의 취소소송 중 뇌물수수 사유 추가의 허용 여부.txt</v>
      </c>
      <c r="L105" s="278" t="s">
        <v>1282</v>
      </c>
      <c r="M105" s="279"/>
      <c r="N105" s="277" t="str">
        <f t="shared" si="19"/>
        <v>제05장 취소소송의 심리&gt;05&gt;2&gt;</v>
      </c>
      <c r="O105" s="277" t="str">
        <f t="shared" si="20"/>
        <v>제05장 취소소송의 심리&gt;제03절 처분사유의 추가・변경&gt;04</v>
      </c>
      <c r="P105" s="277" t="str">
        <f t="shared" si="21"/>
        <v>기출&gt;2011&gt;2</v>
      </c>
      <c r="Q105" s="277" t="str">
        <f t="shared" si="22"/>
        <v>기출&gt;2011&gt;2</v>
      </c>
      <c r="S105" s="5" t="str">
        <f t="shared" si="23"/>
        <v>2011-2</v>
      </c>
    </row>
    <row r="106" spans="2:19" ht="14.45" hidden="1" customHeight="1" x14ac:dyDescent="0.2">
      <c r="B106" s="230">
        <f t="shared" si="18"/>
        <v>103</v>
      </c>
      <c r="C106" s="280">
        <v>2011</v>
      </c>
      <c r="D106" s="276" t="s">
        <v>397</v>
      </c>
      <c r="E106" s="276" t="s">
        <v>398</v>
      </c>
      <c r="F106" s="252" t="s">
        <v>1404</v>
      </c>
      <c r="G106" s="276" t="s">
        <v>403</v>
      </c>
      <c r="H106" s="340" t="s">
        <v>1741</v>
      </c>
      <c r="I106" s="276" t="s">
        <v>403</v>
      </c>
      <c r="J106" s="252" t="s">
        <v>2292</v>
      </c>
      <c r="K106" s="277" t="str">
        <f>VLOOKUP(S106,통합목록!$E$4:$I$322,5,0)</f>
        <v>열기2-03.행정쟁송법\02.문제\[기출][2011-3]관련청구소송의 병합의 의의 및 취지, 요건 및 유형, 관할 및 이송.txt</v>
      </c>
      <c r="L106" s="278" t="s">
        <v>1282</v>
      </c>
      <c r="M106" s="279"/>
      <c r="N106" s="277" t="str">
        <f t="shared" si="19"/>
        <v>제08장 청구의 병합과 소의 변경&gt;03&gt;3&gt;</v>
      </c>
      <c r="O106" s="277" t="str">
        <f t="shared" si="20"/>
        <v>제08장 청구의 병합과 소의 변경&gt;제01절 관련청구소송의 병합・이송&gt;03</v>
      </c>
      <c r="P106" s="277" t="str">
        <f t="shared" si="21"/>
        <v>기출&gt;2011&gt;1</v>
      </c>
      <c r="Q106" s="277" t="str">
        <f t="shared" si="22"/>
        <v>기출&gt;2011&gt;3</v>
      </c>
      <c r="S106" s="5" t="str">
        <f t="shared" si="23"/>
        <v>2011-3</v>
      </c>
    </row>
    <row r="107" spans="2:19" ht="14.45" customHeight="1" x14ac:dyDescent="0.2">
      <c r="B107" s="230">
        <f t="shared" si="18"/>
        <v>104</v>
      </c>
      <c r="C107" s="280">
        <v>2010</v>
      </c>
      <c r="D107" s="276" t="s">
        <v>398</v>
      </c>
      <c r="E107" s="276" t="s">
        <v>397</v>
      </c>
      <c r="F107" s="252" t="s">
        <v>1402</v>
      </c>
      <c r="G107" s="276" t="s">
        <v>415</v>
      </c>
      <c r="H107" s="340" t="s">
        <v>456</v>
      </c>
      <c r="I107" s="276" t="s">
        <v>420</v>
      </c>
      <c r="J107" s="252" t="s">
        <v>2293</v>
      </c>
      <c r="K107" s="277" t="str">
        <f>VLOOKUP(S107,통합목록!$E$4:$I$322,5,0)</f>
        <v>열기2-03.행정쟁송법\02.문제\[기출][2010-1]거부처분 취소소송 인용판결 확정 후 피고 행정청의 재차 거부처분이 허용되는 구체적 예외 사유.txt</v>
      </c>
      <c r="L107" s="278" t="s">
        <v>1282</v>
      </c>
      <c r="M107" s="279"/>
      <c r="N107" s="277" t="str">
        <f t="shared" si="19"/>
        <v>제06장 취소소송의 종료&gt;11&gt;1&gt;</v>
      </c>
      <c r="O107" s="277" t="str">
        <f t="shared" si="20"/>
        <v>제06장 취소소송의 종료&gt;제02절 판결의 효력&gt;06</v>
      </c>
      <c r="P107" s="277" t="str">
        <f t="shared" si="21"/>
        <v>기출&gt;2010&gt;3</v>
      </c>
      <c r="Q107" s="277" t="str">
        <f t="shared" si="22"/>
        <v>기출&gt;2010&gt;1</v>
      </c>
      <c r="S107" s="5" t="str">
        <f t="shared" si="23"/>
        <v>2010-1</v>
      </c>
    </row>
    <row r="108" spans="2:19" ht="14.45" customHeight="1" x14ac:dyDescent="0.2">
      <c r="B108" s="230">
        <f t="shared" si="18"/>
        <v>105</v>
      </c>
      <c r="C108" s="280">
        <v>2010</v>
      </c>
      <c r="D108" s="276" t="s">
        <v>400</v>
      </c>
      <c r="E108" s="276" t="s">
        <v>400</v>
      </c>
      <c r="F108" s="252" t="s">
        <v>478</v>
      </c>
      <c r="G108" s="276" t="s">
        <v>403</v>
      </c>
      <c r="H108" s="340" t="s">
        <v>480</v>
      </c>
      <c r="I108" s="276" t="s">
        <v>399</v>
      </c>
      <c r="J108" s="252" t="s">
        <v>2294</v>
      </c>
      <c r="K108" s="277" t="str">
        <f>VLOOKUP(S108,통합목록!$E$4:$I$322,5,0)</f>
        <v>열기2-03.행정쟁송법\02.문제\[기출][2010-2]하자있는 거부처분에 대한 행정심판법상 청구 및 재결의 실효성 확보수단.txt</v>
      </c>
      <c r="L108" s="278" t="s">
        <v>1282</v>
      </c>
      <c r="M108" s="279"/>
      <c r="N108" s="277" t="str">
        <f t="shared" si="19"/>
        <v>제11장 행정심판의 일반론&gt;03&gt;2&gt;</v>
      </c>
      <c r="O108" s="277" t="str">
        <f t="shared" si="20"/>
        <v>제11장 행정심판의 일반론&gt;제02절 행정심판의 종류&gt;01</v>
      </c>
      <c r="P108" s="277" t="str">
        <f t="shared" si="21"/>
        <v>기출&gt;2010&gt;2</v>
      </c>
      <c r="Q108" s="277" t="str">
        <f t="shared" si="22"/>
        <v>기출&gt;2010&gt;2</v>
      </c>
      <c r="S108" s="5" t="str">
        <f t="shared" si="23"/>
        <v>2010-2</v>
      </c>
    </row>
    <row r="109" spans="2:19" ht="14.45" customHeight="1" x14ac:dyDescent="0.2">
      <c r="B109" s="230">
        <f t="shared" si="18"/>
        <v>106</v>
      </c>
      <c r="C109" s="280">
        <v>2010</v>
      </c>
      <c r="D109" s="276" t="s">
        <v>397</v>
      </c>
      <c r="E109" s="276" t="s">
        <v>398</v>
      </c>
      <c r="F109" s="252" t="s">
        <v>1402</v>
      </c>
      <c r="G109" s="276" t="s">
        <v>433</v>
      </c>
      <c r="H109" s="340" t="s">
        <v>456</v>
      </c>
      <c r="I109" s="276" t="s">
        <v>423</v>
      </c>
      <c r="J109" s="252" t="s">
        <v>2295</v>
      </c>
      <c r="K109" s="277" t="str">
        <f>VLOOKUP(S109,통합목록!$E$4:$I$322,5,0)</f>
        <v>열기2-03.행정쟁송법\02.문제\[기출][2010-3]결과제거청구권(원상회복청구권)의 행정소송상 관철 방법.txt</v>
      </c>
      <c r="L109" s="278" t="s">
        <v>1282</v>
      </c>
      <c r="M109" s="279"/>
      <c r="N109" s="277" t="str">
        <f t="shared" si="19"/>
        <v>제06장 취소소송의 종료&gt;12&gt;3&gt;</v>
      </c>
      <c r="O109" s="277" t="str">
        <f t="shared" si="20"/>
        <v>제06장 취소소송의 종료&gt;제02절 판결의 효력&gt;07</v>
      </c>
      <c r="P109" s="277" t="str">
        <f t="shared" si="21"/>
        <v>기출&gt;2010&gt;1</v>
      </c>
      <c r="Q109" s="277" t="str">
        <f t="shared" si="22"/>
        <v>기출&gt;2010&gt;3</v>
      </c>
      <c r="S109" s="5" t="str">
        <f t="shared" si="23"/>
        <v>2010-3</v>
      </c>
    </row>
    <row r="110" spans="2:19" ht="14.45" hidden="1" customHeight="1" x14ac:dyDescent="0.2">
      <c r="B110" s="230">
        <f t="shared" si="18"/>
        <v>107</v>
      </c>
      <c r="C110" s="280">
        <v>2009</v>
      </c>
      <c r="D110" s="276" t="s">
        <v>398</v>
      </c>
      <c r="E110" s="276" t="s">
        <v>421</v>
      </c>
      <c r="F110" s="252" t="s">
        <v>1398</v>
      </c>
      <c r="G110" s="276" t="s">
        <v>422</v>
      </c>
      <c r="H110" s="340" t="s">
        <v>410</v>
      </c>
      <c r="I110" s="276" t="s">
        <v>431</v>
      </c>
      <c r="J110" s="252" t="s">
        <v>2276</v>
      </c>
      <c r="K110" s="277" t="str">
        <f>VLOOKUP(S110,통합목록!$E$4:$I$322,5,0)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0" s="278" t="s">
        <v>1282</v>
      </c>
      <c r="M110" s="279"/>
      <c r="N110" s="277" t="str">
        <f t="shared" si="19"/>
        <v>제02장 취소소송의 대상적격&gt;16&gt;1&gt;</v>
      </c>
      <c r="O110" s="277" t="str">
        <f t="shared" si="20"/>
        <v>제02장 취소소송의 대상적격&gt;제02절 처분&gt;08</v>
      </c>
      <c r="P110" s="277" t="str">
        <f t="shared" si="21"/>
        <v>기출&gt;2009&gt;9</v>
      </c>
      <c r="Q110" s="277" t="str">
        <f t="shared" si="22"/>
        <v>기출&gt;2009&gt;1</v>
      </c>
      <c r="S110" s="5" t="str">
        <f t="shared" si="23"/>
        <v>2009-1</v>
      </c>
    </row>
    <row r="111" spans="2:19" ht="14.45" hidden="1" customHeight="1" x14ac:dyDescent="0.2">
      <c r="B111" s="230">
        <f t="shared" si="18"/>
        <v>108</v>
      </c>
      <c r="C111" s="280">
        <v>2009</v>
      </c>
      <c r="D111" s="276" t="s">
        <v>398</v>
      </c>
      <c r="E111" s="276" t="s">
        <v>438</v>
      </c>
      <c r="F111" s="252" t="s">
        <v>2080</v>
      </c>
      <c r="G111" s="276" t="s">
        <v>1861</v>
      </c>
      <c r="H111" s="340" t="s">
        <v>2082</v>
      </c>
      <c r="I111" s="276" t="s">
        <v>418</v>
      </c>
      <c r="J111" s="252" t="s">
        <v>2276</v>
      </c>
      <c r="K111" s="277" t="str">
        <f>VLOOKUP(S111,통합목록!$E$4:$I$322,5,0)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1" s="278" t="s">
        <v>1282</v>
      </c>
      <c r="M111" s="279"/>
      <c r="N111" s="277" t="str">
        <f t="shared" si="19"/>
        <v>제03장 취소소송의 당사자적격&gt;14&gt;1&gt;</v>
      </c>
      <c r="O111" s="277" t="str">
        <f t="shared" si="20"/>
        <v>제03장 취소소송의 당사자적격&gt;제01절 원고적격&gt;05</v>
      </c>
      <c r="P111" s="277" t="str">
        <f t="shared" si="21"/>
        <v>기출&gt;2009&gt;8</v>
      </c>
      <c r="Q111" s="277" t="str">
        <f t="shared" si="22"/>
        <v>기출&gt;2009&gt;1</v>
      </c>
      <c r="S111" s="5" t="str">
        <f t="shared" si="23"/>
        <v>2009-1</v>
      </c>
    </row>
    <row r="112" spans="2:19" ht="14.45" hidden="1" customHeight="1" x14ac:dyDescent="0.2">
      <c r="B112" s="230">
        <f t="shared" si="18"/>
        <v>109</v>
      </c>
      <c r="C112" s="280">
        <v>2009</v>
      </c>
      <c r="D112" s="276" t="s">
        <v>398</v>
      </c>
      <c r="E112" s="276" t="s">
        <v>440</v>
      </c>
      <c r="F112" s="252" t="s">
        <v>2080</v>
      </c>
      <c r="G112" s="276" t="s">
        <v>419</v>
      </c>
      <c r="H112" s="340" t="s">
        <v>2083</v>
      </c>
      <c r="I112" s="276" t="s">
        <v>423</v>
      </c>
      <c r="J112" s="252" t="s">
        <v>2276</v>
      </c>
      <c r="K112" s="277" t="str">
        <f>VLOOKUP(S112,통합목록!$E$4:$I$322,5,0)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2" s="278" t="s">
        <v>1282</v>
      </c>
      <c r="M112" s="279"/>
      <c r="N112" s="277" t="str">
        <f t="shared" si="19"/>
        <v>제03장 취소소송의 당사자적격&gt;15&gt;1&gt;</v>
      </c>
      <c r="O112" s="277" t="str">
        <f t="shared" si="20"/>
        <v>제03장 취소소송의 당사자적격&gt;제02절 피고적격&gt;07</v>
      </c>
      <c r="P112" s="277" t="str">
        <f t="shared" si="21"/>
        <v>기출&gt;2009&gt;7</v>
      </c>
      <c r="Q112" s="277" t="str">
        <f t="shared" si="22"/>
        <v>기출&gt;2009&gt;1</v>
      </c>
      <c r="S112" s="5" t="str">
        <f t="shared" si="23"/>
        <v>2009-1</v>
      </c>
    </row>
    <row r="113" spans="2:19" ht="14.45" hidden="1" customHeight="1" x14ac:dyDescent="0.2">
      <c r="B113" s="230">
        <f t="shared" si="18"/>
        <v>110</v>
      </c>
      <c r="C113" s="280">
        <v>2009</v>
      </c>
      <c r="D113" s="276" t="s">
        <v>398</v>
      </c>
      <c r="E113" s="276" t="s">
        <v>429</v>
      </c>
      <c r="F113" s="252" t="s">
        <v>2080</v>
      </c>
      <c r="G113" s="276" t="s">
        <v>422</v>
      </c>
      <c r="H113" s="340" t="s">
        <v>2084</v>
      </c>
      <c r="I113" s="276" t="s">
        <v>416</v>
      </c>
      <c r="J113" s="252" t="s">
        <v>2276</v>
      </c>
      <c r="K113" s="277" t="str">
        <f>VLOOKUP(S113,통합목록!$E$4:$I$322,5,0)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3" s="278" t="s">
        <v>1282</v>
      </c>
      <c r="M113" s="279"/>
      <c r="N113" s="277" t="str">
        <f t="shared" si="19"/>
        <v>제03장 취소소송의 당사자적격&gt;16&gt;1&gt;</v>
      </c>
      <c r="O113" s="277" t="str">
        <f t="shared" si="20"/>
        <v>제03장 취소소송의 당사자적격&gt;제03절 권리보호의 필요(협의의 소의 이익)&gt;04</v>
      </c>
      <c r="P113" s="277" t="str">
        <f t="shared" si="21"/>
        <v>기출&gt;2009&gt;6</v>
      </c>
      <c r="Q113" s="277" t="str">
        <f t="shared" si="22"/>
        <v>기출&gt;2009&gt;1</v>
      </c>
      <c r="S113" s="5" t="str">
        <f t="shared" si="23"/>
        <v>2009-1</v>
      </c>
    </row>
    <row r="114" spans="2:19" ht="14.45" hidden="1" customHeight="1" x14ac:dyDescent="0.2">
      <c r="B114" s="230">
        <f t="shared" si="18"/>
        <v>111</v>
      </c>
      <c r="C114" s="280">
        <v>2009</v>
      </c>
      <c r="D114" s="276" t="s">
        <v>398</v>
      </c>
      <c r="E114" s="276" t="s">
        <v>425</v>
      </c>
      <c r="F114" s="252" t="s">
        <v>2081</v>
      </c>
      <c r="G114" s="276" t="s">
        <v>423</v>
      </c>
      <c r="H114" s="340" t="s">
        <v>2085</v>
      </c>
      <c r="I114" s="276" t="s">
        <v>401</v>
      </c>
      <c r="J114" s="252" t="s">
        <v>2276</v>
      </c>
      <c r="K114" s="277" t="str">
        <f>VLOOKUP(S114,통합목록!$E$4:$I$322,5,0)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4" s="278" t="s">
        <v>1282</v>
      </c>
      <c r="M114" s="279"/>
      <c r="N114" s="277" t="str">
        <f t="shared" si="19"/>
        <v>제04장 취소소송의 기타 소송요건&gt;07&gt;1&gt;</v>
      </c>
      <c r="O114" s="277" t="str">
        <f t="shared" si="20"/>
        <v>제04장 취소소송의 기타 소송요건&gt;제01절 행정심판전치주의&gt;02</v>
      </c>
      <c r="P114" s="277" t="str">
        <f t="shared" si="21"/>
        <v>기출&gt;2009&gt;5</v>
      </c>
      <c r="Q114" s="277" t="str">
        <f t="shared" si="22"/>
        <v>기출&gt;2009&gt;1</v>
      </c>
      <c r="S114" s="5" t="str">
        <f t="shared" si="23"/>
        <v>2009-1</v>
      </c>
    </row>
    <row r="115" spans="2:19" ht="14.45" hidden="1" customHeight="1" x14ac:dyDescent="0.2">
      <c r="B115" s="230">
        <f t="shared" si="18"/>
        <v>112</v>
      </c>
      <c r="C115" s="280">
        <v>2009</v>
      </c>
      <c r="D115" s="276" t="s">
        <v>398</v>
      </c>
      <c r="E115" s="276" t="s">
        <v>411</v>
      </c>
      <c r="F115" s="252" t="s">
        <v>1400</v>
      </c>
      <c r="G115" s="276" t="s">
        <v>431</v>
      </c>
      <c r="H115" s="340" t="s">
        <v>2086</v>
      </c>
      <c r="I115" s="276" t="s">
        <v>420</v>
      </c>
      <c r="J115" s="252" t="s">
        <v>2276</v>
      </c>
      <c r="K115" s="277" t="str">
        <f>VLOOKUP(S115,통합목록!$E$4:$I$322,5,0)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5" s="278" t="s">
        <v>1282</v>
      </c>
      <c r="M115" s="279"/>
      <c r="N115" s="277" t="str">
        <f t="shared" si="19"/>
        <v>제04장 취소소송의 기타 소송요건&gt;08&gt;1&gt;</v>
      </c>
      <c r="O115" s="277" t="str">
        <f t="shared" si="20"/>
        <v>제04장 취소소송의 기타 소송요건&gt;제02절 제소기간&gt;06</v>
      </c>
      <c r="P115" s="277" t="str">
        <f t="shared" si="21"/>
        <v>기출&gt;2009&gt;4</v>
      </c>
      <c r="Q115" s="277" t="str">
        <f t="shared" si="22"/>
        <v>기출&gt;2009&gt;1</v>
      </c>
      <c r="S115" s="5" t="str">
        <f t="shared" si="23"/>
        <v>2009-1</v>
      </c>
    </row>
    <row r="116" spans="2:19" ht="14.45" hidden="1" customHeight="1" x14ac:dyDescent="0.2">
      <c r="B116" s="230">
        <f t="shared" si="18"/>
        <v>113</v>
      </c>
      <c r="C116" s="280">
        <v>2009</v>
      </c>
      <c r="D116" s="276" t="s">
        <v>398</v>
      </c>
      <c r="E116" s="276" t="s">
        <v>397</v>
      </c>
      <c r="F116" s="252" t="s">
        <v>1400</v>
      </c>
      <c r="G116" s="276" t="s">
        <v>414</v>
      </c>
      <c r="H116" s="340" t="s">
        <v>2087</v>
      </c>
      <c r="I116" s="276" t="s">
        <v>399</v>
      </c>
      <c r="J116" s="252" t="s">
        <v>2276</v>
      </c>
      <c r="K116" s="277" t="str">
        <f>VLOOKUP(S116,통합목록!$E$4:$I$322,5,0)</f>
        <v>열기2-03.행정쟁송법\02.문제\[기출][2009-1]취소소송의 제기요건(소송요건)(대상적격, 원고적격, 피고적격, 소의 이익, 제소기간, 행심전치주의, 관할법원).txt</v>
      </c>
      <c r="L116" s="278" t="s">
        <v>1282</v>
      </c>
      <c r="M116" s="279"/>
      <c r="N116" s="277" t="str">
        <f t="shared" si="19"/>
        <v>제04장 취소소송의 기타 소송요건&gt;09&gt;1&gt;</v>
      </c>
      <c r="O116" s="277" t="str">
        <f t="shared" si="20"/>
        <v>제04장 취소소송의 기타 소송요건&gt;제03절 관할법원&gt;01</v>
      </c>
      <c r="P116" s="277" t="str">
        <f t="shared" si="21"/>
        <v>기출&gt;2009&gt;3</v>
      </c>
      <c r="Q116" s="277" t="str">
        <f t="shared" si="22"/>
        <v>기출&gt;2009&gt;1</v>
      </c>
      <c r="S116" s="5" t="str">
        <f t="shared" si="23"/>
        <v>2009-1</v>
      </c>
    </row>
    <row r="117" spans="2:19" ht="14.45" hidden="1" customHeight="1" x14ac:dyDescent="0.2">
      <c r="B117" s="230">
        <f t="shared" si="18"/>
        <v>114</v>
      </c>
      <c r="C117" s="280">
        <v>2009</v>
      </c>
      <c r="D117" s="276" t="s">
        <v>446</v>
      </c>
      <c r="E117" s="276" t="s">
        <v>400</v>
      </c>
      <c r="F117" s="252" t="s">
        <v>489</v>
      </c>
      <c r="G117" s="276" t="s">
        <v>412</v>
      </c>
      <c r="H117" s="340" t="s">
        <v>1757</v>
      </c>
      <c r="I117" s="276" t="s">
        <v>416</v>
      </c>
      <c r="J117" s="252" t="s">
        <v>108</v>
      </c>
      <c r="K117" s="277" t="str">
        <f>VLOOKUP(S117,통합목록!$E$4:$I$322,5,0)</f>
        <v>열기2-03.행정쟁송법\02.문제\[기출][2009-2-1]행정심판 재결의 종류.txt</v>
      </c>
      <c r="L117" s="278" t="s">
        <v>1282</v>
      </c>
      <c r="M117" s="279"/>
      <c r="N117" s="277" t="str">
        <f t="shared" si="19"/>
        <v>제13장 행정심판의 심리・재결&gt;04&gt;2-1&gt;</v>
      </c>
      <c r="O117" s="277" t="str">
        <f t="shared" si="20"/>
        <v>제13장 행정심판의 심리・재결&gt;제02절 행정심판의 재결&gt;04</v>
      </c>
      <c r="P117" s="277" t="str">
        <f t="shared" si="21"/>
        <v>기출&gt;2009&gt;2</v>
      </c>
      <c r="Q117" s="277" t="str">
        <f t="shared" si="22"/>
        <v>기출&gt;2009&gt;2-1</v>
      </c>
      <c r="S117" s="5" t="str">
        <f t="shared" si="23"/>
        <v>2009-2-1</v>
      </c>
    </row>
    <row r="118" spans="2:19" ht="14.45" hidden="1" customHeight="1" x14ac:dyDescent="0.2">
      <c r="B118" s="230">
        <f t="shared" si="18"/>
        <v>115</v>
      </c>
      <c r="C118" s="280">
        <v>2009</v>
      </c>
      <c r="D118" s="276" t="s">
        <v>442</v>
      </c>
      <c r="E118" s="276" t="s">
        <v>398</v>
      </c>
      <c r="F118" s="252" t="s">
        <v>471</v>
      </c>
      <c r="G118" s="276" t="s">
        <v>423</v>
      </c>
      <c r="H118" s="340" t="s">
        <v>477</v>
      </c>
      <c r="I118" s="276" t="s">
        <v>399</v>
      </c>
      <c r="J118" s="252" t="s">
        <v>2277</v>
      </c>
      <c r="K118" s="277" t="str">
        <f>VLOOKUP(S118,통합목록!$E$4:$I$322,5,0)</f>
        <v>열기2-03.행정쟁송법\02.문제\[기출][2009-2-2]기관소송의 정의, 특징, 예시, 법적 한계.txt</v>
      </c>
      <c r="L118" s="278" t="s">
        <v>1282</v>
      </c>
      <c r="M118" s="279"/>
      <c r="N118" s="277" t="str">
        <f t="shared" si="19"/>
        <v>제10장 부작위위법확인소송 및 기타소송&gt;07&gt;2-2&gt;</v>
      </c>
      <c r="O118" s="277" t="str">
        <f t="shared" si="20"/>
        <v>제10장 부작위위법확인소송 및 기타소송&gt;제04절 기관소송&gt;01</v>
      </c>
      <c r="P118" s="277" t="str">
        <f t="shared" si="21"/>
        <v>기출&gt;2009&gt;1</v>
      </c>
      <c r="Q118" s="277" t="str">
        <f t="shared" si="22"/>
        <v>기출&gt;2009&gt;2-2</v>
      </c>
      <c r="S118" s="5" t="str">
        <f t="shared" si="23"/>
        <v>2009-2-2</v>
      </c>
    </row>
    <row r="119" spans="2:19" ht="14.45" hidden="1" customHeight="1" x14ac:dyDescent="0.2">
      <c r="B119" s="230">
        <f t="shared" si="18"/>
        <v>116</v>
      </c>
      <c r="C119" s="280">
        <v>2008</v>
      </c>
      <c r="D119" s="276" t="s">
        <v>398</v>
      </c>
      <c r="E119" s="276" t="s">
        <v>397</v>
      </c>
      <c r="F119" s="252" t="s">
        <v>471</v>
      </c>
      <c r="G119" s="276" t="s">
        <v>431</v>
      </c>
      <c r="H119" s="340" t="s">
        <v>472</v>
      </c>
      <c r="I119" s="276" t="s">
        <v>416</v>
      </c>
      <c r="J119" s="252" t="s">
        <v>2278</v>
      </c>
      <c r="K119" s="277" t="str">
        <f>VLOOKUP(S119,통합목록!$E$4:$I$322,5,0)</f>
        <v>열기2-03.행정쟁송법\02.문제\[기출][2008-1]부작위위법확인소송의 의의, 특징, 소송요건, 판결의 효력.txt</v>
      </c>
      <c r="L119" s="278" t="s">
        <v>1282</v>
      </c>
      <c r="M119" s="279"/>
      <c r="N119" s="277" t="str">
        <f t="shared" si="19"/>
        <v>제10장 부작위위법확인소송 및 기타소송&gt;08&gt;1&gt;</v>
      </c>
      <c r="O119" s="277" t="str">
        <f t="shared" si="20"/>
        <v>제10장 부작위위법확인소송 및 기타소송&gt;제01절 부작위위법확인소송&gt;04</v>
      </c>
      <c r="P119" s="277" t="str">
        <f t="shared" si="21"/>
        <v>기출&gt;2008&gt;3</v>
      </c>
      <c r="Q119" s="277" t="str">
        <f t="shared" si="22"/>
        <v>기출&gt;2008&gt;1</v>
      </c>
      <c r="S119" s="5" t="str">
        <f t="shared" si="23"/>
        <v>2008-1</v>
      </c>
    </row>
    <row r="120" spans="2:19" ht="14.45" hidden="1" customHeight="1" x14ac:dyDescent="0.2">
      <c r="B120" s="230">
        <f t="shared" si="18"/>
        <v>117</v>
      </c>
      <c r="C120" s="280">
        <v>2008</v>
      </c>
      <c r="D120" s="276" t="s">
        <v>446</v>
      </c>
      <c r="E120" s="276" t="s">
        <v>400</v>
      </c>
      <c r="F120" s="252" t="s">
        <v>1400</v>
      </c>
      <c r="G120" s="276" t="s">
        <v>447</v>
      </c>
      <c r="H120" s="340" t="s">
        <v>445</v>
      </c>
      <c r="I120" s="276" t="s">
        <v>403</v>
      </c>
      <c r="J120" s="252" t="s">
        <v>2279</v>
      </c>
      <c r="K120" s="277" t="str">
        <f>VLOOKUP(S120,통합목록!$E$4:$I$322,5,0)</f>
        <v>열기2-03.행정쟁송법\02.문제\[기출][2008-2-1]행정심판전치주의의 의의, 요건, 적용범위, 예외, 이행여부.txt</v>
      </c>
      <c r="L120" s="278" t="s">
        <v>1282</v>
      </c>
      <c r="M120" s="279"/>
      <c r="N120" s="277" t="str">
        <f t="shared" si="19"/>
        <v>제04장 취소소송의 기타 소송요건&gt;10&gt;2-1&gt;</v>
      </c>
      <c r="O120" s="277" t="str">
        <f t="shared" si="20"/>
        <v>제04장 취소소송의 기타 소송요건&gt;제01절 행정심판전치주의&gt;03</v>
      </c>
      <c r="P120" s="277" t="str">
        <f t="shared" si="21"/>
        <v>기출&gt;2008&gt;2</v>
      </c>
      <c r="Q120" s="277" t="str">
        <f t="shared" si="22"/>
        <v>기출&gt;2008&gt;2-1</v>
      </c>
      <c r="S120" s="5" t="str">
        <f t="shared" si="23"/>
        <v>2008-2-1</v>
      </c>
    </row>
    <row r="121" spans="2:19" ht="14.45" hidden="1" customHeight="1" x14ac:dyDescent="0.2">
      <c r="B121" s="230">
        <f t="shared" si="18"/>
        <v>118</v>
      </c>
      <c r="C121" s="280">
        <v>2008</v>
      </c>
      <c r="D121" s="276" t="s">
        <v>442</v>
      </c>
      <c r="E121" s="276" t="s">
        <v>398</v>
      </c>
      <c r="F121" s="252" t="s">
        <v>1399</v>
      </c>
      <c r="G121" s="276" t="s">
        <v>1862</v>
      </c>
      <c r="H121" s="340" t="s">
        <v>1773</v>
      </c>
      <c r="I121" s="276" t="s">
        <v>399</v>
      </c>
      <c r="J121" s="252" t="s">
        <v>2280</v>
      </c>
      <c r="K121" s="277" t="str">
        <f>VLOOKUP(S121,통합목록!$E$4:$I$322,5,0)</f>
        <v>열기2-03.행정쟁송법\02.문제\[기출][2008-2-2]소송참가의 의의, 제3자의 소송참가, 행정청의 소송참가.txt</v>
      </c>
      <c r="L121" s="278" t="s">
        <v>1282</v>
      </c>
      <c r="M121" s="279"/>
      <c r="N121" s="277" t="str">
        <f t="shared" si="19"/>
        <v>제03장 취소소송의 당사자적격&gt;17&gt;2-2&gt;</v>
      </c>
      <c r="O121" s="277" t="str">
        <f t="shared" si="20"/>
        <v>제03장 취소소송의 당사자적격&gt;제04절 소송참가&gt;01</v>
      </c>
      <c r="P121" s="277" t="str">
        <f t="shared" si="21"/>
        <v>기출&gt;2008&gt;1</v>
      </c>
      <c r="Q121" s="277" t="str">
        <f t="shared" si="22"/>
        <v>기출&gt;2008&gt;2-2</v>
      </c>
      <c r="S121" s="5" t="str">
        <f t="shared" si="23"/>
        <v>2008-2-2</v>
      </c>
    </row>
  </sheetData>
  <autoFilter ref="B3:S121" xr:uid="{C5309492-6A9F-442A-B838-AE446E7098E9}">
    <filterColumn colId="1">
      <filters>
        <filter val="2010"/>
      </filters>
    </filterColumn>
    <filterColumn colId="2" showButton="0"/>
    <filterColumn colId="4" showButton="0"/>
    <filterColumn colId="6" showButton="0"/>
    <filterColumn colId="10">
      <filters>
        <filter val="기출"/>
      </filters>
    </filterColumn>
    <sortState xmlns:xlrd2="http://schemas.microsoft.com/office/spreadsheetml/2017/richdata2" ref="B4:S121">
      <sortCondition descending="1" ref="P3:P121"/>
    </sortState>
  </autoFilter>
  <mergeCells count="6">
    <mergeCell ref="N2:Q2"/>
    <mergeCell ref="F3:G3"/>
    <mergeCell ref="H3:I3"/>
    <mergeCell ref="F2:I2"/>
    <mergeCell ref="D2:E2"/>
    <mergeCell ref="D3:E3"/>
  </mergeCells>
  <phoneticPr fontId="2" type="noConversion"/>
  <conditionalFormatting sqref="B4:Q121">
    <cfRule type="expression" dxfId="5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E0ED9-820B-4A1A-9099-D0CB26C5A64B}">
  <sheetPr codeName="Sheet17">
    <pageSetUpPr fitToPage="1"/>
  </sheetPr>
  <dimension ref="B1:N118"/>
  <sheetViews>
    <sheetView showGridLines="0" zoomScaleNormal="100" workbookViewId="0">
      <pane xSplit="6" ySplit="3" topLeftCell="G4" activePane="bottomRight" state="frozen"/>
      <selection pane="topRight" activeCell="G1" sqref="G1"/>
      <selection pane="bottomLeft" activeCell="A4" sqref="A4"/>
      <selection pane="bottomRight" activeCell="G5" sqref="G5"/>
    </sheetView>
  </sheetViews>
  <sheetFormatPr defaultRowHeight="14.45" customHeight="1" x14ac:dyDescent="0.2"/>
  <cols>
    <col min="1" max="1" width="1.28515625" style="226" customWidth="1"/>
    <col min="2" max="2" width="16.7109375" style="226" customWidth="1"/>
    <col min="3" max="3" width="4.7109375" style="226" customWidth="1"/>
    <col min="4" max="4" width="12" style="226" customWidth="1"/>
    <col min="5" max="5" width="3.28515625" style="226" customWidth="1"/>
    <col min="6" max="11" width="35.7109375" style="226" customWidth="1"/>
    <col min="12" max="12" width="4.42578125" style="224" customWidth="1"/>
    <col min="13" max="13" width="3.28515625" style="297" customWidth="1"/>
    <col min="14" max="14" width="6.28515625" style="297" customWidth="1"/>
    <col min="15" max="16384" width="9.140625" style="226"/>
  </cols>
  <sheetData>
    <row r="1" spans="2:14" ht="14.45" customHeight="1" thickBot="1" x14ac:dyDescent="0.25"/>
    <row r="2" spans="2:14" ht="14.45" customHeight="1" x14ac:dyDescent="0.2">
      <c r="B2" s="298" t="s">
        <v>25</v>
      </c>
      <c r="C2" s="410" t="s">
        <v>50</v>
      </c>
      <c r="D2" s="411"/>
      <c r="E2" s="411"/>
      <c r="F2" s="411"/>
      <c r="G2" s="411"/>
      <c r="H2" s="411"/>
      <c r="I2" s="411"/>
      <c r="J2" s="411"/>
      <c r="K2" s="412"/>
      <c r="L2" s="341" t="s">
        <v>1279</v>
      </c>
      <c r="M2" s="299" t="s">
        <v>380</v>
      </c>
      <c r="N2" s="299" t="s">
        <v>1845</v>
      </c>
    </row>
    <row r="3" spans="2:14" ht="14.45" customHeight="1" thickBot="1" x14ac:dyDescent="0.25">
      <c r="B3" s="300" t="s">
        <v>23</v>
      </c>
      <c r="C3" s="344" t="s">
        <v>132</v>
      </c>
      <c r="D3" s="345" t="s">
        <v>2054</v>
      </c>
      <c r="E3" s="345"/>
      <c r="F3" s="345" t="s">
        <v>2057</v>
      </c>
      <c r="G3" s="345" t="s">
        <v>2036</v>
      </c>
      <c r="H3" s="345" t="s">
        <v>2058</v>
      </c>
      <c r="I3" s="345" t="s">
        <v>2056</v>
      </c>
      <c r="J3" s="345" t="s">
        <v>2059</v>
      </c>
      <c r="K3" s="346" t="s">
        <v>2061</v>
      </c>
      <c r="L3" s="342"/>
      <c r="M3" s="343"/>
      <c r="N3" s="343"/>
    </row>
    <row r="4" spans="2:14" ht="189" customHeight="1" x14ac:dyDescent="0.2">
      <c r="B4" s="296" t="s">
        <v>1396</v>
      </c>
      <c r="C4" s="317" t="s">
        <v>2010</v>
      </c>
      <c r="D4" s="318" t="s">
        <v>1812</v>
      </c>
      <c r="E4" s="319" t="s">
        <v>399</v>
      </c>
      <c r="F4" s="333" t="str">
        <f>VLOOKUP(D4,통합목록!$E$4:$H$322,4,0)</f>
        <v>인근 주민이 제기하고자 하는 예방적 금지소송의 허용 여부 및 대체 소송 수단</v>
      </c>
      <c r="G4" s="333"/>
      <c r="H4" s="333"/>
      <c r="I4" s="333"/>
      <c r="J4" s="333"/>
      <c r="K4" s="320"/>
      <c r="L4" s="347" t="str">
        <f>VLOOKUP(D4,통합목록!$E$4:$K$322,5,0)</f>
        <v>열기2-03.행정쟁송법\02.문제\[모의][01.02-1]인근 주민이 제기하고자 하는 예방적 금지소송의 허용 여부 및 대체 소송 수단.txt</v>
      </c>
      <c r="M4" s="348" t="str">
        <f>VLOOKUP(D4,통합목록!$E$4:$K$322,7,0)</f>
        <v>B</v>
      </c>
      <c r="N4" s="348" t="str">
        <f>B4&amp;"-"&amp;E4</f>
        <v>제01장 행정소송의 일반론-01</v>
      </c>
    </row>
    <row r="5" spans="2:14" ht="189" customHeight="1" x14ac:dyDescent="0.2">
      <c r="B5" s="169" t="s">
        <v>1396</v>
      </c>
      <c r="C5" s="321" t="s">
        <v>2010</v>
      </c>
      <c r="D5" s="322" t="s">
        <v>1813</v>
      </c>
      <c r="E5" s="323" t="s">
        <v>401</v>
      </c>
      <c r="F5" s="334" t="str">
        <f>VLOOKUP(D5,통합목록!$E$4:$H$322,4,0)</f>
        <v>공무원이 미지급된 보수를 청구하기 위해 제기해야 하는 소송의 유형 및 구분 근거</v>
      </c>
      <c r="G5" s="334"/>
      <c r="H5" s="334"/>
      <c r="I5" s="334"/>
      <c r="J5" s="334"/>
      <c r="K5" s="324"/>
      <c r="L5" s="349" t="str">
        <f>VLOOKUP(D5,통합목록!$E$4:$K$322,5,0)</f>
        <v>열기2-03.행정쟁송법\02.문제\[모의][01.02-2]공무원이 미지급된 보수를 청구하기 위해 제기해야 하는 소송의 유형 및 구분 근거.txt</v>
      </c>
      <c r="M5" s="350" t="str">
        <f>VLOOKUP(D5,통합목록!$E$4:$K$322,7,0)</f>
        <v>B</v>
      </c>
      <c r="N5" s="350" t="str">
        <f t="shared" ref="N5:N68" si="0">B5&amp;"-"&amp;E5</f>
        <v>제01장 행정소송의 일반론-02</v>
      </c>
    </row>
    <row r="6" spans="2:14" ht="189" customHeight="1" thickBot="1" x14ac:dyDescent="0.25">
      <c r="B6" s="176" t="s">
        <v>1396</v>
      </c>
      <c r="C6" s="325" t="s">
        <v>1379</v>
      </c>
      <c r="D6" s="328" t="s">
        <v>1254</v>
      </c>
      <c r="E6" s="326" t="s">
        <v>403</v>
      </c>
      <c r="F6" s="335" t="str">
        <f>VLOOKUP(D6,통합목록!$E$4:$H$322,4,0)</f>
        <v>관할행정청의 처분 전에 제3자가 예방적으로 처분 금지를 구하는 소송의 허용 여부</v>
      </c>
      <c r="G6" s="335"/>
      <c r="H6" s="335"/>
      <c r="I6" s="335"/>
      <c r="J6" s="335"/>
      <c r="K6" s="327"/>
      <c r="L6" s="351" t="str">
        <f>VLOOKUP(D6,통합목록!$E$4:$K$322,5,0)</f>
        <v>열기2-03.행정쟁송법\02.문제\[기출][2022-1-2]관할행정청의 처분 전에 제3자가 예방적으로 처분 금지를 구하는 소송의 허용 여부.txt</v>
      </c>
      <c r="M6" s="352" t="str">
        <f>VLOOKUP(D6,통합목록!$E$4:$K$322,7,0)</f>
        <v>B</v>
      </c>
      <c r="N6" s="352" t="str">
        <f t="shared" si="0"/>
        <v>제01장 행정소송의 일반론-03</v>
      </c>
    </row>
    <row r="7" spans="2:14" ht="189" customHeight="1" x14ac:dyDescent="0.2">
      <c r="B7" s="296" t="s">
        <v>1398</v>
      </c>
      <c r="C7" s="329" t="s">
        <v>2010</v>
      </c>
      <c r="D7" s="330" t="s">
        <v>1814</v>
      </c>
      <c r="E7" s="331" t="s">
        <v>399</v>
      </c>
      <c r="F7" s="336" t="str">
        <f>VLOOKUP(D7,통합목록!$E$4:$H$322,4,0)</f>
        <v>취소소송 소송요건의 법적 성질 및 법원의 직권조사 원칙과 예외</v>
      </c>
      <c r="G7" s="336"/>
      <c r="H7" s="336"/>
      <c r="I7" s="336"/>
      <c r="J7" s="336"/>
      <c r="K7" s="332"/>
      <c r="L7" s="353" t="str">
        <f>VLOOKUP(D7,통합목록!$E$4:$K$322,5,0)</f>
        <v>열기2-03.행정쟁송법\02.문제\[모의][02.01-1]취소소송 소송요건의 법적 성질 및 법원의 직권조사 원칙과 예외.txt</v>
      </c>
      <c r="M7" s="354" t="str">
        <f>VLOOKUP(D7,통합목록!$E$4:$K$322,7,0)</f>
        <v>B</v>
      </c>
      <c r="N7" s="354" t="str">
        <f t="shared" si="0"/>
        <v>제02장 취소소송의 대상적격-01</v>
      </c>
    </row>
    <row r="8" spans="2:14" ht="189" customHeight="1" x14ac:dyDescent="0.2">
      <c r="B8" s="169" t="s">
        <v>1398</v>
      </c>
      <c r="C8" s="321" t="s">
        <v>2010</v>
      </c>
      <c r="D8" s="322" t="s">
        <v>1815</v>
      </c>
      <c r="E8" s="323" t="s">
        <v>401</v>
      </c>
      <c r="F8" s="334" t="str">
        <f>VLOOKUP(D8,통합목록!$E$4:$H$322,4,0)</f>
        <v>권고조치를 대상으로 한 취소소송에서 대상적격의 의미 및 소송요건 결여 시 판결의 종류와 사유</v>
      </c>
      <c r="G8" s="334"/>
      <c r="H8" s="334"/>
      <c r="I8" s="334"/>
      <c r="J8" s="334"/>
      <c r="K8" s="324"/>
      <c r="L8" s="349" t="str">
        <f>VLOOKUP(D8,통합목록!$E$4:$K$322,5,0)</f>
        <v>열기2-03.행정쟁송법\02.문제\[모의][02.01-2]권고조치를 대상으로 한 취소소송에서 대상적격의 의미 및 소송요건 결여 시 판결의 종류와 사유.txt</v>
      </c>
      <c r="M8" s="350" t="str">
        <f>VLOOKUP(D8,통합목록!$E$4:$K$322,7,0)</f>
        <v>B</v>
      </c>
      <c r="N8" s="350" t="str">
        <f t="shared" si="0"/>
        <v>제02장 취소소송의 대상적격-02</v>
      </c>
    </row>
    <row r="9" spans="2:14" ht="189" customHeight="1" x14ac:dyDescent="0.2">
      <c r="B9" s="169" t="s">
        <v>1398</v>
      </c>
      <c r="C9" s="321" t="s">
        <v>1379</v>
      </c>
      <c r="D9" s="322" t="s">
        <v>66</v>
      </c>
      <c r="E9" s="323" t="s">
        <v>426</v>
      </c>
      <c r="F9" s="334" t="str">
        <f>VLOOKUP(D9,통합목록!$E$4:$H$322,4,0)</f>
        <v>취소소송의 제기요건(소송요건)(대상적격, 원고적격, 피고적격, 소의 이익, 제소기간, 행심전치주의, 관할법원)</v>
      </c>
      <c r="G9" s="334"/>
      <c r="H9" s="334"/>
      <c r="I9" s="334"/>
      <c r="J9" s="334"/>
      <c r="K9" s="324"/>
      <c r="L9" s="349" t="str">
        <f>VLOOKUP(D9,통합목록!$E$4:$K$322,5,0)</f>
        <v>열기2-03.행정쟁송법\02.문제\[기출][2009-1]취소소송의 제기요건(소송요건)(대상적격, 원고적격, 피고적격, 소의 이익, 제소기간, 행심전치주의, 관할법원).txt</v>
      </c>
      <c r="M9" s="350" t="str">
        <f>VLOOKUP(D9,통합목록!$E$4:$K$322,7,0)</f>
        <v>A</v>
      </c>
      <c r="N9" s="350" t="str">
        <f t="shared" si="0"/>
        <v>제02장 취소소송의 대상적격-03</v>
      </c>
    </row>
    <row r="10" spans="2:14" ht="189" customHeight="1" x14ac:dyDescent="0.2">
      <c r="B10" s="169" t="s">
        <v>1398</v>
      </c>
      <c r="C10" s="321" t="s">
        <v>1379</v>
      </c>
      <c r="D10" s="322" t="s">
        <v>243</v>
      </c>
      <c r="E10" s="323" t="s">
        <v>412</v>
      </c>
      <c r="F10" s="334" t="str">
        <f>VLOOKUP(D10,통합목록!$E$4:$H$322,4,0)</f>
        <v>면적축소 관련 법령에 대한 취소소송 및 환원처분을 구하는 소송의 적법성 여부</v>
      </c>
      <c r="G10" s="334"/>
      <c r="H10" s="334"/>
      <c r="I10" s="334"/>
      <c r="J10" s="334"/>
      <c r="K10" s="324"/>
      <c r="L10" s="349" t="str">
        <f>VLOOKUP(D10,통합목록!$E$4:$K$322,5,0)</f>
        <v>열기2-03.행정쟁송법\02.문제\[기출][2011-1]면적축소 관련 법령에 대한 취소소송 및 환원처분을 구하는 소송의 적법성 여부.txt</v>
      </c>
      <c r="M10" s="350" t="str">
        <f>VLOOKUP(D10,통합목록!$E$4:$K$322,7,0)</f>
        <v>A</v>
      </c>
      <c r="N10" s="350" t="str">
        <f t="shared" si="0"/>
        <v>제02장 취소소송의 대상적격-04</v>
      </c>
    </row>
    <row r="11" spans="2:14" ht="189" customHeight="1" x14ac:dyDescent="0.2">
      <c r="B11" s="169" t="s">
        <v>1398</v>
      </c>
      <c r="C11" s="321" t="s">
        <v>1379</v>
      </c>
      <c r="D11" s="322" t="s">
        <v>65</v>
      </c>
      <c r="E11" s="323" t="s">
        <v>428</v>
      </c>
      <c r="F11" s="334" t="str">
        <f>VLOOKUP(D11,통합목록!$E$4:$H$322,4,0)</f>
        <v>구직자의 노동조합 가입을 이유로 한 설립신고서 반려처분의 취소소송 대상적격 인정 여부</v>
      </c>
      <c r="G11" s="334"/>
      <c r="H11" s="334"/>
      <c r="I11" s="334"/>
      <c r="J11" s="334"/>
      <c r="K11" s="324"/>
      <c r="L11" s="349" t="str">
        <f>VLOOKUP(D11,통합목록!$E$4:$K$322,5,0)</f>
        <v>열기2-03.행정쟁송법\02.문제\[기출][2012-1-1]구직자의 노동조합 가입을 이유로 한 설립신고서 반려처분의 취소소송 대상적격 인정 여부.txt</v>
      </c>
      <c r="M11" s="350" t="str">
        <f>VLOOKUP(D11,통합목록!$E$4:$K$322,7,0)</f>
        <v>A</v>
      </c>
      <c r="N11" s="350" t="str">
        <f t="shared" si="0"/>
        <v>제02장 취소소송의 대상적격-05</v>
      </c>
    </row>
    <row r="12" spans="2:14" ht="189" customHeight="1" x14ac:dyDescent="0.2">
      <c r="B12" s="169" t="s">
        <v>1398</v>
      </c>
      <c r="C12" s="321" t="s">
        <v>1379</v>
      </c>
      <c r="D12" s="322" t="s">
        <v>64</v>
      </c>
      <c r="E12" s="323" t="s">
        <v>430</v>
      </c>
      <c r="F12" s="334" t="str">
        <f>VLOOKUP(D12,통합목록!$E$4:$H$322,4,0)</f>
        <v>무자격 노동조합 설립신고 수리에 대한 사용자의 취소심판 청구의 적법성 여부</v>
      </c>
      <c r="G12" s="334"/>
      <c r="H12" s="334"/>
      <c r="I12" s="334"/>
      <c r="J12" s="334"/>
      <c r="K12" s="324"/>
      <c r="L12" s="349" t="str">
        <f>VLOOKUP(D12,통합목록!$E$4:$K$322,5,0)</f>
        <v>열기2-03.행정쟁송법\02.문제\[기출][2014-1-1]무자격 노동조합 설립신고 수리에 대한 사용자의 취소심판 청구의 적법성 여부.txt</v>
      </c>
      <c r="M12" s="350" t="str">
        <f>VLOOKUP(D12,통합목록!$E$4:$K$322,7,0)</f>
        <v>B</v>
      </c>
      <c r="N12" s="350" t="str">
        <f t="shared" si="0"/>
        <v>제02장 취소소송의 대상적격-06</v>
      </c>
    </row>
    <row r="13" spans="2:14" ht="189" customHeight="1" x14ac:dyDescent="0.2">
      <c r="B13" s="169" t="s">
        <v>1398</v>
      </c>
      <c r="C13" s="321" t="s">
        <v>1379</v>
      </c>
      <c r="D13" s="322" t="s">
        <v>1256</v>
      </c>
      <c r="E13" s="323" t="s">
        <v>458</v>
      </c>
      <c r="F13" s="334" t="str">
        <f>VLOOKUP(D13,통합목록!$E$4:$H$322,4,0)</f>
        <v>노동조합 설립신고 반려처분에 대한 취소소송상 소송요건과 가구제 및 본안 인용 시 권리구제 방안</v>
      </c>
      <c r="G13" s="334"/>
      <c r="H13" s="334"/>
      <c r="I13" s="334"/>
      <c r="J13" s="334"/>
      <c r="K13" s="324"/>
      <c r="L13" s="349" t="str">
        <f>VLOOKUP(D13,통합목록!$E$4:$K$322,5,0)</f>
        <v>열기2-03.행정쟁송법\02.문제\[기출][2016-1-1]노동조합 설립신고 반려처분에 대한 취소소송상 소송요건과 가구제 및 본안 인용 시 권리구제 방안.txt</v>
      </c>
      <c r="M13" s="350" t="str">
        <f>VLOOKUP(D13,통합목록!$E$4:$K$322,7,0)</f>
        <v>B</v>
      </c>
      <c r="N13" s="350" t="str">
        <f t="shared" si="0"/>
        <v>제02장 취소소송의 대상적격-07</v>
      </c>
    </row>
    <row r="14" spans="2:14" ht="189" customHeight="1" x14ac:dyDescent="0.2">
      <c r="B14" s="169" t="s">
        <v>1398</v>
      </c>
      <c r="C14" s="321" t="s">
        <v>1379</v>
      </c>
      <c r="D14" s="322" t="s">
        <v>1382</v>
      </c>
      <c r="E14" s="323" t="s">
        <v>1856</v>
      </c>
      <c r="F14" s="334" t="str">
        <f>VLOOKUP(D14,통합목록!$E$4:$H$322,4,0)</f>
        <v>행정청의 이주대책 대상자 제외 재결정에 대한 취소소송의 대상적격과 제소기간 기산점</v>
      </c>
      <c r="G14" s="334"/>
      <c r="H14" s="334"/>
      <c r="I14" s="334"/>
      <c r="J14" s="334"/>
      <c r="K14" s="324"/>
      <c r="L14" s="349" t="str">
        <f>VLOOKUP(D14,통합목록!$E$4:$K$322,5,0)</f>
        <v>열기2-03.행정쟁송법\02.문제\[기출][2023-1-1]행정청의 이주대책 대상자 제외 재결정에 대한 취소소송의 대상적격과 제소기간 기산점.txt</v>
      </c>
      <c r="M14" s="350" t="str">
        <f>VLOOKUP(D14,통합목록!$E$4:$K$322,7,0)</f>
        <v>B</v>
      </c>
      <c r="N14" s="350" t="str">
        <f t="shared" si="0"/>
        <v>제02장 취소소송의 대상적격-08</v>
      </c>
    </row>
    <row r="15" spans="2:14" ht="189" customHeight="1" x14ac:dyDescent="0.2">
      <c r="B15" s="169" t="s">
        <v>1398</v>
      </c>
      <c r="C15" s="321" t="s">
        <v>1379</v>
      </c>
      <c r="D15" s="322" t="s">
        <v>248</v>
      </c>
      <c r="E15" s="323" t="s">
        <v>1857</v>
      </c>
      <c r="F15" s="334" t="str">
        <f>VLOOKUP(D15,통합목록!$E$4:$H$322,4,0)</f>
        <v>일부 변경된 집합금지명령의 대상적격성 및 고시・공고에 의한 일반처분의 제소기간 준수 여부</v>
      </c>
      <c r="G15" s="334"/>
      <c r="H15" s="334"/>
      <c r="I15" s="334"/>
      <c r="J15" s="334"/>
      <c r="K15" s="324"/>
      <c r="L15" s="349" t="str">
        <f>VLOOKUP(D15,통합목록!$E$4:$K$322,5,0)</f>
        <v>열기2-03.행정쟁송법\02.문제\[기출][2024-3]일부 변경된 집합금지명령의 대상적격성 및 고시・공고에 의한 일반처분의 제소기간 준수 여부.txt</v>
      </c>
      <c r="M15" s="350" t="str">
        <f>VLOOKUP(D15,통합목록!$E$4:$K$322,7,0)</f>
        <v>A</v>
      </c>
      <c r="N15" s="350" t="str">
        <f t="shared" si="0"/>
        <v>제02장 취소소송의 대상적격-09</v>
      </c>
    </row>
    <row r="16" spans="2:14" ht="189" customHeight="1" x14ac:dyDescent="0.2">
      <c r="B16" s="169" t="s">
        <v>1398</v>
      </c>
      <c r="C16" s="321" t="s">
        <v>1379</v>
      </c>
      <c r="D16" s="322" t="s">
        <v>1255</v>
      </c>
      <c r="E16" s="323" t="s">
        <v>447</v>
      </c>
      <c r="F16" s="334" t="str">
        <f>VLOOKUP(D16,통합목록!$E$4:$H$322,4,0)</f>
        <v>위탁운영계약(국유재산 사용・수익허가)의 해지에 대한 구제수단으로서의 무효등 확인소송</v>
      </c>
      <c r="G16" s="334"/>
      <c r="H16" s="334"/>
      <c r="I16" s="334"/>
      <c r="J16" s="334"/>
      <c r="K16" s="324"/>
      <c r="L16" s="349" t="str">
        <f>VLOOKUP(D16,통합목록!$E$4:$K$322,5,0)</f>
        <v>열기2-03.행정쟁송법\02.문제\[기출][2025-3]위탁운영계약(국유재산 사용・수익허가)의 해지에 대한 구제수단으로서의 무효등 확인소송.txt</v>
      </c>
      <c r="M16" s="350" t="str">
        <f>VLOOKUP(D16,통합목록!$E$4:$K$322,7,0)</f>
        <v>C</v>
      </c>
      <c r="N16" s="350" t="str">
        <f t="shared" si="0"/>
        <v>제02장 취소소송의 대상적격-10</v>
      </c>
    </row>
    <row r="17" spans="2:14" ht="189" customHeight="1" x14ac:dyDescent="0.2">
      <c r="B17" s="169" t="s">
        <v>1398</v>
      </c>
      <c r="C17" s="321" t="s">
        <v>1379</v>
      </c>
      <c r="D17" s="322" t="s">
        <v>74</v>
      </c>
      <c r="E17" s="323" t="s">
        <v>1858</v>
      </c>
      <c r="F17" s="334" t="str">
        <f>VLOOKUP(D17,통합목록!$E$4:$H$322,4,0)</f>
        <v>지방노동위원회의 구제명령 등 처분에 대한 특별행정쟁송절차의 흐름과 요건</v>
      </c>
      <c r="G17" s="334"/>
      <c r="H17" s="334"/>
      <c r="I17" s="334"/>
      <c r="J17" s="334"/>
      <c r="K17" s="324"/>
      <c r="L17" s="349" t="str">
        <f>VLOOKUP(D17,통합목록!$E$4:$K$322,5,0)</f>
        <v>열기2-03.행정쟁송법\02.문제\[기출][2012-3]지방노동위원회의 구제명령 등 처분에 대한 특별행정쟁송절차의 흐름과 요건.txt</v>
      </c>
      <c r="M17" s="350" t="str">
        <f>VLOOKUP(D17,통합목록!$E$4:$K$322,7,0)</f>
        <v>B</v>
      </c>
      <c r="N17" s="350" t="str">
        <f t="shared" si="0"/>
        <v>제02장 취소소송의 대상적격-11</v>
      </c>
    </row>
    <row r="18" spans="2:14" ht="189" customHeight="1" x14ac:dyDescent="0.2">
      <c r="B18" s="169" t="s">
        <v>1398</v>
      </c>
      <c r="C18" s="321" t="s">
        <v>1379</v>
      </c>
      <c r="D18" s="322" t="s">
        <v>73</v>
      </c>
      <c r="E18" s="323" t="s">
        <v>1859</v>
      </c>
      <c r="F18" s="334" t="str">
        <f>VLOOKUP(D18,통합목록!$E$4:$H$322,4,0)</f>
        <v>제3자의 청구에 따른 인용재결로 인하여 불이익을 입게 된 원처분 상대방의 소송제기 가능성 및 소송의 대상</v>
      </c>
      <c r="G18" s="334"/>
      <c r="H18" s="334"/>
      <c r="I18" s="334"/>
      <c r="J18" s="334"/>
      <c r="K18" s="324"/>
      <c r="L18" s="349" t="str">
        <f>VLOOKUP(D18,통합목록!$E$4:$K$322,5,0)</f>
        <v>열기2-03.행정쟁송법\02.문제\[기출][2014-1-2]제3자의 청구에 따른 인용재결로 인하여 불이익을 입게 된 원처분 상대방의 소송제기 가능성 및 소송의 대상.txt</v>
      </c>
      <c r="M18" s="350" t="str">
        <f>VLOOKUP(D18,통합목록!$E$4:$K$322,7,0)</f>
        <v>A</v>
      </c>
      <c r="N18" s="350" t="str">
        <f t="shared" si="0"/>
        <v>제02장 취소소송의 대상적격-12</v>
      </c>
    </row>
    <row r="19" spans="2:14" ht="189" customHeight="1" x14ac:dyDescent="0.2">
      <c r="B19" s="169" t="s">
        <v>1398</v>
      </c>
      <c r="C19" s="321" t="s">
        <v>1379</v>
      </c>
      <c r="D19" s="322" t="s">
        <v>72</v>
      </c>
      <c r="E19" s="323" t="s">
        <v>1860</v>
      </c>
      <c r="F19" s="334" t="str">
        <f>VLOOKUP(D19,통합목록!$E$4:$H$322,4,0)</f>
        <v>중앙노동위원회의 일부인용 재심판정에 대하여 사용자가 제기하는 취소소송의 대상</v>
      </c>
      <c r="G19" s="334"/>
      <c r="H19" s="334"/>
      <c r="I19" s="334"/>
      <c r="J19" s="334"/>
      <c r="K19" s="324"/>
      <c r="L19" s="349" t="str">
        <f>VLOOKUP(D19,통합목록!$E$4:$K$322,5,0)</f>
        <v>열기2-03.행정쟁송법\02.문제\[기출][2016-1-2]중앙노동위원회의 일부인용 재심판정에 대하여 사용자가 제기하는 취소소송의 대상.txt</v>
      </c>
      <c r="M19" s="350" t="str">
        <f>VLOOKUP(D19,통합목록!$E$4:$K$322,7,0)</f>
        <v>A</v>
      </c>
      <c r="N19" s="350" t="str">
        <f t="shared" si="0"/>
        <v>제02장 취소소송의 대상적격-13</v>
      </c>
    </row>
    <row r="20" spans="2:14" ht="189" customHeight="1" x14ac:dyDescent="0.2">
      <c r="B20" s="169" t="s">
        <v>1398</v>
      </c>
      <c r="C20" s="321" t="s">
        <v>1379</v>
      </c>
      <c r="D20" s="322" t="s">
        <v>69</v>
      </c>
      <c r="E20" s="323" t="s">
        <v>1861</v>
      </c>
      <c r="F20" s="334" t="str">
        <f>VLOOKUP(D20,통합목록!$E$4:$H$322,4,0)</f>
        <v>감액변경처분에 대한 취소소송의 대상적격과 부적법한 행정심판을 거친 경우의 제소기간 준수 여부</v>
      </c>
      <c r="G20" s="334"/>
      <c r="H20" s="334"/>
      <c r="I20" s="334"/>
      <c r="J20" s="334"/>
      <c r="K20" s="324"/>
      <c r="L20" s="349" t="str">
        <f>VLOOKUP(D20,통합목록!$E$4:$K$322,5,0)</f>
        <v>열기2-03.행정쟁송법\02.문제\[기출][2017-1-1]감액변경처분에 대한 취소소송의 대상적격과 부적법한 행정심판을 거친 경우의 제소기간 준수 여부.txt</v>
      </c>
      <c r="M20" s="350" t="str">
        <f>VLOOKUP(D20,통합목록!$E$4:$K$322,7,0)</f>
        <v>A</v>
      </c>
      <c r="N20" s="350" t="str">
        <f t="shared" si="0"/>
        <v>제02장 취소소송의 대상적격-14</v>
      </c>
    </row>
    <row r="21" spans="2:14" ht="189" customHeight="1" x14ac:dyDescent="0.2">
      <c r="B21" s="169" t="s">
        <v>1398</v>
      </c>
      <c r="C21" s="321" t="s">
        <v>1379</v>
      </c>
      <c r="D21" s="322" t="s">
        <v>70</v>
      </c>
      <c r="E21" s="323" t="s">
        <v>419</v>
      </c>
      <c r="F21" s="334" t="str">
        <f>VLOOKUP(D21,통합목록!$E$4:$H$322,4,0)</f>
        <v>행정심판의 재결이 취소소송의 대상이 되는 경우</v>
      </c>
      <c r="G21" s="334"/>
      <c r="H21" s="334"/>
      <c r="I21" s="334"/>
      <c r="J21" s="334"/>
      <c r="K21" s="324"/>
      <c r="L21" s="349" t="str">
        <f>VLOOKUP(D21,통합목록!$E$4:$K$322,5,0)</f>
        <v>열기2-03.행정쟁송법\02.문제\[기출][2017-3]행정심판의 재결이 취소소송의 대상이 되는 경우.txt</v>
      </c>
      <c r="M21" s="350" t="str">
        <f>VLOOKUP(D21,통합목록!$E$4:$K$322,7,0)</f>
        <v>A</v>
      </c>
      <c r="N21" s="350" t="str">
        <f t="shared" si="0"/>
        <v>제02장 취소소송의 대상적격-15</v>
      </c>
    </row>
    <row r="22" spans="2:14" ht="189" customHeight="1" x14ac:dyDescent="0.2">
      <c r="B22" s="169" t="s">
        <v>1398</v>
      </c>
      <c r="C22" s="321" t="s">
        <v>1379</v>
      </c>
      <c r="D22" s="322" t="s">
        <v>246</v>
      </c>
      <c r="E22" s="323" t="s">
        <v>422</v>
      </c>
      <c r="F22" s="334" t="str">
        <f>VLOOKUP(D22,통합목록!$E$4:$H$322,4,0)</f>
        <v>일부인용재결 및 감경처분에 따른 취소소송의 대상적격・피고적격・제소기간 준수 여부</v>
      </c>
      <c r="G22" s="334"/>
      <c r="H22" s="334"/>
      <c r="I22" s="334"/>
      <c r="J22" s="334"/>
      <c r="K22" s="324"/>
      <c r="L22" s="349" t="str">
        <f>VLOOKUP(D22,통합목록!$E$4:$K$322,5,0)</f>
        <v>열기2-03.행정쟁송법\02.문제\[기출][2020-1-1]일부인용재결 및 감경처분에 따른 취소소송의 대상적격・피고적격・제소기간 준수 여부.txt</v>
      </c>
      <c r="M22" s="350" t="str">
        <f>VLOOKUP(D22,통합목록!$E$4:$K$322,7,0)</f>
        <v>C</v>
      </c>
      <c r="N22" s="350" t="str">
        <f t="shared" si="0"/>
        <v>제02장 취소소송의 대상적격-16</v>
      </c>
    </row>
    <row r="23" spans="2:14" ht="189" customHeight="1" x14ac:dyDescent="0.2">
      <c r="B23" s="169" t="s">
        <v>1398</v>
      </c>
      <c r="C23" s="321" t="s">
        <v>1379</v>
      </c>
      <c r="D23" s="322" t="s">
        <v>68</v>
      </c>
      <c r="E23" s="323" t="s">
        <v>1862</v>
      </c>
      <c r="F23" s="334" t="str">
        <f>VLOOKUP(D23,통합목록!$E$4:$H$322,4,0)</f>
        <v>행정청의 환지예정지지정처분에 대한 사정재결 후 취소소송 대상</v>
      </c>
      <c r="G23" s="334"/>
      <c r="H23" s="334"/>
      <c r="I23" s="334"/>
      <c r="J23" s="334"/>
      <c r="K23" s="324"/>
      <c r="L23" s="349" t="str">
        <f>VLOOKUP(D23,통합목록!$E$4:$K$322,5,0)</f>
        <v>열기2-03.행정쟁송법\02.문제\[기출][2021-2]행정청의 환지예정지지정처분에 대한 사정재결 후 취소소송 대상.txt</v>
      </c>
      <c r="M23" s="350" t="str">
        <f>VLOOKUP(D23,통합목록!$E$4:$K$322,7,0)</f>
        <v>A</v>
      </c>
      <c r="N23" s="350" t="str">
        <f t="shared" si="0"/>
        <v>제02장 취소소송의 대상적격-17</v>
      </c>
    </row>
    <row r="24" spans="2:14" ht="189" customHeight="1" thickBot="1" x14ac:dyDescent="0.25">
      <c r="B24" s="176" t="s">
        <v>1398</v>
      </c>
      <c r="C24" s="325" t="s">
        <v>1379</v>
      </c>
      <c r="D24" s="328" t="s">
        <v>67</v>
      </c>
      <c r="E24" s="326" t="s">
        <v>1863</v>
      </c>
      <c r="F24" s="335" t="str">
        <f>VLOOKUP(D24,통합목록!$E$4:$H$322,4,0)</f>
        <v>감경 변경재결 및 후속 변경처분에 따른 취소소송의 대상적격・피고적격・제소기간 준수 여부</v>
      </c>
      <c r="G24" s="335"/>
      <c r="H24" s="335"/>
      <c r="I24" s="335"/>
      <c r="J24" s="335"/>
      <c r="K24" s="327"/>
      <c r="L24" s="351" t="str">
        <f>VLOOKUP(D24,통합목록!$E$4:$K$322,5,0)</f>
        <v>열기2-03.행정쟁송법\02.문제\[기출][2025-2]감경 변경재결 및 후속 변경처분에 따른 취소소송의 대상적격・피고적격・제소기간 준수 여부.txt</v>
      </c>
      <c r="M24" s="352" t="str">
        <f>VLOOKUP(D24,통합목록!$E$4:$K$322,7,0)</f>
        <v>C</v>
      </c>
      <c r="N24" s="352" t="str">
        <f t="shared" si="0"/>
        <v>제02장 취소소송의 대상적격-18</v>
      </c>
    </row>
    <row r="25" spans="2:14" ht="189" customHeight="1" x14ac:dyDescent="0.2">
      <c r="B25" s="296" t="s">
        <v>1399</v>
      </c>
      <c r="C25" s="329" t="s">
        <v>1379</v>
      </c>
      <c r="D25" s="330" t="s">
        <v>66</v>
      </c>
      <c r="E25" s="331" t="s">
        <v>399</v>
      </c>
      <c r="F25" s="336" t="str">
        <f>VLOOKUP(D25,통합목록!$E$4:$H$322,4,0)</f>
        <v>취소소송의 제기요건(소송요건)(대상적격, 원고적격, 피고적격, 소의 이익, 제소기간, 행심전치주의, 관할법원)</v>
      </c>
      <c r="G25" s="336"/>
      <c r="H25" s="336"/>
      <c r="I25" s="336"/>
      <c r="J25" s="336"/>
      <c r="K25" s="332"/>
      <c r="L25" s="353" t="str">
        <f>VLOOKUP(D25,통합목록!$E$4:$K$322,5,0)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25" s="354" t="str">
        <f>VLOOKUP(D25,통합목록!$E$4:$K$322,7,0)</f>
        <v>A</v>
      </c>
      <c r="N25" s="354" t="str">
        <f t="shared" si="0"/>
        <v>제03장 취소소송의 당사자적격-01</v>
      </c>
    </row>
    <row r="26" spans="2:14" ht="189" customHeight="1" x14ac:dyDescent="0.2">
      <c r="B26" s="169" t="s">
        <v>1399</v>
      </c>
      <c r="C26" s="321" t="s">
        <v>1379</v>
      </c>
      <c r="D26" s="322" t="s">
        <v>77</v>
      </c>
      <c r="E26" s="323" t="s">
        <v>401</v>
      </c>
      <c r="F26" s="334" t="str">
        <f>VLOOKUP(D26,통합목록!$E$4:$H$322,4,0)</f>
        <v>법인인 회사를 대상으로 한 처분에 대한 대표이사 개인과 경제적 불이익을 받는 근로자의 원고적격 여부</v>
      </c>
      <c r="G26" s="334"/>
      <c r="H26" s="334"/>
      <c r="I26" s="334"/>
      <c r="J26" s="334"/>
      <c r="K26" s="324"/>
      <c r="L26" s="349" t="str">
        <f>VLOOKUP(D26,통합목록!$E$4:$K$322,5,0)</f>
        <v>열기2-03.행정쟁송법\02.문제\[기출][2013-1-1]법인인 회사를 대상으로 한 처분에 대한 대표이사 개인과 경제적 불이익을 받는 근로자의 원고적격 여부.txt</v>
      </c>
      <c r="M26" s="350" t="str">
        <f>VLOOKUP(D26,통합목록!$E$4:$K$322,7,0)</f>
        <v>A</v>
      </c>
      <c r="N26" s="350" t="str">
        <f t="shared" si="0"/>
        <v>제03장 취소소송의 당사자적격-02</v>
      </c>
    </row>
    <row r="27" spans="2:14" ht="189" customHeight="1" x14ac:dyDescent="0.2">
      <c r="B27" s="169" t="s">
        <v>1399</v>
      </c>
      <c r="C27" s="321" t="s">
        <v>1379</v>
      </c>
      <c r="D27" s="322" t="s">
        <v>76</v>
      </c>
      <c r="E27" s="323" t="s">
        <v>426</v>
      </c>
      <c r="F27" s="334" t="str">
        <f>VLOOKUP(D27,통합목록!$E$4:$H$322,4,0)</f>
        <v>제3자효 행정행위의 취소소송에서 제3자의 원고적격 인정 범위와 유형별 판단 기준</v>
      </c>
      <c r="G27" s="334"/>
      <c r="H27" s="334"/>
      <c r="I27" s="334"/>
      <c r="J27" s="334"/>
      <c r="K27" s="324"/>
      <c r="L27" s="349" t="str">
        <f>VLOOKUP(D27,통합목록!$E$4:$K$322,5,0)</f>
        <v>열기2-03.행정쟁송법\02.문제\[기출][2016-3]제3자효 행정행위의 취소소송에서 제3자의 원고적격 인정 범위와 유형별 판단 기준.txt</v>
      </c>
      <c r="M27" s="350" t="str">
        <f>VLOOKUP(D27,통합목록!$E$4:$K$322,7,0)</f>
        <v>A</v>
      </c>
      <c r="N27" s="350" t="str">
        <f t="shared" si="0"/>
        <v>제03장 취소소송의 당사자적격-03</v>
      </c>
    </row>
    <row r="28" spans="2:14" ht="189" customHeight="1" x14ac:dyDescent="0.2">
      <c r="B28" s="169" t="s">
        <v>1399</v>
      </c>
      <c r="C28" s="321" t="s">
        <v>1379</v>
      </c>
      <c r="D28" s="322" t="s">
        <v>1257</v>
      </c>
      <c r="E28" s="323" t="s">
        <v>412</v>
      </c>
      <c r="F28" s="334" t="str">
        <f>VLOOKUP(D28,통합목록!$E$4:$H$322,4,0)</f>
        <v>토석채취허가에 대하여 비산먼지 피해를 우려하는 인근 영농법인의 취소소송 원고적격 인정 여부</v>
      </c>
      <c r="G28" s="334"/>
      <c r="H28" s="334"/>
      <c r="I28" s="334"/>
      <c r="J28" s="334"/>
      <c r="K28" s="324"/>
      <c r="L28" s="349" t="str">
        <f>VLOOKUP(D28,통합목록!$E$4:$K$322,5,0)</f>
        <v>열기2-03.행정쟁송법\02.문제\[기출][2022-1-1]토석채취허가에 대하여 비산먼지 피해를 우려하는 인근 영농법인의 취소소송 원고적격 인정 여부.txt</v>
      </c>
      <c r="M28" s="350" t="str">
        <f>VLOOKUP(D28,통합목록!$E$4:$K$322,7,0)</f>
        <v>B</v>
      </c>
      <c r="N28" s="350" t="str">
        <f t="shared" si="0"/>
        <v>제03장 취소소송의 당사자적격-04</v>
      </c>
    </row>
    <row r="29" spans="2:14" ht="189" customHeight="1" x14ac:dyDescent="0.2">
      <c r="B29" s="169" t="s">
        <v>1399</v>
      </c>
      <c r="C29" s="321" t="s">
        <v>1379</v>
      </c>
      <c r="D29" s="322" t="s">
        <v>75</v>
      </c>
      <c r="E29" s="323" t="s">
        <v>428</v>
      </c>
      <c r="F29" s="334" t="str">
        <f>VLOOKUP(D29,통합목록!$E$4:$H$322,4,0)</f>
        <v>여객자동차운송사업 양도・양수 인가처분에 대한 제3자 경업자의 원고적격 인정 여부</v>
      </c>
      <c r="G29" s="334"/>
      <c r="H29" s="334"/>
      <c r="I29" s="334"/>
      <c r="J29" s="334"/>
      <c r="K29" s="324"/>
      <c r="L29" s="349" t="str">
        <f>VLOOKUP(D29,통합목록!$E$4:$K$322,5,0)</f>
        <v>열기2-03.행정쟁송법\02.문제\[기출][2023-2]여객자동차운송사업 양도・양수 인가처분에 대한 제3자 경업자의 원고적격 인정 여부.txt</v>
      </c>
      <c r="M29" s="350" t="str">
        <f>VLOOKUP(D29,통합목록!$E$4:$K$322,7,0)</f>
        <v>C</v>
      </c>
      <c r="N29" s="350" t="str">
        <f t="shared" si="0"/>
        <v>제03장 취소소송의 당사자적격-05</v>
      </c>
    </row>
    <row r="30" spans="2:14" ht="189" customHeight="1" x14ac:dyDescent="0.2">
      <c r="B30" s="169" t="s">
        <v>1399</v>
      </c>
      <c r="C30" s="321" t="s">
        <v>1379</v>
      </c>
      <c r="D30" s="322" t="s">
        <v>66</v>
      </c>
      <c r="E30" s="323" t="s">
        <v>430</v>
      </c>
      <c r="F30" s="334" t="str">
        <f>VLOOKUP(D30,통합목록!$E$4:$H$322,4,0)</f>
        <v>취소소송의 제기요건(소송요건)(대상적격, 원고적격, 피고적격, 소의 이익, 제소기간, 행심전치주의, 관할법원)</v>
      </c>
      <c r="G30" s="334"/>
      <c r="H30" s="334"/>
      <c r="I30" s="334"/>
      <c r="J30" s="334"/>
      <c r="K30" s="324"/>
      <c r="L30" s="349" t="str">
        <f>VLOOKUP(D30,통합목록!$E$4:$K$322,5,0)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0" s="350" t="str">
        <f>VLOOKUP(D30,통합목록!$E$4:$K$322,7,0)</f>
        <v>A</v>
      </c>
      <c r="N30" s="350" t="str">
        <f t="shared" si="0"/>
        <v>제03장 취소소송의 당사자적격-06</v>
      </c>
    </row>
    <row r="31" spans="2:14" ht="189" customHeight="1" x14ac:dyDescent="0.2">
      <c r="B31" s="169" t="s">
        <v>1399</v>
      </c>
      <c r="C31" s="321" t="s">
        <v>1379</v>
      </c>
      <c r="D31" s="322" t="s">
        <v>69</v>
      </c>
      <c r="E31" s="323" t="s">
        <v>458</v>
      </c>
      <c r="F31" s="334" t="str">
        <f>VLOOKUP(D31,통합목록!$E$4:$H$322,4,0)</f>
        <v>감액변경처분에 대한 취소소송의 대상적격과 부적법한 행정심판을 거친 경우의 제소기간 준수 여부</v>
      </c>
      <c r="G31" s="334"/>
      <c r="H31" s="334"/>
      <c r="I31" s="334"/>
      <c r="J31" s="334"/>
      <c r="K31" s="324"/>
      <c r="L31" s="349" t="str">
        <f>VLOOKUP(D31,통합목록!$E$4:$K$322,5,0)</f>
        <v>열기2-03.행정쟁송법\02.문제\[기출][2017-1-1]감액변경처분에 대한 취소소송의 대상적격과 부적법한 행정심판을 거친 경우의 제소기간 준수 여부.txt</v>
      </c>
      <c r="M31" s="350" t="str">
        <f>VLOOKUP(D31,통합목록!$E$4:$K$322,7,0)</f>
        <v>A</v>
      </c>
      <c r="N31" s="350" t="str">
        <f t="shared" si="0"/>
        <v>제03장 취소소송의 당사자적격-07</v>
      </c>
    </row>
    <row r="32" spans="2:14" ht="189" customHeight="1" x14ac:dyDescent="0.2">
      <c r="B32" s="169" t="s">
        <v>1399</v>
      </c>
      <c r="C32" s="321" t="s">
        <v>1379</v>
      </c>
      <c r="D32" s="322" t="s">
        <v>246</v>
      </c>
      <c r="E32" s="323" t="s">
        <v>1856</v>
      </c>
      <c r="F32" s="334" t="str">
        <f>VLOOKUP(D32,통합목록!$E$4:$H$322,4,0)</f>
        <v>일부인용재결 및 감경처분에 따른 취소소송의 대상적격・피고적격・제소기간 준수 여부</v>
      </c>
      <c r="G32" s="334"/>
      <c r="H32" s="334"/>
      <c r="I32" s="334"/>
      <c r="J32" s="334"/>
      <c r="K32" s="324"/>
      <c r="L32" s="349" t="str">
        <f>VLOOKUP(D32,통합목록!$E$4:$K$322,5,0)</f>
        <v>열기2-03.행정쟁송법\02.문제\[기출][2020-1-1]일부인용재결 및 감경처분에 따른 취소소송의 대상적격・피고적격・제소기간 준수 여부.txt</v>
      </c>
      <c r="M32" s="350" t="str">
        <f>VLOOKUP(D32,통합목록!$E$4:$K$322,7,0)</f>
        <v>C</v>
      </c>
      <c r="N32" s="350" t="str">
        <f t="shared" si="0"/>
        <v>제03장 취소소송의 당사자적격-08</v>
      </c>
    </row>
    <row r="33" spans="2:14" ht="189" customHeight="1" x14ac:dyDescent="0.2">
      <c r="B33" s="169" t="s">
        <v>1399</v>
      </c>
      <c r="C33" s="321" t="s">
        <v>1379</v>
      </c>
      <c r="D33" s="322" t="s">
        <v>78</v>
      </c>
      <c r="E33" s="323" t="s">
        <v>1857</v>
      </c>
      <c r="F33" s="334" t="str">
        <f>VLOOKUP(D33,통합목록!$E$4:$H$322,4,0)</f>
        <v>내부위임 일탈 처분에 대한 항고소송의 유형과 피고적격, 인용판결에 따른 환수금 반환 가능성</v>
      </c>
      <c r="G33" s="334"/>
      <c r="H33" s="334"/>
      <c r="I33" s="334"/>
      <c r="J33" s="334"/>
      <c r="K33" s="324"/>
      <c r="L33" s="349" t="str">
        <f>VLOOKUP(D33,통합목록!$E$4:$K$322,5,0)</f>
        <v>열기2-03.행정쟁송법\02.문제\[기출][2025-1-2]내부위임 일탈 처분에 대한 항고소송의 유형과 피고적격, 인용판결에 따른 환수금 반환 가능성.txt</v>
      </c>
      <c r="M33" s="350" t="str">
        <f>VLOOKUP(D33,통합목록!$E$4:$K$322,7,0)</f>
        <v>C</v>
      </c>
      <c r="N33" s="350" t="str">
        <f t="shared" si="0"/>
        <v>제03장 취소소송의 당사자적격-09</v>
      </c>
    </row>
    <row r="34" spans="2:14" ht="189" customHeight="1" x14ac:dyDescent="0.2">
      <c r="B34" s="169" t="s">
        <v>1399</v>
      </c>
      <c r="C34" s="321" t="s">
        <v>1379</v>
      </c>
      <c r="D34" s="322" t="s">
        <v>1223</v>
      </c>
      <c r="E34" s="323" t="s">
        <v>447</v>
      </c>
      <c r="F34" s="334" t="str">
        <f>VLOOKUP(D34,통합목록!$E$4:$H$322,4,0)</f>
        <v>감경 변경재결 및 후속 변경처분에 따른 취소소송의 대상적격・피고적격・제소기간 준수 여부</v>
      </c>
      <c r="G34" s="334"/>
      <c r="H34" s="334"/>
      <c r="I34" s="334"/>
      <c r="J34" s="334"/>
      <c r="K34" s="324"/>
      <c r="L34" s="349" t="str">
        <f>VLOOKUP(D34,통합목록!$E$4:$K$322,5,0)</f>
        <v>열기2-03.행정쟁송법\02.문제\[기출][2025-2]감경 변경재결 및 후속 변경처분에 따른 취소소송의 대상적격・피고적격・제소기간 준수 여부.txt</v>
      </c>
      <c r="M34" s="350" t="str">
        <f>VLOOKUP(D34,통합목록!$E$4:$K$322,7,0)</f>
        <v>C</v>
      </c>
      <c r="N34" s="350" t="str">
        <f t="shared" si="0"/>
        <v>제03장 취소소송의 당사자적격-10</v>
      </c>
    </row>
    <row r="35" spans="2:14" ht="189" customHeight="1" x14ac:dyDescent="0.2">
      <c r="B35" s="169" t="s">
        <v>1399</v>
      </c>
      <c r="C35" s="321" t="s">
        <v>1379</v>
      </c>
      <c r="D35" s="322" t="s">
        <v>66</v>
      </c>
      <c r="E35" s="323" t="s">
        <v>1858</v>
      </c>
      <c r="F35" s="334" t="str">
        <f>VLOOKUP(D35,통합목록!$E$4:$H$322,4,0)</f>
        <v>취소소송의 제기요건(소송요건)(대상적격, 원고적격, 피고적격, 소의 이익, 제소기간, 행심전치주의, 관할법원)</v>
      </c>
      <c r="G35" s="334"/>
      <c r="H35" s="334"/>
      <c r="I35" s="334"/>
      <c r="J35" s="334"/>
      <c r="K35" s="324"/>
      <c r="L35" s="349" t="str">
        <f>VLOOKUP(D35,통합목록!$E$4:$K$322,5,0)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35" s="350" t="str">
        <f>VLOOKUP(D35,통합목록!$E$4:$K$322,7,0)</f>
        <v>A</v>
      </c>
      <c r="N35" s="350" t="str">
        <f t="shared" si="0"/>
        <v>제03장 취소소송의 당사자적격-11</v>
      </c>
    </row>
    <row r="36" spans="2:14" ht="189" customHeight="1" x14ac:dyDescent="0.2">
      <c r="B36" s="169" t="s">
        <v>1399</v>
      </c>
      <c r="C36" s="321" t="s">
        <v>1379</v>
      </c>
      <c r="D36" s="322" t="s">
        <v>80</v>
      </c>
      <c r="E36" s="323" t="s">
        <v>1859</v>
      </c>
      <c r="F36" s="334" t="str">
        <f>VLOOKUP(D36,통합목록!$E$4:$H$322,4,0)</f>
        <v>해임처분취소소송 계속 중 정년에 도달한 공무원의 협의의 소의 이익 인정 여부</v>
      </c>
      <c r="G36" s="334"/>
      <c r="H36" s="334"/>
      <c r="I36" s="334"/>
      <c r="J36" s="334"/>
      <c r="K36" s="324"/>
      <c r="L36" s="349" t="str">
        <f>VLOOKUP(D36,통합목록!$E$4:$K$322,5,0)</f>
        <v>열기2-03.행정쟁송법\02.문제\[기출][2017-1-2]해임처분취소소송 계속 중 정년에 도달한 공무원의 협의의 소의 이익 인정 여부.txt</v>
      </c>
      <c r="M36" s="350" t="str">
        <f>VLOOKUP(D36,통합목록!$E$4:$K$322,7,0)</f>
        <v>A</v>
      </c>
      <c r="N36" s="350" t="str">
        <f t="shared" si="0"/>
        <v>제03장 취소소송의 당사자적격-12</v>
      </c>
    </row>
    <row r="37" spans="2:14" ht="189" customHeight="1" x14ac:dyDescent="0.2">
      <c r="B37" s="169" t="s">
        <v>1399</v>
      </c>
      <c r="C37" s="321" t="s">
        <v>1379</v>
      </c>
      <c r="D37" s="322" t="s">
        <v>1258</v>
      </c>
      <c r="E37" s="323" t="s">
        <v>1860</v>
      </c>
      <c r="F37" s="334" t="str">
        <f>VLOOKUP(D37,통합목록!$E$4:$H$322,4,0)</f>
        <v>영업정지기간 도과 후 가중적 제재 우려가 있는 경우의 협의의 소의 이익 인정 여부</v>
      </c>
      <c r="G37" s="334"/>
      <c r="H37" s="334"/>
      <c r="I37" s="334"/>
      <c r="J37" s="334"/>
      <c r="K37" s="324"/>
      <c r="L37" s="349" t="str">
        <f>VLOOKUP(D37,통합목록!$E$4:$K$322,5,0)</f>
        <v>열기2-03.행정쟁송법\02.문제\[기출][2020-1-2]영업정지기간 도과 후 가중적 제재 우려가 있는 경우의 협의의 소의 이익 인정 여부.txt</v>
      </c>
      <c r="M37" s="350" t="str">
        <f>VLOOKUP(D37,통합목록!$E$4:$K$322,7,0)</f>
        <v>A</v>
      </c>
      <c r="N37" s="350" t="str">
        <f t="shared" si="0"/>
        <v>제03장 취소소송의 당사자적격-13</v>
      </c>
    </row>
    <row r="38" spans="2:14" ht="189" customHeight="1" x14ac:dyDescent="0.2">
      <c r="B38" s="169" t="s">
        <v>1399</v>
      </c>
      <c r="C38" s="321" t="s">
        <v>1379</v>
      </c>
      <c r="D38" s="322" t="s">
        <v>79</v>
      </c>
      <c r="E38" s="323" t="s">
        <v>1861</v>
      </c>
      <c r="F38" s="334" t="str">
        <f>VLOOKUP(D38,통합목록!$E$4:$H$322,4,0)</f>
        <v>소송 계속 중 정년 도과와 금전보상명령의 협의의 소의 이익 인정 여부</v>
      </c>
      <c r="G38" s="334"/>
      <c r="H38" s="334"/>
      <c r="I38" s="334"/>
      <c r="J38" s="334"/>
      <c r="K38" s="324"/>
      <c r="L38" s="349" t="str">
        <f>VLOOKUP(D38,통합목록!$E$4:$K$322,5,0)</f>
        <v>열기2-03.행정쟁송법\02.문제\[기출][2022-2]소송 계속 중 정년 도과와 금전보상명령의 협의의 소의 이익 인정 여부.txt</v>
      </c>
      <c r="M38" s="350" t="str">
        <f>VLOOKUP(D38,통합목록!$E$4:$K$322,7,0)</f>
        <v>A</v>
      </c>
      <c r="N38" s="350" t="str">
        <f t="shared" si="0"/>
        <v>제03장 취소소송의 당사자적격-14</v>
      </c>
    </row>
    <row r="39" spans="2:14" ht="189" customHeight="1" x14ac:dyDescent="0.2">
      <c r="B39" s="169" t="s">
        <v>1399</v>
      </c>
      <c r="C39" s="321" t="s">
        <v>1379</v>
      </c>
      <c r="D39" s="322" t="s">
        <v>1259</v>
      </c>
      <c r="E39" s="323" t="s">
        <v>419</v>
      </c>
      <c r="F39" s="334" t="str">
        <f>VLOOKUP(D39,통합목록!$E$4:$H$322,4,0)</f>
        <v>소송참가의 의의, 제3자의 소송참가, 행정청의 소송참가</v>
      </c>
      <c r="G39" s="334"/>
      <c r="H39" s="334"/>
      <c r="I39" s="334"/>
      <c r="J39" s="334"/>
      <c r="K39" s="324"/>
      <c r="L39" s="349" t="str">
        <f>VLOOKUP(D39,통합목록!$E$4:$K$322,5,0)</f>
        <v>열기2-03.행정쟁송법\02.문제\[기출][2008-2-2]소송참가의 의의, 제3자의 소송참가, 행정청의 소송참가.txt</v>
      </c>
      <c r="M39" s="350" t="str">
        <f>VLOOKUP(D39,통합목록!$E$4:$K$322,7,0)</f>
        <v>C</v>
      </c>
      <c r="N39" s="350" t="str">
        <f t="shared" si="0"/>
        <v>제03장 취소소송의 당사자적격-15</v>
      </c>
    </row>
    <row r="40" spans="2:14" ht="189" customHeight="1" x14ac:dyDescent="0.2">
      <c r="B40" s="169" t="s">
        <v>1399</v>
      </c>
      <c r="C40" s="321" t="s">
        <v>2010</v>
      </c>
      <c r="D40" s="322" t="s">
        <v>1816</v>
      </c>
      <c r="E40" s="323" t="s">
        <v>422</v>
      </c>
      <c r="F40" s="334" t="str">
        <f>VLOOKUP(D40,통합목록!$E$4:$H$322,4,0)</f>
        <v>폐기물 처리시설 설치 승인 처분의 수익자인 회사가 취소소송에 참가하기 위한 요건과 절차</v>
      </c>
      <c r="G40" s="334"/>
      <c r="H40" s="334"/>
      <c r="I40" s="334"/>
      <c r="J40" s="334"/>
      <c r="K40" s="324"/>
      <c r="L40" s="349" t="str">
        <f>VLOOKUP(D40,통합목록!$E$4:$K$322,5,0)</f>
        <v>열기2-03.행정쟁송법\02.문제\[모의][03.04-1]폐기물 처리시설 설치 승인 처분의 수익자인 회사가 취소소송에 참가하기 위한 요건과 절차.txt</v>
      </c>
      <c r="M40" s="350" t="str">
        <f>VLOOKUP(D40,통합목록!$E$4:$K$322,7,0)</f>
        <v>C</v>
      </c>
      <c r="N40" s="350" t="str">
        <f t="shared" si="0"/>
        <v>제03장 취소소송의 당사자적격-16</v>
      </c>
    </row>
    <row r="41" spans="2:14" ht="189" customHeight="1" thickBot="1" x14ac:dyDescent="0.25">
      <c r="B41" s="176" t="s">
        <v>1399</v>
      </c>
      <c r="C41" s="325" t="s">
        <v>2010</v>
      </c>
      <c r="D41" s="328" t="s">
        <v>1817</v>
      </c>
      <c r="E41" s="326" t="s">
        <v>1862</v>
      </c>
      <c r="F41" s="335" t="str">
        <f>VLOOKUP(D41,통합목록!$E$4:$H$322,4,0)</f>
        <v>인근 주민의 취소소송 참가 가능성 및 행정소송법 제16조상 참가인의 법적 지위</v>
      </c>
      <c r="G41" s="335"/>
      <c r="H41" s="335"/>
      <c r="I41" s="335"/>
      <c r="J41" s="335"/>
      <c r="K41" s="327"/>
      <c r="L41" s="351" t="str">
        <f>VLOOKUP(D41,통합목록!$E$4:$K$322,5,0)</f>
        <v>열기2-03.행정쟁송법\02.문제\[모의][03.04-2]인근 주민의 취소소송 참가 가능성 및 행정소송법 제16조상 참가인의 법적 지위.txt</v>
      </c>
      <c r="M41" s="352" t="str">
        <f>VLOOKUP(D41,통합목록!$E$4:$K$322,7,0)</f>
        <v>C</v>
      </c>
      <c r="N41" s="352" t="str">
        <f t="shared" si="0"/>
        <v>제03장 취소소송의 당사자적격-17</v>
      </c>
    </row>
    <row r="42" spans="2:14" ht="189" customHeight="1" x14ac:dyDescent="0.2">
      <c r="B42" s="296" t="s">
        <v>1400</v>
      </c>
      <c r="C42" s="329" t="s">
        <v>1379</v>
      </c>
      <c r="D42" s="330" t="s">
        <v>82</v>
      </c>
      <c r="E42" s="331" t="s">
        <v>399</v>
      </c>
      <c r="F42" s="336" t="str">
        <f>VLOOKUP(D42,통합목록!$E$4:$H$322,4,0)</f>
        <v>행정심판전치주의의 의의, 요건, 적용범위, 예외, 이행여부</v>
      </c>
      <c r="G42" s="336"/>
      <c r="H42" s="336"/>
      <c r="I42" s="336"/>
      <c r="J42" s="336"/>
      <c r="K42" s="332"/>
      <c r="L42" s="353" t="str">
        <f>VLOOKUP(D42,통합목록!$E$4:$K$322,5,0)</f>
        <v>열기2-03.행정쟁송법\02.문제\[기출][2008-2-1]행정심판전치주의의 의의, 요건, 적용범위, 예외, 이행여부.txt</v>
      </c>
      <c r="M42" s="354" t="str">
        <f>VLOOKUP(D42,통합목록!$E$4:$K$322,7,0)</f>
        <v>C</v>
      </c>
      <c r="N42" s="354" t="str">
        <f t="shared" si="0"/>
        <v>제04장 취소소송의 기타 소송요건-01</v>
      </c>
    </row>
    <row r="43" spans="2:14" ht="189" customHeight="1" x14ac:dyDescent="0.2">
      <c r="B43" s="169" t="s">
        <v>1400</v>
      </c>
      <c r="C43" s="321" t="s">
        <v>1379</v>
      </c>
      <c r="D43" s="322" t="s">
        <v>1260</v>
      </c>
      <c r="E43" s="323" t="s">
        <v>401</v>
      </c>
      <c r="F43" s="334" t="str">
        <f>VLOOKUP(D43,통합목록!$E$4:$H$322,4,0)</f>
        <v>취소소송의 제기요건(소송요건)(대상적격, 원고적격, 피고적격, 소의 이익, 제소기간, 행심전치주의, 관할법원)</v>
      </c>
      <c r="G43" s="334"/>
      <c r="H43" s="334"/>
      <c r="I43" s="334"/>
      <c r="J43" s="334"/>
      <c r="K43" s="324"/>
      <c r="L43" s="349" t="str">
        <f>VLOOKUP(D43,통합목록!$E$4:$K$322,5,0)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3" s="350" t="str">
        <f>VLOOKUP(D43,통합목록!$E$4:$K$322,7,0)</f>
        <v>A</v>
      </c>
      <c r="N43" s="350" t="str">
        <f t="shared" si="0"/>
        <v>제04장 취소소송의 기타 소송요건-02</v>
      </c>
    </row>
    <row r="44" spans="2:14" ht="189" customHeight="1" x14ac:dyDescent="0.2">
      <c r="B44" s="169" t="s">
        <v>1400</v>
      </c>
      <c r="C44" s="321" t="s">
        <v>1379</v>
      </c>
      <c r="D44" s="322" t="s">
        <v>1224</v>
      </c>
      <c r="E44" s="323" t="s">
        <v>426</v>
      </c>
      <c r="F44" s="334" t="str">
        <f>VLOOKUP(D44,통합목록!$E$4:$H$322,4,0)</f>
        <v>소청절차를 거치지 않고 제기한 지방공무원의 시간외근무수당 청구소송의 적법 여부</v>
      </c>
      <c r="G44" s="334"/>
      <c r="H44" s="334"/>
      <c r="I44" s="334"/>
      <c r="J44" s="334"/>
      <c r="K44" s="324"/>
      <c r="L44" s="349" t="str">
        <f>VLOOKUP(D44,통합목록!$E$4:$K$322,5,0)</f>
        <v>열기2-03.행정쟁송법\02.문제\[기출][2024-1-1-2]소청절차를 거치지 않고 제기한 지방공무원의 시간외근무수당 청구소송의 적법 여부.txt</v>
      </c>
      <c r="M44" s="350" t="str">
        <f>VLOOKUP(D44,통합목록!$E$4:$K$322,7,0)</f>
        <v>C</v>
      </c>
      <c r="N44" s="350" t="str">
        <f t="shared" si="0"/>
        <v>제04장 취소소송의 기타 소송요건-03</v>
      </c>
    </row>
    <row r="45" spans="2:14" ht="189" customHeight="1" x14ac:dyDescent="0.2">
      <c r="B45" s="169" t="s">
        <v>1400</v>
      </c>
      <c r="C45" s="321" t="s">
        <v>1379</v>
      </c>
      <c r="D45" s="322" t="s">
        <v>66</v>
      </c>
      <c r="E45" s="323" t="s">
        <v>412</v>
      </c>
      <c r="F45" s="334" t="str">
        <f>VLOOKUP(D45,통합목록!$E$4:$H$322,4,0)</f>
        <v>취소소송의 제기요건(소송요건)(대상적격, 원고적격, 피고적격, 소의 이익, 제소기간, 행심전치주의, 관할법원)</v>
      </c>
      <c r="G45" s="334"/>
      <c r="H45" s="334"/>
      <c r="I45" s="334"/>
      <c r="J45" s="334"/>
      <c r="K45" s="324"/>
      <c r="L45" s="349" t="str">
        <f>VLOOKUP(D45,통합목록!$E$4:$K$322,5,0)</f>
        <v>열기2-03.행정쟁송법\02.문제\[기출][2009-1]취소소송의 제기요건(소송요건)(대상적격, 원고적격, 피고적격, 소의 이익, 제소기간, 행심전치주의, 관할법원).txt</v>
      </c>
      <c r="M45" s="350" t="str">
        <f>VLOOKUP(D45,통합목록!$E$4:$K$322,7,0)</f>
        <v>A</v>
      </c>
      <c r="N45" s="350" t="str">
        <f t="shared" si="0"/>
        <v>제04장 취소소송의 기타 소송요건-04</v>
      </c>
    </row>
    <row r="46" spans="2:14" ht="189" customHeight="1" x14ac:dyDescent="0.2">
      <c r="B46" s="169" t="s">
        <v>1400</v>
      </c>
      <c r="C46" s="321" t="s">
        <v>1379</v>
      </c>
      <c r="D46" s="322" t="s">
        <v>69</v>
      </c>
      <c r="E46" s="323" t="s">
        <v>428</v>
      </c>
      <c r="F46" s="334" t="str">
        <f>VLOOKUP(D46,통합목록!$E$4:$H$322,4,0)</f>
        <v>감액변경처분에 대한 취소소송의 대상적격과 부적법한 행정심판을 거친 경우의 제소기간 준수 여부</v>
      </c>
      <c r="G46" s="334"/>
      <c r="H46" s="334"/>
      <c r="I46" s="334"/>
      <c r="J46" s="334"/>
      <c r="K46" s="324"/>
      <c r="L46" s="349" t="str">
        <f>VLOOKUP(D46,통합목록!$E$4:$K$322,5,0)</f>
        <v>열기2-03.행정쟁송법\02.문제\[기출][2017-1-1]감액변경처분에 대한 취소소송의 대상적격과 부적법한 행정심판을 거친 경우의 제소기간 준수 여부.txt</v>
      </c>
      <c r="M46" s="350" t="str">
        <f>VLOOKUP(D46,통합목록!$E$4:$K$322,7,0)</f>
        <v>A</v>
      </c>
      <c r="N46" s="350" t="str">
        <f t="shared" si="0"/>
        <v>제04장 취소소송의 기타 소송요건-05</v>
      </c>
    </row>
    <row r="47" spans="2:14" ht="189" customHeight="1" x14ac:dyDescent="0.2">
      <c r="B47" s="169" t="s">
        <v>1400</v>
      </c>
      <c r="C47" s="321" t="s">
        <v>1379</v>
      </c>
      <c r="D47" s="322" t="s">
        <v>246</v>
      </c>
      <c r="E47" s="323" t="s">
        <v>430</v>
      </c>
      <c r="F47" s="334" t="str">
        <f>VLOOKUP(D47,통합목록!$E$4:$H$322,4,0)</f>
        <v>일부인용재결 및 감경처분에 따른 취소소송의 대상적격・피고적격・제소기간 준수 여부</v>
      </c>
      <c r="G47" s="334"/>
      <c r="H47" s="334"/>
      <c r="I47" s="334"/>
      <c r="J47" s="334"/>
      <c r="K47" s="324"/>
      <c r="L47" s="349" t="str">
        <f>VLOOKUP(D47,통합목록!$E$4:$K$322,5,0)</f>
        <v>열기2-03.행정쟁송법\02.문제\[기출][2020-1-1]일부인용재결 및 감경처분에 따른 취소소송의 대상적격・피고적격・제소기간 준수 여부.txt</v>
      </c>
      <c r="M47" s="350" t="str">
        <f>VLOOKUP(D47,통합목록!$E$4:$K$322,7,0)</f>
        <v>C</v>
      </c>
      <c r="N47" s="350" t="str">
        <f t="shared" si="0"/>
        <v>제04장 취소소송의 기타 소송요건-06</v>
      </c>
    </row>
    <row r="48" spans="2:14" ht="189" customHeight="1" x14ac:dyDescent="0.2">
      <c r="B48" s="169" t="s">
        <v>1400</v>
      </c>
      <c r="C48" s="321" t="s">
        <v>1379</v>
      </c>
      <c r="D48" s="322" t="s">
        <v>247</v>
      </c>
      <c r="E48" s="323" t="s">
        <v>458</v>
      </c>
      <c r="F48" s="334" t="str">
        <f>VLOOKUP(D48,통합목록!$E$4:$H$322,4,0)</f>
        <v>행정청의 이주대책 대상자 제외 재결정에 대한 취소소송의 대상적격과 제소기간 기산점</v>
      </c>
      <c r="G48" s="334"/>
      <c r="H48" s="334"/>
      <c r="I48" s="334"/>
      <c r="J48" s="334"/>
      <c r="K48" s="324"/>
      <c r="L48" s="349" t="str">
        <f>VLOOKUP(D48,통합목록!$E$4:$K$322,5,0)</f>
        <v>열기2-03.행정쟁송법\02.문제\[기출][2023-1-1]행정청의 이주대책 대상자 제외 재결정에 대한 취소소송의 대상적격과 제소기간 기산점.txt</v>
      </c>
      <c r="M48" s="350" t="str">
        <f>VLOOKUP(D48,통합목록!$E$4:$K$322,7,0)</f>
        <v>B</v>
      </c>
      <c r="N48" s="350" t="str">
        <f t="shared" si="0"/>
        <v>제04장 취소소송의 기타 소송요건-07</v>
      </c>
    </row>
    <row r="49" spans="2:14" ht="189" customHeight="1" x14ac:dyDescent="0.2">
      <c r="B49" s="169" t="s">
        <v>1400</v>
      </c>
      <c r="C49" s="321" t="s">
        <v>1379</v>
      </c>
      <c r="D49" s="322" t="s">
        <v>248</v>
      </c>
      <c r="E49" s="323" t="s">
        <v>1856</v>
      </c>
      <c r="F49" s="334" t="str">
        <f>VLOOKUP(D49,통합목록!$E$4:$H$322,4,0)</f>
        <v>일부 변경된 집합금지명령의 대상적격성 및 고시・공고에 의한 일반처분의 제소기간 준수 여부</v>
      </c>
      <c r="G49" s="334"/>
      <c r="H49" s="334"/>
      <c r="I49" s="334"/>
      <c r="J49" s="334"/>
      <c r="K49" s="324"/>
      <c r="L49" s="349" t="str">
        <f>VLOOKUP(D49,통합목록!$E$4:$K$322,5,0)</f>
        <v>열기2-03.행정쟁송법\02.문제\[기출][2024-3]일부 변경된 집합금지명령의 대상적격성 및 고시・공고에 의한 일반처분의 제소기간 준수 여부.txt</v>
      </c>
      <c r="M49" s="350" t="str">
        <f>VLOOKUP(D49,통합목록!$E$4:$K$322,7,0)</f>
        <v>A</v>
      </c>
      <c r="N49" s="350" t="str">
        <f t="shared" si="0"/>
        <v>제04장 취소소송의 기타 소송요건-08</v>
      </c>
    </row>
    <row r="50" spans="2:14" ht="189" customHeight="1" x14ac:dyDescent="0.2">
      <c r="B50" s="169" t="s">
        <v>1400</v>
      </c>
      <c r="C50" s="321" t="s">
        <v>1379</v>
      </c>
      <c r="D50" s="322" t="s">
        <v>67</v>
      </c>
      <c r="E50" s="323" t="s">
        <v>1857</v>
      </c>
      <c r="F50" s="334" t="str">
        <f>VLOOKUP(D50,통합목록!$E$4:$H$322,4,0)</f>
        <v>감경 변경재결 및 후속 변경처분에 따른 취소소송의 대상적격・피고적격・제소기간 준수 여부</v>
      </c>
      <c r="G50" s="334"/>
      <c r="H50" s="334"/>
      <c r="I50" s="334"/>
      <c r="J50" s="334"/>
      <c r="K50" s="324"/>
      <c r="L50" s="349" t="str">
        <f>VLOOKUP(D50,통합목록!$E$4:$K$322,5,0)</f>
        <v>열기2-03.행정쟁송법\02.문제\[기출][2025-2]감경 변경재결 및 후속 변경처분에 따른 취소소송의 대상적격・피고적격・제소기간 준수 여부.txt</v>
      </c>
      <c r="M50" s="350" t="str">
        <f>VLOOKUP(D50,통합목록!$E$4:$K$322,7,0)</f>
        <v>C</v>
      </c>
      <c r="N50" s="350" t="str">
        <f t="shared" si="0"/>
        <v>제04장 취소소송의 기타 소송요건-09</v>
      </c>
    </row>
    <row r="51" spans="2:14" ht="189" customHeight="1" thickBot="1" x14ac:dyDescent="0.25">
      <c r="B51" s="176" t="s">
        <v>1400</v>
      </c>
      <c r="C51" s="325" t="s">
        <v>1379</v>
      </c>
      <c r="D51" s="328" t="s">
        <v>1260</v>
      </c>
      <c r="E51" s="326" t="s">
        <v>447</v>
      </c>
      <c r="F51" s="335" t="str">
        <f>VLOOKUP(D51,통합목록!$E$4:$H$322,4,0)</f>
        <v>취소소송의 제기요건(소송요건)(대상적격, 원고적격, 피고적격, 소의 이익, 제소기간, 행심전치주의, 관할법원)</v>
      </c>
      <c r="G51" s="335"/>
      <c r="H51" s="335"/>
      <c r="I51" s="335"/>
      <c r="J51" s="335"/>
      <c r="K51" s="327"/>
      <c r="L51" s="351" t="str">
        <f>VLOOKUP(D51,통합목록!$E$4:$K$322,5,0)</f>
        <v>열기2-03.행정쟁송법\02.문제\[기출][2009-1]취소소송의 제기요건(소송요건)(대상적격, 원고적격, 피고적격, 소의 이익, 제소기간, 행심전치주의, 관할법원).txt</v>
      </c>
      <c r="M51" s="352" t="str">
        <f>VLOOKUP(D51,통합목록!$E$4:$K$322,7,0)</f>
        <v>A</v>
      </c>
      <c r="N51" s="352" t="str">
        <f t="shared" si="0"/>
        <v>제04장 취소소송의 기타 소송요건-10</v>
      </c>
    </row>
    <row r="52" spans="2:14" ht="189" customHeight="1" x14ac:dyDescent="0.2">
      <c r="B52" s="296" t="s">
        <v>1401</v>
      </c>
      <c r="C52" s="329" t="s">
        <v>2010</v>
      </c>
      <c r="D52" s="330" t="s">
        <v>1818</v>
      </c>
      <c r="E52" s="331" t="s">
        <v>399</v>
      </c>
      <c r="F52" s="336" t="str">
        <f>VLOOKUP(D52,통합목록!$E$4:$H$322,4,0)</f>
        <v>처분사유의 추가・변경의 허용 여부와 한계에 대한 판례의 입장</v>
      </c>
      <c r="G52" s="336"/>
      <c r="H52" s="336"/>
      <c r="I52" s="336"/>
      <c r="J52" s="336"/>
      <c r="K52" s="332"/>
      <c r="L52" s="353" t="str">
        <f>VLOOKUP(D52,통합목록!$E$4:$K$322,5,0)</f>
        <v>열기2-03.행정쟁송법\02.문제\[모의][05.01-1]처분사유의 추가・변경의 허용 여부와 한계에 대한 판례의 입장.txt</v>
      </c>
      <c r="M52" s="354" t="str">
        <f>VLOOKUP(D52,통합목록!$E$4:$K$322,7,0)</f>
        <v>A</v>
      </c>
      <c r="N52" s="354" t="str">
        <f t="shared" si="0"/>
        <v>제05장 취소소송의 심리-01</v>
      </c>
    </row>
    <row r="53" spans="2:14" ht="189" customHeight="1" x14ac:dyDescent="0.2">
      <c r="B53" s="169" t="s">
        <v>1401</v>
      </c>
      <c r="C53" s="321" t="s">
        <v>2010</v>
      </c>
      <c r="D53" s="322" t="s">
        <v>1819</v>
      </c>
      <c r="E53" s="323" t="s">
        <v>401</v>
      </c>
      <c r="F53" s="334" t="str">
        <f>VLOOKUP(D53,통합목록!$E$4:$H$322,4,0)</f>
        <v>행정심판기록 제출명령의 의의와 효과</v>
      </c>
      <c r="G53" s="334"/>
      <c r="H53" s="334"/>
      <c r="I53" s="334"/>
      <c r="J53" s="334"/>
      <c r="K53" s="324"/>
      <c r="L53" s="349" t="str">
        <f>VLOOKUP(D53,통합목록!$E$4:$K$322,5,0)</f>
        <v>열기2-03.행정쟁송법\02.문제\[모의][05.01-2]행정심판기록 제출명령의 의의와 효과.txt</v>
      </c>
      <c r="M53" s="350" t="str">
        <f>VLOOKUP(D53,통합목록!$E$4:$K$322,7,0)</f>
        <v>B</v>
      </c>
      <c r="N53" s="350" t="str">
        <f t="shared" si="0"/>
        <v>제05장 취소소송의 심리-02</v>
      </c>
    </row>
    <row r="54" spans="2:14" ht="189" customHeight="1" x14ac:dyDescent="0.2">
      <c r="B54" s="169" t="s">
        <v>1401</v>
      </c>
      <c r="C54" s="321" t="s">
        <v>1379</v>
      </c>
      <c r="D54" s="322" t="s">
        <v>1261</v>
      </c>
      <c r="E54" s="323" t="s">
        <v>426</v>
      </c>
      <c r="F54" s="334" t="str">
        <f>VLOOKUP(D54,통합목록!$E$4:$H$322,4,0)</f>
        <v>거부처분 후 법령이 개정된 경우 취소소송에서 위법성 판단의 기준시점</v>
      </c>
      <c r="G54" s="334"/>
      <c r="H54" s="334"/>
      <c r="I54" s="334"/>
      <c r="J54" s="334"/>
      <c r="K54" s="324"/>
      <c r="L54" s="349" t="str">
        <f>VLOOKUP(D54,통합목록!$E$4:$K$322,5,0)</f>
        <v>열기2-03.행정쟁송법\02.문제\[기출][2022-3]거부처분 후 법령이 개정된 경우 취소소송에서 위법성 판단의 기준시점.txt</v>
      </c>
      <c r="M54" s="350" t="str">
        <f>VLOOKUP(D54,통합목록!$E$4:$K$322,7,0)</f>
        <v>A</v>
      </c>
      <c r="N54" s="350" t="str">
        <f t="shared" si="0"/>
        <v>제05장 취소소송의 심리-03</v>
      </c>
    </row>
    <row r="55" spans="2:14" ht="189" customHeight="1" x14ac:dyDescent="0.2">
      <c r="B55" s="169" t="s">
        <v>1401</v>
      </c>
      <c r="C55" s="321" t="s">
        <v>1379</v>
      </c>
      <c r="D55" s="322" t="s">
        <v>87</v>
      </c>
      <c r="E55" s="323" t="s">
        <v>412</v>
      </c>
      <c r="F55" s="334" t="str">
        <f>VLOOKUP(D55,통합목록!$E$4:$H$322,4,0)</f>
        <v>입찰참가자격 제한 처분의 취소소송 중 뇌물수수 사유 추가의 허용 여부</v>
      </c>
      <c r="G55" s="334"/>
      <c r="H55" s="334"/>
      <c r="I55" s="334"/>
      <c r="J55" s="334"/>
      <c r="K55" s="324"/>
      <c r="L55" s="349" t="str">
        <f>VLOOKUP(D55,통합목록!$E$4:$K$322,5,0)</f>
        <v>열기2-03.행정쟁송법\02.문제\[기출][2011-2]입찰참가자격 제한 처분의 취소소송 중 뇌물수수 사유 추가의 허용 여부.txt</v>
      </c>
      <c r="M55" s="350" t="str">
        <f>VLOOKUP(D55,통합목록!$E$4:$K$322,7,0)</f>
        <v>A</v>
      </c>
      <c r="N55" s="350" t="str">
        <f t="shared" si="0"/>
        <v>제05장 취소소송의 심리-04</v>
      </c>
    </row>
    <row r="56" spans="2:14" ht="189" customHeight="1" x14ac:dyDescent="0.2">
      <c r="B56" s="169" t="s">
        <v>1401</v>
      </c>
      <c r="C56" s="321" t="s">
        <v>1379</v>
      </c>
      <c r="D56" s="322" t="s">
        <v>86</v>
      </c>
      <c r="E56" s="323" t="s">
        <v>428</v>
      </c>
      <c r="F56" s="334" t="str">
        <f>VLOOKUP(D56,통합목록!$E$4:$H$322,4,0)</f>
        <v>개발행위 불허가 처분 취소소송 중 기반시설 설치계획 부적절 사유 외 환경 부조화 사유 추가 가능 여부</v>
      </c>
      <c r="G56" s="334"/>
      <c r="H56" s="334"/>
      <c r="I56" s="334"/>
      <c r="J56" s="334"/>
      <c r="K56" s="324"/>
      <c r="L56" s="349" t="str">
        <f>VLOOKUP(D56,통합목록!$E$4:$K$322,5,0)</f>
        <v>열기2-03.행정쟁송법\02.문제\[기출][2015-1-2]개발행위 불허가 처분 취소소송 중 기반시설 설치계획 부적절 사유 외 환경 부조화 사유 추가 가능 여부.txt</v>
      </c>
      <c r="M56" s="350" t="str">
        <f>VLOOKUP(D56,통합목록!$E$4:$K$322,7,0)</f>
        <v>A</v>
      </c>
      <c r="N56" s="350" t="str">
        <f t="shared" si="0"/>
        <v>제05장 취소소송의 심리-05</v>
      </c>
    </row>
    <row r="57" spans="2:14" ht="189" customHeight="1" x14ac:dyDescent="0.2">
      <c r="B57" s="169" t="s">
        <v>1401</v>
      </c>
      <c r="C57" s="321" t="s">
        <v>1379</v>
      </c>
      <c r="D57" s="322" t="s">
        <v>1262</v>
      </c>
      <c r="E57" s="323" t="s">
        <v>430</v>
      </c>
      <c r="F57" s="334" t="str">
        <f>VLOOKUP(D57,통합목록!$E$4:$H$322,4,0)</f>
        <v>취소소송 계속 중 피고인 중앙노동위원회가 징계사유를 추가적으로 주장하는 것의 허용 여부 및 타당성</v>
      </c>
      <c r="G57" s="334"/>
      <c r="H57" s="334"/>
      <c r="I57" s="334"/>
      <c r="J57" s="334"/>
      <c r="K57" s="324"/>
      <c r="L57" s="349" t="str">
        <f>VLOOKUP(D57,통합목록!$E$4:$K$322,5,0)</f>
        <v>열기2-03.행정쟁송법\02.문제\[기출][2019-1-2]취소소송 계속 중 피고인 중앙노동위원회가 징계사유를 추가적으로 주장하는 것의 허용 여부 및 타당성.txt</v>
      </c>
      <c r="M57" s="350" t="str">
        <f>VLOOKUP(D57,통합목록!$E$4:$K$322,7,0)</f>
        <v>A</v>
      </c>
      <c r="N57" s="350" t="str">
        <f t="shared" si="0"/>
        <v>제05장 취소소송의 심리-06</v>
      </c>
    </row>
    <row r="58" spans="2:14" ht="189" customHeight="1" thickBot="1" x14ac:dyDescent="0.25">
      <c r="B58" s="176" t="s">
        <v>1401</v>
      </c>
      <c r="C58" s="325" t="s">
        <v>1379</v>
      </c>
      <c r="D58" s="328" t="s">
        <v>85</v>
      </c>
      <c r="E58" s="326" t="s">
        <v>458</v>
      </c>
      <c r="F58" s="335" t="str">
        <f>VLOOKUP(D58,통합목록!$E$4:$H$322,4,0)</f>
        <v>취소소송 계속 중 피고 행정청이 당초 징계사유 외에 다른 징계사유를 추가적으로 주장할 수 있는지 여부</v>
      </c>
      <c r="G58" s="335"/>
      <c r="H58" s="335"/>
      <c r="I58" s="335"/>
      <c r="J58" s="335"/>
      <c r="K58" s="327"/>
      <c r="L58" s="351" t="str">
        <f>VLOOKUP(D58,통합목록!$E$4:$K$322,5,0)</f>
        <v>열기2-03.행정쟁송법\02.문제\[기출][2021-3]취소소송 계속 중 피고 행정청이 당초 징계사유 외에 다른 징계사유를 추가적으로 주장할 수 있는지 여부.txt</v>
      </c>
      <c r="M58" s="352" t="str">
        <f>VLOOKUP(D58,통합목록!$E$4:$K$322,7,0)</f>
        <v>A</v>
      </c>
      <c r="N58" s="352" t="str">
        <f t="shared" si="0"/>
        <v>제05장 취소소송의 심리-07</v>
      </c>
    </row>
    <row r="59" spans="2:14" ht="189" customHeight="1" x14ac:dyDescent="0.2">
      <c r="B59" s="296" t="s">
        <v>1402</v>
      </c>
      <c r="C59" s="329" t="s">
        <v>1379</v>
      </c>
      <c r="D59" s="330" t="s">
        <v>88</v>
      </c>
      <c r="E59" s="331" t="s">
        <v>399</v>
      </c>
      <c r="F59" s="336" t="str">
        <f>VLOOKUP(D59,통합목록!$E$4:$H$322,4,0)</f>
        <v>과징금부과처분이 과다할 경우 법원의 일부취소판결 가능성 여부</v>
      </c>
      <c r="G59" s="336"/>
      <c r="H59" s="336"/>
      <c r="I59" s="336"/>
      <c r="J59" s="336"/>
      <c r="K59" s="332"/>
      <c r="L59" s="353" t="str">
        <f>VLOOKUP(D59,통합목록!$E$4:$K$322,5,0)</f>
        <v>열기2-03.행정쟁송법\02.문제\[기출][2013-1-2]과징금부과처분이 과다할 경우 법원의 일부취소판결 가능성 여부.txt</v>
      </c>
      <c r="M59" s="354" t="str">
        <f>VLOOKUP(D59,통합목록!$E$4:$K$322,7,0)</f>
        <v>B</v>
      </c>
      <c r="N59" s="354" t="str">
        <f t="shared" si="0"/>
        <v>제06장 취소소송의 종료-01</v>
      </c>
    </row>
    <row r="60" spans="2:14" ht="189" customHeight="1" x14ac:dyDescent="0.2">
      <c r="B60" s="169" t="s">
        <v>1402</v>
      </c>
      <c r="C60" s="321" t="s">
        <v>1379</v>
      </c>
      <c r="D60" s="322" t="s">
        <v>1263</v>
      </c>
      <c r="E60" s="323" t="s">
        <v>401</v>
      </c>
      <c r="F60" s="334" t="str">
        <f>VLOOKUP(D60,통합목록!$E$4:$H$322,4,0)</f>
        <v>항고소송의 사정판결의 의의, 취지, 요건, 효과</v>
      </c>
      <c r="G60" s="334"/>
      <c r="H60" s="334"/>
      <c r="I60" s="334"/>
      <c r="J60" s="334"/>
      <c r="K60" s="324"/>
      <c r="L60" s="349" t="str">
        <f>VLOOKUP(D60,통합목록!$E$4:$K$322,5,0)</f>
        <v>열기2-03.행정쟁송법\02.문제\[기출][2015-3]항고소송의 사정판결의 의의, 취지, 요건, 효과.txt</v>
      </c>
      <c r="M60" s="350" t="str">
        <f>VLOOKUP(D60,통합목록!$E$4:$K$322,7,0)</f>
        <v>B</v>
      </c>
      <c r="N60" s="350" t="str">
        <f t="shared" si="0"/>
        <v>제06장 취소소송의 종료-02</v>
      </c>
    </row>
    <row r="61" spans="2:14" ht="189" customHeight="1" x14ac:dyDescent="0.2">
      <c r="B61" s="169" t="s">
        <v>1402</v>
      </c>
      <c r="C61" s="321" t="s">
        <v>1379</v>
      </c>
      <c r="D61" s="322" t="s">
        <v>1225</v>
      </c>
      <c r="E61" s="323" t="s">
        <v>426</v>
      </c>
      <c r="F61" s="334" t="str">
        <f>VLOOKUP(D61,통합목록!$E$4:$H$322,4,0)</f>
        <v>추가징수 처분에 대한 취소소송 제기 시 법원의 일부취소판결 가능성 여부</v>
      </c>
      <c r="G61" s="334"/>
      <c r="H61" s="334"/>
      <c r="I61" s="334"/>
      <c r="J61" s="334"/>
      <c r="K61" s="324"/>
      <c r="L61" s="349" t="str">
        <f>VLOOKUP(D61,통합목록!$E$4:$K$322,5,0)</f>
        <v>열기2-03.행정쟁송법\02.문제\[기출][2024-1-2]추가징수 처분에 대한 취소소송 제기 시 법원의 일부취소판결 가능성 여부.txt</v>
      </c>
      <c r="M61" s="350" t="str">
        <f>VLOOKUP(D61,통합목록!$E$4:$K$322,7,0)</f>
        <v>C</v>
      </c>
      <c r="N61" s="350" t="str">
        <f t="shared" si="0"/>
        <v>제06장 취소소송의 종료-03</v>
      </c>
    </row>
    <row r="62" spans="2:14" ht="189" customHeight="1" x14ac:dyDescent="0.2">
      <c r="B62" s="169" t="s">
        <v>1402</v>
      </c>
      <c r="C62" s="321" t="s">
        <v>1379</v>
      </c>
      <c r="D62" s="322" t="s">
        <v>94</v>
      </c>
      <c r="E62" s="323" t="s">
        <v>412</v>
      </c>
      <c r="F62" s="334" t="str">
        <f>VLOOKUP(D62,통합목록!$E$4:$H$322,4,0)</f>
        <v>거부처분 취소소송 인용판결 확정 후 피고 행정청의 재차 거부처분이 허용되는 구체적 예외 사유</v>
      </c>
      <c r="G62" s="334"/>
      <c r="H62" s="334"/>
      <c r="I62" s="334"/>
      <c r="J62" s="334"/>
      <c r="K62" s="324"/>
      <c r="L62" s="349" t="str">
        <f>VLOOKUP(D62,통합목록!$E$4:$K$322,5,0)</f>
        <v>열기2-03.행정쟁송법\02.문제\[기출][2010-1]거부처분 취소소송 인용판결 확정 후 피고 행정청의 재차 거부처분이 허용되는 구체적 예외 사유.txt</v>
      </c>
      <c r="M62" s="350" t="str">
        <f>VLOOKUP(D62,통합목록!$E$4:$K$322,7,0)</f>
        <v>B</v>
      </c>
      <c r="N62" s="350" t="str">
        <f t="shared" si="0"/>
        <v>제06장 취소소송의 종료-04</v>
      </c>
    </row>
    <row r="63" spans="2:14" ht="189" customHeight="1" x14ac:dyDescent="0.2">
      <c r="B63" s="169" t="s">
        <v>1402</v>
      </c>
      <c r="C63" s="321" t="s">
        <v>1379</v>
      </c>
      <c r="D63" s="322" t="s">
        <v>95</v>
      </c>
      <c r="E63" s="323" t="s">
        <v>428</v>
      </c>
      <c r="F63" s="334" t="str">
        <f>VLOOKUP(D63,통합목록!$E$4:$H$322,4,0)</f>
        <v>결과제거청구권(원상회복청구권)의 행정소송상 관철 방법</v>
      </c>
      <c r="G63" s="334"/>
      <c r="H63" s="334"/>
      <c r="I63" s="334"/>
      <c r="J63" s="334"/>
      <c r="K63" s="324"/>
      <c r="L63" s="349" t="str">
        <f>VLOOKUP(D63,통합목록!$E$4:$K$322,5,0)</f>
        <v>열기2-03.행정쟁송법\02.문제\[기출][2010-3]결과제거청구권(원상회복청구권)의 행정소송상 관철 방법.txt</v>
      </c>
      <c r="M63" s="350" t="str">
        <f>VLOOKUP(D63,통합목록!$E$4:$K$322,7,0)</f>
        <v>B</v>
      </c>
      <c r="N63" s="350" t="str">
        <f t="shared" si="0"/>
        <v>제06장 취소소송의 종료-05</v>
      </c>
    </row>
    <row r="64" spans="2:14" ht="189" customHeight="1" x14ac:dyDescent="0.2">
      <c r="B64" s="169" t="s">
        <v>1402</v>
      </c>
      <c r="C64" s="321" t="s">
        <v>1379</v>
      </c>
      <c r="D64" s="322" t="s">
        <v>93</v>
      </c>
      <c r="E64" s="323" t="s">
        <v>430</v>
      </c>
      <c r="F64" s="334" t="str">
        <f>VLOOKUP(D64,통합목록!$E$4:$H$322,4,0)</f>
        <v>설립신고서 반려 취소 판결 후 새로운 사유를 근거로 한 재반려처분의 기속력 위반 여부 및 본안 인용 여부</v>
      </c>
      <c r="G64" s="334"/>
      <c r="H64" s="334"/>
      <c r="I64" s="334"/>
      <c r="J64" s="334"/>
      <c r="K64" s="324"/>
      <c r="L64" s="349" t="str">
        <f>VLOOKUP(D64,통합목록!$E$4:$K$322,5,0)</f>
        <v>열기2-03.행정쟁송법\02.문제\[기출][2012-1-2]설립신고서 반려 취소 판결 후 새로운 사유를 근거로 한 재반려처분의 기속력 위반 여부 및 본안 인용 여부.txt</v>
      </c>
      <c r="M64" s="350" t="str">
        <f>VLOOKUP(D64,통합목록!$E$4:$K$322,7,0)</f>
        <v>B</v>
      </c>
      <c r="N64" s="350" t="str">
        <f t="shared" si="0"/>
        <v>제06장 취소소송의 종료-06</v>
      </c>
    </row>
    <row r="65" spans="2:14" ht="189" customHeight="1" x14ac:dyDescent="0.2">
      <c r="B65" s="169" t="s">
        <v>1402</v>
      </c>
      <c r="C65" s="321" t="s">
        <v>1379</v>
      </c>
      <c r="D65" s="322" t="s">
        <v>245</v>
      </c>
      <c r="E65" s="323" t="s">
        <v>458</v>
      </c>
      <c r="F65" s="334" t="str">
        <f>VLOOKUP(D65,통합목록!$E$4:$H$322,4,0)</f>
        <v>의무이행재결의 실효성 확보 방안 (행정심판법상), 취소판결의 실효성 확보 방안 (행정소송법상)</v>
      </c>
      <c r="G65" s="334"/>
      <c r="H65" s="334"/>
      <c r="I65" s="334"/>
      <c r="J65" s="334"/>
      <c r="K65" s="324"/>
      <c r="L65" s="349" t="str">
        <f>VLOOKUP(D65,통합목록!$E$4:$K$322,5,0)</f>
        <v>열기2-03.행정쟁송법\02.문제\[기출][2013-2]의무이행재결의 실효성 확보 방안 (행정심판법상), 취소판결의 실효성 확보 방안 (행정소송법상).txt</v>
      </c>
      <c r="M65" s="350" t="str">
        <f>VLOOKUP(D65,통합목록!$E$4:$K$322,7,0)</f>
        <v>B</v>
      </c>
      <c r="N65" s="350" t="str">
        <f t="shared" si="0"/>
        <v>제06장 취소소송의 종료-07</v>
      </c>
    </row>
    <row r="66" spans="2:14" ht="189" customHeight="1" x14ac:dyDescent="0.2">
      <c r="B66" s="169" t="s">
        <v>1402</v>
      </c>
      <c r="C66" s="321" t="s">
        <v>1379</v>
      </c>
      <c r="D66" s="322" t="s">
        <v>92</v>
      </c>
      <c r="E66" s="323" t="s">
        <v>1856</v>
      </c>
      <c r="F66" s="334" t="str">
        <f>VLOOKUP(D66,통합목록!$E$4:$H$322,4,0)</f>
        <v>기속력의 객관적 범위와 다른 사유를 근거로 한 재거부처분의 적법성 여부</v>
      </c>
      <c r="G66" s="334"/>
      <c r="H66" s="334"/>
      <c r="I66" s="334"/>
      <c r="J66" s="334"/>
      <c r="K66" s="324"/>
      <c r="L66" s="349" t="str">
        <f>VLOOKUP(D66,통합목록!$E$4:$K$322,5,0)</f>
        <v>열기2-03.행정쟁송법\02.문제\[기출][2018-1-2]기속력의 객관적 범위와 다른 사유를 근거로 한 재거부처분의 적법성 여부.txt</v>
      </c>
      <c r="M66" s="350" t="str">
        <f>VLOOKUP(D66,통합목록!$E$4:$K$322,7,0)</f>
        <v>A</v>
      </c>
      <c r="N66" s="350" t="str">
        <f t="shared" si="0"/>
        <v>제06장 취소소송의 종료-08</v>
      </c>
    </row>
    <row r="67" spans="2:14" ht="189" customHeight="1" x14ac:dyDescent="0.2">
      <c r="B67" s="169" t="s">
        <v>1402</v>
      </c>
      <c r="C67" s="321" t="s">
        <v>1379</v>
      </c>
      <c r="D67" s="322" t="s">
        <v>91</v>
      </c>
      <c r="E67" s="323" t="s">
        <v>1857</v>
      </c>
      <c r="F67" s="334" t="str">
        <f>VLOOKUP(D67,통합목록!$E$4:$H$322,4,0)</f>
        <v>절차상 하자로 취소된 재심판정에 대한 확정판결 기속력의 내용과 중앙노동위원회의 법적 의무</v>
      </c>
      <c r="G67" s="334"/>
      <c r="H67" s="334"/>
      <c r="I67" s="334"/>
      <c r="J67" s="334"/>
      <c r="K67" s="324"/>
      <c r="L67" s="349" t="str">
        <f>VLOOKUP(D67,통합목록!$E$4:$K$322,5,0)</f>
        <v>열기2-03.행정쟁송법\02.문제\[기출][2019-1-1]절차상 하자로 취소된 재심판정에 대한 확정판결 기속력의 내용과 중앙노동위원회의 법적 의무.txt</v>
      </c>
      <c r="M67" s="350" t="str">
        <f>VLOOKUP(D67,통합목록!$E$4:$K$322,7,0)</f>
        <v>B</v>
      </c>
      <c r="N67" s="350" t="str">
        <f t="shared" si="0"/>
        <v>제06장 취소소송의 종료-09</v>
      </c>
    </row>
    <row r="68" spans="2:14" ht="189" customHeight="1" x14ac:dyDescent="0.2">
      <c r="B68" s="169" t="s">
        <v>1402</v>
      </c>
      <c r="C68" s="321" t="s">
        <v>1379</v>
      </c>
      <c r="D68" s="322" t="s">
        <v>89</v>
      </c>
      <c r="E68" s="323" t="s">
        <v>447</v>
      </c>
      <c r="F68" s="334" t="str">
        <f>VLOOKUP(D68,통합목록!$E$4:$H$322,4,0)</f>
        <v>최초 거부처분에서 추가한 사유를 다시 제기한 재거부처분에 대한 간접강제 신청의 인용 여부</v>
      </c>
      <c r="G68" s="334"/>
      <c r="H68" s="334"/>
      <c r="I68" s="334"/>
      <c r="J68" s="334"/>
      <c r="K68" s="324"/>
      <c r="L68" s="349" t="str">
        <f>VLOOKUP(D68,통합목록!$E$4:$K$322,5,0)</f>
        <v>열기2-03.행정쟁송법\02.문제\[기출][2025-1-1]최초 거부처분에서 추가한 사유를 다시 제기한 재거부처분에 대한 간접강제 신청의 인용 여부.txt</v>
      </c>
      <c r="M68" s="350" t="str">
        <f>VLOOKUP(D68,통합목록!$E$4:$K$322,7,0)</f>
        <v>C</v>
      </c>
      <c r="N68" s="350" t="str">
        <f t="shared" si="0"/>
        <v>제06장 취소소송의 종료-10</v>
      </c>
    </row>
    <row r="69" spans="2:14" ht="189" customHeight="1" x14ac:dyDescent="0.2">
      <c r="B69" s="169" t="s">
        <v>1402</v>
      </c>
      <c r="C69" s="321" t="s">
        <v>1379</v>
      </c>
      <c r="D69" s="322" t="s">
        <v>1264</v>
      </c>
      <c r="E69" s="323" t="s">
        <v>1858</v>
      </c>
      <c r="F69" s="334" t="str">
        <f>VLOOKUP(D69,통합목록!$E$4:$H$322,4,0)</f>
        <v>할인점 건축허가 거부처분 취소소송의 인용확정판결에 대한 인근 학교법인의 제3자 재심청구의 적법성 여부</v>
      </c>
      <c r="G69" s="334"/>
      <c r="H69" s="334"/>
      <c r="I69" s="334"/>
      <c r="J69" s="334"/>
      <c r="K69" s="324"/>
      <c r="L69" s="349" t="str">
        <f>VLOOKUP(D69,통합목록!$E$4:$K$322,5,0)</f>
        <v>열기2-03.행정쟁송법\02.문제\[기출][2016-2]할인점 건축허가 거부처분 취소소송의 인용확정판결에 대한 인근 학교법인의 제3자 재심청구의 적법성 여부.txt</v>
      </c>
      <c r="M69" s="350" t="str">
        <f>VLOOKUP(D69,통합목록!$E$4:$K$322,7,0)</f>
        <v>B</v>
      </c>
      <c r="N69" s="350" t="str">
        <f t="shared" ref="N69:N118" si="1">B69&amp;"-"&amp;E69</f>
        <v>제06장 취소소송의 종료-11</v>
      </c>
    </row>
    <row r="70" spans="2:14" ht="189" customHeight="1" thickBot="1" x14ac:dyDescent="0.25">
      <c r="B70" s="176" t="s">
        <v>1402</v>
      </c>
      <c r="C70" s="325" t="s">
        <v>1379</v>
      </c>
      <c r="D70" s="328" t="s">
        <v>1265</v>
      </c>
      <c r="E70" s="326" t="s">
        <v>1859</v>
      </c>
      <c r="F70" s="335" t="str">
        <f>VLOOKUP(D70,통합목록!$E$4:$H$322,4,0)</f>
        <v>종국판결에 의하지 않은 취소소송의 종료 유형</v>
      </c>
      <c r="G70" s="335"/>
      <c r="H70" s="335"/>
      <c r="I70" s="335"/>
      <c r="J70" s="335"/>
      <c r="K70" s="327"/>
      <c r="L70" s="351" t="str">
        <f>VLOOKUP(D70,통합목록!$E$4:$K$322,5,0)</f>
        <v>열기2-03.행정쟁송법\02.문제\[기출][2013-3]종국판결에 의하지 않은 취소소송의 종료 유형.txt</v>
      </c>
      <c r="M70" s="352" t="str">
        <f>VLOOKUP(D70,통합목록!$E$4:$K$322,7,0)</f>
        <v>B</v>
      </c>
      <c r="N70" s="352" t="str">
        <f t="shared" si="1"/>
        <v>제06장 취소소송의 종료-12</v>
      </c>
    </row>
    <row r="71" spans="2:14" ht="189" customHeight="1" x14ac:dyDescent="0.2">
      <c r="B71" s="296" t="s">
        <v>1403</v>
      </c>
      <c r="C71" s="329" t="s">
        <v>1379</v>
      </c>
      <c r="D71" s="330" t="s">
        <v>1266</v>
      </c>
      <c r="E71" s="331" t="s">
        <v>399</v>
      </c>
      <c r="F71" s="336" t="str">
        <f>VLOOKUP(D71,통합목록!$E$4:$H$322,4,0)</f>
        <v>행정소송법상 집행정지의 요건</v>
      </c>
      <c r="G71" s="336"/>
      <c r="H71" s="336"/>
      <c r="I71" s="336"/>
      <c r="J71" s="336"/>
      <c r="K71" s="332"/>
      <c r="L71" s="353" t="str">
        <f>VLOOKUP(D71,통합목록!$E$4:$K$322,5,0)</f>
        <v>열기2-03.행정쟁송법\02.문제\[기출][2012-2]행정소송법상 집행정지의 요건.txt</v>
      </c>
      <c r="M71" s="354" t="str">
        <f>VLOOKUP(D71,통합목록!$E$4:$K$322,7,0)</f>
        <v>C</v>
      </c>
      <c r="N71" s="354" t="str">
        <f t="shared" si="1"/>
        <v>제07장 취소소송의 가구제-01</v>
      </c>
    </row>
    <row r="72" spans="2:14" ht="189" customHeight="1" x14ac:dyDescent="0.2">
      <c r="B72" s="169" t="s">
        <v>1403</v>
      </c>
      <c r="C72" s="321" t="s">
        <v>2010</v>
      </c>
      <c r="D72" s="322" t="s">
        <v>1820</v>
      </c>
      <c r="E72" s="323" t="s">
        <v>401</v>
      </c>
      <c r="F72" s="334" t="str">
        <f>VLOOKUP(D72,통합목록!$E$4:$H$322,4,0)</f>
        <v>항고소송에서 민사소송법상 가처분 규정의 준용 여부에 관한 학설 및 판례의 입장</v>
      </c>
      <c r="G72" s="334"/>
      <c r="H72" s="334"/>
      <c r="I72" s="334"/>
      <c r="J72" s="334"/>
      <c r="K72" s="324"/>
      <c r="L72" s="349" t="str">
        <f>VLOOKUP(D72,통합목록!$E$4:$K$322,5,0)</f>
        <v>열기2-03.행정쟁송법\02.문제\[모의][07.02-1]항고소송에서 민사소송법상 가처분 규정의 준용 여부에 관한 학설 및 판례의 입장.txt</v>
      </c>
      <c r="M72" s="350" t="str">
        <f>VLOOKUP(D72,통합목록!$E$4:$K$322,7,0)</f>
        <v>C</v>
      </c>
      <c r="N72" s="350" t="str">
        <f t="shared" si="1"/>
        <v>제07장 취소소송의 가구제-02</v>
      </c>
    </row>
    <row r="73" spans="2:14" ht="189" customHeight="1" thickBot="1" x14ac:dyDescent="0.25">
      <c r="B73" s="176" t="s">
        <v>1403</v>
      </c>
      <c r="C73" s="325" t="s">
        <v>2010</v>
      </c>
      <c r="D73" s="328" t="s">
        <v>1821</v>
      </c>
      <c r="E73" s="326" t="s">
        <v>426</v>
      </c>
      <c r="F73" s="335" t="str">
        <f>VLOOKUP(D73,통합목록!$E$4:$H$322,4,0)</f>
        <v>거부처분 취소소송에서 집행정지의 실효성 결여와 가처분의 허용 여부</v>
      </c>
      <c r="G73" s="335"/>
      <c r="H73" s="335"/>
      <c r="I73" s="335"/>
      <c r="J73" s="335"/>
      <c r="K73" s="327"/>
      <c r="L73" s="351" t="str">
        <f>VLOOKUP(D73,통합목록!$E$4:$K$322,5,0)</f>
        <v>열기2-03.행정쟁송법\02.문제\[모의][07.02-2]거부처분 취소소송에서 집행정지의 실효성 결여와 가처분의 허용 여부.txt</v>
      </c>
      <c r="M73" s="352" t="str">
        <f>VLOOKUP(D73,통합목록!$E$4:$K$322,7,0)</f>
        <v>C</v>
      </c>
      <c r="N73" s="352" t="str">
        <f t="shared" si="1"/>
        <v>제07장 취소소송의 가구제-03</v>
      </c>
    </row>
    <row r="74" spans="2:14" ht="189" customHeight="1" x14ac:dyDescent="0.2">
      <c r="B74" s="296" t="s">
        <v>1404</v>
      </c>
      <c r="C74" s="329" t="s">
        <v>1379</v>
      </c>
      <c r="D74" s="330" t="s">
        <v>98</v>
      </c>
      <c r="E74" s="331" t="s">
        <v>399</v>
      </c>
      <c r="F74" s="336" t="str">
        <f>VLOOKUP(D74,통합목록!$E$4:$H$322,4,0)</f>
        <v>관련청구소송의 병합의 의의 및 취지, 요건 및 유형, 관할 및 이송</v>
      </c>
      <c r="G74" s="336"/>
      <c r="H74" s="336"/>
      <c r="I74" s="336"/>
      <c r="J74" s="336"/>
      <c r="K74" s="332"/>
      <c r="L74" s="353" t="str">
        <f>VLOOKUP(D74,통합목록!$E$4:$K$322,5,0)</f>
        <v>열기2-03.행정쟁송법\02.문제\[기출][2011-3]관련청구소송의 병합의 의의 및 취지, 요건 및 유형, 관할 및 이송.txt</v>
      </c>
      <c r="M74" s="354" t="str">
        <f>VLOOKUP(D74,통합목록!$E$4:$K$322,7,0)</f>
        <v>A</v>
      </c>
      <c r="N74" s="354" t="str">
        <f t="shared" si="1"/>
        <v>제08장 청구의 병합과 소의 변경-01</v>
      </c>
    </row>
    <row r="75" spans="2:14" ht="189" customHeight="1" x14ac:dyDescent="0.2">
      <c r="B75" s="169" t="s">
        <v>1404</v>
      </c>
      <c r="C75" s="321" t="s">
        <v>1379</v>
      </c>
      <c r="D75" s="322" t="s">
        <v>1267</v>
      </c>
      <c r="E75" s="323" t="s">
        <v>401</v>
      </c>
      <c r="F75" s="334" t="str">
        <f>VLOOKUP(D75,통합목록!$E$4:$H$322,4,0)</f>
        <v>영업정지처분 취소소송과 그 처분으로 인한 영업 손해에 대한 국가배상청구소송의 병합 적법 여부</v>
      </c>
      <c r="G75" s="334"/>
      <c r="H75" s="334"/>
      <c r="I75" s="334"/>
      <c r="J75" s="334"/>
      <c r="K75" s="324"/>
      <c r="L75" s="349" t="str">
        <f>VLOOKUP(D75,통합목록!$E$4:$K$322,5,0)</f>
        <v>열기2-03.행정쟁송법\02.문제\[기출][2018-3]영업정지처분 취소소송과 그 처분으로 인한 영업 손해에 대한 국가배상청구소송의 병합 적법 여부.txt</v>
      </c>
      <c r="M75" s="350" t="str">
        <f>VLOOKUP(D75,통합목록!$E$4:$K$322,7,0)</f>
        <v>A</v>
      </c>
      <c r="N75" s="350" t="str">
        <f t="shared" si="1"/>
        <v>제08장 청구의 병합과 소의 변경-02</v>
      </c>
    </row>
    <row r="76" spans="2:14" ht="189" customHeight="1" x14ac:dyDescent="0.2">
      <c r="B76" s="169" t="s">
        <v>1404</v>
      </c>
      <c r="C76" s="321" t="s">
        <v>1379</v>
      </c>
      <c r="D76" s="322" t="s">
        <v>1226</v>
      </c>
      <c r="E76" s="323" t="s">
        <v>426</v>
      </c>
      <c r="F76" s="334" t="str">
        <f>VLOOKUP(D76,통합목록!$E$4:$H$322,4,0)</f>
        <v>무효확인소송 계속 중 동일한 처분에 대한 취소소송 추가 병합의 적법 여부</v>
      </c>
      <c r="G76" s="334"/>
      <c r="H76" s="334"/>
      <c r="I76" s="334"/>
      <c r="J76" s="334"/>
      <c r="K76" s="324"/>
      <c r="L76" s="349" t="str">
        <f>VLOOKUP(D76,통합목록!$E$4:$K$322,5,0)</f>
        <v>열기2-03.행정쟁송법\02.문제\[기출][2021-1-2]무효확인소송 계속 중 동일한 처분에 대한 취소소송 추가 병합의 적법 여부.txt</v>
      </c>
      <c r="M76" s="350" t="str">
        <f>VLOOKUP(D76,통합목록!$E$4:$K$322,7,0)</f>
        <v>A</v>
      </c>
      <c r="N76" s="350" t="str">
        <f t="shared" si="1"/>
        <v>제08장 청구의 병합과 소의 변경-03</v>
      </c>
    </row>
    <row r="77" spans="2:14" ht="189" customHeight="1" x14ac:dyDescent="0.2">
      <c r="B77" s="169" t="s">
        <v>1404</v>
      </c>
      <c r="C77" s="321" t="s">
        <v>2010</v>
      </c>
      <c r="D77" s="322" t="s">
        <v>1804</v>
      </c>
      <c r="E77" s="323" t="s">
        <v>412</v>
      </c>
      <c r="F77" s="334" t="str">
        <f>VLOOKUP(D77,통합목록!$E$4:$H$322,4,0)</f>
        <v>취소소송에서 부작위위법확인소송으로의 소의 종류의 변경의 요건 및 허용 범위</v>
      </c>
      <c r="G77" s="334"/>
      <c r="H77" s="334"/>
      <c r="I77" s="334"/>
      <c r="J77" s="334"/>
      <c r="K77" s="324"/>
      <c r="L77" s="349" t="str">
        <f>VLOOKUP(D77,통합목록!$E$4:$K$322,5,0)</f>
        <v>열기2-03.행정쟁송법\02.문제\[모의][08.02-1]취소소송에서 부작위위법확인소송으로의 소의 종류의 변경의 요건 및 허용 범위.txt</v>
      </c>
      <c r="M77" s="350" t="str">
        <f>VLOOKUP(D77,통합목록!$E$4:$K$322,7,0)</f>
        <v>B</v>
      </c>
      <c r="N77" s="350" t="str">
        <f t="shared" si="1"/>
        <v>제08장 청구의 병합과 소의 변경-04</v>
      </c>
    </row>
    <row r="78" spans="2:14" ht="189" customHeight="1" thickBot="1" x14ac:dyDescent="0.25">
      <c r="B78" s="176" t="s">
        <v>1404</v>
      </c>
      <c r="C78" s="325" t="s">
        <v>2010</v>
      </c>
      <c r="D78" s="328" t="s">
        <v>1805</v>
      </c>
      <c r="E78" s="326" t="s">
        <v>428</v>
      </c>
      <c r="F78" s="335" t="str">
        <f>VLOOKUP(D78,통합목록!$E$4:$H$322,4,0)</f>
        <v>처분변경으로 인한 소의 변경의 요건과 신청 기한</v>
      </c>
      <c r="G78" s="335"/>
      <c r="H78" s="335"/>
      <c r="I78" s="335"/>
      <c r="J78" s="335"/>
      <c r="K78" s="327"/>
      <c r="L78" s="351" t="str">
        <f>VLOOKUP(D78,통합목록!$E$4:$K$322,5,0)</f>
        <v>열기2-03.행정쟁송법\02.문제\[모의][08.02-2]처분변경으로 인한 소의 변경의 요건과 신청 기한.txt</v>
      </c>
      <c r="M78" s="352" t="str">
        <f>VLOOKUP(D78,통합목록!$E$4:$K$322,7,0)</f>
        <v>B</v>
      </c>
      <c r="N78" s="352" t="str">
        <f t="shared" si="1"/>
        <v>제08장 청구의 병합과 소의 변경-05</v>
      </c>
    </row>
    <row r="79" spans="2:14" ht="189" customHeight="1" x14ac:dyDescent="0.2">
      <c r="B79" s="296" t="s">
        <v>1405</v>
      </c>
      <c r="C79" s="329" t="s">
        <v>1379</v>
      </c>
      <c r="D79" s="330" t="s">
        <v>1268</v>
      </c>
      <c r="E79" s="331" t="s">
        <v>399</v>
      </c>
      <c r="F79" s="336" t="str">
        <f>VLOOKUP(D79,통합목록!$E$4:$H$322,4,0)</f>
        <v>내부위임 일탈 처분에 대한 항고소송의 유형과 피고적격, 인용판결에 따른 환수금 반환 가능성</v>
      </c>
      <c r="G79" s="336"/>
      <c r="H79" s="336"/>
      <c r="I79" s="336"/>
      <c r="J79" s="336"/>
      <c r="K79" s="332"/>
      <c r="L79" s="353" t="str">
        <f>VLOOKUP(D79,통합목록!$E$4:$K$322,5,0)</f>
        <v>열기2-03.행정쟁송법\02.문제\[기출][2025-1-2]내부위임 일탈 처분에 대한 항고소송의 유형과 피고적격, 인용판결에 따른 환수금 반환 가능성.txt</v>
      </c>
      <c r="M79" s="354" t="str">
        <f>VLOOKUP(D79,통합목록!$E$4:$K$322,7,0)</f>
        <v>C</v>
      </c>
      <c r="N79" s="354" t="str">
        <f t="shared" si="1"/>
        <v>제09장 무효등 확인소송-01</v>
      </c>
    </row>
    <row r="80" spans="2:14" ht="189" customHeight="1" x14ac:dyDescent="0.2">
      <c r="B80" s="169" t="s">
        <v>1405</v>
      </c>
      <c r="C80" s="321" t="s">
        <v>1379</v>
      </c>
      <c r="D80" s="322" t="s">
        <v>1269</v>
      </c>
      <c r="E80" s="323" t="s">
        <v>1855</v>
      </c>
      <c r="F80" s="334" t="str">
        <f>VLOOKUP(D80,통합목록!$E$4:$H$322,4,0)</f>
        <v>급여지급결정 취소처분에 대한 무효확인소송에서 처분의 무효 사유에 대한 입증책임의 귀속 주체</v>
      </c>
      <c r="G80" s="334"/>
      <c r="H80" s="334"/>
      <c r="I80" s="334"/>
      <c r="J80" s="334"/>
      <c r="K80" s="324"/>
      <c r="L80" s="349" t="str">
        <f>VLOOKUP(D80,통합목록!$E$4:$K$322,5,0)</f>
        <v>열기2-03.행정쟁송법\02.문제\[기출][2021-1-1]급여지급결정 취소처분에 대한 무효확인소송에서 처분의 무효 사유에 대한 입증책임의 귀속 주체.txt</v>
      </c>
      <c r="M80" s="350" t="str">
        <f>VLOOKUP(D80,통합목록!$E$4:$K$322,7,0)</f>
        <v>C</v>
      </c>
      <c r="N80" s="350" t="str">
        <f t="shared" si="1"/>
        <v>제09장 무효등 확인소송-02</v>
      </c>
    </row>
    <row r="81" spans="2:14" ht="189" customHeight="1" x14ac:dyDescent="0.2">
      <c r="B81" s="169" t="s">
        <v>1405</v>
      </c>
      <c r="C81" s="321" t="s">
        <v>1379</v>
      </c>
      <c r="D81" s="322" t="s">
        <v>90</v>
      </c>
      <c r="E81" s="323" t="s">
        <v>426</v>
      </c>
      <c r="F81" s="334" t="str">
        <f>VLOOKUP(D81,통합목록!$E$4:$H$322,4,0)</f>
        <v>무효확인소송 기각판결 확정 후 후속 국가배상청구소송에서 수소법원의 법령 위반 인정 여부</v>
      </c>
      <c r="G81" s="334"/>
      <c r="H81" s="334"/>
      <c r="I81" s="334"/>
      <c r="J81" s="334"/>
      <c r="K81" s="324"/>
      <c r="L81" s="349" t="str">
        <f>VLOOKUP(D81,통합목록!$E$4:$K$322,5,0)</f>
        <v>열기2-03.행정쟁송법\02.문제\[기출][2021-1-3]무효확인소송 기각판결 확정 후 후속 국가배상청구소송에서 수소법원의 법령 위반 인정 여부.txt</v>
      </c>
      <c r="M81" s="350" t="str">
        <f>VLOOKUP(D81,통합목록!$E$4:$K$322,7,0)</f>
        <v>C</v>
      </c>
      <c r="N81" s="350" t="str">
        <f t="shared" si="1"/>
        <v>제09장 무효등 확인소송-03</v>
      </c>
    </row>
    <row r="82" spans="2:14" ht="189" customHeight="1" x14ac:dyDescent="0.2">
      <c r="B82" s="169" t="s">
        <v>1405</v>
      </c>
      <c r="C82" s="321" t="s">
        <v>1379</v>
      </c>
      <c r="D82" s="322" t="s">
        <v>1368</v>
      </c>
      <c r="E82" s="323" t="s">
        <v>412</v>
      </c>
      <c r="F82" s="334" t="str">
        <f>VLOOKUP(D82,통합목록!$E$4:$H$322,4,0)</f>
        <v>무효확인소송 인용판결 확정 후 피고 행정청의 재처분의무 및 이행 강제를 위한 소송법상 수단</v>
      </c>
      <c r="G82" s="334"/>
      <c r="H82" s="334"/>
      <c r="I82" s="334"/>
      <c r="J82" s="334"/>
      <c r="K82" s="324"/>
      <c r="L82" s="349" t="str">
        <f>VLOOKUP(D82,통합목록!$E$4:$K$322,5,0)</f>
        <v>열기2-03.행정쟁송법\02.문제\[기출][2023-1-2]무효확인소송 인용판결 확정 후 피고 행정청의 재처분의무 및 이행 강제를 위한 소송법상 수단.txt</v>
      </c>
      <c r="M82" s="350" t="str">
        <f>VLOOKUP(D82,통합목록!$E$4:$K$322,7,0)</f>
        <v>C</v>
      </c>
      <c r="N82" s="350" t="str">
        <f t="shared" si="1"/>
        <v>제09장 무효등 확인소송-04</v>
      </c>
    </row>
    <row r="83" spans="2:14" ht="189" customHeight="1" x14ac:dyDescent="0.2">
      <c r="B83" s="169" t="s">
        <v>1405</v>
      </c>
      <c r="C83" s="321" t="s">
        <v>2010</v>
      </c>
      <c r="D83" s="322" t="s">
        <v>1806</v>
      </c>
      <c r="E83" s="323" t="s">
        <v>428</v>
      </c>
      <c r="F83" s="334" t="str">
        <f>VLOOKUP(D83,통합목록!$E$4:$H$322,4,0)</f>
        <v>무효확인소송에서 사정판결의 준용 여부 및 사안에 대한 판단</v>
      </c>
      <c r="G83" s="334"/>
      <c r="H83" s="334"/>
      <c r="I83" s="334"/>
      <c r="J83" s="334"/>
      <c r="K83" s="324"/>
      <c r="L83" s="349" t="str">
        <f>VLOOKUP(D83,통합목록!$E$4:$K$322,5,0)</f>
        <v>열기2-03.행정쟁송법\02.문제\[모의][09.04-1]무효확인소송에서 사정판결의 준용 여부 및 사안에 대한 판단.txt</v>
      </c>
      <c r="M83" s="350" t="str">
        <f>VLOOKUP(D83,통합목록!$E$4:$K$322,7,0)</f>
        <v>C</v>
      </c>
      <c r="N83" s="350" t="str">
        <f t="shared" si="1"/>
        <v>제09장 무효등 확인소송-05</v>
      </c>
    </row>
    <row r="84" spans="2:14" ht="189" customHeight="1" x14ac:dyDescent="0.2">
      <c r="B84" s="169" t="s">
        <v>1405</v>
      </c>
      <c r="C84" s="321" t="s">
        <v>2010</v>
      </c>
      <c r="D84" s="322" t="s">
        <v>1807</v>
      </c>
      <c r="E84" s="323" t="s">
        <v>430</v>
      </c>
      <c r="F84" s="334" t="str">
        <f>VLOOKUP(D84,통합목록!$E$4:$H$322,4,0)</f>
        <v>무효확인판결의 제3자효와 기속력의 의미 및 재처분의무의 인정 여부</v>
      </c>
      <c r="G84" s="334"/>
      <c r="H84" s="334"/>
      <c r="I84" s="334"/>
      <c r="J84" s="334"/>
      <c r="K84" s="324"/>
      <c r="L84" s="349" t="str">
        <f>VLOOKUP(D84,통합목록!$E$4:$K$322,5,0)</f>
        <v>열기2-03.행정쟁송법\02.문제\[모의][09.04-2]무효확인판결의 제3자효와 기속력의 의미 및 재처분의무의 인정 여부.txt</v>
      </c>
      <c r="M84" s="350" t="str">
        <f>VLOOKUP(D84,통합목록!$E$4:$K$322,7,0)</f>
        <v>C</v>
      </c>
      <c r="N84" s="350" t="str">
        <f t="shared" si="1"/>
        <v>제09장 무효등 확인소송-06</v>
      </c>
    </row>
    <row r="85" spans="2:14" ht="189" customHeight="1" x14ac:dyDescent="0.2">
      <c r="B85" s="169" t="s">
        <v>1405</v>
      </c>
      <c r="C85" s="321" t="s">
        <v>1379</v>
      </c>
      <c r="D85" s="322" t="s">
        <v>1270</v>
      </c>
      <c r="E85" s="323" t="s">
        <v>458</v>
      </c>
      <c r="F85" s="334" t="str">
        <f>VLOOKUP(D85,통합목록!$E$4:$H$322,4,0)</f>
        <v>공사중지명령의 무효확인을 구하는 소송에서 심리 결과 취소사유만 인정되는 경우 법원의 판단</v>
      </c>
      <c r="G85" s="334"/>
      <c r="H85" s="334"/>
      <c r="I85" s="334"/>
      <c r="J85" s="334"/>
      <c r="K85" s="324"/>
      <c r="L85" s="349" t="str">
        <f>VLOOKUP(D85,통합목록!$E$4:$K$322,5,0)</f>
        <v>열기2-03.행정쟁송법\02.문제\[기출][2018-2]공사중지명령의 무효확인을 구하는 소송에서 심리 결과 취소사유만 인정되는 경우 법원의 판단.txt</v>
      </c>
      <c r="M85" s="350" t="str">
        <f>VLOOKUP(D85,통합목록!$E$4:$K$322,7,0)</f>
        <v>C</v>
      </c>
      <c r="N85" s="350" t="str">
        <f t="shared" si="1"/>
        <v>제09장 무효등 확인소송-07</v>
      </c>
    </row>
    <row r="86" spans="2:14" ht="189" customHeight="1" x14ac:dyDescent="0.2">
      <c r="B86" s="169" t="s">
        <v>1405</v>
      </c>
      <c r="C86" s="321" t="s">
        <v>2010</v>
      </c>
      <c r="D86" s="322" t="s">
        <v>1808</v>
      </c>
      <c r="E86" s="323" t="s">
        <v>1856</v>
      </c>
      <c r="F86" s="334" t="str">
        <f>VLOOKUP(D86,통합목록!$E$4:$H$322,4,0)</f>
        <v>무효확인소송에서 집행정지 규정의 준용 여부와 회복하기 어려운 손해의 의미</v>
      </c>
      <c r="G86" s="334"/>
      <c r="H86" s="334"/>
      <c r="I86" s="334"/>
      <c r="J86" s="334"/>
      <c r="K86" s="324"/>
      <c r="L86" s="349" t="str">
        <f>VLOOKUP(D86,통합목록!$E$4:$K$322,5,0)</f>
        <v>열기2-03.행정쟁송법\02.문제\[모의][09.06-1]무효확인소송에서 집행정지 규정의 준용 여부와 회복하기 어려운 손해의 의미.txt</v>
      </c>
      <c r="M86" s="350" t="str">
        <f>VLOOKUP(D86,통합목록!$E$4:$K$322,7,0)</f>
        <v>A</v>
      </c>
      <c r="N86" s="350" t="str">
        <f t="shared" si="1"/>
        <v>제09장 무효등 확인소송-08</v>
      </c>
    </row>
    <row r="87" spans="2:14" ht="189" customHeight="1" x14ac:dyDescent="0.2">
      <c r="B87" s="169" t="s">
        <v>1405</v>
      </c>
      <c r="C87" s="321" t="s">
        <v>2010</v>
      </c>
      <c r="D87" s="322" t="s">
        <v>1809</v>
      </c>
      <c r="E87" s="323" t="s">
        <v>1857</v>
      </c>
      <c r="F87" s="334" t="str">
        <f>VLOOKUP(D87,통합목록!$E$4:$H$322,4,0)</f>
        <v>무효확인소송에서 가처분의 준용 여부와 예방적 금지 성격의 가처분 허용 여부</v>
      </c>
      <c r="G87" s="334"/>
      <c r="H87" s="334"/>
      <c r="I87" s="334"/>
      <c r="J87" s="334"/>
      <c r="K87" s="324"/>
      <c r="L87" s="349" t="str">
        <f>VLOOKUP(D87,통합목록!$E$4:$K$322,5,0)</f>
        <v>열기2-03.행정쟁송법\02.문제\[모의][09.06-2]무효확인소송에서 가처분의 준용 여부와 예방적 금지 성격의 가처분 허용 여부.txt</v>
      </c>
      <c r="M87" s="350" t="str">
        <f>VLOOKUP(D87,통합목록!$E$4:$K$322,7,0)</f>
        <v>C</v>
      </c>
      <c r="N87" s="350" t="str">
        <f t="shared" si="1"/>
        <v>제09장 무효등 확인소송-09</v>
      </c>
    </row>
    <row r="88" spans="2:14" ht="189" customHeight="1" x14ac:dyDescent="0.2">
      <c r="B88" s="169" t="s">
        <v>1405</v>
      </c>
      <c r="C88" s="321" t="s">
        <v>2010</v>
      </c>
      <c r="D88" s="322" t="s">
        <v>1810</v>
      </c>
      <c r="E88" s="323" t="s">
        <v>447</v>
      </c>
      <c r="F88" s="334" t="str">
        <f>VLOOKUP(D88,통합목록!$E$4:$H$322,4,0)</f>
        <v>무효확인청구와 취소청구의 병합 가능성 및 두 청구의 관계에 따른 판례의 입장</v>
      </c>
      <c r="G88" s="334"/>
      <c r="H88" s="334"/>
      <c r="I88" s="334"/>
      <c r="J88" s="334"/>
      <c r="K88" s="324"/>
      <c r="L88" s="349" t="str">
        <f>VLOOKUP(D88,통합목록!$E$4:$K$322,5,0)</f>
        <v>열기2-03.행정쟁송법\02.문제\[모의][09.07-1]무효확인청구와 취소청구의 병합 가능성 및 두 청구의 관계에 따른 판례의 입장.txt</v>
      </c>
      <c r="M88" s="350" t="str">
        <f>VLOOKUP(D88,통합목록!$E$4:$K$322,7,0)</f>
        <v>C</v>
      </c>
      <c r="N88" s="350" t="str">
        <f t="shared" si="1"/>
        <v>제09장 무효등 확인소송-10</v>
      </c>
    </row>
    <row r="89" spans="2:14" ht="189" customHeight="1" thickBot="1" x14ac:dyDescent="0.25">
      <c r="B89" s="176" t="s">
        <v>1405</v>
      </c>
      <c r="C89" s="325" t="s">
        <v>2010</v>
      </c>
      <c r="D89" s="328" t="s">
        <v>1811</v>
      </c>
      <c r="E89" s="326" t="s">
        <v>1858</v>
      </c>
      <c r="F89" s="335" t="str">
        <f>VLOOKUP(D89,통합목록!$E$4:$H$322,4,0)</f>
        <v>무효확인소송에서 취소소송으로의 변경 시 제소기간 준수의 기준 시점</v>
      </c>
      <c r="G89" s="335"/>
      <c r="H89" s="335"/>
      <c r="I89" s="335"/>
      <c r="J89" s="335"/>
      <c r="K89" s="327"/>
      <c r="L89" s="351" t="str">
        <f>VLOOKUP(D89,통합목록!$E$4:$K$322,5,0)</f>
        <v>열기2-03.행정쟁송법\02.문제\[모의][09.07-2]무효확인소송에서 취소소송으로의 변경 시 제소기간 준수의 기준 시점.txt</v>
      </c>
      <c r="M89" s="352" t="str">
        <f>VLOOKUP(D89,통합목록!$E$4:$K$322,7,0)</f>
        <v>C</v>
      </c>
      <c r="N89" s="352" t="str">
        <f t="shared" si="1"/>
        <v>제09장 무효등 확인소송-11</v>
      </c>
    </row>
    <row r="90" spans="2:14" ht="189" customHeight="1" x14ac:dyDescent="0.2">
      <c r="B90" s="296" t="s">
        <v>471</v>
      </c>
      <c r="C90" s="329" t="s">
        <v>1379</v>
      </c>
      <c r="D90" s="330" t="s">
        <v>101</v>
      </c>
      <c r="E90" s="331" t="s">
        <v>399</v>
      </c>
      <c r="F90" s="336" t="str">
        <f>VLOOKUP(D90,통합목록!$E$4:$H$322,4,0)</f>
        <v>부작위위법확인소송의 의의, 특징, 소송요건, 판결의 효력</v>
      </c>
      <c r="G90" s="336"/>
      <c r="H90" s="336"/>
      <c r="I90" s="336"/>
      <c r="J90" s="336"/>
      <c r="K90" s="332"/>
      <c r="L90" s="353" t="str">
        <f>VLOOKUP(D90,통합목록!$E$4:$K$322,5,0)</f>
        <v>열기2-03.행정쟁송법\02.문제\[기출][2008-1]부작위위법확인소송의 의의, 특징, 소송요건, 판결의 효력.txt</v>
      </c>
      <c r="M90" s="354" t="str">
        <f>VLOOKUP(D90,통합목록!$E$4:$K$322,7,0)</f>
        <v>C</v>
      </c>
      <c r="N90" s="354" t="str">
        <f t="shared" si="1"/>
        <v>제10장 부작위위법확인소송 및 기타소송-01</v>
      </c>
    </row>
    <row r="91" spans="2:14" ht="189" customHeight="1" x14ac:dyDescent="0.2">
      <c r="B91" s="169" t="s">
        <v>471</v>
      </c>
      <c r="C91" s="321" t="s">
        <v>1379</v>
      </c>
      <c r="D91" s="322" t="s">
        <v>243</v>
      </c>
      <c r="E91" s="323" t="s">
        <v>401</v>
      </c>
      <c r="F91" s="334" t="str">
        <f>VLOOKUP(D91,통합목록!$E$4:$H$322,4,0)</f>
        <v>면적축소 관련 법령에 대한 취소소송 및 환원처분을 구하는 소송의 적법성 여부</v>
      </c>
      <c r="G91" s="334"/>
      <c r="H91" s="334"/>
      <c r="I91" s="334"/>
      <c r="J91" s="334"/>
      <c r="K91" s="324"/>
      <c r="L91" s="349" t="str">
        <f>VLOOKUP(D91,통합목록!$E$4:$K$322,5,0)</f>
        <v>열기2-03.행정쟁송법\02.문제\[기출][2011-1]면적축소 관련 법령에 대한 취소소송 및 환원처분을 구하는 소송의 적법성 여부.txt</v>
      </c>
      <c r="M91" s="350" t="str">
        <f>VLOOKUP(D91,통합목록!$E$4:$K$322,7,0)</f>
        <v>A</v>
      </c>
      <c r="N91" s="350" t="str">
        <f t="shared" si="1"/>
        <v>제10장 부작위위법확인소송 및 기타소송-02</v>
      </c>
    </row>
    <row r="92" spans="2:14" ht="189" customHeight="1" x14ac:dyDescent="0.2">
      <c r="B92" s="169" t="s">
        <v>471</v>
      </c>
      <c r="C92" s="321" t="s">
        <v>1379</v>
      </c>
      <c r="D92" s="322" t="s">
        <v>1271</v>
      </c>
      <c r="E92" s="323" t="s">
        <v>426</v>
      </c>
      <c r="F92" s="334" t="str">
        <f>VLOOKUP(D92,통합목록!$E$4:$H$322,4,0)</f>
        <v>부작위위법확인소송에서의 부작위의 의의 및 성립요건</v>
      </c>
      <c r="G92" s="334"/>
      <c r="H92" s="334"/>
      <c r="I92" s="334"/>
      <c r="J92" s="334"/>
      <c r="K92" s="324"/>
      <c r="L92" s="349" t="str">
        <f>VLOOKUP(D92,통합목록!$E$4:$K$322,5,0)</f>
        <v>열기2-03.행정쟁송법\02.문제\[기출][2014-2]부작위위법확인소송에서의 부작위의 의의 및 성립요건.txt</v>
      </c>
      <c r="M92" s="350" t="str">
        <f>VLOOKUP(D92,통합목록!$E$4:$K$322,7,0)</f>
        <v>A</v>
      </c>
      <c r="N92" s="350" t="str">
        <f t="shared" si="1"/>
        <v>제10장 부작위위법확인소송 및 기타소송-03</v>
      </c>
    </row>
    <row r="93" spans="2:14" ht="189" customHeight="1" x14ac:dyDescent="0.2">
      <c r="B93" s="169" t="s">
        <v>471</v>
      </c>
      <c r="C93" s="321" t="s">
        <v>1379</v>
      </c>
      <c r="D93" s="322" t="s">
        <v>99</v>
      </c>
      <c r="E93" s="323" t="s">
        <v>412</v>
      </c>
      <c r="F93" s="334" t="str">
        <f>VLOOKUP(D93,통합목록!$E$4:$H$322,4,0)</f>
        <v>공사중지명령 철회신청에 대한 무응답 행위의 위법 부작위 해당 여부</v>
      </c>
      <c r="G93" s="334"/>
      <c r="H93" s="334"/>
      <c r="I93" s="334"/>
      <c r="J93" s="334"/>
      <c r="K93" s="324"/>
      <c r="L93" s="349" t="str">
        <f>VLOOKUP(D93,통합목록!$E$4:$K$322,5,0)</f>
        <v>열기2-03.행정쟁송법\02.문제\[기출][2020-3]공사중지명령 철회신청에 대한 무응답 행위의 위법 부작위 해당 여부.txt</v>
      </c>
      <c r="M93" s="350" t="str">
        <f>VLOOKUP(D93,통합목록!$E$4:$K$322,7,0)</f>
        <v>A</v>
      </c>
      <c r="N93" s="350" t="str">
        <f t="shared" si="1"/>
        <v>제10장 부작위위법확인소송 및 기타소송-04</v>
      </c>
    </row>
    <row r="94" spans="2:14" ht="189" customHeight="1" x14ac:dyDescent="0.2">
      <c r="B94" s="169" t="s">
        <v>471</v>
      </c>
      <c r="C94" s="321" t="s">
        <v>2010</v>
      </c>
      <c r="D94" s="322" t="s">
        <v>1283</v>
      </c>
      <c r="E94" s="323" t="s">
        <v>428</v>
      </c>
      <c r="F94" s="334" t="str">
        <f>VLOOKUP(D94,통합목록!$E$4:$H$322,4,0)</f>
        <v>부작위위법확인소송과 행정심판전치주의의 관계</v>
      </c>
      <c r="G94" s="334"/>
      <c r="H94" s="334"/>
      <c r="I94" s="334"/>
      <c r="J94" s="334"/>
      <c r="K94" s="324"/>
      <c r="L94" s="349" t="str">
        <f>VLOOKUP(D94,통합목록!$E$4:$K$322,5,0)</f>
        <v>열기2-03.행정쟁송법\02.문제\[모의][10.01-1]부작위위법확인소송과 행정심판전치주의의 관계.txt</v>
      </c>
      <c r="M94" s="350" t="str">
        <f>VLOOKUP(D94,통합목록!$E$4:$K$322,7,0)</f>
        <v>A</v>
      </c>
      <c r="N94" s="350" t="str">
        <f t="shared" si="1"/>
        <v>제10장 부작위위법확인소송 및 기타소송-05</v>
      </c>
    </row>
    <row r="95" spans="2:14" ht="189" customHeight="1" x14ac:dyDescent="0.2">
      <c r="B95" s="169" t="s">
        <v>471</v>
      </c>
      <c r="C95" s="321" t="s">
        <v>1379</v>
      </c>
      <c r="D95" s="322" t="s">
        <v>105</v>
      </c>
      <c r="E95" s="323" t="s">
        <v>430</v>
      </c>
      <c r="F95" s="334" t="str">
        <f>VLOOKUP(D95,통합목록!$E$4:$H$322,4,0)</f>
        <v>무효인 보험료부과처분에 따라 기납부한 보험료 환급을 위해 제기할 수 있는 소송의 종류</v>
      </c>
      <c r="G95" s="334"/>
      <c r="H95" s="334"/>
      <c r="I95" s="334"/>
      <c r="J95" s="334"/>
      <c r="K95" s="324"/>
      <c r="L95" s="349" t="str">
        <f>VLOOKUP(D95,통합목록!$E$4:$K$322,5,0)</f>
        <v>열기2-03.행정쟁송법\02.문제\[기출][2017-2]무효인 보험료부과처분에 따라 기납부한 보험료 환급을 위해 제기할 수 있는 소송의 종류.txt</v>
      </c>
      <c r="M95" s="350" t="str">
        <f>VLOOKUP(D95,통합목록!$E$4:$K$322,7,0)</f>
        <v>B</v>
      </c>
      <c r="N95" s="350" t="str">
        <f t="shared" si="1"/>
        <v>제10장 부작위위법확인소송 및 기타소송-06</v>
      </c>
    </row>
    <row r="96" spans="2:14" ht="189" customHeight="1" x14ac:dyDescent="0.2">
      <c r="B96" s="169" t="s">
        <v>471</v>
      </c>
      <c r="C96" s="321" t="s">
        <v>1379</v>
      </c>
      <c r="D96" s="322" t="s">
        <v>104</v>
      </c>
      <c r="E96" s="323" t="s">
        <v>458</v>
      </c>
      <c r="F96" s="334" t="str">
        <f>VLOOKUP(D96,통합목록!$E$4:$H$322,4,0)</f>
        <v>납세의무부존재확인소송의 법적 성질 및 소송법상 특징</v>
      </c>
      <c r="G96" s="334"/>
      <c r="H96" s="334"/>
      <c r="I96" s="334"/>
      <c r="J96" s="334"/>
      <c r="K96" s="324"/>
      <c r="L96" s="349" t="str">
        <f>VLOOKUP(D96,통합목록!$E$4:$K$322,5,0)</f>
        <v>열기2-03.행정쟁송법\02.문제\[기출][2019-3]납세의무부존재확인소송의 법적 성질 및 소송법상 특징.txt</v>
      </c>
      <c r="M96" s="350" t="str">
        <f>VLOOKUP(D96,통합목록!$E$4:$K$322,7,0)</f>
        <v>B</v>
      </c>
      <c r="N96" s="350" t="str">
        <f t="shared" si="1"/>
        <v>제10장 부작위위법확인소송 및 기타소송-07</v>
      </c>
    </row>
    <row r="97" spans="2:14" ht="189" customHeight="1" x14ac:dyDescent="0.2">
      <c r="B97" s="169" t="s">
        <v>471</v>
      </c>
      <c r="C97" s="321" t="s">
        <v>1379</v>
      </c>
      <c r="D97" s="322" t="s">
        <v>1272</v>
      </c>
      <c r="E97" s="323" t="s">
        <v>1856</v>
      </c>
      <c r="F97" s="334" t="str">
        <f>VLOOKUP(D97,통합목록!$E$4:$H$322,4,0)</f>
        <v>공사 전부 도급 시 고용・산재보험료 부존재확인 및 부당이득반환 청구의 적법한 소송의 유형과 피고적격</v>
      </c>
      <c r="G97" s="334"/>
      <c r="H97" s="334"/>
      <c r="I97" s="334"/>
      <c r="J97" s="334"/>
      <c r="K97" s="324"/>
      <c r="L97" s="349" t="str">
        <f>VLOOKUP(D97,통합목록!$E$4:$K$322,5,0)</f>
        <v>열기2-03.행정쟁송법\02.문제\[기출][2023-3]공사 전부 도급 시 고용・산재보험료 부존재확인 및 부당이득반환 청구의 적법한 소송의 유형과 피고적격.txt</v>
      </c>
      <c r="M97" s="350" t="str">
        <f>VLOOKUP(D97,통합목록!$E$4:$K$322,7,0)</f>
        <v>B</v>
      </c>
      <c r="N97" s="350" t="str">
        <f t="shared" si="1"/>
        <v>제10장 부작위위법확인소송 및 기타소송-08</v>
      </c>
    </row>
    <row r="98" spans="2:14" ht="189" customHeight="1" x14ac:dyDescent="0.2">
      <c r="B98" s="169" t="s">
        <v>471</v>
      </c>
      <c r="C98" s="321" t="s">
        <v>1379</v>
      </c>
      <c r="D98" s="322" t="s">
        <v>103</v>
      </c>
      <c r="E98" s="323" t="s">
        <v>1857</v>
      </c>
      <c r="F98" s="334" t="str">
        <f>VLOOKUP(D98,통합목록!$E$4:$H$322,4,0)</f>
        <v>거부처분에 대하여 대한민국을 피고로 지정한 민사상 금전지급 청구소송의 적법 여부 및 법원의 판단</v>
      </c>
      <c r="G98" s="334"/>
      <c r="H98" s="334"/>
      <c r="I98" s="334"/>
      <c r="J98" s="334"/>
      <c r="K98" s="324"/>
      <c r="L98" s="349" t="str">
        <f>VLOOKUP(D98,통합목록!$E$4:$K$322,5,0)</f>
        <v>열기2-03.행정쟁송법\02.문제\[기출][2024-1-1-1]거부처분에 대하여 대한민국을 피고로 지정한 민사상 금전지급 청구소송의 적법 여부 및 법원의 판단.txt</v>
      </c>
      <c r="M98" s="350" t="str">
        <f>VLOOKUP(D98,통합목록!$E$4:$K$322,7,0)</f>
        <v>C</v>
      </c>
      <c r="N98" s="350" t="str">
        <f t="shared" si="1"/>
        <v>제10장 부작위위법확인소송 및 기타소송-09</v>
      </c>
    </row>
    <row r="99" spans="2:14" ht="189" customHeight="1" x14ac:dyDescent="0.2">
      <c r="B99" s="169" t="s">
        <v>471</v>
      </c>
      <c r="C99" s="321" t="s">
        <v>1379</v>
      </c>
      <c r="D99" s="322" t="s">
        <v>2038</v>
      </c>
      <c r="E99" s="323" t="s">
        <v>447</v>
      </c>
      <c r="F99" s="334" t="str">
        <f>VLOOKUP(D99,통합목록!$E$4:$H$322,4,0)</f>
        <v>소청절차를 거치지 않고 제기한 지방공무원의 시간외근무수당 청구소송의 적법 여부</v>
      </c>
      <c r="G99" s="334"/>
      <c r="H99" s="334"/>
      <c r="I99" s="334"/>
      <c r="J99" s="334"/>
      <c r="K99" s="324"/>
      <c r="L99" s="349" t="str">
        <f>VLOOKUP(D99,통합목록!$E$4:$K$322,5,0)</f>
        <v>열기2-03.행정쟁송법\02.문제\[기출][2024-1-1-2]소청절차를 거치지 않고 제기한 지방공무원의 시간외근무수당 청구소송의 적법 여부.txt</v>
      </c>
      <c r="M99" s="350" t="str">
        <f>VLOOKUP(D99,통합목록!$E$4:$K$322,7,0)</f>
        <v>C</v>
      </c>
      <c r="N99" s="350" t="str">
        <f t="shared" si="1"/>
        <v>제10장 부작위위법확인소송 및 기타소송-10</v>
      </c>
    </row>
    <row r="100" spans="2:14" ht="189" customHeight="1" thickBot="1" x14ac:dyDescent="0.25">
      <c r="B100" s="176" t="s">
        <v>471</v>
      </c>
      <c r="C100" s="325" t="s">
        <v>1379</v>
      </c>
      <c r="D100" s="328" t="s">
        <v>1227</v>
      </c>
      <c r="E100" s="326" t="s">
        <v>1858</v>
      </c>
      <c r="F100" s="335" t="str">
        <f>VLOOKUP(D100,통합목록!$E$4:$H$322,4,0)</f>
        <v>기관소송의 정의, 특징, 예시, 법적 한계</v>
      </c>
      <c r="G100" s="335"/>
      <c r="H100" s="335"/>
      <c r="I100" s="335"/>
      <c r="J100" s="335"/>
      <c r="K100" s="327"/>
      <c r="L100" s="351" t="str">
        <f>VLOOKUP(D100,통합목록!$E$4:$K$322,5,0)</f>
        <v>열기2-03.행정쟁송법\02.문제\[기출][2009-2-2]기관소송의 정의, 특징, 예시, 법적 한계.txt</v>
      </c>
      <c r="M100" s="352" t="str">
        <f>VLOOKUP(D100,통합목록!$E$4:$K$322,7,0)</f>
        <v>C</v>
      </c>
      <c r="N100" s="352" t="str">
        <f t="shared" si="1"/>
        <v>제10장 부작위위법확인소송 및 기타소송-11</v>
      </c>
    </row>
    <row r="101" spans="2:14" ht="189" customHeight="1" x14ac:dyDescent="0.2">
      <c r="B101" s="296" t="s">
        <v>478</v>
      </c>
      <c r="C101" s="329" t="s">
        <v>1379</v>
      </c>
      <c r="D101" s="330" t="s">
        <v>1273</v>
      </c>
      <c r="E101" s="331" t="s">
        <v>399</v>
      </c>
      <c r="F101" s="336" t="str">
        <f>VLOOKUP(D101,통합목록!$E$4:$H$322,4,0)</f>
        <v>이의신청에 대한 행정청의 기각결정을 행정심판의 기각재결로 볼 수 있는지 여부</v>
      </c>
      <c r="G101" s="336"/>
      <c r="H101" s="336"/>
      <c r="I101" s="336"/>
      <c r="J101" s="336"/>
      <c r="K101" s="332"/>
      <c r="L101" s="353" t="str">
        <f>VLOOKUP(D101,통합목록!$E$4:$K$322,5,0)</f>
        <v>열기2-03.행정쟁송법\02.문제\[기출][2020-2]이의신청에 대한 행정청의 기각결정을 행정심판의 기각재결로 볼 수 있는지 여부.txt</v>
      </c>
      <c r="M101" s="354" t="str">
        <f>VLOOKUP(D101,통합목록!$E$4:$K$322,7,0)</f>
        <v>B</v>
      </c>
      <c r="N101" s="354" t="str">
        <f t="shared" si="1"/>
        <v>제11장 행정심판의 일반론-01</v>
      </c>
    </row>
    <row r="102" spans="2:14" ht="189" customHeight="1" x14ac:dyDescent="0.2">
      <c r="B102" s="169" t="s">
        <v>478</v>
      </c>
      <c r="C102" s="321" t="s">
        <v>1379</v>
      </c>
      <c r="D102" s="322" t="s">
        <v>1274</v>
      </c>
      <c r="E102" s="323" t="s">
        <v>401</v>
      </c>
      <c r="F102" s="334" t="str">
        <f>VLOOKUP(D102,통합목록!$E$4:$H$322,4,0)</f>
        <v>하자있는 거부처분에 대한 행정심판법상 청구 및 재결의 실효성 확보수단</v>
      </c>
      <c r="G102" s="334"/>
      <c r="H102" s="334"/>
      <c r="I102" s="334"/>
      <c r="J102" s="334"/>
      <c r="K102" s="324"/>
      <c r="L102" s="349" t="str">
        <f>VLOOKUP(D102,통합목록!$E$4:$K$322,5,0)</f>
        <v>열기2-03.행정쟁송법\02.문제\[기출][2010-2]하자있는 거부처분에 대한 행정심판법상 청구 및 재결의 실효성 확보수단.txt</v>
      </c>
      <c r="M102" s="350" t="str">
        <f>VLOOKUP(D102,통합목록!$E$4:$K$322,7,0)</f>
        <v>B</v>
      </c>
      <c r="N102" s="350" t="str">
        <f t="shared" si="1"/>
        <v>제11장 행정심판의 일반론-02</v>
      </c>
    </row>
    <row r="103" spans="2:14" ht="189" customHeight="1" thickBot="1" x14ac:dyDescent="0.25">
      <c r="B103" s="176" t="s">
        <v>478</v>
      </c>
      <c r="C103" s="325" t="s">
        <v>1379</v>
      </c>
      <c r="D103" s="328" t="s">
        <v>1275</v>
      </c>
      <c r="E103" s="326" t="s">
        <v>403</v>
      </c>
      <c r="F103" s="335" t="str">
        <f>VLOOKUP(D103,통합목록!$E$4:$H$322,4,0)</f>
        <v>개발행위 불허가 처분 시 불고지한 경우의 취소심판 청구기간의 경과 여부</v>
      </c>
      <c r="G103" s="335"/>
      <c r="H103" s="335"/>
      <c r="I103" s="335"/>
      <c r="J103" s="335"/>
      <c r="K103" s="327"/>
      <c r="L103" s="351" t="str">
        <f>VLOOKUP(D103,통합목록!$E$4:$K$322,5,0)</f>
        <v>열기2-03.행정쟁송법\02.문제\[기출][2015-1-1]개발행위 불허가 처분 시 불고지한 경우의 취소심판 청구기간의 경과 여부.txt</v>
      </c>
      <c r="M103" s="352" t="str">
        <f>VLOOKUP(D103,통합목록!$E$4:$K$322,7,0)</f>
        <v>A</v>
      </c>
      <c r="N103" s="352" t="str">
        <f t="shared" si="1"/>
        <v>제11장 행정심판의 일반론-03</v>
      </c>
    </row>
    <row r="104" spans="2:14" ht="189" customHeight="1" x14ac:dyDescent="0.2">
      <c r="B104" s="296" t="s">
        <v>487</v>
      </c>
      <c r="C104" s="329" t="s">
        <v>2010</v>
      </c>
      <c r="D104" s="330" t="s">
        <v>1284</v>
      </c>
      <c r="E104" s="331" t="s">
        <v>399</v>
      </c>
      <c r="F104" s="336" t="str">
        <f>VLOOKUP(D104,통합목록!$E$4:$H$322,4,0)</f>
        <v>처분의 개념과 행정청의 시정권고가 행정심판의 대상인지 여부</v>
      </c>
      <c r="G104" s="336"/>
      <c r="H104" s="336"/>
      <c r="I104" s="336"/>
      <c r="J104" s="336"/>
      <c r="K104" s="332"/>
      <c r="L104" s="353" t="str">
        <f>VLOOKUP(D104,통합목록!$E$4:$K$322,5,0)</f>
        <v>열기2-03.행정쟁송법\02.문제\[모의][12.01-1]처분의 개념과 행정청의 시정권고가 행정심판의 대상인지 여부.txt</v>
      </c>
      <c r="M104" s="354" t="str">
        <f>VLOOKUP(D104,통합목록!$E$4:$K$322,7,0)</f>
        <v>B</v>
      </c>
      <c r="N104" s="354" t="str">
        <f t="shared" si="1"/>
        <v>제12장 행정심판의 청구요건 및 가구제-01</v>
      </c>
    </row>
    <row r="105" spans="2:14" ht="189" customHeight="1" x14ac:dyDescent="0.2">
      <c r="B105" s="169" t="s">
        <v>487</v>
      </c>
      <c r="C105" s="321" t="s">
        <v>2010</v>
      </c>
      <c r="D105" s="322" t="s">
        <v>1285</v>
      </c>
      <c r="E105" s="323" t="s">
        <v>401</v>
      </c>
      <c r="F105" s="334" t="str">
        <f>VLOOKUP(D105,통합목록!$E$4:$H$322,4,0)</f>
        <v>부작위에 대한 행정심판의 종류, 부작위 성립 요건 및 행정심판 제기의 예외 사유</v>
      </c>
      <c r="G105" s="334"/>
      <c r="H105" s="334"/>
      <c r="I105" s="334"/>
      <c r="J105" s="334"/>
      <c r="K105" s="324"/>
      <c r="L105" s="349" t="str">
        <f>VLOOKUP(D105,통합목록!$E$4:$K$322,5,0)</f>
        <v>열기2-03.행정쟁송법\02.문제\[모의][12.01-2]부작위에 대한 행정심판의 종류, 부작위 성립 요건 및 행정심판 제기의 예외 사유.txt</v>
      </c>
      <c r="M105" s="350" t="str">
        <f>VLOOKUP(D105,통합목록!$E$4:$K$322,7,0)</f>
        <v>B</v>
      </c>
      <c r="N105" s="350" t="str">
        <f t="shared" si="1"/>
        <v>제12장 행정심판의 청구요건 및 가구제-02</v>
      </c>
    </row>
    <row r="106" spans="2:14" ht="189" customHeight="1" x14ac:dyDescent="0.2">
      <c r="B106" s="169" t="s">
        <v>487</v>
      </c>
      <c r="C106" s="321" t="s">
        <v>1379</v>
      </c>
      <c r="D106" s="322" t="s">
        <v>1276</v>
      </c>
      <c r="E106" s="323" t="s">
        <v>426</v>
      </c>
      <c r="F106" s="334" t="str">
        <f>VLOOKUP(D106,통합목록!$E$4:$H$322,4,0)</f>
        <v>제3자의 청구에 따른 인용재결로 인하여 불이익을 입게 된 원처분 상대방의 소송제기 가능성 및 소송의 대상</v>
      </c>
      <c r="G106" s="334"/>
      <c r="H106" s="334"/>
      <c r="I106" s="334"/>
      <c r="J106" s="334"/>
      <c r="K106" s="324"/>
      <c r="L106" s="349" t="str">
        <f>VLOOKUP(D106,통합목록!$E$4:$K$322,5,0)</f>
        <v>열기2-03.행정쟁송법\02.문제\[기출][2014-1-2]제3자의 청구에 따른 인용재결로 인하여 불이익을 입게 된 원처분 상대방의 소송제기 가능성 및 소송의 대상.txt</v>
      </c>
      <c r="M106" s="350" t="str">
        <f>VLOOKUP(D106,통합목록!$E$4:$K$322,7,0)</f>
        <v>A</v>
      </c>
      <c r="N106" s="350" t="str">
        <f t="shared" si="1"/>
        <v>제12장 행정심판의 청구요건 및 가구제-03</v>
      </c>
    </row>
    <row r="107" spans="2:14" ht="189" customHeight="1" x14ac:dyDescent="0.2">
      <c r="B107" s="169" t="s">
        <v>487</v>
      </c>
      <c r="C107" s="321" t="s">
        <v>1379</v>
      </c>
      <c r="D107" s="322" t="s">
        <v>1228</v>
      </c>
      <c r="E107" s="323" t="s">
        <v>412</v>
      </c>
      <c r="F107" s="334" t="str">
        <f>VLOOKUP(D107,통합목록!$E$4:$H$322,4,0)</f>
        <v>중앙노동위원회 이행강제금 부과처분에 대한 취소심판 청구 시 관할 행정심판기관 및 피청구인 적격</v>
      </c>
      <c r="G107" s="334"/>
      <c r="H107" s="334"/>
      <c r="I107" s="334"/>
      <c r="J107" s="334"/>
      <c r="K107" s="324"/>
      <c r="L107" s="349" t="str">
        <f>VLOOKUP(D107,통합목록!$E$4:$K$322,5,0)</f>
        <v>열기2-03.행정쟁송법\02.문제\[기출][2024-2]중앙노동위원회 이행강제금 부과처분에 대한 취소심판 청구 시 관할 행정심판기관 및 피청구인 적격.txt</v>
      </c>
      <c r="M107" s="350" t="str">
        <f>VLOOKUP(D107,통합목록!$E$4:$K$322,7,0)</f>
        <v>C</v>
      </c>
      <c r="N107" s="350" t="str">
        <f t="shared" si="1"/>
        <v>제12장 행정심판의 청구요건 및 가구제-04</v>
      </c>
    </row>
    <row r="108" spans="2:14" ht="189" customHeight="1" x14ac:dyDescent="0.2">
      <c r="B108" s="169" t="s">
        <v>487</v>
      </c>
      <c r="C108" s="321" t="s">
        <v>2010</v>
      </c>
      <c r="D108" s="322" t="s">
        <v>1286</v>
      </c>
      <c r="E108" s="323" t="s">
        <v>428</v>
      </c>
      <c r="F108" s="334" t="str">
        <f>VLOOKUP(D108,통합목록!$E$4:$H$322,4,0)</f>
        <v>불고지에 따른 행정심판의 청구기간의 특례와 청구의 적법성 여부</v>
      </c>
      <c r="G108" s="334"/>
      <c r="H108" s="334"/>
      <c r="I108" s="334"/>
      <c r="J108" s="334"/>
      <c r="K108" s="324"/>
      <c r="L108" s="349" t="str">
        <f>VLOOKUP(D108,통합목록!$E$4:$K$322,5,0)</f>
        <v>열기2-03.행정쟁송법\02.문제\[모의][12.03-1]불고지에 따른 행정심판의 청구기간의 특례와 청구의 적법성 여부.txt</v>
      </c>
      <c r="M108" s="350" t="str">
        <f>VLOOKUP(D108,통합목록!$E$4:$K$322,7,0)</f>
        <v>B</v>
      </c>
      <c r="N108" s="350" t="str">
        <f t="shared" si="1"/>
        <v>제12장 행정심판의 청구요건 및 가구제-05</v>
      </c>
    </row>
    <row r="109" spans="2:14" ht="189" customHeight="1" x14ac:dyDescent="0.2">
      <c r="B109" s="169" t="s">
        <v>487</v>
      </c>
      <c r="C109" s="321" t="s">
        <v>2010</v>
      </c>
      <c r="D109" s="322" t="s">
        <v>1287</v>
      </c>
      <c r="E109" s="323" t="s">
        <v>430</v>
      </c>
      <c r="F109" s="334" t="str">
        <f>VLOOKUP(D109,통합목록!$E$4:$H$322,4,0)</f>
        <v>피청구인을 잘못 지정한 경우의 구제 절차와 피청구인의 경정 제도</v>
      </c>
      <c r="G109" s="334"/>
      <c r="H109" s="334"/>
      <c r="I109" s="334"/>
      <c r="J109" s="334"/>
      <c r="K109" s="324"/>
      <c r="L109" s="349" t="str">
        <f>VLOOKUP(D109,통합목록!$E$4:$K$322,5,0)</f>
        <v>열기2-03.행정쟁송법\02.문제\[모의][12.03-2]피청구인을 잘못 지정한 경우의 구제 절차와 피청구인의 경정 제도.txt</v>
      </c>
      <c r="M109" s="350" t="str">
        <f>VLOOKUP(D109,통합목록!$E$4:$K$322,7,0)</f>
        <v>B</v>
      </c>
      <c r="N109" s="350" t="str">
        <f t="shared" si="1"/>
        <v>제12장 행정심판의 청구요건 및 가구제-06</v>
      </c>
    </row>
    <row r="110" spans="2:14" ht="189" customHeight="1" x14ac:dyDescent="0.2">
      <c r="B110" s="169" t="s">
        <v>487</v>
      </c>
      <c r="C110" s="321" t="s">
        <v>1379</v>
      </c>
      <c r="D110" s="322" t="s">
        <v>1228</v>
      </c>
      <c r="E110" s="323" t="s">
        <v>458</v>
      </c>
      <c r="F110" s="334" t="str">
        <f>VLOOKUP(D110,통합목록!$E$4:$H$322,4,0)</f>
        <v>중앙노동위원회 이행강제금 부과처분에 대한 취소심판 청구 시 관할 행정심판기관 및 피청구인 적격</v>
      </c>
      <c r="G110" s="334"/>
      <c r="H110" s="334"/>
      <c r="I110" s="334"/>
      <c r="J110" s="334"/>
      <c r="K110" s="324"/>
      <c r="L110" s="349" t="str">
        <f>VLOOKUP(D110,통합목록!$E$4:$K$322,5,0)</f>
        <v>열기2-03.행정쟁송법\02.문제\[기출][2024-2]중앙노동위원회 이행강제금 부과처분에 대한 취소심판 청구 시 관할 행정심판기관 및 피청구인 적격.txt</v>
      </c>
      <c r="M110" s="350" t="str">
        <f>VLOOKUP(D110,통합목록!$E$4:$K$322,7,0)</f>
        <v>C</v>
      </c>
      <c r="N110" s="350" t="str">
        <f t="shared" si="1"/>
        <v>제12장 행정심판의 청구요건 및 가구제-07</v>
      </c>
    </row>
    <row r="111" spans="2:14" ht="189" customHeight="1" x14ac:dyDescent="0.2">
      <c r="B111" s="169" t="s">
        <v>487</v>
      </c>
      <c r="C111" s="321" t="s">
        <v>1379</v>
      </c>
      <c r="D111" s="322" t="s">
        <v>1277</v>
      </c>
      <c r="E111" s="323" t="s">
        <v>1856</v>
      </c>
      <c r="F111" s="334" t="str">
        <f>VLOOKUP(D111,통합목록!$E$4:$H$322,4,0)</f>
        <v>취소심판의 재결이 내려지기 전 청구인이 제기할 수 있는 행정심판법상 잠정적 권리구제수단</v>
      </c>
      <c r="G111" s="334"/>
      <c r="H111" s="334"/>
      <c r="I111" s="334"/>
      <c r="J111" s="334"/>
      <c r="K111" s="324"/>
      <c r="L111" s="349" t="str">
        <f>VLOOKUP(D111,통합목록!$E$4:$K$322,5,0)</f>
        <v>열기2-03.행정쟁송법\02.문제\[기출][2015-2]취소심판의 재결이 내려지기 전 청구인이 제기할 수 있는 행정심판법상 잠정적 권리구제수단.txt</v>
      </c>
      <c r="M111" s="350" t="str">
        <f>VLOOKUP(D111,통합목록!$E$4:$K$322,7,0)</f>
        <v>A</v>
      </c>
      <c r="N111" s="350" t="str">
        <f t="shared" si="1"/>
        <v>제12장 행정심판의 청구요건 및 가구제-08</v>
      </c>
    </row>
    <row r="112" spans="2:14" ht="189" customHeight="1" thickBot="1" x14ac:dyDescent="0.25">
      <c r="B112" s="176" t="s">
        <v>487</v>
      </c>
      <c r="C112" s="325" t="s">
        <v>1379</v>
      </c>
      <c r="D112" s="328" t="s">
        <v>1229</v>
      </c>
      <c r="E112" s="326" t="s">
        <v>1857</v>
      </c>
      <c r="F112" s="335" t="str">
        <f>VLOOKUP(D112,통합목록!$E$4:$H$322,4,0)</f>
        <v>거부처분에 대한 행정심판 청구 시 임시처분의 요건 및 사안에의 인용가능성</v>
      </c>
      <c r="G112" s="335"/>
      <c r="H112" s="335"/>
      <c r="I112" s="335"/>
      <c r="J112" s="335"/>
      <c r="K112" s="327"/>
      <c r="L112" s="351" t="str">
        <f>VLOOKUP(D112,통합목록!$E$4:$K$322,5,0)</f>
        <v>열기2-03.행정쟁송법\02.문제\[기출][2018-1-1]거부처분에 대한 행정심판 청구 시 임시처분의 요건 및 사안에의 인용가능성.txt</v>
      </c>
      <c r="M112" s="352" t="str">
        <f>VLOOKUP(D112,통합목록!$E$4:$K$322,7,0)</f>
        <v>A</v>
      </c>
      <c r="N112" s="352" t="str">
        <f t="shared" si="1"/>
        <v>제12장 행정심판의 청구요건 및 가구제-09</v>
      </c>
    </row>
    <row r="113" spans="2:14" ht="189" customHeight="1" x14ac:dyDescent="0.2">
      <c r="B113" s="296" t="s">
        <v>489</v>
      </c>
      <c r="C113" s="301" t="s">
        <v>2010</v>
      </c>
      <c r="D113" s="302" t="s">
        <v>1288</v>
      </c>
      <c r="E113" s="303" t="s">
        <v>399</v>
      </c>
      <c r="F113" s="337" t="str">
        <f>VLOOKUP(D113,통합목록!$E$4:$H$322,4,0)</f>
        <v>직권심리주의의 의미와 범위 및 당사자가 주장하지 않은 사실에 대한 심리 한계</v>
      </c>
      <c r="G113" s="337"/>
      <c r="H113" s="337"/>
      <c r="I113" s="337"/>
      <c r="J113" s="337"/>
      <c r="K113" s="304"/>
      <c r="L113" s="355" t="str">
        <f>VLOOKUP(D113,통합목록!$E$4:$K$322,5,0)</f>
        <v>열기2-03.행정쟁송법\02.문제\[모의][13.01-1]직권심리주의의 의미와 범위 및 당사자가 주장하지 않은 사실에 대한 심리 한계.txt</v>
      </c>
      <c r="M113" s="356" t="str">
        <f>VLOOKUP(D113,통합목록!$E$4:$K$322,7,0)</f>
        <v>B</v>
      </c>
      <c r="N113" s="356" t="str">
        <f t="shared" si="1"/>
        <v>제13장 행정심판의 심리・재결-01</v>
      </c>
    </row>
    <row r="114" spans="2:14" ht="189" customHeight="1" x14ac:dyDescent="0.2">
      <c r="B114" s="169" t="s">
        <v>489</v>
      </c>
      <c r="C114" s="175" t="s">
        <v>2010</v>
      </c>
      <c r="D114" s="305" t="s">
        <v>1289</v>
      </c>
      <c r="E114" s="306" t="s">
        <v>401</v>
      </c>
      <c r="F114" s="338" t="str">
        <f>VLOOKUP(D114,통합목록!$E$4:$H$322,4,0)</f>
        <v>구술심리와 서면심리의 관계 및 구술심리 신청 거절의 예외적 사유</v>
      </c>
      <c r="G114" s="338"/>
      <c r="H114" s="338"/>
      <c r="I114" s="338"/>
      <c r="J114" s="338"/>
      <c r="K114" s="307"/>
      <c r="L114" s="357" t="str">
        <f>VLOOKUP(D114,통합목록!$E$4:$K$322,5,0)</f>
        <v>열기2-03.행정쟁송법\02.문제\[모의][13.01-2]구술심리와 서면심리의 관계 및 구술심리 신청 거절의 예외적 사유.txt</v>
      </c>
      <c r="M114" s="358" t="str">
        <f>VLOOKUP(D114,통합목록!$E$4:$K$322,7,0)</f>
        <v>B</v>
      </c>
      <c r="N114" s="358" t="str">
        <f t="shared" si="1"/>
        <v>제13장 행정심판의 심리・재결-02</v>
      </c>
    </row>
    <row r="115" spans="2:14" ht="189" customHeight="1" x14ac:dyDescent="0.2">
      <c r="B115" s="169" t="s">
        <v>489</v>
      </c>
      <c r="C115" s="175" t="s">
        <v>1379</v>
      </c>
      <c r="D115" s="310" t="s">
        <v>107</v>
      </c>
      <c r="E115" s="306" t="s">
        <v>426</v>
      </c>
      <c r="F115" s="338" t="str">
        <f>VLOOKUP(D115,통합목록!$E$4:$H$322,4,0)</f>
        <v>행정심판 재결의 종류</v>
      </c>
      <c r="G115" s="338"/>
      <c r="H115" s="338"/>
      <c r="I115" s="338"/>
      <c r="J115" s="338"/>
      <c r="K115" s="307"/>
      <c r="L115" s="357" t="str">
        <f>VLOOKUP(D115,통합목록!$E$4:$K$322,5,0)</f>
        <v>열기2-03.행정쟁송법\02.문제\[기출][2009-2-1]행정심판 재결의 종류.txt</v>
      </c>
      <c r="M115" s="358" t="str">
        <f>VLOOKUP(D115,통합목록!$E$4:$K$322,7,0)</f>
        <v>C</v>
      </c>
      <c r="N115" s="358" t="str">
        <f t="shared" si="1"/>
        <v>제13장 행정심판의 심리・재결-03</v>
      </c>
    </row>
    <row r="116" spans="2:14" ht="189" customHeight="1" x14ac:dyDescent="0.2">
      <c r="B116" s="169" t="s">
        <v>489</v>
      </c>
      <c r="C116" s="175" t="s">
        <v>1379</v>
      </c>
      <c r="D116" s="310" t="s">
        <v>245</v>
      </c>
      <c r="E116" s="306" t="s">
        <v>412</v>
      </c>
      <c r="F116" s="338" t="str">
        <f>VLOOKUP(D116,통합목록!$E$4:$H$322,4,0)</f>
        <v>의무이행재결의 실효성 확보 방안 (행정심판법상), 취소판결의 실효성 확보 방안 (행정소송법상)</v>
      </c>
      <c r="G116" s="338"/>
      <c r="H116" s="338"/>
      <c r="I116" s="338"/>
      <c r="J116" s="338"/>
      <c r="K116" s="307"/>
      <c r="L116" s="357" t="str">
        <f>VLOOKUP(D116,통합목록!$E$4:$K$322,5,0)</f>
        <v>열기2-03.행정쟁송법\02.문제\[기출][2013-2]의무이행재결의 실효성 확보 방안 (행정심판법상), 취소판결의 실효성 확보 방안 (행정소송법상).txt</v>
      </c>
      <c r="M116" s="358" t="str">
        <f>VLOOKUP(D116,통합목록!$E$4:$K$322,7,0)</f>
        <v>B</v>
      </c>
      <c r="N116" s="358" t="str">
        <f t="shared" si="1"/>
        <v>제13장 행정심판의 심리・재결-04</v>
      </c>
    </row>
    <row r="117" spans="2:14" ht="189" customHeight="1" x14ac:dyDescent="0.2">
      <c r="B117" s="169" t="s">
        <v>489</v>
      </c>
      <c r="C117" s="175" t="s">
        <v>1379</v>
      </c>
      <c r="D117" s="310" t="s">
        <v>1278</v>
      </c>
      <c r="E117" s="306" t="s">
        <v>428</v>
      </c>
      <c r="F117" s="338" t="str">
        <f>VLOOKUP(D117,통합목록!$E$4:$H$322,4,0)</f>
        <v>이행재결의 기속력 확보수단으로서의 직접처분의 의의, 취지, 요건, 효과</v>
      </c>
      <c r="G117" s="338"/>
      <c r="H117" s="338"/>
      <c r="I117" s="338"/>
      <c r="J117" s="338"/>
      <c r="K117" s="307"/>
      <c r="L117" s="357" t="str">
        <f>VLOOKUP(D117,통합목록!$E$4:$K$322,5,0)</f>
        <v>열기2-03.행정쟁송법\02.문제\[기출][2014-3]이행재결의 기속력 확보수단으로서의 직접처분의 의의, 취지, 요건, 효과.txt</v>
      </c>
      <c r="M117" s="358" t="str">
        <f>VLOOKUP(D117,통합목록!$E$4:$K$322,7,0)</f>
        <v>A</v>
      </c>
      <c r="N117" s="358" t="str">
        <f t="shared" si="1"/>
        <v>제13장 행정심판의 심리・재결-05</v>
      </c>
    </row>
    <row r="118" spans="2:14" ht="189" customHeight="1" thickBot="1" x14ac:dyDescent="0.25">
      <c r="B118" s="176" t="s">
        <v>489</v>
      </c>
      <c r="C118" s="178" t="s">
        <v>1379</v>
      </c>
      <c r="D118" s="311" t="s">
        <v>1230</v>
      </c>
      <c r="E118" s="308" t="s">
        <v>430</v>
      </c>
      <c r="F118" s="339" t="str">
        <f>VLOOKUP(D118,통합목록!$E$4:$H$322,4,0)</f>
        <v>입학점수 공개거부취소재결의 실효성 확보를 위한 행정심판법상 구제 수단</v>
      </c>
      <c r="G118" s="339"/>
      <c r="H118" s="339"/>
      <c r="I118" s="339"/>
      <c r="J118" s="339"/>
      <c r="K118" s="309"/>
      <c r="L118" s="359" t="str">
        <f>VLOOKUP(D118,통합목록!$E$4:$K$322,5,0)</f>
        <v>열기2-03.행정쟁송법\02.문제\[기출][2019-2]입학점수 공개거부취소재결의 실효성 확보를 위한 행정심판법상 구제 수단.txt</v>
      </c>
      <c r="M118" s="360" t="str">
        <f>VLOOKUP(D118,통합목록!$E$4:$K$322,7,0)</f>
        <v>A</v>
      </c>
      <c r="N118" s="360" t="str">
        <f t="shared" si="1"/>
        <v>제13장 행정심판의 심리・재결-06</v>
      </c>
    </row>
  </sheetData>
  <autoFilter ref="B3:N118" xr:uid="{5B3C1DF4-F808-4828-B817-9F05E61E1B7E}">
    <sortState xmlns:xlrd2="http://schemas.microsoft.com/office/spreadsheetml/2017/richdata2" ref="B4:N152">
      <sortCondition ref="N3"/>
    </sortState>
  </autoFilter>
  <mergeCells count="1">
    <mergeCell ref="C2:K2"/>
  </mergeCells>
  <phoneticPr fontId="2" type="noConversion"/>
  <conditionalFormatting sqref="B4:N118">
    <cfRule type="expression" dxfId="3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A4E3E19-9117-481B-A4FD-14AB2BB8B1CE}">
          <x14:formula1>
            <xm:f>설정!$B$6:$B$11</xm:f>
          </x14:formula1>
          <xm:sqref>C4:C118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55"/>
  <sheetViews>
    <sheetView showGridLines="0" workbookViewId="0">
      <pane ySplit="3" topLeftCell="A306" activePane="bottomLeft" state="frozen"/>
      <selection pane="bottomLeft" activeCell="D327" sqref="D327"/>
    </sheetView>
  </sheetViews>
  <sheetFormatPr defaultRowHeight="14.45" customHeight="1" x14ac:dyDescent="0.2"/>
  <cols>
    <col min="1" max="1" width="1.28515625" style="5" customWidth="1"/>
    <col min="2" max="2" width="31.7109375" style="5" customWidth="1"/>
    <col min="3" max="3" width="37.7109375" style="5" customWidth="1"/>
    <col min="4" max="4" width="26.28515625" style="5" customWidth="1"/>
    <col min="5" max="5" width="2.7109375" style="5" customWidth="1"/>
    <col min="6" max="6" width="2.7109375" style="7" customWidth="1"/>
    <col min="7" max="7" width="163.85546875" style="5" customWidth="1"/>
    <col min="8" max="16384" width="9.140625" style="5"/>
  </cols>
  <sheetData>
    <row r="1" spans="2:7" ht="14.45" customHeight="1" thickBot="1" x14ac:dyDescent="0.25"/>
    <row r="2" spans="2:7" ht="14.45" customHeight="1" x14ac:dyDescent="0.2">
      <c r="B2" s="403" t="s">
        <v>25</v>
      </c>
      <c r="C2" s="409"/>
      <c r="D2" s="227" t="s">
        <v>26</v>
      </c>
      <c r="E2" s="236"/>
      <c r="F2" s="237"/>
      <c r="G2" s="238" t="s">
        <v>27</v>
      </c>
    </row>
    <row r="3" spans="2:7" ht="14.45" customHeight="1" thickBot="1" x14ac:dyDescent="0.25">
      <c r="B3" s="9" t="s">
        <v>23</v>
      </c>
      <c r="C3" s="14" t="s">
        <v>24</v>
      </c>
      <c r="D3" s="239"/>
      <c r="E3" s="240"/>
      <c r="F3" s="241"/>
      <c r="G3" s="242"/>
    </row>
    <row r="4" spans="2:7" ht="14.45" customHeight="1" x14ac:dyDescent="0.2">
      <c r="B4" s="179" t="s">
        <v>1714</v>
      </c>
      <c r="C4" s="142" t="s">
        <v>1730</v>
      </c>
      <c r="D4" s="180" t="s">
        <v>113</v>
      </c>
      <c r="E4" s="181"/>
      <c r="F4" s="181" t="s">
        <v>1390</v>
      </c>
      <c r="G4" s="182" t="s">
        <v>733</v>
      </c>
    </row>
    <row r="5" spans="2:7" ht="14.45" customHeight="1" x14ac:dyDescent="0.2">
      <c r="B5" s="30" t="s">
        <v>1714</v>
      </c>
      <c r="C5" s="106" t="s">
        <v>1730</v>
      </c>
      <c r="D5" s="183" t="s">
        <v>114</v>
      </c>
      <c r="E5" s="184"/>
      <c r="F5" s="184" t="s">
        <v>1384</v>
      </c>
      <c r="G5" s="111" t="s">
        <v>734</v>
      </c>
    </row>
    <row r="6" spans="2:7" ht="14.45" customHeight="1" x14ac:dyDescent="0.2">
      <c r="B6" s="30" t="s">
        <v>1714</v>
      </c>
      <c r="C6" s="106" t="s">
        <v>1730</v>
      </c>
      <c r="D6" s="183" t="s">
        <v>28</v>
      </c>
      <c r="E6" s="184"/>
      <c r="F6" s="184" t="s">
        <v>1384</v>
      </c>
      <c r="G6" s="111" t="s">
        <v>735</v>
      </c>
    </row>
    <row r="7" spans="2:7" ht="14.45" customHeight="1" x14ac:dyDescent="0.2">
      <c r="B7" s="30" t="s">
        <v>1714</v>
      </c>
      <c r="C7" s="106" t="s">
        <v>1730</v>
      </c>
      <c r="D7" s="183" t="s">
        <v>13</v>
      </c>
      <c r="E7" s="184"/>
      <c r="F7" s="184" t="s">
        <v>1384</v>
      </c>
      <c r="G7" s="111" t="s">
        <v>736</v>
      </c>
    </row>
    <row r="8" spans="2:7" ht="14.45" customHeight="1" x14ac:dyDescent="0.2">
      <c r="B8" s="30" t="s">
        <v>1714</v>
      </c>
      <c r="C8" s="106" t="s">
        <v>1730</v>
      </c>
      <c r="D8" s="183" t="s">
        <v>20</v>
      </c>
      <c r="E8" s="184"/>
      <c r="F8" s="184" t="s">
        <v>1384</v>
      </c>
      <c r="G8" s="111" t="s">
        <v>737</v>
      </c>
    </row>
    <row r="9" spans="2:7" ht="14.45" customHeight="1" x14ac:dyDescent="0.2">
      <c r="B9" s="30" t="s">
        <v>1714</v>
      </c>
      <c r="C9" s="118" t="s">
        <v>1730</v>
      </c>
      <c r="D9" s="185" t="s">
        <v>29</v>
      </c>
      <c r="E9" s="186"/>
      <c r="F9" s="186" t="s">
        <v>1384</v>
      </c>
      <c r="G9" s="187" t="s">
        <v>738</v>
      </c>
    </row>
    <row r="10" spans="2:7" ht="14.45" customHeight="1" x14ac:dyDescent="0.2">
      <c r="B10" s="30" t="s">
        <v>1714</v>
      </c>
      <c r="C10" s="94" t="s">
        <v>1840</v>
      </c>
      <c r="D10" s="188" t="s">
        <v>115</v>
      </c>
      <c r="E10" s="189"/>
      <c r="F10" s="189" t="s">
        <v>1384</v>
      </c>
      <c r="G10" s="190" t="s">
        <v>739</v>
      </c>
    </row>
    <row r="11" spans="2:7" ht="14.45" customHeight="1" x14ac:dyDescent="0.2">
      <c r="B11" s="30" t="s">
        <v>1714</v>
      </c>
      <c r="C11" s="106" t="s">
        <v>1840</v>
      </c>
      <c r="D11" s="183" t="s">
        <v>0</v>
      </c>
      <c r="E11" s="184"/>
      <c r="F11" s="184" t="s">
        <v>1384</v>
      </c>
      <c r="G11" s="111" t="s">
        <v>740</v>
      </c>
    </row>
    <row r="12" spans="2:7" ht="14.45" customHeight="1" x14ac:dyDescent="0.2">
      <c r="B12" s="30" t="s">
        <v>1714</v>
      </c>
      <c r="C12" s="106" t="s">
        <v>1840</v>
      </c>
      <c r="D12" s="183" t="s">
        <v>6</v>
      </c>
      <c r="E12" s="184"/>
      <c r="F12" s="184" t="s">
        <v>1384</v>
      </c>
      <c r="G12" s="111" t="s">
        <v>741</v>
      </c>
    </row>
    <row r="13" spans="2:7" ht="14.45" customHeight="1" x14ac:dyDescent="0.2">
      <c r="B13" s="30" t="s">
        <v>1714</v>
      </c>
      <c r="C13" s="106" t="s">
        <v>1840</v>
      </c>
      <c r="D13" s="183" t="s">
        <v>5</v>
      </c>
      <c r="E13" s="184"/>
      <c r="F13" s="184" t="s">
        <v>1384</v>
      </c>
      <c r="G13" s="111" t="s">
        <v>742</v>
      </c>
    </row>
    <row r="14" spans="2:7" ht="14.45" customHeight="1" x14ac:dyDescent="0.2">
      <c r="B14" s="30" t="s">
        <v>1714</v>
      </c>
      <c r="C14" s="106" t="s">
        <v>1840</v>
      </c>
      <c r="D14" s="183" t="s">
        <v>4</v>
      </c>
      <c r="E14" s="184"/>
      <c r="F14" s="184" t="s">
        <v>1384</v>
      </c>
      <c r="G14" s="111" t="s">
        <v>743</v>
      </c>
    </row>
    <row r="15" spans="2:7" ht="14.45" customHeight="1" x14ac:dyDescent="0.2">
      <c r="B15" s="30" t="s">
        <v>1714</v>
      </c>
      <c r="C15" s="118" t="s">
        <v>1840</v>
      </c>
      <c r="D15" s="185" t="s">
        <v>1238</v>
      </c>
      <c r="E15" s="186"/>
      <c r="F15" s="186" t="s">
        <v>1384</v>
      </c>
      <c r="G15" s="187" t="s">
        <v>1240</v>
      </c>
    </row>
    <row r="16" spans="2:7" ht="14.45" customHeight="1" x14ac:dyDescent="0.2">
      <c r="B16" s="30" t="s">
        <v>1714</v>
      </c>
      <c r="C16" s="94" t="s">
        <v>1842</v>
      </c>
      <c r="D16" s="188" t="s">
        <v>39</v>
      </c>
      <c r="E16" s="189"/>
      <c r="F16" s="189" t="s">
        <v>1384</v>
      </c>
      <c r="G16" s="190" t="s">
        <v>744</v>
      </c>
    </row>
    <row r="17" spans="2:7" ht="14.45" customHeight="1" x14ac:dyDescent="0.2">
      <c r="B17" s="30" t="s">
        <v>1714</v>
      </c>
      <c r="C17" s="106" t="s">
        <v>1842</v>
      </c>
      <c r="D17" s="183" t="s">
        <v>40</v>
      </c>
      <c r="E17" s="184"/>
      <c r="F17" s="184" t="s">
        <v>1384</v>
      </c>
      <c r="G17" s="111" t="s">
        <v>1137</v>
      </c>
    </row>
    <row r="18" spans="2:7" ht="14.45" customHeight="1" x14ac:dyDescent="0.2">
      <c r="B18" s="30" t="s">
        <v>1714</v>
      </c>
      <c r="C18" s="106" t="s">
        <v>1842</v>
      </c>
      <c r="D18" s="183" t="s">
        <v>116</v>
      </c>
      <c r="E18" s="184"/>
      <c r="F18" s="184" t="s">
        <v>1384</v>
      </c>
      <c r="G18" s="111" t="s">
        <v>1138</v>
      </c>
    </row>
    <row r="19" spans="2:7" ht="14.45" customHeight="1" x14ac:dyDescent="0.2">
      <c r="B19" s="30" t="s">
        <v>1714</v>
      </c>
      <c r="C19" s="106" t="s">
        <v>1842</v>
      </c>
      <c r="D19" s="183" t="s">
        <v>117</v>
      </c>
      <c r="E19" s="184"/>
      <c r="F19" s="184" t="s">
        <v>1384</v>
      </c>
      <c r="G19" s="111" t="s">
        <v>1139</v>
      </c>
    </row>
    <row r="20" spans="2:7" ht="14.45" customHeight="1" x14ac:dyDescent="0.2">
      <c r="B20" s="30" t="s">
        <v>1714</v>
      </c>
      <c r="C20" s="106" t="s">
        <v>1842</v>
      </c>
      <c r="D20" s="183" t="s">
        <v>118</v>
      </c>
      <c r="E20" s="184" t="s">
        <v>1424</v>
      </c>
      <c r="F20" s="184" t="s">
        <v>1384</v>
      </c>
      <c r="G20" s="111" t="s">
        <v>634</v>
      </c>
    </row>
    <row r="21" spans="2:7" ht="14.45" customHeight="1" x14ac:dyDescent="0.2">
      <c r="B21" s="30" t="s">
        <v>1714</v>
      </c>
      <c r="C21" s="118" t="s">
        <v>1842</v>
      </c>
      <c r="D21" s="185" t="s">
        <v>119</v>
      </c>
      <c r="E21" s="186" t="s">
        <v>1424</v>
      </c>
      <c r="F21" s="186" t="s">
        <v>1384</v>
      </c>
      <c r="G21" s="187" t="s">
        <v>635</v>
      </c>
    </row>
    <row r="22" spans="2:7" ht="14.45" customHeight="1" x14ac:dyDescent="0.2">
      <c r="B22" s="30" t="s">
        <v>1714</v>
      </c>
      <c r="C22" s="94" t="s">
        <v>1768</v>
      </c>
      <c r="D22" s="188" t="s">
        <v>120</v>
      </c>
      <c r="E22" s="189"/>
      <c r="F22" s="189" t="s">
        <v>1384</v>
      </c>
      <c r="G22" s="190" t="s">
        <v>745</v>
      </c>
    </row>
    <row r="23" spans="2:7" ht="14.45" customHeight="1" x14ac:dyDescent="0.2">
      <c r="B23" s="30" t="s">
        <v>1714</v>
      </c>
      <c r="C23" s="106" t="s">
        <v>1768</v>
      </c>
      <c r="D23" s="183" t="s">
        <v>256</v>
      </c>
      <c r="E23" s="184"/>
      <c r="F23" s="184" t="s">
        <v>1384</v>
      </c>
      <c r="G23" s="111" t="s">
        <v>784</v>
      </c>
    </row>
    <row r="24" spans="2:7" ht="14.45" customHeight="1" x14ac:dyDescent="0.2">
      <c r="B24" s="30" t="s">
        <v>1714</v>
      </c>
      <c r="C24" s="106" t="s">
        <v>1768</v>
      </c>
      <c r="D24" s="183" t="s">
        <v>762</v>
      </c>
      <c r="E24" s="184"/>
      <c r="F24" s="184" t="s">
        <v>1384</v>
      </c>
      <c r="G24" s="111" t="s">
        <v>771</v>
      </c>
    </row>
    <row r="25" spans="2:7" ht="14.45" customHeight="1" x14ac:dyDescent="0.2">
      <c r="B25" s="30" t="s">
        <v>1714</v>
      </c>
      <c r="C25" s="106" t="s">
        <v>1768</v>
      </c>
      <c r="D25" s="183" t="s">
        <v>763</v>
      </c>
      <c r="E25" s="184"/>
      <c r="F25" s="184" t="s">
        <v>1384</v>
      </c>
      <c r="G25" s="111" t="s">
        <v>772</v>
      </c>
    </row>
    <row r="26" spans="2:7" ht="14.45" customHeight="1" x14ac:dyDescent="0.2">
      <c r="B26" s="30" t="s">
        <v>1714</v>
      </c>
      <c r="C26" s="106" t="s">
        <v>1768</v>
      </c>
      <c r="D26" s="183" t="s">
        <v>764</v>
      </c>
      <c r="E26" s="184"/>
      <c r="F26" s="184" t="s">
        <v>1384</v>
      </c>
      <c r="G26" s="111" t="s">
        <v>773</v>
      </c>
    </row>
    <row r="27" spans="2:7" ht="14.45" customHeight="1" x14ac:dyDescent="0.2">
      <c r="B27" s="30" t="s">
        <v>1714</v>
      </c>
      <c r="C27" s="106" t="s">
        <v>1768</v>
      </c>
      <c r="D27" s="183" t="s">
        <v>765</v>
      </c>
      <c r="E27" s="184"/>
      <c r="F27" s="184" t="s">
        <v>1384</v>
      </c>
      <c r="G27" s="111" t="s">
        <v>774</v>
      </c>
    </row>
    <row r="28" spans="2:7" ht="14.45" customHeight="1" x14ac:dyDescent="0.2">
      <c r="B28" s="30" t="s">
        <v>1714</v>
      </c>
      <c r="C28" s="106" t="s">
        <v>1768</v>
      </c>
      <c r="D28" s="183" t="s">
        <v>766</v>
      </c>
      <c r="E28" s="184"/>
      <c r="F28" s="184" t="s">
        <v>1384</v>
      </c>
      <c r="G28" s="111" t="s">
        <v>746</v>
      </c>
    </row>
    <row r="29" spans="2:7" ht="14.45" customHeight="1" x14ac:dyDescent="0.2">
      <c r="B29" s="30" t="s">
        <v>1714</v>
      </c>
      <c r="C29" s="106" t="s">
        <v>1768</v>
      </c>
      <c r="D29" s="183" t="s">
        <v>767</v>
      </c>
      <c r="E29" s="184"/>
      <c r="F29" s="184" t="s">
        <v>1384</v>
      </c>
      <c r="G29" s="111" t="s">
        <v>775</v>
      </c>
    </row>
    <row r="30" spans="2:7" ht="14.45" customHeight="1" x14ac:dyDescent="0.2">
      <c r="B30" s="30" t="s">
        <v>1714</v>
      </c>
      <c r="C30" s="106" t="s">
        <v>1768</v>
      </c>
      <c r="D30" s="183" t="s">
        <v>257</v>
      </c>
      <c r="E30" s="184"/>
      <c r="F30" s="184" t="s">
        <v>1384</v>
      </c>
      <c r="G30" s="111" t="s">
        <v>776</v>
      </c>
    </row>
    <row r="31" spans="2:7" ht="14.45" customHeight="1" x14ac:dyDescent="0.2">
      <c r="B31" s="30" t="s">
        <v>1714</v>
      </c>
      <c r="C31" s="106" t="s">
        <v>1768</v>
      </c>
      <c r="D31" s="183" t="s">
        <v>768</v>
      </c>
      <c r="E31" s="184"/>
      <c r="F31" s="184" t="s">
        <v>1384</v>
      </c>
      <c r="G31" s="111" t="s">
        <v>747</v>
      </c>
    </row>
    <row r="32" spans="2:7" ht="14.45" customHeight="1" x14ac:dyDescent="0.2">
      <c r="B32" s="30" t="s">
        <v>1714</v>
      </c>
      <c r="C32" s="106" t="s">
        <v>1768</v>
      </c>
      <c r="D32" s="183" t="s">
        <v>769</v>
      </c>
      <c r="E32" s="184"/>
      <c r="F32" s="184" t="s">
        <v>1384</v>
      </c>
      <c r="G32" s="111" t="s">
        <v>777</v>
      </c>
    </row>
    <row r="33" spans="2:7" ht="14.45" customHeight="1" x14ac:dyDescent="0.2">
      <c r="B33" s="30" t="s">
        <v>1714</v>
      </c>
      <c r="C33" s="106" t="s">
        <v>1768</v>
      </c>
      <c r="D33" s="183" t="s">
        <v>770</v>
      </c>
      <c r="E33" s="184"/>
      <c r="F33" s="184" t="s">
        <v>1384</v>
      </c>
      <c r="G33" s="111" t="s">
        <v>778</v>
      </c>
    </row>
    <row r="34" spans="2:7" ht="14.45" customHeight="1" x14ac:dyDescent="0.2">
      <c r="B34" s="30" t="s">
        <v>1714</v>
      </c>
      <c r="C34" s="106" t="s">
        <v>1768</v>
      </c>
      <c r="D34" s="183" t="s">
        <v>32</v>
      </c>
      <c r="E34" s="184"/>
      <c r="F34" s="184" t="s">
        <v>1384</v>
      </c>
      <c r="G34" s="111" t="s">
        <v>779</v>
      </c>
    </row>
    <row r="35" spans="2:7" ht="14.45" customHeight="1" x14ac:dyDescent="0.2">
      <c r="B35" s="30" t="s">
        <v>1714</v>
      </c>
      <c r="C35" s="106" t="s">
        <v>1768</v>
      </c>
      <c r="D35" s="183" t="s">
        <v>33</v>
      </c>
      <c r="E35" s="184"/>
      <c r="F35" s="184" t="s">
        <v>1384</v>
      </c>
      <c r="G35" s="111" t="s">
        <v>780</v>
      </c>
    </row>
    <row r="36" spans="2:7" ht="14.45" customHeight="1" x14ac:dyDescent="0.2">
      <c r="B36" s="30" t="s">
        <v>1714</v>
      </c>
      <c r="C36" s="106" t="s">
        <v>1768</v>
      </c>
      <c r="D36" s="183" t="s">
        <v>34</v>
      </c>
      <c r="E36" s="184"/>
      <c r="F36" s="184" t="s">
        <v>1384</v>
      </c>
      <c r="G36" s="111" t="s">
        <v>781</v>
      </c>
    </row>
    <row r="37" spans="2:7" ht="14.45" customHeight="1" x14ac:dyDescent="0.2">
      <c r="B37" s="30" t="s">
        <v>1714</v>
      </c>
      <c r="C37" s="106" t="s">
        <v>1768</v>
      </c>
      <c r="D37" s="183" t="s">
        <v>36</v>
      </c>
      <c r="E37" s="184"/>
      <c r="F37" s="184" t="s">
        <v>1384</v>
      </c>
      <c r="G37" s="111" t="s">
        <v>782</v>
      </c>
    </row>
    <row r="38" spans="2:7" ht="14.45" customHeight="1" thickBot="1" x14ac:dyDescent="0.25">
      <c r="B38" s="43" t="s">
        <v>1714</v>
      </c>
      <c r="C38" s="130" t="s">
        <v>1768</v>
      </c>
      <c r="D38" s="185" t="s">
        <v>121</v>
      </c>
      <c r="E38" s="186"/>
      <c r="F38" s="186" t="s">
        <v>1384</v>
      </c>
      <c r="G38" s="187" t="s">
        <v>783</v>
      </c>
    </row>
    <row r="39" spans="2:7" ht="14.45" customHeight="1" x14ac:dyDescent="0.2">
      <c r="B39" s="179" t="s">
        <v>1716</v>
      </c>
      <c r="C39" s="142" t="s">
        <v>1731</v>
      </c>
      <c r="D39" s="180" t="s">
        <v>7</v>
      </c>
      <c r="E39" s="181"/>
      <c r="F39" s="181" t="s">
        <v>1384</v>
      </c>
      <c r="G39" s="182" t="s">
        <v>819</v>
      </c>
    </row>
    <row r="40" spans="2:7" ht="14.45" customHeight="1" x14ac:dyDescent="0.2">
      <c r="B40" s="30" t="s">
        <v>1716</v>
      </c>
      <c r="C40" s="106" t="s">
        <v>1731</v>
      </c>
      <c r="D40" s="183" t="s">
        <v>785</v>
      </c>
      <c r="E40" s="184"/>
      <c r="F40" s="184" t="s">
        <v>1384</v>
      </c>
      <c r="G40" s="111" t="s">
        <v>805</v>
      </c>
    </row>
    <row r="41" spans="2:7" ht="14.45" customHeight="1" x14ac:dyDescent="0.2">
      <c r="B41" s="30" t="s">
        <v>1716</v>
      </c>
      <c r="C41" s="106" t="s">
        <v>1731</v>
      </c>
      <c r="D41" s="183" t="s">
        <v>786</v>
      </c>
      <c r="E41" s="184"/>
      <c r="F41" s="184" t="s">
        <v>1384</v>
      </c>
      <c r="G41" s="111" t="s">
        <v>806</v>
      </c>
    </row>
    <row r="42" spans="2:7" ht="14.45" customHeight="1" x14ac:dyDescent="0.2">
      <c r="B42" s="30" t="s">
        <v>1716</v>
      </c>
      <c r="C42" s="106" t="s">
        <v>1731</v>
      </c>
      <c r="D42" s="183" t="s">
        <v>787</v>
      </c>
      <c r="E42" s="184"/>
      <c r="F42" s="184" t="s">
        <v>1384</v>
      </c>
      <c r="G42" s="111" t="s">
        <v>788</v>
      </c>
    </row>
    <row r="43" spans="2:7" ht="14.45" customHeight="1" x14ac:dyDescent="0.2">
      <c r="B43" s="30" t="s">
        <v>1716</v>
      </c>
      <c r="C43" s="106" t="s">
        <v>1731</v>
      </c>
      <c r="D43" s="183" t="s">
        <v>122</v>
      </c>
      <c r="E43" s="184"/>
      <c r="F43" s="184" t="s">
        <v>1384</v>
      </c>
      <c r="G43" s="111" t="s">
        <v>789</v>
      </c>
    </row>
    <row r="44" spans="2:7" ht="14.45" customHeight="1" x14ac:dyDescent="0.2">
      <c r="B44" s="30" t="s">
        <v>1716</v>
      </c>
      <c r="C44" s="106" t="s">
        <v>1731</v>
      </c>
      <c r="D44" s="183" t="s">
        <v>123</v>
      </c>
      <c r="E44" s="184"/>
      <c r="F44" s="184" t="s">
        <v>1384</v>
      </c>
      <c r="G44" s="111" t="s">
        <v>790</v>
      </c>
    </row>
    <row r="45" spans="2:7" ht="14.45" customHeight="1" x14ac:dyDescent="0.2">
      <c r="B45" s="30" t="s">
        <v>1716</v>
      </c>
      <c r="C45" s="106" t="s">
        <v>1731</v>
      </c>
      <c r="D45" s="183" t="s">
        <v>791</v>
      </c>
      <c r="E45" s="184"/>
      <c r="F45" s="184" t="s">
        <v>1384</v>
      </c>
      <c r="G45" s="111" t="s">
        <v>793</v>
      </c>
    </row>
    <row r="46" spans="2:7" ht="14.45" customHeight="1" x14ac:dyDescent="0.2">
      <c r="B46" s="30" t="s">
        <v>1716</v>
      </c>
      <c r="C46" s="118" t="s">
        <v>1731</v>
      </c>
      <c r="D46" s="185" t="s">
        <v>792</v>
      </c>
      <c r="E46" s="186"/>
      <c r="F46" s="186" t="s">
        <v>1384</v>
      </c>
      <c r="G46" s="187" t="s">
        <v>794</v>
      </c>
    </row>
    <row r="47" spans="2:7" ht="14.45" customHeight="1" x14ac:dyDescent="0.2">
      <c r="B47" s="30" t="s">
        <v>1716</v>
      </c>
      <c r="C47" s="94" t="s">
        <v>1746</v>
      </c>
      <c r="D47" s="188" t="s">
        <v>31</v>
      </c>
      <c r="E47" s="189"/>
      <c r="F47" s="189" t="s">
        <v>1384</v>
      </c>
      <c r="G47" s="190" t="s">
        <v>820</v>
      </c>
    </row>
    <row r="48" spans="2:7" ht="14.45" customHeight="1" x14ac:dyDescent="0.2">
      <c r="B48" s="30" t="s">
        <v>1716</v>
      </c>
      <c r="C48" s="106" t="s">
        <v>1746</v>
      </c>
      <c r="D48" s="183" t="s">
        <v>124</v>
      </c>
      <c r="E48" s="184"/>
      <c r="F48" s="184" t="s">
        <v>1384</v>
      </c>
      <c r="G48" s="111" t="s">
        <v>821</v>
      </c>
    </row>
    <row r="49" spans="2:7" ht="14.45" customHeight="1" x14ac:dyDescent="0.2">
      <c r="B49" s="30" t="s">
        <v>1716</v>
      </c>
      <c r="C49" s="106" t="s">
        <v>1746</v>
      </c>
      <c r="D49" s="183" t="s">
        <v>126</v>
      </c>
      <c r="E49" s="184"/>
      <c r="F49" s="184" t="s">
        <v>1384</v>
      </c>
      <c r="G49" s="111" t="s">
        <v>807</v>
      </c>
    </row>
    <row r="50" spans="2:7" ht="14.45" customHeight="1" x14ac:dyDescent="0.2">
      <c r="B50" s="30" t="s">
        <v>1716</v>
      </c>
      <c r="C50" s="106" t="s">
        <v>1746</v>
      </c>
      <c r="D50" s="183" t="s">
        <v>125</v>
      </c>
      <c r="E50" s="184"/>
      <c r="F50" s="184" t="s">
        <v>1384</v>
      </c>
      <c r="G50" s="111" t="s">
        <v>822</v>
      </c>
    </row>
    <row r="51" spans="2:7" ht="14.45" customHeight="1" x14ac:dyDescent="0.2">
      <c r="B51" s="30" t="s">
        <v>1716</v>
      </c>
      <c r="C51" s="106" t="s">
        <v>1746</v>
      </c>
      <c r="D51" s="183" t="s">
        <v>127</v>
      </c>
      <c r="E51" s="184"/>
      <c r="F51" s="184" t="s">
        <v>1384</v>
      </c>
      <c r="G51" s="111" t="s">
        <v>808</v>
      </c>
    </row>
    <row r="52" spans="2:7" ht="14.45" customHeight="1" x14ac:dyDescent="0.2">
      <c r="B52" s="30" t="s">
        <v>1716</v>
      </c>
      <c r="C52" s="118" t="s">
        <v>1746</v>
      </c>
      <c r="D52" s="185" t="s">
        <v>128</v>
      </c>
      <c r="E52" s="186"/>
      <c r="F52" s="186" t="s">
        <v>1384</v>
      </c>
      <c r="G52" s="187" t="s">
        <v>823</v>
      </c>
    </row>
    <row r="53" spans="2:7" ht="14.45" customHeight="1" x14ac:dyDescent="0.2">
      <c r="B53" s="30" t="s">
        <v>1716</v>
      </c>
      <c r="C53" s="94" t="s">
        <v>1759</v>
      </c>
      <c r="D53" s="188" t="s">
        <v>795</v>
      </c>
      <c r="E53" s="189"/>
      <c r="F53" s="189" t="s">
        <v>1384</v>
      </c>
      <c r="G53" s="190" t="s">
        <v>809</v>
      </c>
    </row>
    <row r="54" spans="2:7" ht="14.45" customHeight="1" thickBot="1" x14ac:dyDescent="0.25">
      <c r="B54" s="43" t="s">
        <v>1716</v>
      </c>
      <c r="C54" s="130" t="s">
        <v>1759</v>
      </c>
      <c r="D54" s="185" t="s">
        <v>796</v>
      </c>
      <c r="E54" s="186"/>
      <c r="F54" s="186" t="s">
        <v>1384</v>
      </c>
      <c r="G54" s="187" t="s">
        <v>824</v>
      </c>
    </row>
    <row r="55" spans="2:7" ht="14.45" customHeight="1" x14ac:dyDescent="0.2">
      <c r="B55" s="179" t="s">
        <v>1718</v>
      </c>
      <c r="C55" s="142" t="s">
        <v>1732</v>
      </c>
      <c r="D55" s="180" t="s">
        <v>32</v>
      </c>
      <c r="E55" s="181"/>
      <c r="F55" s="181" t="s">
        <v>1384</v>
      </c>
      <c r="G55" s="182" t="s">
        <v>800</v>
      </c>
    </row>
    <row r="56" spans="2:7" ht="14.45" customHeight="1" x14ac:dyDescent="0.2">
      <c r="B56" s="30" t="s">
        <v>1718</v>
      </c>
      <c r="C56" s="106" t="s">
        <v>1732</v>
      </c>
      <c r="D56" s="183" t="s">
        <v>797</v>
      </c>
      <c r="E56" s="184"/>
      <c r="F56" s="184" t="s">
        <v>1384</v>
      </c>
      <c r="G56" s="111" t="s">
        <v>810</v>
      </c>
    </row>
    <row r="57" spans="2:7" ht="14.45" customHeight="1" x14ac:dyDescent="0.2">
      <c r="B57" s="30" t="s">
        <v>1718</v>
      </c>
      <c r="C57" s="106" t="s">
        <v>1732</v>
      </c>
      <c r="D57" s="183" t="s">
        <v>798</v>
      </c>
      <c r="E57" s="184"/>
      <c r="F57" s="184" t="s">
        <v>1384</v>
      </c>
      <c r="G57" s="111" t="s">
        <v>811</v>
      </c>
    </row>
    <row r="58" spans="2:7" ht="14.45" customHeight="1" x14ac:dyDescent="0.2">
      <c r="B58" s="30" t="s">
        <v>1718</v>
      </c>
      <c r="C58" s="118" t="s">
        <v>1732</v>
      </c>
      <c r="D58" s="191" t="s">
        <v>799</v>
      </c>
      <c r="E58" s="192"/>
      <c r="F58" s="192" t="s">
        <v>1384</v>
      </c>
      <c r="G58" s="123" t="s">
        <v>812</v>
      </c>
    </row>
    <row r="59" spans="2:7" ht="14.45" customHeight="1" x14ac:dyDescent="0.2">
      <c r="B59" s="30" t="s">
        <v>1718</v>
      </c>
      <c r="C59" s="193" t="s">
        <v>1747</v>
      </c>
      <c r="D59" s="194" t="s">
        <v>33</v>
      </c>
      <c r="E59" s="195"/>
      <c r="F59" s="195" t="s">
        <v>1384</v>
      </c>
      <c r="G59" s="196" t="s">
        <v>749</v>
      </c>
    </row>
    <row r="60" spans="2:7" ht="14.45" customHeight="1" x14ac:dyDescent="0.2">
      <c r="B60" s="30" t="s">
        <v>1718</v>
      </c>
      <c r="C60" s="94" t="s">
        <v>1760</v>
      </c>
      <c r="D60" s="188" t="s">
        <v>34</v>
      </c>
      <c r="E60" s="189"/>
      <c r="F60" s="189" t="s">
        <v>1384</v>
      </c>
      <c r="G60" s="190" t="s">
        <v>748</v>
      </c>
    </row>
    <row r="61" spans="2:7" ht="14.45" customHeight="1" x14ac:dyDescent="0.2">
      <c r="B61" s="30" t="s">
        <v>1718</v>
      </c>
      <c r="C61" s="106" t="s">
        <v>1760</v>
      </c>
      <c r="D61" s="183" t="s">
        <v>129</v>
      </c>
      <c r="E61" s="184"/>
      <c r="F61" s="184" t="s">
        <v>1384</v>
      </c>
      <c r="G61" s="111" t="s">
        <v>801</v>
      </c>
    </row>
    <row r="62" spans="2:7" ht="14.45" customHeight="1" x14ac:dyDescent="0.2">
      <c r="B62" s="30" t="s">
        <v>1718</v>
      </c>
      <c r="C62" s="106" t="s">
        <v>1760</v>
      </c>
      <c r="D62" s="183" t="s">
        <v>130</v>
      </c>
      <c r="E62" s="184"/>
      <c r="F62" s="184" t="s">
        <v>1384</v>
      </c>
      <c r="G62" s="111" t="s">
        <v>802</v>
      </c>
    </row>
    <row r="63" spans="2:7" ht="14.45" customHeight="1" x14ac:dyDescent="0.2">
      <c r="B63" s="30" t="s">
        <v>1718</v>
      </c>
      <c r="C63" s="118" t="s">
        <v>1760</v>
      </c>
      <c r="D63" s="191" t="s">
        <v>131</v>
      </c>
      <c r="E63" s="192"/>
      <c r="F63" s="192" t="s">
        <v>1384</v>
      </c>
      <c r="G63" s="123" t="s">
        <v>813</v>
      </c>
    </row>
    <row r="64" spans="2:7" ht="14.45" customHeight="1" x14ac:dyDescent="0.2">
      <c r="B64" s="30" t="s">
        <v>1718</v>
      </c>
      <c r="C64" s="193" t="s">
        <v>1769</v>
      </c>
      <c r="D64" s="194" t="s">
        <v>35</v>
      </c>
      <c r="E64" s="195"/>
      <c r="F64" s="195" t="s">
        <v>1384</v>
      </c>
      <c r="G64" s="196" t="s">
        <v>750</v>
      </c>
    </row>
    <row r="65" spans="2:7" ht="14.45" customHeight="1" x14ac:dyDescent="0.2">
      <c r="B65" s="30" t="s">
        <v>1718</v>
      </c>
      <c r="C65" s="94" t="s">
        <v>1776</v>
      </c>
      <c r="D65" s="188" t="s">
        <v>36</v>
      </c>
      <c r="E65" s="189"/>
      <c r="F65" s="189" t="s">
        <v>1384</v>
      </c>
      <c r="G65" s="190" t="s">
        <v>751</v>
      </c>
    </row>
    <row r="66" spans="2:7" ht="14.45" customHeight="1" x14ac:dyDescent="0.2">
      <c r="B66" s="30" t="s">
        <v>1718</v>
      </c>
      <c r="C66" s="118" t="s">
        <v>1776</v>
      </c>
      <c r="D66" s="185" t="s">
        <v>217</v>
      </c>
      <c r="E66" s="186"/>
      <c r="F66" s="186" t="s">
        <v>1384</v>
      </c>
      <c r="G66" s="187" t="s">
        <v>803</v>
      </c>
    </row>
    <row r="67" spans="2:7" ht="14.45" customHeight="1" x14ac:dyDescent="0.2">
      <c r="B67" s="30" t="s">
        <v>1718</v>
      </c>
      <c r="C67" s="94" t="s">
        <v>1779</v>
      </c>
      <c r="D67" s="188" t="s">
        <v>37</v>
      </c>
      <c r="E67" s="189"/>
      <c r="F67" s="189" t="s">
        <v>1384</v>
      </c>
      <c r="G67" s="190" t="s">
        <v>814</v>
      </c>
    </row>
    <row r="68" spans="2:7" ht="14.45" customHeight="1" x14ac:dyDescent="0.2">
      <c r="B68" s="30" t="s">
        <v>1718</v>
      </c>
      <c r="C68" s="106" t="s">
        <v>1779</v>
      </c>
      <c r="D68" s="183" t="s">
        <v>38</v>
      </c>
      <c r="E68" s="184"/>
      <c r="F68" s="184" t="s">
        <v>1384</v>
      </c>
      <c r="G68" s="111" t="s">
        <v>815</v>
      </c>
    </row>
    <row r="69" spans="2:7" ht="14.45" customHeight="1" thickBot="1" x14ac:dyDescent="0.25">
      <c r="B69" s="43" t="s">
        <v>1718</v>
      </c>
      <c r="C69" s="130" t="s">
        <v>1779</v>
      </c>
      <c r="D69" s="185" t="s">
        <v>804</v>
      </c>
      <c r="E69" s="186"/>
      <c r="F69" s="186" t="s">
        <v>1384</v>
      </c>
      <c r="G69" s="187" t="s">
        <v>816</v>
      </c>
    </row>
    <row r="70" spans="2:7" ht="14.45" customHeight="1" x14ac:dyDescent="0.2">
      <c r="B70" s="179" t="s">
        <v>1720</v>
      </c>
      <c r="C70" s="142" t="s">
        <v>479</v>
      </c>
      <c r="D70" s="180" t="s">
        <v>137</v>
      </c>
      <c r="E70" s="181"/>
      <c r="F70" s="181" t="s">
        <v>1384</v>
      </c>
      <c r="G70" s="182" t="s">
        <v>825</v>
      </c>
    </row>
    <row r="71" spans="2:7" ht="14.45" customHeight="1" x14ac:dyDescent="0.2">
      <c r="B71" s="30" t="s">
        <v>1720</v>
      </c>
      <c r="C71" s="106" t="s">
        <v>479</v>
      </c>
      <c r="D71" s="183" t="s">
        <v>218</v>
      </c>
      <c r="E71" s="184"/>
      <c r="F71" s="184" t="s">
        <v>1384</v>
      </c>
      <c r="G71" s="111" t="s">
        <v>826</v>
      </c>
    </row>
    <row r="72" spans="2:7" ht="14.45" customHeight="1" x14ac:dyDescent="0.2">
      <c r="B72" s="30" t="s">
        <v>1720</v>
      </c>
      <c r="C72" s="106" t="s">
        <v>479</v>
      </c>
      <c r="D72" s="183" t="s">
        <v>220</v>
      </c>
      <c r="E72" s="184"/>
      <c r="F72" s="184" t="s">
        <v>1384</v>
      </c>
      <c r="G72" s="111" t="s">
        <v>827</v>
      </c>
    </row>
    <row r="73" spans="2:7" ht="14.45" customHeight="1" x14ac:dyDescent="0.2">
      <c r="B73" s="30" t="s">
        <v>1720</v>
      </c>
      <c r="C73" s="106" t="s">
        <v>479</v>
      </c>
      <c r="D73" s="183" t="s">
        <v>219</v>
      </c>
      <c r="E73" s="184"/>
      <c r="F73" s="184" t="s">
        <v>1384</v>
      </c>
      <c r="G73" s="111" t="s">
        <v>907</v>
      </c>
    </row>
    <row r="74" spans="2:7" ht="14.45" customHeight="1" x14ac:dyDescent="0.2">
      <c r="B74" s="30" t="s">
        <v>1720</v>
      </c>
      <c r="C74" s="118" t="s">
        <v>479</v>
      </c>
      <c r="D74" s="185" t="s">
        <v>221</v>
      </c>
      <c r="E74" s="186"/>
      <c r="F74" s="186" t="s">
        <v>1384</v>
      </c>
      <c r="G74" s="187" t="s">
        <v>908</v>
      </c>
    </row>
    <row r="75" spans="2:7" ht="14.45" customHeight="1" x14ac:dyDescent="0.2">
      <c r="B75" s="30" t="s">
        <v>1720</v>
      </c>
      <c r="C75" s="94" t="s">
        <v>1748</v>
      </c>
      <c r="D75" s="188" t="s">
        <v>3</v>
      </c>
      <c r="E75" s="189"/>
      <c r="F75" s="189" t="s">
        <v>1384</v>
      </c>
      <c r="G75" s="190" t="s">
        <v>909</v>
      </c>
    </row>
    <row r="76" spans="2:7" ht="14.45" customHeight="1" x14ac:dyDescent="0.2">
      <c r="B76" s="30" t="s">
        <v>1720</v>
      </c>
      <c r="C76" s="106" t="s">
        <v>1748</v>
      </c>
      <c r="D76" s="183" t="s">
        <v>222</v>
      </c>
      <c r="E76" s="184"/>
      <c r="F76" s="184" t="s">
        <v>1384</v>
      </c>
      <c r="G76" s="111" t="s">
        <v>828</v>
      </c>
    </row>
    <row r="77" spans="2:7" ht="14.45" customHeight="1" x14ac:dyDescent="0.2">
      <c r="B77" s="30" t="s">
        <v>1720</v>
      </c>
      <c r="C77" s="106" t="s">
        <v>1748</v>
      </c>
      <c r="D77" s="183" t="s">
        <v>223</v>
      </c>
      <c r="E77" s="184"/>
      <c r="F77" s="184" t="s">
        <v>1384</v>
      </c>
      <c r="G77" s="111" t="s">
        <v>910</v>
      </c>
    </row>
    <row r="78" spans="2:7" ht="14.45" customHeight="1" x14ac:dyDescent="0.2">
      <c r="B78" s="30" t="s">
        <v>1720</v>
      </c>
      <c r="C78" s="106" t="s">
        <v>1748</v>
      </c>
      <c r="D78" s="183" t="s">
        <v>224</v>
      </c>
      <c r="E78" s="184"/>
      <c r="F78" s="184" t="s">
        <v>1384</v>
      </c>
      <c r="G78" s="111" t="s">
        <v>911</v>
      </c>
    </row>
    <row r="79" spans="2:7" ht="14.45" customHeight="1" x14ac:dyDescent="0.2">
      <c r="B79" s="30" t="s">
        <v>1720</v>
      </c>
      <c r="C79" s="106" t="s">
        <v>1748</v>
      </c>
      <c r="D79" s="183" t="s">
        <v>225</v>
      </c>
      <c r="E79" s="184"/>
      <c r="F79" s="184" t="s">
        <v>1384</v>
      </c>
      <c r="G79" s="111" t="s">
        <v>912</v>
      </c>
    </row>
    <row r="80" spans="2:7" ht="14.45" customHeight="1" x14ac:dyDescent="0.2">
      <c r="B80" s="30" t="s">
        <v>1720</v>
      </c>
      <c r="C80" s="106" t="s">
        <v>1748</v>
      </c>
      <c r="D80" s="183" t="s">
        <v>226</v>
      </c>
      <c r="E80" s="184"/>
      <c r="F80" s="184" t="s">
        <v>1384</v>
      </c>
      <c r="G80" s="111" t="s">
        <v>913</v>
      </c>
    </row>
    <row r="81" spans="2:7" ht="14.45" customHeight="1" x14ac:dyDescent="0.2">
      <c r="B81" s="30" t="s">
        <v>1720</v>
      </c>
      <c r="C81" s="106" t="s">
        <v>1748</v>
      </c>
      <c r="D81" s="183" t="s">
        <v>227</v>
      </c>
      <c r="E81" s="184"/>
      <c r="F81" s="184" t="s">
        <v>1384</v>
      </c>
      <c r="G81" s="111" t="s">
        <v>914</v>
      </c>
    </row>
    <row r="82" spans="2:7" ht="14.45" customHeight="1" x14ac:dyDescent="0.2">
      <c r="B82" s="30" t="s">
        <v>1720</v>
      </c>
      <c r="C82" s="106" t="s">
        <v>1748</v>
      </c>
      <c r="D82" s="183" t="s">
        <v>39</v>
      </c>
      <c r="E82" s="184"/>
      <c r="F82" s="184" t="s">
        <v>1384</v>
      </c>
      <c r="G82" s="111" t="s">
        <v>951</v>
      </c>
    </row>
    <row r="83" spans="2:7" ht="14.45" customHeight="1" x14ac:dyDescent="0.2">
      <c r="B83" s="30" t="s">
        <v>1720</v>
      </c>
      <c r="C83" s="106" t="s">
        <v>1748</v>
      </c>
      <c r="D83" s="183" t="s">
        <v>228</v>
      </c>
      <c r="E83" s="184"/>
      <c r="F83" s="184" t="s">
        <v>1384</v>
      </c>
      <c r="G83" s="111" t="s">
        <v>915</v>
      </c>
    </row>
    <row r="84" spans="2:7" ht="14.45" customHeight="1" x14ac:dyDescent="0.2">
      <c r="B84" s="30" t="s">
        <v>1720</v>
      </c>
      <c r="C84" s="106" t="s">
        <v>1748</v>
      </c>
      <c r="D84" s="183" t="s">
        <v>229</v>
      </c>
      <c r="E84" s="184"/>
      <c r="F84" s="184" t="s">
        <v>1384</v>
      </c>
      <c r="G84" s="111" t="s">
        <v>916</v>
      </c>
    </row>
    <row r="85" spans="2:7" ht="14.45" customHeight="1" x14ac:dyDescent="0.2">
      <c r="B85" s="30" t="s">
        <v>1720</v>
      </c>
      <c r="C85" s="106" t="s">
        <v>1748</v>
      </c>
      <c r="D85" s="183" t="s">
        <v>230</v>
      </c>
      <c r="E85" s="184"/>
      <c r="F85" s="184" t="s">
        <v>1384</v>
      </c>
      <c r="G85" s="111" t="s">
        <v>917</v>
      </c>
    </row>
    <row r="86" spans="2:7" ht="14.45" customHeight="1" x14ac:dyDescent="0.2">
      <c r="B86" s="30" t="s">
        <v>1720</v>
      </c>
      <c r="C86" s="106" t="s">
        <v>1748</v>
      </c>
      <c r="D86" s="183" t="s">
        <v>231</v>
      </c>
      <c r="E86" s="184"/>
      <c r="F86" s="184" t="s">
        <v>1384</v>
      </c>
      <c r="G86" s="111" t="s">
        <v>918</v>
      </c>
    </row>
    <row r="87" spans="2:7" ht="14.45" customHeight="1" x14ac:dyDescent="0.2">
      <c r="B87" s="30" t="s">
        <v>1720</v>
      </c>
      <c r="C87" s="118" t="s">
        <v>1748</v>
      </c>
      <c r="D87" s="185" t="s">
        <v>40</v>
      </c>
      <c r="E87" s="186"/>
      <c r="F87" s="186" t="s">
        <v>1384</v>
      </c>
      <c r="G87" s="187" t="s">
        <v>919</v>
      </c>
    </row>
    <row r="88" spans="2:7" ht="14.45" customHeight="1" x14ac:dyDescent="0.2">
      <c r="B88" s="30" t="s">
        <v>1720</v>
      </c>
      <c r="C88" s="94" t="s">
        <v>1761</v>
      </c>
      <c r="D88" s="188" t="s">
        <v>232</v>
      </c>
      <c r="E88" s="189"/>
      <c r="F88" s="189" t="s">
        <v>1384</v>
      </c>
      <c r="G88" s="190" t="s">
        <v>829</v>
      </c>
    </row>
    <row r="89" spans="2:7" ht="14.45" customHeight="1" x14ac:dyDescent="0.2">
      <c r="B89" s="30" t="s">
        <v>1720</v>
      </c>
      <c r="C89" s="106" t="s">
        <v>1761</v>
      </c>
      <c r="D89" s="183" t="s">
        <v>258</v>
      </c>
      <c r="E89" s="184"/>
      <c r="F89" s="184" t="s">
        <v>1384</v>
      </c>
      <c r="G89" s="111" t="s">
        <v>259</v>
      </c>
    </row>
    <row r="90" spans="2:7" ht="14.45" customHeight="1" x14ac:dyDescent="0.2">
      <c r="B90" s="30" t="s">
        <v>1720</v>
      </c>
      <c r="C90" s="106" t="s">
        <v>1761</v>
      </c>
      <c r="D90" s="183" t="s">
        <v>233</v>
      </c>
      <c r="E90" s="184"/>
      <c r="F90" s="184" t="s">
        <v>1384</v>
      </c>
      <c r="G90" s="111" t="s">
        <v>920</v>
      </c>
    </row>
    <row r="91" spans="2:7" ht="14.45" customHeight="1" x14ac:dyDescent="0.2">
      <c r="B91" s="30" t="s">
        <v>1720</v>
      </c>
      <c r="C91" s="106" t="s">
        <v>1761</v>
      </c>
      <c r="D91" s="183" t="s">
        <v>234</v>
      </c>
      <c r="E91" s="184"/>
      <c r="F91" s="184" t="s">
        <v>1384</v>
      </c>
      <c r="G91" s="111" t="s">
        <v>830</v>
      </c>
    </row>
    <row r="92" spans="2:7" ht="14.45" customHeight="1" x14ac:dyDescent="0.2">
      <c r="B92" s="30" t="s">
        <v>1720</v>
      </c>
      <c r="C92" s="106" t="s">
        <v>1761</v>
      </c>
      <c r="D92" s="183" t="s">
        <v>235</v>
      </c>
      <c r="E92" s="184"/>
      <c r="F92" s="184" t="s">
        <v>1384</v>
      </c>
      <c r="G92" s="111" t="s">
        <v>952</v>
      </c>
    </row>
    <row r="93" spans="2:7" ht="14.45" customHeight="1" x14ac:dyDescent="0.2">
      <c r="B93" s="30" t="s">
        <v>1720</v>
      </c>
      <c r="C93" s="106" t="s">
        <v>1761</v>
      </c>
      <c r="D93" s="183" t="s">
        <v>236</v>
      </c>
      <c r="E93" s="184"/>
      <c r="F93" s="184" t="s">
        <v>1384</v>
      </c>
      <c r="G93" s="111" t="s">
        <v>831</v>
      </c>
    </row>
    <row r="94" spans="2:7" ht="14.45" customHeight="1" x14ac:dyDescent="0.2">
      <c r="B94" s="30" t="s">
        <v>1720</v>
      </c>
      <c r="C94" s="106" t="s">
        <v>1761</v>
      </c>
      <c r="D94" s="183" t="s">
        <v>832</v>
      </c>
      <c r="E94" s="184"/>
      <c r="F94" s="184" t="s">
        <v>1384</v>
      </c>
      <c r="G94" s="111" t="s">
        <v>921</v>
      </c>
    </row>
    <row r="95" spans="2:7" ht="14.45" customHeight="1" x14ac:dyDescent="0.2">
      <c r="B95" s="30" t="s">
        <v>1720</v>
      </c>
      <c r="C95" s="106" t="s">
        <v>1761</v>
      </c>
      <c r="D95" s="183" t="s">
        <v>833</v>
      </c>
      <c r="E95" s="184"/>
      <c r="F95" s="184" t="s">
        <v>1384</v>
      </c>
      <c r="G95" s="111" t="s">
        <v>922</v>
      </c>
    </row>
    <row r="96" spans="2:7" ht="14.45" customHeight="1" x14ac:dyDescent="0.2">
      <c r="B96" s="30" t="s">
        <v>1720</v>
      </c>
      <c r="C96" s="106" t="s">
        <v>1761</v>
      </c>
      <c r="D96" s="183" t="s">
        <v>834</v>
      </c>
      <c r="E96" s="184"/>
      <c r="F96" s="184" t="s">
        <v>1384</v>
      </c>
      <c r="G96" s="111" t="s">
        <v>923</v>
      </c>
    </row>
    <row r="97" spans="2:7" ht="14.45" customHeight="1" x14ac:dyDescent="0.2">
      <c r="B97" s="30" t="s">
        <v>1720</v>
      </c>
      <c r="C97" s="118" t="s">
        <v>1761</v>
      </c>
      <c r="D97" s="185" t="s">
        <v>835</v>
      </c>
      <c r="E97" s="186"/>
      <c r="F97" s="186" t="s">
        <v>1384</v>
      </c>
      <c r="G97" s="187" t="s">
        <v>924</v>
      </c>
    </row>
    <row r="98" spans="2:7" ht="14.45" customHeight="1" x14ac:dyDescent="0.2">
      <c r="B98" s="30" t="s">
        <v>1720</v>
      </c>
      <c r="C98" s="94" t="s">
        <v>1770</v>
      </c>
      <c r="D98" s="188" t="s">
        <v>137</v>
      </c>
      <c r="E98" s="189"/>
      <c r="F98" s="189" t="s">
        <v>1384</v>
      </c>
      <c r="G98" s="190" t="s">
        <v>925</v>
      </c>
    </row>
    <row r="99" spans="2:7" ht="14.45" customHeight="1" x14ac:dyDescent="0.2">
      <c r="B99" s="30" t="s">
        <v>1720</v>
      </c>
      <c r="C99" s="106" t="s">
        <v>1770</v>
      </c>
      <c r="D99" s="183" t="s">
        <v>8</v>
      </c>
      <c r="E99" s="184"/>
      <c r="F99" s="184" t="s">
        <v>1384</v>
      </c>
      <c r="G99" s="111" t="s">
        <v>926</v>
      </c>
    </row>
    <row r="100" spans="2:7" ht="14.45" customHeight="1" x14ac:dyDescent="0.2">
      <c r="B100" s="30" t="s">
        <v>1720</v>
      </c>
      <c r="C100" s="106" t="s">
        <v>1770</v>
      </c>
      <c r="D100" s="183" t="s">
        <v>9</v>
      </c>
      <c r="E100" s="184"/>
      <c r="F100" s="184" t="s">
        <v>1384</v>
      </c>
      <c r="G100" s="111" t="s">
        <v>927</v>
      </c>
    </row>
    <row r="101" spans="2:7" ht="14.45" customHeight="1" x14ac:dyDescent="0.2">
      <c r="B101" s="30" t="s">
        <v>1720</v>
      </c>
      <c r="C101" s="106" t="s">
        <v>1770</v>
      </c>
      <c r="D101" s="183" t="s">
        <v>261</v>
      </c>
      <c r="E101" s="184"/>
      <c r="F101" s="184" t="s">
        <v>1384</v>
      </c>
      <c r="G101" s="111" t="s">
        <v>752</v>
      </c>
    </row>
    <row r="102" spans="2:7" ht="14.45" customHeight="1" x14ac:dyDescent="0.2">
      <c r="B102" s="30" t="s">
        <v>1720</v>
      </c>
      <c r="C102" s="106" t="s">
        <v>1770</v>
      </c>
      <c r="D102" s="183" t="s">
        <v>262</v>
      </c>
      <c r="E102" s="184"/>
      <c r="F102" s="184" t="s">
        <v>1384</v>
      </c>
      <c r="G102" s="111" t="s">
        <v>928</v>
      </c>
    </row>
    <row r="103" spans="2:7" ht="14.45" customHeight="1" x14ac:dyDescent="0.2">
      <c r="B103" s="30" t="s">
        <v>1720</v>
      </c>
      <c r="C103" s="106" t="s">
        <v>1770</v>
      </c>
      <c r="D103" s="183" t="s">
        <v>237</v>
      </c>
      <c r="E103" s="184"/>
      <c r="F103" s="184" t="s">
        <v>1384</v>
      </c>
      <c r="G103" s="111" t="s">
        <v>929</v>
      </c>
    </row>
    <row r="104" spans="2:7" ht="14.45" customHeight="1" x14ac:dyDescent="0.2">
      <c r="B104" s="30" t="s">
        <v>1720</v>
      </c>
      <c r="C104" s="106" t="s">
        <v>1770</v>
      </c>
      <c r="D104" s="183" t="s">
        <v>238</v>
      </c>
      <c r="E104" s="184"/>
      <c r="F104" s="184" t="s">
        <v>1384</v>
      </c>
      <c r="G104" s="111" t="s">
        <v>930</v>
      </c>
    </row>
    <row r="105" spans="2:7" ht="14.45" customHeight="1" x14ac:dyDescent="0.2">
      <c r="B105" s="30" t="s">
        <v>1720</v>
      </c>
      <c r="C105" s="106" t="s">
        <v>1770</v>
      </c>
      <c r="D105" s="183" t="s">
        <v>239</v>
      </c>
      <c r="E105" s="184"/>
      <c r="F105" s="184" t="s">
        <v>1384</v>
      </c>
      <c r="G105" s="111" t="s">
        <v>931</v>
      </c>
    </row>
    <row r="106" spans="2:7" ht="14.45" customHeight="1" thickBot="1" x14ac:dyDescent="0.25">
      <c r="B106" s="43" t="s">
        <v>1720</v>
      </c>
      <c r="C106" s="130" t="s">
        <v>1770</v>
      </c>
      <c r="D106" s="185" t="s">
        <v>240</v>
      </c>
      <c r="E106" s="186"/>
      <c r="F106" s="186" t="s">
        <v>1384</v>
      </c>
      <c r="G106" s="187" t="s">
        <v>932</v>
      </c>
    </row>
    <row r="107" spans="2:7" ht="14.45" customHeight="1" x14ac:dyDescent="0.2">
      <c r="B107" s="179" t="s">
        <v>1722</v>
      </c>
      <c r="C107" s="142" t="s">
        <v>1734</v>
      </c>
      <c r="D107" s="180" t="s">
        <v>139</v>
      </c>
      <c r="E107" s="181"/>
      <c r="F107" s="181" t="s">
        <v>1384</v>
      </c>
      <c r="G107" s="182" t="s">
        <v>836</v>
      </c>
    </row>
    <row r="108" spans="2:7" ht="14.45" customHeight="1" x14ac:dyDescent="0.2">
      <c r="B108" s="30" t="s">
        <v>1722</v>
      </c>
      <c r="C108" s="106" t="s">
        <v>1734</v>
      </c>
      <c r="D108" s="183" t="s">
        <v>21</v>
      </c>
      <c r="E108" s="184"/>
      <c r="F108" s="184" t="s">
        <v>1384</v>
      </c>
      <c r="G108" s="111" t="s">
        <v>837</v>
      </c>
    </row>
    <row r="109" spans="2:7" ht="14.45" customHeight="1" x14ac:dyDescent="0.2">
      <c r="B109" s="30" t="s">
        <v>1722</v>
      </c>
      <c r="C109" s="106" t="s">
        <v>1734</v>
      </c>
      <c r="D109" s="183" t="s">
        <v>10</v>
      </c>
      <c r="E109" s="184"/>
      <c r="F109" s="184" t="s">
        <v>1384</v>
      </c>
      <c r="G109" s="111" t="s">
        <v>838</v>
      </c>
    </row>
    <row r="110" spans="2:7" ht="14.45" customHeight="1" x14ac:dyDescent="0.2">
      <c r="B110" s="30" t="s">
        <v>1722</v>
      </c>
      <c r="C110" s="106" t="s">
        <v>1734</v>
      </c>
      <c r="D110" s="183" t="s">
        <v>263</v>
      </c>
      <c r="E110" s="184"/>
      <c r="F110" s="184" t="s">
        <v>1384</v>
      </c>
      <c r="G110" s="111" t="s">
        <v>840</v>
      </c>
    </row>
    <row r="111" spans="2:7" ht="14.45" customHeight="1" x14ac:dyDescent="0.2">
      <c r="B111" s="30" t="s">
        <v>1722</v>
      </c>
      <c r="C111" s="118" t="s">
        <v>1734</v>
      </c>
      <c r="D111" s="185" t="s">
        <v>264</v>
      </c>
      <c r="E111" s="186"/>
      <c r="F111" s="186" t="s">
        <v>1384</v>
      </c>
      <c r="G111" s="187" t="s">
        <v>839</v>
      </c>
    </row>
    <row r="112" spans="2:7" ht="14.45" customHeight="1" x14ac:dyDescent="0.2">
      <c r="B112" s="30" t="s">
        <v>1722</v>
      </c>
      <c r="C112" s="94" t="s">
        <v>1749</v>
      </c>
      <c r="D112" s="188" t="s">
        <v>260</v>
      </c>
      <c r="E112" s="189"/>
      <c r="F112" s="189" t="s">
        <v>1384</v>
      </c>
      <c r="G112" s="190" t="s">
        <v>933</v>
      </c>
    </row>
    <row r="113" spans="2:7" ht="14.45" customHeight="1" x14ac:dyDescent="0.2">
      <c r="B113" s="30" t="s">
        <v>1722</v>
      </c>
      <c r="C113" s="106" t="s">
        <v>1749</v>
      </c>
      <c r="D113" s="183" t="s">
        <v>841</v>
      </c>
      <c r="E113" s="184"/>
      <c r="F113" s="184" t="s">
        <v>1384</v>
      </c>
      <c r="G113" s="111" t="s">
        <v>843</v>
      </c>
    </row>
    <row r="114" spans="2:7" ht="14.45" customHeight="1" x14ac:dyDescent="0.2">
      <c r="B114" s="30" t="s">
        <v>1722</v>
      </c>
      <c r="C114" s="106" t="s">
        <v>1749</v>
      </c>
      <c r="D114" s="183" t="s">
        <v>842</v>
      </c>
      <c r="E114" s="184"/>
      <c r="F114" s="184" t="s">
        <v>1384</v>
      </c>
      <c r="G114" s="111" t="s">
        <v>844</v>
      </c>
    </row>
    <row r="115" spans="2:7" ht="14.45" customHeight="1" thickBot="1" x14ac:dyDescent="0.25">
      <c r="B115" s="43" t="s">
        <v>1722</v>
      </c>
      <c r="C115" s="130" t="s">
        <v>1749</v>
      </c>
      <c r="D115" s="185" t="s">
        <v>16</v>
      </c>
      <c r="E115" s="186"/>
      <c r="F115" s="186" t="s">
        <v>1384</v>
      </c>
      <c r="G115" s="187" t="s">
        <v>845</v>
      </c>
    </row>
    <row r="116" spans="2:7" ht="14.45" customHeight="1" x14ac:dyDescent="0.2">
      <c r="B116" s="179" t="s">
        <v>1724</v>
      </c>
      <c r="C116" s="142" t="s">
        <v>1735</v>
      </c>
      <c r="D116" s="180" t="s">
        <v>13</v>
      </c>
      <c r="E116" s="181"/>
      <c r="F116" s="181" t="s">
        <v>1384</v>
      </c>
      <c r="G116" s="182" t="s">
        <v>265</v>
      </c>
    </row>
    <row r="117" spans="2:7" ht="14.45" customHeight="1" x14ac:dyDescent="0.2">
      <c r="B117" s="30" t="s">
        <v>1724</v>
      </c>
      <c r="C117" s="106" t="s">
        <v>1735</v>
      </c>
      <c r="D117" s="183" t="s">
        <v>222</v>
      </c>
      <c r="E117" s="184"/>
      <c r="F117" s="184" t="s">
        <v>1384</v>
      </c>
      <c r="G117" s="111" t="s">
        <v>266</v>
      </c>
    </row>
    <row r="118" spans="2:7" ht="14.45" customHeight="1" x14ac:dyDescent="0.2">
      <c r="B118" s="30" t="s">
        <v>1724</v>
      </c>
      <c r="C118" s="106" t="s">
        <v>1735</v>
      </c>
      <c r="D118" s="183" t="s">
        <v>274</v>
      </c>
      <c r="E118" s="184"/>
      <c r="F118" s="184" t="s">
        <v>1384</v>
      </c>
      <c r="G118" s="111" t="s">
        <v>934</v>
      </c>
    </row>
    <row r="119" spans="2:7" ht="14.45" customHeight="1" x14ac:dyDescent="0.2">
      <c r="B119" s="30" t="s">
        <v>1724</v>
      </c>
      <c r="C119" s="106" t="s">
        <v>1735</v>
      </c>
      <c r="D119" s="183" t="s">
        <v>275</v>
      </c>
      <c r="E119" s="184"/>
      <c r="F119" s="184" t="s">
        <v>1384</v>
      </c>
      <c r="G119" s="111" t="s">
        <v>935</v>
      </c>
    </row>
    <row r="120" spans="2:7" ht="14.45" customHeight="1" x14ac:dyDescent="0.2">
      <c r="B120" s="30" t="s">
        <v>1724</v>
      </c>
      <c r="C120" s="106" t="s">
        <v>1735</v>
      </c>
      <c r="D120" s="183" t="s">
        <v>276</v>
      </c>
      <c r="E120" s="184"/>
      <c r="F120" s="184" t="s">
        <v>1384</v>
      </c>
      <c r="G120" s="111" t="s">
        <v>846</v>
      </c>
    </row>
    <row r="121" spans="2:7" ht="14.45" customHeight="1" x14ac:dyDescent="0.2">
      <c r="B121" s="30" t="s">
        <v>1724</v>
      </c>
      <c r="C121" s="106" t="s">
        <v>1735</v>
      </c>
      <c r="D121" s="183" t="s">
        <v>14</v>
      </c>
      <c r="E121" s="184"/>
      <c r="F121" s="184" t="s">
        <v>1384</v>
      </c>
      <c r="G121" s="111" t="s">
        <v>936</v>
      </c>
    </row>
    <row r="122" spans="2:7" ht="14.45" customHeight="1" x14ac:dyDescent="0.2">
      <c r="B122" s="30" t="s">
        <v>1724</v>
      </c>
      <c r="C122" s="106" t="s">
        <v>1735</v>
      </c>
      <c r="D122" s="183" t="s">
        <v>15</v>
      </c>
      <c r="E122" s="184"/>
      <c r="F122" s="184" t="s">
        <v>1384</v>
      </c>
      <c r="G122" s="111" t="s">
        <v>937</v>
      </c>
    </row>
    <row r="123" spans="2:7" ht="14.45" customHeight="1" x14ac:dyDescent="0.2">
      <c r="B123" s="30" t="s">
        <v>1724</v>
      </c>
      <c r="C123" s="106" t="s">
        <v>1735</v>
      </c>
      <c r="D123" s="183" t="s">
        <v>268</v>
      </c>
      <c r="E123" s="184"/>
      <c r="F123" s="184" t="s">
        <v>1384</v>
      </c>
      <c r="G123" s="243" t="s">
        <v>847</v>
      </c>
    </row>
    <row r="124" spans="2:7" ht="14.45" customHeight="1" x14ac:dyDescent="0.2">
      <c r="B124" s="30" t="s">
        <v>1724</v>
      </c>
      <c r="C124" s="106" t="s">
        <v>1735</v>
      </c>
      <c r="D124" s="183" t="s">
        <v>267</v>
      </c>
      <c r="E124" s="184"/>
      <c r="F124" s="184" t="s">
        <v>1384</v>
      </c>
      <c r="G124" s="111" t="s">
        <v>848</v>
      </c>
    </row>
    <row r="125" spans="2:7" ht="14.45" customHeight="1" x14ac:dyDescent="0.2">
      <c r="B125" s="30" t="s">
        <v>1724</v>
      </c>
      <c r="C125" s="106" t="s">
        <v>1735</v>
      </c>
      <c r="D125" s="183" t="s">
        <v>269</v>
      </c>
      <c r="E125" s="184"/>
      <c r="F125" s="184" t="s">
        <v>1384</v>
      </c>
      <c r="G125" s="111" t="s">
        <v>849</v>
      </c>
    </row>
    <row r="126" spans="2:7" ht="14.45" customHeight="1" x14ac:dyDescent="0.2">
      <c r="B126" s="30" t="s">
        <v>1724</v>
      </c>
      <c r="C126" s="106" t="s">
        <v>1735</v>
      </c>
      <c r="D126" s="183" t="s">
        <v>11</v>
      </c>
      <c r="E126" s="184"/>
      <c r="F126" s="184" t="s">
        <v>1384</v>
      </c>
      <c r="G126" s="111" t="s">
        <v>850</v>
      </c>
    </row>
    <row r="127" spans="2:7" ht="14.45" customHeight="1" x14ac:dyDescent="0.2">
      <c r="B127" s="30" t="s">
        <v>1724</v>
      </c>
      <c r="C127" s="118" t="s">
        <v>1735</v>
      </c>
      <c r="D127" s="185" t="s">
        <v>12</v>
      </c>
      <c r="E127" s="186"/>
      <c r="F127" s="186" t="s">
        <v>1384</v>
      </c>
      <c r="G127" s="187" t="s">
        <v>851</v>
      </c>
    </row>
    <row r="128" spans="2:7" ht="14.45" customHeight="1" x14ac:dyDescent="0.2">
      <c r="B128" s="30" t="s">
        <v>1724</v>
      </c>
      <c r="C128" s="94" t="s">
        <v>1750</v>
      </c>
      <c r="D128" s="188" t="s">
        <v>14</v>
      </c>
      <c r="E128" s="189"/>
      <c r="F128" s="189" t="s">
        <v>1384</v>
      </c>
      <c r="G128" s="190" t="s">
        <v>817</v>
      </c>
    </row>
    <row r="129" spans="2:7" ht="14.45" customHeight="1" x14ac:dyDescent="0.2">
      <c r="B129" s="30" t="s">
        <v>1724</v>
      </c>
      <c r="C129" s="106" t="s">
        <v>1750</v>
      </c>
      <c r="D129" s="183" t="s">
        <v>679</v>
      </c>
      <c r="E129" s="184"/>
      <c r="F129" s="184" t="s">
        <v>1384</v>
      </c>
      <c r="G129" s="111" t="s">
        <v>691</v>
      </c>
    </row>
    <row r="130" spans="2:7" ht="14.45" customHeight="1" x14ac:dyDescent="0.2">
      <c r="B130" s="30" t="s">
        <v>1724</v>
      </c>
      <c r="C130" s="106" t="s">
        <v>1750</v>
      </c>
      <c r="D130" s="183" t="s">
        <v>680</v>
      </c>
      <c r="E130" s="184"/>
      <c r="F130" s="184" t="s">
        <v>1384</v>
      </c>
      <c r="G130" s="111" t="s">
        <v>692</v>
      </c>
    </row>
    <row r="131" spans="2:7" ht="14.45" customHeight="1" x14ac:dyDescent="0.2">
      <c r="B131" s="30" t="s">
        <v>1724</v>
      </c>
      <c r="C131" s="106" t="s">
        <v>1750</v>
      </c>
      <c r="D131" s="183" t="s">
        <v>681</v>
      </c>
      <c r="E131" s="184"/>
      <c r="F131" s="184" t="s">
        <v>1384</v>
      </c>
      <c r="G131" s="111" t="s">
        <v>693</v>
      </c>
    </row>
    <row r="132" spans="2:7" ht="14.45" customHeight="1" x14ac:dyDescent="0.2">
      <c r="B132" s="30" t="s">
        <v>1724</v>
      </c>
      <c r="C132" s="106" t="s">
        <v>1750</v>
      </c>
      <c r="D132" s="183" t="s">
        <v>682</v>
      </c>
      <c r="E132" s="184"/>
      <c r="F132" s="184" t="s">
        <v>1384</v>
      </c>
      <c r="G132" s="111" t="s">
        <v>694</v>
      </c>
    </row>
    <row r="133" spans="2:7" ht="14.45" customHeight="1" x14ac:dyDescent="0.2">
      <c r="B133" s="30" t="s">
        <v>1724</v>
      </c>
      <c r="C133" s="106" t="s">
        <v>1750</v>
      </c>
      <c r="D133" s="183" t="s">
        <v>683</v>
      </c>
      <c r="E133" s="184"/>
      <c r="F133" s="184" t="s">
        <v>1384</v>
      </c>
      <c r="G133" s="111" t="s">
        <v>278</v>
      </c>
    </row>
    <row r="134" spans="2:7" ht="14.45" customHeight="1" x14ac:dyDescent="0.2">
      <c r="B134" s="30" t="s">
        <v>1724</v>
      </c>
      <c r="C134" s="106" t="s">
        <v>1750</v>
      </c>
      <c r="D134" s="183" t="s">
        <v>684</v>
      </c>
      <c r="E134" s="184"/>
      <c r="F134" s="184" t="s">
        <v>1384</v>
      </c>
      <c r="G134" s="111" t="s">
        <v>938</v>
      </c>
    </row>
    <row r="135" spans="2:7" ht="14.45" customHeight="1" x14ac:dyDescent="0.2">
      <c r="B135" s="30" t="s">
        <v>1724</v>
      </c>
      <c r="C135" s="106" t="s">
        <v>1750</v>
      </c>
      <c r="D135" s="183" t="s">
        <v>685</v>
      </c>
      <c r="E135" s="184"/>
      <c r="F135" s="184" t="s">
        <v>1384</v>
      </c>
      <c r="G135" s="111" t="s">
        <v>852</v>
      </c>
    </row>
    <row r="136" spans="2:7" ht="14.45" customHeight="1" x14ac:dyDescent="0.2">
      <c r="B136" s="30" t="s">
        <v>1724</v>
      </c>
      <c r="C136" s="106" t="s">
        <v>1750</v>
      </c>
      <c r="D136" s="183" t="s">
        <v>686</v>
      </c>
      <c r="E136" s="184"/>
      <c r="F136" s="184" t="s">
        <v>1384</v>
      </c>
      <c r="G136" s="111" t="s">
        <v>939</v>
      </c>
    </row>
    <row r="137" spans="2:7" ht="14.45" customHeight="1" x14ac:dyDescent="0.2">
      <c r="B137" s="30" t="s">
        <v>1724</v>
      </c>
      <c r="C137" s="106" t="s">
        <v>1750</v>
      </c>
      <c r="D137" s="183" t="s">
        <v>15</v>
      </c>
      <c r="E137" s="184"/>
      <c r="F137" s="184" t="s">
        <v>1384</v>
      </c>
      <c r="G137" s="111" t="s">
        <v>818</v>
      </c>
    </row>
    <row r="138" spans="2:7" ht="14.45" customHeight="1" x14ac:dyDescent="0.2">
      <c r="B138" s="30" t="s">
        <v>1724</v>
      </c>
      <c r="C138" s="106" t="s">
        <v>1750</v>
      </c>
      <c r="D138" s="183" t="s">
        <v>687</v>
      </c>
      <c r="E138" s="184"/>
      <c r="F138" s="184" t="s">
        <v>1384</v>
      </c>
      <c r="G138" s="111" t="s">
        <v>853</v>
      </c>
    </row>
    <row r="139" spans="2:7" ht="14.45" customHeight="1" x14ac:dyDescent="0.2">
      <c r="B139" s="30" t="s">
        <v>1724</v>
      </c>
      <c r="C139" s="106" t="s">
        <v>1750</v>
      </c>
      <c r="D139" s="183" t="s">
        <v>688</v>
      </c>
      <c r="E139" s="184"/>
      <c r="F139" s="184" t="s">
        <v>1384</v>
      </c>
      <c r="G139" s="111" t="s">
        <v>854</v>
      </c>
    </row>
    <row r="140" spans="2:7" ht="14.45" customHeight="1" x14ac:dyDescent="0.2">
      <c r="B140" s="30" t="s">
        <v>1724</v>
      </c>
      <c r="C140" s="106" t="s">
        <v>1750</v>
      </c>
      <c r="D140" s="183" t="s">
        <v>689</v>
      </c>
      <c r="E140" s="184"/>
      <c r="F140" s="184" t="s">
        <v>1384</v>
      </c>
      <c r="G140" s="111" t="s">
        <v>855</v>
      </c>
    </row>
    <row r="141" spans="2:7" ht="14.45" customHeight="1" x14ac:dyDescent="0.2">
      <c r="B141" s="30" t="s">
        <v>1724</v>
      </c>
      <c r="C141" s="118" t="s">
        <v>1750</v>
      </c>
      <c r="D141" s="185" t="s">
        <v>690</v>
      </c>
      <c r="E141" s="186"/>
      <c r="F141" s="186" t="s">
        <v>1384</v>
      </c>
      <c r="G141" s="187" t="s">
        <v>856</v>
      </c>
    </row>
    <row r="142" spans="2:7" ht="14.45" customHeight="1" x14ac:dyDescent="0.2">
      <c r="B142" s="30" t="s">
        <v>1724</v>
      </c>
      <c r="C142" s="94" t="s">
        <v>1762</v>
      </c>
      <c r="D142" s="188" t="s">
        <v>11</v>
      </c>
      <c r="E142" s="189"/>
      <c r="F142" s="189" t="s">
        <v>1384</v>
      </c>
      <c r="G142" s="190" t="s">
        <v>857</v>
      </c>
    </row>
    <row r="143" spans="2:7" ht="14.45" customHeight="1" x14ac:dyDescent="0.2">
      <c r="B143" s="30" t="s">
        <v>1724</v>
      </c>
      <c r="C143" s="106" t="s">
        <v>1762</v>
      </c>
      <c r="D143" s="183" t="s">
        <v>12</v>
      </c>
      <c r="E143" s="184"/>
      <c r="F143" s="184" t="s">
        <v>1384</v>
      </c>
      <c r="G143" s="111" t="s">
        <v>858</v>
      </c>
    </row>
    <row r="144" spans="2:7" ht="14.45" customHeight="1" x14ac:dyDescent="0.2">
      <c r="B144" s="30" t="s">
        <v>1724</v>
      </c>
      <c r="C144" s="106" t="s">
        <v>1762</v>
      </c>
      <c r="D144" s="183" t="s">
        <v>859</v>
      </c>
      <c r="E144" s="184"/>
      <c r="F144" s="184" t="s">
        <v>1384</v>
      </c>
      <c r="G144" s="111" t="s">
        <v>953</v>
      </c>
    </row>
    <row r="145" spans="2:7" ht="14.45" customHeight="1" x14ac:dyDescent="0.2">
      <c r="B145" s="30" t="s">
        <v>1724</v>
      </c>
      <c r="C145" s="118" t="s">
        <v>1762</v>
      </c>
      <c r="D145" s="185" t="s">
        <v>860</v>
      </c>
      <c r="E145" s="186"/>
      <c r="F145" s="186" t="s">
        <v>1384</v>
      </c>
      <c r="G145" s="187" t="s">
        <v>940</v>
      </c>
    </row>
    <row r="146" spans="2:7" ht="14.45" customHeight="1" x14ac:dyDescent="0.2">
      <c r="B146" s="30" t="s">
        <v>1724</v>
      </c>
      <c r="C146" s="94" t="s">
        <v>1771</v>
      </c>
      <c r="D146" s="188" t="s">
        <v>270</v>
      </c>
      <c r="E146" s="189"/>
      <c r="F146" s="189" t="s">
        <v>1384</v>
      </c>
      <c r="G146" s="190" t="s">
        <v>753</v>
      </c>
    </row>
    <row r="147" spans="2:7" ht="14.45" customHeight="1" x14ac:dyDescent="0.2">
      <c r="B147" s="30" t="s">
        <v>1724</v>
      </c>
      <c r="C147" s="106" t="s">
        <v>1771</v>
      </c>
      <c r="D147" s="183" t="s">
        <v>271</v>
      </c>
      <c r="E147" s="184"/>
      <c r="F147" s="184" t="s">
        <v>1384</v>
      </c>
      <c r="G147" s="111" t="s">
        <v>754</v>
      </c>
    </row>
    <row r="148" spans="2:7" ht="14.45" customHeight="1" x14ac:dyDescent="0.2">
      <c r="B148" s="30" t="s">
        <v>1724</v>
      </c>
      <c r="C148" s="106" t="s">
        <v>1771</v>
      </c>
      <c r="D148" s="183" t="s">
        <v>272</v>
      </c>
      <c r="E148" s="184"/>
      <c r="F148" s="184" t="s">
        <v>1384</v>
      </c>
      <c r="G148" s="111" t="s">
        <v>755</v>
      </c>
    </row>
    <row r="149" spans="2:7" ht="14.45" customHeight="1" thickBot="1" x14ac:dyDescent="0.25">
      <c r="B149" s="43" t="s">
        <v>1724</v>
      </c>
      <c r="C149" s="130" t="s">
        <v>1771</v>
      </c>
      <c r="D149" s="185" t="s">
        <v>273</v>
      </c>
      <c r="E149" s="186"/>
      <c r="F149" s="186" t="s">
        <v>1384</v>
      </c>
      <c r="G149" s="187" t="s">
        <v>756</v>
      </c>
    </row>
    <row r="150" spans="2:7" ht="14.45" customHeight="1" x14ac:dyDescent="0.2">
      <c r="B150" s="179" t="s">
        <v>1726</v>
      </c>
      <c r="C150" s="142" t="s">
        <v>1736</v>
      </c>
      <c r="D150" s="180" t="s">
        <v>43</v>
      </c>
      <c r="E150" s="181"/>
      <c r="F150" s="181" t="s">
        <v>1384</v>
      </c>
      <c r="G150" s="182" t="s">
        <v>861</v>
      </c>
    </row>
    <row r="151" spans="2:7" ht="14.45" customHeight="1" x14ac:dyDescent="0.2">
      <c r="B151" s="30" t="s">
        <v>1726</v>
      </c>
      <c r="C151" s="106" t="s">
        <v>1736</v>
      </c>
      <c r="D151" s="183" t="s">
        <v>44</v>
      </c>
      <c r="E151" s="184"/>
      <c r="F151" s="184" t="s">
        <v>1384</v>
      </c>
      <c r="G151" s="111" t="s">
        <v>874</v>
      </c>
    </row>
    <row r="152" spans="2:7" ht="14.45" customHeight="1" x14ac:dyDescent="0.2">
      <c r="B152" s="30" t="s">
        <v>1726</v>
      </c>
      <c r="C152" s="106" t="s">
        <v>1736</v>
      </c>
      <c r="D152" s="183" t="s">
        <v>286</v>
      </c>
      <c r="E152" s="184"/>
      <c r="F152" s="184" t="s">
        <v>1384</v>
      </c>
      <c r="G152" s="111" t="s">
        <v>875</v>
      </c>
    </row>
    <row r="153" spans="2:7" ht="14.45" customHeight="1" x14ac:dyDescent="0.2">
      <c r="B153" s="30" t="s">
        <v>1726</v>
      </c>
      <c r="C153" s="106" t="s">
        <v>1736</v>
      </c>
      <c r="D153" s="183" t="s">
        <v>711</v>
      </c>
      <c r="E153" s="184"/>
      <c r="F153" s="184" t="s">
        <v>1384</v>
      </c>
      <c r="G153" s="111" t="s">
        <v>862</v>
      </c>
    </row>
    <row r="154" spans="2:7" ht="14.45" customHeight="1" x14ac:dyDescent="0.2">
      <c r="B154" s="30" t="s">
        <v>1726</v>
      </c>
      <c r="C154" s="106" t="s">
        <v>1736</v>
      </c>
      <c r="D154" s="183" t="s">
        <v>712</v>
      </c>
      <c r="E154" s="184"/>
      <c r="F154" s="184" t="s">
        <v>1384</v>
      </c>
      <c r="G154" s="111" t="s">
        <v>863</v>
      </c>
    </row>
    <row r="155" spans="2:7" ht="14.45" customHeight="1" x14ac:dyDescent="0.2">
      <c r="B155" s="30" t="s">
        <v>1726</v>
      </c>
      <c r="C155" s="106" t="s">
        <v>1736</v>
      </c>
      <c r="D155" s="183" t="s">
        <v>713</v>
      </c>
      <c r="E155" s="184"/>
      <c r="F155" s="184" t="s">
        <v>1384</v>
      </c>
      <c r="G155" s="111" t="s">
        <v>864</v>
      </c>
    </row>
    <row r="156" spans="2:7" ht="14.45" customHeight="1" x14ac:dyDescent="0.2">
      <c r="B156" s="30" t="s">
        <v>1726</v>
      </c>
      <c r="C156" s="106" t="s">
        <v>1736</v>
      </c>
      <c r="D156" s="183" t="s">
        <v>714</v>
      </c>
      <c r="E156" s="184"/>
      <c r="F156" s="184" t="s">
        <v>1384</v>
      </c>
      <c r="G156" s="111" t="s">
        <v>865</v>
      </c>
    </row>
    <row r="157" spans="2:7" ht="14.45" customHeight="1" x14ac:dyDescent="0.2">
      <c r="B157" s="30" t="s">
        <v>1726</v>
      </c>
      <c r="C157" s="106" t="s">
        <v>1736</v>
      </c>
      <c r="D157" s="183" t="s">
        <v>715</v>
      </c>
      <c r="E157" s="184"/>
      <c r="F157" s="184" t="s">
        <v>1384</v>
      </c>
      <c r="G157" s="111" t="s">
        <v>866</v>
      </c>
    </row>
    <row r="158" spans="2:7" ht="14.45" customHeight="1" x14ac:dyDescent="0.2">
      <c r="B158" s="30" t="s">
        <v>1726</v>
      </c>
      <c r="C158" s="106" t="s">
        <v>1736</v>
      </c>
      <c r="D158" s="183" t="s">
        <v>716</v>
      </c>
      <c r="E158" s="184"/>
      <c r="F158" s="184" t="s">
        <v>1384</v>
      </c>
      <c r="G158" s="111" t="s">
        <v>867</v>
      </c>
    </row>
    <row r="159" spans="2:7" ht="14.45" customHeight="1" x14ac:dyDescent="0.2">
      <c r="B159" s="30" t="s">
        <v>1726</v>
      </c>
      <c r="C159" s="106" t="s">
        <v>1736</v>
      </c>
      <c r="D159" s="183" t="s">
        <v>717</v>
      </c>
      <c r="E159" s="184"/>
      <c r="F159" s="184" t="s">
        <v>1384</v>
      </c>
      <c r="G159" s="111" t="s">
        <v>868</v>
      </c>
    </row>
    <row r="160" spans="2:7" ht="14.45" customHeight="1" x14ac:dyDescent="0.2">
      <c r="B160" s="30" t="s">
        <v>1726</v>
      </c>
      <c r="C160" s="106" t="s">
        <v>1736</v>
      </c>
      <c r="D160" s="183" t="s">
        <v>718</v>
      </c>
      <c r="E160" s="184"/>
      <c r="F160" s="184" t="s">
        <v>1384</v>
      </c>
      <c r="G160" s="111" t="s">
        <v>869</v>
      </c>
    </row>
    <row r="161" spans="2:7" ht="14.45" customHeight="1" x14ac:dyDescent="0.2">
      <c r="B161" s="30" t="s">
        <v>1726</v>
      </c>
      <c r="C161" s="106" t="s">
        <v>1736</v>
      </c>
      <c r="D161" s="183" t="s">
        <v>719</v>
      </c>
      <c r="E161" s="184"/>
      <c r="F161" s="184" t="s">
        <v>1384</v>
      </c>
      <c r="G161" s="111" t="s">
        <v>870</v>
      </c>
    </row>
    <row r="162" spans="2:7" ht="14.45" customHeight="1" x14ac:dyDescent="0.2">
      <c r="B162" s="30" t="s">
        <v>1726</v>
      </c>
      <c r="C162" s="106" t="s">
        <v>1736</v>
      </c>
      <c r="D162" s="183" t="s">
        <v>720</v>
      </c>
      <c r="E162" s="184"/>
      <c r="F162" s="184" t="s">
        <v>1384</v>
      </c>
      <c r="G162" s="111" t="s">
        <v>871</v>
      </c>
    </row>
    <row r="163" spans="2:7" ht="14.45" customHeight="1" x14ac:dyDescent="0.2">
      <c r="B163" s="30" t="s">
        <v>1726</v>
      </c>
      <c r="C163" s="118" t="s">
        <v>1736</v>
      </c>
      <c r="D163" s="185" t="s">
        <v>721</v>
      </c>
      <c r="E163" s="186"/>
      <c r="F163" s="186" t="s">
        <v>1384</v>
      </c>
      <c r="G163" s="187" t="s">
        <v>872</v>
      </c>
    </row>
    <row r="164" spans="2:7" ht="14.45" customHeight="1" x14ac:dyDescent="0.2">
      <c r="B164" s="30" t="s">
        <v>1726</v>
      </c>
      <c r="C164" s="94" t="s">
        <v>1751</v>
      </c>
      <c r="D164" s="188" t="s">
        <v>722</v>
      </c>
      <c r="E164" s="189"/>
      <c r="F164" s="189" t="s">
        <v>1384</v>
      </c>
      <c r="G164" s="190" t="s">
        <v>873</v>
      </c>
    </row>
    <row r="165" spans="2:7" ht="14.45" customHeight="1" x14ac:dyDescent="0.2">
      <c r="B165" s="30" t="s">
        <v>1726</v>
      </c>
      <c r="C165" s="106" t="s">
        <v>1751</v>
      </c>
      <c r="D165" s="183" t="s">
        <v>723</v>
      </c>
      <c r="E165" s="184"/>
      <c r="F165" s="184" t="s">
        <v>1384</v>
      </c>
      <c r="G165" s="111" t="s">
        <v>876</v>
      </c>
    </row>
    <row r="166" spans="2:7" ht="14.45" customHeight="1" x14ac:dyDescent="0.2">
      <c r="B166" s="30" t="s">
        <v>1726</v>
      </c>
      <c r="C166" s="106" t="s">
        <v>1751</v>
      </c>
      <c r="D166" s="183" t="s">
        <v>724</v>
      </c>
      <c r="E166" s="184"/>
      <c r="F166" s="184" t="s">
        <v>1384</v>
      </c>
      <c r="G166" s="111" t="s">
        <v>879</v>
      </c>
    </row>
    <row r="167" spans="2:7" ht="14.45" customHeight="1" x14ac:dyDescent="0.2">
      <c r="B167" s="30" t="s">
        <v>1726</v>
      </c>
      <c r="C167" s="106" t="s">
        <v>1751</v>
      </c>
      <c r="D167" s="183" t="s">
        <v>725</v>
      </c>
      <c r="E167" s="184"/>
      <c r="F167" s="184" t="s">
        <v>1384</v>
      </c>
      <c r="G167" s="111" t="s">
        <v>877</v>
      </c>
    </row>
    <row r="168" spans="2:7" ht="14.45" customHeight="1" x14ac:dyDescent="0.2">
      <c r="B168" s="30" t="s">
        <v>1726</v>
      </c>
      <c r="C168" s="118" t="s">
        <v>1751</v>
      </c>
      <c r="D168" s="191" t="s">
        <v>726</v>
      </c>
      <c r="E168" s="192"/>
      <c r="F168" s="192" t="s">
        <v>1384</v>
      </c>
      <c r="G168" s="123" t="s">
        <v>878</v>
      </c>
    </row>
    <row r="169" spans="2:7" ht="14.45" customHeight="1" x14ac:dyDescent="0.2">
      <c r="B169" s="30" t="s">
        <v>1726</v>
      </c>
      <c r="C169" s="197" t="s">
        <v>1763</v>
      </c>
      <c r="D169" s="198" t="s">
        <v>727</v>
      </c>
      <c r="E169" s="195"/>
      <c r="F169" s="195" t="s">
        <v>1384</v>
      </c>
      <c r="G169" s="196" t="s">
        <v>880</v>
      </c>
    </row>
    <row r="170" spans="2:7" ht="14.45" customHeight="1" x14ac:dyDescent="0.2">
      <c r="B170" s="30" t="s">
        <v>1726</v>
      </c>
      <c r="C170" s="94" t="s">
        <v>1772</v>
      </c>
      <c r="D170" s="188" t="s">
        <v>728</v>
      </c>
      <c r="E170" s="189"/>
      <c r="F170" s="189" t="s">
        <v>1384</v>
      </c>
      <c r="G170" s="190" t="s">
        <v>881</v>
      </c>
    </row>
    <row r="171" spans="2:7" ht="14.45" customHeight="1" x14ac:dyDescent="0.2">
      <c r="B171" s="30" t="s">
        <v>1726</v>
      </c>
      <c r="C171" s="106" t="s">
        <v>1772</v>
      </c>
      <c r="D171" s="183" t="s">
        <v>887</v>
      </c>
      <c r="E171" s="184"/>
      <c r="F171" s="184" t="s">
        <v>1384</v>
      </c>
      <c r="G171" s="111" t="s">
        <v>882</v>
      </c>
    </row>
    <row r="172" spans="2:7" ht="14.45" customHeight="1" x14ac:dyDescent="0.2">
      <c r="B172" s="30" t="s">
        <v>1726</v>
      </c>
      <c r="C172" s="106" t="s">
        <v>1772</v>
      </c>
      <c r="D172" s="183" t="s">
        <v>888</v>
      </c>
      <c r="E172" s="184"/>
      <c r="F172" s="184" t="s">
        <v>1384</v>
      </c>
      <c r="G172" s="111" t="s">
        <v>883</v>
      </c>
    </row>
    <row r="173" spans="2:7" ht="14.45" customHeight="1" x14ac:dyDescent="0.2">
      <c r="B173" s="30" t="s">
        <v>1726</v>
      </c>
      <c r="C173" s="106" t="s">
        <v>1772</v>
      </c>
      <c r="D173" s="183" t="s">
        <v>889</v>
      </c>
      <c r="E173" s="184"/>
      <c r="F173" s="184" t="s">
        <v>1384</v>
      </c>
      <c r="G173" s="111" t="s">
        <v>884</v>
      </c>
    </row>
    <row r="174" spans="2:7" ht="14.45" customHeight="1" x14ac:dyDescent="0.2">
      <c r="B174" s="30" t="s">
        <v>1726</v>
      </c>
      <c r="C174" s="106" t="s">
        <v>1772</v>
      </c>
      <c r="D174" s="183" t="s">
        <v>890</v>
      </c>
      <c r="E174" s="184"/>
      <c r="F174" s="184" t="s">
        <v>1384</v>
      </c>
      <c r="G174" s="111" t="s">
        <v>885</v>
      </c>
    </row>
    <row r="175" spans="2:7" ht="14.45" customHeight="1" x14ac:dyDescent="0.2">
      <c r="B175" s="30" t="s">
        <v>1726</v>
      </c>
      <c r="C175" s="118" t="s">
        <v>1772</v>
      </c>
      <c r="D175" s="185" t="s">
        <v>891</v>
      </c>
      <c r="E175" s="186"/>
      <c r="F175" s="186" t="s">
        <v>1384</v>
      </c>
      <c r="G175" s="187" t="s">
        <v>886</v>
      </c>
    </row>
    <row r="176" spans="2:7" ht="14.45" customHeight="1" x14ac:dyDescent="0.2">
      <c r="B176" s="30" t="s">
        <v>1726</v>
      </c>
      <c r="C176" s="94" t="s">
        <v>1777</v>
      </c>
      <c r="D176" s="188" t="s">
        <v>729</v>
      </c>
      <c r="E176" s="189"/>
      <c r="F176" s="189" t="s">
        <v>1384</v>
      </c>
      <c r="G176" s="190" t="s">
        <v>892</v>
      </c>
    </row>
    <row r="177" spans="2:7" ht="14.45" customHeight="1" x14ac:dyDescent="0.2">
      <c r="B177" s="30" t="s">
        <v>1726</v>
      </c>
      <c r="C177" s="106" t="s">
        <v>1777</v>
      </c>
      <c r="D177" s="183" t="s">
        <v>730</v>
      </c>
      <c r="E177" s="184"/>
      <c r="F177" s="184" t="s">
        <v>1384</v>
      </c>
      <c r="G177" s="111" t="s">
        <v>893</v>
      </c>
    </row>
    <row r="178" spans="2:7" ht="14.45" customHeight="1" x14ac:dyDescent="0.2">
      <c r="B178" s="30" t="s">
        <v>1726</v>
      </c>
      <c r="C178" s="106" t="s">
        <v>1777</v>
      </c>
      <c r="D178" s="183" t="s">
        <v>731</v>
      </c>
      <c r="E178" s="184"/>
      <c r="F178" s="184" t="s">
        <v>1384</v>
      </c>
      <c r="G178" s="111" t="s">
        <v>894</v>
      </c>
    </row>
    <row r="179" spans="2:7" ht="14.45" customHeight="1" x14ac:dyDescent="0.2">
      <c r="B179" s="30" t="s">
        <v>1726</v>
      </c>
      <c r="C179" s="118" t="s">
        <v>1777</v>
      </c>
      <c r="D179" s="191" t="s">
        <v>732</v>
      </c>
      <c r="E179" s="192"/>
      <c r="F179" s="192" t="s">
        <v>1384</v>
      </c>
      <c r="G179" s="123" t="s">
        <v>895</v>
      </c>
    </row>
    <row r="180" spans="2:7" ht="14.45" customHeight="1" x14ac:dyDescent="0.2">
      <c r="B180" s="30" t="s">
        <v>1726</v>
      </c>
      <c r="C180" s="197" t="s">
        <v>1780</v>
      </c>
      <c r="D180" s="198" t="s">
        <v>719</v>
      </c>
      <c r="E180" s="195"/>
      <c r="F180" s="195" t="s">
        <v>1384</v>
      </c>
      <c r="G180" s="196" t="s">
        <v>896</v>
      </c>
    </row>
    <row r="181" spans="2:7" ht="14.45" customHeight="1" x14ac:dyDescent="0.2">
      <c r="B181" s="30" t="s">
        <v>1726</v>
      </c>
      <c r="C181" s="94" t="s">
        <v>1782</v>
      </c>
      <c r="D181" s="188" t="s">
        <v>22</v>
      </c>
      <c r="E181" s="189"/>
      <c r="F181" s="189" t="s">
        <v>1384</v>
      </c>
      <c r="G181" s="190" t="s">
        <v>897</v>
      </c>
    </row>
    <row r="182" spans="2:7" ht="14.45" customHeight="1" x14ac:dyDescent="0.2">
      <c r="B182" s="30" t="s">
        <v>1726</v>
      </c>
      <c r="C182" s="106" t="s">
        <v>1782</v>
      </c>
      <c r="D182" s="183" t="s">
        <v>45</v>
      </c>
      <c r="E182" s="184"/>
      <c r="F182" s="184" t="s">
        <v>1384</v>
      </c>
      <c r="G182" s="111" t="s">
        <v>898</v>
      </c>
    </row>
    <row r="183" spans="2:7" ht="14.45" customHeight="1" x14ac:dyDescent="0.2">
      <c r="B183" s="30" t="s">
        <v>1726</v>
      </c>
      <c r="C183" s="118" t="s">
        <v>1782</v>
      </c>
      <c r="D183" s="185" t="s">
        <v>46</v>
      </c>
      <c r="E183" s="186"/>
      <c r="F183" s="186" t="s">
        <v>1384</v>
      </c>
      <c r="G183" s="187" t="s">
        <v>899</v>
      </c>
    </row>
    <row r="184" spans="2:7" ht="14.45" customHeight="1" x14ac:dyDescent="0.2">
      <c r="B184" s="30" t="s">
        <v>1726</v>
      </c>
      <c r="C184" s="94" t="s">
        <v>1784</v>
      </c>
      <c r="D184" s="188" t="s">
        <v>279</v>
      </c>
      <c r="E184" s="189"/>
      <c r="F184" s="189" t="s">
        <v>1384</v>
      </c>
      <c r="G184" s="190" t="s">
        <v>280</v>
      </c>
    </row>
    <row r="185" spans="2:7" ht="14.45" customHeight="1" x14ac:dyDescent="0.2">
      <c r="B185" s="30" t="s">
        <v>1726</v>
      </c>
      <c r="C185" s="106" t="s">
        <v>1784</v>
      </c>
      <c r="D185" s="183" t="s">
        <v>717</v>
      </c>
      <c r="E185" s="184"/>
      <c r="F185" s="184" t="s">
        <v>1384</v>
      </c>
      <c r="G185" s="111" t="s">
        <v>294</v>
      </c>
    </row>
    <row r="186" spans="2:7" ht="14.45" customHeight="1" x14ac:dyDescent="0.2">
      <c r="B186" s="30" t="s">
        <v>1726</v>
      </c>
      <c r="C186" s="106" t="s">
        <v>1784</v>
      </c>
      <c r="D186" s="183" t="s">
        <v>718</v>
      </c>
      <c r="E186" s="184"/>
      <c r="F186" s="184" t="s">
        <v>1384</v>
      </c>
      <c r="G186" s="111" t="s">
        <v>298</v>
      </c>
    </row>
    <row r="187" spans="2:7" ht="14.45" customHeight="1" x14ac:dyDescent="0.2">
      <c r="B187" s="30" t="s">
        <v>1726</v>
      </c>
      <c r="C187" s="106" t="s">
        <v>1784</v>
      </c>
      <c r="D187" s="183" t="s">
        <v>281</v>
      </c>
      <c r="E187" s="184"/>
      <c r="F187" s="184" t="s">
        <v>1384</v>
      </c>
      <c r="G187" s="111" t="s">
        <v>295</v>
      </c>
    </row>
    <row r="188" spans="2:7" ht="14.45" customHeight="1" x14ac:dyDescent="0.2">
      <c r="B188" s="30" t="s">
        <v>1726</v>
      </c>
      <c r="C188" s="106" t="s">
        <v>1784</v>
      </c>
      <c r="D188" s="183" t="s">
        <v>282</v>
      </c>
      <c r="E188" s="184"/>
      <c r="F188" s="184" t="s">
        <v>1384</v>
      </c>
      <c r="G188" s="111" t="s">
        <v>299</v>
      </c>
    </row>
    <row r="189" spans="2:7" ht="14.45" customHeight="1" x14ac:dyDescent="0.2">
      <c r="B189" s="30" t="s">
        <v>1726</v>
      </c>
      <c r="C189" s="106" t="s">
        <v>1784</v>
      </c>
      <c r="D189" s="183" t="s">
        <v>283</v>
      </c>
      <c r="E189" s="184"/>
      <c r="F189" s="184" t="s">
        <v>1384</v>
      </c>
      <c r="G189" s="111" t="s">
        <v>296</v>
      </c>
    </row>
    <row r="190" spans="2:7" ht="14.45" customHeight="1" x14ac:dyDescent="0.2">
      <c r="B190" s="30" t="s">
        <v>1726</v>
      </c>
      <c r="C190" s="118" t="s">
        <v>1784</v>
      </c>
      <c r="D190" s="185" t="s">
        <v>284</v>
      </c>
      <c r="E190" s="186"/>
      <c r="F190" s="186" t="s">
        <v>1384</v>
      </c>
      <c r="G190" s="187" t="s">
        <v>297</v>
      </c>
    </row>
    <row r="191" spans="2:7" ht="14.45" customHeight="1" x14ac:dyDescent="0.2">
      <c r="B191" s="30" t="s">
        <v>1726</v>
      </c>
      <c r="C191" s="94" t="s">
        <v>1785</v>
      </c>
      <c r="D191" s="188" t="s">
        <v>300</v>
      </c>
      <c r="E191" s="189"/>
      <c r="F191" s="189" t="s">
        <v>1384</v>
      </c>
      <c r="G191" s="190" t="s">
        <v>310</v>
      </c>
    </row>
    <row r="192" spans="2:7" ht="14.45" customHeight="1" x14ac:dyDescent="0.2">
      <c r="B192" s="30" t="s">
        <v>1726</v>
      </c>
      <c r="C192" s="106" t="s">
        <v>1785</v>
      </c>
      <c r="D192" s="183" t="s">
        <v>287</v>
      </c>
      <c r="E192" s="184"/>
      <c r="F192" s="184" t="s">
        <v>1384</v>
      </c>
      <c r="G192" s="111" t="s">
        <v>309</v>
      </c>
    </row>
    <row r="193" spans="2:7" ht="14.45" customHeight="1" x14ac:dyDescent="0.2">
      <c r="B193" s="30" t="s">
        <v>1726</v>
      </c>
      <c r="C193" s="106" t="s">
        <v>1785</v>
      </c>
      <c r="D193" s="183" t="s">
        <v>288</v>
      </c>
      <c r="E193" s="184"/>
      <c r="F193" s="184" t="s">
        <v>1384</v>
      </c>
      <c r="G193" s="111" t="s">
        <v>301</v>
      </c>
    </row>
    <row r="194" spans="2:7" ht="14.45" customHeight="1" x14ac:dyDescent="0.2">
      <c r="B194" s="30" t="s">
        <v>1726</v>
      </c>
      <c r="C194" s="106" t="s">
        <v>1785</v>
      </c>
      <c r="D194" s="183" t="s">
        <v>289</v>
      </c>
      <c r="E194" s="184"/>
      <c r="F194" s="184" t="s">
        <v>1384</v>
      </c>
      <c r="G194" s="111" t="s">
        <v>302</v>
      </c>
    </row>
    <row r="195" spans="2:7" ht="14.45" customHeight="1" x14ac:dyDescent="0.2">
      <c r="B195" s="30" t="s">
        <v>1726</v>
      </c>
      <c r="C195" s="106" t="s">
        <v>1785</v>
      </c>
      <c r="D195" s="183" t="s">
        <v>290</v>
      </c>
      <c r="E195" s="184"/>
      <c r="F195" s="184" t="s">
        <v>1384</v>
      </c>
      <c r="G195" s="111" t="s">
        <v>303</v>
      </c>
    </row>
    <row r="196" spans="2:7" ht="14.45" customHeight="1" x14ac:dyDescent="0.2">
      <c r="B196" s="30" t="s">
        <v>1726</v>
      </c>
      <c r="C196" s="106" t="s">
        <v>1785</v>
      </c>
      <c r="D196" s="183" t="s">
        <v>291</v>
      </c>
      <c r="E196" s="184"/>
      <c r="F196" s="184" t="s">
        <v>1384</v>
      </c>
      <c r="G196" s="111" t="s">
        <v>308</v>
      </c>
    </row>
    <row r="197" spans="2:7" ht="14.45" customHeight="1" x14ac:dyDescent="0.2">
      <c r="B197" s="30" t="s">
        <v>1726</v>
      </c>
      <c r="C197" s="106" t="s">
        <v>1785</v>
      </c>
      <c r="D197" s="183" t="s">
        <v>292</v>
      </c>
      <c r="E197" s="184"/>
      <c r="F197" s="184" t="s">
        <v>1384</v>
      </c>
      <c r="G197" s="111" t="s">
        <v>304</v>
      </c>
    </row>
    <row r="198" spans="2:7" ht="14.45" customHeight="1" x14ac:dyDescent="0.2">
      <c r="B198" s="30" t="s">
        <v>1726</v>
      </c>
      <c r="C198" s="106" t="s">
        <v>1785</v>
      </c>
      <c r="D198" s="183" t="s">
        <v>306</v>
      </c>
      <c r="E198" s="184"/>
      <c r="F198" s="184" t="s">
        <v>1384</v>
      </c>
      <c r="G198" s="111" t="s">
        <v>305</v>
      </c>
    </row>
    <row r="199" spans="2:7" ht="14.45" customHeight="1" thickBot="1" x14ac:dyDescent="0.25">
      <c r="B199" s="43" t="s">
        <v>1726</v>
      </c>
      <c r="C199" s="130" t="s">
        <v>1785</v>
      </c>
      <c r="D199" s="185" t="s">
        <v>293</v>
      </c>
      <c r="E199" s="186"/>
      <c r="F199" s="186" t="s">
        <v>1384</v>
      </c>
      <c r="G199" s="187" t="s">
        <v>307</v>
      </c>
    </row>
    <row r="200" spans="2:7" ht="14.45" customHeight="1" x14ac:dyDescent="0.2">
      <c r="B200" s="179" t="s">
        <v>1728</v>
      </c>
      <c r="C200" s="142" t="s">
        <v>1737</v>
      </c>
      <c r="D200" s="180" t="s">
        <v>1</v>
      </c>
      <c r="E200" s="181"/>
      <c r="F200" s="181" t="s">
        <v>1384</v>
      </c>
      <c r="G200" s="182" t="s">
        <v>757</v>
      </c>
    </row>
    <row r="201" spans="2:7" ht="14.45" customHeight="1" x14ac:dyDescent="0.2">
      <c r="B201" s="30" t="s">
        <v>1728</v>
      </c>
      <c r="C201" s="106" t="s">
        <v>1737</v>
      </c>
      <c r="D201" s="183" t="s">
        <v>17</v>
      </c>
      <c r="E201" s="184"/>
      <c r="F201" s="184" t="s">
        <v>1384</v>
      </c>
      <c r="G201" s="111" t="s">
        <v>311</v>
      </c>
    </row>
    <row r="202" spans="2:7" ht="14.45" customHeight="1" x14ac:dyDescent="0.2">
      <c r="B202" s="30" t="s">
        <v>1728</v>
      </c>
      <c r="C202" s="106" t="s">
        <v>1737</v>
      </c>
      <c r="D202" s="183" t="s">
        <v>312</v>
      </c>
      <c r="E202" s="184"/>
      <c r="F202" s="184" t="s">
        <v>1384</v>
      </c>
      <c r="G202" s="111" t="s">
        <v>327</v>
      </c>
    </row>
    <row r="203" spans="2:7" ht="14.45" customHeight="1" x14ac:dyDescent="0.2">
      <c r="B203" s="30" t="s">
        <v>1728</v>
      </c>
      <c r="C203" s="106" t="s">
        <v>1737</v>
      </c>
      <c r="D203" s="183" t="s">
        <v>313</v>
      </c>
      <c r="E203" s="184"/>
      <c r="F203" s="184" t="s">
        <v>1384</v>
      </c>
      <c r="G203" s="111" t="s">
        <v>325</v>
      </c>
    </row>
    <row r="204" spans="2:7" ht="14.45" customHeight="1" x14ac:dyDescent="0.2">
      <c r="B204" s="30" t="s">
        <v>1728</v>
      </c>
      <c r="C204" s="106" t="s">
        <v>1737</v>
      </c>
      <c r="D204" s="183" t="s">
        <v>314</v>
      </c>
      <c r="E204" s="184"/>
      <c r="F204" s="184" t="s">
        <v>1384</v>
      </c>
      <c r="G204" s="111" t="s">
        <v>326</v>
      </c>
    </row>
    <row r="205" spans="2:7" ht="14.45" customHeight="1" x14ac:dyDescent="0.2">
      <c r="B205" s="30" t="s">
        <v>1728</v>
      </c>
      <c r="C205" s="106" t="s">
        <v>1737</v>
      </c>
      <c r="D205" s="183" t="s">
        <v>318</v>
      </c>
      <c r="E205" s="184"/>
      <c r="F205" s="184" t="s">
        <v>1384</v>
      </c>
      <c r="G205" s="111" t="s">
        <v>759</v>
      </c>
    </row>
    <row r="206" spans="2:7" ht="14.45" customHeight="1" x14ac:dyDescent="0.2">
      <c r="B206" s="30" t="s">
        <v>1728</v>
      </c>
      <c r="C206" s="106" t="s">
        <v>1737</v>
      </c>
      <c r="D206" s="183" t="s">
        <v>319</v>
      </c>
      <c r="E206" s="184"/>
      <c r="F206" s="184" t="s">
        <v>1384</v>
      </c>
      <c r="G206" s="111" t="s">
        <v>760</v>
      </c>
    </row>
    <row r="207" spans="2:7" ht="14.45" customHeight="1" x14ac:dyDescent="0.2">
      <c r="B207" s="30" t="s">
        <v>1728</v>
      </c>
      <c r="C207" s="118" t="s">
        <v>1737</v>
      </c>
      <c r="D207" s="185" t="s">
        <v>320</v>
      </c>
      <c r="E207" s="186"/>
      <c r="F207" s="186" t="s">
        <v>1384</v>
      </c>
      <c r="G207" s="187" t="s">
        <v>761</v>
      </c>
    </row>
    <row r="208" spans="2:7" ht="14.45" customHeight="1" x14ac:dyDescent="0.2">
      <c r="B208" s="30" t="s">
        <v>1728</v>
      </c>
      <c r="C208" s="94" t="s">
        <v>1752</v>
      </c>
      <c r="D208" s="188" t="s">
        <v>2</v>
      </c>
      <c r="E208" s="189"/>
      <c r="F208" s="189" t="s">
        <v>1384</v>
      </c>
      <c r="G208" s="190" t="s">
        <v>758</v>
      </c>
    </row>
    <row r="209" spans="2:7" ht="14.45" customHeight="1" x14ac:dyDescent="0.2">
      <c r="B209" s="30" t="s">
        <v>1728</v>
      </c>
      <c r="C209" s="106" t="s">
        <v>1752</v>
      </c>
      <c r="D209" s="183" t="s">
        <v>900</v>
      </c>
      <c r="E209" s="184"/>
      <c r="F209" s="184" t="s">
        <v>1384</v>
      </c>
      <c r="G209" s="111" t="s">
        <v>941</v>
      </c>
    </row>
    <row r="210" spans="2:7" ht="14.45" customHeight="1" x14ac:dyDescent="0.2">
      <c r="B210" s="30" t="s">
        <v>1728</v>
      </c>
      <c r="C210" s="106" t="s">
        <v>1752</v>
      </c>
      <c r="D210" s="183" t="s">
        <v>901</v>
      </c>
      <c r="E210" s="184"/>
      <c r="F210" s="184" t="s">
        <v>1384</v>
      </c>
      <c r="G210" s="111" t="s">
        <v>942</v>
      </c>
    </row>
    <row r="211" spans="2:7" ht="14.45" customHeight="1" x14ac:dyDescent="0.2">
      <c r="B211" s="30" t="s">
        <v>1728</v>
      </c>
      <c r="C211" s="106" t="s">
        <v>1752</v>
      </c>
      <c r="D211" s="183" t="s">
        <v>902</v>
      </c>
      <c r="E211" s="184"/>
      <c r="F211" s="184" t="s">
        <v>1384</v>
      </c>
      <c r="G211" s="111" t="s">
        <v>954</v>
      </c>
    </row>
    <row r="212" spans="2:7" ht="14.45" customHeight="1" x14ac:dyDescent="0.2">
      <c r="B212" s="30" t="s">
        <v>1728</v>
      </c>
      <c r="C212" s="106" t="s">
        <v>1752</v>
      </c>
      <c r="D212" s="183" t="s">
        <v>903</v>
      </c>
      <c r="E212" s="184"/>
      <c r="F212" s="184" t="s">
        <v>1384</v>
      </c>
      <c r="G212" s="111" t="s">
        <v>943</v>
      </c>
    </row>
    <row r="213" spans="2:7" ht="14.45" customHeight="1" x14ac:dyDescent="0.2">
      <c r="B213" s="30" t="s">
        <v>1728</v>
      </c>
      <c r="C213" s="106" t="s">
        <v>1752</v>
      </c>
      <c r="D213" s="183" t="s">
        <v>904</v>
      </c>
      <c r="E213" s="184"/>
      <c r="F213" s="184" t="s">
        <v>1384</v>
      </c>
      <c r="G213" s="111" t="s">
        <v>944</v>
      </c>
    </row>
    <row r="214" spans="2:7" ht="14.45" customHeight="1" x14ac:dyDescent="0.2">
      <c r="B214" s="30" t="s">
        <v>1728</v>
      </c>
      <c r="C214" s="106" t="s">
        <v>1752</v>
      </c>
      <c r="D214" s="183" t="s">
        <v>109</v>
      </c>
      <c r="E214" s="184"/>
      <c r="F214" s="184" t="s">
        <v>1384</v>
      </c>
      <c r="G214" s="111" t="s">
        <v>315</v>
      </c>
    </row>
    <row r="215" spans="2:7" ht="14.45" customHeight="1" x14ac:dyDescent="0.2">
      <c r="B215" s="30" t="s">
        <v>1728</v>
      </c>
      <c r="C215" s="106" t="s">
        <v>1752</v>
      </c>
      <c r="D215" s="183" t="s">
        <v>110</v>
      </c>
      <c r="E215" s="184"/>
      <c r="F215" s="184" t="s">
        <v>1384</v>
      </c>
      <c r="G215" s="111" t="s">
        <v>905</v>
      </c>
    </row>
    <row r="216" spans="2:7" ht="14.45" customHeight="1" x14ac:dyDescent="0.2">
      <c r="B216" s="30" t="s">
        <v>1728</v>
      </c>
      <c r="C216" s="106" t="s">
        <v>1752</v>
      </c>
      <c r="D216" s="183" t="s">
        <v>111</v>
      </c>
      <c r="E216" s="184"/>
      <c r="F216" s="184" t="s">
        <v>1384</v>
      </c>
      <c r="G216" s="111" t="s">
        <v>906</v>
      </c>
    </row>
    <row r="217" spans="2:7" ht="14.45" customHeight="1" x14ac:dyDescent="0.2">
      <c r="B217" s="30" t="s">
        <v>1728</v>
      </c>
      <c r="C217" s="106" t="s">
        <v>1752</v>
      </c>
      <c r="D217" s="183" t="s">
        <v>112</v>
      </c>
      <c r="E217" s="184"/>
      <c r="F217" s="184" t="s">
        <v>1384</v>
      </c>
      <c r="G217" s="111" t="s">
        <v>316</v>
      </c>
    </row>
    <row r="218" spans="2:7" ht="14.45" customHeight="1" x14ac:dyDescent="0.2">
      <c r="B218" s="30" t="s">
        <v>1728</v>
      </c>
      <c r="C218" s="106" t="s">
        <v>1752</v>
      </c>
      <c r="D218" s="183" t="s">
        <v>492</v>
      </c>
      <c r="E218" s="184"/>
      <c r="F218" s="184" t="s">
        <v>1384</v>
      </c>
      <c r="G218" s="111" t="s">
        <v>945</v>
      </c>
    </row>
    <row r="219" spans="2:7" ht="14.45" customHeight="1" x14ac:dyDescent="0.2">
      <c r="B219" s="30" t="s">
        <v>1728</v>
      </c>
      <c r="C219" s="106" t="s">
        <v>1752</v>
      </c>
      <c r="D219" s="183" t="s">
        <v>494</v>
      </c>
      <c r="E219" s="184"/>
      <c r="F219" s="184" t="s">
        <v>1384</v>
      </c>
      <c r="G219" s="111" t="s">
        <v>946</v>
      </c>
    </row>
    <row r="220" spans="2:7" ht="14.45" customHeight="1" x14ac:dyDescent="0.2">
      <c r="B220" s="30" t="s">
        <v>1728</v>
      </c>
      <c r="C220" s="106" t="s">
        <v>1752</v>
      </c>
      <c r="D220" s="183" t="s">
        <v>495</v>
      </c>
      <c r="E220" s="184"/>
      <c r="F220" s="184" t="s">
        <v>1384</v>
      </c>
      <c r="G220" s="111" t="s">
        <v>947</v>
      </c>
    </row>
    <row r="221" spans="2:7" ht="14.45" customHeight="1" x14ac:dyDescent="0.2">
      <c r="B221" s="30" t="s">
        <v>1728</v>
      </c>
      <c r="C221" s="106" t="s">
        <v>1752</v>
      </c>
      <c r="D221" s="183" t="s">
        <v>19</v>
      </c>
      <c r="E221" s="184"/>
      <c r="F221" s="184" t="s">
        <v>1384</v>
      </c>
      <c r="G221" s="111" t="s">
        <v>948</v>
      </c>
    </row>
    <row r="222" spans="2:7" ht="14.45" customHeight="1" x14ac:dyDescent="0.2">
      <c r="B222" s="30" t="s">
        <v>1728</v>
      </c>
      <c r="C222" s="106" t="s">
        <v>1752</v>
      </c>
      <c r="D222" s="183" t="s">
        <v>18</v>
      </c>
      <c r="E222" s="184"/>
      <c r="F222" s="184" t="s">
        <v>1384</v>
      </c>
      <c r="G222" s="111" t="s">
        <v>949</v>
      </c>
    </row>
    <row r="223" spans="2:7" ht="14.45" customHeight="1" thickBot="1" x14ac:dyDescent="0.25">
      <c r="B223" s="69" t="s">
        <v>1728</v>
      </c>
      <c r="C223" s="199" t="s">
        <v>1752</v>
      </c>
      <c r="D223" s="185" t="s">
        <v>317</v>
      </c>
      <c r="E223" s="186"/>
      <c r="F223" s="186" t="s">
        <v>1384</v>
      </c>
      <c r="G223" s="187" t="s">
        <v>950</v>
      </c>
    </row>
    <row r="224" spans="2:7" ht="14.45" customHeight="1" thickTop="1" x14ac:dyDescent="0.2">
      <c r="B224" s="200" t="s">
        <v>1396</v>
      </c>
      <c r="C224" s="201" t="s">
        <v>1738</v>
      </c>
      <c r="D224" s="202" t="s">
        <v>2064</v>
      </c>
      <c r="E224" s="203" t="s">
        <v>1424</v>
      </c>
      <c r="F224" s="203" t="s">
        <v>1386</v>
      </c>
      <c r="G224" s="204" t="s">
        <v>2065</v>
      </c>
    </row>
    <row r="225" spans="2:7" ht="14.45" customHeight="1" x14ac:dyDescent="0.2">
      <c r="B225" s="30" t="s">
        <v>1396</v>
      </c>
      <c r="C225" s="106" t="s">
        <v>1738</v>
      </c>
      <c r="D225" s="384" t="s">
        <v>2066</v>
      </c>
      <c r="E225" s="385" t="s">
        <v>1424</v>
      </c>
      <c r="F225" s="385" t="s">
        <v>1386</v>
      </c>
      <c r="G225" s="386" t="s">
        <v>2067</v>
      </c>
    </row>
    <row r="226" spans="2:7" ht="14.45" customHeight="1" x14ac:dyDescent="0.2">
      <c r="B226" s="30" t="s">
        <v>1396</v>
      </c>
      <c r="C226" s="106" t="s">
        <v>1738</v>
      </c>
      <c r="D226" s="384" t="s">
        <v>2062</v>
      </c>
      <c r="E226" s="385"/>
      <c r="F226" s="385" t="s">
        <v>1386</v>
      </c>
      <c r="G226" s="386" t="s">
        <v>2063</v>
      </c>
    </row>
    <row r="227" spans="2:7" ht="14.45" customHeight="1" x14ac:dyDescent="0.2">
      <c r="B227" s="30" t="s">
        <v>1396</v>
      </c>
      <c r="C227" s="106" t="s">
        <v>1738</v>
      </c>
      <c r="D227" s="183" t="s">
        <v>592</v>
      </c>
      <c r="E227" s="184"/>
      <c r="F227" s="184" t="s">
        <v>1386</v>
      </c>
      <c r="G227" s="111" t="s">
        <v>594</v>
      </c>
    </row>
    <row r="228" spans="2:7" ht="14.45" customHeight="1" x14ac:dyDescent="0.2">
      <c r="B228" s="30" t="s">
        <v>1396</v>
      </c>
      <c r="C228" s="106" t="s">
        <v>1738</v>
      </c>
      <c r="D228" s="183" t="s">
        <v>593</v>
      </c>
      <c r="E228" s="184"/>
      <c r="F228" s="184" t="s">
        <v>1386</v>
      </c>
      <c r="G228" s="111" t="s">
        <v>595</v>
      </c>
    </row>
    <row r="229" spans="2:7" ht="14.45" customHeight="1" x14ac:dyDescent="0.2">
      <c r="B229" s="30" t="s">
        <v>1396</v>
      </c>
      <c r="C229" s="106" t="s">
        <v>1738</v>
      </c>
      <c r="D229" s="183" t="s">
        <v>596</v>
      </c>
      <c r="E229" s="184"/>
      <c r="F229" s="184" t="s">
        <v>1386</v>
      </c>
      <c r="G229" s="111" t="s">
        <v>955</v>
      </c>
    </row>
    <row r="230" spans="2:7" ht="14.45" customHeight="1" x14ac:dyDescent="0.2">
      <c r="B230" s="30" t="s">
        <v>1396</v>
      </c>
      <c r="C230" s="118" t="s">
        <v>1738</v>
      </c>
      <c r="D230" s="185" t="s">
        <v>597</v>
      </c>
      <c r="E230" s="186"/>
      <c r="F230" s="186" t="s">
        <v>1386</v>
      </c>
      <c r="G230" s="187" t="s">
        <v>956</v>
      </c>
    </row>
    <row r="231" spans="2:7" ht="14.45" customHeight="1" x14ac:dyDescent="0.2">
      <c r="B231" s="30" t="s">
        <v>1396</v>
      </c>
      <c r="C231" s="94" t="s">
        <v>1753</v>
      </c>
      <c r="D231" s="188" t="s">
        <v>615</v>
      </c>
      <c r="E231" s="189"/>
      <c r="F231" s="189" t="s">
        <v>1386</v>
      </c>
      <c r="G231" s="190" t="s">
        <v>1113</v>
      </c>
    </row>
    <row r="232" spans="2:7" ht="14.45" customHeight="1" x14ac:dyDescent="0.2">
      <c r="B232" s="30" t="s">
        <v>1396</v>
      </c>
      <c r="C232" s="106" t="s">
        <v>1753</v>
      </c>
      <c r="D232" s="183" t="s">
        <v>616</v>
      </c>
      <c r="E232" s="184"/>
      <c r="F232" s="184" t="s">
        <v>1386</v>
      </c>
      <c r="G232" s="111" t="s">
        <v>957</v>
      </c>
    </row>
    <row r="233" spans="2:7" ht="14.45" customHeight="1" x14ac:dyDescent="0.2">
      <c r="B233" s="30" t="s">
        <v>1396</v>
      </c>
      <c r="C233" s="106" t="s">
        <v>1753</v>
      </c>
      <c r="D233" s="183" t="s">
        <v>617</v>
      </c>
      <c r="E233" s="184"/>
      <c r="F233" s="184" t="s">
        <v>1386</v>
      </c>
      <c r="G233" s="111" t="s">
        <v>958</v>
      </c>
    </row>
    <row r="234" spans="2:7" ht="14.45" customHeight="1" x14ac:dyDescent="0.2">
      <c r="B234" s="30" t="s">
        <v>1396</v>
      </c>
      <c r="C234" s="106" t="s">
        <v>1753</v>
      </c>
      <c r="D234" s="183" t="s">
        <v>618</v>
      </c>
      <c r="E234" s="184"/>
      <c r="F234" s="184" t="s">
        <v>1386</v>
      </c>
      <c r="G234" s="111" t="s">
        <v>1114</v>
      </c>
    </row>
    <row r="235" spans="2:7" ht="14.45" customHeight="1" x14ac:dyDescent="0.2">
      <c r="B235" s="30" t="s">
        <v>1396</v>
      </c>
      <c r="C235" s="106" t="s">
        <v>1753</v>
      </c>
      <c r="D235" s="183" t="s">
        <v>619</v>
      </c>
      <c r="E235" s="184"/>
      <c r="F235" s="184" t="s">
        <v>1386</v>
      </c>
      <c r="G235" s="111" t="s">
        <v>959</v>
      </c>
    </row>
    <row r="236" spans="2:7" ht="14.45" customHeight="1" x14ac:dyDescent="0.2">
      <c r="B236" s="30" t="s">
        <v>1396</v>
      </c>
      <c r="C236" s="106" t="s">
        <v>1753</v>
      </c>
      <c r="D236" s="183" t="s">
        <v>620</v>
      </c>
      <c r="E236" s="184"/>
      <c r="F236" s="184" t="s">
        <v>1386</v>
      </c>
      <c r="G236" s="111" t="s">
        <v>960</v>
      </c>
    </row>
    <row r="237" spans="2:7" ht="14.45" customHeight="1" x14ac:dyDescent="0.2">
      <c r="B237" s="30" t="s">
        <v>1396</v>
      </c>
      <c r="C237" s="106" t="s">
        <v>1753</v>
      </c>
      <c r="D237" s="183" t="s">
        <v>621</v>
      </c>
      <c r="E237" s="184"/>
      <c r="F237" s="184" t="s">
        <v>1386</v>
      </c>
      <c r="G237" s="111" t="s">
        <v>961</v>
      </c>
    </row>
    <row r="238" spans="2:7" ht="14.45" customHeight="1" x14ac:dyDescent="0.2">
      <c r="B238" s="30" t="s">
        <v>1396</v>
      </c>
      <c r="C238" s="106" t="s">
        <v>1753</v>
      </c>
      <c r="D238" s="183" t="s">
        <v>622</v>
      </c>
      <c r="E238" s="184"/>
      <c r="F238" s="184" t="s">
        <v>1386</v>
      </c>
      <c r="G238" s="111" t="s">
        <v>962</v>
      </c>
    </row>
    <row r="239" spans="2:7" ht="14.45" customHeight="1" x14ac:dyDescent="0.2">
      <c r="B239" s="30" t="s">
        <v>1396</v>
      </c>
      <c r="C239" s="106" t="s">
        <v>1753</v>
      </c>
      <c r="D239" s="183" t="s">
        <v>623</v>
      </c>
      <c r="E239" s="184"/>
      <c r="F239" s="184" t="s">
        <v>1386</v>
      </c>
      <c r="G239" s="111" t="s">
        <v>963</v>
      </c>
    </row>
    <row r="240" spans="2:7" ht="14.45" customHeight="1" x14ac:dyDescent="0.2">
      <c r="B240" s="30" t="s">
        <v>1396</v>
      </c>
      <c r="C240" s="106" t="s">
        <v>1753</v>
      </c>
      <c r="D240" s="183" t="s">
        <v>624</v>
      </c>
      <c r="E240" s="184"/>
      <c r="F240" s="184" t="s">
        <v>1386</v>
      </c>
      <c r="G240" s="111" t="s">
        <v>964</v>
      </c>
    </row>
    <row r="241" spans="2:7" ht="14.45" customHeight="1" x14ac:dyDescent="0.2">
      <c r="B241" s="30" t="s">
        <v>1396</v>
      </c>
      <c r="C241" s="106" t="s">
        <v>1753</v>
      </c>
      <c r="D241" s="183" t="s">
        <v>625</v>
      </c>
      <c r="E241" s="184"/>
      <c r="F241" s="184" t="s">
        <v>1386</v>
      </c>
      <c r="G241" s="111" t="s">
        <v>965</v>
      </c>
    </row>
    <row r="242" spans="2:7" ht="14.45" customHeight="1" x14ac:dyDescent="0.2">
      <c r="B242" s="30" t="s">
        <v>1396</v>
      </c>
      <c r="C242" s="106" t="s">
        <v>1753</v>
      </c>
      <c r="D242" s="183" t="s">
        <v>626</v>
      </c>
      <c r="E242" s="184"/>
      <c r="F242" s="184" t="s">
        <v>1386</v>
      </c>
      <c r="G242" s="111" t="s">
        <v>966</v>
      </c>
    </row>
    <row r="243" spans="2:7" ht="14.45" customHeight="1" x14ac:dyDescent="0.2">
      <c r="B243" s="30" t="s">
        <v>1396</v>
      </c>
      <c r="C243" s="118" t="s">
        <v>1753</v>
      </c>
      <c r="D243" s="185" t="s">
        <v>627</v>
      </c>
      <c r="E243" s="186"/>
      <c r="F243" s="186" t="s">
        <v>1386</v>
      </c>
      <c r="G243" s="187" t="s">
        <v>967</v>
      </c>
    </row>
    <row r="244" spans="2:7" ht="14.45" customHeight="1" x14ac:dyDescent="0.2">
      <c r="B244" s="30" t="s">
        <v>1396</v>
      </c>
      <c r="C244" s="94" t="s">
        <v>405</v>
      </c>
      <c r="D244" s="188" t="s">
        <v>629</v>
      </c>
      <c r="E244" s="189"/>
      <c r="F244" s="189" t="s">
        <v>1386</v>
      </c>
      <c r="G244" s="190" t="s">
        <v>968</v>
      </c>
    </row>
    <row r="245" spans="2:7" ht="14.45" customHeight="1" x14ac:dyDescent="0.2">
      <c r="B245" s="30" t="s">
        <v>1396</v>
      </c>
      <c r="C245" s="106" t="s">
        <v>405</v>
      </c>
      <c r="D245" s="183" t="s">
        <v>628</v>
      </c>
      <c r="E245" s="184"/>
      <c r="F245" s="184" t="s">
        <v>1386</v>
      </c>
      <c r="G245" s="111" t="s">
        <v>969</v>
      </c>
    </row>
    <row r="246" spans="2:7" ht="14.45" customHeight="1" x14ac:dyDescent="0.2">
      <c r="B246" s="30" t="s">
        <v>1396</v>
      </c>
      <c r="C246" s="106" t="s">
        <v>405</v>
      </c>
      <c r="D246" s="183" t="s">
        <v>630</v>
      </c>
      <c r="E246" s="184"/>
      <c r="F246" s="184" t="s">
        <v>1386</v>
      </c>
      <c r="G246" s="111" t="s">
        <v>970</v>
      </c>
    </row>
    <row r="247" spans="2:7" ht="14.45" customHeight="1" x14ac:dyDescent="0.2">
      <c r="B247" s="30" t="s">
        <v>1396</v>
      </c>
      <c r="C247" s="106" t="s">
        <v>405</v>
      </c>
      <c r="D247" s="183" t="s">
        <v>631</v>
      </c>
      <c r="E247" s="184"/>
      <c r="F247" s="184" t="s">
        <v>1386</v>
      </c>
      <c r="G247" s="111" t="s">
        <v>971</v>
      </c>
    </row>
    <row r="248" spans="2:7" ht="14.45" customHeight="1" thickBot="1" x14ac:dyDescent="0.25">
      <c r="B248" s="43" t="s">
        <v>1396</v>
      </c>
      <c r="C248" s="130" t="s">
        <v>405</v>
      </c>
      <c r="D248" s="185" t="s">
        <v>632</v>
      </c>
      <c r="E248" s="186"/>
      <c r="F248" s="186" t="s">
        <v>1386</v>
      </c>
      <c r="G248" s="187" t="s">
        <v>972</v>
      </c>
    </row>
    <row r="249" spans="2:7" ht="14.45" customHeight="1" x14ac:dyDescent="0.2">
      <c r="B249" s="179" t="s">
        <v>1398</v>
      </c>
      <c r="C249" s="142" t="s">
        <v>1739</v>
      </c>
      <c r="D249" s="180" t="s">
        <v>633</v>
      </c>
      <c r="E249" s="181"/>
      <c r="F249" s="181" t="s">
        <v>1386</v>
      </c>
      <c r="G249" s="182" t="s">
        <v>973</v>
      </c>
    </row>
    <row r="250" spans="2:7" ht="14.45" customHeight="1" x14ac:dyDescent="0.2">
      <c r="B250" s="30" t="s">
        <v>1398</v>
      </c>
      <c r="C250" s="106" t="s">
        <v>1739</v>
      </c>
      <c r="D250" s="183" t="s">
        <v>974</v>
      </c>
      <c r="E250" s="184"/>
      <c r="F250" s="184" t="s">
        <v>1386</v>
      </c>
      <c r="G250" s="111" t="s">
        <v>980</v>
      </c>
    </row>
    <row r="251" spans="2:7" ht="14.45" customHeight="1" x14ac:dyDescent="0.2">
      <c r="B251" s="30" t="s">
        <v>1398</v>
      </c>
      <c r="C251" s="106" t="s">
        <v>1739</v>
      </c>
      <c r="D251" s="183" t="s">
        <v>975</v>
      </c>
      <c r="E251" s="184"/>
      <c r="F251" s="184" t="s">
        <v>1386</v>
      </c>
      <c r="G251" s="111" t="s">
        <v>981</v>
      </c>
    </row>
    <row r="252" spans="2:7" ht="14.45" customHeight="1" x14ac:dyDescent="0.2">
      <c r="B252" s="30" t="s">
        <v>1398</v>
      </c>
      <c r="C252" s="106" t="s">
        <v>1739</v>
      </c>
      <c r="D252" s="183" t="s">
        <v>976</v>
      </c>
      <c r="E252" s="184"/>
      <c r="F252" s="184" t="s">
        <v>1386</v>
      </c>
      <c r="G252" s="111" t="s">
        <v>982</v>
      </c>
    </row>
    <row r="253" spans="2:7" ht="14.45" customHeight="1" x14ac:dyDescent="0.2">
      <c r="B253" s="30" t="s">
        <v>1398</v>
      </c>
      <c r="C253" s="106" t="s">
        <v>1739</v>
      </c>
      <c r="D253" s="183" t="s">
        <v>977</v>
      </c>
      <c r="E253" s="184"/>
      <c r="F253" s="184" t="s">
        <v>1386</v>
      </c>
      <c r="G253" s="111" t="s">
        <v>983</v>
      </c>
    </row>
    <row r="254" spans="2:7" ht="14.45" customHeight="1" x14ac:dyDescent="0.2">
      <c r="B254" s="30" t="s">
        <v>1398</v>
      </c>
      <c r="C254" s="106" t="s">
        <v>1739</v>
      </c>
      <c r="D254" s="183" t="s">
        <v>978</v>
      </c>
      <c r="E254" s="184"/>
      <c r="F254" s="184" t="s">
        <v>1386</v>
      </c>
      <c r="G254" s="111" t="s">
        <v>984</v>
      </c>
    </row>
    <row r="255" spans="2:7" ht="14.45" customHeight="1" x14ac:dyDescent="0.2">
      <c r="B255" s="30" t="s">
        <v>1398</v>
      </c>
      <c r="C255" s="106" t="s">
        <v>1739</v>
      </c>
      <c r="D255" s="183" t="s">
        <v>979</v>
      </c>
      <c r="E255" s="184"/>
      <c r="F255" s="184" t="s">
        <v>1386</v>
      </c>
      <c r="G255" s="111" t="s">
        <v>985</v>
      </c>
    </row>
    <row r="256" spans="2:7" ht="14.45" customHeight="1" x14ac:dyDescent="0.2">
      <c r="B256" s="30" t="s">
        <v>1398</v>
      </c>
      <c r="C256" s="106" t="s">
        <v>1739</v>
      </c>
      <c r="D256" s="183" t="s">
        <v>1251</v>
      </c>
      <c r="E256" s="184"/>
      <c r="F256" s="184" t="s">
        <v>1386</v>
      </c>
      <c r="G256" s="111" t="s">
        <v>1115</v>
      </c>
    </row>
    <row r="257" spans="2:7" ht="14.45" customHeight="1" x14ac:dyDescent="0.2">
      <c r="B257" s="30" t="s">
        <v>1398</v>
      </c>
      <c r="C257" s="106" t="s">
        <v>1739</v>
      </c>
      <c r="D257" s="183" t="s">
        <v>222</v>
      </c>
      <c r="E257" s="184" t="s">
        <v>1424</v>
      </c>
      <c r="F257" s="184" t="s">
        <v>1386</v>
      </c>
      <c r="G257" s="111" t="s">
        <v>986</v>
      </c>
    </row>
    <row r="258" spans="2:7" ht="14.45" customHeight="1" x14ac:dyDescent="0.2">
      <c r="B258" s="30" t="s">
        <v>1398</v>
      </c>
      <c r="C258" s="118" t="s">
        <v>1739</v>
      </c>
      <c r="D258" s="185" t="s">
        <v>328</v>
      </c>
      <c r="E258" s="186"/>
      <c r="F258" s="186" t="s">
        <v>1386</v>
      </c>
      <c r="G258" s="187" t="s">
        <v>987</v>
      </c>
    </row>
    <row r="259" spans="2:7" ht="14.45" customHeight="1" x14ac:dyDescent="0.2">
      <c r="B259" s="30" t="s">
        <v>1398</v>
      </c>
      <c r="C259" s="94" t="s">
        <v>410</v>
      </c>
      <c r="D259" s="188" t="s">
        <v>636</v>
      </c>
      <c r="E259" s="189"/>
      <c r="F259" s="189" t="s">
        <v>1386</v>
      </c>
      <c r="G259" s="190" t="s">
        <v>988</v>
      </c>
    </row>
    <row r="260" spans="2:7" ht="14.45" customHeight="1" x14ac:dyDescent="0.2">
      <c r="B260" s="30" t="s">
        <v>1398</v>
      </c>
      <c r="C260" s="106" t="s">
        <v>410</v>
      </c>
      <c r="D260" s="183" t="s">
        <v>637</v>
      </c>
      <c r="E260" s="184"/>
      <c r="F260" s="184" t="s">
        <v>1386</v>
      </c>
      <c r="G260" s="111" t="s">
        <v>989</v>
      </c>
    </row>
    <row r="261" spans="2:7" ht="14.45" customHeight="1" x14ac:dyDescent="0.2">
      <c r="B261" s="30" t="s">
        <v>1398</v>
      </c>
      <c r="C261" s="106" t="s">
        <v>410</v>
      </c>
      <c r="D261" s="183" t="s">
        <v>638</v>
      </c>
      <c r="E261" s="184" t="s">
        <v>1424</v>
      </c>
      <c r="F261" s="184" t="s">
        <v>1386</v>
      </c>
      <c r="G261" s="111" t="s">
        <v>639</v>
      </c>
    </row>
    <row r="262" spans="2:7" ht="14.45" customHeight="1" x14ac:dyDescent="0.2">
      <c r="B262" s="30" t="s">
        <v>1398</v>
      </c>
      <c r="C262" s="106" t="s">
        <v>410</v>
      </c>
      <c r="D262" s="183" t="s">
        <v>640</v>
      </c>
      <c r="E262" s="184"/>
      <c r="F262" s="184" t="s">
        <v>1386</v>
      </c>
      <c r="G262" s="111" t="s">
        <v>990</v>
      </c>
    </row>
    <row r="263" spans="2:7" ht="14.45" customHeight="1" x14ac:dyDescent="0.2">
      <c r="B263" s="30" t="s">
        <v>1398</v>
      </c>
      <c r="C263" s="106" t="s">
        <v>410</v>
      </c>
      <c r="D263" s="183" t="s">
        <v>1238</v>
      </c>
      <c r="E263" s="184"/>
      <c r="F263" s="184" t="s">
        <v>1386</v>
      </c>
      <c r="G263" s="111" t="s">
        <v>1239</v>
      </c>
    </row>
    <row r="264" spans="2:7" ht="14.45" customHeight="1" x14ac:dyDescent="0.2">
      <c r="B264" s="30" t="s">
        <v>1398</v>
      </c>
      <c r="C264" s="118" t="s">
        <v>410</v>
      </c>
      <c r="D264" s="185" t="s">
        <v>1252</v>
      </c>
      <c r="E264" s="186"/>
      <c r="F264" s="186" t="s">
        <v>1386</v>
      </c>
      <c r="G264" s="187" t="s">
        <v>1253</v>
      </c>
    </row>
    <row r="265" spans="2:7" ht="14.45" customHeight="1" x14ac:dyDescent="0.2">
      <c r="B265" s="30" t="s">
        <v>1398</v>
      </c>
      <c r="C265" s="94" t="s">
        <v>424</v>
      </c>
      <c r="D265" s="188" t="s">
        <v>328</v>
      </c>
      <c r="E265" s="189"/>
      <c r="F265" s="189" t="s">
        <v>1386</v>
      </c>
      <c r="G265" s="190" t="s">
        <v>329</v>
      </c>
    </row>
    <row r="266" spans="2:7" ht="14.45" customHeight="1" x14ac:dyDescent="0.2">
      <c r="B266" s="30" t="s">
        <v>1398</v>
      </c>
      <c r="C266" s="106" t="s">
        <v>424</v>
      </c>
      <c r="D266" s="183" t="s">
        <v>330</v>
      </c>
      <c r="E266" s="184"/>
      <c r="F266" s="184" t="s">
        <v>1386</v>
      </c>
      <c r="G266" s="111" t="s">
        <v>331</v>
      </c>
    </row>
    <row r="267" spans="2:7" ht="14.45" customHeight="1" x14ac:dyDescent="0.2">
      <c r="B267" s="30" t="s">
        <v>1398</v>
      </c>
      <c r="C267" s="106" t="s">
        <v>424</v>
      </c>
      <c r="D267" s="183" t="s">
        <v>332</v>
      </c>
      <c r="E267" s="184"/>
      <c r="F267" s="184" t="s">
        <v>1386</v>
      </c>
      <c r="G267" s="111" t="s">
        <v>333</v>
      </c>
    </row>
    <row r="268" spans="2:7" ht="14.45" customHeight="1" x14ac:dyDescent="0.2">
      <c r="B268" s="30" t="s">
        <v>1398</v>
      </c>
      <c r="C268" s="106" t="s">
        <v>424</v>
      </c>
      <c r="D268" s="183" t="s">
        <v>334</v>
      </c>
      <c r="E268" s="184"/>
      <c r="F268" s="184" t="s">
        <v>1386</v>
      </c>
      <c r="G268" s="111" t="s">
        <v>336</v>
      </c>
    </row>
    <row r="269" spans="2:7" ht="14.45" customHeight="1" x14ac:dyDescent="0.2">
      <c r="B269" s="30" t="s">
        <v>1398</v>
      </c>
      <c r="C269" s="106" t="s">
        <v>424</v>
      </c>
      <c r="D269" s="183" t="s">
        <v>335</v>
      </c>
      <c r="E269" s="184"/>
      <c r="F269" s="184" t="s">
        <v>1386</v>
      </c>
      <c r="G269" s="111" t="s">
        <v>337</v>
      </c>
    </row>
    <row r="270" spans="2:7" ht="14.45" customHeight="1" x14ac:dyDescent="0.2">
      <c r="B270" s="30" t="s">
        <v>1398</v>
      </c>
      <c r="C270" s="106" t="s">
        <v>424</v>
      </c>
      <c r="D270" s="183" t="s">
        <v>339</v>
      </c>
      <c r="E270" s="184"/>
      <c r="F270" s="184" t="s">
        <v>1386</v>
      </c>
      <c r="G270" s="111" t="s">
        <v>338</v>
      </c>
    </row>
    <row r="271" spans="2:7" ht="14.45" customHeight="1" x14ac:dyDescent="0.2">
      <c r="B271" s="30" t="s">
        <v>1398</v>
      </c>
      <c r="C271" s="106" t="s">
        <v>424</v>
      </c>
      <c r="D271" s="183" t="s">
        <v>340</v>
      </c>
      <c r="E271" s="184"/>
      <c r="F271" s="184" t="s">
        <v>1386</v>
      </c>
      <c r="G271" s="111" t="s">
        <v>341</v>
      </c>
    </row>
    <row r="272" spans="2:7" ht="14.45" customHeight="1" thickBot="1" x14ac:dyDescent="0.25">
      <c r="B272" s="43" t="s">
        <v>1398</v>
      </c>
      <c r="C272" s="106" t="s">
        <v>424</v>
      </c>
      <c r="D272" s="185" t="s">
        <v>342</v>
      </c>
      <c r="E272" s="186"/>
      <c r="F272" s="186" t="s">
        <v>1386</v>
      </c>
      <c r="G272" s="187" t="s">
        <v>1791</v>
      </c>
    </row>
    <row r="273" spans="2:7" ht="14.45" customHeight="1" x14ac:dyDescent="0.2">
      <c r="B273" s="179" t="s">
        <v>1399</v>
      </c>
      <c r="C273" s="142" t="s">
        <v>437</v>
      </c>
      <c r="D273" s="180" t="s">
        <v>48</v>
      </c>
      <c r="E273" s="181"/>
      <c r="F273" s="181" t="s">
        <v>1386</v>
      </c>
      <c r="G273" s="182" t="s">
        <v>346</v>
      </c>
    </row>
    <row r="274" spans="2:7" ht="14.45" customHeight="1" x14ac:dyDescent="0.2">
      <c r="B274" s="30" t="s">
        <v>1399</v>
      </c>
      <c r="C274" s="106" t="s">
        <v>437</v>
      </c>
      <c r="D274" s="183" t="s">
        <v>49</v>
      </c>
      <c r="E274" s="184" t="s">
        <v>1424</v>
      </c>
      <c r="F274" s="184" t="s">
        <v>1386</v>
      </c>
      <c r="G274" s="111" t="s">
        <v>370</v>
      </c>
    </row>
    <row r="275" spans="2:7" ht="14.45" customHeight="1" x14ac:dyDescent="0.2">
      <c r="B275" s="30" t="s">
        <v>1399</v>
      </c>
      <c r="C275" s="106" t="s">
        <v>437</v>
      </c>
      <c r="D275" s="183" t="s">
        <v>351</v>
      </c>
      <c r="E275" s="184"/>
      <c r="F275" s="184" t="s">
        <v>1386</v>
      </c>
      <c r="G275" s="205" t="s">
        <v>350</v>
      </c>
    </row>
    <row r="276" spans="2:7" ht="14.45" customHeight="1" x14ac:dyDescent="0.2">
      <c r="B276" s="30" t="s">
        <v>1399</v>
      </c>
      <c r="C276" s="106" t="s">
        <v>437</v>
      </c>
      <c r="D276" s="183" t="s">
        <v>47</v>
      </c>
      <c r="E276" s="184"/>
      <c r="F276" s="184" t="s">
        <v>1386</v>
      </c>
      <c r="G276" s="243" t="s">
        <v>371</v>
      </c>
    </row>
    <row r="277" spans="2:7" ht="14.45" customHeight="1" x14ac:dyDescent="0.2">
      <c r="B277" s="30" t="s">
        <v>1399</v>
      </c>
      <c r="C277" s="106" t="s">
        <v>437</v>
      </c>
      <c r="D277" s="183" t="s">
        <v>343</v>
      </c>
      <c r="E277" s="184"/>
      <c r="F277" s="184" t="s">
        <v>1386</v>
      </c>
      <c r="G277" s="111" t="s">
        <v>347</v>
      </c>
    </row>
    <row r="278" spans="2:7" ht="14.45" customHeight="1" x14ac:dyDescent="0.2">
      <c r="B278" s="30" t="s">
        <v>1399</v>
      </c>
      <c r="C278" s="106" t="s">
        <v>437</v>
      </c>
      <c r="D278" s="183" t="s">
        <v>344</v>
      </c>
      <c r="E278" s="184"/>
      <c r="F278" s="184" t="s">
        <v>1386</v>
      </c>
      <c r="G278" s="111" t="s">
        <v>348</v>
      </c>
    </row>
    <row r="279" spans="2:7" ht="14.45" customHeight="1" x14ac:dyDescent="0.2">
      <c r="B279" s="30" t="s">
        <v>1399</v>
      </c>
      <c r="C279" s="118" t="s">
        <v>437</v>
      </c>
      <c r="D279" s="185" t="s">
        <v>345</v>
      </c>
      <c r="E279" s="186"/>
      <c r="F279" s="186" t="s">
        <v>1386</v>
      </c>
      <c r="G279" s="187" t="s">
        <v>349</v>
      </c>
    </row>
    <row r="280" spans="2:7" ht="14.45" customHeight="1" x14ac:dyDescent="0.2">
      <c r="B280" s="30" t="s">
        <v>1399</v>
      </c>
      <c r="C280" s="94" t="s">
        <v>439</v>
      </c>
      <c r="D280" s="188" t="s">
        <v>352</v>
      </c>
      <c r="E280" s="189"/>
      <c r="F280" s="189" t="s">
        <v>1386</v>
      </c>
      <c r="G280" s="190" t="s">
        <v>355</v>
      </c>
    </row>
    <row r="281" spans="2:7" ht="14.45" customHeight="1" x14ac:dyDescent="0.2">
      <c r="B281" s="30" t="s">
        <v>1399</v>
      </c>
      <c r="C281" s="106" t="s">
        <v>439</v>
      </c>
      <c r="D281" s="183" t="s">
        <v>354</v>
      </c>
      <c r="E281" s="184"/>
      <c r="F281" s="184" t="s">
        <v>1386</v>
      </c>
      <c r="G281" s="111" t="s">
        <v>353</v>
      </c>
    </row>
    <row r="282" spans="2:7" ht="14.45" customHeight="1" x14ac:dyDescent="0.2">
      <c r="B282" s="30" t="s">
        <v>1399</v>
      </c>
      <c r="C282" s="106" t="s">
        <v>439</v>
      </c>
      <c r="D282" s="183" t="s">
        <v>356</v>
      </c>
      <c r="E282" s="184"/>
      <c r="F282" s="184" t="s">
        <v>1386</v>
      </c>
      <c r="G282" s="111" t="s">
        <v>357</v>
      </c>
    </row>
    <row r="283" spans="2:7" ht="14.45" customHeight="1" x14ac:dyDescent="0.2">
      <c r="B283" s="30" t="s">
        <v>1399</v>
      </c>
      <c r="C283" s="106" t="s">
        <v>439</v>
      </c>
      <c r="D283" s="183" t="s">
        <v>358</v>
      </c>
      <c r="E283" s="184"/>
      <c r="F283" s="184" t="s">
        <v>1386</v>
      </c>
      <c r="G283" s="111" t="s">
        <v>359</v>
      </c>
    </row>
    <row r="284" spans="2:7" ht="14.45" customHeight="1" x14ac:dyDescent="0.2">
      <c r="B284" s="30" t="s">
        <v>1399</v>
      </c>
      <c r="C284" s="106" t="s">
        <v>439</v>
      </c>
      <c r="D284" s="185" t="s">
        <v>360</v>
      </c>
      <c r="E284" s="186"/>
      <c r="F284" s="186" t="s">
        <v>1386</v>
      </c>
      <c r="G284" s="187" t="s">
        <v>361</v>
      </c>
    </row>
    <row r="285" spans="2:7" ht="14.45" customHeight="1" x14ac:dyDescent="0.2">
      <c r="B285" s="30" t="s">
        <v>1399</v>
      </c>
      <c r="C285" s="94" t="s">
        <v>441</v>
      </c>
      <c r="D285" s="188" t="s">
        <v>362</v>
      </c>
      <c r="E285" s="189"/>
      <c r="F285" s="189" t="s">
        <v>1386</v>
      </c>
      <c r="G285" s="190" t="s">
        <v>364</v>
      </c>
    </row>
    <row r="286" spans="2:7" ht="14.45" customHeight="1" x14ac:dyDescent="0.2">
      <c r="B286" s="30" t="s">
        <v>1399</v>
      </c>
      <c r="C286" s="106" t="s">
        <v>441</v>
      </c>
      <c r="D286" s="185" t="s">
        <v>363</v>
      </c>
      <c r="E286" s="186"/>
      <c r="F286" s="186" t="s">
        <v>1386</v>
      </c>
      <c r="G286" s="187" t="s">
        <v>365</v>
      </c>
    </row>
    <row r="287" spans="2:7" ht="14.45" customHeight="1" x14ac:dyDescent="0.2">
      <c r="B287" s="30" t="s">
        <v>1399</v>
      </c>
      <c r="C287" s="94" t="s">
        <v>1773</v>
      </c>
      <c r="D287" s="188" t="s">
        <v>366</v>
      </c>
      <c r="E287" s="189"/>
      <c r="F287" s="189" t="s">
        <v>1386</v>
      </c>
      <c r="G287" s="190" t="s">
        <v>367</v>
      </c>
    </row>
    <row r="288" spans="2:7" ht="14.45" customHeight="1" x14ac:dyDescent="0.2">
      <c r="B288" s="30" t="s">
        <v>1399</v>
      </c>
      <c r="C288" s="106" t="s">
        <v>1773</v>
      </c>
      <c r="D288" s="183" t="s">
        <v>368</v>
      </c>
      <c r="E288" s="184"/>
      <c r="F288" s="184" t="s">
        <v>1386</v>
      </c>
      <c r="G288" s="111" t="s">
        <v>372</v>
      </c>
    </row>
    <row r="289" spans="2:7" ht="14.45" customHeight="1" x14ac:dyDescent="0.2">
      <c r="B289" s="30" t="s">
        <v>1399</v>
      </c>
      <c r="C289" s="106" t="s">
        <v>1773</v>
      </c>
      <c r="D289" s="183" t="s">
        <v>369</v>
      </c>
      <c r="E289" s="184"/>
      <c r="F289" s="184" t="s">
        <v>1386</v>
      </c>
      <c r="G289" s="111" t="s">
        <v>375</v>
      </c>
    </row>
    <row r="290" spans="2:7" ht="14.45" customHeight="1" thickBot="1" x14ac:dyDescent="0.25">
      <c r="B290" s="30" t="s">
        <v>1399</v>
      </c>
      <c r="C290" s="106" t="s">
        <v>1773</v>
      </c>
      <c r="D290" s="185" t="s">
        <v>374</v>
      </c>
      <c r="E290" s="186"/>
      <c r="F290" s="186" t="s">
        <v>1386</v>
      </c>
      <c r="G290" s="187" t="s">
        <v>373</v>
      </c>
    </row>
    <row r="291" spans="2:7" ht="14.45" customHeight="1" x14ac:dyDescent="0.2">
      <c r="B291" s="179" t="s">
        <v>1400</v>
      </c>
      <c r="C291" s="142" t="s">
        <v>445</v>
      </c>
      <c r="D291" s="180" t="s">
        <v>642</v>
      </c>
      <c r="E291" s="181"/>
      <c r="F291" s="181" t="s">
        <v>1386</v>
      </c>
      <c r="G291" s="182" t="s">
        <v>991</v>
      </c>
    </row>
    <row r="292" spans="2:7" ht="14.45" customHeight="1" x14ac:dyDescent="0.2">
      <c r="B292" s="30" t="s">
        <v>1400</v>
      </c>
      <c r="C292" s="106" t="s">
        <v>445</v>
      </c>
      <c r="D292" s="183" t="s">
        <v>643</v>
      </c>
      <c r="E292" s="184"/>
      <c r="F292" s="184" t="s">
        <v>1386</v>
      </c>
      <c r="G292" s="111" t="s">
        <v>993</v>
      </c>
    </row>
    <row r="293" spans="2:7" ht="14.45" customHeight="1" x14ac:dyDescent="0.2">
      <c r="B293" s="30" t="s">
        <v>1400</v>
      </c>
      <c r="C293" s="118" t="s">
        <v>445</v>
      </c>
      <c r="D293" s="191" t="s">
        <v>644</v>
      </c>
      <c r="E293" s="192"/>
      <c r="F293" s="192" t="s">
        <v>1386</v>
      </c>
      <c r="G293" s="123" t="s">
        <v>992</v>
      </c>
    </row>
    <row r="294" spans="2:7" ht="14.45" customHeight="1" x14ac:dyDescent="0.2">
      <c r="B294" s="30" t="s">
        <v>1400</v>
      </c>
      <c r="C294" s="197" t="s">
        <v>1754</v>
      </c>
      <c r="D294" s="198" t="s">
        <v>645</v>
      </c>
      <c r="E294" s="195"/>
      <c r="F294" s="195" t="s">
        <v>1386</v>
      </c>
      <c r="G294" s="196" t="s">
        <v>994</v>
      </c>
    </row>
    <row r="295" spans="2:7" ht="14.45" customHeight="1" x14ac:dyDescent="0.2">
      <c r="B295" s="30" t="s">
        <v>1400</v>
      </c>
      <c r="C295" s="94" t="s">
        <v>449</v>
      </c>
      <c r="D295" s="188" t="s">
        <v>646</v>
      </c>
      <c r="E295" s="189"/>
      <c r="F295" s="189" t="s">
        <v>1386</v>
      </c>
      <c r="G295" s="190" t="s">
        <v>995</v>
      </c>
    </row>
    <row r="296" spans="2:7" ht="14.45" customHeight="1" x14ac:dyDescent="0.2">
      <c r="B296" s="30" t="s">
        <v>1400</v>
      </c>
      <c r="C296" s="106" t="s">
        <v>449</v>
      </c>
      <c r="D296" s="183" t="s">
        <v>996</v>
      </c>
      <c r="E296" s="184"/>
      <c r="F296" s="184" t="s">
        <v>1386</v>
      </c>
      <c r="G296" s="111" t="s">
        <v>998</v>
      </c>
    </row>
    <row r="297" spans="2:7" ht="14.45" customHeight="1" x14ac:dyDescent="0.2">
      <c r="B297" s="30" t="s">
        <v>1400</v>
      </c>
      <c r="C297" s="106" t="s">
        <v>449</v>
      </c>
      <c r="D297" s="183" t="s">
        <v>997</v>
      </c>
      <c r="E297" s="184"/>
      <c r="F297" s="184" t="s">
        <v>1386</v>
      </c>
      <c r="G297" s="111" t="s">
        <v>999</v>
      </c>
    </row>
    <row r="298" spans="2:7" ht="14.45" customHeight="1" x14ac:dyDescent="0.2">
      <c r="B298" s="30" t="s">
        <v>1400</v>
      </c>
      <c r="C298" s="106" t="s">
        <v>449</v>
      </c>
      <c r="D298" s="183" t="s">
        <v>647</v>
      </c>
      <c r="E298" s="184"/>
      <c r="F298" s="184" t="s">
        <v>1386</v>
      </c>
      <c r="G298" s="111" t="s">
        <v>1000</v>
      </c>
    </row>
    <row r="299" spans="2:7" ht="14.45" customHeight="1" x14ac:dyDescent="0.2">
      <c r="B299" s="30" t="s">
        <v>1400</v>
      </c>
      <c r="C299" s="106" t="s">
        <v>449</v>
      </c>
      <c r="D299" s="183" t="s">
        <v>648</v>
      </c>
      <c r="E299" s="184"/>
      <c r="F299" s="184" t="s">
        <v>1386</v>
      </c>
      <c r="G299" s="111" t="s">
        <v>1001</v>
      </c>
    </row>
    <row r="300" spans="2:7" ht="14.45" customHeight="1" x14ac:dyDescent="0.2">
      <c r="B300" s="30" t="s">
        <v>1400</v>
      </c>
      <c r="C300" s="106" t="s">
        <v>449</v>
      </c>
      <c r="D300" s="183" t="s">
        <v>649</v>
      </c>
      <c r="E300" s="184"/>
      <c r="F300" s="184" t="s">
        <v>1386</v>
      </c>
      <c r="G300" s="111" t="s">
        <v>1002</v>
      </c>
    </row>
    <row r="301" spans="2:7" ht="14.45" customHeight="1" thickBot="1" x14ac:dyDescent="0.25">
      <c r="B301" s="43" t="s">
        <v>1400</v>
      </c>
      <c r="C301" s="130" t="s">
        <v>449</v>
      </c>
      <c r="D301" s="185" t="s">
        <v>650</v>
      </c>
      <c r="E301" s="186"/>
      <c r="F301" s="186" t="s">
        <v>1386</v>
      </c>
      <c r="G301" s="187" t="s">
        <v>1003</v>
      </c>
    </row>
    <row r="302" spans="2:7" ht="14.45" customHeight="1" x14ac:dyDescent="0.2">
      <c r="B302" s="179" t="s">
        <v>1401</v>
      </c>
      <c r="C302" s="142" t="s">
        <v>1740</v>
      </c>
      <c r="D302" s="180" t="s">
        <v>651</v>
      </c>
      <c r="E302" s="181"/>
      <c r="F302" s="181" t="s">
        <v>1386</v>
      </c>
      <c r="G302" s="182" t="s">
        <v>1004</v>
      </c>
    </row>
    <row r="303" spans="2:7" ht="14.45" customHeight="1" x14ac:dyDescent="0.2">
      <c r="B303" s="30" t="s">
        <v>1401</v>
      </c>
      <c r="C303" s="106" t="s">
        <v>1740</v>
      </c>
      <c r="D303" s="183" t="s">
        <v>652</v>
      </c>
      <c r="E303" s="184"/>
      <c r="F303" s="184" t="s">
        <v>1386</v>
      </c>
      <c r="G303" s="111" t="s">
        <v>1005</v>
      </c>
    </row>
    <row r="304" spans="2:7" ht="14.45" customHeight="1" x14ac:dyDescent="0.2">
      <c r="B304" s="30" t="s">
        <v>1401</v>
      </c>
      <c r="C304" s="106" t="s">
        <v>1740</v>
      </c>
      <c r="D304" s="183" t="s">
        <v>653</v>
      </c>
      <c r="E304" s="184"/>
      <c r="F304" s="184" t="s">
        <v>1386</v>
      </c>
      <c r="G304" s="111" t="s">
        <v>1006</v>
      </c>
    </row>
    <row r="305" spans="2:7" ht="14.45" customHeight="1" x14ac:dyDescent="0.2">
      <c r="B305" s="30" t="s">
        <v>1401</v>
      </c>
      <c r="C305" s="106" t="s">
        <v>1740</v>
      </c>
      <c r="D305" s="183" t="s">
        <v>654</v>
      </c>
      <c r="E305" s="184"/>
      <c r="F305" s="184" t="s">
        <v>1386</v>
      </c>
      <c r="G305" s="111" t="s">
        <v>1007</v>
      </c>
    </row>
    <row r="306" spans="2:7" ht="14.45" customHeight="1" x14ac:dyDescent="0.2">
      <c r="B306" s="30" t="s">
        <v>1401</v>
      </c>
      <c r="C306" s="106" t="s">
        <v>1740</v>
      </c>
      <c r="D306" s="183" t="s">
        <v>655</v>
      </c>
      <c r="E306" s="184"/>
      <c r="F306" s="184" t="s">
        <v>1386</v>
      </c>
      <c r="G306" s="111" t="s">
        <v>1008</v>
      </c>
    </row>
    <row r="307" spans="2:7" ht="14.45" customHeight="1" x14ac:dyDescent="0.2">
      <c r="B307" s="30" t="s">
        <v>1401</v>
      </c>
      <c r="C307" s="106" t="s">
        <v>1740</v>
      </c>
      <c r="D307" s="183" t="s">
        <v>656</v>
      </c>
      <c r="E307" s="184"/>
      <c r="F307" s="184" t="s">
        <v>1386</v>
      </c>
      <c r="G307" s="111" t="s">
        <v>1009</v>
      </c>
    </row>
    <row r="308" spans="2:7" ht="14.45" customHeight="1" x14ac:dyDescent="0.2">
      <c r="B308" s="30" t="s">
        <v>1401</v>
      </c>
      <c r="C308" s="106" t="s">
        <v>1740</v>
      </c>
      <c r="D308" s="183" t="s">
        <v>657</v>
      </c>
      <c r="E308" s="184"/>
      <c r="F308" s="184" t="s">
        <v>1386</v>
      </c>
      <c r="G308" s="111" t="s">
        <v>1010</v>
      </c>
    </row>
    <row r="309" spans="2:7" ht="14.45" customHeight="1" x14ac:dyDescent="0.2">
      <c r="B309" s="30" t="s">
        <v>1401</v>
      </c>
      <c r="C309" s="118" t="s">
        <v>1740</v>
      </c>
      <c r="D309" s="185" t="s">
        <v>1012</v>
      </c>
      <c r="E309" s="186"/>
      <c r="F309" s="186" t="s">
        <v>1386</v>
      </c>
      <c r="G309" s="187" t="s">
        <v>1011</v>
      </c>
    </row>
    <row r="310" spans="2:7" ht="14.45" customHeight="1" x14ac:dyDescent="0.2">
      <c r="B310" s="30" t="s">
        <v>1401</v>
      </c>
      <c r="C310" s="206" t="s">
        <v>452</v>
      </c>
      <c r="D310" s="188" t="s">
        <v>658</v>
      </c>
      <c r="E310" s="189"/>
      <c r="F310" s="189" t="s">
        <v>1386</v>
      </c>
      <c r="G310" s="190" t="s">
        <v>1116</v>
      </c>
    </row>
    <row r="311" spans="2:7" ht="14.45" customHeight="1" x14ac:dyDescent="0.2">
      <c r="B311" s="30" t="s">
        <v>1401</v>
      </c>
      <c r="C311" s="106" t="s">
        <v>452</v>
      </c>
      <c r="D311" s="183" t="s">
        <v>659</v>
      </c>
      <c r="E311" s="184"/>
      <c r="F311" s="184" t="s">
        <v>1386</v>
      </c>
      <c r="G311" s="111" t="s">
        <v>1015</v>
      </c>
    </row>
    <row r="312" spans="2:7" ht="14.45" customHeight="1" x14ac:dyDescent="0.2">
      <c r="B312" s="30" t="s">
        <v>1401</v>
      </c>
      <c r="C312" s="106" t="s">
        <v>452</v>
      </c>
      <c r="D312" s="183" t="s">
        <v>660</v>
      </c>
      <c r="E312" s="184"/>
      <c r="F312" s="184" t="s">
        <v>1386</v>
      </c>
      <c r="G312" s="111" t="s">
        <v>1013</v>
      </c>
    </row>
    <row r="313" spans="2:7" ht="14.45" customHeight="1" x14ac:dyDescent="0.2">
      <c r="B313" s="30" t="s">
        <v>1401</v>
      </c>
      <c r="C313" s="118" t="s">
        <v>452</v>
      </c>
      <c r="D313" s="185" t="s">
        <v>661</v>
      </c>
      <c r="E313" s="186"/>
      <c r="F313" s="186" t="s">
        <v>1386</v>
      </c>
      <c r="G313" s="187" t="s">
        <v>1014</v>
      </c>
    </row>
    <row r="314" spans="2:7" ht="14.45" customHeight="1" x14ac:dyDescent="0.2">
      <c r="B314" s="30" t="s">
        <v>1401</v>
      </c>
      <c r="C314" s="94" t="s">
        <v>453</v>
      </c>
      <c r="D314" s="188" t="s">
        <v>662</v>
      </c>
      <c r="E314" s="189" t="s">
        <v>1424</v>
      </c>
      <c r="F314" s="189" t="s">
        <v>1386</v>
      </c>
      <c r="G314" s="190" t="s">
        <v>2119</v>
      </c>
    </row>
    <row r="315" spans="2:7" ht="14.45" customHeight="1" x14ac:dyDescent="0.2">
      <c r="B315" s="30" t="s">
        <v>1401</v>
      </c>
      <c r="C315" s="106" t="s">
        <v>453</v>
      </c>
      <c r="D315" s="183" t="s">
        <v>663</v>
      </c>
      <c r="E315" s="184"/>
      <c r="F315" s="184" t="s">
        <v>1386</v>
      </c>
      <c r="G315" s="111" t="s">
        <v>1016</v>
      </c>
    </row>
    <row r="316" spans="2:7" ht="14.45" customHeight="1" x14ac:dyDescent="0.2">
      <c r="B316" s="30" t="s">
        <v>1401</v>
      </c>
      <c r="C316" s="106" t="s">
        <v>453</v>
      </c>
      <c r="D316" s="183" t="s">
        <v>664</v>
      </c>
      <c r="E316" s="184"/>
      <c r="F316" s="184" t="s">
        <v>1386</v>
      </c>
      <c r="G316" s="111" t="s">
        <v>1017</v>
      </c>
    </row>
    <row r="317" spans="2:7" ht="14.45" customHeight="1" thickBot="1" x14ac:dyDescent="0.25">
      <c r="B317" s="43" t="s">
        <v>1401</v>
      </c>
      <c r="C317" s="130" t="s">
        <v>453</v>
      </c>
      <c r="D317" s="185" t="s">
        <v>665</v>
      </c>
      <c r="E317" s="186" t="s">
        <v>1424</v>
      </c>
      <c r="F317" s="186" t="s">
        <v>1386</v>
      </c>
      <c r="G317" s="187" t="s">
        <v>666</v>
      </c>
    </row>
    <row r="318" spans="2:7" ht="14.45" customHeight="1" x14ac:dyDescent="0.2">
      <c r="B318" s="179" t="s">
        <v>1402</v>
      </c>
      <c r="C318" s="142" t="s">
        <v>455</v>
      </c>
      <c r="D318" s="180" t="s">
        <v>490</v>
      </c>
      <c r="E318" s="181"/>
      <c r="F318" s="181" t="s">
        <v>1386</v>
      </c>
      <c r="G318" s="182" t="s">
        <v>514</v>
      </c>
    </row>
    <row r="319" spans="2:7" ht="14.45" customHeight="1" x14ac:dyDescent="0.2">
      <c r="B319" s="30" t="s">
        <v>1402</v>
      </c>
      <c r="C319" s="106" t="s">
        <v>455</v>
      </c>
      <c r="D319" s="183" t="s">
        <v>491</v>
      </c>
      <c r="E319" s="184"/>
      <c r="F319" s="184" t="s">
        <v>1386</v>
      </c>
      <c r="G319" s="111" t="s">
        <v>515</v>
      </c>
    </row>
    <row r="320" spans="2:7" ht="14.45" customHeight="1" x14ac:dyDescent="0.2">
      <c r="B320" s="30" t="s">
        <v>1402</v>
      </c>
      <c r="C320" s="106" t="s">
        <v>455</v>
      </c>
      <c r="D320" s="183" t="s">
        <v>492</v>
      </c>
      <c r="E320" s="184"/>
      <c r="F320" s="184" t="s">
        <v>1386</v>
      </c>
      <c r="G320" s="111" t="s">
        <v>516</v>
      </c>
    </row>
    <row r="321" spans="2:7" ht="14.45" customHeight="1" x14ac:dyDescent="0.2">
      <c r="B321" s="30" t="s">
        <v>1402</v>
      </c>
      <c r="C321" s="106" t="s">
        <v>455</v>
      </c>
      <c r="D321" s="183" t="s">
        <v>493</v>
      </c>
      <c r="E321" s="184"/>
      <c r="F321" s="184" t="s">
        <v>1386</v>
      </c>
      <c r="G321" s="111" t="s">
        <v>517</v>
      </c>
    </row>
    <row r="322" spans="2:7" ht="14.45" customHeight="1" x14ac:dyDescent="0.2">
      <c r="B322" s="30" t="s">
        <v>1402</v>
      </c>
      <c r="C322" s="106" t="s">
        <v>455</v>
      </c>
      <c r="D322" s="183" t="s">
        <v>494</v>
      </c>
      <c r="E322" s="184"/>
      <c r="F322" s="184" t="s">
        <v>1386</v>
      </c>
      <c r="G322" s="111" t="s">
        <v>518</v>
      </c>
    </row>
    <row r="323" spans="2:7" ht="14.45" customHeight="1" x14ac:dyDescent="0.2">
      <c r="B323" s="30" t="s">
        <v>1402</v>
      </c>
      <c r="C323" s="106" t="s">
        <v>455</v>
      </c>
      <c r="D323" s="183" t="s">
        <v>495</v>
      </c>
      <c r="E323" s="184"/>
      <c r="F323" s="184" t="s">
        <v>1386</v>
      </c>
      <c r="G323" s="111" t="s">
        <v>519</v>
      </c>
    </row>
    <row r="324" spans="2:7" ht="14.45" customHeight="1" x14ac:dyDescent="0.2">
      <c r="B324" s="30" t="s">
        <v>1402</v>
      </c>
      <c r="C324" s="118" t="s">
        <v>455</v>
      </c>
      <c r="D324" s="185" t="s">
        <v>496</v>
      </c>
      <c r="E324" s="186"/>
      <c r="F324" s="186" t="s">
        <v>1386</v>
      </c>
      <c r="G324" s="187" t="s">
        <v>520</v>
      </c>
    </row>
    <row r="325" spans="2:7" ht="14.45" customHeight="1" x14ac:dyDescent="0.2">
      <c r="B325" s="30" t="s">
        <v>1402</v>
      </c>
      <c r="C325" s="94" t="s">
        <v>456</v>
      </c>
      <c r="D325" s="188" t="s">
        <v>382</v>
      </c>
      <c r="E325" s="189"/>
      <c r="F325" s="189" t="s">
        <v>1386</v>
      </c>
      <c r="G325" s="190" t="s">
        <v>521</v>
      </c>
    </row>
    <row r="326" spans="2:7" ht="14.45" customHeight="1" x14ac:dyDescent="0.2">
      <c r="B326" s="30" t="s">
        <v>1402</v>
      </c>
      <c r="C326" s="106" t="s">
        <v>456</v>
      </c>
      <c r="D326" s="183" t="s">
        <v>497</v>
      </c>
      <c r="E326" s="184"/>
      <c r="F326" s="184" t="s">
        <v>1386</v>
      </c>
      <c r="G326" s="111" t="s">
        <v>523</v>
      </c>
    </row>
    <row r="327" spans="2:7" ht="14.45" customHeight="1" x14ac:dyDescent="0.2">
      <c r="B327" s="30" t="s">
        <v>1402</v>
      </c>
      <c r="C327" s="106" t="s">
        <v>456</v>
      </c>
      <c r="D327" s="183" t="s">
        <v>18</v>
      </c>
      <c r="E327" s="184"/>
      <c r="F327" s="184" t="s">
        <v>1386</v>
      </c>
      <c r="G327" s="111" t="s">
        <v>522</v>
      </c>
    </row>
    <row r="328" spans="2:7" ht="14.45" customHeight="1" x14ac:dyDescent="0.2">
      <c r="B328" s="30" t="s">
        <v>1402</v>
      </c>
      <c r="C328" s="106" t="s">
        <v>456</v>
      </c>
      <c r="D328" s="183" t="s">
        <v>317</v>
      </c>
      <c r="E328" s="184"/>
      <c r="F328" s="184" t="s">
        <v>1386</v>
      </c>
      <c r="G328" s="111" t="s">
        <v>524</v>
      </c>
    </row>
    <row r="329" spans="2:7" ht="14.45" customHeight="1" x14ac:dyDescent="0.2">
      <c r="B329" s="30" t="s">
        <v>1402</v>
      </c>
      <c r="C329" s="106" t="s">
        <v>456</v>
      </c>
      <c r="D329" s="183" t="s">
        <v>19</v>
      </c>
      <c r="E329" s="184"/>
      <c r="F329" s="184" t="s">
        <v>1386</v>
      </c>
      <c r="G329" s="111" t="s">
        <v>525</v>
      </c>
    </row>
    <row r="330" spans="2:7" ht="14.45" customHeight="1" x14ac:dyDescent="0.2">
      <c r="B330" s="30" t="s">
        <v>1402</v>
      </c>
      <c r="C330" s="106" t="s">
        <v>456</v>
      </c>
      <c r="D330" s="185" t="s">
        <v>498</v>
      </c>
      <c r="E330" s="186"/>
      <c r="F330" s="186" t="s">
        <v>1386</v>
      </c>
      <c r="G330" s="187" t="s">
        <v>526</v>
      </c>
    </row>
    <row r="331" spans="2:7" ht="14.45" customHeight="1" x14ac:dyDescent="0.2">
      <c r="B331" s="30" t="s">
        <v>1402</v>
      </c>
      <c r="C331" s="94" t="s">
        <v>459</v>
      </c>
      <c r="D331" s="188" t="s">
        <v>499</v>
      </c>
      <c r="E331" s="189"/>
      <c r="F331" s="189" t="s">
        <v>1386</v>
      </c>
      <c r="G331" s="190" t="s">
        <v>527</v>
      </c>
    </row>
    <row r="332" spans="2:7" ht="14.45" customHeight="1" x14ac:dyDescent="0.2">
      <c r="B332" s="30" t="s">
        <v>1402</v>
      </c>
      <c r="C332" s="106" t="s">
        <v>459</v>
      </c>
      <c r="D332" s="183" t="s">
        <v>500</v>
      </c>
      <c r="E332" s="184"/>
      <c r="F332" s="184" t="s">
        <v>1386</v>
      </c>
      <c r="G332" s="111" t="s">
        <v>528</v>
      </c>
    </row>
    <row r="333" spans="2:7" ht="14.45" customHeight="1" x14ac:dyDescent="0.2">
      <c r="B333" s="30" t="s">
        <v>1402</v>
      </c>
      <c r="C333" s="106" t="s">
        <v>459</v>
      </c>
      <c r="D333" s="183" t="s">
        <v>501</v>
      </c>
      <c r="E333" s="184"/>
      <c r="F333" s="184" t="s">
        <v>1386</v>
      </c>
      <c r="G333" s="111" t="s">
        <v>529</v>
      </c>
    </row>
    <row r="334" spans="2:7" ht="14.45" customHeight="1" x14ac:dyDescent="0.2">
      <c r="B334" s="30" t="s">
        <v>1402</v>
      </c>
      <c r="C334" s="118" t="s">
        <v>459</v>
      </c>
      <c r="D334" s="185" t="s">
        <v>530</v>
      </c>
      <c r="E334" s="186" t="s">
        <v>1424</v>
      </c>
      <c r="F334" s="186" t="s">
        <v>1386</v>
      </c>
      <c r="G334" s="187" t="s">
        <v>531</v>
      </c>
    </row>
    <row r="335" spans="2:7" ht="14.45" customHeight="1" x14ac:dyDescent="0.2">
      <c r="B335" s="30" t="s">
        <v>1402</v>
      </c>
      <c r="C335" s="94" t="s">
        <v>1774</v>
      </c>
      <c r="D335" s="188" t="s">
        <v>502</v>
      </c>
      <c r="E335" s="189"/>
      <c r="F335" s="189" t="s">
        <v>1386</v>
      </c>
      <c r="G335" s="190" t="s">
        <v>532</v>
      </c>
    </row>
    <row r="336" spans="2:7" ht="14.45" customHeight="1" x14ac:dyDescent="0.2">
      <c r="B336" s="30" t="s">
        <v>1402</v>
      </c>
      <c r="C336" s="106" t="s">
        <v>1774</v>
      </c>
      <c r="D336" s="183" t="s">
        <v>503</v>
      </c>
      <c r="E336" s="184"/>
      <c r="F336" s="184" t="s">
        <v>1386</v>
      </c>
      <c r="G336" s="111" t="s">
        <v>533</v>
      </c>
    </row>
    <row r="337" spans="2:7" ht="14.45" customHeight="1" x14ac:dyDescent="0.2">
      <c r="B337" s="30" t="s">
        <v>1402</v>
      </c>
      <c r="C337" s="106" t="s">
        <v>1774</v>
      </c>
      <c r="D337" s="183" t="s">
        <v>504</v>
      </c>
      <c r="E337" s="184"/>
      <c r="F337" s="184" t="s">
        <v>1386</v>
      </c>
      <c r="G337" s="111" t="s">
        <v>534</v>
      </c>
    </row>
    <row r="338" spans="2:7" ht="14.45" customHeight="1" x14ac:dyDescent="0.2">
      <c r="B338" s="30" t="s">
        <v>1402</v>
      </c>
      <c r="C338" s="106" t="s">
        <v>1774</v>
      </c>
      <c r="D338" s="183" t="s">
        <v>505</v>
      </c>
      <c r="E338" s="184"/>
      <c r="F338" s="184" t="s">
        <v>1386</v>
      </c>
      <c r="G338" s="111" t="s">
        <v>535</v>
      </c>
    </row>
    <row r="339" spans="2:7" ht="14.45" customHeight="1" thickBot="1" x14ac:dyDescent="0.25">
      <c r="B339" s="43" t="s">
        <v>1402</v>
      </c>
      <c r="C339" s="130" t="s">
        <v>1774</v>
      </c>
      <c r="D339" s="185" t="s">
        <v>506</v>
      </c>
      <c r="E339" s="186"/>
      <c r="F339" s="186" t="s">
        <v>1386</v>
      </c>
      <c r="G339" s="187" t="s">
        <v>536</v>
      </c>
    </row>
    <row r="340" spans="2:7" ht="14.45" customHeight="1" x14ac:dyDescent="0.2">
      <c r="B340" s="179" t="s">
        <v>1403</v>
      </c>
      <c r="C340" s="142" t="s">
        <v>462</v>
      </c>
      <c r="D340" s="180" t="s">
        <v>538</v>
      </c>
      <c r="E340" s="181"/>
      <c r="F340" s="181" t="s">
        <v>1386</v>
      </c>
      <c r="G340" s="182" t="s">
        <v>551</v>
      </c>
    </row>
    <row r="341" spans="2:7" ht="14.45" customHeight="1" x14ac:dyDescent="0.2">
      <c r="B341" s="30" t="s">
        <v>1403</v>
      </c>
      <c r="C341" s="106" t="s">
        <v>462</v>
      </c>
      <c r="D341" s="183" t="s">
        <v>539</v>
      </c>
      <c r="E341" s="184"/>
      <c r="F341" s="184" t="s">
        <v>1386</v>
      </c>
      <c r="G341" s="111" t="s">
        <v>552</v>
      </c>
    </row>
    <row r="342" spans="2:7" ht="14.45" customHeight="1" x14ac:dyDescent="0.2">
      <c r="B342" s="30" t="s">
        <v>1403</v>
      </c>
      <c r="C342" s="106" t="s">
        <v>462</v>
      </c>
      <c r="D342" s="183" t="s">
        <v>540</v>
      </c>
      <c r="E342" s="184"/>
      <c r="F342" s="184" t="s">
        <v>1386</v>
      </c>
      <c r="G342" s="111" t="s">
        <v>553</v>
      </c>
    </row>
    <row r="343" spans="2:7" ht="14.45" customHeight="1" x14ac:dyDescent="0.2">
      <c r="B343" s="30" t="s">
        <v>1403</v>
      </c>
      <c r="C343" s="106" t="s">
        <v>462</v>
      </c>
      <c r="D343" s="183" t="s">
        <v>541</v>
      </c>
      <c r="E343" s="184"/>
      <c r="F343" s="184" t="s">
        <v>1386</v>
      </c>
      <c r="G343" s="111" t="s">
        <v>554</v>
      </c>
    </row>
    <row r="344" spans="2:7" ht="14.45" customHeight="1" x14ac:dyDescent="0.2">
      <c r="B344" s="30" t="s">
        <v>1403</v>
      </c>
      <c r="C344" s="118" t="s">
        <v>462</v>
      </c>
      <c r="D344" s="191" t="s">
        <v>542</v>
      </c>
      <c r="E344" s="192"/>
      <c r="F344" s="192" t="s">
        <v>1386</v>
      </c>
      <c r="G344" s="123" t="s">
        <v>555</v>
      </c>
    </row>
    <row r="345" spans="2:7" ht="14.45" customHeight="1" thickBot="1" x14ac:dyDescent="0.25">
      <c r="B345" s="43" t="s">
        <v>1403</v>
      </c>
      <c r="C345" s="207" t="s">
        <v>1755</v>
      </c>
      <c r="D345" s="194" t="s">
        <v>543</v>
      </c>
      <c r="E345" s="195"/>
      <c r="F345" s="195" t="s">
        <v>1386</v>
      </c>
      <c r="G345" s="196" t="s">
        <v>1018</v>
      </c>
    </row>
    <row r="346" spans="2:7" ht="14.45" customHeight="1" x14ac:dyDescent="0.2">
      <c r="B346" s="179" t="s">
        <v>1404</v>
      </c>
      <c r="C346" s="142" t="s">
        <v>1741</v>
      </c>
      <c r="D346" s="180" t="s">
        <v>544</v>
      </c>
      <c r="E346" s="181"/>
      <c r="F346" s="181" t="s">
        <v>1386</v>
      </c>
      <c r="G346" s="182" t="s">
        <v>557</v>
      </c>
    </row>
    <row r="347" spans="2:7" ht="14.45" customHeight="1" x14ac:dyDescent="0.2">
      <c r="B347" s="30" t="s">
        <v>1404</v>
      </c>
      <c r="C347" s="106" t="s">
        <v>1741</v>
      </c>
      <c r="D347" s="183" t="s">
        <v>545</v>
      </c>
      <c r="E347" s="184"/>
      <c r="F347" s="184" t="s">
        <v>1386</v>
      </c>
      <c r="G347" s="111" t="s">
        <v>1117</v>
      </c>
    </row>
    <row r="348" spans="2:7" ht="14.45" customHeight="1" x14ac:dyDescent="0.2">
      <c r="B348" s="30" t="s">
        <v>1404</v>
      </c>
      <c r="C348" s="106" t="s">
        <v>1741</v>
      </c>
      <c r="D348" s="183" t="s">
        <v>546</v>
      </c>
      <c r="E348" s="184"/>
      <c r="F348" s="184" t="s">
        <v>1386</v>
      </c>
      <c r="G348" s="111" t="s">
        <v>1019</v>
      </c>
    </row>
    <row r="349" spans="2:7" ht="14.45" customHeight="1" x14ac:dyDescent="0.2">
      <c r="B349" s="30" t="s">
        <v>1404</v>
      </c>
      <c r="C349" s="106" t="s">
        <v>1741</v>
      </c>
      <c r="D349" s="183" t="s">
        <v>547</v>
      </c>
      <c r="E349" s="184"/>
      <c r="F349" s="184" t="s">
        <v>1386</v>
      </c>
      <c r="G349" s="111" t="s">
        <v>1020</v>
      </c>
    </row>
    <row r="350" spans="2:7" ht="14.45" customHeight="1" x14ac:dyDescent="0.2">
      <c r="B350" s="30" t="s">
        <v>1404</v>
      </c>
      <c r="C350" s="106" t="s">
        <v>1741</v>
      </c>
      <c r="D350" s="183" t="s">
        <v>548</v>
      </c>
      <c r="E350" s="184"/>
      <c r="F350" s="184" t="s">
        <v>1386</v>
      </c>
      <c r="G350" s="111" t="s">
        <v>1021</v>
      </c>
    </row>
    <row r="351" spans="2:7" ht="14.45" customHeight="1" x14ac:dyDescent="0.2">
      <c r="B351" s="30" t="s">
        <v>1404</v>
      </c>
      <c r="C351" s="118" t="s">
        <v>1741</v>
      </c>
      <c r="D351" s="185" t="s">
        <v>549</v>
      </c>
      <c r="E351" s="186"/>
      <c r="F351" s="186" t="s">
        <v>1386</v>
      </c>
      <c r="G351" s="187" t="s">
        <v>1022</v>
      </c>
    </row>
    <row r="352" spans="2:7" ht="14.45" customHeight="1" x14ac:dyDescent="0.2">
      <c r="B352" s="30" t="s">
        <v>1404</v>
      </c>
      <c r="C352" s="94" t="s">
        <v>1756</v>
      </c>
      <c r="D352" s="188" t="s">
        <v>550</v>
      </c>
      <c r="E352" s="189"/>
      <c r="F352" s="189" t="s">
        <v>1386</v>
      </c>
      <c r="G352" s="190" t="s">
        <v>1023</v>
      </c>
    </row>
    <row r="353" spans="2:7" ht="14.45" customHeight="1" x14ac:dyDescent="0.2">
      <c r="B353" s="30" t="s">
        <v>1404</v>
      </c>
      <c r="C353" s="106" t="s">
        <v>1756</v>
      </c>
      <c r="D353" s="183" t="s">
        <v>1389</v>
      </c>
      <c r="E353" s="184"/>
      <c r="F353" s="184" t="s">
        <v>1386</v>
      </c>
      <c r="G353" s="111" t="s">
        <v>1024</v>
      </c>
    </row>
    <row r="354" spans="2:7" ht="14.45" customHeight="1" thickBot="1" x14ac:dyDescent="0.25">
      <c r="B354" s="43" t="s">
        <v>1404</v>
      </c>
      <c r="C354" s="130" t="s">
        <v>1756</v>
      </c>
      <c r="D354" s="185" t="s">
        <v>1388</v>
      </c>
      <c r="E354" s="186"/>
      <c r="F354" s="186" t="s">
        <v>1386</v>
      </c>
      <c r="G354" s="187" t="s">
        <v>1118</v>
      </c>
    </row>
    <row r="355" spans="2:7" ht="14.45" customHeight="1" x14ac:dyDescent="0.2">
      <c r="B355" s="179" t="s">
        <v>1405</v>
      </c>
      <c r="C355" s="142" t="s">
        <v>1742</v>
      </c>
      <c r="D355" s="180" t="s">
        <v>153</v>
      </c>
      <c r="E355" s="181"/>
      <c r="F355" s="181" t="s">
        <v>1386</v>
      </c>
      <c r="G355" s="182" t="s">
        <v>1119</v>
      </c>
    </row>
    <row r="356" spans="2:7" ht="14.45" customHeight="1" x14ac:dyDescent="0.2">
      <c r="B356" s="30" t="s">
        <v>1405</v>
      </c>
      <c r="C356" s="106" t="s">
        <v>1742</v>
      </c>
      <c r="D356" s="183" t="s">
        <v>565</v>
      </c>
      <c r="E356" s="184"/>
      <c r="F356" s="184" t="s">
        <v>1386</v>
      </c>
      <c r="G356" s="111" t="s">
        <v>1120</v>
      </c>
    </row>
    <row r="357" spans="2:7" ht="14.45" customHeight="1" x14ac:dyDescent="0.2">
      <c r="B357" s="30" t="s">
        <v>1405</v>
      </c>
      <c r="C357" s="106" t="s">
        <v>1742</v>
      </c>
      <c r="D357" s="183" t="s">
        <v>566</v>
      </c>
      <c r="E357" s="184"/>
      <c r="F357" s="184" t="s">
        <v>1386</v>
      </c>
      <c r="G357" s="111" t="s">
        <v>1121</v>
      </c>
    </row>
    <row r="358" spans="2:7" ht="14.45" customHeight="1" x14ac:dyDescent="0.2">
      <c r="B358" s="30" t="s">
        <v>1405</v>
      </c>
      <c r="C358" s="106" t="s">
        <v>1742</v>
      </c>
      <c r="D358" s="183" t="s">
        <v>567</v>
      </c>
      <c r="E358" s="184"/>
      <c r="F358" s="184" t="s">
        <v>1386</v>
      </c>
      <c r="G358" s="111" t="s">
        <v>1025</v>
      </c>
    </row>
    <row r="359" spans="2:7" ht="14.45" customHeight="1" x14ac:dyDescent="0.2">
      <c r="B359" s="30" t="s">
        <v>1405</v>
      </c>
      <c r="C359" s="106" t="s">
        <v>1742</v>
      </c>
      <c r="D359" s="183" t="s">
        <v>568</v>
      </c>
      <c r="E359" s="184"/>
      <c r="F359" s="184" t="s">
        <v>1386</v>
      </c>
      <c r="G359" s="111" t="s">
        <v>1026</v>
      </c>
    </row>
    <row r="360" spans="2:7" ht="14.45" customHeight="1" x14ac:dyDescent="0.2">
      <c r="B360" s="30" t="s">
        <v>1405</v>
      </c>
      <c r="C360" s="118" t="s">
        <v>1742</v>
      </c>
      <c r="D360" s="185" t="s">
        <v>569</v>
      </c>
      <c r="E360" s="186"/>
      <c r="F360" s="186" t="s">
        <v>1386</v>
      </c>
      <c r="G360" s="187" t="s">
        <v>1027</v>
      </c>
    </row>
    <row r="361" spans="2:7" ht="14.45" customHeight="1" x14ac:dyDescent="0.2">
      <c r="B361" s="30" t="s">
        <v>1405</v>
      </c>
      <c r="C361" s="94" t="s">
        <v>466</v>
      </c>
      <c r="D361" s="188" t="s">
        <v>570</v>
      </c>
      <c r="E361" s="189"/>
      <c r="F361" s="189" t="s">
        <v>1386</v>
      </c>
      <c r="G361" s="190" t="s">
        <v>1028</v>
      </c>
    </row>
    <row r="362" spans="2:7" ht="14.45" customHeight="1" x14ac:dyDescent="0.2">
      <c r="B362" s="30" t="s">
        <v>1405</v>
      </c>
      <c r="C362" s="106" t="s">
        <v>466</v>
      </c>
      <c r="D362" s="183" t="s">
        <v>571</v>
      </c>
      <c r="E362" s="184"/>
      <c r="F362" s="184" t="s">
        <v>1386</v>
      </c>
      <c r="G362" s="111" t="s">
        <v>1029</v>
      </c>
    </row>
    <row r="363" spans="2:7" ht="14.45" customHeight="1" x14ac:dyDescent="0.2">
      <c r="B363" s="30" t="s">
        <v>1405</v>
      </c>
      <c r="C363" s="106" t="s">
        <v>466</v>
      </c>
      <c r="D363" s="183" t="s">
        <v>328</v>
      </c>
      <c r="E363" s="184"/>
      <c r="F363" s="184" t="s">
        <v>1386</v>
      </c>
      <c r="G363" s="111" t="s">
        <v>1030</v>
      </c>
    </row>
    <row r="364" spans="2:7" ht="14.45" customHeight="1" x14ac:dyDescent="0.2">
      <c r="B364" s="30" t="s">
        <v>1405</v>
      </c>
      <c r="C364" s="106" t="s">
        <v>466</v>
      </c>
      <c r="D364" s="183" t="s">
        <v>572</v>
      </c>
      <c r="E364" s="184" t="s">
        <v>1424</v>
      </c>
      <c r="F364" s="184" t="s">
        <v>1386</v>
      </c>
      <c r="G364" s="111" t="s">
        <v>1676</v>
      </c>
    </row>
    <row r="365" spans="2:7" ht="14.45" customHeight="1" x14ac:dyDescent="0.2">
      <c r="B365" s="30" t="s">
        <v>1405</v>
      </c>
      <c r="C365" s="118" t="s">
        <v>466</v>
      </c>
      <c r="D365" s="185" t="s">
        <v>573</v>
      </c>
      <c r="E365" s="186"/>
      <c r="F365" s="186" t="s">
        <v>1386</v>
      </c>
      <c r="G365" s="187" t="s">
        <v>1122</v>
      </c>
    </row>
    <row r="366" spans="2:7" ht="14.45" customHeight="1" x14ac:dyDescent="0.2">
      <c r="B366" s="30" t="s">
        <v>1405</v>
      </c>
      <c r="C366" s="94" t="s">
        <v>1764</v>
      </c>
      <c r="D366" s="188" t="s">
        <v>574</v>
      </c>
      <c r="E366" s="189"/>
      <c r="F366" s="189" t="s">
        <v>1386</v>
      </c>
      <c r="G366" s="190" t="s">
        <v>1031</v>
      </c>
    </row>
    <row r="367" spans="2:7" ht="14.45" customHeight="1" x14ac:dyDescent="0.2">
      <c r="B367" s="30" t="s">
        <v>1405</v>
      </c>
      <c r="C367" s="106" t="s">
        <v>1764</v>
      </c>
      <c r="D367" s="183" t="s">
        <v>575</v>
      </c>
      <c r="E367" s="184"/>
      <c r="F367" s="184" t="s">
        <v>1386</v>
      </c>
      <c r="G367" s="111" t="s">
        <v>1032</v>
      </c>
    </row>
    <row r="368" spans="2:7" ht="14.45" customHeight="1" x14ac:dyDescent="0.2">
      <c r="B368" s="30" t="s">
        <v>1405</v>
      </c>
      <c r="C368" s="118" t="s">
        <v>1764</v>
      </c>
      <c r="D368" s="185" t="s">
        <v>576</v>
      </c>
      <c r="E368" s="186"/>
      <c r="F368" s="186" t="s">
        <v>1386</v>
      </c>
      <c r="G368" s="187" t="s">
        <v>1033</v>
      </c>
    </row>
    <row r="369" spans="2:7" ht="14.45" customHeight="1" x14ac:dyDescent="0.2">
      <c r="B369" s="30" t="s">
        <v>1405</v>
      </c>
      <c r="C369" s="94" t="s">
        <v>1775</v>
      </c>
      <c r="D369" s="188" t="s">
        <v>491</v>
      </c>
      <c r="E369" s="189"/>
      <c r="F369" s="189" t="s">
        <v>1386</v>
      </c>
      <c r="G369" s="190" t="s">
        <v>1034</v>
      </c>
    </row>
    <row r="370" spans="2:7" ht="14.45" customHeight="1" x14ac:dyDescent="0.2">
      <c r="B370" s="30" t="s">
        <v>1405</v>
      </c>
      <c r="C370" s="106" t="s">
        <v>1775</v>
      </c>
      <c r="D370" s="183" t="s">
        <v>492</v>
      </c>
      <c r="E370" s="184"/>
      <c r="F370" s="184" t="s">
        <v>1386</v>
      </c>
      <c r="G370" s="111" t="s">
        <v>1134</v>
      </c>
    </row>
    <row r="371" spans="2:7" ht="14.45" customHeight="1" x14ac:dyDescent="0.2">
      <c r="B371" s="30" t="s">
        <v>1405</v>
      </c>
      <c r="C371" s="106" t="s">
        <v>1775</v>
      </c>
      <c r="D371" s="183" t="s">
        <v>493</v>
      </c>
      <c r="E371" s="184"/>
      <c r="F371" s="184" t="s">
        <v>1386</v>
      </c>
      <c r="G371" s="111" t="s">
        <v>1123</v>
      </c>
    </row>
    <row r="372" spans="2:7" ht="14.45" customHeight="1" x14ac:dyDescent="0.2">
      <c r="B372" s="30" t="s">
        <v>1405</v>
      </c>
      <c r="C372" s="106" t="s">
        <v>1775</v>
      </c>
      <c r="D372" s="183" t="s">
        <v>495</v>
      </c>
      <c r="E372" s="184"/>
      <c r="F372" s="184" t="s">
        <v>1386</v>
      </c>
      <c r="G372" s="111" t="s">
        <v>1035</v>
      </c>
    </row>
    <row r="373" spans="2:7" ht="14.45" customHeight="1" x14ac:dyDescent="0.2">
      <c r="B373" s="30" t="s">
        <v>1405</v>
      </c>
      <c r="C373" s="106" t="s">
        <v>1775</v>
      </c>
      <c r="D373" s="183" t="s">
        <v>494</v>
      </c>
      <c r="E373" s="184"/>
      <c r="F373" s="184" t="s">
        <v>1386</v>
      </c>
      <c r="G373" s="111" t="s">
        <v>1036</v>
      </c>
    </row>
    <row r="374" spans="2:7" ht="14.45" customHeight="1" x14ac:dyDescent="0.2">
      <c r="B374" s="30" t="s">
        <v>1405</v>
      </c>
      <c r="C374" s="106" t="s">
        <v>1775</v>
      </c>
      <c r="D374" s="183" t="s">
        <v>560</v>
      </c>
      <c r="E374" s="184"/>
      <c r="F374" s="184" t="s">
        <v>1386</v>
      </c>
      <c r="G374" s="111" t="s">
        <v>1037</v>
      </c>
    </row>
    <row r="375" spans="2:7" ht="14.45" customHeight="1" x14ac:dyDescent="0.2">
      <c r="B375" s="30" t="s">
        <v>1405</v>
      </c>
      <c r="C375" s="106" t="s">
        <v>1775</v>
      </c>
      <c r="D375" s="183" t="s">
        <v>19</v>
      </c>
      <c r="E375" s="184"/>
      <c r="F375" s="184" t="s">
        <v>1386</v>
      </c>
      <c r="G375" s="111" t="s">
        <v>1038</v>
      </c>
    </row>
    <row r="376" spans="2:7" ht="14.45" customHeight="1" x14ac:dyDescent="0.2">
      <c r="B376" s="30" t="s">
        <v>1405</v>
      </c>
      <c r="C376" s="106" t="s">
        <v>1775</v>
      </c>
      <c r="D376" s="183" t="s">
        <v>1040</v>
      </c>
      <c r="E376" s="184"/>
      <c r="F376" s="184" t="s">
        <v>1386</v>
      </c>
      <c r="G376" s="111" t="s">
        <v>1039</v>
      </c>
    </row>
    <row r="377" spans="2:7" ht="14.45" customHeight="1" x14ac:dyDescent="0.2">
      <c r="B377" s="30" t="s">
        <v>1405</v>
      </c>
      <c r="C377" s="106" t="s">
        <v>1775</v>
      </c>
      <c r="D377" s="183" t="s">
        <v>383</v>
      </c>
      <c r="E377" s="184"/>
      <c r="F377" s="184" t="s">
        <v>1386</v>
      </c>
      <c r="G377" s="111" t="s">
        <v>1041</v>
      </c>
    </row>
    <row r="378" spans="2:7" ht="14.45" customHeight="1" x14ac:dyDescent="0.2">
      <c r="B378" s="30" t="s">
        <v>1405</v>
      </c>
      <c r="C378" s="118" t="s">
        <v>1775</v>
      </c>
      <c r="D378" s="185" t="s">
        <v>499</v>
      </c>
      <c r="E378" s="186"/>
      <c r="F378" s="186" t="s">
        <v>1386</v>
      </c>
      <c r="G378" s="187" t="s">
        <v>1042</v>
      </c>
    </row>
    <row r="379" spans="2:7" ht="14.45" customHeight="1" x14ac:dyDescent="0.2">
      <c r="B379" s="30" t="s">
        <v>1405</v>
      </c>
      <c r="C379" s="94" t="s">
        <v>468</v>
      </c>
      <c r="D379" s="188" t="s">
        <v>577</v>
      </c>
      <c r="E379" s="189"/>
      <c r="F379" s="189" t="s">
        <v>1386</v>
      </c>
      <c r="G379" s="190" t="s">
        <v>1045</v>
      </c>
    </row>
    <row r="380" spans="2:7" ht="14.45" customHeight="1" x14ac:dyDescent="0.2">
      <c r="B380" s="30" t="s">
        <v>1405</v>
      </c>
      <c r="C380" s="106" t="s">
        <v>468</v>
      </c>
      <c r="D380" s="183" t="s">
        <v>578</v>
      </c>
      <c r="E380" s="184"/>
      <c r="F380" s="184" t="s">
        <v>1386</v>
      </c>
      <c r="G380" s="111" t="s">
        <v>1046</v>
      </c>
    </row>
    <row r="381" spans="2:7" ht="14.45" customHeight="1" x14ac:dyDescent="0.2">
      <c r="B381" s="30" t="s">
        <v>1405</v>
      </c>
      <c r="C381" s="106" t="s">
        <v>468</v>
      </c>
      <c r="D381" s="183" t="s">
        <v>579</v>
      </c>
      <c r="E381" s="184"/>
      <c r="F381" s="184" t="s">
        <v>1386</v>
      </c>
      <c r="G381" s="111" t="s">
        <v>1043</v>
      </c>
    </row>
    <row r="382" spans="2:7" ht="14.45" customHeight="1" x14ac:dyDescent="0.2">
      <c r="B382" s="30" t="s">
        <v>1405</v>
      </c>
      <c r="C382" s="118" t="s">
        <v>468</v>
      </c>
      <c r="D382" s="185" t="s">
        <v>580</v>
      </c>
      <c r="E382" s="186"/>
      <c r="F382" s="186" t="s">
        <v>1386</v>
      </c>
      <c r="G382" s="187" t="s">
        <v>1044</v>
      </c>
    </row>
    <row r="383" spans="2:7" ht="14.45" customHeight="1" x14ac:dyDescent="0.2">
      <c r="B383" s="30" t="s">
        <v>1405</v>
      </c>
      <c r="C383" s="94" t="s">
        <v>1781</v>
      </c>
      <c r="D383" s="188" t="s">
        <v>538</v>
      </c>
      <c r="E383" s="189"/>
      <c r="F383" s="189" t="s">
        <v>1386</v>
      </c>
      <c r="G383" s="190" t="s">
        <v>1124</v>
      </c>
    </row>
    <row r="384" spans="2:7" ht="14.45" customHeight="1" x14ac:dyDescent="0.2">
      <c r="B384" s="30" t="s">
        <v>1405</v>
      </c>
      <c r="C384" s="118" t="s">
        <v>1781</v>
      </c>
      <c r="D384" s="191" t="s">
        <v>543</v>
      </c>
      <c r="E384" s="192"/>
      <c r="F384" s="192" t="s">
        <v>1386</v>
      </c>
      <c r="G384" s="123" t="s">
        <v>1047</v>
      </c>
    </row>
    <row r="385" spans="2:7" ht="14.45" customHeight="1" thickBot="1" x14ac:dyDescent="0.25">
      <c r="B385" s="30" t="s">
        <v>1405</v>
      </c>
      <c r="C385" s="197" t="s">
        <v>1783</v>
      </c>
      <c r="D385" s="194" t="s">
        <v>581</v>
      </c>
      <c r="E385" s="195"/>
      <c r="F385" s="195" t="s">
        <v>1386</v>
      </c>
      <c r="G385" s="196" t="s">
        <v>1048</v>
      </c>
    </row>
    <row r="386" spans="2:7" ht="14.45" customHeight="1" x14ac:dyDescent="0.2">
      <c r="B386" s="179" t="s">
        <v>476</v>
      </c>
      <c r="C386" s="142" t="s">
        <v>472</v>
      </c>
      <c r="D386" s="180" t="s">
        <v>473</v>
      </c>
      <c r="E386" s="181"/>
      <c r="F386" s="181" t="s">
        <v>1386</v>
      </c>
      <c r="G386" s="182" t="s">
        <v>1049</v>
      </c>
    </row>
    <row r="387" spans="2:7" ht="14.45" customHeight="1" x14ac:dyDescent="0.2">
      <c r="B387" s="30" t="s">
        <v>471</v>
      </c>
      <c r="C387" s="118" t="s">
        <v>472</v>
      </c>
      <c r="D387" s="185" t="s">
        <v>598</v>
      </c>
      <c r="E387" s="186"/>
      <c r="F387" s="186" t="s">
        <v>1386</v>
      </c>
      <c r="G387" s="187" t="s">
        <v>1050</v>
      </c>
    </row>
    <row r="388" spans="2:7" ht="14.45" customHeight="1" x14ac:dyDescent="0.2">
      <c r="B388" s="30" t="s">
        <v>471</v>
      </c>
      <c r="C388" s="94" t="s">
        <v>475</v>
      </c>
      <c r="D388" s="188" t="s">
        <v>381</v>
      </c>
      <c r="E388" s="189"/>
      <c r="F388" s="189" t="s">
        <v>1386</v>
      </c>
      <c r="G388" s="190" t="s">
        <v>1051</v>
      </c>
    </row>
    <row r="389" spans="2:7" ht="14.45" customHeight="1" x14ac:dyDescent="0.2">
      <c r="B389" s="30" t="s">
        <v>471</v>
      </c>
      <c r="C389" s="106" t="s">
        <v>475</v>
      </c>
      <c r="D389" s="183" t="s">
        <v>599</v>
      </c>
      <c r="E389" s="184"/>
      <c r="F389" s="184" t="s">
        <v>1386</v>
      </c>
      <c r="G389" s="111" t="s">
        <v>1136</v>
      </c>
    </row>
    <row r="390" spans="2:7" ht="14.45" customHeight="1" x14ac:dyDescent="0.2">
      <c r="B390" s="30" t="s">
        <v>471</v>
      </c>
      <c r="C390" s="106" t="s">
        <v>475</v>
      </c>
      <c r="D390" s="183" t="s">
        <v>600</v>
      </c>
      <c r="E390" s="184"/>
      <c r="F390" s="184" t="s">
        <v>1386</v>
      </c>
      <c r="G390" s="111" t="s">
        <v>1125</v>
      </c>
    </row>
    <row r="391" spans="2:7" ht="14.45" customHeight="1" x14ac:dyDescent="0.2">
      <c r="B391" s="30" t="s">
        <v>471</v>
      </c>
      <c r="C391" s="106" t="s">
        <v>475</v>
      </c>
      <c r="D391" s="183" t="s">
        <v>601</v>
      </c>
      <c r="E391" s="184"/>
      <c r="F391" s="184" t="s">
        <v>1386</v>
      </c>
      <c r="G391" s="111" t="s">
        <v>1052</v>
      </c>
    </row>
    <row r="392" spans="2:7" ht="14.45" customHeight="1" x14ac:dyDescent="0.2">
      <c r="B392" s="30" t="s">
        <v>471</v>
      </c>
      <c r="C392" s="118" t="s">
        <v>475</v>
      </c>
      <c r="D392" s="191" t="s">
        <v>602</v>
      </c>
      <c r="E392" s="192"/>
      <c r="F392" s="192" t="s">
        <v>1386</v>
      </c>
      <c r="G392" s="123" t="s">
        <v>1053</v>
      </c>
    </row>
    <row r="393" spans="2:7" ht="14.45" customHeight="1" x14ac:dyDescent="0.2">
      <c r="B393" s="30" t="s">
        <v>471</v>
      </c>
      <c r="C393" s="197" t="s">
        <v>1765</v>
      </c>
      <c r="D393" s="208" t="s">
        <v>384</v>
      </c>
      <c r="E393" s="209"/>
      <c r="F393" s="209" t="s">
        <v>1386</v>
      </c>
      <c r="G393" s="210" t="s">
        <v>1054</v>
      </c>
    </row>
    <row r="394" spans="2:7" ht="14.45" customHeight="1" thickBot="1" x14ac:dyDescent="0.25">
      <c r="B394" s="30" t="s">
        <v>471</v>
      </c>
      <c r="C394" s="197" t="s">
        <v>477</v>
      </c>
      <c r="D394" s="211" t="s">
        <v>385</v>
      </c>
      <c r="E394" s="212"/>
      <c r="F394" s="212" t="s">
        <v>1386</v>
      </c>
      <c r="G394" s="213" t="s">
        <v>1055</v>
      </c>
    </row>
    <row r="395" spans="2:7" ht="14.45" customHeight="1" x14ac:dyDescent="0.2">
      <c r="B395" s="179" t="s">
        <v>1837</v>
      </c>
      <c r="C395" s="142" t="s">
        <v>479</v>
      </c>
      <c r="D395" s="180" t="s">
        <v>1</v>
      </c>
      <c r="E395" s="181"/>
      <c r="F395" s="181" t="s">
        <v>1386</v>
      </c>
      <c r="G395" s="182" t="s">
        <v>1056</v>
      </c>
    </row>
    <row r="396" spans="2:7" ht="14.45" customHeight="1" x14ac:dyDescent="0.2">
      <c r="B396" s="30" t="s">
        <v>478</v>
      </c>
      <c r="C396" s="118" t="s">
        <v>479</v>
      </c>
      <c r="D396" s="185" t="s">
        <v>17</v>
      </c>
      <c r="E396" s="186"/>
      <c r="F396" s="186" t="s">
        <v>1386</v>
      </c>
      <c r="G396" s="187" t="s">
        <v>1057</v>
      </c>
    </row>
    <row r="397" spans="2:7" ht="14.45" customHeight="1" x14ac:dyDescent="0.2">
      <c r="B397" s="30" t="s">
        <v>478</v>
      </c>
      <c r="C397" s="94" t="s">
        <v>480</v>
      </c>
      <c r="D397" s="188" t="s">
        <v>583</v>
      </c>
      <c r="E397" s="189"/>
      <c r="F397" s="189" t="s">
        <v>1386</v>
      </c>
      <c r="G397" s="190" t="s">
        <v>1058</v>
      </c>
    </row>
    <row r="398" spans="2:7" ht="14.45" customHeight="1" x14ac:dyDescent="0.2">
      <c r="B398" s="30" t="s">
        <v>478</v>
      </c>
      <c r="C398" s="106" t="s">
        <v>480</v>
      </c>
      <c r="D398" s="183" t="s">
        <v>584</v>
      </c>
      <c r="E398" s="184"/>
      <c r="F398" s="184" t="s">
        <v>1386</v>
      </c>
      <c r="G398" s="111" t="s">
        <v>1059</v>
      </c>
    </row>
    <row r="399" spans="2:7" ht="14.45" customHeight="1" x14ac:dyDescent="0.2">
      <c r="B399" s="30" t="s">
        <v>478</v>
      </c>
      <c r="C399" s="106" t="s">
        <v>480</v>
      </c>
      <c r="D399" s="183" t="s">
        <v>585</v>
      </c>
      <c r="E399" s="184"/>
      <c r="F399" s="184" t="s">
        <v>1386</v>
      </c>
      <c r="G399" s="111" t="s">
        <v>1060</v>
      </c>
    </row>
    <row r="400" spans="2:7" ht="14.45" customHeight="1" x14ac:dyDescent="0.2">
      <c r="B400" s="30" t="s">
        <v>478</v>
      </c>
      <c r="C400" s="106" t="s">
        <v>480</v>
      </c>
      <c r="D400" s="183" t="s">
        <v>586</v>
      </c>
      <c r="E400" s="184"/>
      <c r="F400" s="184" t="s">
        <v>1386</v>
      </c>
      <c r="G400" s="111" t="s">
        <v>1061</v>
      </c>
    </row>
    <row r="401" spans="2:7" ht="14.45" customHeight="1" x14ac:dyDescent="0.2">
      <c r="B401" s="30" t="s">
        <v>478</v>
      </c>
      <c r="C401" s="106" t="s">
        <v>480</v>
      </c>
      <c r="D401" s="183" t="s">
        <v>587</v>
      </c>
      <c r="E401" s="184"/>
      <c r="F401" s="184" t="s">
        <v>1386</v>
      </c>
      <c r="G401" s="111" t="s">
        <v>1062</v>
      </c>
    </row>
    <row r="402" spans="2:7" ht="14.45" customHeight="1" x14ac:dyDescent="0.2">
      <c r="B402" s="30" t="s">
        <v>478</v>
      </c>
      <c r="C402" s="106" t="s">
        <v>480</v>
      </c>
      <c r="D402" s="183" t="s">
        <v>588</v>
      </c>
      <c r="E402" s="184"/>
      <c r="F402" s="184" t="s">
        <v>1386</v>
      </c>
      <c r="G402" s="111" t="s">
        <v>590</v>
      </c>
    </row>
    <row r="403" spans="2:7" ht="14.45" customHeight="1" x14ac:dyDescent="0.2">
      <c r="B403" s="30" t="s">
        <v>478</v>
      </c>
      <c r="C403" s="118" t="s">
        <v>480</v>
      </c>
      <c r="D403" s="185" t="s">
        <v>589</v>
      </c>
      <c r="E403" s="186"/>
      <c r="F403" s="186" t="s">
        <v>1386</v>
      </c>
      <c r="G403" s="187" t="s">
        <v>591</v>
      </c>
    </row>
    <row r="404" spans="2:7" ht="14.45" customHeight="1" x14ac:dyDescent="0.2">
      <c r="B404" s="30" t="s">
        <v>478</v>
      </c>
      <c r="C404" s="94" t="s">
        <v>1766</v>
      </c>
      <c r="D404" s="188" t="s">
        <v>603</v>
      </c>
      <c r="E404" s="189"/>
      <c r="F404" s="189" t="s">
        <v>1386</v>
      </c>
      <c r="G404" s="190" t="s">
        <v>1063</v>
      </c>
    </row>
    <row r="405" spans="2:7" ht="14.45" customHeight="1" x14ac:dyDescent="0.2">
      <c r="B405" s="30" t="s">
        <v>478</v>
      </c>
      <c r="C405" s="106" t="s">
        <v>1766</v>
      </c>
      <c r="D405" s="183" t="s">
        <v>1065</v>
      </c>
      <c r="E405" s="184"/>
      <c r="F405" s="184" t="s">
        <v>1386</v>
      </c>
      <c r="G405" s="111" t="s">
        <v>1064</v>
      </c>
    </row>
    <row r="406" spans="2:7" ht="14.45" customHeight="1" thickBot="1" x14ac:dyDescent="0.25">
      <c r="B406" s="43" t="s">
        <v>478</v>
      </c>
      <c r="C406" s="130" t="s">
        <v>1766</v>
      </c>
      <c r="D406" s="185" t="s">
        <v>604</v>
      </c>
      <c r="E406" s="186"/>
      <c r="F406" s="186" t="s">
        <v>1386</v>
      </c>
      <c r="G406" s="187" t="s">
        <v>1066</v>
      </c>
    </row>
    <row r="407" spans="2:7" ht="14.45" customHeight="1" x14ac:dyDescent="0.2">
      <c r="B407" s="179" t="s">
        <v>1838</v>
      </c>
      <c r="C407" s="142" t="s">
        <v>1743</v>
      </c>
      <c r="D407" s="180" t="s">
        <v>605</v>
      </c>
      <c r="E407" s="181"/>
      <c r="F407" s="181" t="s">
        <v>1386</v>
      </c>
      <c r="G407" s="182" t="s">
        <v>1067</v>
      </c>
    </row>
    <row r="408" spans="2:7" ht="14.45" customHeight="1" x14ac:dyDescent="0.2">
      <c r="B408" s="30" t="s">
        <v>487</v>
      </c>
      <c r="C408" s="106" t="s">
        <v>1743</v>
      </c>
      <c r="D408" s="183" t="s">
        <v>606</v>
      </c>
      <c r="E408" s="184"/>
      <c r="F408" s="184" t="s">
        <v>1386</v>
      </c>
      <c r="G408" s="111" t="s">
        <v>1029</v>
      </c>
    </row>
    <row r="409" spans="2:7" ht="14.45" customHeight="1" x14ac:dyDescent="0.2">
      <c r="B409" s="30" t="s">
        <v>487</v>
      </c>
      <c r="C409" s="106" t="s">
        <v>1743</v>
      </c>
      <c r="D409" s="183" t="s">
        <v>607</v>
      </c>
      <c r="E409" s="184"/>
      <c r="F409" s="184" t="s">
        <v>1386</v>
      </c>
      <c r="G409" s="111" t="s">
        <v>1068</v>
      </c>
    </row>
    <row r="410" spans="2:7" ht="14.45" customHeight="1" x14ac:dyDescent="0.2">
      <c r="B410" s="30" t="s">
        <v>487</v>
      </c>
      <c r="C410" s="118" t="s">
        <v>1743</v>
      </c>
      <c r="D410" s="185" t="s">
        <v>608</v>
      </c>
      <c r="E410" s="186"/>
      <c r="F410" s="186" t="s">
        <v>1386</v>
      </c>
      <c r="G410" s="187" t="s">
        <v>1069</v>
      </c>
    </row>
    <row r="411" spans="2:7" ht="14.45" customHeight="1" x14ac:dyDescent="0.2">
      <c r="B411" s="30" t="s">
        <v>487</v>
      </c>
      <c r="C411" s="94" t="s">
        <v>484</v>
      </c>
      <c r="D411" s="188" t="s">
        <v>609</v>
      </c>
      <c r="E411" s="189"/>
      <c r="F411" s="189" t="s">
        <v>1386</v>
      </c>
      <c r="G411" s="190" t="s">
        <v>1070</v>
      </c>
    </row>
    <row r="412" spans="2:7" ht="14.45" customHeight="1" x14ac:dyDescent="0.2">
      <c r="B412" s="30" t="s">
        <v>487</v>
      </c>
      <c r="C412" s="106" t="s">
        <v>484</v>
      </c>
      <c r="D412" s="183" t="s">
        <v>610</v>
      </c>
      <c r="E412" s="184"/>
      <c r="F412" s="184" t="s">
        <v>1386</v>
      </c>
      <c r="G412" s="111" t="s">
        <v>1072</v>
      </c>
    </row>
    <row r="413" spans="2:7" ht="14.45" customHeight="1" x14ac:dyDescent="0.2">
      <c r="B413" s="30" t="s">
        <v>487</v>
      </c>
      <c r="C413" s="106" t="s">
        <v>484</v>
      </c>
      <c r="D413" s="183" t="s">
        <v>611</v>
      </c>
      <c r="E413" s="184"/>
      <c r="F413" s="184" t="s">
        <v>1386</v>
      </c>
      <c r="G413" s="111" t="s">
        <v>1073</v>
      </c>
    </row>
    <row r="414" spans="2:7" ht="14.45" customHeight="1" x14ac:dyDescent="0.2">
      <c r="B414" s="30" t="s">
        <v>487</v>
      </c>
      <c r="C414" s="106" t="s">
        <v>484</v>
      </c>
      <c r="D414" s="183" t="s">
        <v>614</v>
      </c>
      <c r="E414" s="184"/>
      <c r="F414" s="184" t="s">
        <v>1386</v>
      </c>
      <c r="G414" s="111" t="s">
        <v>613</v>
      </c>
    </row>
    <row r="415" spans="2:7" ht="14.45" customHeight="1" x14ac:dyDescent="0.2">
      <c r="B415" s="30" t="s">
        <v>487</v>
      </c>
      <c r="C415" s="118" t="s">
        <v>484</v>
      </c>
      <c r="D415" s="185" t="s">
        <v>612</v>
      </c>
      <c r="E415" s="186"/>
      <c r="F415" s="186" t="s">
        <v>1386</v>
      </c>
      <c r="G415" s="187" t="s">
        <v>1071</v>
      </c>
    </row>
    <row r="416" spans="2:7" ht="14.45" customHeight="1" x14ac:dyDescent="0.2">
      <c r="B416" s="30" t="s">
        <v>487</v>
      </c>
      <c r="C416" s="94" t="s">
        <v>1767</v>
      </c>
      <c r="D416" s="188" t="s">
        <v>667</v>
      </c>
      <c r="E416" s="189"/>
      <c r="F416" s="189" t="s">
        <v>1386</v>
      </c>
      <c r="G416" s="190" t="s">
        <v>1074</v>
      </c>
    </row>
    <row r="417" spans="2:7" ht="14.45" customHeight="1" x14ac:dyDescent="0.2">
      <c r="B417" s="30" t="s">
        <v>487</v>
      </c>
      <c r="C417" s="106" t="s">
        <v>1767</v>
      </c>
      <c r="D417" s="183" t="s">
        <v>668</v>
      </c>
      <c r="E417" s="184"/>
      <c r="F417" s="184" t="s">
        <v>1386</v>
      </c>
      <c r="G417" s="111" t="s">
        <v>1075</v>
      </c>
    </row>
    <row r="418" spans="2:7" ht="14.45" customHeight="1" x14ac:dyDescent="0.2">
      <c r="B418" s="30" t="s">
        <v>487</v>
      </c>
      <c r="C418" s="118" t="s">
        <v>1767</v>
      </c>
      <c r="D418" s="185" t="s">
        <v>669</v>
      </c>
      <c r="E418" s="186"/>
      <c r="F418" s="186" t="s">
        <v>1386</v>
      </c>
      <c r="G418" s="187" t="s">
        <v>1076</v>
      </c>
    </row>
    <row r="419" spans="2:7" ht="14.45" customHeight="1" x14ac:dyDescent="0.2">
      <c r="B419" s="30" t="s">
        <v>487</v>
      </c>
      <c r="C419" s="94" t="s">
        <v>486</v>
      </c>
      <c r="D419" s="188" t="s">
        <v>670</v>
      </c>
      <c r="E419" s="189"/>
      <c r="F419" s="189" t="s">
        <v>1386</v>
      </c>
      <c r="G419" s="190" t="s">
        <v>1077</v>
      </c>
    </row>
    <row r="420" spans="2:7" ht="14.45" customHeight="1" x14ac:dyDescent="0.2">
      <c r="B420" s="30" t="s">
        <v>487</v>
      </c>
      <c r="C420" s="106" t="s">
        <v>486</v>
      </c>
      <c r="D420" s="183" t="s">
        <v>671</v>
      </c>
      <c r="E420" s="184"/>
      <c r="F420" s="184" t="s">
        <v>1386</v>
      </c>
      <c r="G420" s="111" t="s">
        <v>1078</v>
      </c>
    </row>
    <row r="421" spans="2:7" ht="14.45" customHeight="1" x14ac:dyDescent="0.2">
      <c r="B421" s="30" t="s">
        <v>487</v>
      </c>
      <c r="C421" s="106" t="s">
        <v>486</v>
      </c>
      <c r="D421" s="183" t="s">
        <v>672</v>
      </c>
      <c r="E421" s="184"/>
      <c r="F421" s="184" t="s">
        <v>1386</v>
      </c>
      <c r="G421" s="111" t="s">
        <v>1079</v>
      </c>
    </row>
    <row r="422" spans="2:7" ht="14.45" customHeight="1" x14ac:dyDescent="0.2">
      <c r="B422" s="30" t="s">
        <v>487</v>
      </c>
      <c r="C422" s="118" t="s">
        <v>486</v>
      </c>
      <c r="D422" s="214" t="s">
        <v>673</v>
      </c>
      <c r="E422" s="186"/>
      <c r="F422" s="186" t="s">
        <v>1386</v>
      </c>
      <c r="G422" s="187" t="s">
        <v>1080</v>
      </c>
    </row>
    <row r="423" spans="2:7" ht="14.45" customHeight="1" x14ac:dyDescent="0.2">
      <c r="B423" s="30" t="s">
        <v>487</v>
      </c>
      <c r="C423" s="94" t="s">
        <v>1778</v>
      </c>
      <c r="D423" s="215" t="s">
        <v>674</v>
      </c>
      <c r="E423" s="189"/>
      <c r="F423" s="189" t="s">
        <v>1386</v>
      </c>
      <c r="G423" s="190" t="s">
        <v>1126</v>
      </c>
    </row>
    <row r="424" spans="2:7" ht="14.45" customHeight="1" x14ac:dyDescent="0.2">
      <c r="B424" s="30" t="s">
        <v>487</v>
      </c>
      <c r="C424" s="106" t="s">
        <v>1778</v>
      </c>
      <c r="D424" s="216" t="s">
        <v>539</v>
      </c>
      <c r="E424" s="184"/>
      <c r="F424" s="184" t="s">
        <v>1386</v>
      </c>
      <c r="G424" s="205" t="s">
        <v>1081</v>
      </c>
    </row>
    <row r="425" spans="2:7" ht="14.45" customHeight="1" x14ac:dyDescent="0.2">
      <c r="B425" s="30" t="s">
        <v>487</v>
      </c>
      <c r="C425" s="106" t="s">
        <v>1778</v>
      </c>
      <c r="D425" s="216" t="s">
        <v>669</v>
      </c>
      <c r="E425" s="184"/>
      <c r="F425" s="184" t="s">
        <v>1386</v>
      </c>
      <c r="G425" s="205" t="s">
        <v>1082</v>
      </c>
    </row>
    <row r="426" spans="2:7" ht="14.45" customHeight="1" x14ac:dyDescent="0.2">
      <c r="B426" s="30" t="s">
        <v>487</v>
      </c>
      <c r="C426" s="106" t="s">
        <v>1778</v>
      </c>
      <c r="D426" s="216" t="s">
        <v>675</v>
      </c>
      <c r="E426" s="184"/>
      <c r="F426" s="184" t="s">
        <v>1386</v>
      </c>
      <c r="G426" s="205" t="s">
        <v>1083</v>
      </c>
    </row>
    <row r="427" spans="2:7" ht="14.45" customHeight="1" x14ac:dyDescent="0.2">
      <c r="B427" s="30" t="s">
        <v>487</v>
      </c>
      <c r="C427" s="106" t="s">
        <v>1778</v>
      </c>
      <c r="D427" s="216" t="s">
        <v>676</v>
      </c>
      <c r="E427" s="184"/>
      <c r="F427" s="184" t="s">
        <v>1386</v>
      </c>
      <c r="G427" s="205" t="s">
        <v>1084</v>
      </c>
    </row>
    <row r="428" spans="2:7" ht="14.45" customHeight="1" x14ac:dyDescent="0.2">
      <c r="B428" s="30" t="s">
        <v>487</v>
      </c>
      <c r="C428" s="106" t="s">
        <v>1778</v>
      </c>
      <c r="D428" s="216" t="s">
        <v>677</v>
      </c>
      <c r="E428" s="184"/>
      <c r="F428" s="184" t="s">
        <v>1386</v>
      </c>
      <c r="G428" s="205" t="s">
        <v>1085</v>
      </c>
    </row>
    <row r="429" spans="2:7" ht="14.45" customHeight="1" thickBot="1" x14ac:dyDescent="0.25">
      <c r="B429" s="43" t="s">
        <v>487</v>
      </c>
      <c r="C429" s="130" t="s">
        <v>1778</v>
      </c>
      <c r="D429" s="214" t="s">
        <v>678</v>
      </c>
      <c r="E429" s="186"/>
      <c r="F429" s="186" t="s">
        <v>1386</v>
      </c>
      <c r="G429" s="217" t="s">
        <v>1086</v>
      </c>
    </row>
    <row r="430" spans="2:7" ht="14.45" customHeight="1" x14ac:dyDescent="0.2">
      <c r="B430" s="179" t="s">
        <v>1839</v>
      </c>
      <c r="C430" s="142" t="s">
        <v>1740</v>
      </c>
      <c r="D430" s="218" t="s">
        <v>695</v>
      </c>
      <c r="E430" s="181"/>
      <c r="F430" s="181" t="s">
        <v>1386</v>
      </c>
      <c r="G430" s="219" t="s">
        <v>1127</v>
      </c>
    </row>
    <row r="431" spans="2:7" ht="14.45" customHeight="1" x14ac:dyDescent="0.2">
      <c r="B431" s="30" t="s">
        <v>489</v>
      </c>
      <c r="C431" s="106" t="s">
        <v>1740</v>
      </c>
      <c r="D431" s="216" t="s">
        <v>696</v>
      </c>
      <c r="E431" s="184"/>
      <c r="F431" s="184" t="s">
        <v>1386</v>
      </c>
      <c r="G431" s="205" t="s">
        <v>1087</v>
      </c>
    </row>
    <row r="432" spans="2:7" ht="14.45" customHeight="1" x14ac:dyDescent="0.2">
      <c r="B432" s="30" t="s">
        <v>489</v>
      </c>
      <c r="C432" s="106" t="s">
        <v>1740</v>
      </c>
      <c r="D432" s="216" t="s">
        <v>697</v>
      </c>
      <c r="E432" s="184"/>
      <c r="F432" s="184" t="s">
        <v>1386</v>
      </c>
      <c r="G432" s="205" t="s">
        <v>1088</v>
      </c>
    </row>
    <row r="433" spans="2:7" ht="14.45" customHeight="1" x14ac:dyDescent="0.2">
      <c r="B433" s="30" t="s">
        <v>489</v>
      </c>
      <c r="C433" s="106" t="s">
        <v>1740</v>
      </c>
      <c r="D433" s="216" t="s">
        <v>698</v>
      </c>
      <c r="E433" s="184"/>
      <c r="F433" s="184" t="s">
        <v>1386</v>
      </c>
      <c r="G433" s="205" t="s">
        <v>1089</v>
      </c>
    </row>
    <row r="434" spans="2:7" ht="14.45" customHeight="1" x14ac:dyDescent="0.2">
      <c r="B434" s="30" t="s">
        <v>489</v>
      </c>
      <c r="C434" s="106" t="s">
        <v>1740</v>
      </c>
      <c r="D434" s="216" t="s">
        <v>699</v>
      </c>
      <c r="E434" s="184"/>
      <c r="F434" s="184" t="s">
        <v>1386</v>
      </c>
      <c r="G434" s="205" t="s">
        <v>1135</v>
      </c>
    </row>
    <row r="435" spans="2:7" ht="14.45" customHeight="1" x14ac:dyDescent="0.2">
      <c r="B435" s="30" t="s">
        <v>489</v>
      </c>
      <c r="C435" s="106" t="s">
        <v>1740</v>
      </c>
      <c r="D435" s="216" t="s">
        <v>700</v>
      </c>
      <c r="E435" s="184"/>
      <c r="F435" s="184" t="s">
        <v>1386</v>
      </c>
      <c r="G435" s="205" t="s">
        <v>1090</v>
      </c>
    </row>
    <row r="436" spans="2:7" ht="14.45" customHeight="1" x14ac:dyDescent="0.2">
      <c r="B436" s="30" t="s">
        <v>489</v>
      </c>
      <c r="C436" s="106" t="s">
        <v>1740</v>
      </c>
      <c r="D436" s="216" t="s">
        <v>701</v>
      </c>
      <c r="E436" s="184"/>
      <c r="F436" s="184" t="s">
        <v>1386</v>
      </c>
      <c r="G436" s="205" t="s">
        <v>1091</v>
      </c>
    </row>
    <row r="437" spans="2:7" ht="14.45" customHeight="1" x14ac:dyDescent="0.2">
      <c r="B437" s="30" t="s">
        <v>489</v>
      </c>
      <c r="C437" s="106" t="s">
        <v>1740</v>
      </c>
      <c r="D437" s="216" t="s">
        <v>702</v>
      </c>
      <c r="E437" s="184"/>
      <c r="F437" s="184" t="s">
        <v>1386</v>
      </c>
      <c r="G437" s="205" t="s">
        <v>1092</v>
      </c>
    </row>
    <row r="438" spans="2:7" ht="14.45" customHeight="1" x14ac:dyDescent="0.2">
      <c r="B438" s="30" t="s">
        <v>489</v>
      </c>
      <c r="C438" s="106" t="s">
        <v>1740</v>
      </c>
      <c r="D438" s="216" t="s">
        <v>703</v>
      </c>
      <c r="E438" s="184"/>
      <c r="F438" s="184" t="s">
        <v>1386</v>
      </c>
      <c r="G438" s="205" t="s">
        <v>1093</v>
      </c>
    </row>
    <row r="439" spans="2:7" ht="14.45" customHeight="1" x14ac:dyDescent="0.2">
      <c r="B439" s="30" t="s">
        <v>489</v>
      </c>
      <c r="C439" s="106" t="s">
        <v>1740</v>
      </c>
      <c r="D439" s="216" t="s">
        <v>704</v>
      </c>
      <c r="E439" s="184"/>
      <c r="F439" s="184" t="s">
        <v>1386</v>
      </c>
      <c r="G439" s="205" t="s">
        <v>1095</v>
      </c>
    </row>
    <row r="440" spans="2:7" ht="14.45" customHeight="1" x14ac:dyDescent="0.2">
      <c r="B440" s="30" t="s">
        <v>489</v>
      </c>
      <c r="C440" s="106" t="s">
        <v>1740</v>
      </c>
      <c r="D440" s="216" t="s">
        <v>705</v>
      </c>
      <c r="E440" s="184"/>
      <c r="F440" s="184" t="s">
        <v>1386</v>
      </c>
      <c r="G440" s="205" t="s">
        <v>1094</v>
      </c>
    </row>
    <row r="441" spans="2:7" ht="14.45" customHeight="1" x14ac:dyDescent="0.2">
      <c r="B441" s="30" t="s">
        <v>489</v>
      </c>
      <c r="C441" s="106" t="s">
        <v>1740</v>
      </c>
      <c r="D441" s="216" t="s">
        <v>706</v>
      </c>
      <c r="E441" s="184"/>
      <c r="F441" s="184" t="s">
        <v>1386</v>
      </c>
      <c r="G441" s="205" t="s">
        <v>1097</v>
      </c>
    </row>
    <row r="442" spans="2:7" ht="14.45" customHeight="1" x14ac:dyDescent="0.2">
      <c r="B442" s="30" t="s">
        <v>489</v>
      </c>
      <c r="C442" s="118" t="s">
        <v>1740</v>
      </c>
      <c r="D442" s="214" t="s">
        <v>662</v>
      </c>
      <c r="E442" s="186"/>
      <c r="F442" s="186" t="s">
        <v>1386</v>
      </c>
      <c r="G442" s="217" t="s">
        <v>1096</v>
      </c>
    </row>
    <row r="443" spans="2:7" ht="14.45" customHeight="1" x14ac:dyDescent="0.2">
      <c r="B443" s="30" t="s">
        <v>489</v>
      </c>
      <c r="C443" s="94" t="s">
        <v>1841</v>
      </c>
      <c r="D443" s="215" t="s">
        <v>328</v>
      </c>
      <c r="E443" s="189"/>
      <c r="F443" s="189" t="s">
        <v>1386</v>
      </c>
      <c r="G443" s="220" t="s">
        <v>1098</v>
      </c>
    </row>
    <row r="444" spans="2:7" ht="14.45" customHeight="1" x14ac:dyDescent="0.2">
      <c r="B444" s="30" t="s">
        <v>489</v>
      </c>
      <c r="C444" s="106" t="s">
        <v>1841</v>
      </c>
      <c r="D444" s="216" t="s">
        <v>1100</v>
      </c>
      <c r="E444" s="184"/>
      <c r="F444" s="184" t="s">
        <v>1386</v>
      </c>
      <c r="G444" s="205" t="s">
        <v>1099</v>
      </c>
    </row>
    <row r="445" spans="2:7" ht="14.45" customHeight="1" x14ac:dyDescent="0.2">
      <c r="B445" s="30" t="s">
        <v>489</v>
      </c>
      <c r="C445" s="106" t="s">
        <v>1841</v>
      </c>
      <c r="D445" s="216" t="s">
        <v>1101</v>
      </c>
      <c r="E445" s="184"/>
      <c r="F445" s="184" t="s">
        <v>1386</v>
      </c>
      <c r="G445" s="205" t="s">
        <v>1108</v>
      </c>
    </row>
    <row r="446" spans="2:7" ht="14.45" customHeight="1" x14ac:dyDescent="0.2">
      <c r="B446" s="30" t="s">
        <v>489</v>
      </c>
      <c r="C446" s="106" t="s">
        <v>1841</v>
      </c>
      <c r="D446" s="216" t="s">
        <v>1102</v>
      </c>
      <c r="E446" s="184"/>
      <c r="F446" s="184" t="s">
        <v>1386</v>
      </c>
      <c r="G446" s="205" t="s">
        <v>1109</v>
      </c>
    </row>
    <row r="447" spans="2:7" ht="14.45" customHeight="1" x14ac:dyDescent="0.2">
      <c r="B447" s="30" t="s">
        <v>489</v>
      </c>
      <c r="C447" s="106" t="s">
        <v>1841</v>
      </c>
      <c r="D447" s="216" t="s">
        <v>1103</v>
      </c>
      <c r="E447" s="184"/>
      <c r="F447" s="184" t="s">
        <v>1386</v>
      </c>
      <c r="G447" s="205" t="s">
        <v>1128</v>
      </c>
    </row>
    <row r="448" spans="2:7" ht="14.45" customHeight="1" x14ac:dyDescent="0.2">
      <c r="B448" s="30" t="s">
        <v>489</v>
      </c>
      <c r="C448" s="106" t="s">
        <v>1841</v>
      </c>
      <c r="D448" s="216" t="s">
        <v>1104</v>
      </c>
      <c r="E448" s="184"/>
      <c r="F448" s="184" t="s">
        <v>1386</v>
      </c>
      <c r="G448" s="205" t="s">
        <v>1129</v>
      </c>
    </row>
    <row r="449" spans="2:7" ht="14.45" customHeight="1" x14ac:dyDescent="0.2">
      <c r="B449" s="30" t="s">
        <v>489</v>
      </c>
      <c r="C449" s="106" t="s">
        <v>1841</v>
      </c>
      <c r="D449" s="216" t="s">
        <v>1105</v>
      </c>
      <c r="E449" s="184"/>
      <c r="F449" s="184" t="s">
        <v>1386</v>
      </c>
      <c r="G449" s="205" t="s">
        <v>1110</v>
      </c>
    </row>
    <row r="450" spans="2:7" ht="14.45" customHeight="1" x14ac:dyDescent="0.2">
      <c r="B450" s="30" t="s">
        <v>489</v>
      </c>
      <c r="C450" s="106" t="s">
        <v>1841</v>
      </c>
      <c r="D450" s="216" t="s">
        <v>1106</v>
      </c>
      <c r="E450" s="184"/>
      <c r="F450" s="184" t="s">
        <v>1386</v>
      </c>
      <c r="G450" s="205" t="s">
        <v>1111</v>
      </c>
    </row>
    <row r="451" spans="2:7" ht="14.45" customHeight="1" x14ac:dyDescent="0.2">
      <c r="B451" s="30" t="s">
        <v>489</v>
      </c>
      <c r="C451" s="106" t="s">
        <v>1841</v>
      </c>
      <c r="D451" s="216" t="s">
        <v>1107</v>
      </c>
      <c r="E451" s="184"/>
      <c r="F451" s="184" t="s">
        <v>1386</v>
      </c>
      <c r="G451" s="205" t="s">
        <v>1112</v>
      </c>
    </row>
    <row r="452" spans="2:7" ht="14.45" customHeight="1" x14ac:dyDescent="0.2">
      <c r="B452" s="30" t="s">
        <v>489</v>
      </c>
      <c r="C452" s="106" t="s">
        <v>1841</v>
      </c>
      <c r="D452" s="216" t="s">
        <v>707</v>
      </c>
      <c r="E452" s="184"/>
      <c r="F452" s="184" t="s">
        <v>1386</v>
      </c>
      <c r="G452" s="205" t="s">
        <v>1130</v>
      </c>
    </row>
    <row r="453" spans="2:7" ht="14.45" customHeight="1" x14ac:dyDescent="0.2">
      <c r="B453" s="30" t="s">
        <v>489</v>
      </c>
      <c r="C453" s="106" t="s">
        <v>1841</v>
      </c>
      <c r="D453" s="216" t="s">
        <v>708</v>
      </c>
      <c r="E453" s="184"/>
      <c r="F453" s="184" t="s">
        <v>1386</v>
      </c>
      <c r="G453" s="205" t="s">
        <v>1131</v>
      </c>
    </row>
    <row r="454" spans="2:7" ht="14.45" customHeight="1" x14ac:dyDescent="0.2">
      <c r="B454" s="30" t="s">
        <v>489</v>
      </c>
      <c r="C454" s="106" t="s">
        <v>1841</v>
      </c>
      <c r="D454" s="216" t="s">
        <v>709</v>
      </c>
      <c r="E454" s="184"/>
      <c r="F454" s="184" t="s">
        <v>1386</v>
      </c>
      <c r="G454" s="205" t="s">
        <v>1132</v>
      </c>
    </row>
    <row r="455" spans="2:7" ht="14.45" customHeight="1" thickBot="1" x14ac:dyDescent="0.25">
      <c r="B455" s="43" t="s">
        <v>489</v>
      </c>
      <c r="C455" s="130" t="s">
        <v>1841</v>
      </c>
      <c r="D455" s="221" t="s">
        <v>710</v>
      </c>
      <c r="E455" s="222"/>
      <c r="F455" s="222" t="s">
        <v>1386</v>
      </c>
      <c r="G455" s="223" t="s">
        <v>1133</v>
      </c>
    </row>
  </sheetData>
  <autoFilter ref="B3:G455" xr:uid="{35A5F4EE-7417-430D-8D63-3590C906F76B}"/>
  <mergeCells count="1">
    <mergeCell ref="B2:C2"/>
  </mergeCells>
  <phoneticPr fontId="2" type="noConversion"/>
  <conditionalFormatting sqref="B4:G455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2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206DD80-4B40-4C07-933B-167FD8CED8CE}">
          <x14:formula1>
            <xm:f>설정!$B$14:$B$16</xm:f>
          </x14:formula1>
          <xm:sqref>E4:E455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7371-9235-420A-8612-9E90E316A23E}">
  <sheetPr codeName="Sheet11"/>
  <dimension ref="B1:O20"/>
  <sheetViews>
    <sheetView showGridLines="0" zoomScaleNormal="100" workbookViewId="0">
      <pane ySplit="2" topLeftCell="A3" activePane="bottomLeft" state="frozen"/>
      <selection pane="bottomLeft" activeCell="D5" sqref="D5"/>
    </sheetView>
  </sheetViews>
  <sheetFormatPr defaultRowHeight="14.45" customHeight="1" x14ac:dyDescent="0.2"/>
  <cols>
    <col min="1" max="1" width="1.28515625" style="5" customWidth="1"/>
    <col min="2" max="2" width="50.7109375" style="5" customWidth="1"/>
    <col min="3" max="3" width="9.7109375" style="7" customWidth="1"/>
    <col min="4" max="4" width="4.42578125" style="224" customWidth="1"/>
    <col min="5" max="6" width="9.140625" style="5"/>
    <col min="7" max="9" width="9.140625" style="6"/>
    <col min="10" max="15" width="9.140625" style="7"/>
    <col min="16" max="16384" width="9.140625" style="5"/>
  </cols>
  <sheetData>
    <row r="1" spans="2:9" ht="14.45" customHeight="1" thickBot="1" x14ac:dyDescent="0.25"/>
    <row r="2" spans="2:9" ht="14.45" customHeight="1" thickBot="1" x14ac:dyDescent="0.25">
      <c r="B2" s="413" t="s">
        <v>507</v>
      </c>
      <c r="C2" s="414"/>
      <c r="D2" s="225" t="s">
        <v>512</v>
      </c>
    </row>
    <row r="3" spans="2:9" ht="14.45" customHeight="1" x14ac:dyDescent="0.2">
      <c r="B3" s="179" t="s">
        <v>563</v>
      </c>
      <c r="C3" s="228" t="s">
        <v>30</v>
      </c>
      <c r="D3" s="312" t="s">
        <v>1822</v>
      </c>
      <c r="F3" s="226"/>
    </row>
    <row r="4" spans="2:9" ht="14.45" customHeight="1" thickBot="1" x14ac:dyDescent="0.25">
      <c r="B4" s="43" t="s">
        <v>1833</v>
      </c>
      <c r="C4" s="229" t="s">
        <v>508</v>
      </c>
      <c r="D4" s="313" t="s">
        <v>1823</v>
      </c>
    </row>
    <row r="5" spans="2:9" ht="14.45" customHeight="1" x14ac:dyDescent="0.2">
      <c r="B5" s="179" t="s">
        <v>511</v>
      </c>
      <c r="C5" s="228" t="s">
        <v>30</v>
      </c>
      <c r="D5" s="312" t="s">
        <v>1824</v>
      </c>
      <c r="H5" s="224"/>
    </row>
    <row r="6" spans="2:9" ht="14.45" customHeight="1" x14ac:dyDescent="0.2">
      <c r="B6" s="30" t="s">
        <v>1834</v>
      </c>
      <c r="C6" s="230" t="s">
        <v>508</v>
      </c>
      <c r="D6" s="314" t="s">
        <v>1825</v>
      </c>
      <c r="I6" s="224"/>
    </row>
    <row r="7" spans="2:9" ht="14.45" customHeight="1" thickBot="1" x14ac:dyDescent="0.25">
      <c r="B7" s="43" t="s">
        <v>1834</v>
      </c>
      <c r="C7" s="229" t="s">
        <v>509</v>
      </c>
      <c r="D7" s="313" t="s">
        <v>2206</v>
      </c>
    </row>
    <row r="8" spans="2:9" ht="14.45" customHeight="1" thickBot="1" x14ac:dyDescent="0.25">
      <c r="B8" s="231" t="s">
        <v>510</v>
      </c>
      <c r="C8" s="232" t="s">
        <v>30</v>
      </c>
      <c r="D8" s="315" t="s">
        <v>1826</v>
      </c>
    </row>
    <row r="9" spans="2:9" ht="14.45" customHeight="1" x14ac:dyDescent="0.2">
      <c r="B9" s="179" t="s">
        <v>641</v>
      </c>
      <c r="C9" s="228" t="s">
        <v>30</v>
      </c>
      <c r="D9" s="312" t="s">
        <v>1827</v>
      </c>
    </row>
    <row r="10" spans="2:9" ht="14.45" customHeight="1" x14ac:dyDescent="0.2">
      <c r="B10" s="30" t="s">
        <v>1835</v>
      </c>
      <c r="C10" s="230" t="s">
        <v>508</v>
      </c>
      <c r="D10" s="314" t="s">
        <v>1828</v>
      </c>
    </row>
    <row r="11" spans="2:9" ht="14.45" customHeight="1" thickBot="1" x14ac:dyDescent="0.25">
      <c r="B11" s="43" t="s">
        <v>1835</v>
      </c>
      <c r="C11" s="229" t="s">
        <v>509</v>
      </c>
      <c r="D11" s="313" t="s">
        <v>1829</v>
      </c>
    </row>
    <row r="12" spans="2:9" ht="14.45" customHeight="1" thickBot="1" x14ac:dyDescent="0.25">
      <c r="B12" s="233" t="s">
        <v>513</v>
      </c>
      <c r="C12" s="234" t="s">
        <v>30</v>
      </c>
      <c r="D12" s="316" t="s">
        <v>1830</v>
      </c>
    </row>
    <row r="13" spans="2:9" ht="14.45" customHeight="1" x14ac:dyDescent="0.2">
      <c r="B13" s="179" t="s">
        <v>537</v>
      </c>
      <c r="C13" s="228" t="s">
        <v>30</v>
      </c>
      <c r="D13" s="312" t="s">
        <v>1832</v>
      </c>
    </row>
    <row r="14" spans="2:9" ht="14.45" customHeight="1" thickBot="1" x14ac:dyDescent="0.25">
      <c r="B14" s="43" t="s">
        <v>1836</v>
      </c>
      <c r="C14" s="229" t="s">
        <v>508</v>
      </c>
      <c r="D14" s="313" t="s">
        <v>1831</v>
      </c>
    </row>
    <row r="17" spans="2:2" ht="14.45" customHeight="1" x14ac:dyDescent="0.2">
      <c r="B17" s="235"/>
    </row>
    <row r="20" spans="2:2" ht="14.45" customHeight="1" x14ac:dyDescent="0.2">
      <c r="B20" s="235"/>
    </row>
  </sheetData>
  <mergeCells count="1">
    <mergeCell ref="B2:C2"/>
  </mergeCells>
  <phoneticPr fontId="2" type="noConversion"/>
  <conditionalFormatting sqref="B3:D14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A6732-CFED-4E63-A289-EF9579BC0926}">
  <sheetPr codeName="Sheet3"/>
  <dimension ref="B2:G117"/>
  <sheetViews>
    <sheetView showGridLines="0" workbookViewId="0">
      <pane ySplit="3" topLeftCell="A4" activePane="bottomLeft" state="frozen"/>
      <selection pane="bottomLeft" activeCell="C45" sqref="C45"/>
    </sheetView>
  </sheetViews>
  <sheetFormatPr defaultRowHeight="14.45" customHeight="1" x14ac:dyDescent="0.2"/>
  <cols>
    <col min="1" max="1" width="1.28515625" style="5" customWidth="1"/>
    <col min="2" max="2" width="40.7109375" style="5" customWidth="1"/>
    <col min="3" max="3" width="45.7109375" style="5" customWidth="1"/>
    <col min="4" max="4" width="5.7109375" style="5" customWidth="1"/>
    <col min="5" max="5" width="6.7109375" style="5" customWidth="1"/>
    <col min="6" max="6" width="50.7109375" style="5" customWidth="1"/>
    <col min="7" max="7" width="4.42578125" style="5" customWidth="1"/>
    <col min="8" max="16384" width="9.140625" style="5"/>
  </cols>
  <sheetData>
    <row r="2" spans="2:7" ht="14.45" customHeight="1" thickBot="1" x14ac:dyDescent="0.25">
      <c r="B2" s="5" t="s">
        <v>1677</v>
      </c>
    </row>
    <row r="3" spans="2:7" ht="14.45" customHeight="1" thickBot="1" x14ac:dyDescent="0.25">
      <c r="B3" s="244" t="s">
        <v>1679</v>
      </c>
      <c r="C3" s="245" t="s">
        <v>1680</v>
      </c>
      <c r="D3" s="245" t="s">
        <v>1681</v>
      </c>
      <c r="E3" s="246" t="s">
        <v>1786</v>
      </c>
      <c r="F3" s="238" t="s">
        <v>1678</v>
      </c>
      <c r="G3" s="8" t="s">
        <v>1800</v>
      </c>
    </row>
    <row r="4" spans="2:7" ht="14.45" customHeight="1" x14ac:dyDescent="0.2">
      <c r="B4" s="179" t="s">
        <v>1397</v>
      </c>
      <c r="C4" s="247" t="s">
        <v>1682</v>
      </c>
      <c r="D4" s="248">
        <f>COUNTIFS(문제목록!H:H,기출빈도!C4,문제목록!L:L,"기출")</f>
        <v>0</v>
      </c>
      <c r="E4" s="249">
        <f>_xlfn.MAXIFS(문제목록!C:C,문제목록!H:H,기출빈도!C4,문제목록!L:L,"기출")</f>
        <v>0</v>
      </c>
      <c r="F4" s="250"/>
      <c r="G4" s="251" t="s">
        <v>1801</v>
      </c>
    </row>
    <row r="5" spans="2:7" ht="14.45" customHeight="1" x14ac:dyDescent="0.2">
      <c r="B5" s="30" t="s">
        <v>1397</v>
      </c>
      <c r="C5" s="252" t="s">
        <v>402</v>
      </c>
      <c r="D5" s="253">
        <f>COUNTIFS(문제목록!H:H,기출빈도!C5,문제목록!L:L,"기출")</f>
        <v>4</v>
      </c>
      <c r="E5" s="254">
        <f>_xlfn.MAXIFS(문제목록!C:C,문제목록!H:H,기출빈도!C5,문제목록!L:L,"기출")</f>
        <v>2024</v>
      </c>
      <c r="F5" s="255"/>
      <c r="G5" s="256" t="s">
        <v>1181</v>
      </c>
    </row>
    <row r="6" spans="2:7" ht="14.45" customHeight="1" x14ac:dyDescent="0.2">
      <c r="B6" s="30" t="s">
        <v>1397</v>
      </c>
      <c r="C6" s="252" t="s">
        <v>1683</v>
      </c>
      <c r="D6" s="253">
        <f>COUNTIFS(문제목록!H:H,기출빈도!C6,문제목록!L:L,"기출")</f>
        <v>1</v>
      </c>
      <c r="E6" s="257">
        <f>_xlfn.MAXIFS(문제목록!C:C,문제목록!H:H,기출빈도!C6,문제목록!L:L,"기출")</f>
        <v>2022</v>
      </c>
      <c r="F6" s="255"/>
      <c r="G6" s="258" t="s">
        <v>1182</v>
      </c>
    </row>
    <row r="7" spans="2:7" ht="14.45" customHeight="1" thickBot="1" x14ac:dyDescent="0.25">
      <c r="B7" s="259" t="s">
        <v>1397</v>
      </c>
      <c r="C7" s="260" t="s">
        <v>1713</v>
      </c>
      <c r="D7" s="261">
        <f>SUM(D4:D6)</f>
        <v>5</v>
      </c>
      <c r="E7" s="262">
        <f>MAX(E4:E6)</f>
        <v>2024</v>
      </c>
      <c r="F7" s="263"/>
      <c r="G7" s="264"/>
    </row>
    <row r="8" spans="2:7" ht="14.45" customHeight="1" x14ac:dyDescent="0.2">
      <c r="B8" s="179" t="s">
        <v>406</v>
      </c>
      <c r="C8" s="247" t="s">
        <v>408</v>
      </c>
      <c r="D8" s="248">
        <f>COUNTIFS(문제목록!H:H,기출빈도!C8,문제목록!L:L,"기출")</f>
        <v>0</v>
      </c>
      <c r="E8" s="249">
        <f>_xlfn.MAXIFS(문제목록!C:C,문제목록!H:H,기출빈도!C8,문제목록!L:L,"기출")</f>
        <v>0</v>
      </c>
      <c r="F8" s="250"/>
      <c r="G8" s="251" t="s">
        <v>1183</v>
      </c>
    </row>
    <row r="9" spans="2:7" ht="14.45" customHeight="1" x14ac:dyDescent="0.2">
      <c r="B9" s="30" t="s">
        <v>406</v>
      </c>
      <c r="C9" s="252" t="s">
        <v>1233</v>
      </c>
      <c r="D9" s="253">
        <f>COUNTIFS(문제목록!H:H,기출빈도!C9,문제목록!L:L,"기출")</f>
        <v>7</v>
      </c>
      <c r="E9" s="254">
        <f>_xlfn.MAXIFS(문제목록!C:C,문제목록!H:H,기출빈도!C9,문제목록!L:L,"기출")</f>
        <v>2025</v>
      </c>
      <c r="F9" s="255"/>
      <c r="G9" s="256" t="s">
        <v>1184</v>
      </c>
    </row>
    <row r="10" spans="2:7" ht="14.45" customHeight="1" x14ac:dyDescent="0.2">
      <c r="B10" s="30" t="s">
        <v>406</v>
      </c>
      <c r="C10" s="252" t="s">
        <v>1684</v>
      </c>
      <c r="D10" s="253">
        <f>COUNTIFS(문제목록!H:H,기출빈도!C10,문제목록!L:L,"기출")</f>
        <v>8</v>
      </c>
      <c r="E10" s="257">
        <f>_xlfn.MAXIFS(문제목록!C:C,문제목록!H:H,기출빈도!C10,문제목록!L:L,"기출")</f>
        <v>2025</v>
      </c>
      <c r="F10" s="255"/>
      <c r="G10" s="258" t="s">
        <v>1185</v>
      </c>
    </row>
    <row r="11" spans="2:7" ht="14.45" customHeight="1" thickBot="1" x14ac:dyDescent="0.25">
      <c r="B11" s="259" t="s">
        <v>406</v>
      </c>
      <c r="C11" s="260" t="s">
        <v>1712</v>
      </c>
      <c r="D11" s="261">
        <f>SUM(D8:D10)</f>
        <v>15</v>
      </c>
      <c r="E11" s="262">
        <f>MAX(E8:E10)</f>
        <v>2025</v>
      </c>
      <c r="F11" s="263"/>
      <c r="G11" s="264"/>
    </row>
    <row r="12" spans="2:7" ht="14.45" customHeight="1" x14ac:dyDescent="0.2">
      <c r="B12" s="179" t="s">
        <v>436</v>
      </c>
      <c r="C12" s="247" t="s">
        <v>1685</v>
      </c>
      <c r="D12" s="248">
        <f>COUNTIFS(문제목록!H:H,기출빈도!C12,문제목록!L:L,"기출")</f>
        <v>5</v>
      </c>
      <c r="E12" s="249">
        <f>_xlfn.MAXIFS(문제목록!C:C,문제목록!H:H,기출빈도!C12,문제목록!L:L,"기출")</f>
        <v>2023</v>
      </c>
      <c r="F12" s="250"/>
      <c r="G12" s="251" t="s">
        <v>1186</v>
      </c>
    </row>
    <row r="13" spans="2:7" ht="14.45" customHeight="1" x14ac:dyDescent="0.2">
      <c r="B13" s="30" t="s">
        <v>436</v>
      </c>
      <c r="C13" s="252" t="s">
        <v>1686</v>
      </c>
      <c r="D13" s="253">
        <f>COUNTIFS(문제목록!H:H,기출빈도!C13,문제목록!L:L,"기출")</f>
        <v>7</v>
      </c>
      <c r="E13" s="254">
        <f>_xlfn.MAXIFS(문제목록!C:C,문제목록!H:H,기출빈도!C13,문제목록!L:L,"기출")</f>
        <v>2025</v>
      </c>
      <c r="F13" s="255"/>
      <c r="G13" s="256" t="s">
        <v>1187</v>
      </c>
    </row>
    <row r="14" spans="2:7" ht="14.45" customHeight="1" x14ac:dyDescent="0.2">
      <c r="B14" s="30" t="s">
        <v>436</v>
      </c>
      <c r="C14" s="252" t="s">
        <v>1687</v>
      </c>
      <c r="D14" s="253">
        <f>COUNTIFS(문제목록!H:H,기출빈도!C14,문제목록!L:L,"기출")</f>
        <v>4</v>
      </c>
      <c r="E14" s="254">
        <f>_xlfn.MAXIFS(문제목록!C:C,문제목록!H:H,기출빈도!C14,문제목록!L:L,"기출")</f>
        <v>2022</v>
      </c>
      <c r="F14" s="255"/>
      <c r="G14" s="256" t="s">
        <v>1188</v>
      </c>
    </row>
    <row r="15" spans="2:7" ht="14.45" customHeight="1" x14ac:dyDescent="0.2">
      <c r="B15" s="30" t="s">
        <v>436</v>
      </c>
      <c r="C15" s="252" t="s">
        <v>1290</v>
      </c>
      <c r="D15" s="253">
        <f>COUNTIFS(문제목록!H:H,기출빈도!C15,문제목록!L:L,"기출")</f>
        <v>1</v>
      </c>
      <c r="E15" s="257">
        <f>_xlfn.MAXIFS(문제목록!C:C,문제목록!H:H,기출빈도!C15,문제목록!L:L,"기출")</f>
        <v>2008</v>
      </c>
      <c r="F15" s="255"/>
      <c r="G15" s="258" t="s">
        <v>1189</v>
      </c>
    </row>
    <row r="16" spans="2:7" ht="14.45" customHeight="1" thickBot="1" x14ac:dyDescent="0.25">
      <c r="B16" s="259" t="s">
        <v>436</v>
      </c>
      <c r="C16" s="260" t="s">
        <v>1712</v>
      </c>
      <c r="D16" s="261">
        <f>SUM(D12:D15)</f>
        <v>17</v>
      </c>
      <c r="E16" s="262">
        <f>MAX(E12:E15)</f>
        <v>2025</v>
      </c>
      <c r="F16" s="263"/>
      <c r="G16" s="264"/>
    </row>
    <row r="17" spans="2:7" ht="14.45" customHeight="1" x14ac:dyDescent="0.2">
      <c r="B17" s="179" t="s">
        <v>444</v>
      </c>
      <c r="C17" s="247" t="s">
        <v>1688</v>
      </c>
      <c r="D17" s="248">
        <f>COUNTIFS(문제목록!H:H,기출빈도!C17,문제목록!L:L,"기출")</f>
        <v>3</v>
      </c>
      <c r="E17" s="249">
        <f>_xlfn.MAXIFS(문제목록!C:C,문제목록!H:H,기출빈도!C17,문제목록!L:L,"기출")</f>
        <v>2024</v>
      </c>
      <c r="F17" s="250"/>
      <c r="G17" s="251" t="s">
        <v>1190</v>
      </c>
    </row>
    <row r="18" spans="2:7" ht="14.45" customHeight="1" x14ac:dyDescent="0.2">
      <c r="B18" s="30" t="s">
        <v>444</v>
      </c>
      <c r="C18" s="252" t="s">
        <v>448</v>
      </c>
      <c r="D18" s="253">
        <f>COUNTIFS(문제목록!H:H,기출빈도!C18,문제목록!L:L,"기출")</f>
        <v>5</v>
      </c>
      <c r="E18" s="254">
        <f>_xlfn.MAXIFS(문제목록!C:C,문제목록!H:H,기출빈도!C18,문제목록!L:L,"기출")</f>
        <v>2025</v>
      </c>
      <c r="F18" s="255"/>
      <c r="G18" s="256" t="s">
        <v>1191</v>
      </c>
    </row>
    <row r="19" spans="2:7" ht="14.45" customHeight="1" x14ac:dyDescent="0.2">
      <c r="B19" s="30" t="s">
        <v>444</v>
      </c>
      <c r="C19" s="252" t="s">
        <v>1689</v>
      </c>
      <c r="D19" s="253">
        <f>COUNTIFS(문제목록!H:H,기출빈도!C19,문제목록!L:L,"기출")</f>
        <v>1</v>
      </c>
      <c r="E19" s="257">
        <f>_xlfn.MAXIFS(문제목록!C:C,문제목록!H:H,기출빈도!C19,문제목록!L:L,"기출")</f>
        <v>2009</v>
      </c>
      <c r="F19" s="255"/>
      <c r="G19" s="258" t="s">
        <v>1192</v>
      </c>
    </row>
    <row r="20" spans="2:7" ht="14.45" customHeight="1" thickBot="1" x14ac:dyDescent="0.25">
      <c r="B20" s="259" t="s">
        <v>444</v>
      </c>
      <c r="C20" s="260" t="s">
        <v>1712</v>
      </c>
      <c r="D20" s="261">
        <f>SUM(D17:D19)</f>
        <v>9</v>
      </c>
      <c r="E20" s="262">
        <f>MAX(E17:E19)</f>
        <v>2025</v>
      </c>
      <c r="F20" s="263"/>
      <c r="G20" s="264"/>
    </row>
    <row r="21" spans="2:7" ht="14.45" customHeight="1" x14ac:dyDescent="0.2">
      <c r="B21" s="179" t="s">
        <v>450</v>
      </c>
      <c r="C21" s="247" t="s">
        <v>451</v>
      </c>
      <c r="D21" s="248">
        <f>COUNTIFS(문제목록!H:H,기출빈도!C21,문제목록!L:L,"기출")</f>
        <v>0</v>
      </c>
      <c r="E21" s="249">
        <f>_xlfn.MAXIFS(문제목록!C:C,문제목록!H:H,기출빈도!C21,문제목록!L:L,"기출")</f>
        <v>0</v>
      </c>
      <c r="F21" s="250"/>
      <c r="G21" s="251" t="s">
        <v>1193</v>
      </c>
    </row>
    <row r="22" spans="2:7" ht="14.45" customHeight="1" x14ac:dyDescent="0.2">
      <c r="B22" s="30" t="s">
        <v>450</v>
      </c>
      <c r="C22" s="252" t="s">
        <v>1690</v>
      </c>
      <c r="D22" s="253">
        <f>COUNTIFS(문제목록!H:H,기출빈도!C22,문제목록!L:L,"기출")</f>
        <v>1</v>
      </c>
      <c r="E22" s="254">
        <f>_xlfn.MAXIFS(문제목록!C:C,문제목록!H:H,기출빈도!C22,문제목록!L:L,"기출")</f>
        <v>2022</v>
      </c>
      <c r="F22" s="255"/>
      <c r="G22" s="256" t="s">
        <v>1194</v>
      </c>
    </row>
    <row r="23" spans="2:7" ht="14.45" customHeight="1" x14ac:dyDescent="0.2">
      <c r="B23" s="30" t="s">
        <v>450</v>
      </c>
      <c r="C23" s="252" t="s">
        <v>1691</v>
      </c>
      <c r="D23" s="253">
        <f>COUNTIFS(문제목록!H:H,기출빈도!C23,문제목록!L:L,"기출")</f>
        <v>4</v>
      </c>
      <c r="E23" s="257">
        <f>_xlfn.MAXIFS(문제목록!C:C,문제목록!H:H,기출빈도!C23,문제목록!L:L,"기출")</f>
        <v>2021</v>
      </c>
      <c r="F23" s="255"/>
      <c r="G23" s="258" t="s">
        <v>1195</v>
      </c>
    </row>
    <row r="24" spans="2:7" ht="14.45" customHeight="1" thickBot="1" x14ac:dyDescent="0.25">
      <c r="B24" s="259" t="s">
        <v>450</v>
      </c>
      <c r="C24" s="260" t="s">
        <v>1712</v>
      </c>
      <c r="D24" s="261">
        <f>SUM(D21:D23)</f>
        <v>5</v>
      </c>
      <c r="E24" s="262">
        <f>MAX(E21:E23)</f>
        <v>2022</v>
      </c>
      <c r="F24" s="263"/>
      <c r="G24" s="264"/>
    </row>
    <row r="25" spans="2:7" ht="14.45" customHeight="1" x14ac:dyDescent="0.2">
      <c r="B25" s="179" t="s">
        <v>454</v>
      </c>
      <c r="C25" s="247" t="s">
        <v>1692</v>
      </c>
      <c r="D25" s="248">
        <f>COUNTIFS(문제목록!H:H,기출빈도!C25,문제목록!L:L,"기출")</f>
        <v>3</v>
      </c>
      <c r="E25" s="249">
        <f>_xlfn.MAXIFS(문제목록!C:C,문제목록!H:H,기출빈도!C25,문제목록!L:L,"기출")</f>
        <v>2024</v>
      </c>
      <c r="F25" s="250"/>
      <c r="G25" s="251" t="s">
        <v>1196</v>
      </c>
    </row>
    <row r="26" spans="2:7" ht="14.45" customHeight="1" x14ac:dyDescent="0.2">
      <c r="B26" s="30" t="s">
        <v>454</v>
      </c>
      <c r="C26" s="252" t="s">
        <v>1693</v>
      </c>
      <c r="D26" s="253">
        <f>COUNTIFS(문제목록!H:H,기출빈도!C26,문제목록!L:L,"기출")</f>
        <v>7</v>
      </c>
      <c r="E26" s="254">
        <f>_xlfn.MAXIFS(문제목록!C:C,문제목록!H:H,기출빈도!C26,문제목록!L:L,"기출")</f>
        <v>2025</v>
      </c>
      <c r="F26" s="255"/>
      <c r="G26" s="256" t="s">
        <v>1197</v>
      </c>
    </row>
    <row r="27" spans="2:7" ht="14.45" customHeight="1" x14ac:dyDescent="0.2">
      <c r="B27" s="30" t="s">
        <v>454</v>
      </c>
      <c r="C27" s="252" t="s">
        <v>1694</v>
      </c>
      <c r="D27" s="253">
        <f>COUNTIFS(문제목록!H:H,기출빈도!C27,문제목록!L:L,"기출")</f>
        <v>1</v>
      </c>
      <c r="E27" s="254">
        <f>_xlfn.MAXIFS(문제목록!C:C,문제목록!H:H,기출빈도!C27,문제목록!L:L,"기출")</f>
        <v>2016</v>
      </c>
      <c r="F27" s="255"/>
      <c r="G27" s="256" t="s">
        <v>1198</v>
      </c>
    </row>
    <row r="28" spans="2:7" ht="14.45" customHeight="1" x14ac:dyDescent="0.2">
      <c r="B28" s="30" t="s">
        <v>454</v>
      </c>
      <c r="C28" s="252" t="s">
        <v>460</v>
      </c>
      <c r="D28" s="253">
        <f>COUNTIFS(문제목록!H:H,기출빈도!C28,문제목록!L:L,"기출")</f>
        <v>1</v>
      </c>
      <c r="E28" s="257">
        <f>_xlfn.MAXIFS(문제목록!C:C,문제목록!H:H,기출빈도!C28,문제목록!L:L,"기출")</f>
        <v>2013</v>
      </c>
      <c r="F28" s="255"/>
      <c r="G28" s="258" t="s">
        <v>1199</v>
      </c>
    </row>
    <row r="29" spans="2:7" ht="14.45" customHeight="1" thickBot="1" x14ac:dyDescent="0.25">
      <c r="B29" s="259" t="s">
        <v>454</v>
      </c>
      <c r="C29" s="260" t="s">
        <v>1712</v>
      </c>
      <c r="D29" s="261">
        <f>SUM(D25:D28)</f>
        <v>12</v>
      </c>
      <c r="E29" s="262">
        <f>MAX(E25:E28)</f>
        <v>2025</v>
      </c>
      <c r="F29" s="263"/>
      <c r="G29" s="264"/>
    </row>
    <row r="30" spans="2:7" ht="14.45" customHeight="1" x14ac:dyDescent="0.2">
      <c r="B30" s="179" t="s">
        <v>461</v>
      </c>
      <c r="C30" s="247" t="s">
        <v>1695</v>
      </c>
      <c r="D30" s="248">
        <f>COUNTIFS(문제목록!H:H,기출빈도!C30,문제목록!L:L,"기출")</f>
        <v>1</v>
      </c>
      <c r="E30" s="249">
        <f>_xlfn.MAXIFS(문제목록!C:C,문제목록!H:H,기출빈도!C30,문제목록!L:L,"기출")</f>
        <v>2012</v>
      </c>
      <c r="F30" s="250"/>
      <c r="G30" s="251" t="s">
        <v>1200</v>
      </c>
    </row>
    <row r="31" spans="2:7" ht="14.45" customHeight="1" x14ac:dyDescent="0.2">
      <c r="B31" s="30" t="s">
        <v>461</v>
      </c>
      <c r="C31" s="252" t="s">
        <v>463</v>
      </c>
      <c r="D31" s="253">
        <f>COUNTIFS(문제목록!H:H,기출빈도!C31,문제목록!L:L,"기출")</f>
        <v>0</v>
      </c>
      <c r="E31" s="254">
        <f>_xlfn.MAXIFS(문제목록!C:C,문제목록!H:H,기출빈도!C31,문제목록!L:L,"기출")</f>
        <v>0</v>
      </c>
      <c r="F31" s="255"/>
      <c r="G31" s="256" t="s">
        <v>1201</v>
      </c>
    </row>
    <row r="32" spans="2:7" ht="14.45" customHeight="1" thickBot="1" x14ac:dyDescent="0.25">
      <c r="B32" s="259" t="s">
        <v>461</v>
      </c>
      <c r="C32" s="260" t="s">
        <v>1712</v>
      </c>
      <c r="D32" s="261">
        <f>SUM(D30:D31)</f>
        <v>1</v>
      </c>
      <c r="E32" s="262">
        <f>MAX(E30:E31)</f>
        <v>2012</v>
      </c>
      <c r="F32" s="263"/>
      <c r="G32" s="264"/>
    </row>
    <row r="33" spans="2:7" ht="14.45" customHeight="1" x14ac:dyDescent="0.2">
      <c r="B33" s="179" t="s">
        <v>464</v>
      </c>
      <c r="C33" s="247" t="s">
        <v>559</v>
      </c>
      <c r="D33" s="248">
        <f>COUNTIFS(문제목록!H:H,기출빈도!C33,문제목록!L:L,"기출")</f>
        <v>3</v>
      </c>
      <c r="E33" s="265">
        <f>_xlfn.MAXIFS(문제목록!C:C,문제목록!H:H,기출빈도!C33,문제목록!L:L,"기출")</f>
        <v>2021</v>
      </c>
      <c r="F33" s="250"/>
      <c r="G33" s="266" t="s">
        <v>1202</v>
      </c>
    </row>
    <row r="34" spans="2:7" ht="14.45" customHeight="1" x14ac:dyDescent="0.2">
      <c r="B34" s="30" t="s">
        <v>464</v>
      </c>
      <c r="C34" s="252" t="s">
        <v>465</v>
      </c>
      <c r="D34" s="253">
        <f>COUNTIFS(문제목록!H:H,기출빈도!C34,문제목록!L:L,"기출")</f>
        <v>0</v>
      </c>
      <c r="E34" s="257">
        <f>_xlfn.MAXIFS(문제목록!C:C,문제목록!H:H,기출빈도!C34,문제목록!L:L,"기출")</f>
        <v>0</v>
      </c>
      <c r="F34" s="255"/>
      <c r="G34" s="258" t="s">
        <v>1203</v>
      </c>
    </row>
    <row r="35" spans="2:7" ht="14.45" customHeight="1" thickBot="1" x14ac:dyDescent="0.25">
      <c r="B35" s="259" t="s">
        <v>464</v>
      </c>
      <c r="C35" s="260" t="s">
        <v>1712</v>
      </c>
      <c r="D35" s="261">
        <f>SUM(D33:D34)</f>
        <v>3</v>
      </c>
      <c r="E35" s="262">
        <f>MAX(E33:E34)</f>
        <v>2021</v>
      </c>
      <c r="F35" s="263"/>
      <c r="G35" s="264"/>
    </row>
    <row r="36" spans="2:7" ht="14.45" customHeight="1" x14ac:dyDescent="0.2">
      <c r="B36" s="179" t="s">
        <v>1406</v>
      </c>
      <c r="C36" s="247" t="s">
        <v>1703</v>
      </c>
      <c r="D36" s="248">
        <f>COUNTIFS(문제목록!H:H,기출빈도!C36,문제목록!L:L,"기출")</f>
        <v>0</v>
      </c>
      <c r="E36" s="249">
        <f>_xlfn.MAXIFS(문제목록!C:C,문제목록!H:H,기출빈도!C36,문제목록!L:L,"기출")</f>
        <v>0</v>
      </c>
      <c r="F36" s="250"/>
      <c r="G36" s="251" t="s">
        <v>1204</v>
      </c>
    </row>
    <row r="37" spans="2:7" ht="14.45" customHeight="1" x14ac:dyDescent="0.2">
      <c r="B37" s="30" t="s">
        <v>1406</v>
      </c>
      <c r="C37" s="252" t="s">
        <v>1696</v>
      </c>
      <c r="D37" s="253">
        <f>COUNTIFS(문제목록!H:H,기출빈도!C37,문제목록!L:L,"기출")</f>
        <v>1</v>
      </c>
      <c r="E37" s="254">
        <f>_xlfn.MAXIFS(문제목록!C:C,문제목록!H:H,기출빈도!C37,문제목록!L:L,"기출")</f>
        <v>2025</v>
      </c>
      <c r="F37" s="255"/>
      <c r="G37" s="256" t="s">
        <v>1205</v>
      </c>
    </row>
    <row r="38" spans="2:7" ht="14.45" customHeight="1" x14ac:dyDescent="0.2">
      <c r="B38" s="30" t="s">
        <v>1406</v>
      </c>
      <c r="C38" s="252" t="s">
        <v>1704</v>
      </c>
      <c r="D38" s="253">
        <f>COUNTIFS(문제목록!H:H,기출빈도!C38,문제목록!L:L,"기출")</f>
        <v>1</v>
      </c>
      <c r="E38" s="254">
        <f>_xlfn.MAXIFS(문제목록!C:C,문제목록!H:H,기출빈도!C38,문제목록!L:L,"기출")</f>
        <v>2021</v>
      </c>
      <c r="F38" s="255"/>
      <c r="G38" s="256" t="s">
        <v>1206</v>
      </c>
    </row>
    <row r="39" spans="2:7" ht="14.45" customHeight="1" x14ac:dyDescent="0.2">
      <c r="B39" s="30" t="s">
        <v>1406</v>
      </c>
      <c r="C39" s="252" t="s">
        <v>467</v>
      </c>
      <c r="D39" s="253">
        <f>COUNTIFS(문제목록!H:H,기출빈도!C39,문제목록!L:L,"기출")</f>
        <v>2</v>
      </c>
      <c r="E39" s="254">
        <f>_xlfn.MAXIFS(문제목록!C:C,문제목록!H:H,기출빈도!C39,문제목록!L:L,"기출")</f>
        <v>2023</v>
      </c>
      <c r="F39" s="255"/>
      <c r="G39" s="256" t="s">
        <v>1207</v>
      </c>
    </row>
    <row r="40" spans="2:7" ht="14.45" customHeight="1" x14ac:dyDescent="0.2">
      <c r="B40" s="30" t="s">
        <v>1406</v>
      </c>
      <c r="C40" s="252" t="s">
        <v>1697</v>
      </c>
      <c r="D40" s="253">
        <f>COUNTIFS(문제목록!H:H,기출빈도!C40,문제목록!L:L,"기출")</f>
        <v>1</v>
      </c>
      <c r="E40" s="254">
        <f>_xlfn.MAXIFS(문제목록!C:C,문제목록!H:H,기출빈도!C40,문제목록!L:L,"기출")</f>
        <v>2018</v>
      </c>
      <c r="F40" s="255"/>
      <c r="G40" s="256" t="s">
        <v>1208</v>
      </c>
    </row>
    <row r="41" spans="2:7" ht="14.45" customHeight="1" x14ac:dyDescent="0.2">
      <c r="B41" s="30" t="s">
        <v>1406</v>
      </c>
      <c r="C41" s="252" t="s">
        <v>469</v>
      </c>
      <c r="D41" s="253">
        <f>COUNTIFS(문제목록!H:H,기출빈도!C41,문제목록!L:L,"기출")</f>
        <v>0</v>
      </c>
      <c r="E41" s="254">
        <f>_xlfn.MAXIFS(문제목록!C:C,문제목록!H:H,기출빈도!C41,문제목록!L:L,"기출")</f>
        <v>0</v>
      </c>
      <c r="F41" s="255"/>
      <c r="G41" s="256" t="s">
        <v>1209</v>
      </c>
    </row>
    <row r="42" spans="2:7" ht="14.45" customHeight="1" x14ac:dyDescent="0.2">
      <c r="B42" s="30" t="s">
        <v>1406</v>
      </c>
      <c r="C42" s="252" t="s">
        <v>470</v>
      </c>
      <c r="D42" s="253">
        <f>COUNTIFS(문제목록!H:H,기출빈도!C42,문제목록!L:L,"기출")</f>
        <v>0</v>
      </c>
      <c r="E42" s="257">
        <f>_xlfn.MAXIFS(문제목록!C:C,문제목록!H:H,기출빈도!C42,문제목록!L:L,"기출")</f>
        <v>0</v>
      </c>
      <c r="F42" s="255"/>
      <c r="G42" s="258" t="s">
        <v>1210</v>
      </c>
    </row>
    <row r="43" spans="2:7" ht="14.45" customHeight="1" thickBot="1" x14ac:dyDescent="0.25">
      <c r="B43" s="259" t="s">
        <v>1406</v>
      </c>
      <c r="C43" s="260" t="s">
        <v>1712</v>
      </c>
      <c r="D43" s="261">
        <f>SUM(D36:D42)</f>
        <v>5</v>
      </c>
      <c r="E43" s="262">
        <f>MAX(E36:E42)</f>
        <v>2025</v>
      </c>
      <c r="F43" s="263"/>
      <c r="G43" s="264"/>
    </row>
    <row r="44" spans="2:7" ht="14.45" customHeight="1" x14ac:dyDescent="0.2">
      <c r="B44" s="179" t="s">
        <v>476</v>
      </c>
      <c r="C44" s="247" t="s">
        <v>1294</v>
      </c>
      <c r="D44" s="248">
        <f>COUNTIFS(문제목록!H:H,기출빈도!C44,문제목록!L:L,"기출")</f>
        <v>4</v>
      </c>
      <c r="E44" s="249">
        <f>_xlfn.MAXIFS(문제목록!C:C,문제목록!H:H,기출빈도!C44,문제목록!L:L,"기출")</f>
        <v>2020</v>
      </c>
      <c r="F44" s="250"/>
      <c r="G44" s="251" t="s">
        <v>1211</v>
      </c>
    </row>
    <row r="45" spans="2:7" ht="14.45" customHeight="1" x14ac:dyDescent="0.2">
      <c r="B45" s="30" t="s">
        <v>476</v>
      </c>
      <c r="C45" s="252" t="s">
        <v>1698</v>
      </c>
      <c r="D45" s="253">
        <f>COUNTIFS(문제목록!H:H,기출빈도!C45,문제목록!L:L,"기출")</f>
        <v>1</v>
      </c>
      <c r="E45" s="254">
        <f>_xlfn.MAXIFS(문제목록!C:C,문제목록!H:H,기출빈도!C45,문제목록!L:L,"기출")</f>
        <v>2024</v>
      </c>
      <c r="F45" s="255"/>
      <c r="G45" s="256" t="s">
        <v>1212</v>
      </c>
    </row>
    <row r="46" spans="2:7" ht="14.45" customHeight="1" x14ac:dyDescent="0.2">
      <c r="B46" s="30" t="s">
        <v>476</v>
      </c>
      <c r="C46" s="252" t="s">
        <v>1705</v>
      </c>
      <c r="D46" s="253">
        <f>COUNTIFS(문제목록!H:H,기출빈도!C46,문제목록!L:L,"기출")</f>
        <v>0</v>
      </c>
      <c r="E46" s="254">
        <f>_xlfn.MAXIFS(문제목록!C:C,문제목록!H:H,기출빈도!C46,문제목록!L:L,"기출")</f>
        <v>0</v>
      </c>
      <c r="F46" s="255"/>
      <c r="G46" s="256" t="s">
        <v>1213</v>
      </c>
    </row>
    <row r="47" spans="2:7" ht="14.45" customHeight="1" x14ac:dyDescent="0.2">
      <c r="B47" s="30" t="s">
        <v>476</v>
      </c>
      <c r="C47" s="252" t="s">
        <v>1699</v>
      </c>
      <c r="D47" s="253">
        <f>COUNTIFS(문제목록!H:H,기출빈도!C47,문제목록!L:L,"기출")</f>
        <v>1</v>
      </c>
      <c r="E47" s="257">
        <f>_xlfn.MAXIFS(문제목록!C:C,문제목록!H:H,기출빈도!C47,문제목록!L:L,"기출")</f>
        <v>2009</v>
      </c>
      <c r="F47" s="255"/>
      <c r="G47" s="258" t="s">
        <v>1214</v>
      </c>
    </row>
    <row r="48" spans="2:7" ht="14.45" customHeight="1" thickBot="1" x14ac:dyDescent="0.25">
      <c r="B48" s="259" t="s">
        <v>476</v>
      </c>
      <c r="C48" s="260" t="s">
        <v>1712</v>
      </c>
      <c r="D48" s="261">
        <f>SUM(D44:D47)</f>
        <v>6</v>
      </c>
      <c r="E48" s="262">
        <f>MAX(E44:E47)</f>
        <v>2024</v>
      </c>
      <c r="F48" s="263"/>
      <c r="G48" s="264"/>
    </row>
    <row r="49" spans="2:7" ht="14.45" customHeight="1" x14ac:dyDescent="0.2">
      <c r="B49" s="179" t="s">
        <v>386</v>
      </c>
      <c r="C49" s="247" t="s">
        <v>1700</v>
      </c>
      <c r="D49" s="248">
        <f>COUNTIFS(문제목록!H:H,기출빈도!C49,문제목록!L:L,"기출")</f>
        <v>1</v>
      </c>
      <c r="E49" s="249">
        <f>_xlfn.MAXIFS(문제목록!C:C,문제목록!H:H,기출빈도!C49,문제목록!L:L,"기출")</f>
        <v>2020</v>
      </c>
      <c r="F49" s="250" t="s">
        <v>1787</v>
      </c>
      <c r="G49" s="251" t="s">
        <v>1215</v>
      </c>
    </row>
    <row r="50" spans="2:7" ht="14.45" customHeight="1" x14ac:dyDescent="0.2">
      <c r="B50" s="30" t="s">
        <v>386</v>
      </c>
      <c r="C50" s="252" t="s">
        <v>1701</v>
      </c>
      <c r="D50" s="253">
        <f>COUNTIFS(문제목록!H:H,기출빈도!C50,문제목록!L:L,"기출")</f>
        <v>1</v>
      </c>
      <c r="E50" s="254">
        <f>_xlfn.MAXIFS(문제목록!C:C,문제목록!H:H,기출빈도!C50,문제목록!L:L,"기출")</f>
        <v>2010</v>
      </c>
      <c r="F50" s="255"/>
      <c r="G50" s="256" t="s">
        <v>1216</v>
      </c>
    </row>
    <row r="51" spans="2:7" ht="14.45" customHeight="1" x14ac:dyDescent="0.2">
      <c r="B51" s="30" t="s">
        <v>386</v>
      </c>
      <c r="C51" s="252" t="s">
        <v>481</v>
      </c>
      <c r="D51" s="253">
        <f>COUNTIFS(문제목록!H:H,기출빈도!C51,문제목록!L:L,"기출")</f>
        <v>1</v>
      </c>
      <c r="E51" s="257">
        <f>_xlfn.MAXIFS(문제목록!C:C,문제목록!H:H,기출빈도!C51,문제목록!L:L,"기출")</f>
        <v>2015</v>
      </c>
      <c r="F51" s="255"/>
      <c r="G51" s="258" t="s">
        <v>1217</v>
      </c>
    </row>
    <row r="52" spans="2:7" ht="14.45" customHeight="1" thickBot="1" x14ac:dyDescent="0.25">
      <c r="B52" s="259" t="s">
        <v>386</v>
      </c>
      <c r="C52" s="260" t="s">
        <v>1712</v>
      </c>
      <c r="D52" s="261">
        <f>SUM(D49:D51)</f>
        <v>3</v>
      </c>
      <c r="E52" s="262">
        <f>MAX(E49:E51)</f>
        <v>2020</v>
      </c>
      <c r="F52" s="263"/>
      <c r="G52" s="264"/>
    </row>
    <row r="53" spans="2:7" ht="14.45" customHeight="1" x14ac:dyDescent="0.2">
      <c r="B53" s="179" t="s">
        <v>387</v>
      </c>
      <c r="C53" s="247" t="s">
        <v>482</v>
      </c>
      <c r="D53" s="248">
        <f>COUNTIFS(문제목록!H:H,기출빈도!C53,문제목록!L:L,"기출")</f>
        <v>1</v>
      </c>
      <c r="E53" s="249">
        <f>_xlfn.MAXIFS(문제목록!C:C,문제목록!H:H,기출빈도!C53,문제목록!L:L,"기출")</f>
        <v>2014</v>
      </c>
      <c r="F53" s="250"/>
      <c r="G53" s="251" t="s">
        <v>1218</v>
      </c>
    </row>
    <row r="54" spans="2:7" ht="14.45" customHeight="1" x14ac:dyDescent="0.2">
      <c r="B54" s="30" t="s">
        <v>387</v>
      </c>
      <c r="C54" s="252" t="s">
        <v>483</v>
      </c>
      <c r="D54" s="253">
        <f>COUNTIFS(문제목록!H:H,기출빈도!C54,문제목록!L:L,"기출")</f>
        <v>3</v>
      </c>
      <c r="E54" s="254">
        <f>_xlfn.MAXIFS(문제목록!C:C,문제목록!H:H,기출빈도!C54,문제목록!L:L,"기출")</f>
        <v>2024</v>
      </c>
      <c r="F54" s="255"/>
      <c r="G54" s="256" t="s">
        <v>1219</v>
      </c>
    </row>
    <row r="55" spans="2:7" ht="14.45" customHeight="1" x14ac:dyDescent="0.2">
      <c r="B55" s="30" t="s">
        <v>387</v>
      </c>
      <c r="C55" s="252" t="s">
        <v>485</v>
      </c>
      <c r="D55" s="253">
        <f>COUNTIFS(문제목록!H:H,기출빈도!C55,문제목록!L:L,"기출")</f>
        <v>0</v>
      </c>
      <c r="E55" s="254">
        <f>_xlfn.MAXIFS(문제목록!C:C,문제목록!H:H,기출빈도!C55,문제목록!L:L,"기출")</f>
        <v>0</v>
      </c>
      <c r="F55" s="255"/>
      <c r="G55" s="256" t="s">
        <v>1220</v>
      </c>
    </row>
    <row r="56" spans="2:7" ht="14.45" customHeight="1" x14ac:dyDescent="0.2">
      <c r="B56" s="30" t="s">
        <v>387</v>
      </c>
      <c r="C56" s="252" t="s">
        <v>1702</v>
      </c>
      <c r="D56" s="253">
        <f>COUNTIFS(문제목록!H:H,기출빈도!C56,문제목록!L:L,"기출")</f>
        <v>1</v>
      </c>
      <c r="E56" s="254">
        <f>_xlfn.MAXIFS(문제목록!C:C,문제목록!H:H,기출빈도!C56,문제목록!L:L,"기출")</f>
        <v>2024</v>
      </c>
      <c r="F56" s="255"/>
      <c r="G56" s="256" t="s">
        <v>1221</v>
      </c>
    </row>
    <row r="57" spans="2:7" ht="14.45" customHeight="1" x14ac:dyDescent="0.2">
      <c r="B57" s="30" t="s">
        <v>387</v>
      </c>
      <c r="C57" s="252" t="s">
        <v>488</v>
      </c>
      <c r="D57" s="253">
        <f>COUNTIFS(문제목록!H:H,기출빈도!C57,문제목록!L:L,"기출")</f>
        <v>2</v>
      </c>
      <c r="E57" s="257">
        <f>_xlfn.MAXIFS(문제목록!C:C,문제목록!H:H,기출빈도!C57,문제목록!L:L,"기출")</f>
        <v>2018</v>
      </c>
      <c r="F57" s="255"/>
      <c r="G57" s="258" t="s">
        <v>1222</v>
      </c>
    </row>
    <row r="58" spans="2:7" ht="14.45" customHeight="1" thickBot="1" x14ac:dyDescent="0.25">
      <c r="B58" s="259" t="s">
        <v>387</v>
      </c>
      <c r="C58" s="260" t="s">
        <v>1712</v>
      </c>
      <c r="D58" s="261">
        <f>SUM(D53:D57)</f>
        <v>7</v>
      </c>
      <c r="E58" s="262">
        <f>MAX(E53:E57)</f>
        <v>2024</v>
      </c>
      <c r="F58" s="263"/>
      <c r="G58" s="264"/>
    </row>
    <row r="59" spans="2:7" ht="14.45" customHeight="1" x14ac:dyDescent="0.2">
      <c r="B59" s="179" t="s">
        <v>388</v>
      </c>
      <c r="C59" s="247" t="s">
        <v>1706</v>
      </c>
      <c r="D59" s="248">
        <f>COUNTIFS(문제목록!H:H,기출빈도!C59,문제목록!L:L,"기출")</f>
        <v>0</v>
      </c>
      <c r="E59" s="249">
        <f>_xlfn.MAXIFS(문제목록!C:C,문제목록!H:H,기출빈도!C59,문제목록!L:L,"기출")</f>
        <v>0</v>
      </c>
      <c r="F59" s="250"/>
      <c r="G59" s="251" t="s">
        <v>1802</v>
      </c>
    </row>
    <row r="60" spans="2:7" ht="14.45" customHeight="1" x14ac:dyDescent="0.2">
      <c r="B60" s="30" t="s">
        <v>388</v>
      </c>
      <c r="C60" s="252" t="s">
        <v>1707</v>
      </c>
      <c r="D60" s="253">
        <f>COUNTIFS(문제목록!H:H,기출빈도!C60,문제목록!L:L,"기출")</f>
        <v>4</v>
      </c>
      <c r="E60" s="254">
        <f>_xlfn.MAXIFS(문제목록!C:C,문제목록!H:H,기출빈도!C60,문제목록!L:L,"기출")</f>
        <v>2019</v>
      </c>
      <c r="F60" s="255"/>
      <c r="G60" s="256" t="s">
        <v>1803</v>
      </c>
    </row>
    <row r="61" spans="2:7" ht="14.45" customHeight="1" thickBot="1" x14ac:dyDescent="0.25">
      <c r="B61" s="259" t="s">
        <v>388</v>
      </c>
      <c r="C61" s="267" t="s">
        <v>1712</v>
      </c>
      <c r="D61" s="261">
        <f>SUM(D59:D60)</f>
        <v>4</v>
      </c>
      <c r="E61" s="262">
        <f>MAX(E59:E60)</f>
        <v>2019</v>
      </c>
      <c r="F61" s="263"/>
      <c r="G61" s="264"/>
    </row>
    <row r="62" spans="2:7" ht="14.45" customHeight="1" x14ac:dyDescent="0.2">
      <c r="B62" s="268"/>
      <c r="C62" s="268"/>
    </row>
    <row r="63" spans="2:7" ht="14.45" customHeight="1" x14ac:dyDescent="0.2">
      <c r="B63" s="268"/>
      <c r="C63" s="268"/>
    </row>
    <row r="64" spans="2:7" ht="14.45" customHeight="1" x14ac:dyDescent="0.2">
      <c r="B64" s="268"/>
      <c r="C64" s="268"/>
    </row>
    <row r="65" spans="2:3" ht="14.45" customHeight="1" x14ac:dyDescent="0.2">
      <c r="B65" s="268"/>
      <c r="C65" s="268"/>
    </row>
    <row r="66" spans="2:3" ht="14.45" customHeight="1" x14ac:dyDescent="0.2">
      <c r="B66" s="268"/>
      <c r="C66" s="268"/>
    </row>
    <row r="67" spans="2:3" ht="14.45" customHeight="1" x14ac:dyDescent="0.2">
      <c r="B67" s="268"/>
      <c r="C67" s="268"/>
    </row>
    <row r="68" spans="2:3" ht="14.45" customHeight="1" x14ac:dyDescent="0.2">
      <c r="B68" s="268"/>
      <c r="C68" s="268"/>
    </row>
    <row r="69" spans="2:3" ht="14.45" customHeight="1" x14ac:dyDescent="0.2">
      <c r="B69" s="268"/>
      <c r="C69" s="268"/>
    </row>
    <row r="70" spans="2:3" ht="14.45" customHeight="1" x14ac:dyDescent="0.2">
      <c r="B70" s="268"/>
      <c r="C70" s="268"/>
    </row>
    <row r="71" spans="2:3" ht="14.45" customHeight="1" x14ac:dyDescent="0.2">
      <c r="B71" s="268"/>
      <c r="C71" s="268"/>
    </row>
    <row r="72" spans="2:3" ht="14.45" customHeight="1" x14ac:dyDescent="0.2">
      <c r="B72" s="268"/>
      <c r="C72" s="268"/>
    </row>
    <row r="73" spans="2:3" ht="14.45" customHeight="1" x14ac:dyDescent="0.2">
      <c r="B73" s="268"/>
      <c r="C73" s="268"/>
    </row>
    <row r="74" spans="2:3" ht="14.45" customHeight="1" x14ac:dyDescent="0.2">
      <c r="B74" s="268"/>
      <c r="C74" s="268"/>
    </row>
    <row r="75" spans="2:3" ht="14.45" customHeight="1" x14ac:dyDescent="0.2">
      <c r="B75" s="268"/>
      <c r="C75" s="268"/>
    </row>
    <row r="76" spans="2:3" ht="14.45" customHeight="1" x14ac:dyDescent="0.2">
      <c r="B76" s="268"/>
      <c r="C76" s="268"/>
    </row>
    <row r="77" spans="2:3" ht="14.45" customHeight="1" x14ac:dyDescent="0.2">
      <c r="B77" s="268"/>
      <c r="C77" s="268"/>
    </row>
    <row r="78" spans="2:3" ht="14.45" customHeight="1" x14ac:dyDescent="0.2">
      <c r="B78" s="268"/>
      <c r="C78" s="268"/>
    </row>
    <row r="79" spans="2:3" ht="14.45" customHeight="1" x14ac:dyDescent="0.2">
      <c r="B79" s="268"/>
      <c r="C79" s="268"/>
    </row>
    <row r="80" spans="2:3" ht="14.45" customHeight="1" x14ac:dyDescent="0.2">
      <c r="B80" s="268"/>
      <c r="C80" s="268"/>
    </row>
    <row r="81" spans="2:3" ht="14.45" customHeight="1" x14ac:dyDescent="0.2">
      <c r="B81" s="268"/>
      <c r="C81" s="268"/>
    </row>
    <row r="82" spans="2:3" ht="14.45" customHeight="1" x14ac:dyDescent="0.2">
      <c r="B82" s="268"/>
      <c r="C82" s="268"/>
    </row>
    <row r="83" spans="2:3" ht="14.45" customHeight="1" x14ac:dyDescent="0.2">
      <c r="B83" s="268"/>
      <c r="C83" s="268"/>
    </row>
    <row r="84" spans="2:3" ht="14.45" customHeight="1" x14ac:dyDescent="0.2">
      <c r="B84" s="268"/>
      <c r="C84" s="268"/>
    </row>
    <row r="85" spans="2:3" ht="14.45" customHeight="1" x14ac:dyDescent="0.2">
      <c r="B85" s="268"/>
      <c r="C85" s="268"/>
    </row>
    <row r="86" spans="2:3" ht="14.45" customHeight="1" x14ac:dyDescent="0.2">
      <c r="B86" s="268"/>
      <c r="C86" s="268"/>
    </row>
    <row r="87" spans="2:3" ht="14.45" customHeight="1" x14ac:dyDescent="0.2">
      <c r="B87" s="268"/>
      <c r="C87" s="268"/>
    </row>
    <row r="88" spans="2:3" ht="14.45" customHeight="1" x14ac:dyDescent="0.2">
      <c r="B88" s="268"/>
      <c r="C88" s="268"/>
    </row>
    <row r="89" spans="2:3" ht="14.45" customHeight="1" x14ac:dyDescent="0.2">
      <c r="B89" s="268"/>
      <c r="C89" s="268"/>
    </row>
    <row r="90" spans="2:3" ht="14.45" customHeight="1" x14ac:dyDescent="0.2">
      <c r="B90" s="268"/>
      <c r="C90" s="268"/>
    </row>
    <row r="91" spans="2:3" ht="14.45" customHeight="1" x14ac:dyDescent="0.2">
      <c r="B91" s="268"/>
      <c r="C91" s="268"/>
    </row>
    <row r="92" spans="2:3" ht="14.45" customHeight="1" x14ac:dyDescent="0.2">
      <c r="B92" s="268"/>
      <c r="C92" s="268"/>
    </row>
    <row r="93" spans="2:3" ht="14.45" customHeight="1" x14ac:dyDescent="0.2">
      <c r="B93" s="268"/>
      <c r="C93" s="268"/>
    </row>
    <row r="94" spans="2:3" ht="14.45" customHeight="1" x14ac:dyDescent="0.2">
      <c r="B94" s="268"/>
      <c r="C94" s="268"/>
    </row>
    <row r="95" spans="2:3" ht="14.45" customHeight="1" x14ac:dyDescent="0.2">
      <c r="B95" s="268"/>
      <c r="C95" s="268"/>
    </row>
    <row r="96" spans="2:3" ht="14.45" customHeight="1" x14ac:dyDescent="0.2">
      <c r="B96" s="268"/>
      <c r="C96" s="268"/>
    </row>
    <row r="97" spans="2:3" ht="14.45" customHeight="1" x14ac:dyDescent="0.2">
      <c r="B97" s="268"/>
      <c r="C97" s="268"/>
    </row>
    <row r="98" spans="2:3" ht="14.45" customHeight="1" x14ac:dyDescent="0.2">
      <c r="B98" s="268"/>
      <c r="C98" s="268"/>
    </row>
    <row r="99" spans="2:3" ht="14.45" customHeight="1" x14ac:dyDescent="0.2">
      <c r="B99" s="268"/>
      <c r="C99" s="268"/>
    </row>
    <row r="100" spans="2:3" ht="14.45" customHeight="1" x14ac:dyDescent="0.2">
      <c r="B100" s="268"/>
      <c r="C100" s="268"/>
    </row>
    <row r="101" spans="2:3" ht="14.45" customHeight="1" x14ac:dyDescent="0.2">
      <c r="B101" s="268"/>
      <c r="C101" s="268"/>
    </row>
    <row r="102" spans="2:3" ht="14.45" customHeight="1" x14ac:dyDescent="0.2">
      <c r="B102" s="268"/>
      <c r="C102" s="268"/>
    </row>
    <row r="103" spans="2:3" ht="14.45" customHeight="1" x14ac:dyDescent="0.2">
      <c r="B103" s="268"/>
      <c r="C103" s="268"/>
    </row>
    <row r="104" spans="2:3" ht="14.45" customHeight="1" x14ac:dyDescent="0.2">
      <c r="B104" s="268"/>
      <c r="C104" s="268"/>
    </row>
    <row r="105" spans="2:3" ht="14.45" customHeight="1" x14ac:dyDescent="0.2">
      <c r="B105" s="268"/>
      <c r="C105" s="268"/>
    </row>
    <row r="106" spans="2:3" ht="14.45" customHeight="1" x14ac:dyDescent="0.2">
      <c r="B106" s="268"/>
      <c r="C106" s="268"/>
    </row>
    <row r="107" spans="2:3" ht="14.45" customHeight="1" x14ac:dyDescent="0.2">
      <c r="B107" s="268"/>
      <c r="C107" s="268"/>
    </row>
    <row r="108" spans="2:3" ht="14.45" customHeight="1" x14ac:dyDescent="0.2">
      <c r="B108" s="268"/>
      <c r="C108" s="268"/>
    </row>
    <row r="109" spans="2:3" ht="14.45" customHeight="1" x14ac:dyDescent="0.2">
      <c r="B109" s="268"/>
      <c r="C109" s="268"/>
    </row>
    <row r="110" spans="2:3" ht="14.45" customHeight="1" x14ac:dyDescent="0.2">
      <c r="B110" s="268"/>
      <c r="C110" s="268"/>
    </row>
    <row r="111" spans="2:3" ht="14.45" customHeight="1" x14ac:dyDescent="0.2">
      <c r="B111" s="268"/>
      <c r="C111" s="268"/>
    </row>
    <row r="112" spans="2:3" ht="14.45" customHeight="1" x14ac:dyDescent="0.2">
      <c r="B112" s="268"/>
      <c r="C112" s="268"/>
    </row>
    <row r="113" spans="2:3" ht="14.45" customHeight="1" x14ac:dyDescent="0.2">
      <c r="B113" s="268"/>
      <c r="C113" s="268"/>
    </row>
    <row r="114" spans="2:3" ht="14.45" customHeight="1" x14ac:dyDescent="0.2">
      <c r="B114" s="268"/>
      <c r="C114" s="268"/>
    </row>
    <row r="115" spans="2:3" ht="14.45" customHeight="1" x14ac:dyDescent="0.2">
      <c r="B115" s="268"/>
      <c r="C115" s="268"/>
    </row>
    <row r="116" spans="2:3" ht="14.45" customHeight="1" x14ac:dyDescent="0.2">
      <c r="B116" s="268"/>
      <c r="C116" s="268"/>
    </row>
    <row r="117" spans="2:3" ht="14.45" customHeight="1" x14ac:dyDescent="0.2">
      <c r="B117" s="268"/>
      <c r="C117" s="268"/>
    </row>
  </sheetData>
  <autoFilter ref="B3:G3" xr:uid="{93CA6732-CFED-4E63-A289-EF9579BC0926}"/>
  <phoneticPr fontId="2" type="noConversion"/>
  <conditionalFormatting sqref="B4:G61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1790C-FB89-4C56-B281-ED1E64CB7CDB}">
  <sheetPr codeName="Sheet4"/>
  <dimension ref="B2:J22"/>
  <sheetViews>
    <sheetView workbookViewId="0">
      <pane ySplit="4" topLeftCell="A6" activePane="bottomLeft" state="frozen"/>
      <selection pane="bottomLeft" activeCell="I7" sqref="I7"/>
    </sheetView>
  </sheetViews>
  <sheetFormatPr defaultRowHeight="14.45" customHeight="1" x14ac:dyDescent="0.2"/>
  <cols>
    <col min="1" max="1" width="1.140625" style="226" customWidth="1"/>
    <col min="2" max="2" width="11.7109375" style="297" customWidth="1"/>
    <col min="3" max="10" width="31.7109375" style="226" customWidth="1"/>
    <col min="11" max="16384" width="9.140625" style="226"/>
  </cols>
  <sheetData>
    <row r="2" spans="2:10" ht="14.45" customHeight="1" x14ac:dyDescent="0.2">
      <c r="B2" s="394" t="s">
        <v>2120</v>
      </c>
      <c r="C2" s="394" t="s">
        <v>2170</v>
      </c>
      <c r="D2" s="394" t="s">
        <v>17</v>
      </c>
      <c r="E2" s="394" t="s">
        <v>2121</v>
      </c>
      <c r="F2" s="415" t="s">
        <v>2122</v>
      </c>
      <c r="G2" s="416"/>
      <c r="H2" s="416"/>
      <c r="I2" s="416"/>
      <c r="J2" s="416"/>
    </row>
    <row r="3" spans="2:10" ht="14.45" customHeight="1" x14ac:dyDescent="0.2">
      <c r="B3" s="393"/>
      <c r="C3" s="393"/>
      <c r="D3" s="393"/>
      <c r="E3" s="393"/>
      <c r="F3" s="388" t="s">
        <v>2123</v>
      </c>
      <c r="G3" s="388" t="s">
        <v>2124</v>
      </c>
      <c r="H3" s="388" t="s">
        <v>2125</v>
      </c>
      <c r="I3" s="388" t="s">
        <v>2126</v>
      </c>
      <c r="J3" s="395" t="s">
        <v>2127</v>
      </c>
    </row>
    <row r="4" spans="2:10" ht="13.5" x14ac:dyDescent="0.2">
      <c r="B4" s="389" t="s">
        <v>2138</v>
      </c>
      <c r="C4" s="390"/>
      <c r="D4" s="390"/>
      <c r="E4" s="390"/>
      <c r="F4" s="390" t="s">
        <v>2137</v>
      </c>
      <c r="G4" s="390"/>
      <c r="H4" s="390"/>
      <c r="I4" s="390" t="s">
        <v>2177</v>
      </c>
      <c r="J4" s="390"/>
    </row>
    <row r="5" spans="2:10" ht="164.1" customHeight="1" x14ac:dyDescent="0.2">
      <c r="B5" s="391" t="s">
        <v>2100</v>
      </c>
      <c r="C5" s="392"/>
      <c r="D5" s="392"/>
      <c r="E5" s="392"/>
      <c r="F5" s="392" t="s">
        <v>2139</v>
      </c>
      <c r="G5" s="392"/>
      <c r="H5" s="392"/>
      <c r="I5" s="392" t="s">
        <v>2140</v>
      </c>
      <c r="J5" s="392"/>
    </row>
    <row r="6" spans="2:10" ht="164.1" customHeight="1" x14ac:dyDescent="0.2">
      <c r="B6" s="391" t="s">
        <v>2101</v>
      </c>
      <c r="C6" s="392" t="s">
        <v>2204</v>
      </c>
      <c r="D6" s="392"/>
      <c r="E6" s="392" t="s">
        <v>2208</v>
      </c>
      <c r="F6" s="392" t="s">
        <v>2205</v>
      </c>
      <c r="G6" s="392"/>
      <c r="H6" s="392"/>
      <c r="I6" s="392" t="s">
        <v>2141</v>
      </c>
      <c r="J6" s="392" t="s">
        <v>2142</v>
      </c>
    </row>
    <row r="7" spans="2:10" ht="164.1" customHeight="1" x14ac:dyDescent="0.2">
      <c r="B7" s="391" t="s">
        <v>2102</v>
      </c>
      <c r="C7" s="392" t="s">
        <v>2196</v>
      </c>
      <c r="D7" s="392"/>
      <c r="E7" s="392"/>
      <c r="F7" s="392" t="s">
        <v>2145</v>
      </c>
      <c r="G7" s="392"/>
      <c r="H7" s="392"/>
      <c r="I7" s="392" t="s">
        <v>2143</v>
      </c>
      <c r="J7" s="392"/>
    </row>
    <row r="8" spans="2:10" ht="164.1" customHeight="1" x14ac:dyDescent="0.2">
      <c r="B8" s="391" t="s">
        <v>2103</v>
      </c>
      <c r="C8" s="392" t="s">
        <v>2179</v>
      </c>
      <c r="D8" s="392"/>
      <c r="E8" s="392"/>
      <c r="F8" s="392" t="s">
        <v>2146</v>
      </c>
      <c r="G8" s="392"/>
      <c r="H8" s="392" t="s">
        <v>2144</v>
      </c>
      <c r="I8" s="392"/>
      <c r="J8" s="392"/>
    </row>
    <row r="9" spans="2:10" ht="164.1" customHeight="1" x14ac:dyDescent="0.2">
      <c r="B9" s="391" t="s">
        <v>2104</v>
      </c>
      <c r="C9" s="392"/>
      <c r="D9" s="392"/>
      <c r="E9" s="392"/>
      <c r="F9" s="392" t="s">
        <v>2149</v>
      </c>
      <c r="G9" s="392"/>
      <c r="H9" s="392" t="s">
        <v>2148</v>
      </c>
      <c r="I9" s="392" t="s">
        <v>2147</v>
      </c>
      <c r="J9" s="392"/>
    </row>
    <row r="10" spans="2:10" ht="164.1" customHeight="1" x14ac:dyDescent="0.2">
      <c r="B10" s="391" t="s">
        <v>2105</v>
      </c>
      <c r="C10" s="392"/>
      <c r="D10" s="392"/>
      <c r="E10" s="392" t="s">
        <v>2150</v>
      </c>
      <c r="F10" s="392" t="s">
        <v>2151</v>
      </c>
      <c r="G10" s="392"/>
      <c r="H10" s="392"/>
      <c r="I10" s="392"/>
      <c r="J10" s="392"/>
    </row>
    <row r="11" spans="2:10" ht="164.1" customHeight="1" x14ac:dyDescent="0.2">
      <c r="B11" s="391" t="s">
        <v>2106</v>
      </c>
      <c r="C11" s="392" t="s">
        <v>2197</v>
      </c>
      <c r="D11" s="392"/>
      <c r="E11" s="392" t="s">
        <v>2157</v>
      </c>
      <c r="F11" s="392" t="s">
        <v>2180</v>
      </c>
      <c r="G11" s="392"/>
      <c r="H11" s="392" t="s">
        <v>2156</v>
      </c>
      <c r="I11" s="392" t="s">
        <v>2152</v>
      </c>
      <c r="J11" s="392"/>
    </row>
    <row r="12" spans="2:10" ht="164.1" customHeight="1" x14ac:dyDescent="0.2">
      <c r="B12" s="391" t="s">
        <v>2107</v>
      </c>
      <c r="C12" s="392"/>
      <c r="D12" s="392"/>
      <c r="E12" s="392" t="s">
        <v>2158</v>
      </c>
      <c r="F12" s="392"/>
      <c r="G12" s="392"/>
      <c r="H12" s="392" t="s">
        <v>2160</v>
      </c>
      <c r="I12" s="392" t="s">
        <v>2159</v>
      </c>
      <c r="J12" s="392"/>
    </row>
    <row r="13" spans="2:10" ht="164.1" customHeight="1" x14ac:dyDescent="0.2">
      <c r="B13" s="391" t="s">
        <v>2108</v>
      </c>
      <c r="C13" s="392" t="s">
        <v>2198</v>
      </c>
      <c r="D13" s="392"/>
      <c r="E13" s="392"/>
      <c r="F13" s="392" t="s">
        <v>2161</v>
      </c>
      <c r="G13" s="392"/>
      <c r="H13" s="392"/>
      <c r="I13" s="392"/>
      <c r="J13" s="392"/>
    </row>
    <row r="14" spans="2:10" ht="164.1" customHeight="1" x14ac:dyDescent="0.2">
      <c r="B14" s="391" t="s">
        <v>2109</v>
      </c>
      <c r="C14" s="392"/>
      <c r="D14" s="392"/>
      <c r="E14" s="392"/>
      <c r="F14" s="392" t="s">
        <v>2164</v>
      </c>
      <c r="G14" s="392" t="s">
        <v>2162</v>
      </c>
      <c r="H14" s="392"/>
      <c r="I14" s="392" t="s">
        <v>2163</v>
      </c>
      <c r="J14" s="392"/>
    </row>
    <row r="15" spans="2:10" ht="164.1" customHeight="1" x14ac:dyDescent="0.2">
      <c r="B15" s="391" t="s">
        <v>2110</v>
      </c>
      <c r="C15" s="392"/>
      <c r="D15" s="392"/>
      <c r="E15" s="392"/>
      <c r="F15" s="392"/>
      <c r="G15" s="392"/>
      <c r="H15" s="392"/>
      <c r="I15" s="392"/>
      <c r="J15" s="392"/>
    </row>
    <row r="16" spans="2:10" ht="164.1" customHeight="1" x14ac:dyDescent="0.2">
      <c r="B16" s="391" t="s">
        <v>2111</v>
      </c>
      <c r="C16" s="392"/>
      <c r="D16" s="392"/>
      <c r="E16" s="392" t="s">
        <v>2207</v>
      </c>
      <c r="F16" s="392"/>
      <c r="G16" s="392"/>
      <c r="H16" s="392"/>
      <c r="I16" s="392"/>
      <c r="J16" s="392"/>
    </row>
    <row r="17" spans="2:10" ht="164.1" customHeight="1" x14ac:dyDescent="0.2">
      <c r="B17" s="391" t="s">
        <v>2112</v>
      </c>
      <c r="C17" s="392"/>
      <c r="D17" s="392"/>
      <c r="E17" s="392"/>
      <c r="F17" s="392"/>
      <c r="G17" s="392"/>
      <c r="H17" s="392"/>
      <c r="I17" s="392"/>
      <c r="J17" s="392"/>
    </row>
    <row r="18" spans="2:10" ht="164.1" customHeight="1" x14ac:dyDescent="0.2">
      <c r="B18" s="391" t="s">
        <v>2113</v>
      </c>
      <c r="C18" s="392"/>
      <c r="D18" s="392"/>
      <c r="E18" s="392"/>
      <c r="F18" s="392"/>
      <c r="G18" s="392"/>
      <c r="H18" s="392"/>
      <c r="I18" s="392"/>
      <c r="J18" s="392"/>
    </row>
    <row r="19" spans="2:10" ht="164.1" customHeight="1" x14ac:dyDescent="0.2">
      <c r="B19" s="391" t="s">
        <v>2114</v>
      </c>
      <c r="C19" s="392"/>
      <c r="D19" s="392"/>
      <c r="E19" s="392"/>
      <c r="F19" s="392"/>
      <c r="G19" s="392"/>
      <c r="H19" s="392"/>
      <c r="I19" s="392"/>
      <c r="J19" s="392"/>
    </row>
    <row r="20" spans="2:10" ht="164.1" customHeight="1" x14ac:dyDescent="0.2">
      <c r="B20" s="391" t="s">
        <v>2115</v>
      </c>
      <c r="C20" s="392"/>
      <c r="D20" s="392"/>
      <c r="E20" s="392"/>
      <c r="F20" s="392"/>
      <c r="G20" s="392"/>
      <c r="H20" s="392"/>
      <c r="I20" s="392"/>
      <c r="J20" s="392"/>
    </row>
    <row r="21" spans="2:10" ht="164.1" customHeight="1" x14ac:dyDescent="0.2">
      <c r="B21" s="391" t="s">
        <v>2116</v>
      </c>
      <c r="C21" s="392"/>
      <c r="D21" s="392"/>
      <c r="E21" s="392"/>
      <c r="F21" s="392"/>
      <c r="G21" s="392"/>
      <c r="H21" s="392"/>
      <c r="I21" s="392"/>
      <c r="J21" s="392"/>
    </row>
    <row r="22" spans="2:10" ht="164.1" customHeight="1" x14ac:dyDescent="0.2">
      <c r="B22" s="391" t="s">
        <v>2117</v>
      </c>
      <c r="C22" s="392"/>
      <c r="D22" s="392"/>
      <c r="E22" s="392"/>
      <c r="F22" s="392"/>
      <c r="G22" s="392"/>
      <c r="H22" s="392"/>
      <c r="I22" s="392"/>
      <c r="J22" s="392"/>
    </row>
  </sheetData>
  <autoFilter ref="B3:J22" xr:uid="{7E70FF49-11D6-4F48-B14B-38EE53FFE993}"/>
  <mergeCells count="1">
    <mergeCell ref="F2:J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설정</vt:lpstr>
      <vt:lpstr>통합목록</vt:lpstr>
      <vt:lpstr>문제목록</vt:lpstr>
      <vt:lpstr>주요쟁점</vt:lpstr>
      <vt:lpstr>관련용어</vt:lpstr>
      <vt:lpstr>관련법령</vt:lpstr>
      <vt:lpstr>기출빈도</vt:lpstr>
      <vt:lpstr>기출유형</vt:lpstr>
      <vt:lpstr>기출유형!_FilterDatabase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2026-05-20T02:22:42Z</cp:lastPrinted>
  <dcterms:created xsi:type="dcterms:W3CDTF">2022-05-21T00:54:57Z</dcterms:created>
  <dcterms:modified xsi:type="dcterms:W3CDTF">2026-08-15T13:57:57Z</dcterms:modified>
  <cp:category/>
  <cp:contentStatus/>
</cp:coreProperties>
</file>