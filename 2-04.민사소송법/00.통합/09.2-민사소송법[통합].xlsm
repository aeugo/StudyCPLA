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F7D8A51-83EB-4C1B-B5CF-8DE88DD4C1F4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문제목록!$B$3:$W$126</definedName>
    <definedName name="_xlnm._FilterDatabase" localSheetId="7" hidden="1">주요쟁점!$B$3:$N$126</definedName>
    <definedName name="_xlnm._FilterDatabase" localSheetId="1" hidden="1">통합목록!$B$3:$O$586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98" i="85" l="1"/>
  <c r="O597" i="85"/>
  <c r="O596" i="85"/>
  <c r="O595" i="85"/>
  <c r="O594" i="85"/>
  <c r="O593" i="85"/>
  <c r="O592" i="85"/>
  <c r="O591" i="85"/>
  <c r="O590" i="85"/>
  <c r="O589" i="85"/>
  <c r="O588" i="85"/>
  <c r="O587" i="85"/>
  <c r="F14" i="86"/>
  <c r="L14" i="86"/>
  <c r="M14" i="86"/>
  <c r="W14" i="80" l="1"/>
  <c r="O14" i="80" s="1"/>
  <c r="W15" i="80"/>
  <c r="Q14" i="80"/>
  <c r="R14" i="80"/>
  <c r="S14" i="80"/>
  <c r="T14" i="80"/>
  <c r="U14" i="80"/>
  <c r="Q15" i="80"/>
  <c r="R15" i="80"/>
  <c r="S15" i="80"/>
  <c r="T15" i="80"/>
  <c r="U15" i="80"/>
  <c r="B14" i="80"/>
  <c r="B15" i="80"/>
  <c r="B7" i="80"/>
  <c r="O37" i="85"/>
  <c r="L14" i="80" l="1"/>
  <c r="M14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21" i="80"/>
  <c r="O21" i="80" s="1"/>
  <c r="W94" i="80"/>
  <c r="O94" i="80" s="1"/>
  <c r="W46" i="80"/>
  <c r="O46" i="80" s="1"/>
  <c r="W100" i="80"/>
  <c r="O100" i="80" s="1"/>
  <c r="W63" i="80"/>
  <c r="O63" i="80" s="1"/>
  <c r="W42" i="80"/>
  <c r="O42" i="80" s="1"/>
  <c r="W49" i="80"/>
  <c r="O49" i="80" s="1"/>
  <c r="W85" i="80"/>
  <c r="O85" i="80" s="1"/>
  <c r="W26" i="80"/>
  <c r="O26" i="80" s="1"/>
  <c r="W92" i="80"/>
  <c r="O92" i="80" s="1"/>
  <c r="W93" i="80"/>
  <c r="O93" i="80" s="1"/>
  <c r="W75" i="80"/>
  <c r="O75" i="80" s="1"/>
  <c r="W66" i="80"/>
  <c r="W20" i="80"/>
  <c r="O20" i="80" s="1"/>
  <c r="W45" i="80"/>
  <c r="O45" i="80" s="1"/>
  <c r="W5" i="80"/>
  <c r="O5" i="80" s="1"/>
  <c r="W41" i="80"/>
  <c r="O41" i="80" s="1"/>
  <c r="W91" i="80"/>
  <c r="O91" i="80" s="1"/>
  <c r="W54" i="80"/>
  <c r="O54" i="80" s="1"/>
  <c r="W13" i="80"/>
  <c r="O13" i="80" s="1"/>
  <c r="W72" i="80"/>
  <c r="O72" i="80" s="1"/>
  <c r="W19" i="80"/>
  <c r="O19" i="80" s="1"/>
  <c r="W25" i="80"/>
  <c r="O25" i="80" s="1"/>
  <c r="W53" i="80"/>
  <c r="O53" i="80" s="1"/>
  <c r="W83" i="80"/>
  <c r="O83" i="80" s="1"/>
  <c r="W99" i="80"/>
  <c r="O99" i="80" s="1"/>
  <c r="W18" i="80"/>
  <c r="O18" i="80" s="1"/>
  <c r="W101" i="80"/>
  <c r="O101" i="80" s="1"/>
  <c r="W51" i="80"/>
  <c r="O51" i="80" s="1"/>
  <c r="W62" i="80"/>
  <c r="O62" i="80" s="1"/>
  <c r="W79" i="80"/>
  <c r="O79" i="80" s="1"/>
  <c r="W33" i="80"/>
  <c r="O33" i="80" s="1"/>
  <c r="W24" i="80"/>
  <c r="O24" i="80" s="1"/>
  <c r="W98" i="80"/>
  <c r="O98" i="80" s="1"/>
  <c r="W65" i="80"/>
  <c r="W44" i="80"/>
  <c r="O44" i="80" s="1"/>
  <c r="W78" i="80"/>
  <c r="O78" i="80" s="1"/>
  <c r="W12" i="80"/>
  <c r="O12" i="80" s="1"/>
  <c r="W97" i="80"/>
  <c r="O97" i="80" s="1"/>
  <c r="W11" i="80"/>
  <c r="O11" i="80" s="1"/>
  <c r="O15" i="80"/>
  <c r="W43" i="80"/>
  <c r="O43" i="80" s="1"/>
  <c r="W90" i="80"/>
  <c r="O90" i="80" s="1"/>
  <c r="W61" i="80"/>
  <c r="O61" i="80" s="1"/>
  <c r="W89" i="80"/>
  <c r="O89" i="80" s="1"/>
  <c r="W17" i="80"/>
  <c r="O17" i="80" s="1"/>
  <c r="W84" i="80"/>
  <c r="O84" i="80" s="1"/>
  <c r="W82" i="80"/>
  <c r="O82" i="80" s="1"/>
  <c r="W88" i="80"/>
  <c r="O88" i="80" s="1"/>
  <c r="W50" i="80"/>
  <c r="O50" i="80" s="1"/>
  <c r="W77" i="80"/>
  <c r="O77" i="80" s="1"/>
  <c r="W40" i="80"/>
  <c r="O40" i="80" s="1"/>
  <c r="W76" i="80"/>
  <c r="O76" i="80" s="1"/>
  <c r="W32" i="80"/>
  <c r="O32" i="80" s="1"/>
  <c r="W105" i="80"/>
  <c r="O105" i="80" s="1"/>
  <c r="W87" i="80"/>
  <c r="O87" i="80" s="1"/>
  <c r="W104" i="80"/>
  <c r="O104" i="80" s="1"/>
  <c r="W71" i="80"/>
  <c r="O71" i="80" s="1"/>
  <c r="W52" i="80"/>
  <c r="O52" i="80" s="1"/>
  <c r="W57" i="80"/>
  <c r="O57" i="80" s="1"/>
  <c r="W60" i="80"/>
  <c r="O60" i="80" s="1"/>
  <c r="W68" i="80"/>
  <c r="O68" i="80" s="1"/>
  <c r="W64" i="80"/>
  <c r="O64" i="80" s="1"/>
  <c r="W81" i="80"/>
  <c r="O81" i="80" s="1"/>
  <c r="W31" i="80"/>
  <c r="O31" i="80" s="1"/>
  <c r="W70" i="80"/>
  <c r="O70" i="80" s="1"/>
  <c r="W4" i="80"/>
  <c r="O4" i="80" s="1"/>
  <c r="W6" i="80"/>
  <c r="O6" i="80" s="1"/>
  <c r="W80" i="80"/>
  <c r="O80" i="80" s="1"/>
  <c r="W86" i="80"/>
  <c r="O86" i="80" s="1"/>
  <c r="W95" i="80"/>
  <c r="O95" i="80" s="1"/>
  <c r="W96" i="80"/>
  <c r="O96" i="80" s="1"/>
  <c r="W102" i="80"/>
  <c r="O102" i="80" s="1"/>
  <c r="W103" i="80"/>
  <c r="O103" i="80" s="1"/>
  <c r="W106" i="80"/>
  <c r="O106" i="80" s="1"/>
  <c r="W107" i="80"/>
  <c r="O107" i="80" s="1"/>
  <c r="W108" i="80"/>
  <c r="O108" i="80" s="1"/>
  <c r="W109" i="80"/>
  <c r="O109" i="80" s="1"/>
  <c r="W110" i="80"/>
  <c r="O110" i="80" s="1"/>
  <c r="W111" i="80"/>
  <c r="O111" i="80" s="1"/>
  <c r="W112" i="80"/>
  <c r="O112" i="80" s="1"/>
  <c r="W113" i="80"/>
  <c r="O113" i="80" s="1"/>
  <c r="W114" i="80"/>
  <c r="O114" i="80" s="1"/>
  <c r="W115" i="80"/>
  <c r="O115" i="80" s="1"/>
  <c r="W116" i="80"/>
  <c r="O116" i="80" s="1"/>
  <c r="W117" i="80"/>
  <c r="O117" i="80" s="1"/>
  <c r="W118" i="80"/>
  <c r="O118" i="80" s="1"/>
  <c r="W119" i="80"/>
  <c r="O119" i="80" s="1"/>
  <c r="W120" i="80"/>
  <c r="O120" i="80" s="1"/>
  <c r="W121" i="80"/>
  <c r="O121" i="80" s="1"/>
  <c r="W122" i="80"/>
  <c r="O122" i="80" s="1"/>
  <c r="W123" i="80"/>
  <c r="O123" i="80" s="1"/>
  <c r="W124" i="80"/>
  <c r="O124" i="80" s="1"/>
  <c r="W125" i="80"/>
  <c r="O125" i="80" s="1"/>
  <c r="W126" i="80"/>
  <c r="O126" i="80" s="1"/>
  <c r="W7" i="80"/>
  <c r="O7" i="80" s="1"/>
  <c r="W8" i="80"/>
  <c r="O8" i="80" s="1"/>
  <c r="W9" i="80"/>
  <c r="O9" i="80" s="1"/>
  <c r="W10" i="80"/>
  <c r="O10" i="80" s="1"/>
  <c r="W16" i="80"/>
  <c r="O16" i="80" s="1"/>
  <c r="W22" i="80"/>
  <c r="O22" i="80" s="1"/>
  <c r="W23" i="80"/>
  <c r="O23" i="80" s="1"/>
  <c r="W27" i="80"/>
  <c r="O27" i="80" s="1"/>
  <c r="W28" i="80"/>
  <c r="O28" i="80" s="1"/>
  <c r="W29" i="80"/>
  <c r="O29" i="80" s="1"/>
  <c r="W30" i="80"/>
  <c r="O30" i="80" s="1"/>
  <c r="W34" i="80"/>
  <c r="O34" i="80" s="1"/>
  <c r="W35" i="80"/>
  <c r="O35" i="80" s="1"/>
  <c r="W36" i="80"/>
  <c r="O36" i="80" s="1"/>
  <c r="W37" i="80"/>
  <c r="O37" i="80" s="1"/>
  <c r="W38" i="80"/>
  <c r="O38" i="80" s="1"/>
  <c r="W39" i="80"/>
  <c r="O39" i="80" s="1"/>
  <c r="W47" i="80"/>
  <c r="O47" i="80" s="1"/>
  <c r="W48" i="80"/>
  <c r="O48" i="80" s="1"/>
  <c r="W55" i="80"/>
  <c r="O55" i="80" s="1"/>
  <c r="W56" i="80"/>
  <c r="O56" i="80" s="1"/>
  <c r="W58" i="80"/>
  <c r="O58" i="80" s="1"/>
  <c r="W59" i="80"/>
  <c r="O59" i="80" s="1"/>
  <c r="W69" i="80"/>
  <c r="O69" i="80" s="1"/>
  <c r="W73" i="80"/>
  <c r="O73" i="80" s="1"/>
  <c r="W74" i="80"/>
  <c r="O74" i="80" s="1"/>
  <c r="W67" i="80"/>
  <c r="O67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80" i="80"/>
  <c r="U80" i="80"/>
  <c r="T81" i="80"/>
  <c r="U81" i="80"/>
  <c r="B80" i="80"/>
  <c r="B81" i="80"/>
  <c r="O352" i="85"/>
  <c r="B64" i="80"/>
  <c r="B31" i="80"/>
  <c r="T64" i="80"/>
  <c r="U64" i="80"/>
  <c r="O273" i="85"/>
  <c r="O274" i="85"/>
  <c r="T57" i="80"/>
  <c r="U57" i="80"/>
  <c r="B57" i="80"/>
  <c r="O248" i="85"/>
  <c r="O25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6" i="85"/>
  <c r="O255" i="85"/>
  <c r="O254" i="85"/>
  <c r="O253" i="85"/>
  <c r="O252" i="85"/>
  <c r="O251" i="85"/>
  <c r="O250" i="85"/>
  <c r="O249" i="85"/>
  <c r="O247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59" i="80" l="1"/>
  <c r="M30" i="80"/>
  <c r="M125" i="80"/>
  <c r="M113" i="80"/>
  <c r="M86" i="80"/>
  <c r="M71" i="80"/>
  <c r="M17" i="80"/>
  <c r="M98" i="80"/>
  <c r="M19" i="80"/>
  <c r="M92" i="80"/>
  <c r="M58" i="80"/>
  <c r="M29" i="80"/>
  <c r="M124" i="80"/>
  <c r="M112" i="80"/>
  <c r="M80" i="80"/>
  <c r="Q80" i="80"/>
  <c r="M104" i="80"/>
  <c r="M89" i="80"/>
  <c r="M24" i="80"/>
  <c r="M72" i="80"/>
  <c r="M26" i="80"/>
  <c r="M56" i="80"/>
  <c r="M28" i="80"/>
  <c r="M123" i="80"/>
  <c r="M111" i="80"/>
  <c r="M6" i="80"/>
  <c r="M87" i="80"/>
  <c r="M61" i="80"/>
  <c r="M33" i="80"/>
  <c r="M13" i="80"/>
  <c r="M85" i="80"/>
  <c r="L27" i="80"/>
  <c r="L122" i="80"/>
  <c r="L110" i="80"/>
  <c r="L4" i="80"/>
  <c r="L105" i="80"/>
  <c r="L90" i="80"/>
  <c r="L79" i="80"/>
  <c r="L54" i="80"/>
  <c r="L49" i="80"/>
  <c r="L48" i="80"/>
  <c r="L23" i="80"/>
  <c r="L109" i="80"/>
  <c r="L70" i="80"/>
  <c r="L32" i="80"/>
  <c r="L43" i="80"/>
  <c r="L62" i="80"/>
  <c r="L91" i="80"/>
  <c r="L42" i="80"/>
  <c r="L55" i="80"/>
  <c r="L121" i="80"/>
  <c r="L47" i="80"/>
  <c r="L22" i="80"/>
  <c r="L120" i="80"/>
  <c r="L108" i="80"/>
  <c r="L31" i="80"/>
  <c r="L76" i="80"/>
  <c r="L15" i="80"/>
  <c r="L51" i="80"/>
  <c r="L41" i="80"/>
  <c r="L63" i="80"/>
  <c r="L39" i="80"/>
  <c r="L16" i="80"/>
  <c r="L119" i="80"/>
  <c r="L107" i="80"/>
  <c r="L81" i="80"/>
  <c r="Q81" i="80"/>
  <c r="L40" i="80"/>
  <c r="L11" i="80"/>
  <c r="L101" i="80"/>
  <c r="L5" i="80"/>
  <c r="L100" i="80"/>
  <c r="L38" i="80"/>
  <c r="L10" i="80"/>
  <c r="L118" i="80"/>
  <c r="L106" i="80"/>
  <c r="L64" i="80"/>
  <c r="Q64" i="80"/>
  <c r="L77" i="80"/>
  <c r="L97" i="80"/>
  <c r="L18" i="80"/>
  <c r="L45" i="80"/>
  <c r="L46" i="80"/>
  <c r="L67" i="80"/>
  <c r="L9" i="80"/>
  <c r="L117" i="80"/>
  <c r="L103" i="80"/>
  <c r="L68" i="80"/>
  <c r="L50" i="80"/>
  <c r="L12" i="80"/>
  <c r="L99" i="80"/>
  <c r="L20" i="80"/>
  <c r="L94" i="80"/>
  <c r="L37" i="80"/>
  <c r="L74" i="80"/>
  <c r="L36" i="80"/>
  <c r="L8" i="80"/>
  <c r="L116" i="80"/>
  <c r="L102" i="80"/>
  <c r="L60" i="80"/>
  <c r="L88" i="80"/>
  <c r="L78" i="80"/>
  <c r="L83" i="80"/>
  <c r="L66" i="80"/>
  <c r="L21" i="80"/>
  <c r="M73" i="80"/>
  <c r="M35" i="80"/>
  <c r="M7" i="80"/>
  <c r="M115" i="80"/>
  <c r="M96" i="80"/>
  <c r="M57" i="80"/>
  <c r="Q57" i="80"/>
  <c r="M82" i="80"/>
  <c r="M44" i="80"/>
  <c r="M53" i="80"/>
  <c r="M75" i="80"/>
  <c r="M69" i="80"/>
  <c r="M34" i="80"/>
  <c r="M126" i="80"/>
  <c r="M114" i="80"/>
  <c r="M95" i="80"/>
  <c r="M52" i="80"/>
  <c r="M84" i="80"/>
  <c r="M65" i="80"/>
  <c r="M25" i="80"/>
  <c r="M93" i="80"/>
  <c r="M55" i="80"/>
  <c r="M27" i="80"/>
  <c r="M122" i="80"/>
  <c r="M110" i="80"/>
  <c r="M4" i="80"/>
  <c r="M105" i="80"/>
  <c r="M90" i="80"/>
  <c r="M79" i="80"/>
  <c r="M54" i="80"/>
  <c r="M49" i="80"/>
  <c r="L73" i="80"/>
  <c r="L35" i="80"/>
  <c r="L7" i="80"/>
  <c r="L115" i="80"/>
  <c r="L96" i="80"/>
  <c r="L57" i="80"/>
  <c r="L82" i="80"/>
  <c r="L44" i="80"/>
  <c r="L53" i="80"/>
  <c r="L75" i="80"/>
  <c r="M48" i="80"/>
  <c r="M23" i="80"/>
  <c r="M121" i="80"/>
  <c r="M109" i="80"/>
  <c r="M70" i="80"/>
  <c r="M32" i="80"/>
  <c r="M43" i="80"/>
  <c r="M62" i="80"/>
  <c r="M91" i="80"/>
  <c r="M42" i="80"/>
  <c r="L69" i="80"/>
  <c r="L34" i="80"/>
  <c r="L126" i="80"/>
  <c r="L114" i="80"/>
  <c r="L95" i="80"/>
  <c r="L52" i="80"/>
  <c r="L84" i="80"/>
  <c r="L65" i="80"/>
  <c r="L25" i="80"/>
  <c r="L93" i="80"/>
  <c r="M47" i="80"/>
  <c r="M22" i="80"/>
  <c r="M120" i="80"/>
  <c r="M108" i="80"/>
  <c r="M31" i="80"/>
  <c r="M76" i="80"/>
  <c r="M15" i="80"/>
  <c r="M51" i="80"/>
  <c r="M41" i="80"/>
  <c r="M63" i="80"/>
  <c r="L59" i="80"/>
  <c r="L30" i="80"/>
  <c r="L125" i="80"/>
  <c r="L113" i="80"/>
  <c r="L86" i="80"/>
  <c r="L71" i="80"/>
  <c r="L17" i="80"/>
  <c r="L98" i="80"/>
  <c r="L19" i="80"/>
  <c r="L92" i="80"/>
  <c r="M39" i="80"/>
  <c r="M16" i="80"/>
  <c r="M119" i="80"/>
  <c r="M107" i="80"/>
  <c r="M81" i="80"/>
  <c r="M40" i="80"/>
  <c r="M11" i="80"/>
  <c r="M101" i="80"/>
  <c r="M5" i="80"/>
  <c r="M100" i="80"/>
  <c r="L58" i="80"/>
  <c r="L29" i="80"/>
  <c r="L124" i="80"/>
  <c r="L112" i="80"/>
  <c r="L80" i="80"/>
  <c r="L104" i="80"/>
  <c r="L89" i="80"/>
  <c r="L24" i="80"/>
  <c r="L72" i="80"/>
  <c r="L26" i="80"/>
  <c r="M38" i="80"/>
  <c r="M10" i="80"/>
  <c r="M118" i="80"/>
  <c r="M106" i="80"/>
  <c r="M64" i="80"/>
  <c r="M77" i="80"/>
  <c r="M97" i="80"/>
  <c r="M18" i="80"/>
  <c r="M45" i="80"/>
  <c r="M46" i="80"/>
  <c r="L56" i="80"/>
  <c r="L28" i="80"/>
  <c r="L123" i="80"/>
  <c r="L111" i="80"/>
  <c r="L6" i="80"/>
  <c r="L87" i="80"/>
  <c r="L61" i="80"/>
  <c r="L33" i="80"/>
  <c r="L13" i="80"/>
  <c r="L85" i="80"/>
  <c r="M67" i="80"/>
  <c r="M37" i="80"/>
  <c r="M9" i="80"/>
  <c r="M117" i="80"/>
  <c r="M103" i="80"/>
  <c r="M68" i="80"/>
  <c r="M50" i="80"/>
  <c r="M12" i="80"/>
  <c r="M99" i="80"/>
  <c r="M20" i="80"/>
  <c r="M94" i="80"/>
  <c r="M74" i="80"/>
  <c r="M36" i="80"/>
  <c r="M8" i="80"/>
  <c r="M116" i="80"/>
  <c r="M102" i="80"/>
  <c r="M60" i="80"/>
  <c r="M88" i="80"/>
  <c r="M78" i="80"/>
  <c r="M83" i="80"/>
  <c r="M66" i="80"/>
  <c r="M21" i="80"/>
  <c r="B30" i="80"/>
  <c r="B27" i="80"/>
  <c r="Q30" i="80"/>
  <c r="R30" i="80"/>
  <c r="S30" i="80"/>
  <c r="T30" i="80"/>
  <c r="U30" i="80"/>
  <c r="R64" i="80" l="1"/>
  <c r="S64" i="80"/>
  <c r="S80" i="80"/>
  <c r="R80" i="80"/>
  <c r="R57" i="80"/>
  <c r="S57" i="80"/>
  <c r="R81" i="80"/>
  <c r="S81" i="80"/>
  <c r="B6" i="80"/>
  <c r="B8" i="80"/>
  <c r="B9" i="80"/>
  <c r="B10" i="80"/>
  <c r="B11" i="80"/>
  <c r="B12" i="80"/>
  <c r="B13" i="80"/>
  <c r="B16" i="80"/>
  <c r="B17" i="80"/>
  <c r="B18" i="80"/>
  <c r="B19" i="80"/>
  <c r="B20" i="80"/>
  <c r="B21" i="80"/>
  <c r="B22" i="80"/>
  <c r="B23" i="80"/>
  <c r="B24" i="80"/>
  <c r="B25" i="80"/>
  <c r="B26" i="80"/>
  <c r="B28" i="80"/>
  <c r="B29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60" i="80"/>
  <c r="B58" i="80"/>
  <c r="B59" i="80"/>
  <c r="B61" i="80"/>
  <c r="B62" i="80"/>
  <c r="B63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B125" i="80"/>
  <c r="B126" i="80"/>
  <c r="Q122" i="80"/>
  <c r="R122" i="80"/>
  <c r="S122" i="80"/>
  <c r="T122" i="80"/>
  <c r="U122" i="80"/>
  <c r="Q96" i="80"/>
  <c r="R96" i="80"/>
  <c r="S96" i="80"/>
  <c r="T96" i="80"/>
  <c r="U96" i="80"/>
  <c r="Q86" i="80"/>
  <c r="R86" i="80"/>
  <c r="S86" i="80"/>
  <c r="T86" i="80"/>
  <c r="U86" i="80"/>
  <c r="Q69" i="80"/>
  <c r="R69" i="80"/>
  <c r="S69" i="80"/>
  <c r="T69" i="80"/>
  <c r="U69" i="80"/>
  <c r="Q47" i="80"/>
  <c r="R47" i="80"/>
  <c r="S47" i="80"/>
  <c r="T47" i="80"/>
  <c r="U47" i="80"/>
  <c r="Q48" i="80"/>
  <c r="R48" i="80"/>
  <c r="S48" i="80"/>
  <c r="T48" i="80"/>
  <c r="U48" i="80"/>
  <c r="Q27" i="80"/>
  <c r="R27" i="80"/>
  <c r="S27" i="80"/>
  <c r="T27" i="80"/>
  <c r="U27" i="80"/>
  <c r="Q23" i="80"/>
  <c r="R23" i="80"/>
  <c r="S23" i="80"/>
  <c r="T23" i="80"/>
  <c r="U23" i="80"/>
  <c r="Q10" i="80"/>
  <c r="R10" i="80"/>
  <c r="S10" i="80"/>
  <c r="T10" i="80"/>
  <c r="U10" i="80"/>
  <c r="Q6" i="80"/>
  <c r="R6" i="80"/>
  <c r="S6" i="80"/>
  <c r="T6" i="80"/>
  <c r="U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4" i="80"/>
  <c r="R11" i="80"/>
  <c r="R17" i="80"/>
  <c r="R12" i="80"/>
  <c r="R24" i="80"/>
  <c r="R13" i="80"/>
  <c r="R7" i="80"/>
  <c r="R18" i="80"/>
  <c r="R19" i="80"/>
  <c r="R8" i="80"/>
  <c r="R25" i="80"/>
  <c r="R9" i="80"/>
  <c r="R20" i="80"/>
  <c r="R26" i="80"/>
  <c r="R21" i="80"/>
  <c r="R16" i="80"/>
  <c r="R22" i="80"/>
  <c r="R60" i="80"/>
  <c r="R31" i="80"/>
  <c r="R52" i="80"/>
  <c r="R40" i="80"/>
  <c r="R68" i="80"/>
  <c r="R50" i="80"/>
  <c r="R61" i="80"/>
  <c r="R32" i="80"/>
  <c r="R43" i="80"/>
  <c r="R33" i="80"/>
  <c r="R44" i="80"/>
  <c r="R65" i="80"/>
  <c r="R51" i="80"/>
  <c r="R62" i="80"/>
  <c r="R41" i="80"/>
  <c r="R42" i="80"/>
  <c r="R53" i="80"/>
  <c r="R66" i="80"/>
  <c r="R28" i="80"/>
  <c r="R54" i="80"/>
  <c r="R63" i="80"/>
  <c r="R67" i="80"/>
  <c r="R45" i="80"/>
  <c r="R29" i="80"/>
  <c r="R34" i="80"/>
  <c r="R58" i="80"/>
  <c r="R49" i="80"/>
  <c r="R46" i="80"/>
  <c r="R35" i="80"/>
  <c r="R59" i="80"/>
  <c r="R36" i="80"/>
  <c r="R55" i="80"/>
  <c r="R37" i="80"/>
  <c r="R56" i="80"/>
  <c r="R38" i="80"/>
  <c r="R39" i="80"/>
  <c r="R76" i="80"/>
  <c r="R70" i="80"/>
  <c r="R71" i="80"/>
  <c r="R77" i="80"/>
  <c r="R78" i="80"/>
  <c r="R72" i="80"/>
  <c r="R75" i="80"/>
  <c r="R79" i="80"/>
  <c r="R73" i="80"/>
  <c r="R74" i="80"/>
  <c r="R87" i="80"/>
  <c r="R82" i="80"/>
  <c r="R88" i="80"/>
  <c r="R89" i="80"/>
  <c r="R84" i="80"/>
  <c r="R83" i="80"/>
  <c r="R90" i="80"/>
  <c r="R85" i="80"/>
  <c r="R97" i="80"/>
  <c r="R98" i="80"/>
  <c r="R99" i="80"/>
  <c r="R101" i="80"/>
  <c r="R91" i="80"/>
  <c r="R92" i="80"/>
  <c r="R93" i="80"/>
  <c r="R100" i="80"/>
  <c r="R94" i="80"/>
  <c r="R95" i="80"/>
  <c r="R110" i="80"/>
  <c r="R116" i="80"/>
  <c r="R104" i="80"/>
  <c r="R105" i="80"/>
  <c r="R102" i="80"/>
  <c r="R106" i="80"/>
  <c r="R111" i="80"/>
  <c r="R117" i="80"/>
  <c r="R112" i="80"/>
  <c r="R103" i="80"/>
  <c r="R107" i="80"/>
  <c r="R108" i="80"/>
  <c r="R113" i="80"/>
  <c r="R114" i="80"/>
  <c r="R109" i="80"/>
  <c r="R115" i="80"/>
  <c r="R118" i="80"/>
  <c r="R119" i="80"/>
  <c r="R120" i="80"/>
  <c r="R121" i="80"/>
  <c r="R123" i="80"/>
  <c r="R124" i="80"/>
  <c r="R125" i="80"/>
  <c r="R126" i="80"/>
  <c r="R5" i="80"/>
  <c r="Q5" i="80"/>
  <c r="S4" i="80"/>
  <c r="S11" i="80"/>
  <c r="S17" i="80"/>
  <c r="S12" i="80"/>
  <c r="S24" i="80"/>
  <c r="S13" i="80"/>
  <c r="S7" i="80"/>
  <c r="S18" i="80"/>
  <c r="S19" i="80"/>
  <c r="S8" i="80"/>
  <c r="S25" i="80"/>
  <c r="S9" i="80"/>
  <c r="S20" i="80"/>
  <c r="S26" i="80"/>
  <c r="S21" i="80"/>
  <c r="S16" i="80"/>
  <c r="S22" i="80"/>
  <c r="S60" i="80"/>
  <c r="S31" i="80"/>
  <c r="S52" i="80"/>
  <c r="S40" i="80"/>
  <c r="S68" i="80"/>
  <c r="S50" i="80"/>
  <c r="S61" i="80"/>
  <c r="S32" i="80"/>
  <c r="S43" i="80"/>
  <c r="S33" i="80"/>
  <c r="S44" i="80"/>
  <c r="S65" i="80"/>
  <c r="S51" i="80"/>
  <c r="S62" i="80"/>
  <c r="S41" i="80"/>
  <c r="S42" i="80"/>
  <c r="S53" i="80"/>
  <c r="S66" i="80"/>
  <c r="S28" i="80"/>
  <c r="S54" i="80"/>
  <c r="S63" i="80"/>
  <c r="S67" i="80"/>
  <c r="S45" i="80"/>
  <c r="S29" i="80"/>
  <c r="S34" i="80"/>
  <c r="S58" i="80"/>
  <c r="S49" i="80"/>
  <c r="S46" i="80"/>
  <c r="S35" i="80"/>
  <c r="S59" i="80"/>
  <c r="S36" i="80"/>
  <c r="S55" i="80"/>
  <c r="S37" i="80"/>
  <c r="S56" i="80"/>
  <c r="S38" i="80"/>
  <c r="S39" i="80"/>
  <c r="S76" i="80"/>
  <c r="S70" i="80"/>
  <c r="S71" i="80"/>
  <c r="S77" i="80"/>
  <c r="S78" i="80"/>
  <c r="S72" i="80"/>
  <c r="S75" i="80"/>
  <c r="S79" i="80"/>
  <c r="S73" i="80"/>
  <c r="S74" i="80"/>
  <c r="S87" i="80"/>
  <c r="S82" i="80"/>
  <c r="S88" i="80"/>
  <c r="S89" i="80"/>
  <c r="S84" i="80"/>
  <c r="S83" i="80"/>
  <c r="S90" i="80"/>
  <c r="S85" i="80"/>
  <c r="S97" i="80"/>
  <c r="S98" i="80"/>
  <c r="S99" i="80"/>
  <c r="S101" i="80"/>
  <c r="S91" i="80"/>
  <c r="S92" i="80"/>
  <c r="S93" i="80"/>
  <c r="S100" i="80"/>
  <c r="S94" i="80"/>
  <c r="S95" i="80"/>
  <c r="S110" i="80"/>
  <c r="S116" i="80"/>
  <c r="S104" i="80"/>
  <c r="S105" i="80"/>
  <c r="S102" i="80"/>
  <c r="S106" i="80"/>
  <c r="S111" i="80"/>
  <c r="S117" i="80"/>
  <c r="S112" i="80"/>
  <c r="S103" i="80"/>
  <c r="S107" i="80"/>
  <c r="S108" i="80"/>
  <c r="S113" i="80"/>
  <c r="S114" i="80"/>
  <c r="S109" i="80"/>
  <c r="S115" i="80"/>
  <c r="S118" i="80"/>
  <c r="S119" i="80"/>
  <c r="S120" i="80"/>
  <c r="S121" i="80"/>
  <c r="S123" i="80"/>
  <c r="S124" i="80"/>
  <c r="S125" i="80"/>
  <c r="S126" i="80"/>
  <c r="S5" i="80"/>
  <c r="Q4" i="80"/>
  <c r="Q11" i="80"/>
  <c r="Q17" i="80"/>
  <c r="Q12" i="80"/>
  <c r="Q24" i="80"/>
  <c r="Q13" i="80"/>
  <c r="Q7" i="80"/>
  <c r="Q18" i="80"/>
  <c r="Q19" i="80"/>
  <c r="Q8" i="80"/>
  <c r="Q25" i="80"/>
  <c r="Q9" i="80"/>
  <c r="Q20" i="80"/>
  <c r="Q26" i="80"/>
  <c r="Q21" i="80"/>
  <c r="Q16" i="80"/>
  <c r="Q22" i="80"/>
  <c r="Q60" i="80"/>
  <c r="Q31" i="80"/>
  <c r="Q52" i="80"/>
  <c r="Q40" i="80"/>
  <c r="Q68" i="80"/>
  <c r="Q50" i="80"/>
  <c r="Q61" i="80"/>
  <c r="Q32" i="80"/>
  <c r="Q43" i="80"/>
  <c r="Q33" i="80"/>
  <c r="Q44" i="80"/>
  <c r="Q65" i="80"/>
  <c r="Q51" i="80"/>
  <c r="Q62" i="80"/>
  <c r="Q41" i="80"/>
  <c r="Q42" i="80"/>
  <c r="Q53" i="80"/>
  <c r="Q66" i="80"/>
  <c r="Q28" i="80"/>
  <c r="Q54" i="80"/>
  <c r="Q63" i="80"/>
  <c r="Q67" i="80"/>
  <c r="Q45" i="80"/>
  <c r="Q29" i="80"/>
  <c r="Q34" i="80"/>
  <c r="Q58" i="80"/>
  <c r="Q49" i="80"/>
  <c r="Q46" i="80"/>
  <c r="Q35" i="80"/>
  <c r="Q59" i="80"/>
  <c r="Q36" i="80"/>
  <c r="Q55" i="80"/>
  <c r="Q37" i="80"/>
  <c r="Q56" i="80"/>
  <c r="Q38" i="80"/>
  <c r="Q39" i="80"/>
  <c r="Q76" i="80"/>
  <c r="Q70" i="80"/>
  <c r="Q71" i="80"/>
  <c r="Q77" i="80"/>
  <c r="Q78" i="80"/>
  <c r="Q72" i="80"/>
  <c r="Q75" i="80"/>
  <c r="Q79" i="80"/>
  <c r="Q73" i="80"/>
  <c r="Q74" i="80"/>
  <c r="Q87" i="80"/>
  <c r="Q82" i="80"/>
  <c r="Q88" i="80"/>
  <c r="Q89" i="80"/>
  <c r="Q84" i="80"/>
  <c r="Q83" i="80"/>
  <c r="Q90" i="80"/>
  <c r="Q85" i="80"/>
  <c r="Q97" i="80"/>
  <c r="Q98" i="80"/>
  <c r="Q99" i="80"/>
  <c r="Q101" i="80"/>
  <c r="Q91" i="80"/>
  <c r="Q92" i="80"/>
  <c r="Q93" i="80"/>
  <c r="Q100" i="80"/>
  <c r="Q94" i="80"/>
  <c r="Q95" i="80"/>
  <c r="Q110" i="80"/>
  <c r="Q116" i="80"/>
  <c r="Q104" i="80"/>
  <c r="Q105" i="80"/>
  <c r="Q102" i="80"/>
  <c r="Q106" i="80"/>
  <c r="Q111" i="80"/>
  <c r="Q117" i="80"/>
  <c r="Q112" i="80"/>
  <c r="Q103" i="80"/>
  <c r="Q107" i="80"/>
  <c r="Q108" i="80"/>
  <c r="Q113" i="80"/>
  <c r="Q114" i="80"/>
  <c r="Q109" i="80"/>
  <c r="Q115" i="80"/>
  <c r="Q118" i="80"/>
  <c r="Q119" i="80"/>
  <c r="Q120" i="80"/>
  <c r="Q121" i="80"/>
  <c r="Q123" i="80"/>
  <c r="Q124" i="80"/>
  <c r="Q125" i="80"/>
  <c r="Q126" i="80"/>
  <c r="U95" i="80"/>
  <c r="T95" i="80"/>
  <c r="T16" i="80"/>
  <c r="U16" i="80"/>
  <c r="T22" i="80"/>
  <c r="U22" i="80"/>
  <c r="T21" i="80"/>
  <c r="U21" i="80"/>
  <c r="T94" i="80"/>
  <c r="U94" i="80"/>
  <c r="T46" i="80"/>
  <c r="U46" i="80"/>
  <c r="T100" i="80"/>
  <c r="U100" i="80"/>
  <c r="T63" i="80"/>
  <c r="U63" i="80"/>
  <c r="T42" i="80"/>
  <c r="U42" i="80"/>
  <c r="T49" i="80"/>
  <c r="U49" i="80"/>
  <c r="T85" i="80"/>
  <c r="U85" i="80"/>
  <c r="T26" i="80"/>
  <c r="U26" i="80"/>
  <c r="T92" i="80"/>
  <c r="U92" i="80"/>
  <c r="T93" i="80"/>
  <c r="U93" i="80"/>
  <c r="T75" i="80"/>
  <c r="U75" i="80"/>
  <c r="T66" i="80"/>
  <c r="U66" i="80"/>
  <c r="T20" i="80"/>
  <c r="U20" i="80"/>
  <c r="T45" i="80"/>
  <c r="U45" i="80"/>
  <c r="T5" i="80"/>
  <c r="U5" i="80"/>
  <c r="T41" i="80"/>
  <c r="U41" i="80"/>
  <c r="T91" i="80"/>
  <c r="U91" i="80"/>
  <c r="T54" i="80"/>
  <c r="U54" i="80"/>
  <c r="T13" i="80"/>
  <c r="U13" i="80"/>
  <c r="T72" i="80"/>
  <c r="U72" i="80"/>
  <c r="T19" i="80"/>
  <c r="U19" i="80"/>
  <c r="T25" i="80"/>
  <c r="U25" i="80"/>
  <c r="T53" i="80"/>
  <c r="U53" i="80"/>
  <c r="T83" i="80"/>
  <c r="U83" i="80"/>
  <c r="T99" i="80"/>
  <c r="U99" i="80"/>
  <c r="T18" i="80"/>
  <c r="U18" i="80"/>
  <c r="T101" i="80"/>
  <c r="U101" i="80"/>
  <c r="T51" i="80"/>
  <c r="U51" i="80"/>
  <c r="T62" i="80"/>
  <c r="U62" i="80"/>
  <c r="T79" i="80"/>
  <c r="U79" i="80"/>
  <c r="T33" i="80"/>
  <c r="U33" i="80"/>
  <c r="T24" i="80"/>
  <c r="U24" i="80"/>
  <c r="T98" i="80"/>
  <c r="U98" i="80"/>
  <c r="T65" i="80"/>
  <c r="U65" i="80"/>
  <c r="T44" i="80"/>
  <c r="U44" i="80"/>
  <c r="T78" i="80"/>
  <c r="U78" i="80"/>
  <c r="T12" i="80"/>
  <c r="U12" i="80"/>
  <c r="T97" i="80"/>
  <c r="U97" i="80"/>
  <c r="T11" i="80"/>
  <c r="U11" i="80"/>
  <c r="T43" i="80"/>
  <c r="U43" i="80"/>
  <c r="T90" i="80"/>
  <c r="U90" i="80"/>
  <c r="T61" i="80"/>
  <c r="U61" i="80"/>
  <c r="T89" i="80"/>
  <c r="U89" i="80"/>
  <c r="T17" i="80"/>
  <c r="U17" i="80"/>
  <c r="T84" i="80"/>
  <c r="U84" i="80"/>
  <c r="T82" i="80"/>
  <c r="U82" i="80"/>
  <c r="T88" i="80"/>
  <c r="U88" i="80"/>
  <c r="T50" i="80"/>
  <c r="U50" i="80"/>
  <c r="T77" i="80"/>
  <c r="U77" i="80"/>
  <c r="T40" i="80"/>
  <c r="U40" i="80"/>
  <c r="T76" i="80"/>
  <c r="U76" i="80"/>
  <c r="T32" i="80"/>
  <c r="U32" i="80"/>
  <c r="T105" i="80"/>
  <c r="U105" i="80"/>
  <c r="T87" i="80"/>
  <c r="U87" i="80"/>
  <c r="T104" i="80"/>
  <c r="U104" i="80"/>
  <c r="T71" i="80"/>
  <c r="U71" i="80"/>
  <c r="T52" i="80"/>
  <c r="U52" i="80"/>
  <c r="T60" i="80"/>
  <c r="U60" i="80"/>
  <c r="T68" i="80"/>
  <c r="U68" i="80"/>
  <c r="T31" i="80"/>
  <c r="U31" i="80"/>
  <c r="T70" i="80"/>
  <c r="U70" i="80"/>
  <c r="U7" i="80"/>
  <c r="U8" i="80"/>
  <c r="U9" i="80"/>
  <c r="U28" i="80"/>
  <c r="U29" i="80"/>
  <c r="U34" i="80"/>
  <c r="U35" i="80"/>
  <c r="U36" i="80"/>
  <c r="U37" i="80"/>
  <c r="U38" i="80"/>
  <c r="U39" i="80"/>
  <c r="U55" i="80"/>
  <c r="U56" i="80"/>
  <c r="U58" i="80"/>
  <c r="U59" i="80"/>
  <c r="U73" i="80"/>
  <c r="U74" i="80"/>
  <c r="U102" i="80"/>
  <c r="U103" i="80"/>
  <c r="U106" i="80"/>
  <c r="U107" i="80"/>
  <c r="U108" i="80"/>
  <c r="U109" i="80"/>
  <c r="U110" i="80"/>
  <c r="U111" i="80"/>
  <c r="U112" i="80"/>
  <c r="U113" i="80"/>
  <c r="U114" i="80"/>
  <c r="U115" i="80"/>
  <c r="U116" i="80"/>
  <c r="U117" i="80"/>
  <c r="U118" i="80"/>
  <c r="U119" i="80"/>
  <c r="U120" i="80"/>
  <c r="U121" i="80"/>
  <c r="U123" i="80"/>
  <c r="U124" i="80"/>
  <c r="U125" i="80"/>
  <c r="U126" i="80"/>
  <c r="U67" i="80"/>
  <c r="U4" i="80"/>
  <c r="T7" i="80"/>
  <c r="T8" i="80"/>
  <c r="T9" i="80"/>
  <c r="T28" i="80"/>
  <c r="T29" i="80"/>
  <c r="T34" i="80"/>
  <c r="T35" i="80"/>
  <c r="T36" i="80"/>
  <c r="T37" i="80"/>
  <c r="T38" i="80"/>
  <c r="T39" i="80"/>
  <c r="T55" i="80"/>
  <c r="T56" i="80"/>
  <c r="T58" i="80"/>
  <c r="T59" i="80"/>
  <c r="T73" i="80"/>
  <c r="T74" i="80"/>
  <c r="T102" i="80"/>
  <c r="T103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0" i="80"/>
  <c r="T121" i="80"/>
  <c r="T123" i="80"/>
  <c r="T124" i="80"/>
  <c r="T125" i="80"/>
  <c r="T126" i="80"/>
  <c r="T67" i="80"/>
  <c r="T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5" i="80"/>
</calcChain>
</file>

<file path=xl/sharedStrings.xml><?xml version="1.0" encoding="utf-8"?>
<sst xmlns="http://schemas.openxmlformats.org/spreadsheetml/2006/main" count="9560" uniqueCount="3301">
  <si>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</si>
  <si>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</si>
  <si>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</si>
  <si>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</si>
  <si>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</si>
  <si>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</si>
  <si>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</si>
  <si>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</si>
  <si>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</si>
  <si>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</si>
  <si>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</si>
  <si>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</si>
  <si>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</si>
  <si>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</si>
  <si>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</si>
  <si>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</si>
  <si>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</si>
  <si>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</si>
  <si>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</si>
  <si>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</si>
  <si>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</si>
  <si>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</si>
  <si>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</si>
  <si>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</si>
  <si>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</si>
  <si>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</si>
  <si>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</si>
  <si>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</si>
  <si>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</si>
  <si>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</si>
  <si>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</si>
  <si>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</si>
  <si>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</si>
  <si>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</si>
  <si>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</si>
  <si>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</si>
  <si>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</si>
  <si>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</si>
  <si>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</si>
  <si>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</si>
  <si>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</si>
  <si>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</si>
  <si>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</si>
  <si>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</si>
  <si>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</si>
  <si>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</si>
  <si>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</si>
  <si>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</si>
  <si>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</si>
  <si>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</si>
  <si>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</si>
  <si>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</si>
  <si>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</si>
  <si>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</si>
  <si>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</si>
  <si>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</si>
  <si>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</si>
  <si>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</si>
  <si>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</si>
  <si>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</si>
  <si>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</si>
  <si>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</si>
  <si>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</si>
  <si>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</si>
  <si>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</si>
  <si>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</si>
  <si>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</si>
  <si>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</si>
  <si>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</si>
  <si>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</si>
  <si>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</si>
  <si>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</si>
  <si>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</si>
  <si>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</si>
  <si>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</si>
  <si>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</si>
  <si>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</si>
  <si>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</si>
  <si>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</si>
  <si>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</si>
  <si>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</si>
  <si>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</si>
  <si>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</si>
  <si>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</si>
  <si>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</si>
  <si>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</si>
  <si>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</si>
  <si>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</si>
  <si>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</si>
  <si>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</si>
  <si>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</si>
  <si>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</si>
  <si>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</si>
  <si>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</si>
  <si>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</si>
  <si>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</si>
  <si>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</si>
  <si>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</si>
  <si>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</si>
  <si>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</si>
  <si>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</si>
  <si>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</si>
  <si>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</si>
  <si>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</si>
  <si>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</si>
  <si>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</si>
  <si>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</si>
  <si>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</si>
  <si>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</si>
  <si>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</si>
  <si>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</si>
  <si>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</si>
  <si>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</si>
  <si>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</si>
  <si>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</si>
  <si>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</si>
  <si>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</si>
  <si>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</si>
  <si>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</si>
  <si>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</si>
  <si>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</si>
  <si>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</si>
  <si>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</si>
  <si>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</si>
  <si>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</si>
  <si>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</si>
  <si>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</si>
  <si>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</si>
  <si>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</si>
  <si>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</si>
  <si>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</si>
  <si>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</si>
  <si>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</si>
  <si>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</si>
  <si>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</si>
  <si>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</si>
  <si>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</si>
  <si>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</si>
  <si>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</si>
  <si>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</si>
  <si>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</si>
  <si>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</si>
  <si>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</si>
  <si>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</si>
  <si>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</si>
  <si>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</si>
  <si>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</si>
  <si>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</si>
  <si>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</si>
  <si>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</si>
  <si>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</si>
  <si>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</si>
  <si>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</si>
  <si>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</si>
  <si>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</si>
  <si>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</si>
  <si>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</si>
  <si>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</si>
  <si>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</si>
  <si>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</si>
  <si>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</si>
  <si>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</si>
  <si>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</si>
  <si>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</si>
  <si>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</si>
  <si>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</si>
  <si>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</si>
  <si>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</si>
  <si>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</si>
  <si>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</si>
  <si>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</si>
  <si>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</si>
  <si>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</si>
  <si>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</si>
  <si>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</si>
  <si>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</si>
  <si>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</si>
  <si>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</si>
  <si>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</si>
  <si>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</si>
  <si>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</si>
  <si>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</si>
  <si>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</si>
  <si>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</si>
  <si>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</si>
  <si>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</si>
  <si>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</si>
  <si>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</si>
  <si>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</si>
  <si>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</si>
  <si>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</si>
  <si>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</si>
  <si>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</si>
  <si>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</si>
  <si>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</si>
  <si>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</si>
  <si>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</si>
  <si>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</si>
  <si>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</si>
  <si>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</si>
  <si>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</si>
  <si>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</si>
  <si>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</si>
  <si>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</si>
  <si>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</si>
  <si>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</si>
  <si>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</si>
  <si>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</si>
  <si>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</si>
  <si>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</si>
  <si>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</si>
  <si>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</si>
  <si>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</si>
  <si>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</si>
  <si>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</si>
  <si>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</si>
  <si>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</si>
  <si>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</si>
  <si>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</si>
  <si>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</si>
  <si>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</si>
  <si>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</si>
  <si>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</si>
  <si>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</si>
  <si>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</si>
  <si>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</si>
  <si>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</si>
  <si>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</si>
  <si>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</si>
  <si>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</si>
  <si>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</si>
  <si>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</si>
  <si>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</si>
  <si>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</si>
  <si>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</si>
  <si>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</si>
  <si>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</si>
  <si>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</si>
  <si>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</si>
  <si>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</si>
  <si>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</si>
  <si>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</si>
  <si>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</si>
  <si>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</si>
  <si>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</si>
  <si>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</si>
  <si>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</si>
  <si>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</si>
  <si>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</si>
  <si>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</si>
  <si>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</si>
  <si>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</si>
  <si>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</si>
  <si>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</si>
  <si>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</si>
  <si>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</si>
  <si>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</si>
  <si>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</si>
  <si>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</si>
  <si>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</si>
  <si>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</si>
  <si>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</si>
  <si>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</si>
  <si>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</si>
  <si>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</si>
  <si>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</si>
  <si>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</si>
  <si>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</si>
  <si>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</si>
  <si>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</si>
  <si>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</si>
  <si>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</si>
  <si>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</si>
  <si>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</si>
  <si>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</si>
  <si>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</si>
  <si>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</si>
  <si>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</si>
  <si>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</si>
  <si>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</si>
  <si>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</si>
  <si>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</si>
  <si>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</si>
  <si>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</si>
  <si>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</si>
  <si>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</si>
  <si>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</si>
  <si>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</si>
  <si>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</si>
  <si>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</si>
  <si>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</si>
  <si>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</si>
  <si>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</si>
  <si>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</si>
  <si>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</si>
  <si>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</si>
  <si>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</si>
  <si>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</si>
  <si>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</si>
  <si>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</si>
  <si>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</si>
  <si>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</si>
  <si>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</si>
  <si>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</si>
  <si>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</si>
  <si>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</si>
  <si>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</si>
  <si>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</si>
  <si>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</si>
  <si>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</si>
  <si>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</si>
  <si>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</si>
  <si>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</si>
  <si>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</si>
  <si>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</si>
  <si>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</si>
  <si>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</si>
  <si>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</si>
  <si>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</si>
  <si>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</si>
  <si>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</si>
  <si>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</si>
  <si>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</si>
  <si>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</si>
  <si>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</si>
  <si>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</si>
  <si>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</si>
  <si>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</si>
  <si>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</si>
  <si>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</si>
  <si>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</si>
  <si>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</si>
  <si>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</si>
  <si>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</si>
  <si>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</si>
  <si>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</si>
  <si>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</si>
  <si>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</si>
  <si>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</si>
  <si>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</si>
  <si>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</si>
  <si>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</si>
  <si>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</si>
  <si>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</si>
  <si>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</si>
  <si>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</si>
  <si>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</si>
  <si>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</si>
  <si>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</si>
  <si>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</si>
  <si>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</si>
  <si>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</si>
  <si>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</si>
  <si>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</si>
  <si>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</si>
  <si>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</si>
  <si>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</si>
  <si>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</si>
  <si>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</si>
  <si>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</si>
  <si>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</si>
  <si>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</si>
  <si>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</si>
  <si>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</si>
  <si>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</si>
  <si>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</si>
  <si>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</si>
  <si>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</si>
  <si>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</si>
  <si>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</si>
  <si>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</si>
  <si>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</si>
  <si>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</si>
  <si>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</si>
  <si>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</si>
  <si>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</si>
  <si>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</si>
  <si>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</si>
  <si>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</si>
  <si>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</si>
  <si>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</si>
  <si>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</si>
  <si>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</si>
  <si>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</si>
  <si>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</si>
  <si>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</si>
  <si>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</si>
  <si>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</si>
  <si>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</si>
  <si>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</si>
  <si>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</si>
  <si>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</si>
  <si>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</si>
  <si>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</si>
  <si>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</si>
  <si>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</si>
  <si>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</si>
  <si>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</si>
  <si>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</si>
  <si>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</si>
  <si>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</si>
  <si>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</si>
  <si>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</si>
  <si>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</si>
  <si>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</si>
  <si>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</si>
  <si>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</si>
  <si>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</si>
  <si>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</si>
  <si>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</si>
  <si>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</si>
  <si>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</si>
  <si>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</si>
  <si>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</si>
  <si>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</si>
  <si>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</si>
  <si>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</si>
  <si>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</si>
  <si>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</si>
  <si>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</si>
  <si>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</si>
  <si>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</si>
  <si>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</si>
  <si>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</si>
  <si>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</si>
  <si>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</si>
  <si>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</si>
  <si>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</si>
  <si>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</si>
  <si>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</si>
  <si>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</si>
  <si>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</si>
  <si>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</si>
  <si>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</si>
  <si>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</si>
  <si>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</si>
  <si>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</si>
  <si>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</si>
  <si>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</si>
  <si>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</si>
  <si>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</si>
  <si>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</si>
  <si>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</si>
  <si>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</si>
  <si>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</si>
  <si>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</si>
  <si>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</si>
  <si>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</si>
  <si>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</si>
  <si>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</si>
  <si>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</si>
  <si>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</si>
  <si>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</si>
  <si>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</si>
  <si>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</si>
  <si>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</si>
  <si>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</si>
  <si>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</si>
  <si>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</si>
  <si>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</si>
  <si>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</si>
  <si>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</si>
  <si>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</si>
  <si>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</si>
  <si>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</si>
  <si>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</si>
  <si>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</si>
  <si>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</si>
  <si>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</si>
  <si>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</si>
  <si>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</si>
  <si>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</si>
  <si>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</si>
  <si>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</si>
  <si>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</si>
  <si>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</si>
  <si>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</si>
  <si>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</si>
  <si>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</si>
  <si>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</si>
  <si>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</si>
  <si>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</si>
  <si>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</si>
  <si>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</si>
  <si>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</si>
  <si>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</si>
  <si>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</si>
  <si>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</si>
  <si>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</si>
  <si>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</si>
  <si>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</si>
  <si>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</si>
  <si>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</si>
  <si>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</si>
  <si>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</si>
  <si>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</si>
  <si>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</si>
  <si>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</si>
  <si>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</si>
  <si>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</si>
  <si>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</si>
  <si>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</si>
  <si>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</si>
  <si>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</si>
  <si>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</si>
  <si>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</si>
  <si>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</si>
  <si>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</si>
  <si>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</si>
  <si>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</si>
  <si>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</si>
  <si>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</si>
  <si>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</si>
  <si>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</si>
  <si>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</si>
  <si>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</si>
  <si>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</si>
  <si>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</si>
  <si>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</si>
  <si>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</si>
  <si>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</si>
  <si>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</si>
  <si>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</si>
  <si>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</si>
  <si>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</si>
  <si>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</si>
  <si>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</si>
  <si>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</si>
  <si>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</si>
  <si>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</si>
  <si>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</si>
  <si>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</si>
  <si>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</si>
  <si>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</si>
  <si>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</si>
  <si>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</si>
  <si>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</si>
  <si>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</si>
  <si>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</si>
  <si>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</si>
  <si>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</si>
  <si>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</si>
  <si>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</si>
  <si>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</si>
  <si>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</si>
  <si>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</si>
  <si>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</si>
  <si>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</si>
  <si>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</si>
  <si>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</si>
  <si>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</si>
  <si>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</si>
  <si>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</si>
  <si>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</si>
  <si>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</si>
  <si>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</si>
  <si>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</si>
  <si>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</si>
  <si>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</si>
  <si>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</si>
  <si>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</si>
  <si>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</si>
  <si>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</si>
  <si>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</si>
  <si>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</si>
  <si>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</si>
  <si>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</si>
  <si>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</si>
  <si>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</si>
  <si>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</si>
  <si>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</si>
  <si>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</si>
  <si>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</si>
  <si>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</si>
  <si>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</si>
  <si>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</si>
  <si>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</si>
  <si>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</si>
  <si>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</si>
  <si>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</si>
  <si>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</si>
  <si>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</si>
  <si>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</si>
  <si>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</si>
  <si>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</si>
  <si>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</si>
  <si>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</si>
  <si>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</si>
  <si>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</si>
  <si>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</si>
  <si>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</si>
  <si>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</si>
  <si>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</si>
  <si>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</si>
  <si>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</si>
  <si>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</si>
  <si>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</si>
  <si>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</si>
  <si>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</si>
  <si>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</si>
  <si>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</si>
  <si>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</si>
  <si>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</si>
  <si>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</si>
  <si>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</si>
  <si>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</si>
  <si>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</si>
  <si>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</si>
  <si>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</si>
  <si>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</si>
  <si>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</si>
  <si>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</si>
  <si>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</si>
  <si>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</si>
  <si>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</si>
  <si>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</si>
  <si>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</si>
  <si>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</si>
  <si>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</si>
  <si>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</si>
  <si>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</si>
  <si>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</si>
  <si>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</si>
  <si>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</si>
  <si>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</si>
  <si>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</si>
  <si>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</si>
  <si>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</si>
  <si>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</si>
  <si>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</si>
  <si>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</si>
  <si>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</si>
  <si>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</si>
  <si>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</si>
  <si>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</si>
  <si>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</si>
  <si>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</si>
  <si>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</si>
  <si>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</si>
  <si>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</si>
  <si>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</si>
  <si>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</si>
  <si>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</si>
  <si>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</si>
  <si>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</si>
  <si>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</si>
  <si>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</si>
  <si>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</si>
  <si>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</si>
  <si>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</si>
  <si>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</si>
  <si>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</si>
  <si>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</si>
  <si>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</si>
  <si>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</si>
  <si>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</si>
  <si>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</si>
  <si>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</si>
  <si>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</si>
  <si>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</si>
  <si>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</si>
  <si>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</si>
  <si>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</si>
  <si>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</si>
  <si>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</si>
  <si>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</si>
  <si>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</si>
  <si>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</si>
  <si>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</si>
  <si>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</si>
  <si>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</si>
  <si>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</si>
  <si>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</si>
  <si>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</si>
  <si>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</si>
  <si>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</si>
  <si>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</si>
  <si>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</si>
  <si>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</si>
  <si>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</si>
  <si>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</si>
  <si>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</si>
  <si>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</si>
  <si>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</si>
  <si>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</si>
  <si>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</si>
  <si>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</si>
  <si>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</si>
  <si>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</si>
  <si>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</si>
  <si>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</si>
  <si>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</si>
  <si>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</si>
  <si>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</si>
  <si>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</si>
  <si>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</si>
  <si>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</si>
  <si>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</si>
  <si>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</si>
  <si>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</si>
  <si>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</si>
  <si>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</si>
  <si>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</si>
  <si>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</si>
  <si>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</si>
  <si>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</si>
  <si>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</si>
  <si>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</si>
  <si>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</si>
  <si>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</si>
  <si>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</si>
  <si>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</si>
  <si>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</si>
  <si>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</si>
  <si>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</si>
  <si>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</si>
  <si>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</si>
  <si>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</si>
  <si>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</si>
  <si>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</si>
  <si>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</si>
  <si>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</si>
  <si>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</si>
  <si>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</si>
  <si>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</si>
  <si>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</si>
  <si>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</si>
  <si>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</si>
  <si>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</si>
  <si>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</si>
  <si>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</si>
  <si>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</si>
  <si>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</si>
  <si>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</si>
  <si>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</si>
  <si>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</si>
  <si>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</si>
  <si>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</si>
  <si>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</si>
  <si>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</si>
  <si>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</si>
  <si>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</si>
  <si>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</si>
  <si>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</si>
  <si>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</si>
  <si>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</si>
  <si>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</si>
  <si>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</si>
  <si>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</si>
  <si>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</si>
  <si>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</si>
  <si>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</si>
  <si>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</si>
  <si>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</si>
  <si>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</si>
  <si>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</si>
  <si>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</si>
  <si>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</si>
  <si>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</si>
  <si>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</si>
  <si>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</si>
  <si>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</si>
  <si>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</si>
  <si>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</si>
  <si>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</si>
  <si>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</si>
  <si>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</si>
  <si>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</si>
  <si>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</si>
  <si>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</si>
  <si>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</si>
  <si>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</si>
  <si>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</si>
  <si>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</si>
  <si>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</si>
  <si>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</si>
  <si>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</si>
  <si>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</si>
  <si>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</si>
  <si>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</si>
  <si>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</si>
  <si>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</si>
  <si>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</si>
  <si>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</si>
  <si>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</si>
  <si>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</si>
  <si>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</si>
  <si>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</si>
  <si>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</si>
  <si>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</si>
  <si>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</si>
  <si>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</si>
  <si>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</si>
  <si>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</si>
  <si>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</si>
  <si>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</si>
  <si>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</si>
  <si>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</si>
  <si>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</si>
  <si>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</si>
  <si>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</si>
  <si>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</si>
  <si>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</si>
  <si>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</si>
  <si>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</si>
  <si>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</si>
  <si>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</si>
  <si>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</si>
  <si>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</si>
  <si>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</si>
  <si>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</si>
  <si>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</si>
  <si>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</si>
  <si>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</si>
  <si>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</si>
  <si>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</si>
  <si>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</si>
  <si>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</si>
  <si>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</si>
  <si>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</si>
  <si>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</si>
  <si>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</si>
  <si>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</si>
  <si>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</si>
  <si>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</si>
  <si>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</si>
  <si>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</si>
  <si>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</si>
  <si>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</si>
  <si>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</si>
  <si>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</si>
  <si>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</si>
  <si>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</si>
  <si>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</si>
  <si>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</si>
  <si>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</si>
  <si>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</si>
  <si>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</si>
  <si>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</si>
  <si>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</si>
  <si>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</si>
  <si>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</si>
  <si>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</si>
  <si>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</si>
  <si>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</si>
  <si>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</si>
  <si>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</si>
  <si>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</si>
  <si>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</si>
  <si>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</si>
  <si>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</si>
  <si>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</si>
  <si>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</si>
  <si>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</si>
  <si>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</si>
  <si>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</si>
  <si>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</si>
  <si>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</si>
  <si>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</si>
  <si>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</si>
  <si>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</si>
  <si>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</si>
  <si>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</si>
  <si>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</si>
  <si>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</si>
  <si>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</si>
  <si>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</si>
  <si>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</si>
  <si>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</si>
  <si>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</si>
  <si>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</si>
  <si>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</si>
  <si>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</si>
  <si>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</si>
  <si>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</si>
  <si>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</si>
  <si>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</si>
  <si>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</si>
  <si>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</si>
  <si>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</si>
  <si>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</si>
  <si>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</si>
  <si>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</si>
  <si>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</si>
  <si>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</si>
  <si>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</si>
  <si>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</si>
  <si>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</si>
  <si>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</si>
  <si>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</si>
  <si>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</si>
  <si>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</si>
  <si>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</si>
  <si>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</si>
  <si>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</si>
  <si>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</si>
  <si>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</si>
  <si>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</si>
  <si>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</si>
  <si>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</si>
  <si>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</si>
  <si>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</si>
  <si>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</si>
  <si>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</si>
  <si>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</si>
  <si>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</si>
  <si>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</si>
  <si>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</si>
  <si>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</si>
  <si>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</si>
  <si>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</si>
  <si>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</si>
  <si>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</si>
  <si>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</si>
  <si>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</si>
  <si>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</si>
  <si>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</si>
  <si>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</si>
  <si>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</si>
  <si>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</si>
  <si>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</si>
  <si>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</si>
  <si>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</si>
  <si>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</si>
  <si>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</si>
  <si>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</si>
  <si>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</si>
  <si>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</si>
  <si>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</si>
  <si>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</si>
  <si>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</si>
  <si>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</si>
  <si>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</si>
  <si>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</si>
  <si>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</si>
  <si>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</si>
  <si>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</si>
  <si>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</si>
  <si>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</si>
  <si>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</si>
  <si>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</si>
  <si>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</si>
  <si>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</si>
  <si>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</si>
  <si>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</si>
  <si>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</si>
  <si>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</si>
  <si>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</si>
  <si>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</si>
  <si>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</si>
  <si>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</si>
  <si>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</si>
  <si>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</si>
  <si>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</si>
  <si>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</si>
  <si>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</si>
  <si>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</si>
  <si>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</si>
  <si>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</si>
  <si>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</si>
  <si>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</si>
  <si>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</si>
  <si>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</si>
  <si>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</si>
  <si>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</si>
  <si>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</si>
  <si>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</si>
  <si>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</si>
  <si>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</si>
  <si>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</si>
  <si>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</si>
  <si>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</si>
  <si>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</si>
  <si>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</si>
  <si>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</si>
  <si>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</si>
  <si>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</si>
  <si>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</si>
  <si>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</si>
  <si>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</si>
  <si>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</si>
  <si>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</si>
  <si>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</si>
  <si>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</si>
  <si>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</si>
  <si>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</si>
  <si>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</si>
  <si>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</si>
  <si>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</si>
  <si>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</si>
  <si>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</si>
  <si>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</si>
  <si>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</si>
  <si>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</si>
  <si>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</si>
  <si>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</si>
  <si>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</si>
  <si>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</si>
  <si>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</si>
  <si>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</si>
  <si>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</si>
  <si>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</si>
  <si>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</si>
  <si>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</si>
  <si>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</si>
  <si>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</si>
  <si>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</si>
  <si>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</si>
  <si>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</si>
  <si>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</si>
  <si>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</si>
  <si>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</si>
  <si>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</si>
  <si>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</si>
  <si>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</si>
  <si>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</si>
  <si>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</si>
  <si>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</si>
  <si>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</si>
  <si>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</si>
  <si>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</si>
  <si>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</si>
  <si>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</si>
  <si>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</si>
  <si>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</si>
  <si>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</si>
  <si>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</si>
  <si>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</si>
  <si>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</si>
  <si>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</si>
  <si>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</si>
  <si>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</si>
  <si>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</si>
  <si>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</si>
  <si>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</si>
  <si>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</si>
  <si>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</si>
  <si>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</si>
  <si>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</si>
  <si>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</si>
  <si>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</si>
  <si>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</si>
  <si>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</si>
  <si>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</si>
  <si>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</si>
  <si>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</si>
  <si>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</si>
  <si>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</si>
  <si>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</si>
  <si>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</si>
  <si>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</si>
  <si>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</si>
  <si>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</si>
  <si>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</si>
  <si>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</si>
  <si>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</si>
  <si>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</si>
  <si>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</si>
  <si>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</si>
  <si>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</si>
  <si>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</si>
  <si>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</si>
  <si>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</si>
  <si>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</si>
  <si>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</si>
  <si>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</si>
  <si>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</si>
  <si>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</si>
  <si>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</si>
  <si>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</si>
  <si>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</si>
  <si>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</si>
  <si>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</si>
  <si>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</si>
  <si>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</si>
  <si>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</si>
  <si>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</si>
  <si>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</si>
  <si>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</si>
  <si>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</si>
  <si>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</si>
  <si>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</si>
  <si>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</si>
  <si>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</si>
  <si>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</si>
  <si>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</si>
  <si>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</si>
  <si>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</si>
  <si>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</si>
  <si>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</si>
  <si>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</si>
  <si>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</si>
  <si>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</si>
  <si>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</si>
  <si>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</si>
  <si>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</si>
  <si>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</si>
  <si>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</si>
  <si>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</si>
  <si>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</si>
  <si>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</si>
  <si>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</si>
  <si>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</si>
  <si>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</si>
  <si>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</si>
  <si>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</si>
  <si>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</si>
  <si>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</si>
  <si>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</si>
  <si>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</si>
  <si>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</si>
  <si>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</si>
  <si>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</si>
  <si>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</si>
  <si>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</si>
  <si>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</si>
  <si>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</si>
  <si>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</si>
  <si>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</si>
  <si>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</si>
  <si>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</si>
  <si>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</si>
  <si>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</si>
  <si>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</si>
  <si>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</si>
  <si>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</si>
  <si>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</si>
  <si>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</si>
  <si>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</si>
  <si>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</si>
  <si>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</si>
  <si>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</si>
  <si>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</si>
  <si>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</si>
  <si>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</si>
  <si>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</si>
  <si>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</si>
  <si>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</si>
  <si>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</si>
  <si>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</si>
  <si>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</si>
  <si>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</si>
  <si>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</si>
  <si>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</si>
  <si>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</si>
  <si>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</si>
  <si>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</si>
  <si>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</si>
  <si>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</si>
  <si>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</si>
  <si>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</si>
  <si>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</si>
  <si>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</si>
  <si>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</si>
  <si>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</si>
  <si>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</si>
  <si>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</si>
  <si>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</si>
  <si>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</si>
  <si>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</si>
  <si>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</si>
  <si>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</si>
  <si>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</si>
  <si>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</si>
  <si>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</si>
  <si>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</si>
  <si>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</si>
  <si>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</si>
  <si>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</si>
  <si>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</si>
  <si>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</si>
  <si>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</si>
  <si>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</si>
  <si>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</si>
  <si>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</si>
  <si>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</si>
  <si>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</si>
  <si>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</si>
  <si>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</si>
  <si>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</si>
  <si>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</si>
  <si>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</si>
  <si>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</si>
  <si>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</si>
  <si>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</si>
  <si>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</si>
  <si>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</si>
  <si>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</si>
  <si>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</si>
  <si>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</si>
  <si>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</si>
  <si>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</si>
  <si>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</si>
  <si>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</si>
  <si>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</si>
  <si>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</si>
  <si>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</si>
  <si>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</si>
  <si>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</si>
  <si>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</si>
  <si>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</si>
  <si>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</si>
  <si>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</si>
  <si>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</si>
  <si>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</si>
  <si>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</si>
  <si>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</si>
  <si>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</si>
  <si>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</si>
  <si>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</si>
  <si>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</si>
  <si>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</si>
  <si>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</si>
  <si>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</si>
  <si>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</si>
  <si>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</si>
  <si>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</si>
  <si>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</si>
  <si>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</si>
  <si>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</si>
  <si>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</si>
  <si>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</si>
  <si>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</si>
  <si>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</si>
  <si>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</si>
  <si>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</si>
  <si>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</si>
  <si>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</si>
  <si>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</si>
  <si>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</si>
  <si>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</si>
  <si>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</si>
  <si>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</si>
  <si>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</si>
  <si>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</si>
  <si>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</si>
  <si>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</si>
  <si>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</si>
  <si>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</si>
  <si>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</si>
  <si>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</si>
  <si>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</si>
  <si>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</si>
  <si>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</si>
  <si>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</si>
  <si>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</si>
  <si>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</si>
  <si>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</si>
  <si>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</si>
  <si>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</si>
  <si>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</si>
  <si>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</si>
  <si>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</si>
  <si>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</si>
  <si>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</si>
  <si>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</si>
  <si>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</si>
  <si>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</si>
  <si>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</si>
  <si>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</si>
  <si>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</si>
  <si>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</si>
  <si>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</si>
  <si>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</si>
  <si>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</si>
  <si>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</si>
  <si>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</si>
  <si>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</si>
  <si>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</si>
  <si>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</si>
  <si>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</si>
  <si>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</si>
  <si>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</si>
  <si>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</si>
  <si>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</si>
  <si>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</si>
  <si>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</si>
  <si>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</si>
  <si>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</si>
  <si>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</si>
  <si>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</si>
  <si>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</si>
  <si>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</si>
  <si>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</si>
  <si>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</si>
  <si>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</si>
  <si>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</si>
  <si>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</si>
  <si>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</si>
  <si>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</si>
  <si>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</si>
  <si>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</si>
  <si>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</si>
  <si>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</si>
  <si>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</si>
  <si>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</si>
  <si>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</si>
  <si>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</si>
  <si>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</si>
  <si>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</si>
  <si>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</si>
  <si>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</si>
  <si>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</si>
  <si>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</si>
  <si>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</si>
  <si>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</si>
  <si>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</si>
  <si>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</si>
  <si>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</si>
  <si>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</si>
  <si>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</si>
  <si>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</si>
  <si>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</si>
  <si>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</si>
  <si>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</si>
  <si>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</si>
  <si>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</si>
  <si>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</si>
  <si>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</si>
  <si>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</si>
  <si>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</si>
  <si>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</si>
  <si>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</si>
  <si>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</si>
  <si>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</si>
  <si>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</si>
  <si>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</si>
  <si>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</si>
  <si>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</si>
  <si>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</si>
  <si>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</si>
  <si>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</si>
  <si>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</si>
  <si>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</si>
  <si>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</si>
  <si>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</si>
  <si>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</si>
  <si>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</si>
  <si>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</si>
  <si>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</si>
  <si>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</si>
  <si>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</si>
  <si>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</si>
  <si>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</si>
  <si>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</si>
  <si>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</si>
  <si>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</si>
  <si>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</si>
  <si>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</si>
  <si>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</si>
  <si>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</si>
  <si>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</si>
  <si>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</si>
  <si>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</si>
  <si>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</si>
  <si>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</si>
  <si>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</si>
  <si>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</si>
  <si>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</si>
  <si>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</si>
  <si>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</si>
  <si>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</si>
  <si>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</si>
  <si>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</si>
  <si>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</si>
  <si>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</si>
  <si>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</si>
  <si>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</si>
  <si>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</si>
  <si>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</si>
  <si>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</si>
  <si>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</si>
  <si>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</si>
  <si>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</si>
  <si>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</si>
  <si>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</si>
  <si>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</si>
  <si>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</si>
  <si>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</si>
  <si>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</si>
  <si>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</si>
  <si>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</si>
  <si>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</si>
  <si>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</si>
  <si>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</si>
  <si>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</si>
  <si>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</si>
  <si>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</si>
  <si>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</si>
  <si>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</si>
  <si>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</si>
  <si>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</si>
  <si>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</si>
  <si>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</si>
  <si>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</si>
  <si>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</si>
  <si>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</si>
  <si>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</si>
  <si>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</si>
  <si>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</si>
  <si>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</si>
  <si>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</si>
  <si>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</si>
  <si>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</si>
  <si>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</si>
  <si>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</si>
  <si>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</si>
  <si>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</si>
  <si>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</si>
  <si>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</si>
  <si>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</si>
  <si>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</si>
  <si>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</si>
  <si>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</si>
  <si>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</si>
  <si>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</si>
  <si>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</si>
  <si>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</si>
  <si>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</si>
  <si>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</si>
  <si>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</si>
  <si>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</si>
  <si>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</si>
  <si>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</si>
  <si>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</si>
  <si>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</si>
  <si>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</si>
  <si>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</si>
  <si>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</si>
  <si>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</si>
  <si>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</si>
  <si>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</si>
  <si>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</si>
  <si>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</si>
  <si>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</si>
  <si>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</si>
  <si>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</si>
  <si>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</si>
  <si>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</si>
  <si>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</si>
  <si>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</si>
  <si>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</si>
  <si>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</si>
  <si>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</si>
  <si>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</si>
  <si>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</si>
  <si>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</si>
  <si>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</si>
  <si>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</si>
  <si>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</si>
  <si>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</si>
  <si>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</si>
  <si>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</si>
  <si>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</si>
  <si>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</si>
  <si>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</si>
  <si>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</si>
  <si>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</si>
  <si>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</si>
  <si>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</si>
  <si>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</si>
  <si>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</si>
  <si>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</si>
  <si>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</si>
  <si>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</si>
  <si>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</si>
  <si>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</si>
  <si>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</si>
  <si>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</si>
  <si>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</si>
  <si>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</si>
  <si>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</si>
  <si>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</si>
  <si>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</si>
  <si>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</si>
  <si>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</si>
  <si>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</si>
  <si>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</si>
  <si>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</si>
  <si>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</si>
  <si>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</si>
  <si>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</si>
  <si>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</si>
  <si>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</si>
  <si>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</si>
  <si>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</si>
  <si>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</si>
  <si>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</si>
  <si>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</si>
  <si>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</si>
  <si>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</si>
  <si>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</si>
  <si>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</si>
  <si>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</si>
  <si>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</si>
  <si>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</si>
  <si>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</si>
  <si>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</si>
  <si>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</si>
  <si>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</si>
  <si>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</si>
  <si>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</si>
  <si>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</si>
  <si>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</si>
  <si>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</si>
  <si>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</si>
  <si>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</si>
  <si>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</si>
  <si>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</si>
  <si>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</si>
  <si>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</si>
  <si>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</si>
  <si>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</si>
  <si>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</si>
  <si>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</si>
  <si>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</si>
  <si>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</si>
  <si>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</si>
  <si>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</si>
  <si>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</si>
  <si>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</si>
  <si>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</si>
  <si>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</si>
  <si>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</si>
  <si>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</si>
  <si>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</si>
  <si>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</si>
  <si>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</si>
  <si>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</si>
  <si>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</si>
  <si>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</si>
  <si>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</si>
  <si>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</si>
  <si>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</si>
  <si>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</si>
  <si>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</si>
  <si>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</si>
  <si>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</si>
  <si>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</si>
  <si>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</si>
  <si>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</si>
  <si>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</si>
  <si>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</si>
  <si>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</si>
  <si>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</si>
  <si>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</si>
  <si>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</si>
  <si>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</si>
  <si>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</si>
  <si>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</si>
  <si>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</si>
  <si>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</si>
  <si>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</si>
  <si>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</si>
  <si>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</si>
  <si>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</si>
  <si>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</si>
  <si>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</si>
  <si>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</si>
  <si>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</si>
  <si>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</si>
  <si>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</si>
  <si>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</si>
  <si>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</si>
  <si>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</si>
  <si>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</si>
  <si>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</si>
  <si>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</si>
  <si>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</si>
  <si>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</si>
  <si>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</si>
  <si>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</si>
  <si>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</si>
  <si>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</si>
  <si>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</si>
  <si>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</si>
  <si>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</si>
  <si>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</si>
  <si>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</si>
  <si>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</si>
  <si>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</si>
  <si>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</si>
  <si>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</si>
  <si>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</si>
  <si>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</si>
  <si>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</si>
  <si>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</si>
  <si>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</si>
  <si>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</si>
  <si>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</si>
  <si>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</si>
  <si>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</si>
  <si>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</si>
  <si>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</si>
  <si>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</si>
  <si>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</si>
  <si>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</si>
  <si>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</si>
  <si>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</si>
  <si>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</si>
  <si>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</si>
  <si>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</si>
  <si>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</si>
  <si>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</si>
  <si>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</si>
  <si>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</si>
  <si>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</si>
  <si>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</si>
  <si>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</si>
  <si>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</si>
  <si>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</si>
  <si>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</si>
  <si>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</si>
  <si>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</si>
  <si>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</si>
  <si>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</si>
  <si>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</si>
  <si>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</si>
  <si>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</si>
  <si>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</si>
  <si>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</si>
  <si>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</si>
  <si>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</si>
  <si>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</si>
  <si>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</si>
  <si>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</si>
  <si>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</si>
  <si>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</si>
  <si>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</si>
  <si>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</si>
  <si>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</si>
  <si>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</si>
  <si>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</si>
  <si>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</si>
  <si>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</si>
  <si>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</si>
  <si>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</si>
  <si>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</si>
  <si>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</si>
  <si>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</si>
  <si>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</si>
  <si>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</si>
  <si>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</si>
  <si>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</si>
  <si>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</si>
  <si>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</si>
  <si>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</si>
  <si>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</si>
  <si>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</si>
  <si>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</si>
  <si>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</si>
  <si>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</si>
  <si>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</si>
  <si>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</si>
  <si>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</si>
  <si>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</si>
  <si>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</si>
  <si>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</si>
  <si>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</si>
  <si>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</si>
  <si>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</si>
  <si>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</si>
  <si>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</si>
  <si>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</si>
  <si>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</si>
  <si>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</si>
  <si>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</si>
  <si>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</si>
  <si>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</si>
  <si>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</si>
  <si>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</si>
  <si>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</si>
  <si>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</si>
  <si>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</si>
  <si>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</si>
  <si>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</si>
  <si>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</si>
  <si>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</si>
  <si>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</si>
  <si>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</si>
  <si>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</si>
  <si>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</si>
  <si>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</si>
  <si>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</si>
  <si>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</si>
  <si>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</si>
  <si>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</si>
  <si>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</si>
  <si>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</si>
  <si>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</si>
  <si>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</si>
  <si>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</si>
  <si>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</si>
  <si>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</si>
  <si>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</si>
  <si>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</si>
  <si>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</si>
  <si>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</si>
  <si>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</si>
  <si>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</si>
  <si>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</si>
  <si>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</si>
  <si>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</si>
  <si>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</si>
  <si>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</si>
  <si>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</si>
  <si>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</si>
  <si>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</si>
  <si>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</si>
  <si>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</si>
  <si>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</si>
  <si>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</si>
  <si>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</si>
  <si>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</si>
  <si>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</si>
  <si>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</si>
  <si>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</si>
  <si>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</si>
  <si>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</si>
  <si>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</si>
  <si>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</si>
  <si>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</si>
  <si>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</si>
  <si>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</si>
  <si>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</si>
  <si>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</si>
  <si>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</si>
  <si>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</si>
  <si>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</si>
  <si>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</si>
  <si>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</si>
  <si>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</si>
  <si>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</si>
  <si>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</si>
  <si>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</si>
  <si>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</si>
  <si>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</si>
  <si>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</si>
  <si>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</si>
  <si>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</si>
  <si>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</si>
  <si>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</si>
  <si>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</si>
  <si>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</si>
  <si>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</si>
  <si>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</si>
  <si>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</si>
  <si>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</si>
  <si>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</si>
  <si>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</si>
  <si>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</si>
  <si>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</si>
  <si>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</si>
  <si>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</si>
  <si>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</si>
  <si>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</si>
  <si>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</si>
  <si>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</si>
  <si>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</si>
  <si>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</si>
  <si>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</si>
  <si>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</si>
  <si>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</si>
  <si>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</si>
  <si>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</si>
  <si>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</si>
  <si>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</si>
  <si>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</si>
  <si>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</si>
  <si>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</si>
  <si>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</si>
  <si>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</si>
  <si>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</si>
  <si>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</si>
  <si>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</si>
  <si>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</si>
  <si>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</si>
  <si>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</si>
  <si>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</si>
  <si>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</si>
  <si>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</si>
  <si>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</si>
  <si>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</si>
  <si>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</si>
  <si>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</si>
  <si>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</si>
  <si>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</si>
  <si>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</si>
  <si>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</si>
  <si>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</si>
  <si>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</si>
  <si>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</si>
  <si>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</si>
  <si>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</si>
  <si>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</si>
  <si>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</si>
  <si>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</si>
  <si>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</si>
  <si>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</si>
  <si>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</si>
  <si>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</si>
  <si>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</si>
  <si>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</si>
  <si>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</si>
  <si>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</si>
  <si>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</si>
  <si>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</si>
  <si>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</si>
  <si>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</si>
  <si>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</si>
  <si>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</si>
  <si>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</si>
  <si>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</si>
  <si>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</si>
  <si>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</si>
  <si>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</si>
  <si>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</si>
  <si>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</si>
  <si>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</si>
  <si>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</si>
  <si>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</si>
  <si>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</si>
  <si>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</si>
  <si>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</si>
  <si>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</si>
  <si>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</si>
  <si>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</si>
  <si>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</si>
  <si>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</si>
  <si>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</si>
  <si>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</si>
  <si>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</si>
  <si>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</si>
  <si>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</si>
  <si>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</si>
  <si>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</si>
  <si>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</si>
  <si>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</si>
  <si>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</si>
  <si>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</si>
  <si>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</si>
  <si>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</si>
  <si>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</si>
  <si>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</si>
  <si>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</si>
  <si>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</si>
  <si>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</si>
  <si>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</si>
  <si>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</si>
  <si>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</si>
  <si>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</si>
  <si>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</si>
  <si>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</si>
  <si>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</si>
  <si>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</si>
  <si>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</si>
  <si>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</si>
  <si>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</si>
  <si>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</si>
  <si>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</si>
  <si>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</si>
  <si>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</si>
  <si>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</si>
  <si>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</si>
  <si>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</si>
  <si>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</si>
  <si>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</si>
  <si>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</si>
  <si>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</si>
  <si>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</si>
  <si>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</si>
  <si>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</si>
  <si>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</si>
  <si>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</si>
  <si>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</si>
  <si>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</si>
  <si>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</si>
  <si>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</si>
  <si>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</si>
  <si>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</si>
  <si>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</si>
  <si>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</si>
  <si>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</si>
  <si>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</si>
  <si>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</si>
  <si>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</si>
  <si>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</si>
  <si>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</si>
  <si>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</si>
  <si>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</si>
  <si>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</si>
  <si>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</si>
  <si>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</si>
  <si>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</si>
  <si>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</si>
  <si>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</si>
  <si>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</si>
  <si>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</si>
  <si>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</si>
  <si>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</si>
  <si>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</si>
  <si>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</si>
  <si>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</si>
  <si>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</si>
  <si>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</si>
  <si>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</si>
  <si>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</si>
  <si>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</si>
  <si>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</si>
  <si>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</si>
  <si>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</si>
  <si>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</si>
  <si>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</si>
  <si>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</si>
  <si>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</si>
  <si>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</si>
  <si>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</si>
  <si>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</si>
  <si>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</si>
  <si>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</si>
  <si>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</si>
  <si>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</si>
  <si>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</si>
  <si>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</si>
  <si>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</si>
  <si>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</si>
  <si>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</si>
  <si>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</si>
  <si>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</si>
  <si>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</si>
  <si>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</si>
  <si>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</si>
  <si>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</si>
  <si>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</si>
  <si>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</si>
  <si>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</si>
  <si>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</si>
  <si>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</si>
  <si>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</si>
  <si>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</si>
  <si>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</si>
  <si>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</si>
  <si>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</si>
  <si>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</si>
  <si>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</si>
  <si>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</si>
  <si>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</si>
  <si>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</si>
  <si>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</si>
  <si>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</si>
  <si>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</si>
  <si>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</si>
  <si>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</si>
  <si>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</si>
  <si>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</si>
  <si>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</si>
  <si>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</si>
  <si>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</si>
  <si>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</si>
  <si>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</si>
  <si>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</si>
  <si>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</si>
  <si>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</si>
  <si>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</si>
  <si>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</si>
  <si>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</si>
  <si>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</si>
  <si>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</si>
  <si>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</si>
  <si>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</si>
  <si>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</si>
  <si>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</si>
  <si>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</si>
  <si>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</si>
  <si>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</si>
  <si>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</si>
  <si>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</si>
  <si>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</si>
  <si>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</si>
  <si>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</si>
  <si>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</si>
  <si>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</si>
  <si>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</si>
  <si>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</si>
  <si>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</si>
  <si>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</si>
  <si>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</si>
  <si>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</si>
  <si>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</si>
  <si>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</si>
  <si>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</si>
  <si>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</si>
  <si>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</si>
  <si>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</si>
  <si>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</si>
  <si>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</si>
  <si>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</si>
  <si>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</si>
  <si>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</si>
  <si>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</si>
  <si>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</si>
  <si>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</si>
  <si>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</si>
  <si>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</si>
  <si>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</si>
  <si>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</si>
  <si>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</si>
  <si>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</si>
  <si>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</si>
  <si>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</si>
  <si>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</si>
  <si>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</si>
  <si>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</si>
  <si>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</si>
  <si>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</si>
  <si>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</si>
  <si>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</si>
  <si>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</si>
  <si>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</si>
  <si>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</si>
  <si>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</si>
  <si>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</si>
  <si>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</si>
  <si>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</si>
  <si>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</si>
  <si>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</si>
  <si>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</si>
  <si>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</si>
  <si>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</si>
  <si>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</si>
  <si>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</si>
  <si>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</si>
  <si>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</si>
  <si>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</si>
  <si>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</si>
  <si>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</si>
  <si>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</si>
  <si>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</si>
  <si>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</si>
  <si>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</si>
  <si>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</si>
  <si>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</si>
  <si>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</si>
  <si>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</si>
  <si>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</si>
  <si>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</si>
  <si>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</si>
  <si>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</si>
  <si>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</si>
  <si>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</si>
  <si>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</si>
  <si>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</si>
  <si>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</si>
  <si>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</si>
  <si>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</si>
  <si>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</si>
  <si>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</si>
  <si>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</si>
  <si>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</si>
  <si>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</si>
  <si>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</si>
  <si>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</si>
  <si>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</si>
  <si>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</si>
  <si>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</si>
  <si>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</si>
  <si>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</si>
  <si>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</si>
  <si>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</si>
  <si>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</si>
  <si>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</si>
  <si>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</si>
  <si>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</si>
  <si>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</si>
  <si>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</si>
  <si>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</si>
  <si>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</si>
  <si>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</si>
  <si>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</si>
  <si>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</si>
  <si>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</si>
  <si>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</si>
  <si>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</si>
  <si>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</si>
  <si>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</si>
  <si>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</si>
  <si>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</si>
  <si>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</si>
  <si>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</si>
  <si>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</si>
  <si>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</si>
  <si>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</si>
  <si>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</si>
  <si>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</si>
  <si>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</si>
  <si>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</si>
  <si>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</si>
  <si>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</si>
  <si>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</si>
  <si>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</si>
  <si>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</si>
  <si>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</si>
  <si>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</si>
  <si>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</si>
  <si>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</si>
  <si>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</si>
  <si>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</si>
  <si>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</si>
  <si>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</si>
  <si>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</si>
  <si>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</si>
  <si>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</si>
  <si>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</si>
  <si>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</si>
  <si>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</si>
  <si>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</si>
  <si>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</si>
  <si>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</si>
  <si>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</si>
  <si>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</si>
  <si>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</si>
  <si>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</si>
  <si>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</si>
  <si>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</si>
  <si>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</si>
  <si>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</si>
  <si>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</si>
  <si>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</si>
  <si>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</si>
  <si>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</si>
  <si>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</si>
  <si>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</si>
  <si>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</si>
  <si>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</si>
  <si>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</si>
  <si>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</si>
  <si>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</si>
  <si>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</si>
  <si>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</si>
  <si>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</si>
  <si>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</si>
  <si>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</si>
  <si>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</si>
  <si>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</si>
  <si>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</si>
  <si>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</si>
  <si>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</si>
  <si>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</si>
  <si>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</si>
  <si>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</si>
  <si>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</si>
  <si>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</si>
  <si>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</si>
  <si>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</si>
  <si>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</si>
  <si>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</si>
  <si>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</si>
  <si>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</si>
  <si>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</si>
  <si>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</si>
  <si>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</si>
  <si>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</si>
  <si>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</si>
  <si>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</si>
  <si>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</si>
  <si>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</si>
  <si>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</si>
  <si>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</si>
  <si>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</si>
  <si>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</si>
  <si>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</si>
  <si>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</si>
  <si>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</si>
  <si>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</si>
  <si>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</si>
  <si>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</si>
  <si>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</si>
  <si>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</si>
  <si>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</si>
  <si>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</si>
  <si>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</si>
  <si>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</si>
  <si>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</si>
  <si>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</si>
  <si>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</si>
  <si>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</si>
  <si>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</si>
  <si>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</si>
  <si>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</si>
  <si>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</si>
  <si>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</si>
  <si>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</si>
  <si>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</si>
  <si>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</si>
  <si>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</si>
  <si>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</si>
  <si>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</si>
  <si>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</si>
  <si>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</si>
  <si>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</si>
  <si>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</si>
  <si>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</si>
  <si>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</si>
  <si>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</si>
  <si>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</si>
  <si>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</si>
  <si>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</si>
  <si>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</si>
  <si>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</si>
  <si>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</si>
  <si>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</si>
  <si>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</si>
  <si>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</si>
  <si>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</si>
  <si>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</si>
  <si>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</si>
  <si>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</si>
  <si>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</si>
  <si>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</si>
  <si>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</si>
  <si>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</si>
  <si>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</si>
  <si>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</si>
  <si>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</si>
  <si>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</si>
  <si>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</si>
  <si>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</si>
  <si>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</si>
  <si>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</si>
  <si>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</si>
  <si>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</si>
  <si>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</si>
  <si>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</si>
  <si>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</si>
  <si>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</si>
  <si>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</si>
  <si>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</si>
  <si>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</si>
  <si>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</si>
  <si>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</si>
  <si>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</si>
  <si>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</si>
  <si>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</si>
  <si>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</si>
  <si>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</si>
  <si>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</si>
  <si>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</si>
  <si>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</si>
  <si>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</si>
  <si>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</si>
  <si>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</si>
  <si>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</si>
  <si>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</si>
  <si>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</si>
  <si>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</si>
  <si>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</si>
  <si>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</si>
  <si>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</si>
  <si>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</si>
  <si>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</si>
  <si>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</si>
  <si>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</si>
  <si>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</si>
  <si>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</si>
  <si>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</si>
  <si>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</si>
  <si>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</si>
  <si>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</si>
  <si>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</si>
  <si>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</si>
  <si>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</si>
  <si>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</si>
  <si>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</si>
  <si>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</si>
  <si>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</si>
  <si>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</si>
  <si>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</si>
  <si>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</si>
  <si>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</si>
  <si>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</si>
  <si>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</si>
  <si>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</si>
  <si>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</si>
  <si>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</si>
  <si>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</si>
  <si>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</si>
  <si>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</si>
  <si>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</si>
  <si>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</si>
  <si>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</si>
  <si>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</si>
  <si>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</si>
  <si>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</si>
  <si>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</si>
  <si>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</si>
  <si>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</si>
  <si>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</si>
  <si>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</si>
  <si>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</si>
  <si>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</si>
  <si>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</si>
  <si>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</si>
  <si>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</si>
  <si>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</si>
  <si>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</si>
  <si>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</si>
  <si>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</si>
  <si>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</si>
  <si>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</si>
  <si>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</si>
  <si>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</si>
  <si>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</si>
  <si>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</si>
  <si>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</si>
  <si>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</si>
  <si>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</si>
  <si>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</si>
  <si>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</si>
  <si>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</si>
  <si>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</si>
  <si>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</si>
  <si>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</si>
  <si>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</si>
  <si>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</si>
  <si>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</si>
  <si>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</si>
  <si>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</si>
  <si>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</si>
  <si>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</si>
  <si>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</si>
  <si>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</si>
  <si>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</si>
  <si>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</si>
  <si>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</si>
  <si>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</si>
  <si>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</si>
  <si>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</si>
  <si>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</si>
  <si>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</si>
  <si>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</si>
  <si>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</si>
  <si>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</si>
  <si>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</si>
  <si>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</si>
  <si>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</si>
  <si>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</si>
  <si>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</si>
  <si>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</si>
  <si>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</si>
  <si>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</si>
  <si>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</si>
  <si>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</si>
  <si>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</si>
  <si>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</si>
  <si>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</si>
  <si>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</si>
  <si>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</si>
  <si>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</si>
  <si>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</si>
  <si>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</si>
  <si>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</si>
  <si>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</si>
  <si>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</si>
  <si>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</si>
  <si>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</si>
  <si>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</si>
  <si>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</si>
  <si>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</si>
  <si>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</si>
  <si>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</si>
  <si>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</si>
  <si>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</si>
  <si>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</si>
  <si>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</si>
  <si>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</si>
  <si>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</si>
  <si>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</si>
  <si>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</si>
  <si>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</si>
  <si>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</si>
  <si>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</si>
  <si>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</si>
  <si>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</si>
  <si>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</si>
  <si>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</si>
  <si>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</si>
  <si>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</si>
  <si>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</si>
  <si>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</si>
  <si>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</si>
  <si>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</si>
  <si>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</si>
  <si>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</si>
  <si>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</si>
  <si>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</si>
  <si>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</si>
  <si>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</si>
  <si>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</si>
  <si>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</si>
  <si>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</si>
  <si>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</si>
  <si>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</si>
  <si>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</si>
  <si>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</si>
  <si>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</si>
  <si>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</si>
  <si>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</si>
  <si>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</si>
  <si>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</si>
  <si>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</si>
  <si>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</si>
  <si>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</si>
  <si>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</si>
  <si>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</si>
  <si>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</si>
  <si>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</si>
  <si>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</si>
  <si>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</si>
  <si>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</si>
  <si>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</si>
  <si>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</si>
  <si>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</si>
  <si>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</si>
  <si>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</si>
  <si>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</si>
  <si>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</si>
  <si>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</si>
  <si>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</si>
  <si>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</si>
  <si>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</si>
  <si>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</si>
  <si>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</si>
  <si>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</si>
  <si>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</si>
  <si>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</si>
  <si>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</si>
  <si>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</si>
  <si>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</si>
  <si>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</si>
  <si>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</si>
  <si>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</si>
  <si>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</si>
  <si>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</si>
  <si>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</si>
  <si>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</si>
  <si>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</si>
  <si>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</si>
  <si>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</si>
  <si>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</si>
  <si>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</si>
  <si>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</si>
  <si>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</si>
  <si>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</si>
  <si>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</si>
  <si>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</si>
  <si>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</si>
  <si>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</si>
  <si>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</si>
  <si>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</si>
  <si>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</si>
  <si>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</si>
  <si>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</si>
  <si>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</si>
  <si>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</si>
  <si>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</si>
  <si>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</si>
  <si>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</si>
  <si>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</si>
  <si>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</si>
  <si>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</si>
  <si>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</si>
  <si>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</si>
  <si>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</si>
  <si>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</si>
  <si>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</si>
  <si>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</si>
  <si>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</si>
  <si>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</si>
  <si>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</si>
  <si>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</si>
  <si>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</si>
  <si>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</si>
  <si>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</si>
  <si>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</si>
  <si>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</si>
  <si>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</si>
  <si>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</si>
  <si>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</si>
  <si>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</si>
  <si>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</si>
  <si>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</si>
  <si>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</si>
  <si>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</si>
  <si>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</si>
  <si>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</si>
  <si>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</si>
  <si>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</si>
  <si>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</si>
  <si>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</si>
  <si>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</si>
  <si>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</si>
  <si>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</si>
  <si>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</si>
  <si>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</si>
  <si>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</si>
  <si>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</si>
  <si>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</si>
  <si>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</si>
  <si>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</si>
  <si>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</si>
  <si>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</si>
  <si>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</si>
  <si>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</si>
  <si>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</si>
  <si>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</si>
  <si>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</si>
  <si>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</si>
  <si>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</si>
  <si>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</si>
  <si>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</si>
  <si>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</si>
  <si>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</si>
  <si>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</si>
  <si>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</si>
  <si>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</si>
  <si>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</si>
  <si>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</si>
  <si>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</si>
  <si>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</si>
  <si>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</si>
  <si>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</si>
  <si>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</si>
  <si>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</si>
  <si>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</si>
  <si>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</si>
  <si>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</si>
  <si>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</si>
  <si>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</si>
  <si>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</si>
  <si>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</si>
  <si>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</si>
  <si>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</si>
  <si>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</si>
  <si>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</si>
  <si>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</si>
  <si>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</si>
  <si>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</si>
  <si>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</si>
  <si>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</si>
  <si>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</si>
  <si>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</si>
  <si>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</si>
  <si>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</si>
  <si>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</si>
  <si>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</si>
  <si>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</si>
  <si>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</si>
  <si>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</si>
  <si>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</si>
  <si>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</si>
  <si>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</si>
  <si>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</si>
  <si>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</si>
  <si>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</si>
  <si>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</si>
  <si>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</si>
  <si>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</si>
  <si>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</si>
  <si>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</si>
  <si>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</si>
  <si>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</si>
  <si>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</si>
  <si>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</si>
  <si>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</si>
  <si>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</si>
  <si>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</si>
  <si>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</si>
  <si>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</si>
  <si>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</si>
  <si>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</si>
  <si>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</si>
  <si>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</si>
  <si>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</si>
  <si>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</si>
  <si>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</si>
  <si>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</si>
  <si>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</si>
  <si>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</si>
  <si>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</si>
  <si>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</si>
  <si>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</si>
  <si>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</si>
  <si>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</si>
  <si>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</si>
  <si>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</si>
  <si>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</si>
  <si>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</si>
  <si>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</si>
  <si>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</si>
  <si>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</si>
  <si>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</si>
  <si>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</si>
  <si>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</si>
  <si>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</si>
  <si>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</si>
  <si>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</si>
  <si>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</si>
  <si>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</si>
  <si>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</si>
  <si>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</si>
  <si>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</si>
  <si>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</si>
  <si>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</si>
  <si>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</si>
  <si>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</si>
  <si>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</si>
  <si>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</si>
  <si>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</si>
  <si>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</si>
  <si>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</si>
  <si>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</si>
  <si>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</si>
  <si>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</si>
  <si>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</si>
  <si>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</si>
  <si>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</si>
  <si>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</si>
  <si>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</si>
  <si>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</si>
  <si>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</si>
  <si>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</si>
  <si>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</si>
  <si>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</si>
  <si>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</si>
  <si>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</si>
  <si>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</si>
  <si>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</si>
  <si>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</si>
  <si>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</si>
  <si>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</si>
  <si>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</si>
  <si>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</si>
  <si>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</si>
  <si>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</si>
  <si>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</si>
  <si>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</si>
  <si>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</si>
  <si>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</si>
  <si>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</si>
  <si>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</si>
  <si>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</si>
  <si>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</si>
  <si>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</si>
  <si>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</si>
  <si>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</si>
  <si>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</si>
  <si>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</si>
  <si>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</si>
  <si>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</si>
  <si>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</si>
  <si>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</si>
  <si>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</si>
  <si>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</si>
  <si>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</si>
  <si>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</si>
  <si>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</si>
  <si>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</si>
  <si>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</si>
  <si>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</si>
  <si>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</si>
  <si>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</si>
  <si>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</si>
  <si>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</si>
  <si>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</si>
  <si>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</si>
  <si>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</si>
  <si>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</si>
  <si>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</si>
  <si>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</si>
  <si>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</si>
  <si>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</si>
  <si>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</si>
  <si>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</si>
  <si>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</si>
  <si>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</si>
  <si>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</si>
  <si>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</si>
  <si>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</si>
  <si>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</si>
  <si>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</si>
  <si>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</si>
  <si>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</si>
  <si>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</si>
  <si>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</si>
  <si>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</si>
  <si>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</si>
  <si>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</si>
  <si>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</si>
  <si>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</si>
  <si>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</si>
  <si>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</si>
  <si>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</si>
  <si>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</si>
  <si>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</si>
  <si>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</si>
  <si>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</si>
  <si>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</si>
  <si>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</si>
  <si>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</si>
  <si>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</si>
  <si>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</si>
  <si>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</si>
  <si>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</si>
  <si>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</si>
  <si>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</si>
  <si>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</si>
  <si>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</si>
  <si>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</si>
  <si>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</si>
  <si>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</si>
  <si>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</si>
  <si>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</si>
  <si>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</si>
  <si>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</si>
  <si>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</si>
  <si>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</si>
  <si>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</si>
  <si>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</si>
  <si>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</si>
  <si>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</si>
  <si>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</si>
  <si>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</si>
  <si>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</si>
  <si>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</si>
  <si>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</si>
  <si>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</si>
  <si>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</si>
  <si>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</si>
  <si>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</si>
  <si>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</si>
  <si>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</si>
  <si>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</si>
  <si>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</si>
  <si>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</si>
  <si>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</si>
  <si>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</si>
  <si>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</si>
  <si>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</si>
  <si>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</si>
  <si>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</si>
  <si>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</si>
  <si>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</si>
  <si>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</si>
  <si>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</si>
  <si>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</si>
  <si>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</si>
  <si>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</si>
  <si>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</si>
  <si>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</si>
  <si>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</si>
  <si>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</si>
  <si>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</si>
  <si>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</si>
  <si>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</si>
  <si>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</si>
  <si>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</si>
  <si>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</si>
  <si>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</si>
  <si>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</si>
  <si>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</si>
  <si>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</si>
  <si>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</si>
  <si>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</si>
  <si>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</si>
  <si>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</si>
  <si>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</si>
  <si>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</si>
  <si>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</si>
  <si>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</si>
  <si>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</si>
  <si>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</si>
  <si>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</si>
  <si>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</si>
  <si>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</si>
  <si>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</si>
  <si>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</si>
  <si>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</si>
  <si>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</si>
  <si>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</si>
  <si>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</si>
  <si>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</si>
  <si>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</si>
  <si>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</si>
  <si>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</si>
  <si>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</si>
  <si>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</si>
  <si>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</si>
  <si>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</si>
  <si>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</si>
  <si>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</si>
  <si>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</si>
  <si>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</si>
  <si>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</si>
  <si>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</si>
  <si>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</si>
  <si>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</si>
  <si>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</si>
  <si>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</si>
  <si>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</si>
  <si>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</si>
  <si>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</si>
  <si>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</si>
  <si>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</si>
  <si>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</si>
  <si>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</si>
  <si>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</si>
  <si>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</si>
  <si>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</si>
  <si>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</si>
  <si>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</si>
  <si>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</si>
  <si>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</si>
  <si>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</si>
  <si>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</si>
  <si>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</si>
  <si>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</si>
  <si>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</si>
  <si>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</si>
  <si>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</si>
  <si>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</si>
  <si>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</si>
  <si>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</si>
  <si>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</si>
  <si>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</si>
  <si>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</si>
  <si>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</si>
  <si>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</si>
  <si>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</si>
  <si>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</si>
  <si>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</si>
  <si>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</si>
  <si>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</si>
  <si>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</si>
  <si>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</si>
  <si>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</si>
  <si>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</si>
  <si>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</si>
  <si>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</si>
  <si>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</si>
  <si>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</si>
  <si>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</si>
  <si>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</si>
  <si>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</si>
  <si>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</si>
  <si>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</si>
  <si>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</si>
  <si>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</si>
  <si>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</si>
  <si>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</si>
  <si>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</si>
  <si>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</si>
  <si>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</si>
  <si>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</si>
  <si>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</si>
  <si>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</si>
  <si>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</si>
  <si>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</si>
  <si>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</si>
  <si>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</si>
  <si>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</si>
  <si>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</si>
  <si>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</si>
  <si>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</si>
  <si>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</si>
  <si>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</si>
  <si>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</si>
  <si>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</si>
  <si>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</si>
  <si>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</si>
  <si>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</si>
  <si>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</si>
  <si>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</si>
  <si>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</si>
  <si>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</si>
  <si>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</si>
  <si>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</si>
  <si>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</si>
  <si>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</si>
  <si>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</si>
  <si>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</si>
  <si>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</si>
  <si>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</si>
  <si>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</si>
  <si>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</si>
  <si>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</si>
  <si>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</si>
  <si>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</si>
  <si>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</si>
  <si>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</si>
  <si>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</si>
  <si>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</si>
  <si>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</si>
  <si>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</si>
  <si>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</si>
  <si>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</si>
  <si>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</si>
  <si>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</si>
  <si>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</si>
  <si>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</si>
  <si>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</si>
  <si>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</si>
  <si>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</si>
  <si>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</si>
  <si>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</si>
  <si>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</si>
  <si>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</si>
  <si>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</si>
  <si>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</si>
  <si>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</si>
  <si>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</si>
  <si>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</si>
  <si>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</si>
  <si>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</si>
  <si>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</si>
  <si>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</si>
  <si>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</si>
  <si>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</si>
  <si>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</si>
  <si>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</si>
  <si>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</si>
  <si>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</si>
  <si>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</si>
  <si>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</si>
  <si>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</si>
  <si>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</si>
  <si>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</si>
  <si>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</si>
  <si>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</si>
  <si>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</si>
  <si>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</si>
  <si>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</si>
  <si>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</si>
  <si>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</si>
  <si>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</si>
  <si>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</si>
  <si>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</si>
  <si>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</si>
  <si>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</si>
  <si>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</si>
  <si>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</si>
  <si>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</si>
  <si>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</si>
  <si>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</si>
  <si>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</si>
  <si>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</si>
  <si>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</si>
  <si>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</si>
  <si>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</si>
  <si>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</si>
  <si>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</si>
  <si>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</si>
  <si>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</si>
  <si>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</si>
  <si>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</si>
  <si>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</si>
  <si>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</si>
  <si>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</si>
  <si>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</si>
  <si>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</si>
  <si>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</si>
  <si>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</si>
  <si>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</si>
  <si>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</si>
  <si>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</si>
  <si>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</si>
  <si>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</si>
  <si>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</si>
  <si>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</si>
  <si>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</si>
  <si>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</si>
  <si>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</si>
  <si>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</si>
  <si>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</si>
  <si>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</si>
  <si>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</si>
  <si>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</si>
  <si>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</si>
  <si>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</si>
  <si>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</si>
  <si>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</si>
  <si>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</si>
  <si>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</si>
  <si>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</si>
  <si>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</si>
  <si>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</si>
  <si>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</si>
  <si>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</si>
  <si>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</si>
  <si>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</si>
  <si>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</si>
  <si>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</si>
  <si>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</si>
  <si>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</si>
  <si>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</si>
  <si>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</si>
  <si>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</si>
  <si>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</si>
  <si>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</si>
  <si>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</si>
  <si>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</si>
  <si>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</si>
  <si>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</si>
  <si>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</si>
  <si>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</si>
  <si>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</si>
  <si>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</si>
  <si>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</si>
  <si>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</si>
  <si>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</si>
  <si>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</si>
  <si>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</si>
  <si>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</si>
  <si>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</si>
  <si>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</si>
  <si>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</si>
  <si>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</si>
  <si>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</si>
  <si>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</si>
  <si>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</si>
  <si>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</si>
  <si>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</si>
  <si>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</si>
  <si>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</si>
  <si>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</si>
  <si>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</si>
  <si>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</si>
  <si>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</si>
  <si>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</si>
  <si>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</si>
  <si>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</si>
  <si>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</si>
  <si>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</si>
  <si>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</si>
  <si>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</si>
  <si>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</si>
  <si>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</si>
  <si>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</si>
  <si>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</si>
  <si>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</si>
  <si>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</si>
  <si>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</si>
  <si>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</si>
  <si>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</si>
  <si>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</si>
  <si>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</si>
  <si>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</si>
  <si>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</si>
  <si>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</si>
  <si>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</si>
  <si>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</si>
  <si>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</si>
  <si>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</si>
  <si>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</si>
  <si>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</si>
  <si>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</si>
  <si>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</si>
  <si>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</si>
  <si>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</si>
  <si>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</si>
  <si>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소송절차.제06장 변론.제08절 소송절차의 정지.txt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</si>
  <si>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</si>
  <si>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</si>
  <si>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</si>
  <si>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</si>
  <si>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</si>
  <si>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</si>
  <si>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</si>
  <si>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</si>
  <si>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</si>
  <si>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</si>
  <si>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</si>
  <si>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</si>
  <si>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</si>
  <si>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</si>
  <si>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</si>
  <si>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</si>
  <si>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</si>
  <si>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</si>
  <si>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</si>
  <si>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</si>
  <si>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</si>
  <si>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</si>
  <si>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</si>
  <si>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</si>
  <si>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</si>
  <si>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</si>
  <si>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</si>
  <si>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</si>
  <si>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</si>
  <si>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</si>
  <si>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</si>
  <si>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</si>
  <si>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</si>
  <si>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</si>
  <si>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</si>
  <si>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</si>
  <si>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</si>
  <si>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</si>
  <si>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</si>
  <si>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</si>
  <si>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</si>
  <si>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</si>
  <si>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</si>
  <si>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</si>
  <si>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</si>
  <si>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</si>
  <si>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</si>
  <si>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</si>
  <si>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</si>
  <si>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</si>
  <si>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</si>
  <si>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</si>
  <si>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</si>
  <si>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</si>
  <si>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</si>
  <si>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</si>
  <si>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</si>
  <si>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</si>
  <si>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</si>
  <si>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</si>
  <si>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</si>
  <si>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</si>
  <si>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</si>
  <si>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</si>
  <si>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</si>
  <si>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</si>
  <si>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</si>
  <si>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</si>
  <si>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</si>
  <si>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</si>
  <si>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</si>
  <si>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</si>
  <si>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</si>
  <si>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</si>
  <si>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</si>
  <si>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</si>
  <si>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</si>
  <si>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</si>
  <si>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</si>
  <si>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</si>
  <si>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</si>
  <si>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</si>
  <si>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</si>
  <si>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</si>
  <si>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</si>
  <si>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</si>
  <si>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</si>
  <si>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</si>
  <si>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</si>
  <si>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</si>
  <si>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</si>
  <si>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</si>
  <si>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</si>
  <si>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</si>
  <si>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</si>
  <si>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</si>
  <si>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</si>
  <si>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</si>
  <si>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</si>
  <si>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</si>
  <si>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</si>
  <si>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</si>
  <si>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</si>
  <si>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</si>
  <si>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</si>
  <si>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</si>
  <si>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</si>
  <si>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</si>
  <si>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</si>
  <si>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</si>
  <si>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</si>
  <si>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</si>
  <si>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</si>
  <si>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</si>
  <si>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</si>
  <si>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</si>
  <si>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</si>
  <si>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</si>
  <si>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</si>
  <si>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</si>
  <si>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</si>
  <si>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</si>
  <si>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</si>
  <si>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</si>
  <si>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</si>
  <si>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</si>
  <si>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</si>
  <si>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</si>
  <si>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</si>
  <si>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</si>
  <si>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</si>
  <si>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</si>
  <si>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</si>
  <si>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</si>
  <si>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</si>
  <si>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</si>
  <si>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</si>
  <si>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</si>
  <si>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</si>
  <si>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</si>
  <si>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</si>
  <si>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</si>
  <si>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</si>
  <si>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</si>
  <si>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</si>
  <si>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</si>
  <si>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</si>
  <si>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</si>
  <si>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</si>
  <si>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</si>
  <si>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</si>
  <si>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</si>
  <si>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</si>
  <si>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</si>
  <si>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</si>
  <si>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</si>
  <si>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</si>
  <si>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</si>
  <si>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</si>
  <si>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</si>
  <si>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</si>
  <si>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</si>
  <si>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</si>
  <si>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</si>
  <si>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</si>
  <si>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</si>
  <si>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</si>
  <si>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</si>
  <si>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</si>
  <si>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</si>
  <si>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</si>
  <si>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</si>
  <si>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</si>
  <si>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</si>
  <si>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</si>
  <si>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</si>
  <si>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</si>
  <si>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제18장 복합 사례</t>
  </si>
  <si>
    <t>제18장 복합 사례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</si>
  <si>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</si>
  <si>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</si>
  <si>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</si>
  <si>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</si>
  <si>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</si>
  <si>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</si>
  <si>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</si>
  <si>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</si>
  <si>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</si>
  <si>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</si>
  <si>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</si>
  <si>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</si>
  <si>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</si>
  <si>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</si>
  <si>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</si>
  <si>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</si>
  <si>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</si>
  <si>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</si>
  <si>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</si>
  <si>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</si>
  <si>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</si>
  <si>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</si>
  <si>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</si>
  <si>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</si>
  <si>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</si>
  <si>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</si>
  <si>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</si>
  <si>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</si>
  <si>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</si>
  <si>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</si>
  <si>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</si>
  <si>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</si>
  <si>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</si>
  <si>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</si>
  <si>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</si>
  <si>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</si>
  <si>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</si>
  <si>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</si>
  <si>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열기2-04.민사소송법\02.문제\[모의][18.01-1]피고 추가 신청의 적법성 및 수개의 소송 형태와 공동소송 관계.txt</t>
    <phoneticPr fontId="3" type="noConversion"/>
  </si>
  <si>
    <t>열기2-04.민사소송법\02.문제\[모의][18.01-2]소송에 참가할 수 있는 방법과 그 참가의 요건 및 효과.txt</t>
    <phoneticPr fontId="3" type="noConversion"/>
  </si>
  <si>
    <t>열기2-04.민사소송법\02.문제\[모의][18.01-3]항소심에서의 새로운 공격방어방법 제출 허용 여부 및 소멸시효 항변의 적법성.txt</t>
    <phoneticPr fontId="3" type="noConversion"/>
  </si>
  <si>
    <t>열기2-04.민사소송법\02.문제\[모의][18.01-4]확정판결 후 제소 시 기판력의 객관적 범위에 따른 법원의 처리 방안.txt</t>
    <phoneticPr fontId="3" type="noConversion"/>
  </si>
  <si>
    <t>열기2-04.민사소송법\02.문제\[모의][18.02-1]미지급 임금청구 일부 철회 및 연차휴가수당청구 추가를 위한 청구변경의 적법성.txt</t>
    <phoneticPr fontId="3" type="noConversion"/>
  </si>
  <si>
    <t>열기2-04.민사소송법\02.문제\[모의][18.02-2]손해배상청구 반소제기 적법성 및 본소・반소의 관련성과 요건.txt</t>
    <phoneticPr fontId="3" type="noConversion"/>
  </si>
  <si>
    <t>열기2-04.민사소송법\02.문제\[모의][18.02-3]임금 인정 진술의 법적 성질 및 철회 가능성.txt</t>
    <phoneticPr fontId="3" type="noConversion"/>
  </si>
  <si>
    <t>열기2-04.민사소송법\02.문제\[모의][18.02-4]당사자 주장과 다른 법률전제 판단 가부, 처분권주의와 변론주의의 관계 및 심판 범위.txt</t>
    <phoneticPr fontId="3" type="noConversion"/>
  </si>
  <si>
    <t>열기2-04.민사소송법\02.문제\[모의][18.03-1]소송요건과 항변사항의 구별 및 직권조사사항의 심리방법.txt</t>
    <phoneticPr fontId="3" type="noConversion"/>
  </si>
  <si>
    <t>열기2-04.민사소송법\02.문제\[모의][18.03-2]상계항변의 소송법상 취급 및 판단 범위와 기판력.txt</t>
    <phoneticPr fontId="3" type="noConversion"/>
  </si>
  <si>
    <t>열기2-04.민사소송법\02.문제\[모의][18.03-3]추가 손해배상청구 소송에서 종전 확정판결의 기판력 저촉 여부 및 후소의 적법성.txt</t>
    <phoneticPr fontId="3" type="noConversion"/>
  </si>
  <si>
    <t>열기2-04.민사소송법\02.문제\[모의][18.03-4]증거위조 사실 발견 시 확정판결에 대한 불복방법으로서 재심의 소 및 요건.txt</t>
    <phoneticPr fontId="3" type="noConversion"/>
  </si>
  <si>
    <t>제8편 최종 모의</t>
  </si>
  <si>
    <t>제8편 최종 모의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</si>
</sst>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8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14" fillId="2" borderId="0" xfId="0" applyFont="1" applyFill="1" applyBorder="1" applyAlignment="1">
      <alignment vertical="top"/>
    </xf>
    <xf numFmtId="0" fontId="14" fillId="2" borderId="55" xfId="0" applyFont="1" applyFill="1" applyBorder="1" applyAlignment="1">
      <alignment vertical="top"/>
    </xf>
    <xf numFmtId="0" fontId="12" fillId="4" borderId="15" xfId="0" applyFont="1" applyFill="1" applyBorder="1" applyAlignment="1">
      <alignment vertical="top" wrapText="1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2900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1125</v>
      </c>
    </row>
    <row r="8" spans="2:3" ht="14.45" customHeight="1" x14ac:dyDescent="0.2">
      <c r="B8" s="4" t="s">
        <v>2772</v>
      </c>
    </row>
    <row r="9" spans="2:3" ht="14.45" customHeight="1" x14ac:dyDescent="0.2">
      <c r="B9" s="4" t="s">
        <v>1191</v>
      </c>
    </row>
    <row r="10" spans="2:3" ht="14.45" customHeight="1" x14ac:dyDescent="0.2">
      <c r="B10" s="4" t="s">
        <v>1192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1248</v>
      </c>
    </row>
    <row r="14" spans="2:3" ht="14.45" customHeight="1" x14ac:dyDescent="0.2">
      <c r="B14" s="4" t="s">
        <v>1249</v>
      </c>
    </row>
    <row r="15" spans="2:3" ht="14.45" customHeight="1" x14ac:dyDescent="0.2">
      <c r="B15" s="4" t="s">
        <v>1250</v>
      </c>
    </row>
    <row r="16" spans="2:3" ht="14.45" customHeight="1" x14ac:dyDescent="0.2">
      <c r="B16" s="4" t="s">
        <v>1251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98"/>
  <sheetViews>
    <sheetView showGridLines="0" tabSelected="1" zoomScaleNormal="100" workbookViewId="0">
      <pane ySplit="3" topLeftCell="A568" activePane="bottomLeft" state="frozen"/>
      <selection pane="bottomLeft" activeCell="H596" sqref="H596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80" t="s">
        <v>2</v>
      </c>
      <c r="C2" s="381"/>
      <c r="D2" s="382"/>
      <c r="E2" s="383" t="s">
        <v>5</v>
      </c>
      <c r="F2" s="384"/>
      <c r="G2" s="384"/>
      <c r="H2" s="385"/>
      <c r="I2" s="386" t="s">
        <v>179</v>
      </c>
      <c r="J2" s="387"/>
      <c r="K2" s="5" t="s">
        <v>1247</v>
      </c>
      <c r="L2" s="5" t="s">
        <v>186</v>
      </c>
      <c r="M2" s="380" t="s">
        <v>1252</v>
      </c>
      <c r="N2" s="379"/>
      <c r="O2" s="5" t="s">
        <v>2308</v>
      </c>
    </row>
    <row r="3" spans="2:15" ht="14.45" customHeight="1" thickBot="1" x14ac:dyDescent="0.25">
      <c r="B3" s="6" t="s">
        <v>360</v>
      </c>
      <c r="C3" s="6" t="s">
        <v>0</v>
      </c>
      <c r="D3" s="7" t="s">
        <v>1</v>
      </c>
      <c r="E3" s="6" t="s">
        <v>6</v>
      </c>
      <c r="F3" s="265" t="s">
        <v>395</v>
      </c>
      <c r="G3" s="266"/>
      <c r="H3" s="9" t="s">
        <v>396</v>
      </c>
      <c r="I3" s="10" t="s">
        <v>1122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1330</v>
      </c>
      <c r="C4" s="14" t="s">
        <v>1254</v>
      </c>
      <c r="D4" s="15" t="s">
        <v>2205</v>
      </c>
      <c r="E4" s="16" t="s">
        <v>7</v>
      </c>
      <c r="F4" s="17" t="s">
        <v>13</v>
      </c>
      <c r="G4" s="18" t="s">
        <v>1300</v>
      </c>
      <c r="H4" s="19" t="s">
        <v>1019</v>
      </c>
      <c r="I4" s="20" t="s">
        <v>3043</v>
      </c>
      <c r="J4" s="21">
        <v>3416</v>
      </c>
      <c r="K4" s="22" t="s">
        <v>1327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1272</v>
      </c>
      <c r="C5" s="27" t="s">
        <v>1253</v>
      </c>
      <c r="D5" s="28" t="s">
        <v>2205</v>
      </c>
      <c r="E5" s="29" t="s">
        <v>2771</v>
      </c>
      <c r="F5" s="30" t="s">
        <v>2237</v>
      </c>
      <c r="G5" s="31" t="s">
        <v>1301</v>
      </c>
      <c r="H5" s="32" t="s">
        <v>181</v>
      </c>
      <c r="I5" s="33" t="s">
        <v>2826</v>
      </c>
      <c r="J5" s="34">
        <v>1130</v>
      </c>
      <c r="K5" s="35" t="s">
        <v>1327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1272</v>
      </c>
      <c r="C6" s="27" t="s">
        <v>1253</v>
      </c>
      <c r="D6" s="39" t="s">
        <v>2180</v>
      </c>
      <c r="E6" s="40" t="s">
        <v>7</v>
      </c>
      <c r="F6" s="41" t="s">
        <v>13</v>
      </c>
      <c r="G6" s="42" t="s">
        <v>1300</v>
      </c>
      <c r="H6" s="43" t="s">
        <v>2179</v>
      </c>
      <c r="I6" s="44" t="s">
        <v>3044</v>
      </c>
      <c r="J6" s="45">
        <v>2369</v>
      </c>
      <c r="K6" s="46" t="s">
        <v>1327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1272</v>
      </c>
      <c r="C7" s="27" t="s">
        <v>1253</v>
      </c>
      <c r="D7" s="50" t="s">
        <v>2132</v>
      </c>
      <c r="E7" s="51" t="s">
        <v>7</v>
      </c>
      <c r="F7" s="52" t="s">
        <v>13</v>
      </c>
      <c r="G7" s="53" t="s">
        <v>1300</v>
      </c>
      <c r="H7" s="54" t="s">
        <v>31</v>
      </c>
      <c r="I7" s="55" t="s">
        <v>3045</v>
      </c>
      <c r="J7" s="56">
        <v>2665</v>
      </c>
      <c r="K7" s="57" t="s">
        <v>1327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1272</v>
      </c>
      <c r="C8" s="27" t="s">
        <v>1253</v>
      </c>
      <c r="D8" s="61" t="s">
        <v>2132</v>
      </c>
      <c r="E8" s="62" t="s">
        <v>1193</v>
      </c>
      <c r="F8" s="63" t="s">
        <v>1097</v>
      </c>
      <c r="G8" s="64" t="s">
        <v>1301</v>
      </c>
      <c r="H8" s="65" t="s">
        <v>87</v>
      </c>
      <c r="I8" s="66" t="s">
        <v>999</v>
      </c>
      <c r="J8" s="67">
        <v>1492</v>
      </c>
      <c r="K8" s="68" t="s">
        <v>1327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1272</v>
      </c>
      <c r="C9" s="27" t="s">
        <v>1253</v>
      </c>
      <c r="D9" s="61" t="s">
        <v>2132</v>
      </c>
      <c r="E9" s="62" t="s">
        <v>2771</v>
      </c>
      <c r="F9" s="63" t="s">
        <v>2230</v>
      </c>
      <c r="G9" s="64" t="s">
        <v>1302</v>
      </c>
      <c r="H9" s="65" t="s">
        <v>2268</v>
      </c>
      <c r="I9" s="66" t="s">
        <v>2825</v>
      </c>
      <c r="J9" s="67">
        <v>1020</v>
      </c>
      <c r="K9" s="68" t="s">
        <v>1325</v>
      </c>
      <c r="L9" s="260" t="s">
        <v>2309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1272</v>
      </c>
      <c r="C10" s="27" t="s">
        <v>1253</v>
      </c>
      <c r="D10" s="61" t="s">
        <v>2132</v>
      </c>
      <c r="E10" s="62" t="s">
        <v>399</v>
      </c>
      <c r="F10" s="63" t="s">
        <v>2364</v>
      </c>
      <c r="G10" s="64" t="s">
        <v>1303</v>
      </c>
      <c r="H10" s="65" t="s">
        <v>2863</v>
      </c>
      <c r="I10" s="66" t="s">
        <v>2864</v>
      </c>
      <c r="J10" s="67">
        <v>398</v>
      </c>
      <c r="K10" s="68" t="s">
        <v>1327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1272</v>
      </c>
      <c r="C11" s="27" t="s">
        <v>1253</v>
      </c>
      <c r="D11" s="61" t="s">
        <v>2132</v>
      </c>
      <c r="E11" s="62" t="s">
        <v>399</v>
      </c>
      <c r="F11" s="63" t="s">
        <v>2365</v>
      </c>
      <c r="G11" s="64" t="s">
        <v>2310</v>
      </c>
      <c r="H11" s="65" t="s">
        <v>1729</v>
      </c>
      <c r="I11" s="66" t="s">
        <v>1335</v>
      </c>
      <c r="J11" s="67">
        <v>358</v>
      </c>
      <c r="K11" s="68" t="s">
        <v>1327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1272</v>
      </c>
      <c r="C12" s="27" t="s">
        <v>1253</v>
      </c>
      <c r="D12" s="61" t="s">
        <v>2132</v>
      </c>
      <c r="E12" s="62" t="s">
        <v>399</v>
      </c>
      <c r="F12" s="63" t="s">
        <v>2366</v>
      </c>
      <c r="G12" s="64" t="s">
        <v>2311</v>
      </c>
      <c r="H12" s="65" t="s">
        <v>1730</v>
      </c>
      <c r="I12" s="66" t="s">
        <v>1336</v>
      </c>
      <c r="J12" s="67">
        <v>453</v>
      </c>
      <c r="K12" s="68" t="s">
        <v>1327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1272</v>
      </c>
      <c r="C13" s="27" t="s">
        <v>1253</v>
      </c>
      <c r="D13" s="61" t="s">
        <v>2132</v>
      </c>
      <c r="E13" s="62" t="s">
        <v>399</v>
      </c>
      <c r="F13" s="63" t="s">
        <v>2367</v>
      </c>
      <c r="G13" s="64" t="s">
        <v>2312</v>
      </c>
      <c r="H13" s="65" t="s">
        <v>1731</v>
      </c>
      <c r="I13" s="66" t="s">
        <v>1337</v>
      </c>
      <c r="J13" s="67">
        <v>400</v>
      </c>
      <c r="K13" s="68" t="s">
        <v>1327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1272</v>
      </c>
      <c r="C14" s="27" t="s">
        <v>1253</v>
      </c>
      <c r="D14" s="61" t="s">
        <v>2132</v>
      </c>
      <c r="E14" s="62" t="s">
        <v>399</v>
      </c>
      <c r="F14" s="63" t="s">
        <v>2368</v>
      </c>
      <c r="G14" s="64" t="s">
        <v>2313</v>
      </c>
      <c r="H14" s="65" t="s">
        <v>1732</v>
      </c>
      <c r="I14" s="66" t="s">
        <v>1338</v>
      </c>
      <c r="J14" s="67">
        <v>823</v>
      </c>
      <c r="K14" s="68" t="s">
        <v>1327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1272</v>
      </c>
      <c r="C15" s="27" t="s">
        <v>1253</v>
      </c>
      <c r="D15" s="61" t="s">
        <v>2132</v>
      </c>
      <c r="E15" s="62" t="s">
        <v>399</v>
      </c>
      <c r="F15" s="63" t="s">
        <v>2369</v>
      </c>
      <c r="G15" s="64" t="s">
        <v>2314</v>
      </c>
      <c r="H15" s="65" t="s">
        <v>1733</v>
      </c>
      <c r="I15" s="66" t="s">
        <v>1339</v>
      </c>
      <c r="J15" s="67">
        <v>419</v>
      </c>
      <c r="K15" s="68" t="s">
        <v>1327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1272</v>
      </c>
      <c r="C16" s="27" t="s">
        <v>1253</v>
      </c>
      <c r="D16" s="61" t="s">
        <v>2132</v>
      </c>
      <c r="E16" s="62" t="s">
        <v>399</v>
      </c>
      <c r="F16" s="63" t="s">
        <v>2370</v>
      </c>
      <c r="G16" s="64" t="s">
        <v>2315</v>
      </c>
      <c r="H16" s="65" t="s">
        <v>1734</v>
      </c>
      <c r="I16" s="66" t="s">
        <v>1340</v>
      </c>
      <c r="J16" s="67">
        <v>454</v>
      </c>
      <c r="K16" s="68" t="s">
        <v>1325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1272</v>
      </c>
      <c r="C17" s="27" t="s">
        <v>1253</v>
      </c>
      <c r="D17" s="61" t="s">
        <v>2132</v>
      </c>
      <c r="E17" s="62" t="s">
        <v>399</v>
      </c>
      <c r="F17" s="63" t="s">
        <v>2371</v>
      </c>
      <c r="G17" s="64" t="s">
        <v>2316</v>
      </c>
      <c r="H17" s="65" t="s">
        <v>1735</v>
      </c>
      <c r="I17" s="66" t="s">
        <v>1341</v>
      </c>
      <c r="J17" s="67">
        <v>545</v>
      </c>
      <c r="K17" s="68" t="s">
        <v>1327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1272</v>
      </c>
      <c r="C18" s="72" t="s">
        <v>1253</v>
      </c>
      <c r="D18" s="73" t="s">
        <v>2132</v>
      </c>
      <c r="E18" s="74" t="s">
        <v>399</v>
      </c>
      <c r="F18" s="75" t="s">
        <v>2372</v>
      </c>
      <c r="G18" s="76" t="s">
        <v>2317</v>
      </c>
      <c r="H18" s="77" t="s">
        <v>1736</v>
      </c>
      <c r="I18" s="78" t="s">
        <v>1342</v>
      </c>
      <c r="J18" s="79">
        <v>250</v>
      </c>
      <c r="K18" s="80" t="s">
        <v>1327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1272</v>
      </c>
      <c r="C19" s="14" t="s">
        <v>1256</v>
      </c>
      <c r="D19" s="84" t="s">
        <v>2182</v>
      </c>
      <c r="E19" s="85" t="s">
        <v>7</v>
      </c>
      <c r="F19" s="86" t="s">
        <v>14</v>
      </c>
      <c r="G19" s="87" t="s">
        <v>1300</v>
      </c>
      <c r="H19" s="88" t="s">
        <v>32</v>
      </c>
      <c r="I19" s="89" t="s">
        <v>3046</v>
      </c>
      <c r="J19" s="90">
        <v>2021</v>
      </c>
      <c r="K19" s="91" t="s">
        <v>1327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1272</v>
      </c>
      <c r="C20" s="96" t="s">
        <v>1255</v>
      </c>
      <c r="D20" s="97" t="s">
        <v>2184</v>
      </c>
      <c r="E20" s="98" t="s">
        <v>7</v>
      </c>
      <c r="F20" s="99" t="s">
        <v>14</v>
      </c>
      <c r="G20" s="100" t="s">
        <v>1300</v>
      </c>
      <c r="H20" s="101" t="s">
        <v>33</v>
      </c>
      <c r="I20" s="102" t="s">
        <v>3047</v>
      </c>
      <c r="J20" s="103">
        <v>1815</v>
      </c>
      <c r="K20" s="104" t="s">
        <v>1327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1331</v>
      </c>
      <c r="C21" s="14" t="s">
        <v>1258</v>
      </c>
      <c r="D21" s="84" t="s">
        <v>2186</v>
      </c>
      <c r="E21" s="85" t="s">
        <v>7</v>
      </c>
      <c r="F21" s="86" t="s">
        <v>15</v>
      </c>
      <c r="G21" s="87" t="s">
        <v>1300</v>
      </c>
      <c r="H21" s="88" t="s">
        <v>34</v>
      </c>
      <c r="I21" s="89" t="s">
        <v>3048</v>
      </c>
      <c r="J21" s="90">
        <v>2015</v>
      </c>
      <c r="K21" s="91" t="s">
        <v>1327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1273</v>
      </c>
      <c r="C22" s="27" t="s">
        <v>1257</v>
      </c>
      <c r="D22" s="50" t="s">
        <v>215</v>
      </c>
      <c r="E22" s="51" t="s">
        <v>7</v>
      </c>
      <c r="F22" s="52" t="s">
        <v>15</v>
      </c>
      <c r="G22" s="53" t="s">
        <v>1300</v>
      </c>
      <c r="H22" s="54" t="s">
        <v>35</v>
      </c>
      <c r="I22" s="55" t="s">
        <v>3049</v>
      </c>
      <c r="J22" s="56">
        <v>1920</v>
      </c>
      <c r="K22" s="57" t="s">
        <v>1327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1273</v>
      </c>
      <c r="C23" s="27" t="s">
        <v>1257</v>
      </c>
      <c r="D23" s="61" t="s">
        <v>215</v>
      </c>
      <c r="E23" s="62" t="s">
        <v>2771</v>
      </c>
      <c r="F23" s="63" t="s">
        <v>2232</v>
      </c>
      <c r="G23" s="64" t="s">
        <v>1301</v>
      </c>
      <c r="H23" s="65" t="s">
        <v>1090</v>
      </c>
      <c r="I23" s="66" t="s">
        <v>2795</v>
      </c>
      <c r="J23" s="67">
        <v>1304</v>
      </c>
      <c r="K23" s="68" t="s">
        <v>1327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1273</v>
      </c>
      <c r="C24" s="27" t="s">
        <v>1257</v>
      </c>
      <c r="D24" s="61" t="s">
        <v>215</v>
      </c>
      <c r="E24" s="62" t="s">
        <v>2771</v>
      </c>
      <c r="F24" s="63" t="s">
        <v>2233</v>
      </c>
      <c r="G24" s="64" t="s">
        <v>1302</v>
      </c>
      <c r="H24" s="65" t="s">
        <v>145</v>
      </c>
      <c r="I24" s="66" t="s">
        <v>2796</v>
      </c>
      <c r="J24" s="67">
        <v>1416</v>
      </c>
      <c r="K24" s="68" t="s">
        <v>1325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1273</v>
      </c>
      <c r="C25" s="27" t="s">
        <v>1257</v>
      </c>
      <c r="D25" s="61" t="s">
        <v>215</v>
      </c>
      <c r="E25" s="62" t="s">
        <v>2771</v>
      </c>
      <c r="F25" s="63" t="s">
        <v>2234</v>
      </c>
      <c r="G25" s="64" t="s">
        <v>1303</v>
      </c>
      <c r="H25" s="65" t="s">
        <v>146</v>
      </c>
      <c r="I25" s="66" t="s">
        <v>2797</v>
      </c>
      <c r="J25" s="67">
        <v>1187</v>
      </c>
      <c r="K25" s="68" t="s">
        <v>1326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1273</v>
      </c>
      <c r="C26" s="27" t="s">
        <v>1257</v>
      </c>
      <c r="D26" s="61" t="s">
        <v>215</v>
      </c>
      <c r="E26" s="62" t="s">
        <v>2771</v>
      </c>
      <c r="F26" s="63" t="s">
        <v>2231</v>
      </c>
      <c r="G26" s="64" t="s">
        <v>2310</v>
      </c>
      <c r="H26" s="65" t="s">
        <v>2260</v>
      </c>
      <c r="I26" s="66" t="s">
        <v>2798</v>
      </c>
      <c r="J26" s="67">
        <v>1384</v>
      </c>
      <c r="K26" s="68" t="s">
        <v>1325</v>
      </c>
      <c r="L26" s="260" t="s">
        <v>2309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1273</v>
      </c>
      <c r="C27" s="27" t="s">
        <v>1257</v>
      </c>
      <c r="D27" s="61" t="s">
        <v>215</v>
      </c>
      <c r="E27" s="62" t="s">
        <v>399</v>
      </c>
      <c r="F27" s="63" t="s">
        <v>2373</v>
      </c>
      <c r="G27" s="64" t="s">
        <v>2311</v>
      </c>
      <c r="H27" s="65" t="s">
        <v>1740</v>
      </c>
      <c r="I27" s="66" t="s">
        <v>1346</v>
      </c>
      <c r="J27" s="67">
        <v>1051</v>
      </c>
      <c r="K27" s="68" t="s">
        <v>1327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1273</v>
      </c>
      <c r="C28" s="27" t="s">
        <v>1257</v>
      </c>
      <c r="D28" s="61" t="s">
        <v>215</v>
      </c>
      <c r="E28" s="62" t="s">
        <v>399</v>
      </c>
      <c r="F28" s="63" t="s">
        <v>2374</v>
      </c>
      <c r="G28" s="64" t="s">
        <v>2312</v>
      </c>
      <c r="H28" s="65" t="s">
        <v>1741</v>
      </c>
      <c r="I28" s="66" t="s">
        <v>1347</v>
      </c>
      <c r="J28" s="67">
        <v>338</v>
      </c>
      <c r="K28" s="68" t="s">
        <v>1327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1273</v>
      </c>
      <c r="C29" s="27" t="s">
        <v>1257</v>
      </c>
      <c r="D29" s="61" t="s">
        <v>215</v>
      </c>
      <c r="E29" s="62" t="s">
        <v>399</v>
      </c>
      <c r="F29" s="63" t="s">
        <v>2375</v>
      </c>
      <c r="G29" s="64" t="s">
        <v>2313</v>
      </c>
      <c r="H29" s="65" t="s">
        <v>1742</v>
      </c>
      <c r="I29" s="66" t="s">
        <v>1348</v>
      </c>
      <c r="J29" s="67">
        <v>443</v>
      </c>
      <c r="K29" s="68" t="s">
        <v>1327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1273</v>
      </c>
      <c r="C30" s="27" t="s">
        <v>1257</v>
      </c>
      <c r="D30" s="61" t="s">
        <v>215</v>
      </c>
      <c r="E30" s="62" t="s">
        <v>399</v>
      </c>
      <c r="F30" s="63" t="s">
        <v>2376</v>
      </c>
      <c r="G30" s="64" t="s">
        <v>2314</v>
      </c>
      <c r="H30" s="65" t="s">
        <v>1743</v>
      </c>
      <c r="I30" s="66" t="s">
        <v>1349</v>
      </c>
      <c r="J30" s="67">
        <v>973</v>
      </c>
      <c r="K30" s="68" t="s">
        <v>1325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1273</v>
      </c>
      <c r="C31" s="27" t="s">
        <v>1257</v>
      </c>
      <c r="D31" s="61" t="s">
        <v>215</v>
      </c>
      <c r="E31" s="62" t="s">
        <v>399</v>
      </c>
      <c r="F31" s="63" t="s">
        <v>2377</v>
      </c>
      <c r="G31" s="64" t="s">
        <v>2315</v>
      </c>
      <c r="H31" s="65" t="s">
        <v>1744</v>
      </c>
      <c r="I31" s="66" t="s">
        <v>1350</v>
      </c>
      <c r="J31" s="67">
        <v>368</v>
      </c>
      <c r="K31" s="68" t="s">
        <v>1327</v>
      </c>
      <c r="L31" s="260" t="s">
        <v>2829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1273</v>
      </c>
      <c r="C32" s="27" t="s">
        <v>1257</v>
      </c>
      <c r="D32" s="28" t="s">
        <v>215</v>
      </c>
      <c r="E32" s="29" t="s">
        <v>399</v>
      </c>
      <c r="F32" s="30" t="s">
        <v>2378</v>
      </c>
      <c r="G32" s="31" t="s">
        <v>2316</v>
      </c>
      <c r="H32" s="32" t="s">
        <v>1745</v>
      </c>
      <c r="I32" s="33" t="s">
        <v>1351</v>
      </c>
      <c r="J32" s="34">
        <v>514</v>
      </c>
      <c r="K32" s="35" t="s">
        <v>1327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1273</v>
      </c>
      <c r="C33" s="27" t="s">
        <v>1257</v>
      </c>
      <c r="D33" s="50" t="s">
        <v>2134</v>
      </c>
      <c r="E33" s="51" t="s">
        <v>7</v>
      </c>
      <c r="F33" s="52" t="s">
        <v>15</v>
      </c>
      <c r="G33" s="53" t="s">
        <v>1300</v>
      </c>
      <c r="H33" s="54" t="s">
        <v>36</v>
      </c>
      <c r="I33" s="55" t="s">
        <v>3050</v>
      </c>
      <c r="J33" s="56">
        <v>5962</v>
      </c>
      <c r="K33" s="57" t="s">
        <v>1327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1273</v>
      </c>
      <c r="C34" s="27" t="s">
        <v>1257</v>
      </c>
      <c r="D34" s="61" t="s">
        <v>2134</v>
      </c>
      <c r="E34" s="62" t="s">
        <v>1193</v>
      </c>
      <c r="F34" s="63" t="s">
        <v>90</v>
      </c>
      <c r="G34" s="64" t="s">
        <v>1301</v>
      </c>
      <c r="H34" s="65" t="s">
        <v>1197</v>
      </c>
      <c r="I34" s="66" t="s">
        <v>1198</v>
      </c>
      <c r="J34" s="67">
        <v>1452</v>
      </c>
      <c r="K34" s="68" t="s">
        <v>1327</v>
      </c>
      <c r="L34" s="260" t="s">
        <v>2309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1273</v>
      </c>
      <c r="C35" s="27" t="s">
        <v>1257</v>
      </c>
      <c r="D35" s="61" t="s">
        <v>2134</v>
      </c>
      <c r="E35" s="62" t="s">
        <v>1193</v>
      </c>
      <c r="F35" s="63" t="s">
        <v>1098</v>
      </c>
      <c r="G35" s="64" t="s">
        <v>1302</v>
      </c>
      <c r="H35" s="65" t="s">
        <v>1194</v>
      </c>
      <c r="I35" s="66" t="s">
        <v>1195</v>
      </c>
      <c r="J35" s="67">
        <v>1490</v>
      </c>
      <c r="K35" s="68" t="s">
        <v>1327</v>
      </c>
      <c r="L35" s="260" t="s">
        <v>2309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1273</v>
      </c>
      <c r="C36" s="27" t="s">
        <v>1257</v>
      </c>
      <c r="D36" s="61" t="s">
        <v>2134</v>
      </c>
      <c r="E36" s="62" t="s">
        <v>1193</v>
      </c>
      <c r="F36" s="63" t="s">
        <v>89</v>
      </c>
      <c r="G36" s="64" t="s">
        <v>1303</v>
      </c>
      <c r="H36" s="65" t="s">
        <v>88</v>
      </c>
      <c r="I36" s="66" t="s">
        <v>3131</v>
      </c>
      <c r="J36" s="67">
        <v>1851</v>
      </c>
      <c r="K36" s="68" t="s">
        <v>1327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1273</v>
      </c>
      <c r="C37" s="27" t="s">
        <v>1257</v>
      </c>
      <c r="D37" s="61" t="s">
        <v>2134</v>
      </c>
      <c r="E37" s="62" t="s">
        <v>2771</v>
      </c>
      <c r="F37" s="63" t="s">
        <v>3127</v>
      </c>
      <c r="G37" s="64" t="s">
        <v>3128</v>
      </c>
      <c r="H37" s="65" t="s">
        <v>3129</v>
      </c>
      <c r="I37" s="66" t="s">
        <v>3137</v>
      </c>
      <c r="J37" s="67">
        <v>1082</v>
      </c>
      <c r="K37" s="68" t="s">
        <v>1327</v>
      </c>
      <c r="L37" s="260" t="s">
        <v>3130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1273</v>
      </c>
      <c r="C38" s="27" t="s">
        <v>1257</v>
      </c>
      <c r="D38" s="61" t="s">
        <v>2134</v>
      </c>
      <c r="E38" s="62" t="s">
        <v>399</v>
      </c>
      <c r="F38" s="63" t="s">
        <v>2379</v>
      </c>
      <c r="G38" s="64" t="s">
        <v>2311</v>
      </c>
      <c r="H38" s="65" t="s">
        <v>1737</v>
      </c>
      <c r="I38" s="66" t="s">
        <v>1343</v>
      </c>
      <c r="J38" s="67">
        <v>478</v>
      </c>
      <c r="K38" s="68" t="s">
        <v>1326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1273</v>
      </c>
      <c r="C39" s="27" t="s">
        <v>1257</v>
      </c>
      <c r="D39" s="61" t="s">
        <v>2134</v>
      </c>
      <c r="E39" s="62" t="s">
        <v>399</v>
      </c>
      <c r="F39" s="63" t="s">
        <v>2380</v>
      </c>
      <c r="G39" s="64" t="s">
        <v>2312</v>
      </c>
      <c r="H39" s="65" t="s">
        <v>1738</v>
      </c>
      <c r="I39" s="66" t="s">
        <v>1344</v>
      </c>
      <c r="J39" s="67">
        <v>625</v>
      </c>
      <c r="K39" s="68" t="s">
        <v>1326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1273</v>
      </c>
      <c r="C40" s="27" t="s">
        <v>1257</v>
      </c>
      <c r="D40" s="61" t="s">
        <v>2134</v>
      </c>
      <c r="E40" s="62" t="s">
        <v>399</v>
      </c>
      <c r="F40" s="63" t="s">
        <v>2381</v>
      </c>
      <c r="G40" s="64" t="s">
        <v>2313</v>
      </c>
      <c r="H40" s="65" t="s">
        <v>1739</v>
      </c>
      <c r="I40" s="66" t="s">
        <v>1345</v>
      </c>
      <c r="J40" s="67">
        <v>874</v>
      </c>
      <c r="K40" s="68" t="s">
        <v>1326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1273</v>
      </c>
      <c r="C41" s="27" t="s">
        <v>1257</v>
      </c>
      <c r="D41" s="61" t="s">
        <v>2134</v>
      </c>
      <c r="E41" s="62" t="s">
        <v>399</v>
      </c>
      <c r="F41" s="63" t="s">
        <v>2382</v>
      </c>
      <c r="G41" s="64" t="s">
        <v>2314</v>
      </c>
      <c r="H41" s="65" t="s">
        <v>1746</v>
      </c>
      <c r="I41" s="66" t="s">
        <v>1352</v>
      </c>
      <c r="J41" s="67">
        <v>730</v>
      </c>
      <c r="K41" s="68" t="s">
        <v>1327</v>
      </c>
      <c r="L41" s="260" t="s">
        <v>2828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1273</v>
      </c>
      <c r="C42" s="27" t="s">
        <v>1257</v>
      </c>
      <c r="D42" s="61" t="s">
        <v>2134</v>
      </c>
      <c r="E42" s="62" t="s">
        <v>399</v>
      </c>
      <c r="F42" s="63" t="s">
        <v>2383</v>
      </c>
      <c r="G42" s="64" t="s">
        <v>2315</v>
      </c>
      <c r="H42" s="65" t="s">
        <v>1747</v>
      </c>
      <c r="I42" s="66" t="s">
        <v>1353</v>
      </c>
      <c r="J42" s="67">
        <v>715</v>
      </c>
      <c r="K42" s="68" t="s">
        <v>1325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1273</v>
      </c>
      <c r="C43" s="27" t="s">
        <v>1257</v>
      </c>
      <c r="D43" s="61" t="s">
        <v>2134</v>
      </c>
      <c r="E43" s="62" t="s">
        <v>399</v>
      </c>
      <c r="F43" s="63" t="s">
        <v>2384</v>
      </c>
      <c r="G43" s="64" t="s">
        <v>2316</v>
      </c>
      <c r="H43" s="65" t="s">
        <v>1748</v>
      </c>
      <c r="I43" s="66" t="s">
        <v>1354</v>
      </c>
      <c r="J43" s="67">
        <v>366</v>
      </c>
      <c r="K43" s="68" t="s">
        <v>1325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1273</v>
      </c>
      <c r="C44" s="27" t="s">
        <v>1257</v>
      </c>
      <c r="D44" s="61" t="s">
        <v>2134</v>
      </c>
      <c r="E44" s="62" t="s">
        <v>399</v>
      </c>
      <c r="F44" s="63" t="s">
        <v>2385</v>
      </c>
      <c r="G44" s="64" t="s">
        <v>2317</v>
      </c>
      <c r="H44" s="65" t="s">
        <v>1749</v>
      </c>
      <c r="I44" s="66" t="s">
        <v>1355</v>
      </c>
      <c r="J44" s="67">
        <v>350</v>
      </c>
      <c r="K44" s="68" t="s">
        <v>1325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1273</v>
      </c>
      <c r="C45" s="27" t="s">
        <v>1257</v>
      </c>
      <c r="D45" s="61" t="s">
        <v>2134</v>
      </c>
      <c r="E45" s="62" t="s">
        <v>399</v>
      </c>
      <c r="F45" s="63" t="s">
        <v>2386</v>
      </c>
      <c r="G45" s="64" t="s">
        <v>2318</v>
      </c>
      <c r="H45" s="65" t="s">
        <v>1750</v>
      </c>
      <c r="I45" s="66" t="s">
        <v>1356</v>
      </c>
      <c r="J45" s="67">
        <v>398</v>
      </c>
      <c r="K45" s="68" t="s">
        <v>1325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1273</v>
      </c>
      <c r="C46" s="27" t="s">
        <v>1257</v>
      </c>
      <c r="D46" s="61" t="s">
        <v>2134</v>
      </c>
      <c r="E46" s="62" t="s">
        <v>399</v>
      </c>
      <c r="F46" s="63" t="s">
        <v>2387</v>
      </c>
      <c r="G46" s="64" t="s">
        <v>2319</v>
      </c>
      <c r="H46" s="65" t="s">
        <v>1751</v>
      </c>
      <c r="I46" s="66" t="s">
        <v>1357</v>
      </c>
      <c r="J46" s="67">
        <v>268</v>
      </c>
      <c r="K46" s="68" t="s">
        <v>1325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1273</v>
      </c>
      <c r="C47" s="27" t="s">
        <v>1257</v>
      </c>
      <c r="D47" s="61" t="s">
        <v>2134</v>
      </c>
      <c r="E47" s="62" t="s">
        <v>399</v>
      </c>
      <c r="F47" s="63" t="s">
        <v>2388</v>
      </c>
      <c r="G47" s="64" t="s">
        <v>2320</v>
      </c>
      <c r="H47" s="65" t="s">
        <v>1752</v>
      </c>
      <c r="I47" s="66" t="s">
        <v>1358</v>
      </c>
      <c r="J47" s="67">
        <v>487</v>
      </c>
      <c r="K47" s="68" t="s">
        <v>1327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1273</v>
      </c>
      <c r="C48" s="27" t="s">
        <v>1257</v>
      </c>
      <c r="D48" s="61" t="s">
        <v>2134</v>
      </c>
      <c r="E48" s="62" t="s">
        <v>399</v>
      </c>
      <c r="F48" s="63" t="s">
        <v>2389</v>
      </c>
      <c r="G48" s="64" t="s">
        <v>2321</v>
      </c>
      <c r="H48" s="65" t="s">
        <v>1753</v>
      </c>
      <c r="I48" s="66" t="s">
        <v>1359</v>
      </c>
      <c r="J48" s="67">
        <v>495</v>
      </c>
      <c r="K48" s="68" t="s">
        <v>1327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1273</v>
      </c>
      <c r="C49" s="72" t="s">
        <v>1257</v>
      </c>
      <c r="D49" s="73" t="s">
        <v>2134</v>
      </c>
      <c r="E49" s="74" t="s">
        <v>399</v>
      </c>
      <c r="F49" s="75" t="s">
        <v>2390</v>
      </c>
      <c r="G49" s="64" t="s">
        <v>2322</v>
      </c>
      <c r="H49" s="77" t="s">
        <v>1754</v>
      </c>
      <c r="I49" s="78" t="s">
        <v>1360</v>
      </c>
      <c r="J49" s="79">
        <v>730</v>
      </c>
      <c r="K49" s="80" t="s">
        <v>1327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1273</v>
      </c>
      <c r="C50" s="14" t="s">
        <v>1260</v>
      </c>
      <c r="D50" s="15" t="s">
        <v>2135</v>
      </c>
      <c r="E50" s="16" t="s">
        <v>7</v>
      </c>
      <c r="F50" s="17" t="s">
        <v>16</v>
      </c>
      <c r="G50" s="18" t="s">
        <v>1300</v>
      </c>
      <c r="H50" s="19" t="s">
        <v>394</v>
      </c>
      <c r="I50" s="20" t="s">
        <v>3051</v>
      </c>
      <c r="J50" s="21">
        <v>3426</v>
      </c>
      <c r="K50" s="22" t="s">
        <v>1327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1273</v>
      </c>
      <c r="C51" s="27" t="s">
        <v>1259</v>
      </c>
      <c r="D51" s="61" t="s">
        <v>2135</v>
      </c>
      <c r="E51" s="62" t="s">
        <v>1193</v>
      </c>
      <c r="F51" s="63" t="s">
        <v>1099</v>
      </c>
      <c r="G51" s="64" t="s">
        <v>1301</v>
      </c>
      <c r="H51" s="65" t="s">
        <v>91</v>
      </c>
      <c r="I51" s="66" t="s">
        <v>1000</v>
      </c>
      <c r="J51" s="67">
        <v>1665</v>
      </c>
      <c r="K51" s="68" t="s">
        <v>1327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1273</v>
      </c>
      <c r="C52" s="27" t="s">
        <v>1259</v>
      </c>
      <c r="D52" s="61" t="s">
        <v>2135</v>
      </c>
      <c r="E52" s="62" t="s">
        <v>2771</v>
      </c>
      <c r="F52" s="63" t="s">
        <v>2238</v>
      </c>
      <c r="G52" s="64" t="s">
        <v>1302</v>
      </c>
      <c r="H52" s="65" t="s">
        <v>1160</v>
      </c>
      <c r="I52" s="66" t="s">
        <v>2794</v>
      </c>
      <c r="J52" s="67">
        <v>1297</v>
      </c>
      <c r="K52" s="68" t="s">
        <v>1325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1273</v>
      </c>
      <c r="C53" s="27" t="s">
        <v>1259</v>
      </c>
      <c r="D53" s="61" t="s">
        <v>2135</v>
      </c>
      <c r="E53" s="62" t="s">
        <v>399</v>
      </c>
      <c r="F53" s="63" t="s">
        <v>2391</v>
      </c>
      <c r="G53" s="64" t="s">
        <v>1303</v>
      </c>
      <c r="H53" s="65" t="s">
        <v>1755</v>
      </c>
      <c r="I53" s="66" t="s">
        <v>1361</v>
      </c>
      <c r="J53" s="67">
        <v>335</v>
      </c>
      <c r="K53" s="68" t="s">
        <v>1325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1273</v>
      </c>
      <c r="C54" s="27" t="s">
        <v>1259</v>
      </c>
      <c r="D54" s="61" t="s">
        <v>2135</v>
      </c>
      <c r="E54" s="62" t="s">
        <v>399</v>
      </c>
      <c r="F54" s="63" t="s">
        <v>2392</v>
      </c>
      <c r="G54" s="64" t="s">
        <v>2310</v>
      </c>
      <c r="H54" s="65" t="s">
        <v>1756</v>
      </c>
      <c r="I54" s="66" t="s">
        <v>1362</v>
      </c>
      <c r="J54" s="67">
        <v>356</v>
      </c>
      <c r="K54" s="68" t="s">
        <v>1325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1273</v>
      </c>
      <c r="C55" s="27" t="s">
        <v>1259</v>
      </c>
      <c r="D55" s="61" t="s">
        <v>2135</v>
      </c>
      <c r="E55" s="62" t="s">
        <v>399</v>
      </c>
      <c r="F55" s="63" t="s">
        <v>2393</v>
      </c>
      <c r="G55" s="64" t="s">
        <v>2311</v>
      </c>
      <c r="H55" s="65" t="s">
        <v>1757</v>
      </c>
      <c r="I55" s="66" t="s">
        <v>1363</v>
      </c>
      <c r="J55" s="67">
        <v>583</v>
      </c>
      <c r="K55" s="68" t="s">
        <v>1325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1273</v>
      </c>
      <c r="C56" s="27" t="s">
        <v>1259</v>
      </c>
      <c r="D56" s="28" t="s">
        <v>2135</v>
      </c>
      <c r="E56" s="29" t="s">
        <v>399</v>
      </c>
      <c r="F56" s="30" t="s">
        <v>2394</v>
      </c>
      <c r="G56" s="31" t="s">
        <v>2312</v>
      </c>
      <c r="H56" s="32" t="s">
        <v>1758</v>
      </c>
      <c r="I56" s="33" t="s">
        <v>1364</v>
      </c>
      <c r="J56" s="34">
        <v>543</v>
      </c>
      <c r="K56" s="35" t="s">
        <v>1325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1273</v>
      </c>
      <c r="C57" s="27" t="s">
        <v>1259</v>
      </c>
      <c r="D57" s="50" t="s">
        <v>2133</v>
      </c>
      <c r="E57" s="51" t="s">
        <v>7</v>
      </c>
      <c r="F57" s="52" t="s">
        <v>16</v>
      </c>
      <c r="G57" s="53" t="s">
        <v>1300</v>
      </c>
      <c r="H57" s="54" t="s">
        <v>37</v>
      </c>
      <c r="I57" s="55" t="s">
        <v>3052</v>
      </c>
      <c r="J57" s="56">
        <v>3612</v>
      </c>
      <c r="K57" s="57" t="s">
        <v>1325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1273</v>
      </c>
      <c r="C58" s="27" t="s">
        <v>1259</v>
      </c>
      <c r="D58" s="61" t="s">
        <v>2133</v>
      </c>
      <c r="E58" s="62" t="s">
        <v>1193</v>
      </c>
      <c r="F58" s="63" t="s">
        <v>97</v>
      </c>
      <c r="G58" s="64" t="s">
        <v>1301</v>
      </c>
      <c r="H58" s="65" t="s">
        <v>1199</v>
      </c>
      <c r="I58" s="66" t="s">
        <v>1200</v>
      </c>
      <c r="J58" s="67">
        <v>1155</v>
      </c>
      <c r="K58" s="68" t="s">
        <v>1325</v>
      </c>
      <c r="L58" s="260" t="s">
        <v>2309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1273</v>
      </c>
      <c r="C59" s="27" t="s">
        <v>1259</v>
      </c>
      <c r="D59" s="61" t="s">
        <v>2133</v>
      </c>
      <c r="E59" s="62" t="s">
        <v>1193</v>
      </c>
      <c r="F59" s="63" t="s">
        <v>144</v>
      </c>
      <c r="G59" s="64" t="s">
        <v>1302</v>
      </c>
      <c r="H59" s="65" t="s">
        <v>1095</v>
      </c>
      <c r="I59" s="66" t="s">
        <v>1096</v>
      </c>
      <c r="J59" s="67">
        <v>1636</v>
      </c>
      <c r="K59" s="68" t="s">
        <v>1325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1273</v>
      </c>
      <c r="C60" s="27" t="s">
        <v>1259</v>
      </c>
      <c r="D60" s="61" t="s">
        <v>2133</v>
      </c>
      <c r="E60" s="62" t="s">
        <v>1193</v>
      </c>
      <c r="F60" s="63" t="s">
        <v>94</v>
      </c>
      <c r="G60" s="64" t="s">
        <v>1303</v>
      </c>
      <c r="H60" s="65" t="s">
        <v>1091</v>
      </c>
      <c r="I60" s="66" t="s">
        <v>1092</v>
      </c>
      <c r="J60" s="67">
        <v>1766</v>
      </c>
      <c r="K60" s="68" t="s">
        <v>1325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1273</v>
      </c>
      <c r="C61" s="27" t="s">
        <v>1259</v>
      </c>
      <c r="D61" s="61" t="s">
        <v>2133</v>
      </c>
      <c r="E61" s="62" t="s">
        <v>1193</v>
      </c>
      <c r="F61" s="63" t="s">
        <v>95</v>
      </c>
      <c r="G61" s="64" t="s">
        <v>2310</v>
      </c>
      <c r="H61" s="65" t="s">
        <v>92</v>
      </c>
      <c r="I61" s="66" t="s">
        <v>1001</v>
      </c>
      <c r="J61" s="67">
        <v>1504</v>
      </c>
      <c r="K61" s="68" t="s">
        <v>1325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1273</v>
      </c>
      <c r="C62" s="27" t="s">
        <v>1259</v>
      </c>
      <c r="D62" s="61" t="s">
        <v>2133</v>
      </c>
      <c r="E62" s="62" t="s">
        <v>1193</v>
      </c>
      <c r="F62" s="63" t="s">
        <v>1100</v>
      </c>
      <c r="G62" s="64" t="s">
        <v>2311</v>
      </c>
      <c r="H62" s="65" t="s">
        <v>2214</v>
      </c>
      <c r="I62" s="66" t="s">
        <v>2215</v>
      </c>
      <c r="J62" s="67">
        <v>1784</v>
      </c>
      <c r="K62" s="68" t="s">
        <v>1325</v>
      </c>
      <c r="L62" s="260" t="s">
        <v>2309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1331</v>
      </c>
      <c r="C63" s="27" t="s">
        <v>1260</v>
      </c>
      <c r="D63" s="61" t="s">
        <v>200</v>
      </c>
      <c r="E63" s="62" t="s">
        <v>2771</v>
      </c>
      <c r="F63" s="63" t="s">
        <v>2235</v>
      </c>
      <c r="G63" s="64" t="s">
        <v>2312</v>
      </c>
      <c r="H63" s="65" t="s">
        <v>2213</v>
      </c>
      <c r="I63" s="66" t="s">
        <v>2793</v>
      </c>
      <c r="J63" s="67">
        <v>1435</v>
      </c>
      <c r="K63" s="68" t="s">
        <v>1325</v>
      </c>
      <c r="L63" s="260" t="s">
        <v>2760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1331</v>
      </c>
      <c r="C64" s="27" t="s">
        <v>1260</v>
      </c>
      <c r="D64" s="61" t="s">
        <v>200</v>
      </c>
      <c r="E64" s="62" t="s">
        <v>2771</v>
      </c>
      <c r="F64" s="63" t="s">
        <v>2236</v>
      </c>
      <c r="G64" s="64" t="s">
        <v>2313</v>
      </c>
      <c r="H64" s="65" t="s">
        <v>2265</v>
      </c>
      <c r="I64" s="66" t="s">
        <v>2792</v>
      </c>
      <c r="J64" s="67">
        <v>1190</v>
      </c>
      <c r="K64" s="68" t="s">
        <v>1325</v>
      </c>
      <c r="L64" s="260" t="s">
        <v>2309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1273</v>
      </c>
      <c r="C65" s="27" t="s">
        <v>1259</v>
      </c>
      <c r="D65" s="61" t="s">
        <v>2133</v>
      </c>
      <c r="E65" s="62" t="s">
        <v>399</v>
      </c>
      <c r="F65" s="63" t="s">
        <v>2395</v>
      </c>
      <c r="G65" s="64" t="s">
        <v>2314</v>
      </c>
      <c r="H65" s="65" t="s">
        <v>1759</v>
      </c>
      <c r="I65" s="66" t="s">
        <v>1365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1273</v>
      </c>
      <c r="C66" s="27" t="s">
        <v>1259</v>
      </c>
      <c r="D66" s="61" t="s">
        <v>2133</v>
      </c>
      <c r="E66" s="62" t="s">
        <v>399</v>
      </c>
      <c r="F66" s="63" t="s">
        <v>2396</v>
      </c>
      <c r="G66" s="64" t="s">
        <v>2315</v>
      </c>
      <c r="H66" s="65" t="s">
        <v>1760</v>
      </c>
      <c r="I66" s="66" t="s">
        <v>1366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1273</v>
      </c>
      <c r="C67" s="27" t="s">
        <v>1259</v>
      </c>
      <c r="D67" s="61" t="s">
        <v>2133</v>
      </c>
      <c r="E67" s="62" t="s">
        <v>399</v>
      </c>
      <c r="F67" s="63" t="s">
        <v>2397</v>
      </c>
      <c r="G67" s="64" t="s">
        <v>2316</v>
      </c>
      <c r="H67" s="65" t="s">
        <v>1761</v>
      </c>
      <c r="I67" s="66" t="s">
        <v>1367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1273</v>
      </c>
      <c r="C68" s="27" t="s">
        <v>1259</v>
      </c>
      <c r="D68" s="61" t="s">
        <v>2133</v>
      </c>
      <c r="E68" s="62" t="s">
        <v>399</v>
      </c>
      <c r="F68" s="63" t="s">
        <v>2398</v>
      </c>
      <c r="G68" s="64" t="s">
        <v>2317</v>
      </c>
      <c r="H68" s="65" t="s">
        <v>1762</v>
      </c>
      <c r="I68" s="66" t="s">
        <v>1368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1273</v>
      </c>
      <c r="C69" s="27" t="s">
        <v>1259</v>
      </c>
      <c r="D69" s="61" t="s">
        <v>2133</v>
      </c>
      <c r="E69" s="62" t="s">
        <v>399</v>
      </c>
      <c r="F69" s="63" t="s">
        <v>2399</v>
      </c>
      <c r="G69" s="64" t="s">
        <v>2318</v>
      </c>
      <c r="H69" s="65" t="s">
        <v>1763</v>
      </c>
      <c r="I69" s="66" t="s">
        <v>1369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1273</v>
      </c>
      <c r="C70" s="27" t="s">
        <v>1259</v>
      </c>
      <c r="D70" s="61" t="s">
        <v>2133</v>
      </c>
      <c r="E70" s="62" t="s">
        <v>399</v>
      </c>
      <c r="F70" s="63" t="s">
        <v>2400</v>
      </c>
      <c r="G70" s="64" t="s">
        <v>2319</v>
      </c>
      <c r="H70" s="65" t="s">
        <v>1764</v>
      </c>
      <c r="I70" s="66" t="s">
        <v>1370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1273</v>
      </c>
      <c r="C71" s="27" t="s">
        <v>1259</v>
      </c>
      <c r="D71" s="61" t="s">
        <v>2133</v>
      </c>
      <c r="E71" s="62" t="s">
        <v>399</v>
      </c>
      <c r="F71" s="63" t="s">
        <v>2401</v>
      </c>
      <c r="G71" s="64" t="s">
        <v>2320</v>
      </c>
      <c r="H71" s="65" t="s">
        <v>1765</v>
      </c>
      <c r="I71" s="66" t="s">
        <v>1371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1273</v>
      </c>
      <c r="C72" s="27" t="s">
        <v>1259</v>
      </c>
      <c r="D72" s="61" t="s">
        <v>2133</v>
      </c>
      <c r="E72" s="62" t="s">
        <v>399</v>
      </c>
      <c r="F72" s="63" t="s">
        <v>2402</v>
      </c>
      <c r="G72" s="64" t="s">
        <v>2321</v>
      </c>
      <c r="H72" s="65" t="s">
        <v>1766</v>
      </c>
      <c r="I72" s="66" t="s">
        <v>1372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1273</v>
      </c>
      <c r="C73" s="27" t="s">
        <v>1259</v>
      </c>
      <c r="D73" s="28" t="s">
        <v>2133</v>
      </c>
      <c r="E73" s="29" t="s">
        <v>399</v>
      </c>
      <c r="F73" s="30" t="s">
        <v>2403</v>
      </c>
      <c r="G73" s="31" t="s">
        <v>2322</v>
      </c>
      <c r="H73" s="32" t="s">
        <v>1767</v>
      </c>
      <c r="I73" s="33" t="s">
        <v>1373</v>
      </c>
      <c r="J73" s="34">
        <v>947</v>
      </c>
      <c r="K73" s="35" t="s">
        <v>1325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1273</v>
      </c>
      <c r="C74" s="27" t="s">
        <v>1259</v>
      </c>
      <c r="D74" s="50" t="s">
        <v>2136</v>
      </c>
      <c r="E74" s="51" t="s">
        <v>7</v>
      </c>
      <c r="F74" s="52" t="s">
        <v>16</v>
      </c>
      <c r="G74" s="53" t="s">
        <v>1300</v>
      </c>
      <c r="H74" s="54" t="s">
        <v>38</v>
      </c>
      <c r="I74" s="55" t="s">
        <v>3053</v>
      </c>
      <c r="J74" s="56">
        <v>3177</v>
      </c>
      <c r="K74" s="57" t="s">
        <v>1325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1273</v>
      </c>
      <c r="C75" s="27" t="s">
        <v>1259</v>
      </c>
      <c r="D75" s="61" t="s">
        <v>202</v>
      </c>
      <c r="E75" s="62" t="s">
        <v>1193</v>
      </c>
      <c r="F75" s="63" t="s">
        <v>100</v>
      </c>
      <c r="G75" s="64" t="s">
        <v>1301</v>
      </c>
      <c r="H75" s="65" t="s">
        <v>1202</v>
      </c>
      <c r="I75" s="66" t="s">
        <v>1201</v>
      </c>
      <c r="J75" s="67">
        <v>1858</v>
      </c>
      <c r="K75" s="68" t="s">
        <v>1325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1273</v>
      </c>
      <c r="C76" s="27" t="s">
        <v>1259</v>
      </c>
      <c r="D76" s="61" t="s">
        <v>2136</v>
      </c>
      <c r="E76" s="62" t="s">
        <v>1193</v>
      </c>
      <c r="F76" s="63" t="s">
        <v>1101</v>
      </c>
      <c r="G76" s="64" t="s">
        <v>1302</v>
      </c>
      <c r="H76" s="65" t="s">
        <v>1093</v>
      </c>
      <c r="I76" s="66" t="s">
        <v>1094</v>
      </c>
      <c r="J76" s="67">
        <v>3032</v>
      </c>
      <c r="K76" s="68" t="s">
        <v>1325</v>
      </c>
      <c r="L76" s="260" t="s">
        <v>2832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1273</v>
      </c>
      <c r="C77" s="27" t="s">
        <v>1259</v>
      </c>
      <c r="D77" s="61" t="s">
        <v>2136</v>
      </c>
      <c r="E77" s="62" t="s">
        <v>1193</v>
      </c>
      <c r="F77" s="63" t="s">
        <v>99</v>
      </c>
      <c r="G77" s="64" t="s">
        <v>1303</v>
      </c>
      <c r="H77" s="65" t="s">
        <v>98</v>
      </c>
      <c r="I77" s="66" t="s">
        <v>1002</v>
      </c>
      <c r="J77" s="67">
        <v>1483</v>
      </c>
      <c r="K77" s="68" t="s">
        <v>1325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1273</v>
      </c>
      <c r="C78" s="27" t="s">
        <v>1259</v>
      </c>
      <c r="D78" s="61" t="s">
        <v>2136</v>
      </c>
      <c r="E78" s="62" t="s">
        <v>2771</v>
      </c>
      <c r="F78" s="63" t="s">
        <v>2253</v>
      </c>
      <c r="G78" s="64" t="s">
        <v>2310</v>
      </c>
      <c r="H78" s="65" t="s">
        <v>2261</v>
      </c>
      <c r="I78" s="66" t="s">
        <v>2791</v>
      </c>
      <c r="J78" s="67">
        <v>1067</v>
      </c>
      <c r="K78" s="68" t="s">
        <v>1325</v>
      </c>
      <c r="L78" s="260" t="s">
        <v>2309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1273</v>
      </c>
      <c r="C79" s="27" t="s">
        <v>1259</v>
      </c>
      <c r="D79" s="61" t="s">
        <v>2136</v>
      </c>
      <c r="E79" s="62" t="s">
        <v>399</v>
      </c>
      <c r="F79" s="63" t="s">
        <v>2404</v>
      </c>
      <c r="G79" s="64" t="s">
        <v>2311</v>
      </c>
      <c r="H79" s="65" t="s">
        <v>1768</v>
      </c>
      <c r="I79" s="66" t="s">
        <v>1374</v>
      </c>
      <c r="J79" s="67">
        <v>484</v>
      </c>
      <c r="K79" s="68" t="s">
        <v>1327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1273</v>
      </c>
      <c r="C80" s="27" t="s">
        <v>1259</v>
      </c>
      <c r="D80" s="61" t="s">
        <v>2136</v>
      </c>
      <c r="E80" s="62" t="s">
        <v>399</v>
      </c>
      <c r="F80" s="63" t="s">
        <v>2405</v>
      </c>
      <c r="G80" s="64" t="s">
        <v>2312</v>
      </c>
      <c r="H80" s="65" t="s">
        <v>1769</v>
      </c>
      <c r="I80" s="66" t="s">
        <v>1375</v>
      </c>
      <c r="J80" s="67">
        <v>272</v>
      </c>
      <c r="K80" s="68" t="s">
        <v>1327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1273</v>
      </c>
      <c r="C81" s="27" t="s">
        <v>1259</v>
      </c>
      <c r="D81" s="61" t="s">
        <v>2136</v>
      </c>
      <c r="E81" s="62" t="s">
        <v>399</v>
      </c>
      <c r="F81" s="63" t="s">
        <v>2406</v>
      </c>
      <c r="G81" s="64" t="s">
        <v>2313</v>
      </c>
      <c r="H81" s="65" t="s">
        <v>1770</v>
      </c>
      <c r="I81" s="66" t="s">
        <v>1376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1273</v>
      </c>
      <c r="C82" s="27" t="s">
        <v>1259</v>
      </c>
      <c r="D82" s="61" t="s">
        <v>2136</v>
      </c>
      <c r="E82" s="62" t="s">
        <v>399</v>
      </c>
      <c r="F82" s="63" t="s">
        <v>2407</v>
      </c>
      <c r="G82" s="64" t="s">
        <v>2314</v>
      </c>
      <c r="H82" s="65" t="s">
        <v>1771</v>
      </c>
      <c r="I82" s="66" t="s">
        <v>1377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1273</v>
      </c>
      <c r="C83" s="27" t="s">
        <v>1259</v>
      </c>
      <c r="D83" s="61" t="s">
        <v>2136</v>
      </c>
      <c r="E83" s="62" t="s">
        <v>399</v>
      </c>
      <c r="F83" s="63" t="s">
        <v>2408</v>
      </c>
      <c r="G83" s="64" t="s">
        <v>2315</v>
      </c>
      <c r="H83" s="65" t="s">
        <v>1772</v>
      </c>
      <c r="I83" s="66" t="s">
        <v>1378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1273</v>
      </c>
      <c r="C84" s="27" t="s">
        <v>1259</v>
      </c>
      <c r="D84" s="61" t="s">
        <v>2136</v>
      </c>
      <c r="E84" s="62" t="s">
        <v>399</v>
      </c>
      <c r="F84" s="63" t="s">
        <v>2409</v>
      </c>
      <c r="G84" s="64" t="s">
        <v>2316</v>
      </c>
      <c r="H84" s="65" t="s">
        <v>1773</v>
      </c>
      <c r="I84" s="66" t="s">
        <v>1379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1273</v>
      </c>
      <c r="C85" s="27" t="s">
        <v>1259</v>
      </c>
      <c r="D85" s="61" t="s">
        <v>2136</v>
      </c>
      <c r="E85" s="62" t="s">
        <v>399</v>
      </c>
      <c r="F85" s="63" t="s">
        <v>2410</v>
      </c>
      <c r="G85" s="64" t="s">
        <v>2317</v>
      </c>
      <c r="H85" s="65" t="s">
        <v>1774</v>
      </c>
      <c r="I85" s="66" t="s">
        <v>1380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1273</v>
      </c>
      <c r="C86" s="27" t="s">
        <v>1259</v>
      </c>
      <c r="D86" s="61" t="s">
        <v>2136</v>
      </c>
      <c r="E86" s="62" t="s">
        <v>399</v>
      </c>
      <c r="F86" s="63" t="s">
        <v>2411</v>
      </c>
      <c r="G86" s="64" t="s">
        <v>2318</v>
      </c>
      <c r="H86" s="65" t="s">
        <v>1775</v>
      </c>
      <c r="I86" s="66" t="s">
        <v>1381</v>
      </c>
      <c r="J86" s="67">
        <v>411</v>
      </c>
      <c r="K86" s="68" t="s">
        <v>1325</v>
      </c>
      <c r="L86" s="260" t="s">
        <v>2833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1273</v>
      </c>
      <c r="C87" s="27" t="s">
        <v>1259</v>
      </c>
      <c r="D87" s="61" t="s">
        <v>2136</v>
      </c>
      <c r="E87" s="62" t="s">
        <v>399</v>
      </c>
      <c r="F87" s="63" t="s">
        <v>2412</v>
      </c>
      <c r="G87" s="64" t="s">
        <v>2319</v>
      </c>
      <c r="H87" s="65" t="s">
        <v>1776</v>
      </c>
      <c r="I87" s="66" t="s">
        <v>1382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1273</v>
      </c>
      <c r="C88" s="27" t="s">
        <v>1259</v>
      </c>
      <c r="D88" s="61" t="s">
        <v>2136</v>
      </c>
      <c r="E88" s="62" t="s">
        <v>399</v>
      </c>
      <c r="F88" s="63" t="s">
        <v>2413</v>
      </c>
      <c r="G88" s="64" t="s">
        <v>2320</v>
      </c>
      <c r="H88" s="65" t="s">
        <v>1777</v>
      </c>
      <c r="I88" s="66" t="s">
        <v>1383</v>
      </c>
      <c r="J88" s="67">
        <v>722</v>
      </c>
      <c r="K88" s="68" t="s">
        <v>1326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1273</v>
      </c>
      <c r="C89" s="27" t="s">
        <v>1259</v>
      </c>
      <c r="D89" s="61" t="s">
        <v>2136</v>
      </c>
      <c r="E89" s="62" t="s">
        <v>399</v>
      </c>
      <c r="F89" s="63" t="s">
        <v>2414</v>
      </c>
      <c r="G89" s="64" t="s">
        <v>2321</v>
      </c>
      <c r="H89" s="65" t="s">
        <v>1778</v>
      </c>
      <c r="I89" s="66" t="s">
        <v>1384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1273</v>
      </c>
      <c r="C90" s="27" t="s">
        <v>1259</v>
      </c>
      <c r="D90" s="61" t="s">
        <v>2136</v>
      </c>
      <c r="E90" s="62" t="s">
        <v>399</v>
      </c>
      <c r="F90" s="63" t="s">
        <v>2415</v>
      </c>
      <c r="G90" s="64" t="s">
        <v>2322</v>
      </c>
      <c r="H90" s="65" t="s">
        <v>1779</v>
      </c>
      <c r="I90" s="66" t="s">
        <v>1385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1273</v>
      </c>
      <c r="C91" s="27" t="s">
        <v>1259</v>
      </c>
      <c r="D91" s="61" t="s">
        <v>2136</v>
      </c>
      <c r="E91" s="62" t="s">
        <v>399</v>
      </c>
      <c r="F91" s="63" t="s">
        <v>2416</v>
      </c>
      <c r="G91" s="64" t="s">
        <v>2323</v>
      </c>
      <c r="H91" s="65" t="s">
        <v>1780</v>
      </c>
      <c r="I91" s="66" t="s">
        <v>1386</v>
      </c>
      <c r="J91" s="67">
        <v>487</v>
      </c>
      <c r="K91" s="68" t="s">
        <v>1325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1273</v>
      </c>
      <c r="C92" s="27" t="s">
        <v>1259</v>
      </c>
      <c r="D92" s="61" t="s">
        <v>2136</v>
      </c>
      <c r="E92" s="62" t="s">
        <v>399</v>
      </c>
      <c r="F92" s="63" t="s">
        <v>2417</v>
      </c>
      <c r="G92" s="64" t="s">
        <v>2324</v>
      </c>
      <c r="H92" s="65" t="s">
        <v>1781</v>
      </c>
      <c r="I92" s="66" t="s">
        <v>1387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1273</v>
      </c>
      <c r="C93" s="27" t="s">
        <v>1259</v>
      </c>
      <c r="D93" s="61" t="s">
        <v>2136</v>
      </c>
      <c r="E93" s="62" t="s">
        <v>399</v>
      </c>
      <c r="F93" s="63" t="s">
        <v>2418</v>
      </c>
      <c r="G93" s="64" t="s">
        <v>2325</v>
      </c>
      <c r="H93" s="65" t="s">
        <v>1782</v>
      </c>
      <c r="I93" s="66" t="s">
        <v>1388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1273</v>
      </c>
      <c r="C94" s="72" t="s">
        <v>1259</v>
      </c>
      <c r="D94" s="73" t="s">
        <v>2136</v>
      </c>
      <c r="E94" s="74" t="s">
        <v>399</v>
      </c>
      <c r="F94" s="75" t="s">
        <v>2419</v>
      </c>
      <c r="G94" s="76" t="s">
        <v>2326</v>
      </c>
      <c r="H94" s="77" t="s">
        <v>1783</v>
      </c>
      <c r="I94" s="78" t="s">
        <v>1389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1332</v>
      </c>
      <c r="C95" s="14" t="s">
        <v>2178</v>
      </c>
      <c r="D95" s="15" t="s">
        <v>2188</v>
      </c>
      <c r="E95" s="16" t="s">
        <v>7</v>
      </c>
      <c r="F95" s="17" t="s">
        <v>1021</v>
      </c>
      <c r="G95" s="18" t="s">
        <v>1300</v>
      </c>
      <c r="H95" s="19" t="s">
        <v>39</v>
      </c>
      <c r="I95" s="20" t="s">
        <v>3054</v>
      </c>
      <c r="J95" s="21">
        <v>1440</v>
      </c>
      <c r="K95" s="22" t="s">
        <v>1327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1274</v>
      </c>
      <c r="C96" s="27" t="s">
        <v>1298</v>
      </c>
      <c r="D96" s="61" t="s">
        <v>2188</v>
      </c>
      <c r="E96" s="62" t="s">
        <v>399</v>
      </c>
      <c r="F96" s="63" t="s">
        <v>2420</v>
      </c>
      <c r="G96" s="64" t="s">
        <v>1301</v>
      </c>
      <c r="H96" s="65" t="s">
        <v>1784</v>
      </c>
      <c r="I96" s="66" t="s">
        <v>1390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1274</v>
      </c>
      <c r="C97" s="27" t="s">
        <v>1298</v>
      </c>
      <c r="D97" s="61" t="s">
        <v>2188</v>
      </c>
      <c r="E97" s="62" t="s">
        <v>399</v>
      </c>
      <c r="F97" s="63" t="s">
        <v>2421</v>
      </c>
      <c r="G97" s="64" t="s">
        <v>1302</v>
      </c>
      <c r="H97" s="65" t="s">
        <v>1785</v>
      </c>
      <c r="I97" s="66" t="s">
        <v>1391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1274</v>
      </c>
      <c r="C98" s="27" t="s">
        <v>1298</v>
      </c>
      <c r="D98" s="61" t="s">
        <v>2188</v>
      </c>
      <c r="E98" s="62" t="s">
        <v>399</v>
      </c>
      <c r="F98" s="63" t="s">
        <v>2422</v>
      </c>
      <c r="G98" s="64" t="s">
        <v>1303</v>
      </c>
      <c r="H98" s="65" t="s">
        <v>1786</v>
      </c>
      <c r="I98" s="66" t="s">
        <v>1392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1274</v>
      </c>
      <c r="C99" s="27" t="s">
        <v>1298</v>
      </c>
      <c r="D99" s="61" t="s">
        <v>2188</v>
      </c>
      <c r="E99" s="62" t="s">
        <v>399</v>
      </c>
      <c r="F99" s="63" t="s">
        <v>2423</v>
      </c>
      <c r="G99" s="64" t="s">
        <v>2310</v>
      </c>
      <c r="H99" s="65" t="s">
        <v>1796</v>
      </c>
      <c r="I99" s="66" t="s">
        <v>1402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1274</v>
      </c>
      <c r="C100" s="27" t="s">
        <v>1298</v>
      </c>
      <c r="D100" s="61" t="s">
        <v>2188</v>
      </c>
      <c r="E100" s="62" t="s">
        <v>399</v>
      </c>
      <c r="F100" s="63" t="s">
        <v>2424</v>
      </c>
      <c r="G100" s="64" t="s">
        <v>2312</v>
      </c>
      <c r="H100" s="65" t="s">
        <v>1797</v>
      </c>
      <c r="I100" s="66" t="s">
        <v>1403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1274</v>
      </c>
      <c r="C101" s="27" t="s">
        <v>1298</v>
      </c>
      <c r="D101" s="61" t="s">
        <v>2188</v>
      </c>
      <c r="E101" s="62" t="s">
        <v>399</v>
      </c>
      <c r="F101" s="63" t="s">
        <v>2425</v>
      </c>
      <c r="G101" s="64" t="s">
        <v>2314</v>
      </c>
      <c r="H101" s="65" t="s">
        <v>1798</v>
      </c>
      <c r="I101" s="66" t="s">
        <v>1404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1274</v>
      </c>
      <c r="C102" s="27" t="s">
        <v>1298</v>
      </c>
      <c r="D102" s="28" t="s">
        <v>2188</v>
      </c>
      <c r="E102" s="29" t="s">
        <v>399</v>
      </c>
      <c r="F102" s="30" t="s">
        <v>2426</v>
      </c>
      <c r="G102" s="31" t="s">
        <v>2315</v>
      </c>
      <c r="H102" s="32" t="s">
        <v>1799</v>
      </c>
      <c r="I102" s="33" t="s">
        <v>1405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1274</v>
      </c>
      <c r="C103" s="27" t="s">
        <v>1298</v>
      </c>
      <c r="D103" s="50" t="s">
        <v>2150</v>
      </c>
      <c r="E103" s="51" t="s">
        <v>7</v>
      </c>
      <c r="F103" s="52" t="s">
        <v>1021</v>
      </c>
      <c r="G103" s="53" t="s">
        <v>1300</v>
      </c>
      <c r="H103" s="54" t="s">
        <v>40</v>
      </c>
      <c r="I103" s="55" t="s">
        <v>3055</v>
      </c>
      <c r="J103" s="56">
        <v>2565</v>
      </c>
      <c r="K103" s="57" t="s">
        <v>1327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1274</v>
      </c>
      <c r="C104" s="27" t="s">
        <v>1298</v>
      </c>
      <c r="D104" s="61" t="s">
        <v>2150</v>
      </c>
      <c r="E104" s="62" t="s">
        <v>2771</v>
      </c>
      <c r="F104" s="63" t="s">
        <v>2239</v>
      </c>
      <c r="G104" s="64" t="s">
        <v>1301</v>
      </c>
      <c r="H104" s="65" t="s">
        <v>1088</v>
      </c>
      <c r="I104" s="66" t="s">
        <v>2788</v>
      </c>
      <c r="J104" s="67">
        <v>1708</v>
      </c>
      <c r="K104" s="68" t="s">
        <v>1327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1274</v>
      </c>
      <c r="C105" s="27" t="s">
        <v>1298</v>
      </c>
      <c r="D105" s="61" t="s">
        <v>2150</v>
      </c>
      <c r="E105" s="62" t="s">
        <v>2771</v>
      </c>
      <c r="F105" s="63" t="s">
        <v>2240</v>
      </c>
      <c r="G105" s="64" t="s">
        <v>1302</v>
      </c>
      <c r="H105" s="65" t="s">
        <v>1089</v>
      </c>
      <c r="I105" s="66" t="s">
        <v>2789</v>
      </c>
      <c r="J105" s="67">
        <v>1508</v>
      </c>
      <c r="K105" s="68" t="s">
        <v>1327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1274</v>
      </c>
      <c r="C106" s="27" t="s">
        <v>1298</v>
      </c>
      <c r="D106" s="61" t="s">
        <v>2150</v>
      </c>
      <c r="E106" s="62" t="s">
        <v>2771</v>
      </c>
      <c r="F106" s="63" t="s">
        <v>2299</v>
      </c>
      <c r="G106" s="64" t="s">
        <v>1303</v>
      </c>
      <c r="H106" s="65" t="s">
        <v>2304</v>
      </c>
      <c r="I106" s="66" t="s">
        <v>2790</v>
      </c>
      <c r="J106" s="67">
        <v>1016</v>
      </c>
      <c r="K106" s="68" t="s">
        <v>1325</v>
      </c>
      <c r="L106" s="260" t="s">
        <v>2309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1274</v>
      </c>
      <c r="C107" s="27" t="s">
        <v>1298</v>
      </c>
      <c r="D107" s="61" t="s">
        <v>2150</v>
      </c>
      <c r="E107" s="62" t="s">
        <v>399</v>
      </c>
      <c r="F107" s="63" t="s">
        <v>2427</v>
      </c>
      <c r="G107" s="64" t="s">
        <v>2310</v>
      </c>
      <c r="H107" s="65" t="s">
        <v>1787</v>
      </c>
      <c r="I107" s="66" t="s">
        <v>1393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1274</v>
      </c>
      <c r="C108" s="27" t="s">
        <v>1298</v>
      </c>
      <c r="D108" s="61" t="s">
        <v>2150</v>
      </c>
      <c r="E108" s="62" t="s">
        <v>399</v>
      </c>
      <c r="F108" s="63" t="s">
        <v>2428</v>
      </c>
      <c r="G108" s="64" t="s">
        <v>2311</v>
      </c>
      <c r="H108" s="65" t="s">
        <v>1788</v>
      </c>
      <c r="I108" s="66" t="s">
        <v>1394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1274</v>
      </c>
      <c r="C109" s="27" t="s">
        <v>1298</v>
      </c>
      <c r="D109" s="28" t="s">
        <v>2150</v>
      </c>
      <c r="E109" s="29" t="s">
        <v>399</v>
      </c>
      <c r="F109" s="30" t="s">
        <v>2429</v>
      </c>
      <c r="G109" s="31" t="s">
        <v>2312</v>
      </c>
      <c r="H109" s="32" t="s">
        <v>1789</v>
      </c>
      <c r="I109" s="33" t="s">
        <v>1395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1274</v>
      </c>
      <c r="C110" s="27" t="s">
        <v>1298</v>
      </c>
      <c r="D110" s="50" t="s">
        <v>2137</v>
      </c>
      <c r="E110" s="51" t="s">
        <v>7</v>
      </c>
      <c r="F110" s="52" t="s">
        <v>1021</v>
      </c>
      <c r="G110" s="53" t="s">
        <v>1300</v>
      </c>
      <c r="H110" s="54" t="s">
        <v>41</v>
      </c>
      <c r="I110" s="55" t="s">
        <v>3056</v>
      </c>
      <c r="J110" s="56">
        <v>2433</v>
      </c>
      <c r="K110" s="57" t="s">
        <v>1326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1274</v>
      </c>
      <c r="C111" s="27" t="s">
        <v>1298</v>
      </c>
      <c r="D111" s="61" t="s">
        <v>2137</v>
      </c>
      <c r="E111" s="62" t="s">
        <v>1193</v>
      </c>
      <c r="F111" s="63" t="s">
        <v>102</v>
      </c>
      <c r="G111" s="64" t="s">
        <v>1301</v>
      </c>
      <c r="H111" s="65" t="s">
        <v>1205</v>
      </c>
      <c r="I111" s="66" t="s">
        <v>1206</v>
      </c>
      <c r="J111" s="67">
        <v>1668</v>
      </c>
      <c r="K111" s="68" t="s">
        <v>1326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1274</v>
      </c>
      <c r="C112" s="27" t="s">
        <v>1298</v>
      </c>
      <c r="D112" s="61" t="s">
        <v>2137</v>
      </c>
      <c r="E112" s="62" t="s">
        <v>1193</v>
      </c>
      <c r="F112" s="63" t="s">
        <v>1102</v>
      </c>
      <c r="G112" s="64" t="s">
        <v>1302</v>
      </c>
      <c r="H112" s="65" t="s">
        <v>2765</v>
      </c>
      <c r="I112" s="66" t="s">
        <v>2766</v>
      </c>
      <c r="J112" s="67">
        <v>1580</v>
      </c>
      <c r="K112" s="68" t="s">
        <v>1326</v>
      </c>
      <c r="L112" s="260" t="s">
        <v>2309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1274</v>
      </c>
      <c r="C113" s="27" t="s">
        <v>1298</v>
      </c>
      <c r="D113" s="61" t="s">
        <v>2137</v>
      </c>
      <c r="E113" s="62" t="s">
        <v>1193</v>
      </c>
      <c r="F113" s="63" t="s">
        <v>101</v>
      </c>
      <c r="G113" s="64" t="s">
        <v>1303</v>
      </c>
      <c r="H113" s="65" t="s">
        <v>1203</v>
      </c>
      <c r="I113" s="66" t="s">
        <v>1204</v>
      </c>
      <c r="J113" s="67">
        <v>1109</v>
      </c>
      <c r="K113" s="68" t="s">
        <v>1326</v>
      </c>
      <c r="L113" s="260" t="s">
        <v>2309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1274</v>
      </c>
      <c r="C114" s="27" t="s">
        <v>1298</v>
      </c>
      <c r="D114" s="61" t="s">
        <v>2137</v>
      </c>
      <c r="E114" s="62" t="s">
        <v>399</v>
      </c>
      <c r="F114" s="63" t="s">
        <v>2430</v>
      </c>
      <c r="G114" s="64" t="s">
        <v>2310</v>
      </c>
      <c r="H114" s="65" t="s">
        <v>1790</v>
      </c>
      <c r="I114" s="66" t="s">
        <v>1396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1274</v>
      </c>
      <c r="C115" s="27" t="s">
        <v>1298</v>
      </c>
      <c r="D115" s="61" t="s">
        <v>2137</v>
      </c>
      <c r="E115" s="62" t="s">
        <v>399</v>
      </c>
      <c r="F115" s="63" t="s">
        <v>2431</v>
      </c>
      <c r="G115" s="64" t="s">
        <v>2311</v>
      </c>
      <c r="H115" s="65" t="s">
        <v>1791</v>
      </c>
      <c r="I115" s="66" t="s">
        <v>1397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1274</v>
      </c>
      <c r="C116" s="27" t="s">
        <v>1298</v>
      </c>
      <c r="D116" s="61" t="s">
        <v>2137</v>
      </c>
      <c r="E116" s="62" t="s">
        <v>399</v>
      </c>
      <c r="F116" s="63" t="s">
        <v>2432</v>
      </c>
      <c r="G116" s="64" t="s">
        <v>2312</v>
      </c>
      <c r="H116" s="65" t="s">
        <v>1792</v>
      </c>
      <c r="I116" s="66" t="s">
        <v>1398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1274</v>
      </c>
      <c r="C117" s="27" t="s">
        <v>1298</v>
      </c>
      <c r="D117" s="61" t="s">
        <v>2137</v>
      </c>
      <c r="E117" s="62" t="s">
        <v>399</v>
      </c>
      <c r="F117" s="63" t="s">
        <v>2433</v>
      </c>
      <c r="G117" s="64" t="s">
        <v>2313</v>
      </c>
      <c r="H117" s="65" t="s">
        <v>1793</v>
      </c>
      <c r="I117" s="66" t="s">
        <v>1399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1274</v>
      </c>
      <c r="C118" s="27" t="s">
        <v>1298</v>
      </c>
      <c r="D118" s="61" t="s">
        <v>2137</v>
      </c>
      <c r="E118" s="62" t="s">
        <v>399</v>
      </c>
      <c r="F118" s="63" t="s">
        <v>2434</v>
      </c>
      <c r="G118" s="64" t="s">
        <v>2314</v>
      </c>
      <c r="H118" s="65" t="s">
        <v>1794</v>
      </c>
      <c r="I118" s="66" t="s">
        <v>1400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1274</v>
      </c>
      <c r="C119" s="27" t="s">
        <v>1298</v>
      </c>
      <c r="D119" s="61" t="s">
        <v>2137</v>
      </c>
      <c r="E119" s="62" t="s">
        <v>399</v>
      </c>
      <c r="F119" s="63" t="s">
        <v>2435</v>
      </c>
      <c r="G119" s="64" t="s">
        <v>2315</v>
      </c>
      <c r="H119" s="65" t="s">
        <v>1795</v>
      </c>
      <c r="I119" s="66" t="s">
        <v>1401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1274</v>
      </c>
      <c r="C120" s="27" t="s">
        <v>1298</v>
      </c>
      <c r="D120" s="61" t="s">
        <v>2137</v>
      </c>
      <c r="E120" s="62" t="s">
        <v>399</v>
      </c>
      <c r="F120" s="63" t="s">
        <v>2436</v>
      </c>
      <c r="G120" s="64" t="s">
        <v>2316</v>
      </c>
      <c r="H120" s="65" t="s">
        <v>1800</v>
      </c>
      <c r="I120" s="66" t="s">
        <v>1406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1274</v>
      </c>
      <c r="C121" s="27" t="s">
        <v>1298</v>
      </c>
      <c r="D121" s="61" t="s">
        <v>2137</v>
      </c>
      <c r="E121" s="62" t="s">
        <v>399</v>
      </c>
      <c r="F121" s="63" t="s">
        <v>2437</v>
      </c>
      <c r="G121" s="64" t="s">
        <v>2317</v>
      </c>
      <c r="H121" s="65" t="s">
        <v>1801</v>
      </c>
      <c r="I121" s="66" t="s">
        <v>1407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1274</v>
      </c>
      <c r="C122" s="27" t="s">
        <v>1298</v>
      </c>
      <c r="D122" s="61" t="s">
        <v>2137</v>
      </c>
      <c r="E122" s="62" t="s">
        <v>399</v>
      </c>
      <c r="F122" s="63" t="s">
        <v>2438</v>
      </c>
      <c r="G122" s="64" t="s">
        <v>2318</v>
      </c>
      <c r="H122" s="65" t="s">
        <v>1802</v>
      </c>
      <c r="I122" s="66" t="s">
        <v>1408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1274</v>
      </c>
      <c r="C123" s="27" t="s">
        <v>1298</v>
      </c>
      <c r="D123" s="61" t="s">
        <v>2137</v>
      </c>
      <c r="E123" s="62" t="s">
        <v>399</v>
      </c>
      <c r="F123" s="63" t="s">
        <v>2439</v>
      </c>
      <c r="G123" s="64" t="s">
        <v>2319</v>
      </c>
      <c r="H123" s="65" t="s">
        <v>1803</v>
      </c>
      <c r="I123" s="66" t="s">
        <v>1409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1274</v>
      </c>
      <c r="C124" s="27" t="s">
        <v>1298</v>
      </c>
      <c r="D124" s="61" t="s">
        <v>2137</v>
      </c>
      <c r="E124" s="62" t="s">
        <v>399</v>
      </c>
      <c r="F124" s="63" t="s">
        <v>2440</v>
      </c>
      <c r="G124" s="64" t="s">
        <v>2320</v>
      </c>
      <c r="H124" s="65" t="s">
        <v>1804</v>
      </c>
      <c r="I124" s="66" t="s">
        <v>1410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1274</v>
      </c>
      <c r="C125" s="27" t="s">
        <v>1298</v>
      </c>
      <c r="D125" s="61" t="s">
        <v>2137</v>
      </c>
      <c r="E125" s="62" t="s">
        <v>399</v>
      </c>
      <c r="F125" s="63" t="s">
        <v>2441</v>
      </c>
      <c r="G125" s="64" t="s">
        <v>2321</v>
      </c>
      <c r="H125" s="65" t="s">
        <v>1805</v>
      </c>
      <c r="I125" s="66" t="s">
        <v>1411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1274</v>
      </c>
      <c r="C126" s="27" t="s">
        <v>1298</v>
      </c>
      <c r="D126" s="28" t="s">
        <v>2137</v>
      </c>
      <c r="E126" s="29" t="s">
        <v>399</v>
      </c>
      <c r="F126" s="30" t="s">
        <v>2442</v>
      </c>
      <c r="G126" s="31" t="s">
        <v>2322</v>
      </c>
      <c r="H126" s="32" t="s">
        <v>1806</v>
      </c>
      <c r="I126" s="33" t="s">
        <v>1412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1274</v>
      </c>
      <c r="C127" s="27" t="s">
        <v>1298</v>
      </c>
      <c r="D127" s="50" t="s">
        <v>2151</v>
      </c>
      <c r="E127" s="51" t="s">
        <v>7</v>
      </c>
      <c r="F127" s="52" t="s">
        <v>1021</v>
      </c>
      <c r="G127" s="53" t="s">
        <v>1300</v>
      </c>
      <c r="H127" s="54" t="s">
        <v>42</v>
      </c>
      <c r="I127" s="55" t="s">
        <v>3057</v>
      </c>
      <c r="J127" s="56">
        <v>2609</v>
      </c>
      <c r="K127" s="57" t="s">
        <v>1327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1274</v>
      </c>
      <c r="C128" s="27" t="s">
        <v>1298</v>
      </c>
      <c r="D128" s="61" t="s">
        <v>2151</v>
      </c>
      <c r="E128" s="62" t="s">
        <v>2771</v>
      </c>
      <c r="F128" s="63" t="s">
        <v>2241</v>
      </c>
      <c r="G128" s="64" t="s">
        <v>1301</v>
      </c>
      <c r="H128" s="65" t="s">
        <v>147</v>
      </c>
      <c r="I128" s="66" t="s">
        <v>2786</v>
      </c>
      <c r="J128" s="67">
        <v>1348</v>
      </c>
      <c r="K128" s="68" t="s">
        <v>1327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1274</v>
      </c>
      <c r="C129" s="27" t="s">
        <v>1298</v>
      </c>
      <c r="D129" s="61" t="s">
        <v>2151</v>
      </c>
      <c r="E129" s="62" t="s">
        <v>2771</v>
      </c>
      <c r="F129" s="63" t="s">
        <v>2242</v>
      </c>
      <c r="G129" s="64" t="s">
        <v>1302</v>
      </c>
      <c r="H129" s="65" t="s">
        <v>148</v>
      </c>
      <c r="I129" s="66" t="s">
        <v>2787</v>
      </c>
      <c r="J129" s="67">
        <v>1482</v>
      </c>
      <c r="K129" s="68" t="s">
        <v>1327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1274</v>
      </c>
      <c r="C130" s="27" t="s">
        <v>1298</v>
      </c>
      <c r="D130" s="61" t="s">
        <v>2151</v>
      </c>
      <c r="E130" s="62" t="s">
        <v>399</v>
      </c>
      <c r="F130" s="63" t="s">
        <v>2443</v>
      </c>
      <c r="G130" s="64" t="s">
        <v>1303</v>
      </c>
      <c r="H130" s="65" t="s">
        <v>1807</v>
      </c>
      <c r="I130" s="66" t="s">
        <v>1413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1274</v>
      </c>
      <c r="C131" s="27" t="s">
        <v>1298</v>
      </c>
      <c r="D131" s="61" t="s">
        <v>2151</v>
      </c>
      <c r="E131" s="62" t="s">
        <v>399</v>
      </c>
      <c r="F131" s="63" t="s">
        <v>2444</v>
      </c>
      <c r="G131" s="64" t="s">
        <v>2310</v>
      </c>
      <c r="H131" s="65" t="s">
        <v>1808</v>
      </c>
      <c r="I131" s="66" t="s">
        <v>1414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1274</v>
      </c>
      <c r="C132" s="27" t="s">
        <v>1298</v>
      </c>
      <c r="D132" s="61" t="s">
        <v>2151</v>
      </c>
      <c r="E132" s="62" t="s">
        <v>399</v>
      </c>
      <c r="F132" s="63" t="s">
        <v>2445</v>
      </c>
      <c r="G132" s="64" t="s">
        <v>2311</v>
      </c>
      <c r="H132" s="65" t="s">
        <v>1809</v>
      </c>
      <c r="I132" s="66" t="s">
        <v>1415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1274</v>
      </c>
      <c r="C133" s="27" t="s">
        <v>1298</v>
      </c>
      <c r="D133" s="61" t="s">
        <v>2151</v>
      </c>
      <c r="E133" s="62" t="s">
        <v>399</v>
      </c>
      <c r="F133" s="63" t="s">
        <v>2446</v>
      </c>
      <c r="G133" s="64" t="s">
        <v>2312</v>
      </c>
      <c r="H133" s="65" t="s">
        <v>1810</v>
      </c>
      <c r="I133" s="66" t="s">
        <v>1416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1274</v>
      </c>
      <c r="C134" s="27" t="s">
        <v>1298</v>
      </c>
      <c r="D134" s="61" t="s">
        <v>2151</v>
      </c>
      <c r="E134" s="62" t="s">
        <v>399</v>
      </c>
      <c r="F134" s="63" t="s">
        <v>2447</v>
      </c>
      <c r="G134" s="64" t="s">
        <v>2313</v>
      </c>
      <c r="H134" s="65" t="s">
        <v>1811</v>
      </c>
      <c r="I134" s="66" t="s">
        <v>1417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1274</v>
      </c>
      <c r="C135" s="27" t="s">
        <v>1298</v>
      </c>
      <c r="D135" s="61" t="s">
        <v>2151</v>
      </c>
      <c r="E135" s="62" t="s">
        <v>399</v>
      </c>
      <c r="F135" s="63" t="s">
        <v>2448</v>
      </c>
      <c r="G135" s="64" t="s">
        <v>2314</v>
      </c>
      <c r="H135" s="65" t="s">
        <v>1812</v>
      </c>
      <c r="I135" s="66" t="s">
        <v>1418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1274</v>
      </c>
      <c r="C136" s="27" t="s">
        <v>1298</v>
      </c>
      <c r="D136" s="61" t="s">
        <v>2151</v>
      </c>
      <c r="E136" s="62" t="s">
        <v>399</v>
      </c>
      <c r="F136" s="63" t="s">
        <v>2449</v>
      </c>
      <c r="G136" s="64" t="s">
        <v>2315</v>
      </c>
      <c r="H136" s="65" t="s">
        <v>1813</v>
      </c>
      <c r="I136" s="66" t="s">
        <v>1419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1274</v>
      </c>
      <c r="C137" s="27" t="s">
        <v>1298</v>
      </c>
      <c r="D137" s="61" t="s">
        <v>2151</v>
      </c>
      <c r="E137" s="62" t="s">
        <v>399</v>
      </c>
      <c r="F137" s="63" t="s">
        <v>2450</v>
      </c>
      <c r="G137" s="64" t="s">
        <v>2316</v>
      </c>
      <c r="H137" s="65" t="s">
        <v>1814</v>
      </c>
      <c r="I137" s="66" t="s">
        <v>1420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1274</v>
      </c>
      <c r="C138" s="27" t="s">
        <v>1298</v>
      </c>
      <c r="D138" s="61" t="s">
        <v>2151</v>
      </c>
      <c r="E138" s="62" t="s">
        <v>399</v>
      </c>
      <c r="F138" s="63" t="s">
        <v>2451</v>
      </c>
      <c r="G138" s="64" t="s">
        <v>2317</v>
      </c>
      <c r="H138" s="65" t="s">
        <v>1815</v>
      </c>
      <c r="I138" s="66" t="s">
        <v>1421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1274</v>
      </c>
      <c r="C139" s="27" t="s">
        <v>1298</v>
      </c>
      <c r="D139" s="61" t="s">
        <v>2151</v>
      </c>
      <c r="E139" s="62" t="s">
        <v>399</v>
      </c>
      <c r="F139" s="63" t="s">
        <v>2452</v>
      </c>
      <c r="G139" s="64" t="s">
        <v>2318</v>
      </c>
      <c r="H139" s="65" t="s">
        <v>1816</v>
      </c>
      <c r="I139" s="66" t="s">
        <v>1422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1274</v>
      </c>
      <c r="C140" s="27" t="s">
        <v>1298</v>
      </c>
      <c r="D140" s="61" t="s">
        <v>2151</v>
      </c>
      <c r="E140" s="62" t="s">
        <v>399</v>
      </c>
      <c r="F140" s="63" t="s">
        <v>2453</v>
      </c>
      <c r="G140" s="64" t="s">
        <v>2319</v>
      </c>
      <c r="H140" s="65" t="s">
        <v>1817</v>
      </c>
      <c r="I140" s="66" t="s">
        <v>1423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1274</v>
      </c>
      <c r="C141" s="27" t="s">
        <v>1298</v>
      </c>
      <c r="D141" s="61" t="s">
        <v>2151</v>
      </c>
      <c r="E141" s="62" t="s">
        <v>399</v>
      </c>
      <c r="F141" s="63" t="s">
        <v>2454</v>
      </c>
      <c r="G141" s="64" t="s">
        <v>2320</v>
      </c>
      <c r="H141" s="65" t="s">
        <v>1818</v>
      </c>
      <c r="I141" s="66" t="s">
        <v>1424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1274</v>
      </c>
      <c r="C142" s="27" t="s">
        <v>1298</v>
      </c>
      <c r="D142" s="28" t="s">
        <v>2151</v>
      </c>
      <c r="E142" s="29" t="s">
        <v>399</v>
      </c>
      <c r="F142" s="30" t="s">
        <v>2455</v>
      </c>
      <c r="G142" s="31" t="s">
        <v>2321</v>
      </c>
      <c r="H142" s="32" t="s">
        <v>1819</v>
      </c>
      <c r="I142" s="33" t="s">
        <v>1425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1274</v>
      </c>
      <c r="C143" s="27" t="s">
        <v>1298</v>
      </c>
      <c r="D143" s="50" t="s">
        <v>2152</v>
      </c>
      <c r="E143" s="51" t="s">
        <v>7</v>
      </c>
      <c r="F143" s="52" t="s">
        <v>1021</v>
      </c>
      <c r="G143" s="53" t="s">
        <v>1300</v>
      </c>
      <c r="H143" s="54" t="s">
        <v>43</v>
      </c>
      <c r="I143" s="55" t="s">
        <v>3058</v>
      </c>
      <c r="J143" s="56">
        <v>1191</v>
      </c>
      <c r="K143" s="57" t="s">
        <v>1327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1274</v>
      </c>
      <c r="C144" s="27" t="s">
        <v>1298</v>
      </c>
      <c r="D144" s="61" t="s">
        <v>2152</v>
      </c>
      <c r="E144" s="62" t="s">
        <v>2771</v>
      </c>
      <c r="F144" s="63" t="s">
        <v>2243</v>
      </c>
      <c r="G144" s="64" t="s">
        <v>1301</v>
      </c>
      <c r="H144" s="65" t="s">
        <v>149</v>
      </c>
      <c r="I144" s="66" t="s">
        <v>2784</v>
      </c>
      <c r="J144" s="67">
        <v>1281</v>
      </c>
      <c r="K144" s="68" t="s">
        <v>1327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1274</v>
      </c>
      <c r="C145" s="27" t="s">
        <v>1298</v>
      </c>
      <c r="D145" s="28" t="s">
        <v>2152</v>
      </c>
      <c r="E145" s="29" t="s">
        <v>2771</v>
      </c>
      <c r="F145" s="30" t="s">
        <v>2244</v>
      </c>
      <c r="G145" s="31" t="s">
        <v>1302</v>
      </c>
      <c r="H145" s="32" t="s">
        <v>150</v>
      </c>
      <c r="I145" s="33" t="s">
        <v>2785</v>
      </c>
      <c r="J145" s="34">
        <v>1408</v>
      </c>
      <c r="K145" s="35" t="s">
        <v>1325</v>
      </c>
      <c r="L145" s="257" t="s">
        <v>2883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1274</v>
      </c>
      <c r="C146" s="27" t="s">
        <v>1298</v>
      </c>
      <c r="D146" s="50" t="s">
        <v>2153</v>
      </c>
      <c r="E146" s="51" t="s">
        <v>7</v>
      </c>
      <c r="F146" s="52" t="s">
        <v>1021</v>
      </c>
      <c r="G146" s="53" t="s">
        <v>1300</v>
      </c>
      <c r="H146" s="54" t="s">
        <v>44</v>
      </c>
      <c r="I146" s="55" t="s">
        <v>3059</v>
      </c>
      <c r="J146" s="56">
        <v>1512</v>
      </c>
      <c r="K146" s="57" t="s">
        <v>1327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1274</v>
      </c>
      <c r="C147" s="27" t="s">
        <v>1298</v>
      </c>
      <c r="D147" s="61" t="s">
        <v>2153</v>
      </c>
      <c r="E147" s="62" t="s">
        <v>2771</v>
      </c>
      <c r="F147" s="63" t="s">
        <v>2245</v>
      </c>
      <c r="G147" s="64" t="s">
        <v>1301</v>
      </c>
      <c r="H147" s="65" t="s">
        <v>151</v>
      </c>
      <c r="I147" s="66" t="s">
        <v>2782</v>
      </c>
      <c r="J147" s="67">
        <v>1444</v>
      </c>
      <c r="K147" s="68" t="s">
        <v>1327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1274</v>
      </c>
      <c r="C148" s="27" t="s">
        <v>1298</v>
      </c>
      <c r="D148" s="28" t="s">
        <v>2153</v>
      </c>
      <c r="E148" s="29" t="s">
        <v>2771</v>
      </c>
      <c r="F148" s="30" t="s">
        <v>2246</v>
      </c>
      <c r="G148" s="31" t="s">
        <v>1302</v>
      </c>
      <c r="H148" s="32" t="s">
        <v>152</v>
      </c>
      <c r="I148" s="33" t="s">
        <v>2783</v>
      </c>
      <c r="J148" s="34">
        <v>1482</v>
      </c>
      <c r="K148" s="35" t="s">
        <v>1327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1274</v>
      </c>
      <c r="C149" s="27" t="s">
        <v>1298</v>
      </c>
      <c r="D149" s="50" t="s">
        <v>2141</v>
      </c>
      <c r="E149" s="51" t="s">
        <v>7</v>
      </c>
      <c r="F149" s="52" t="s">
        <v>1021</v>
      </c>
      <c r="G149" s="53" t="s">
        <v>1300</v>
      </c>
      <c r="H149" s="54" t="s">
        <v>45</v>
      </c>
      <c r="I149" s="55" t="s">
        <v>3060</v>
      </c>
      <c r="J149" s="56">
        <v>2421</v>
      </c>
      <c r="K149" s="57" t="s">
        <v>1325</v>
      </c>
      <c r="L149" s="259" t="s">
        <v>2297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1274</v>
      </c>
      <c r="C150" s="27" t="s">
        <v>1298</v>
      </c>
      <c r="D150" s="61" t="s">
        <v>2141</v>
      </c>
      <c r="E150" s="62" t="s">
        <v>1193</v>
      </c>
      <c r="F150" s="63" t="s">
        <v>103</v>
      </c>
      <c r="G150" s="64" t="s">
        <v>1301</v>
      </c>
      <c r="H150" s="65" t="s">
        <v>1209</v>
      </c>
      <c r="I150" s="66" t="s">
        <v>1210</v>
      </c>
      <c r="J150" s="67">
        <v>1524</v>
      </c>
      <c r="K150" s="68" t="s">
        <v>1325</v>
      </c>
      <c r="L150" s="260" t="s">
        <v>2309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1274</v>
      </c>
      <c r="C151" s="27" t="s">
        <v>1298</v>
      </c>
      <c r="D151" s="61" t="s">
        <v>2141</v>
      </c>
      <c r="E151" s="62" t="s">
        <v>1193</v>
      </c>
      <c r="F151" s="63" t="s">
        <v>1103</v>
      </c>
      <c r="G151" s="64" t="s">
        <v>1302</v>
      </c>
      <c r="H151" s="65" t="s">
        <v>1323</v>
      </c>
      <c r="I151" s="66" t="s">
        <v>1324</v>
      </c>
      <c r="J151" s="67">
        <v>2001</v>
      </c>
      <c r="K151" s="68" t="s">
        <v>1326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1274</v>
      </c>
      <c r="C152" s="27" t="s">
        <v>1298</v>
      </c>
      <c r="D152" s="61" t="s">
        <v>2141</v>
      </c>
      <c r="E152" s="62" t="s">
        <v>399</v>
      </c>
      <c r="F152" s="63" t="s">
        <v>2456</v>
      </c>
      <c r="G152" s="64" t="s">
        <v>1303</v>
      </c>
      <c r="H152" s="65" t="s">
        <v>1822</v>
      </c>
      <c r="I152" s="66" t="s">
        <v>1428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1274</v>
      </c>
      <c r="C153" s="27" t="s">
        <v>1298</v>
      </c>
      <c r="D153" s="61" t="s">
        <v>2141</v>
      </c>
      <c r="E153" s="62" t="s">
        <v>399</v>
      </c>
      <c r="F153" s="63" t="s">
        <v>2457</v>
      </c>
      <c r="G153" s="64" t="s">
        <v>2310</v>
      </c>
      <c r="H153" s="65" t="s">
        <v>1824</v>
      </c>
      <c r="I153" s="66" t="s">
        <v>1430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1274</v>
      </c>
      <c r="C154" s="27" t="s">
        <v>1298</v>
      </c>
      <c r="D154" s="61" t="s">
        <v>2141</v>
      </c>
      <c r="E154" s="62" t="s">
        <v>399</v>
      </c>
      <c r="F154" s="63" t="s">
        <v>2458</v>
      </c>
      <c r="G154" s="64" t="s">
        <v>2311</v>
      </c>
      <c r="H154" s="65" t="s">
        <v>1825</v>
      </c>
      <c r="I154" s="66" t="s">
        <v>1431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1274</v>
      </c>
      <c r="C155" s="27" t="s">
        <v>1298</v>
      </c>
      <c r="D155" s="61" t="s">
        <v>2141</v>
      </c>
      <c r="E155" s="62" t="s">
        <v>399</v>
      </c>
      <c r="F155" s="63" t="s">
        <v>2459</v>
      </c>
      <c r="G155" s="64" t="s">
        <v>2312</v>
      </c>
      <c r="H155" s="65" t="s">
        <v>1826</v>
      </c>
      <c r="I155" s="66" t="s">
        <v>1432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1274</v>
      </c>
      <c r="C156" s="27" t="s">
        <v>1298</v>
      </c>
      <c r="D156" s="61" t="s">
        <v>2141</v>
      </c>
      <c r="E156" s="62" t="s">
        <v>399</v>
      </c>
      <c r="F156" s="63" t="s">
        <v>2460</v>
      </c>
      <c r="G156" s="64" t="s">
        <v>2313</v>
      </c>
      <c r="H156" s="65" t="s">
        <v>1827</v>
      </c>
      <c r="I156" s="66" t="s">
        <v>1433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1274</v>
      </c>
      <c r="C157" s="27" t="s">
        <v>1298</v>
      </c>
      <c r="D157" s="61" t="s">
        <v>2141</v>
      </c>
      <c r="E157" s="62" t="s">
        <v>399</v>
      </c>
      <c r="F157" s="63" t="s">
        <v>2461</v>
      </c>
      <c r="G157" s="64" t="s">
        <v>2314</v>
      </c>
      <c r="H157" s="65" t="s">
        <v>1828</v>
      </c>
      <c r="I157" s="66" t="s">
        <v>1434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1274</v>
      </c>
      <c r="C158" s="27" t="s">
        <v>1298</v>
      </c>
      <c r="D158" s="61" t="s">
        <v>2141</v>
      </c>
      <c r="E158" s="62" t="s">
        <v>399</v>
      </c>
      <c r="F158" s="63" t="s">
        <v>2462</v>
      </c>
      <c r="G158" s="64" t="s">
        <v>2315</v>
      </c>
      <c r="H158" s="65" t="s">
        <v>1829</v>
      </c>
      <c r="I158" s="66" t="s">
        <v>1435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1274</v>
      </c>
      <c r="C159" s="27" t="s">
        <v>1298</v>
      </c>
      <c r="D159" s="61" t="s">
        <v>2141</v>
      </c>
      <c r="E159" s="62" t="s">
        <v>399</v>
      </c>
      <c r="F159" s="63" t="s">
        <v>2463</v>
      </c>
      <c r="G159" s="64" t="s">
        <v>2316</v>
      </c>
      <c r="H159" s="65" t="s">
        <v>1830</v>
      </c>
      <c r="I159" s="66" t="s">
        <v>1436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1274</v>
      </c>
      <c r="C160" s="27" t="s">
        <v>1298</v>
      </c>
      <c r="D160" s="28" t="s">
        <v>2141</v>
      </c>
      <c r="E160" s="29" t="s">
        <v>399</v>
      </c>
      <c r="F160" s="30" t="s">
        <v>2464</v>
      </c>
      <c r="G160" s="31" t="s">
        <v>2317</v>
      </c>
      <c r="H160" s="32" t="s">
        <v>1831</v>
      </c>
      <c r="I160" s="33" t="s">
        <v>1437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1274</v>
      </c>
      <c r="C161" s="27" t="s">
        <v>1298</v>
      </c>
      <c r="D161" s="50" t="s">
        <v>2147</v>
      </c>
      <c r="E161" s="51" t="s">
        <v>7</v>
      </c>
      <c r="F161" s="52" t="s">
        <v>1021</v>
      </c>
      <c r="G161" s="53" t="s">
        <v>1300</v>
      </c>
      <c r="H161" s="54" t="s">
        <v>46</v>
      </c>
      <c r="I161" s="55" t="s">
        <v>3061</v>
      </c>
      <c r="J161" s="56">
        <v>2764</v>
      </c>
      <c r="K161" s="57" t="s">
        <v>1327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1274</v>
      </c>
      <c r="C162" s="27" t="s">
        <v>1298</v>
      </c>
      <c r="D162" s="61" t="s">
        <v>2147</v>
      </c>
      <c r="E162" s="62" t="s">
        <v>1193</v>
      </c>
      <c r="F162" s="63" t="s">
        <v>1104</v>
      </c>
      <c r="G162" s="64" t="s">
        <v>1301</v>
      </c>
      <c r="H162" s="65" t="s">
        <v>104</v>
      </c>
      <c r="I162" s="66" t="s">
        <v>1003</v>
      </c>
      <c r="J162" s="67">
        <v>2040</v>
      </c>
      <c r="K162" s="68" t="s">
        <v>1327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1274</v>
      </c>
      <c r="C163" s="27" t="s">
        <v>1298</v>
      </c>
      <c r="D163" s="61" t="s">
        <v>2147</v>
      </c>
      <c r="E163" s="62" t="s">
        <v>399</v>
      </c>
      <c r="F163" s="63" t="s">
        <v>2465</v>
      </c>
      <c r="G163" s="64" t="s">
        <v>1302</v>
      </c>
      <c r="H163" s="65" t="s">
        <v>1820</v>
      </c>
      <c r="I163" s="66" t="s">
        <v>1426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1274</v>
      </c>
      <c r="C164" s="27" t="s">
        <v>1298</v>
      </c>
      <c r="D164" s="61" t="s">
        <v>2147</v>
      </c>
      <c r="E164" s="62" t="s">
        <v>399</v>
      </c>
      <c r="F164" s="63" t="s">
        <v>2466</v>
      </c>
      <c r="G164" s="64" t="s">
        <v>1303</v>
      </c>
      <c r="H164" s="65" t="s">
        <v>1821</v>
      </c>
      <c r="I164" s="66" t="s">
        <v>1427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1274</v>
      </c>
      <c r="C165" s="72" t="s">
        <v>1298</v>
      </c>
      <c r="D165" s="73" t="s">
        <v>2147</v>
      </c>
      <c r="E165" s="74" t="s">
        <v>399</v>
      </c>
      <c r="F165" s="75" t="s">
        <v>2467</v>
      </c>
      <c r="G165" s="76" t="s">
        <v>2310</v>
      </c>
      <c r="H165" s="77" t="s">
        <v>1823</v>
      </c>
      <c r="I165" s="78" t="s">
        <v>1429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1274</v>
      </c>
      <c r="C166" s="14" t="s">
        <v>1262</v>
      </c>
      <c r="D166" s="84" t="s">
        <v>2190</v>
      </c>
      <c r="E166" s="85" t="s">
        <v>7</v>
      </c>
      <c r="F166" s="86" t="s">
        <v>1063</v>
      </c>
      <c r="G166" s="87" t="s">
        <v>1300</v>
      </c>
      <c r="H166" s="88" t="s">
        <v>47</v>
      </c>
      <c r="I166" s="89" t="s">
        <v>3062</v>
      </c>
      <c r="J166" s="90">
        <v>1439</v>
      </c>
      <c r="K166" s="91" t="s">
        <v>1327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1274</v>
      </c>
      <c r="C167" s="27" t="s">
        <v>1261</v>
      </c>
      <c r="D167" s="50" t="s">
        <v>2144</v>
      </c>
      <c r="E167" s="51" t="s">
        <v>7</v>
      </c>
      <c r="F167" s="52" t="s">
        <v>1063</v>
      </c>
      <c r="G167" s="53" t="s">
        <v>1300</v>
      </c>
      <c r="H167" s="54" t="s">
        <v>48</v>
      </c>
      <c r="I167" s="55" t="s">
        <v>3063</v>
      </c>
      <c r="J167" s="56">
        <v>2777</v>
      </c>
      <c r="K167" s="57" t="s">
        <v>1325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1274</v>
      </c>
      <c r="C168" s="27" t="s">
        <v>1261</v>
      </c>
      <c r="D168" s="61" t="s">
        <v>2144</v>
      </c>
      <c r="E168" s="62" t="s">
        <v>1193</v>
      </c>
      <c r="F168" s="63" t="s">
        <v>107</v>
      </c>
      <c r="G168" s="64" t="s">
        <v>1301</v>
      </c>
      <c r="H168" s="65" t="s">
        <v>105</v>
      </c>
      <c r="I168" s="66" t="s">
        <v>1004</v>
      </c>
      <c r="J168" s="67">
        <v>1571</v>
      </c>
      <c r="K168" s="68" t="s">
        <v>1325</v>
      </c>
      <c r="L168" s="260" t="s">
        <v>2834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1274</v>
      </c>
      <c r="C169" s="27" t="s">
        <v>1261</v>
      </c>
      <c r="D169" s="61" t="s">
        <v>2144</v>
      </c>
      <c r="E169" s="62" t="s">
        <v>1193</v>
      </c>
      <c r="F169" s="63" t="s">
        <v>96</v>
      </c>
      <c r="G169" s="64" t="s">
        <v>1302</v>
      </c>
      <c r="H169" s="65" t="s">
        <v>1147</v>
      </c>
      <c r="I169" s="66" t="s">
        <v>1148</v>
      </c>
      <c r="J169" s="67">
        <v>1413</v>
      </c>
      <c r="K169" s="68" t="s">
        <v>1325</v>
      </c>
      <c r="L169" s="260" t="s">
        <v>2834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1274</v>
      </c>
      <c r="C170" s="27" t="s">
        <v>1261</v>
      </c>
      <c r="D170" s="61" t="s">
        <v>2144</v>
      </c>
      <c r="E170" s="62" t="s">
        <v>1193</v>
      </c>
      <c r="F170" s="63" t="s">
        <v>1105</v>
      </c>
      <c r="G170" s="64" t="s">
        <v>1303</v>
      </c>
      <c r="H170" s="65" t="s">
        <v>1211</v>
      </c>
      <c r="I170" s="66" t="s">
        <v>1212</v>
      </c>
      <c r="J170" s="67">
        <v>1582</v>
      </c>
      <c r="K170" s="68" t="s">
        <v>1325</v>
      </c>
      <c r="L170" s="260" t="s">
        <v>2835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1274</v>
      </c>
      <c r="C171" s="27" t="s">
        <v>1261</v>
      </c>
      <c r="D171" s="61" t="s">
        <v>2144</v>
      </c>
      <c r="E171" s="62" t="s">
        <v>1193</v>
      </c>
      <c r="F171" s="63" t="s">
        <v>106</v>
      </c>
      <c r="G171" s="64" t="s">
        <v>2310</v>
      </c>
      <c r="H171" s="65" t="s">
        <v>1221</v>
      </c>
      <c r="I171" s="66" t="s">
        <v>1222</v>
      </c>
      <c r="J171" s="67">
        <v>1560</v>
      </c>
      <c r="K171" s="68" t="s">
        <v>1325</v>
      </c>
      <c r="L171" s="260" t="s">
        <v>2309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1274</v>
      </c>
      <c r="C172" s="27" t="s">
        <v>1261</v>
      </c>
      <c r="D172" s="61" t="s">
        <v>2144</v>
      </c>
      <c r="E172" s="62" t="s">
        <v>2771</v>
      </c>
      <c r="F172" s="63" t="s">
        <v>2254</v>
      </c>
      <c r="G172" s="64" t="s">
        <v>2311</v>
      </c>
      <c r="H172" s="65" t="s">
        <v>2262</v>
      </c>
      <c r="I172" s="66" t="s">
        <v>2780</v>
      </c>
      <c r="J172" s="67">
        <v>825</v>
      </c>
      <c r="K172" s="68" t="s">
        <v>1325</v>
      </c>
      <c r="L172" s="260" t="s">
        <v>2309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1274</v>
      </c>
      <c r="C173" s="27" t="s">
        <v>1261</v>
      </c>
      <c r="D173" s="61" t="s">
        <v>2144</v>
      </c>
      <c r="E173" s="62" t="s">
        <v>2771</v>
      </c>
      <c r="F173" s="63" t="s">
        <v>2259</v>
      </c>
      <c r="G173" s="64" t="s">
        <v>2312</v>
      </c>
      <c r="H173" s="65" t="s">
        <v>2263</v>
      </c>
      <c r="I173" s="66" t="s">
        <v>2781</v>
      </c>
      <c r="J173" s="67">
        <v>884</v>
      </c>
      <c r="K173" s="68" t="s">
        <v>1325</v>
      </c>
      <c r="L173" s="260" t="s">
        <v>2309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1274</v>
      </c>
      <c r="C174" s="27" t="s">
        <v>1261</v>
      </c>
      <c r="D174" s="61" t="s">
        <v>2144</v>
      </c>
      <c r="E174" s="62" t="s">
        <v>399</v>
      </c>
      <c r="F174" s="63" t="s">
        <v>2468</v>
      </c>
      <c r="G174" s="64" t="s">
        <v>2313</v>
      </c>
      <c r="H174" s="65" t="s">
        <v>1832</v>
      </c>
      <c r="I174" s="66" t="s">
        <v>1438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1274</v>
      </c>
      <c r="C175" s="27" t="s">
        <v>1261</v>
      </c>
      <c r="D175" s="61" t="s">
        <v>2144</v>
      </c>
      <c r="E175" s="62" t="s">
        <v>399</v>
      </c>
      <c r="F175" s="63" t="s">
        <v>2469</v>
      </c>
      <c r="G175" s="64" t="s">
        <v>2314</v>
      </c>
      <c r="H175" s="65" t="s">
        <v>1833</v>
      </c>
      <c r="I175" s="66" t="s">
        <v>1439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1274</v>
      </c>
      <c r="C176" s="27" t="s">
        <v>1261</v>
      </c>
      <c r="D176" s="61" t="s">
        <v>2144</v>
      </c>
      <c r="E176" s="62" t="s">
        <v>399</v>
      </c>
      <c r="F176" s="63" t="s">
        <v>2470</v>
      </c>
      <c r="G176" s="64" t="s">
        <v>2315</v>
      </c>
      <c r="H176" s="65" t="s">
        <v>1834</v>
      </c>
      <c r="I176" s="66" t="s">
        <v>1440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1274</v>
      </c>
      <c r="C177" s="27" t="s">
        <v>1261</v>
      </c>
      <c r="D177" s="61" t="s">
        <v>2144</v>
      </c>
      <c r="E177" s="62" t="s">
        <v>399</v>
      </c>
      <c r="F177" s="63" t="s">
        <v>2471</v>
      </c>
      <c r="G177" s="64" t="s">
        <v>2316</v>
      </c>
      <c r="H177" s="65" t="s">
        <v>1835</v>
      </c>
      <c r="I177" s="66" t="s">
        <v>1441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1274</v>
      </c>
      <c r="C178" s="27" t="s">
        <v>1261</v>
      </c>
      <c r="D178" s="61" t="s">
        <v>2144</v>
      </c>
      <c r="E178" s="62" t="s">
        <v>399</v>
      </c>
      <c r="F178" s="63" t="s">
        <v>2472</v>
      </c>
      <c r="G178" s="64" t="s">
        <v>2317</v>
      </c>
      <c r="H178" s="65" t="s">
        <v>1836</v>
      </c>
      <c r="I178" s="66" t="s">
        <v>1442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1274</v>
      </c>
      <c r="C179" s="27" t="s">
        <v>1261</v>
      </c>
      <c r="D179" s="61" t="s">
        <v>2144</v>
      </c>
      <c r="E179" s="62" t="s">
        <v>399</v>
      </c>
      <c r="F179" s="63" t="s">
        <v>2473</v>
      </c>
      <c r="G179" s="64" t="s">
        <v>2318</v>
      </c>
      <c r="H179" s="65" t="s">
        <v>1837</v>
      </c>
      <c r="I179" s="66" t="s">
        <v>1443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1274</v>
      </c>
      <c r="C180" s="27" t="s">
        <v>1261</v>
      </c>
      <c r="D180" s="61" t="s">
        <v>2144</v>
      </c>
      <c r="E180" s="62" t="s">
        <v>399</v>
      </c>
      <c r="F180" s="63" t="s">
        <v>2474</v>
      </c>
      <c r="G180" s="64" t="s">
        <v>2319</v>
      </c>
      <c r="H180" s="65" t="s">
        <v>1838</v>
      </c>
      <c r="I180" s="66" t="s">
        <v>1444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1274</v>
      </c>
      <c r="C181" s="27" t="s">
        <v>1261</v>
      </c>
      <c r="D181" s="61" t="s">
        <v>2144</v>
      </c>
      <c r="E181" s="62" t="s">
        <v>399</v>
      </c>
      <c r="F181" s="63" t="s">
        <v>2475</v>
      </c>
      <c r="G181" s="64" t="s">
        <v>2320</v>
      </c>
      <c r="H181" s="65" t="s">
        <v>1839</v>
      </c>
      <c r="I181" s="66" t="s">
        <v>1445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1274</v>
      </c>
      <c r="C182" s="27" t="s">
        <v>1261</v>
      </c>
      <c r="D182" s="61" t="s">
        <v>2144</v>
      </c>
      <c r="E182" s="62" t="s">
        <v>399</v>
      </c>
      <c r="F182" s="63" t="s">
        <v>2476</v>
      </c>
      <c r="G182" s="64" t="s">
        <v>2321</v>
      </c>
      <c r="H182" s="65" t="s">
        <v>1840</v>
      </c>
      <c r="I182" s="66" t="s">
        <v>1446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1274</v>
      </c>
      <c r="C183" s="27" t="s">
        <v>1261</v>
      </c>
      <c r="D183" s="61" t="s">
        <v>2144</v>
      </c>
      <c r="E183" s="62" t="s">
        <v>399</v>
      </c>
      <c r="F183" s="63" t="s">
        <v>2477</v>
      </c>
      <c r="G183" s="64" t="s">
        <v>2322</v>
      </c>
      <c r="H183" s="65" t="s">
        <v>1841</v>
      </c>
      <c r="I183" s="66" t="s">
        <v>1447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1274</v>
      </c>
      <c r="C184" s="27" t="s">
        <v>1261</v>
      </c>
      <c r="D184" s="61" t="s">
        <v>2144</v>
      </c>
      <c r="E184" s="62" t="s">
        <v>399</v>
      </c>
      <c r="F184" s="63" t="s">
        <v>2478</v>
      </c>
      <c r="G184" s="64" t="s">
        <v>2323</v>
      </c>
      <c r="H184" s="65" t="s">
        <v>1842</v>
      </c>
      <c r="I184" s="66" t="s">
        <v>1448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1274</v>
      </c>
      <c r="C185" s="27" t="s">
        <v>1261</v>
      </c>
      <c r="D185" s="61" t="s">
        <v>2144</v>
      </c>
      <c r="E185" s="62" t="s">
        <v>399</v>
      </c>
      <c r="F185" s="63" t="s">
        <v>2479</v>
      </c>
      <c r="G185" s="64" t="s">
        <v>2324</v>
      </c>
      <c r="H185" s="65" t="s">
        <v>1843</v>
      </c>
      <c r="I185" s="66" t="s">
        <v>1449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1274</v>
      </c>
      <c r="C186" s="27" t="s">
        <v>1261</v>
      </c>
      <c r="D186" s="61" t="s">
        <v>2144</v>
      </c>
      <c r="E186" s="62" t="s">
        <v>399</v>
      </c>
      <c r="F186" s="63" t="s">
        <v>2480</v>
      </c>
      <c r="G186" s="64" t="s">
        <v>2325</v>
      </c>
      <c r="H186" s="65" t="s">
        <v>1844</v>
      </c>
      <c r="I186" s="66" t="s">
        <v>1450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1274</v>
      </c>
      <c r="C187" s="27" t="s">
        <v>1261</v>
      </c>
      <c r="D187" s="61" t="s">
        <v>2144</v>
      </c>
      <c r="E187" s="62" t="s">
        <v>399</v>
      </c>
      <c r="F187" s="63" t="s">
        <v>2481</v>
      </c>
      <c r="G187" s="64" t="s">
        <v>2326</v>
      </c>
      <c r="H187" s="65" t="s">
        <v>1845</v>
      </c>
      <c r="I187" s="66" t="s">
        <v>1451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1274</v>
      </c>
      <c r="C188" s="27" t="s">
        <v>1261</v>
      </c>
      <c r="D188" s="61" t="s">
        <v>2144</v>
      </c>
      <c r="E188" s="62" t="s">
        <v>399</v>
      </c>
      <c r="F188" s="63" t="s">
        <v>2482</v>
      </c>
      <c r="G188" s="64" t="s">
        <v>2327</v>
      </c>
      <c r="H188" s="65" t="s">
        <v>1846</v>
      </c>
      <c r="I188" s="66" t="s">
        <v>1452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1274</v>
      </c>
      <c r="C189" s="27" t="s">
        <v>1261</v>
      </c>
      <c r="D189" s="61" t="s">
        <v>2144</v>
      </c>
      <c r="E189" s="62" t="s">
        <v>399</v>
      </c>
      <c r="F189" s="63" t="s">
        <v>2483</v>
      </c>
      <c r="G189" s="64" t="s">
        <v>2328</v>
      </c>
      <c r="H189" s="65" t="s">
        <v>1847</v>
      </c>
      <c r="I189" s="66" t="s">
        <v>1453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1274</v>
      </c>
      <c r="C190" s="27" t="s">
        <v>1261</v>
      </c>
      <c r="D190" s="61" t="s">
        <v>2144</v>
      </c>
      <c r="E190" s="62" t="s">
        <v>399</v>
      </c>
      <c r="F190" s="63" t="s">
        <v>2484</v>
      </c>
      <c r="G190" s="64" t="s">
        <v>2329</v>
      </c>
      <c r="H190" s="65" t="s">
        <v>1848</v>
      </c>
      <c r="I190" s="66" t="s">
        <v>1454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1274</v>
      </c>
      <c r="C191" s="27" t="s">
        <v>1261</v>
      </c>
      <c r="D191" s="61" t="s">
        <v>2144</v>
      </c>
      <c r="E191" s="62" t="s">
        <v>399</v>
      </c>
      <c r="F191" s="63" t="s">
        <v>2485</v>
      </c>
      <c r="G191" s="64" t="s">
        <v>2330</v>
      </c>
      <c r="H191" s="65" t="s">
        <v>1849</v>
      </c>
      <c r="I191" s="66" t="s">
        <v>1455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1274</v>
      </c>
      <c r="C192" s="27" t="s">
        <v>1261</v>
      </c>
      <c r="D192" s="61" t="s">
        <v>2144</v>
      </c>
      <c r="E192" s="62" t="s">
        <v>399</v>
      </c>
      <c r="F192" s="63" t="s">
        <v>2486</v>
      </c>
      <c r="G192" s="64" t="s">
        <v>2331</v>
      </c>
      <c r="H192" s="65" t="s">
        <v>1850</v>
      </c>
      <c r="I192" s="66" t="s">
        <v>1456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1274</v>
      </c>
      <c r="C193" s="27" t="s">
        <v>1261</v>
      </c>
      <c r="D193" s="61" t="s">
        <v>2144</v>
      </c>
      <c r="E193" s="62" t="s">
        <v>399</v>
      </c>
      <c r="F193" s="63" t="s">
        <v>2487</v>
      </c>
      <c r="G193" s="64" t="s">
        <v>2332</v>
      </c>
      <c r="H193" s="65" t="s">
        <v>1851</v>
      </c>
      <c r="I193" s="66" t="s">
        <v>1457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1274</v>
      </c>
      <c r="C194" s="27" t="s">
        <v>1261</v>
      </c>
      <c r="D194" s="61" t="s">
        <v>2144</v>
      </c>
      <c r="E194" s="62" t="s">
        <v>399</v>
      </c>
      <c r="F194" s="63" t="s">
        <v>2488</v>
      </c>
      <c r="G194" s="64" t="s">
        <v>2333</v>
      </c>
      <c r="H194" s="65" t="s">
        <v>1852</v>
      </c>
      <c r="I194" s="66" t="s">
        <v>1458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1274</v>
      </c>
      <c r="C195" s="27" t="s">
        <v>1261</v>
      </c>
      <c r="D195" s="61" t="s">
        <v>2144</v>
      </c>
      <c r="E195" s="62" t="s">
        <v>399</v>
      </c>
      <c r="F195" s="63" t="s">
        <v>2489</v>
      </c>
      <c r="G195" s="64" t="s">
        <v>2334</v>
      </c>
      <c r="H195" s="65" t="s">
        <v>1853</v>
      </c>
      <c r="I195" s="66" t="s">
        <v>1459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1274</v>
      </c>
      <c r="C196" s="27" t="s">
        <v>1261</v>
      </c>
      <c r="D196" s="28" t="s">
        <v>2144</v>
      </c>
      <c r="E196" s="29" t="s">
        <v>399</v>
      </c>
      <c r="F196" s="30" t="s">
        <v>2490</v>
      </c>
      <c r="G196" s="31" t="s">
        <v>2335</v>
      </c>
      <c r="H196" s="32" t="s">
        <v>1854</v>
      </c>
      <c r="I196" s="33" t="s">
        <v>1460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1274</v>
      </c>
      <c r="C197" s="27" t="s">
        <v>1261</v>
      </c>
      <c r="D197" s="50" t="s">
        <v>2148</v>
      </c>
      <c r="E197" s="51" t="s">
        <v>7</v>
      </c>
      <c r="F197" s="52" t="s">
        <v>1063</v>
      </c>
      <c r="G197" s="53" t="s">
        <v>1300</v>
      </c>
      <c r="H197" s="54" t="s">
        <v>49</v>
      </c>
      <c r="I197" s="55" t="s">
        <v>3064</v>
      </c>
      <c r="J197" s="56">
        <v>1682</v>
      </c>
      <c r="K197" s="57" t="s">
        <v>1327</v>
      </c>
      <c r="L197" s="259"/>
      <c r="M197" s="59"/>
      <c r="N197" s="60"/>
      <c r="O197" s="58" t="str">
        <f t="shared" ref="O197:O260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1274</v>
      </c>
      <c r="C198" s="27" t="s">
        <v>1261</v>
      </c>
      <c r="D198" s="61" t="s">
        <v>2148</v>
      </c>
      <c r="E198" s="62" t="s">
        <v>1193</v>
      </c>
      <c r="F198" s="63" t="s">
        <v>1106</v>
      </c>
      <c r="G198" s="64" t="s">
        <v>1301</v>
      </c>
      <c r="H198" s="65" t="s">
        <v>108</v>
      </c>
      <c r="I198" s="66" t="s">
        <v>1005</v>
      </c>
      <c r="J198" s="67">
        <v>1298</v>
      </c>
      <c r="K198" s="68" t="s">
        <v>1327</v>
      </c>
      <c r="L198" s="260" t="s">
        <v>2309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1274</v>
      </c>
      <c r="C199" s="27" t="s">
        <v>1261</v>
      </c>
      <c r="D199" s="28" t="s">
        <v>2148</v>
      </c>
      <c r="E199" s="29" t="s">
        <v>399</v>
      </c>
      <c r="F199" s="30" t="s">
        <v>2491</v>
      </c>
      <c r="G199" s="31" t="s">
        <v>1302</v>
      </c>
      <c r="H199" s="32" t="s">
        <v>1860</v>
      </c>
      <c r="I199" s="33" t="s">
        <v>1466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1274</v>
      </c>
      <c r="C200" s="27" t="s">
        <v>1261</v>
      </c>
      <c r="D200" s="50" t="s">
        <v>2142</v>
      </c>
      <c r="E200" s="51" t="s">
        <v>7</v>
      </c>
      <c r="F200" s="52" t="s">
        <v>1063</v>
      </c>
      <c r="G200" s="53" t="s">
        <v>1300</v>
      </c>
      <c r="H200" s="54" t="s">
        <v>50</v>
      </c>
      <c r="I200" s="55" t="s">
        <v>3065</v>
      </c>
      <c r="J200" s="56">
        <v>2598</v>
      </c>
      <c r="K200" s="57" t="s">
        <v>1327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1274</v>
      </c>
      <c r="C201" s="27" t="s">
        <v>1261</v>
      </c>
      <c r="D201" s="61" t="s">
        <v>2142</v>
      </c>
      <c r="E201" s="62" t="s">
        <v>1193</v>
      </c>
      <c r="F201" s="63" t="s">
        <v>1107</v>
      </c>
      <c r="G201" s="64" t="s">
        <v>1301</v>
      </c>
      <c r="H201" s="65" t="s">
        <v>1223</v>
      </c>
      <c r="I201" s="66" t="s">
        <v>1224</v>
      </c>
      <c r="J201" s="67">
        <v>1311</v>
      </c>
      <c r="K201" s="68" t="s">
        <v>1327</v>
      </c>
      <c r="L201" s="260" t="s">
        <v>2309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1274</v>
      </c>
      <c r="C202" s="27" t="s">
        <v>1261</v>
      </c>
      <c r="D202" s="61" t="s">
        <v>2142</v>
      </c>
      <c r="E202" s="62" t="s">
        <v>399</v>
      </c>
      <c r="F202" s="63" t="s">
        <v>2492</v>
      </c>
      <c r="G202" s="64" t="s">
        <v>1302</v>
      </c>
      <c r="H202" s="65" t="s">
        <v>1855</v>
      </c>
      <c r="I202" s="66" t="s">
        <v>1461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1274</v>
      </c>
      <c r="C203" s="27" t="s">
        <v>1261</v>
      </c>
      <c r="D203" s="61" t="s">
        <v>2142</v>
      </c>
      <c r="E203" s="62" t="s">
        <v>399</v>
      </c>
      <c r="F203" s="63" t="s">
        <v>2493</v>
      </c>
      <c r="G203" s="64" t="s">
        <v>1303</v>
      </c>
      <c r="H203" s="65" t="s">
        <v>1856</v>
      </c>
      <c r="I203" s="66" t="s">
        <v>1462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1274</v>
      </c>
      <c r="C204" s="27" t="s">
        <v>1261</v>
      </c>
      <c r="D204" s="61" t="s">
        <v>2142</v>
      </c>
      <c r="E204" s="62" t="s">
        <v>399</v>
      </c>
      <c r="F204" s="63" t="s">
        <v>2494</v>
      </c>
      <c r="G204" s="64" t="s">
        <v>2310</v>
      </c>
      <c r="H204" s="65" t="s">
        <v>1857</v>
      </c>
      <c r="I204" s="66" t="s">
        <v>1463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1274</v>
      </c>
      <c r="C205" s="27" t="s">
        <v>1261</v>
      </c>
      <c r="D205" s="61" t="s">
        <v>2142</v>
      </c>
      <c r="E205" s="62" t="s">
        <v>399</v>
      </c>
      <c r="F205" s="63" t="s">
        <v>2495</v>
      </c>
      <c r="G205" s="64" t="s">
        <v>2311</v>
      </c>
      <c r="H205" s="65" t="s">
        <v>1858</v>
      </c>
      <c r="I205" s="66" t="s">
        <v>1464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1274</v>
      </c>
      <c r="C206" s="27" t="s">
        <v>1261</v>
      </c>
      <c r="D206" s="61" t="s">
        <v>2142</v>
      </c>
      <c r="E206" s="62" t="s">
        <v>399</v>
      </c>
      <c r="F206" s="63" t="s">
        <v>2496</v>
      </c>
      <c r="G206" s="64" t="s">
        <v>2312</v>
      </c>
      <c r="H206" s="65" t="s">
        <v>1859</v>
      </c>
      <c r="I206" s="66" t="s">
        <v>1465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1274</v>
      </c>
      <c r="C207" s="27" t="s">
        <v>1261</v>
      </c>
      <c r="D207" s="61" t="s">
        <v>2142</v>
      </c>
      <c r="E207" s="62" t="s">
        <v>399</v>
      </c>
      <c r="F207" s="63" t="s">
        <v>2497</v>
      </c>
      <c r="G207" s="64" t="s">
        <v>2313</v>
      </c>
      <c r="H207" s="65" t="s">
        <v>1862</v>
      </c>
      <c r="I207" s="66" t="s">
        <v>1468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1274</v>
      </c>
      <c r="C208" s="27" t="s">
        <v>1261</v>
      </c>
      <c r="D208" s="61" t="s">
        <v>2142</v>
      </c>
      <c r="E208" s="62" t="s">
        <v>399</v>
      </c>
      <c r="F208" s="63" t="s">
        <v>2498</v>
      </c>
      <c r="G208" s="64" t="s">
        <v>2314</v>
      </c>
      <c r="H208" s="65" t="s">
        <v>1863</v>
      </c>
      <c r="I208" s="66" t="s">
        <v>1469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1274</v>
      </c>
      <c r="C209" s="27" t="s">
        <v>1261</v>
      </c>
      <c r="D209" s="61" t="s">
        <v>2142</v>
      </c>
      <c r="E209" s="62" t="s">
        <v>399</v>
      </c>
      <c r="F209" s="63" t="s">
        <v>2499</v>
      </c>
      <c r="G209" s="64" t="s">
        <v>2315</v>
      </c>
      <c r="H209" s="65" t="s">
        <v>1864</v>
      </c>
      <c r="I209" s="66" t="s">
        <v>1470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1274</v>
      </c>
      <c r="C210" s="27" t="s">
        <v>1261</v>
      </c>
      <c r="D210" s="61" t="s">
        <v>2142</v>
      </c>
      <c r="E210" s="62" t="s">
        <v>399</v>
      </c>
      <c r="F210" s="63" t="s">
        <v>2500</v>
      </c>
      <c r="G210" s="64" t="s">
        <v>2316</v>
      </c>
      <c r="H210" s="65" t="s">
        <v>1865</v>
      </c>
      <c r="I210" s="66" t="s">
        <v>1471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1274</v>
      </c>
      <c r="C211" s="27" t="s">
        <v>1261</v>
      </c>
      <c r="D211" s="61" t="s">
        <v>2142</v>
      </c>
      <c r="E211" s="62" t="s">
        <v>399</v>
      </c>
      <c r="F211" s="63" t="s">
        <v>2501</v>
      </c>
      <c r="G211" s="64" t="s">
        <v>2317</v>
      </c>
      <c r="H211" s="65" t="s">
        <v>1866</v>
      </c>
      <c r="I211" s="66" t="s">
        <v>1472</v>
      </c>
      <c r="J211" s="67">
        <v>362</v>
      </c>
      <c r="K211" s="68"/>
      <c r="L211" s="260" t="s">
        <v>2829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1274</v>
      </c>
      <c r="C212" s="27" t="s">
        <v>1261</v>
      </c>
      <c r="D212" s="61" t="s">
        <v>2142</v>
      </c>
      <c r="E212" s="62" t="s">
        <v>399</v>
      </c>
      <c r="F212" s="63" t="s">
        <v>2502</v>
      </c>
      <c r="G212" s="64" t="s">
        <v>2318</v>
      </c>
      <c r="H212" s="65" t="s">
        <v>1867</v>
      </c>
      <c r="I212" s="66" t="s">
        <v>1473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1274</v>
      </c>
      <c r="C213" s="27" t="s">
        <v>1261</v>
      </c>
      <c r="D213" s="61" t="s">
        <v>2142</v>
      </c>
      <c r="E213" s="62" t="s">
        <v>399</v>
      </c>
      <c r="F213" s="63" t="s">
        <v>2503</v>
      </c>
      <c r="G213" s="64" t="s">
        <v>2319</v>
      </c>
      <c r="H213" s="65" t="s">
        <v>1868</v>
      </c>
      <c r="I213" s="66" t="s">
        <v>1474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1274</v>
      </c>
      <c r="C214" s="27" t="s">
        <v>1261</v>
      </c>
      <c r="D214" s="61" t="s">
        <v>2142</v>
      </c>
      <c r="E214" s="62" t="s">
        <v>399</v>
      </c>
      <c r="F214" s="63" t="s">
        <v>2504</v>
      </c>
      <c r="G214" s="64" t="s">
        <v>2320</v>
      </c>
      <c r="H214" s="65" t="s">
        <v>1869</v>
      </c>
      <c r="I214" s="66" t="s">
        <v>1475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1274</v>
      </c>
      <c r="C215" s="27" t="s">
        <v>1261</v>
      </c>
      <c r="D215" s="28" t="s">
        <v>2142</v>
      </c>
      <c r="E215" s="29" t="s">
        <v>399</v>
      </c>
      <c r="F215" s="30" t="s">
        <v>2505</v>
      </c>
      <c r="G215" s="31" t="s">
        <v>2321</v>
      </c>
      <c r="H215" s="32" t="s">
        <v>1870</v>
      </c>
      <c r="I215" s="33" t="s">
        <v>1476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1274</v>
      </c>
      <c r="C216" s="27" t="s">
        <v>1261</v>
      </c>
      <c r="D216" s="50" t="s">
        <v>2227</v>
      </c>
      <c r="E216" s="51" t="s">
        <v>7</v>
      </c>
      <c r="F216" s="52" t="s">
        <v>397</v>
      </c>
      <c r="G216" s="53" t="s">
        <v>1300</v>
      </c>
      <c r="H216" s="54" t="s">
        <v>51</v>
      </c>
      <c r="I216" s="55" t="s">
        <v>3066</v>
      </c>
      <c r="J216" s="56">
        <v>1445</v>
      </c>
      <c r="K216" s="57" t="s">
        <v>1327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1274</v>
      </c>
      <c r="C217" s="27" t="s">
        <v>1261</v>
      </c>
      <c r="D217" s="61" t="s">
        <v>2208</v>
      </c>
      <c r="E217" s="62" t="s">
        <v>399</v>
      </c>
      <c r="F217" s="63" t="s">
        <v>2506</v>
      </c>
      <c r="G217" s="64" t="s">
        <v>1301</v>
      </c>
      <c r="H217" s="65" t="s">
        <v>1871</v>
      </c>
      <c r="I217" s="66" t="s">
        <v>1477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1274</v>
      </c>
      <c r="C218" s="27" t="s">
        <v>1261</v>
      </c>
      <c r="D218" s="28" t="s">
        <v>2208</v>
      </c>
      <c r="E218" s="29" t="s">
        <v>399</v>
      </c>
      <c r="F218" s="30" t="s">
        <v>2507</v>
      </c>
      <c r="G218" s="31" t="s">
        <v>1302</v>
      </c>
      <c r="H218" s="32" t="s">
        <v>1872</v>
      </c>
      <c r="I218" s="33" t="s">
        <v>1478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1274</v>
      </c>
      <c r="C219" s="27" t="s">
        <v>1261</v>
      </c>
      <c r="D219" s="50" t="s">
        <v>2146</v>
      </c>
      <c r="E219" s="51" t="s">
        <v>7</v>
      </c>
      <c r="F219" s="52" t="s">
        <v>397</v>
      </c>
      <c r="G219" s="53" t="s">
        <v>1300</v>
      </c>
      <c r="H219" s="54" t="s">
        <v>83</v>
      </c>
      <c r="I219" s="55" t="s">
        <v>3067</v>
      </c>
      <c r="J219" s="56">
        <v>1946</v>
      </c>
      <c r="K219" s="57" t="s">
        <v>1327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1274</v>
      </c>
      <c r="C220" s="27" t="s">
        <v>1261</v>
      </c>
      <c r="D220" s="61" t="s">
        <v>2146</v>
      </c>
      <c r="E220" s="62" t="s">
        <v>1193</v>
      </c>
      <c r="F220" s="63" t="s">
        <v>1108</v>
      </c>
      <c r="G220" s="64" t="s">
        <v>1301</v>
      </c>
      <c r="H220" s="65" t="s">
        <v>1225</v>
      </c>
      <c r="I220" s="66" t="s">
        <v>1226</v>
      </c>
      <c r="J220" s="67">
        <v>1628</v>
      </c>
      <c r="K220" s="68" t="s">
        <v>1327</v>
      </c>
      <c r="L220" s="260" t="s">
        <v>2309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1274</v>
      </c>
      <c r="C221" s="27" t="s">
        <v>1261</v>
      </c>
      <c r="D221" s="61" t="s">
        <v>2146</v>
      </c>
      <c r="E221" s="62" t="s">
        <v>399</v>
      </c>
      <c r="F221" s="63" t="s">
        <v>2508</v>
      </c>
      <c r="G221" s="64" t="s">
        <v>1302</v>
      </c>
      <c r="H221" s="65" t="s">
        <v>1861</v>
      </c>
      <c r="I221" s="66" t="s">
        <v>1467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1274</v>
      </c>
      <c r="C222" s="27" t="s">
        <v>1261</v>
      </c>
      <c r="D222" s="28" t="s">
        <v>2146</v>
      </c>
      <c r="E222" s="29" t="s">
        <v>399</v>
      </c>
      <c r="F222" s="30" t="s">
        <v>2509</v>
      </c>
      <c r="G222" s="31" t="s">
        <v>1303</v>
      </c>
      <c r="H222" s="32" t="s">
        <v>1873</v>
      </c>
      <c r="I222" s="33" t="s">
        <v>1479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1274</v>
      </c>
      <c r="C223" s="27" t="s">
        <v>1261</v>
      </c>
      <c r="D223" s="50" t="s">
        <v>2140</v>
      </c>
      <c r="E223" s="51" t="s">
        <v>7</v>
      </c>
      <c r="F223" s="52" t="s">
        <v>397</v>
      </c>
      <c r="G223" s="53" t="s">
        <v>1300</v>
      </c>
      <c r="H223" s="54" t="s">
        <v>52</v>
      </c>
      <c r="I223" s="55" t="s">
        <v>3068</v>
      </c>
      <c r="J223" s="56">
        <v>2714</v>
      </c>
      <c r="K223" s="57" t="s">
        <v>1326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1274</v>
      </c>
      <c r="C224" s="27" t="s">
        <v>1261</v>
      </c>
      <c r="D224" s="61" t="s">
        <v>2140</v>
      </c>
      <c r="E224" s="62" t="s">
        <v>1193</v>
      </c>
      <c r="F224" s="63" t="s">
        <v>111</v>
      </c>
      <c r="G224" s="64" t="s">
        <v>1301</v>
      </c>
      <c r="H224" s="65" t="s">
        <v>1149</v>
      </c>
      <c r="I224" s="66" t="s">
        <v>1150</v>
      </c>
      <c r="J224" s="67">
        <v>1812</v>
      </c>
      <c r="K224" s="68" t="s">
        <v>1326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1274</v>
      </c>
      <c r="C225" s="27" t="s">
        <v>1261</v>
      </c>
      <c r="D225" s="61" t="s">
        <v>2140</v>
      </c>
      <c r="E225" s="62" t="s">
        <v>1193</v>
      </c>
      <c r="F225" s="63" t="s">
        <v>1109</v>
      </c>
      <c r="G225" s="64" t="s">
        <v>1302</v>
      </c>
      <c r="H225" s="65" t="s">
        <v>109</v>
      </c>
      <c r="I225" s="66" t="s">
        <v>1006</v>
      </c>
      <c r="J225" s="67">
        <v>1421</v>
      </c>
      <c r="K225" s="68" t="s">
        <v>1326</v>
      </c>
      <c r="L225" s="260" t="s">
        <v>2309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1274</v>
      </c>
      <c r="C226" s="27" t="s">
        <v>1261</v>
      </c>
      <c r="D226" s="61" t="s">
        <v>2140</v>
      </c>
      <c r="E226" s="62" t="s">
        <v>1193</v>
      </c>
      <c r="F226" s="63" t="s">
        <v>110</v>
      </c>
      <c r="G226" s="64" t="s">
        <v>1303</v>
      </c>
      <c r="H226" s="65" t="s">
        <v>1227</v>
      </c>
      <c r="I226" s="66" t="s">
        <v>1228</v>
      </c>
      <c r="J226" s="67">
        <v>1379</v>
      </c>
      <c r="K226" s="68" t="s">
        <v>1326</v>
      </c>
      <c r="L226" s="260" t="s">
        <v>2309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1274</v>
      </c>
      <c r="C227" s="27" t="s">
        <v>1261</v>
      </c>
      <c r="D227" s="61" t="s">
        <v>2140</v>
      </c>
      <c r="E227" s="62" t="s">
        <v>399</v>
      </c>
      <c r="F227" s="63" t="s">
        <v>2510</v>
      </c>
      <c r="G227" s="64" t="s">
        <v>2310</v>
      </c>
      <c r="H227" s="65" t="s">
        <v>1875</v>
      </c>
      <c r="I227" s="66" t="s">
        <v>1481</v>
      </c>
      <c r="J227" s="67">
        <v>303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1274</v>
      </c>
      <c r="C228" s="27" t="s">
        <v>1261</v>
      </c>
      <c r="D228" s="61" t="s">
        <v>2140</v>
      </c>
      <c r="E228" s="62" t="s">
        <v>399</v>
      </c>
      <c r="F228" s="63" t="s">
        <v>2511</v>
      </c>
      <c r="G228" s="64" t="s">
        <v>2311</v>
      </c>
      <c r="H228" s="65" t="s">
        <v>1876</v>
      </c>
      <c r="I228" s="66" t="s">
        <v>1482</v>
      </c>
      <c r="J228" s="67">
        <v>431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1274</v>
      </c>
      <c r="C229" s="27" t="s">
        <v>1261</v>
      </c>
      <c r="D229" s="61" t="s">
        <v>2140</v>
      </c>
      <c r="E229" s="62" t="s">
        <v>399</v>
      </c>
      <c r="F229" s="63" t="s">
        <v>2512</v>
      </c>
      <c r="G229" s="64" t="s">
        <v>2312</v>
      </c>
      <c r="H229" s="65" t="s">
        <v>1877</v>
      </c>
      <c r="I229" s="66" t="s">
        <v>1483</v>
      </c>
      <c r="J229" s="67">
        <v>740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1274</v>
      </c>
      <c r="C230" s="27" t="s">
        <v>1261</v>
      </c>
      <c r="D230" s="61" t="s">
        <v>2140</v>
      </c>
      <c r="E230" s="62" t="s">
        <v>399</v>
      </c>
      <c r="F230" s="63" t="s">
        <v>2513</v>
      </c>
      <c r="G230" s="64" t="s">
        <v>2313</v>
      </c>
      <c r="H230" s="65" t="s">
        <v>1878</v>
      </c>
      <c r="I230" s="66" t="s">
        <v>1484</v>
      </c>
      <c r="J230" s="67">
        <v>796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1274</v>
      </c>
      <c r="C231" s="27" t="s">
        <v>1261</v>
      </c>
      <c r="D231" s="61" t="s">
        <v>2140</v>
      </c>
      <c r="E231" s="62" t="s">
        <v>399</v>
      </c>
      <c r="F231" s="63" t="s">
        <v>2514</v>
      </c>
      <c r="G231" s="64" t="s">
        <v>2314</v>
      </c>
      <c r="H231" s="65" t="s">
        <v>1879</v>
      </c>
      <c r="I231" s="66" t="s">
        <v>1485</v>
      </c>
      <c r="J231" s="67">
        <v>295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1274</v>
      </c>
      <c r="C232" s="27" t="s">
        <v>1261</v>
      </c>
      <c r="D232" s="61" t="s">
        <v>2140</v>
      </c>
      <c r="E232" s="62" t="s">
        <v>399</v>
      </c>
      <c r="F232" s="63" t="s">
        <v>2515</v>
      </c>
      <c r="G232" s="64" t="s">
        <v>2315</v>
      </c>
      <c r="H232" s="65" t="s">
        <v>1880</v>
      </c>
      <c r="I232" s="66" t="s">
        <v>1486</v>
      </c>
      <c r="J232" s="67">
        <v>214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1274</v>
      </c>
      <c r="C233" s="27" t="s">
        <v>1261</v>
      </c>
      <c r="D233" s="61" t="s">
        <v>2140</v>
      </c>
      <c r="E233" s="62" t="s">
        <v>399</v>
      </c>
      <c r="F233" s="63" t="s">
        <v>2516</v>
      </c>
      <c r="G233" s="64" t="s">
        <v>2316</v>
      </c>
      <c r="H233" s="65" t="s">
        <v>1881</v>
      </c>
      <c r="I233" s="66" t="s">
        <v>1487</v>
      </c>
      <c r="J233" s="67">
        <v>479</v>
      </c>
      <c r="K233" s="68"/>
      <c r="L233" s="260" t="s">
        <v>2865</v>
      </c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1274</v>
      </c>
      <c r="C234" s="27" t="s">
        <v>1261</v>
      </c>
      <c r="D234" s="61" t="s">
        <v>2140</v>
      </c>
      <c r="E234" s="62" t="s">
        <v>399</v>
      </c>
      <c r="F234" s="63" t="s">
        <v>2517</v>
      </c>
      <c r="G234" s="64" t="s">
        <v>2317</v>
      </c>
      <c r="H234" s="65" t="s">
        <v>1882</v>
      </c>
      <c r="I234" s="66" t="s">
        <v>1488</v>
      </c>
      <c r="J234" s="67">
        <v>486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1274</v>
      </c>
      <c r="C235" s="27" t="s">
        <v>1261</v>
      </c>
      <c r="D235" s="61" t="s">
        <v>2140</v>
      </c>
      <c r="E235" s="62" t="s">
        <v>399</v>
      </c>
      <c r="F235" s="63" t="s">
        <v>2518</v>
      </c>
      <c r="G235" s="64" t="s">
        <v>2318</v>
      </c>
      <c r="H235" s="65" t="s">
        <v>1883</v>
      </c>
      <c r="I235" s="66" t="s">
        <v>1489</v>
      </c>
      <c r="J235" s="67">
        <v>547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1274</v>
      </c>
      <c r="C236" s="27" t="s">
        <v>1261</v>
      </c>
      <c r="D236" s="61" t="s">
        <v>2140</v>
      </c>
      <c r="E236" s="62" t="s">
        <v>399</v>
      </c>
      <c r="F236" s="63" t="s">
        <v>2519</v>
      </c>
      <c r="G236" s="64" t="s">
        <v>2319</v>
      </c>
      <c r="H236" s="65" t="s">
        <v>1884</v>
      </c>
      <c r="I236" s="66" t="s">
        <v>1490</v>
      </c>
      <c r="J236" s="67">
        <v>541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1274</v>
      </c>
      <c r="C237" s="27" t="s">
        <v>1261</v>
      </c>
      <c r="D237" s="61" t="s">
        <v>2140</v>
      </c>
      <c r="E237" s="62" t="s">
        <v>399</v>
      </c>
      <c r="F237" s="63" t="s">
        <v>2520</v>
      </c>
      <c r="G237" s="64" t="s">
        <v>2320</v>
      </c>
      <c r="H237" s="65" t="s">
        <v>1885</v>
      </c>
      <c r="I237" s="66" t="s">
        <v>1491</v>
      </c>
      <c r="J237" s="67">
        <v>758</v>
      </c>
      <c r="K237" s="68" t="s">
        <v>1325</v>
      </c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1274</v>
      </c>
      <c r="C238" s="27" t="s">
        <v>1261</v>
      </c>
      <c r="D238" s="28" t="s">
        <v>2140</v>
      </c>
      <c r="E238" s="29" t="s">
        <v>399</v>
      </c>
      <c r="F238" s="30" t="s">
        <v>2521</v>
      </c>
      <c r="G238" s="31" t="s">
        <v>2321</v>
      </c>
      <c r="H238" s="32" t="s">
        <v>1886</v>
      </c>
      <c r="I238" s="33" t="s">
        <v>1492</v>
      </c>
      <c r="J238" s="34">
        <v>218</v>
      </c>
      <c r="K238" s="35"/>
      <c r="L238" s="257"/>
      <c r="M238" s="37"/>
      <c r="N238" s="38"/>
      <c r="O238" s="36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1274</v>
      </c>
      <c r="C239" s="27" t="s">
        <v>1261</v>
      </c>
      <c r="D239" s="50" t="s">
        <v>2154</v>
      </c>
      <c r="E239" s="51" t="s">
        <v>7</v>
      </c>
      <c r="F239" s="52" t="s">
        <v>397</v>
      </c>
      <c r="G239" s="53" t="s">
        <v>1300</v>
      </c>
      <c r="H239" s="54" t="s">
        <v>53</v>
      </c>
      <c r="I239" s="55" t="s">
        <v>3069</v>
      </c>
      <c r="J239" s="56">
        <v>2187</v>
      </c>
      <c r="K239" s="57" t="s">
        <v>1327</v>
      </c>
      <c r="L239" s="259"/>
      <c r="M239" s="59"/>
      <c r="N239" s="60"/>
      <c r="O239" s="58" t="str">
        <f t="shared" si="3"/>
        <v>제3편 제1심의 소송절차-제06장 변론-제08절 소송절차의 정지-01</v>
      </c>
    </row>
    <row r="240" spans="2:15" ht="14.45" customHeight="1" x14ac:dyDescent="0.2">
      <c r="B240" s="26" t="s">
        <v>1274</v>
      </c>
      <c r="C240" s="27" t="s">
        <v>1261</v>
      </c>
      <c r="D240" s="61" t="s">
        <v>2154</v>
      </c>
      <c r="E240" s="62" t="s">
        <v>2771</v>
      </c>
      <c r="F240" s="63" t="s">
        <v>2247</v>
      </c>
      <c r="G240" s="64" t="s">
        <v>1301</v>
      </c>
      <c r="H240" s="65" t="s">
        <v>153</v>
      </c>
      <c r="I240" s="66" t="s">
        <v>2778</v>
      </c>
      <c r="J240" s="67">
        <v>1301</v>
      </c>
      <c r="K240" s="68" t="s">
        <v>1327</v>
      </c>
      <c r="L240" s="260"/>
      <c r="M240" s="70"/>
      <c r="N240" s="71"/>
      <c r="O240" s="69" t="str">
        <f t="shared" si="3"/>
        <v>제3편 제1심의 소송절차-제06장 변론-제08절 소송절차의 정지-02</v>
      </c>
    </row>
    <row r="241" spans="2:15" ht="14.45" customHeight="1" x14ac:dyDescent="0.2">
      <c r="B241" s="26" t="s">
        <v>1274</v>
      </c>
      <c r="C241" s="27" t="s">
        <v>1261</v>
      </c>
      <c r="D241" s="61" t="s">
        <v>2154</v>
      </c>
      <c r="E241" s="62" t="s">
        <v>2771</v>
      </c>
      <c r="F241" s="63" t="s">
        <v>2248</v>
      </c>
      <c r="G241" s="64" t="s">
        <v>1302</v>
      </c>
      <c r="H241" s="65" t="s">
        <v>154</v>
      </c>
      <c r="I241" s="66" t="s">
        <v>2779</v>
      </c>
      <c r="J241" s="67">
        <v>1256</v>
      </c>
      <c r="K241" s="68" t="s">
        <v>1327</v>
      </c>
      <c r="L241" s="260"/>
      <c r="M241" s="70"/>
      <c r="N241" s="71"/>
      <c r="O241" s="69" t="str">
        <f t="shared" si="3"/>
        <v>제3편 제1심의 소송절차-제06장 변론-제08절 소송절차의 정지-03</v>
      </c>
    </row>
    <row r="242" spans="2:15" ht="14.45" customHeight="1" x14ac:dyDescent="0.2">
      <c r="B242" s="26" t="s">
        <v>1274</v>
      </c>
      <c r="C242" s="27" t="s">
        <v>1261</v>
      </c>
      <c r="D242" s="61" t="s">
        <v>2154</v>
      </c>
      <c r="E242" s="62" t="s">
        <v>399</v>
      </c>
      <c r="F242" s="63" t="s">
        <v>2522</v>
      </c>
      <c r="G242" s="64" t="s">
        <v>1303</v>
      </c>
      <c r="H242" s="65" t="s">
        <v>1887</v>
      </c>
      <c r="I242" s="66" t="s">
        <v>1493</v>
      </c>
      <c r="J242" s="67">
        <v>391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정지-04</v>
      </c>
    </row>
    <row r="243" spans="2:15" ht="14.45" customHeight="1" x14ac:dyDescent="0.2">
      <c r="B243" s="26" t="s">
        <v>1274</v>
      </c>
      <c r="C243" s="27" t="s">
        <v>1261</v>
      </c>
      <c r="D243" s="61" t="s">
        <v>2154</v>
      </c>
      <c r="E243" s="62" t="s">
        <v>399</v>
      </c>
      <c r="F243" s="63" t="s">
        <v>2523</v>
      </c>
      <c r="G243" s="64" t="s">
        <v>2310</v>
      </c>
      <c r="H243" s="65" t="s">
        <v>1888</v>
      </c>
      <c r="I243" s="66" t="s">
        <v>1494</v>
      </c>
      <c r="J243" s="67">
        <v>732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정지-05</v>
      </c>
    </row>
    <row r="244" spans="2:15" ht="14.45" customHeight="1" x14ac:dyDescent="0.2">
      <c r="B244" s="26" t="s">
        <v>1274</v>
      </c>
      <c r="C244" s="27" t="s">
        <v>1261</v>
      </c>
      <c r="D244" s="61" t="s">
        <v>2154</v>
      </c>
      <c r="E244" s="62" t="s">
        <v>399</v>
      </c>
      <c r="F244" s="63" t="s">
        <v>2524</v>
      </c>
      <c r="G244" s="64" t="s">
        <v>2311</v>
      </c>
      <c r="H244" s="65" t="s">
        <v>1889</v>
      </c>
      <c r="I244" s="66" t="s">
        <v>1495</v>
      </c>
      <c r="J244" s="67">
        <v>2183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정지-06</v>
      </c>
    </row>
    <row r="245" spans="2:15" ht="14.45" customHeight="1" x14ac:dyDescent="0.2">
      <c r="B245" s="26" t="s">
        <v>1274</v>
      </c>
      <c r="C245" s="27" t="s">
        <v>1261</v>
      </c>
      <c r="D245" s="61" t="s">
        <v>2154</v>
      </c>
      <c r="E245" s="62" t="s">
        <v>399</v>
      </c>
      <c r="F245" s="63" t="s">
        <v>2525</v>
      </c>
      <c r="G245" s="64" t="s">
        <v>2312</v>
      </c>
      <c r="H245" s="65" t="s">
        <v>1890</v>
      </c>
      <c r="I245" s="66" t="s">
        <v>1496</v>
      </c>
      <c r="J245" s="67">
        <v>628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정지-07</v>
      </c>
    </row>
    <row r="246" spans="2:15" ht="14.45" customHeight="1" thickBot="1" x14ac:dyDescent="0.25">
      <c r="B246" s="26" t="s">
        <v>1274</v>
      </c>
      <c r="C246" s="72" t="s">
        <v>1261</v>
      </c>
      <c r="D246" s="73" t="s">
        <v>2154</v>
      </c>
      <c r="E246" s="74" t="s">
        <v>399</v>
      </c>
      <c r="F246" s="75" t="s">
        <v>2526</v>
      </c>
      <c r="G246" s="76" t="s">
        <v>2313</v>
      </c>
      <c r="H246" s="77" t="s">
        <v>1891</v>
      </c>
      <c r="I246" s="78" t="s">
        <v>1497</v>
      </c>
      <c r="J246" s="79">
        <v>265</v>
      </c>
      <c r="K246" s="80"/>
      <c r="L246" s="261"/>
      <c r="M246" s="82"/>
      <c r="N246" s="83"/>
      <c r="O246" s="81" t="str">
        <f t="shared" si="3"/>
        <v>제3편 제1심의 소송절차-제06장 변론-제08절 소송절차의 정지-08</v>
      </c>
    </row>
    <row r="247" spans="2:15" ht="14.45" customHeight="1" x14ac:dyDescent="0.2">
      <c r="B247" s="26" t="s">
        <v>1274</v>
      </c>
      <c r="C247" s="14" t="s">
        <v>1264</v>
      </c>
      <c r="D247" s="15" t="s">
        <v>2138</v>
      </c>
      <c r="E247" s="16" t="s">
        <v>7</v>
      </c>
      <c r="F247" s="17" t="s">
        <v>398</v>
      </c>
      <c r="G247" s="18" t="s">
        <v>1300</v>
      </c>
      <c r="H247" s="19" t="s">
        <v>508</v>
      </c>
      <c r="I247" s="20" t="s">
        <v>3070</v>
      </c>
      <c r="J247" s="21">
        <v>1986</v>
      </c>
      <c r="K247" s="22" t="s">
        <v>1326</v>
      </c>
      <c r="L247" s="256"/>
      <c r="M247" s="24"/>
      <c r="N247" s="25"/>
      <c r="O247" s="108" t="str">
        <f t="shared" si="3"/>
        <v>제3편 제1심의 소송절차-제07장 증거-제01절 증거의 총설-01</v>
      </c>
    </row>
    <row r="248" spans="2:15" ht="14.45" customHeight="1" x14ac:dyDescent="0.2">
      <c r="B248" s="26" t="s">
        <v>1274</v>
      </c>
      <c r="C248" s="27" t="s">
        <v>1263</v>
      </c>
      <c r="D248" s="61" t="s">
        <v>2138</v>
      </c>
      <c r="E248" s="109" t="s">
        <v>1193</v>
      </c>
      <c r="F248" s="110" t="s">
        <v>2836</v>
      </c>
      <c r="G248" s="111" t="s">
        <v>2854</v>
      </c>
      <c r="H248" s="112" t="s">
        <v>2837</v>
      </c>
      <c r="I248" s="113" t="s">
        <v>2838</v>
      </c>
      <c r="J248" s="114">
        <v>2171</v>
      </c>
      <c r="K248" s="115" t="s">
        <v>1326</v>
      </c>
      <c r="L248" s="264"/>
      <c r="M248" s="117"/>
      <c r="N248" s="118"/>
      <c r="O248" s="116" t="str">
        <f t="shared" si="3"/>
        <v>제3편 제1심의 소송절차-제07장 증거-제01절 증거의 총설-02</v>
      </c>
    </row>
    <row r="249" spans="2:15" ht="14.45" customHeight="1" x14ac:dyDescent="0.2">
      <c r="B249" s="26" t="s">
        <v>1274</v>
      </c>
      <c r="C249" s="27" t="s">
        <v>1263</v>
      </c>
      <c r="D249" s="28" t="s">
        <v>2138</v>
      </c>
      <c r="E249" s="29" t="s">
        <v>399</v>
      </c>
      <c r="F249" s="30" t="s">
        <v>2527</v>
      </c>
      <c r="G249" s="31" t="s">
        <v>1302</v>
      </c>
      <c r="H249" s="32" t="s">
        <v>1894</v>
      </c>
      <c r="I249" s="33" t="s">
        <v>1500</v>
      </c>
      <c r="J249" s="34">
        <v>519</v>
      </c>
      <c r="K249" s="35"/>
      <c r="L249" s="257"/>
      <c r="M249" s="37"/>
      <c r="N249" s="38"/>
      <c r="O249" s="36" t="str">
        <f t="shared" si="3"/>
        <v>제3편 제1심의 소송절차-제07장 증거-제01절 증거의 총설-03</v>
      </c>
    </row>
    <row r="250" spans="2:15" ht="14.45" customHeight="1" x14ac:dyDescent="0.2">
      <c r="B250" s="26" t="s">
        <v>1274</v>
      </c>
      <c r="C250" s="27" t="s">
        <v>1263</v>
      </c>
      <c r="D250" s="50" t="s">
        <v>2155</v>
      </c>
      <c r="E250" s="51" t="s">
        <v>7</v>
      </c>
      <c r="F250" s="52" t="s">
        <v>398</v>
      </c>
      <c r="G250" s="53" t="s">
        <v>1300</v>
      </c>
      <c r="H250" s="54" t="s">
        <v>54</v>
      </c>
      <c r="I250" s="55" t="s">
        <v>3071</v>
      </c>
      <c r="J250" s="56">
        <v>2126</v>
      </c>
      <c r="K250" s="57" t="s">
        <v>1326</v>
      </c>
      <c r="L250" s="259"/>
      <c r="M250" s="59"/>
      <c r="N250" s="60"/>
      <c r="O250" s="58" t="str">
        <f t="shared" si="3"/>
        <v>제3편 제1심의 소송절차-제07장 증거-제02절 증명의 대상-01</v>
      </c>
    </row>
    <row r="251" spans="2:15" ht="14.45" customHeight="1" x14ac:dyDescent="0.2">
      <c r="B251" s="26" t="s">
        <v>1274</v>
      </c>
      <c r="C251" s="27" t="s">
        <v>1263</v>
      </c>
      <c r="D251" s="61" t="s">
        <v>2155</v>
      </c>
      <c r="E251" s="62" t="s">
        <v>2771</v>
      </c>
      <c r="F251" s="63" t="s">
        <v>2249</v>
      </c>
      <c r="G251" s="64" t="s">
        <v>1301</v>
      </c>
      <c r="H251" s="65" t="s">
        <v>155</v>
      </c>
      <c r="I251" s="66" t="s">
        <v>2776</v>
      </c>
      <c r="J251" s="67">
        <v>1362</v>
      </c>
      <c r="K251" s="68" t="s">
        <v>1326</v>
      </c>
      <c r="L251" s="260"/>
      <c r="M251" s="70"/>
      <c r="N251" s="71"/>
      <c r="O251" s="69" t="str">
        <f t="shared" si="3"/>
        <v>제3편 제1심의 소송절차-제07장 증거-제02절 증명의 대상-02</v>
      </c>
    </row>
    <row r="252" spans="2:15" ht="14.45" customHeight="1" x14ac:dyDescent="0.2">
      <c r="B252" s="26" t="s">
        <v>1274</v>
      </c>
      <c r="C252" s="27" t="s">
        <v>1263</v>
      </c>
      <c r="D252" s="28" t="s">
        <v>2155</v>
      </c>
      <c r="E252" s="29" t="s">
        <v>2771</v>
      </c>
      <c r="F252" s="30" t="s">
        <v>2250</v>
      </c>
      <c r="G252" s="31" t="s">
        <v>1302</v>
      </c>
      <c r="H252" s="32" t="s">
        <v>156</v>
      </c>
      <c r="I252" s="33" t="s">
        <v>2777</v>
      </c>
      <c r="J252" s="34">
        <v>1364</v>
      </c>
      <c r="K252" s="35" t="s">
        <v>1326</v>
      </c>
      <c r="L252" s="257"/>
      <c r="M252" s="37"/>
      <c r="N252" s="38"/>
      <c r="O252" s="36" t="str">
        <f t="shared" si="3"/>
        <v>제3편 제1심의 소송절차-제07장 증거-제02절 증명의 대상-03</v>
      </c>
    </row>
    <row r="253" spans="2:15" ht="14.45" customHeight="1" x14ac:dyDescent="0.2">
      <c r="B253" s="26" t="s">
        <v>1274</v>
      </c>
      <c r="C253" s="27" t="s">
        <v>1263</v>
      </c>
      <c r="D253" s="50" t="s">
        <v>2143</v>
      </c>
      <c r="E253" s="51" t="s">
        <v>7</v>
      </c>
      <c r="F253" s="52" t="s">
        <v>398</v>
      </c>
      <c r="G253" s="53" t="s">
        <v>1300</v>
      </c>
      <c r="H253" s="54" t="s">
        <v>55</v>
      </c>
      <c r="I253" s="55" t="s">
        <v>3072</v>
      </c>
      <c r="J253" s="56">
        <v>2613</v>
      </c>
      <c r="K253" s="57" t="s">
        <v>1325</v>
      </c>
      <c r="L253" s="259"/>
      <c r="M253" s="59"/>
      <c r="N253" s="60"/>
      <c r="O253" s="58" t="str">
        <f t="shared" si="3"/>
        <v>제3편 제1심의 소송절차-제07장 증거-제03절 불요증사실-01</v>
      </c>
    </row>
    <row r="254" spans="2:15" ht="14.45" customHeight="1" x14ac:dyDescent="0.2">
      <c r="B254" s="26" t="s">
        <v>1274</v>
      </c>
      <c r="C254" s="27" t="s">
        <v>1263</v>
      </c>
      <c r="D254" s="61" t="s">
        <v>2143</v>
      </c>
      <c r="E254" s="62" t="s">
        <v>1193</v>
      </c>
      <c r="F254" s="63" t="s">
        <v>115</v>
      </c>
      <c r="G254" s="64" t="s">
        <v>1301</v>
      </c>
      <c r="H254" s="65" t="s">
        <v>2764</v>
      </c>
      <c r="I254" s="66" t="s">
        <v>2763</v>
      </c>
      <c r="J254" s="67">
        <v>1412</v>
      </c>
      <c r="K254" s="68" t="s">
        <v>1325</v>
      </c>
      <c r="L254" s="260" t="s">
        <v>2309</v>
      </c>
      <c r="M254" s="70"/>
      <c r="N254" s="71"/>
      <c r="O254" s="69" t="str">
        <f t="shared" si="3"/>
        <v>제3편 제1심의 소송절차-제07장 증거-제03절 불요증사실-02</v>
      </c>
    </row>
    <row r="255" spans="2:15" ht="14.45" customHeight="1" x14ac:dyDescent="0.2">
      <c r="B255" s="26" t="s">
        <v>1274</v>
      </c>
      <c r="C255" s="27" t="s">
        <v>1263</v>
      </c>
      <c r="D255" s="61" t="s">
        <v>2143</v>
      </c>
      <c r="E255" s="62" t="s">
        <v>1193</v>
      </c>
      <c r="F255" s="63" t="s">
        <v>1108</v>
      </c>
      <c r="G255" s="64" t="s">
        <v>1302</v>
      </c>
      <c r="H255" s="65" t="s">
        <v>1225</v>
      </c>
      <c r="I255" s="66" t="s">
        <v>1226</v>
      </c>
      <c r="J255" s="67">
        <v>1628</v>
      </c>
      <c r="K255" s="68" t="s">
        <v>1325</v>
      </c>
      <c r="L255" s="260" t="s">
        <v>2212</v>
      </c>
      <c r="M255" s="70"/>
      <c r="N255" s="71"/>
      <c r="O255" s="69" t="str">
        <f t="shared" si="3"/>
        <v>제3편 제1심의 소송절차-제07장 증거-제03절 불요증사실-03</v>
      </c>
    </row>
    <row r="256" spans="2:15" ht="14.45" customHeight="1" x14ac:dyDescent="0.2">
      <c r="B256" s="26" t="s">
        <v>1274</v>
      </c>
      <c r="C256" s="27" t="s">
        <v>1263</v>
      </c>
      <c r="D256" s="61" t="s">
        <v>2143</v>
      </c>
      <c r="E256" s="62" t="s">
        <v>1193</v>
      </c>
      <c r="F256" s="63" t="s">
        <v>112</v>
      </c>
      <c r="G256" s="64" t="s">
        <v>1303</v>
      </c>
      <c r="H256" s="65" t="s">
        <v>113</v>
      </c>
      <c r="I256" s="66" t="s">
        <v>1007</v>
      </c>
      <c r="J256" s="67">
        <v>2214</v>
      </c>
      <c r="K256" s="68" t="s">
        <v>1325</v>
      </c>
      <c r="L256" s="260"/>
      <c r="M256" s="70"/>
      <c r="N256" s="71"/>
      <c r="O256" s="69" t="str">
        <f t="shared" si="3"/>
        <v>제3편 제1심의 소송절차-제07장 증거-제03절 불요증사실-04</v>
      </c>
    </row>
    <row r="257" spans="2:15" ht="14.45" customHeight="1" x14ac:dyDescent="0.2">
      <c r="B257" s="26" t="s">
        <v>1274</v>
      </c>
      <c r="C257" s="27" t="s">
        <v>1263</v>
      </c>
      <c r="D257" s="61" t="s">
        <v>2143</v>
      </c>
      <c r="E257" s="62" t="s">
        <v>1193</v>
      </c>
      <c r="F257" s="63" t="s">
        <v>2836</v>
      </c>
      <c r="G257" s="64" t="s">
        <v>2839</v>
      </c>
      <c r="H257" s="65" t="s">
        <v>2837</v>
      </c>
      <c r="I257" s="66" t="s">
        <v>2838</v>
      </c>
      <c r="J257" s="67">
        <v>2171</v>
      </c>
      <c r="K257" s="68" t="s">
        <v>1326</v>
      </c>
      <c r="L257" s="260" t="s">
        <v>2852</v>
      </c>
      <c r="M257" s="70"/>
      <c r="N257" s="71"/>
      <c r="O257" s="69" t="str">
        <f t="shared" si="3"/>
        <v>제3편 제1심의 소송절차-제07장 증거-제03절 불요증사실-05</v>
      </c>
    </row>
    <row r="258" spans="2:15" ht="14.45" customHeight="1" x14ac:dyDescent="0.2">
      <c r="B258" s="26" t="s">
        <v>1274</v>
      </c>
      <c r="C258" s="27" t="s">
        <v>1263</v>
      </c>
      <c r="D258" s="61" t="s">
        <v>2143</v>
      </c>
      <c r="E258" s="62" t="s">
        <v>399</v>
      </c>
      <c r="F258" s="63" t="s">
        <v>2528</v>
      </c>
      <c r="G258" s="64" t="s">
        <v>2840</v>
      </c>
      <c r="H258" s="65" t="s">
        <v>1874</v>
      </c>
      <c r="I258" s="66" t="s">
        <v>1480</v>
      </c>
      <c r="J258" s="67">
        <v>329</v>
      </c>
      <c r="K258" s="68"/>
      <c r="L258" s="260" t="s">
        <v>2830</v>
      </c>
      <c r="M258" s="70"/>
      <c r="N258" s="71"/>
      <c r="O258" s="69" t="str">
        <f t="shared" si="3"/>
        <v>제3편 제1심의 소송절차-제07장 증거-제03절 불요증사실-06</v>
      </c>
    </row>
    <row r="259" spans="2:15" ht="14.45" customHeight="1" x14ac:dyDescent="0.2">
      <c r="B259" s="26" t="s">
        <v>1274</v>
      </c>
      <c r="C259" s="27" t="s">
        <v>1263</v>
      </c>
      <c r="D259" s="61" t="s">
        <v>2143</v>
      </c>
      <c r="E259" s="62" t="s">
        <v>399</v>
      </c>
      <c r="F259" s="63" t="s">
        <v>2529</v>
      </c>
      <c r="G259" s="64" t="s">
        <v>2841</v>
      </c>
      <c r="H259" s="65" t="s">
        <v>1895</v>
      </c>
      <c r="I259" s="66" t="s">
        <v>1501</v>
      </c>
      <c r="J259" s="67">
        <v>283</v>
      </c>
      <c r="K259" s="68"/>
      <c r="L259" s="260"/>
      <c r="M259" s="70"/>
      <c r="N259" s="71"/>
      <c r="O259" s="69" t="str">
        <f t="shared" si="3"/>
        <v>제3편 제1심의 소송절차-제07장 증거-제03절 불요증사실-07</v>
      </c>
    </row>
    <row r="260" spans="2:15" ht="14.45" customHeight="1" x14ac:dyDescent="0.2">
      <c r="B260" s="26" t="s">
        <v>1274</v>
      </c>
      <c r="C260" s="27" t="s">
        <v>1263</v>
      </c>
      <c r="D260" s="61" t="s">
        <v>2143</v>
      </c>
      <c r="E260" s="62" t="s">
        <v>399</v>
      </c>
      <c r="F260" s="63" t="s">
        <v>2530</v>
      </c>
      <c r="G260" s="64" t="s">
        <v>2842</v>
      </c>
      <c r="H260" s="65" t="s">
        <v>1896</v>
      </c>
      <c r="I260" s="66" t="s">
        <v>1502</v>
      </c>
      <c r="J260" s="67">
        <v>289</v>
      </c>
      <c r="K260" s="68"/>
      <c r="L260" s="260"/>
      <c r="M260" s="70"/>
      <c r="N260" s="71"/>
      <c r="O260" s="69" t="str">
        <f t="shared" si="3"/>
        <v>제3편 제1심의 소송절차-제07장 증거-제03절 불요증사실-08</v>
      </c>
    </row>
    <row r="261" spans="2:15" ht="14.45" customHeight="1" x14ac:dyDescent="0.2">
      <c r="B261" s="26" t="s">
        <v>1274</v>
      </c>
      <c r="C261" s="27" t="s">
        <v>1263</v>
      </c>
      <c r="D261" s="61" t="s">
        <v>2143</v>
      </c>
      <c r="E261" s="62" t="s">
        <v>399</v>
      </c>
      <c r="F261" s="63" t="s">
        <v>2531</v>
      </c>
      <c r="G261" s="64" t="s">
        <v>2843</v>
      </c>
      <c r="H261" s="65" t="s">
        <v>1897</v>
      </c>
      <c r="I261" s="66" t="s">
        <v>1503</v>
      </c>
      <c r="J261" s="67">
        <v>337</v>
      </c>
      <c r="K261" s="68"/>
      <c r="L261" s="260"/>
      <c r="M261" s="70"/>
      <c r="N261" s="71"/>
      <c r="O261" s="69" t="str">
        <f t="shared" ref="O261:O324" si="4">B261&amp;"-"&amp;C261&amp;"-"&amp;D261&amp;"-"&amp;G261</f>
        <v>제3편 제1심의 소송절차-제07장 증거-제03절 불요증사실-09</v>
      </c>
    </row>
    <row r="262" spans="2:15" ht="14.45" customHeight="1" x14ac:dyDescent="0.2">
      <c r="B262" s="26" t="s">
        <v>1274</v>
      </c>
      <c r="C262" s="27" t="s">
        <v>1263</v>
      </c>
      <c r="D262" s="61" t="s">
        <v>2143</v>
      </c>
      <c r="E262" s="62" t="s">
        <v>399</v>
      </c>
      <c r="F262" s="63" t="s">
        <v>2532</v>
      </c>
      <c r="G262" s="64" t="s">
        <v>2844</v>
      </c>
      <c r="H262" s="65" t="s">
        <v>1898</v>
      </c>
      <c r="I262" s="66" t="s">
        <v>1504</v>
      </c>
      <c r="J262" s="67">
        <v>257</v>
      </c>
      <c r="K262" s="68"/>
      <c r="L262" s="260"/>
      <c r="M262" s="70"/>
      <c r="N262" s="71"/>
      <c r="O262" s="69" t="str">
        <f t="shared" si="4"/>
        <v>제3편 제1심의 소송절차-제07장 증거-제03절 불요증사실-10</v>
      </c>
    </row>
    <row r="263" spans="2:15" ht="14.45" customHeight="1" x14ac:dyDescent="0.2">
      <c r="B263" s="26" t="s">
        <v>1274</v>
      </c>
      <c r="C263" s="27" t="s">
        <v>1263</v>
      </c>
      <c r="D263" s="61" t="s">
        <v>2143</v>
      </c>
      <c r="E263" s="62" t="s">
        <v>399</v>
      </c>
      <c r="F263" s="63" t="s">
        <v>2533</v>
      </c>
      <c r="G263" s="64" t="s">
        <v>2845</v>
      </c>
      <c r="H263" s="65" t="s">
        <v>1899</v>
      </c>
      <c r="I263" s="66" t="s">
        <v>1505</v>
      </c>
      <c r="J263" s="67">
        <v>303</v>
      </c>
      <c r="K263" s="68"/>
      <c r="L263" s="260"/>
      <c r="M263" s="70"/>
      <c r="N263" s="71"/>
      <c r="O263" s="69" t="str">
        <f t="shared" si="4"/>
        <v>제3편 제1심의 소송절차-제07장 증거-제03절 불요증사실-11</v>
      </c>
    </row>
    <row r="264" spans="2:15" ht="14.45" customHeight="1" x14ac:dyDescent="0.2">
      <c r="B264" s="26" t="s">
        <v>1274</v>
      </c>
      <c r="C264" s="27" t="s">
        <v>1263</v>
      </c>
      <c r="D264" s="61" t="s">
        <v>2143</v>
      </c>
      <c r="E264" s="62" t="s">
        <v>399</v>
      </c>
      <c r="F264" s="63" t="s">
        <v>2534</v>
      </c>
      <c r="G264" s="64" t="s">
        <v>2846</v>
      </c>
      <c r="H264" s="65" t="s">
        <v>1900</v>
      </c>
      <c r="I264" s="66" t="s">
        <v>1506</v>
      </c>
      <c r="J264" s="67">
        <v>370</v>
      </c>
      <c r="K264" s="68"/>
      <c r="L264" s="260"/>
      <c r="M264" s="70"/>
      <c r="N264" s="71"/>
      <c r="O264" s="69" t="str">
        <f t="shared" si="4"/>
        <v>제3편 제1심의 소송절차-제07장 증거-제03절 불요증사실-12</v>
      </c>
    </row>
    <row r="265" spans="2:15" ht="14.45" customHeight="1" x14ac:dyDescent="0.2">
      <c r="B265" s="26" t="s">
        <v>1274</v>
      </c>
      <c r="C265" s="27" t="s">
        <v>1263</v>
      </c>
      <c r="D265" s="61" t="s">
        <v>2143</v>
      </c>
      <c r="E265" s="62" t="s">
        <v>399</v>
      </c>
      <c r="F265" s="63" t="s">
        <v>2535</v>
      </c>
      <c r="G265" s="64" t="s">
        <v>2847</v>
      </c>
      <c r="H265" s="65" t="s">
        <v>1901</v>
      </c>
      <c r="I265" s="66" t="s">
        <v>1507</v>
      </c>
      <c r="J265" s="67">
        <v>354</v>
      </c>
      <c r="K265" s="68"/>
      <c r="L265" s="260"/>
      <c r="M265" s="70"/>
      <c r="N265" s="71"/>
      <c r="O265" s="69" t="str">
        <f t="shared" si="4"/>
        <v>제3편 제1심의 소송절차-제07장 증거-제03절 불요증사실-13</v>
      </c>
    </row>
    <row r="266" spans="2:15" ht="14.45" customHeight="1" x14ac:dyDescent="0.2">
      <c r="B266" s="26" t="s">
        <v>1274</v>
      </c>
      <c r="C266" s="27" t="s">
        <v>1263</v>
      </c>
      <c r="D266" s="61" t="s">
        <v>2143</v>
      </c>
      <c r="E266" s="62" t="s">
        <v>399</v>
      </c>
      <c r="F266" s="63" t="s">
        <v>2536</v>
      </c>
      <c r="G266" s="64" t="s">
        <v>2848</v>
      </c>
      <c r="H266" s="65" t="s">
        <v>1902</v>
      </c>
      <c r="I266" s="66" t="s">
        <v>1508</v>
      </c>
      <c r="J266" s="67">
        <v>502</v>
      </c>
      <c r="K266" s="68"/>
      <c r="L266" s="260"/>
      <c r="M266" s="70"/>
      <c r="N266" s="71"/>
      <c r="O266" s="69" t="str">
        <f t="shared" si="4"/>
        <v>제3편 제1심의 소송절차-제07장 증거-제03절 불요증사실-14</v>
      </c>
    </row>
    <row r="267" spans="2:15" ht="14.45" customHeight="1" x14ac:dyDescent="0.2">
      <c r="B267" s="26" t="s">
        <v>1274</v>
      </c>
      <c r="C267" s="27" t="s">
        <v>1263</v>
      </c>
      <c r="D267" s="61" t="s">
        <v>2143</v>
      </c>
      <c r="E267" s="62" t="s">
        <v>399</v>
      </c>
      <c r="F267" s="63" t="s">
        <v>2537</v>
      </c>
      <c r="G267" s="64" t="s">
        <v>2849</v>
      </c>
      <c r="H267" s="65" t="s">
        <v>1903</v>
      </c>
      <c r="I267" s="66" t="s">
        <v>1509</v>
      </c>
      <c r="J267" s="67">
        <v>496</v>
      </c>
      <c r="K267" s="68"/>
      <c r="L267" s="260"/>
      <c r="M267" s="70"/>
      <c r="N267" s="71"/>
      <c r="O267" s="69" t="str">
        <f t="shared" si="4"/>
        <v>제3편 제1심의 소송절차-제07장 증거-제03절 불요증사실-15</v>
      </c>
    </row>
    <row r="268" spans="2:15" ht="14.45" customHeight="1" x14ac:dyDescent="0.2">
      <c r="B268" s="26" t="s">
        <v>1274</v>
      </c>
      <c r="C268" s="27" t="s">
        <v>1263</v>
      </c>
      <c r="D268" s="61" t="s">
        <v>2143</v>
      </c>
      <c r="E268" s="62" t="s">
        <v>399</v>
      </c>
      <c r="F268" s="63" t="s">
        <v>2538</v>
      </c>
      <c r="G268" s="64" t="s">
        <v>2850</v>
      </c>
      <c r="H268" s="65" t="s">
        <v>1904</v>
      </c>
      <c r="I268" s="66" t="s">
        <v>1510</v>
      </c>
      <c r="J268" s="67">
        <v>809</v>
      </c>
      <c r="K268" s="68" t="s">
        <v>1325</v>
      </c>
      <c r="L268" s="260"/>
      <c r="M268" s="70"/>
      <c r="N268" s="71"/>
      <c r="O268" s="69" t="str">
        <f t="shared" si="4"/>
        <v>제3편 제1심의 소송절차-제07장 증거-제03절 불요증사실-16</v>
      </c>
    </row>
    <row r="269" spans="2:15" ht="14.45" customHeight="1" x14ac:dyDescent="0.2">
      <c r="B269" s="26" t="s">
        <v>1274</v>
      </c>
      <c r="C269" s="27" t="s">
        <v>1263</v>
      </c>
      <c r="D269" s="28" t="s">
        <v>2143</v>
      </c>
      <c r="E269" s="29" t="s">
        <v>399</v>
      </c>
      <c r="F269" s="30" t="s">
        <v>2539</v>
      </c>
      <c r="G269" s="31" t="s">
        <v>2851</v>
      </c>
      <c r="H269" s="32" t="s">
        <v>1905</v>
      </c>
      <c r="I269" s="33" t="s">
        <v>1511</v>
      </c>
      <c r="J269" s="34">
        <v>576</v>
      </c>
      <c r="K269" s="35" t="s">
        <v>1325</v>
      </c>
      <c r="L269" s="257"/>
      <c r="M269" s="37"/>
      <c r="N269" s="38"/>
      <c r="O269" s="36" t="str">
        <f t="shared" si="4"/>
        <v>제3편 제1심의 소송절차-제07장 증거-제03절 불요증사실-17</v>
      </c>
    </row>
    <row r="270" spans="2:15" ht="14.45" customHeight="1" x14ac:dyDescent="0.2">
      <c r="B270" s="26" t="s">
        <v>1274</v>
      </c>
      <c r="C270" s="27" t="s">
        <v>1263</v>
      </c>
      <c r="D270" s="50" t="s">
        <v>2145</v>
      </c>
      <c r="E270" s="51" t="s">
        <v>7</v>
      </c>
      <c r="F270" s="52" t="s">
        <v>398</v>
      </c>
      <c r="G270" s="53" t="s">
        <v>1300</v>
      </c>
      <c r="H270" s="54" t="s">
        <v>56</v>
      </c>
      <c r="I270" s="55" t="s">
        <v>3073</v>
      </c>
      <c r="J270" s="56">
        <v>2774</v>
      </c>
      <c r="K270" s="57" t="s">
        <v>1326</v>
      </c>
      <c r="L270" s="259"/>
      <c r="M270" s="59"/>
      <c r="N270" s="60"/>
      <c r="O270" s="58" t="str">
        <f t="shared" si="4"/>
        <v>제3편 제1심의 소송절차-제07장 증거-제04절 증거조사의 개시와 실시-01</v>
      </c>
    </row>
    <row r="271" spans="2:15" ht="14.45" customHeight="1" x14ac:dyDescent="0.2">
      <c r="B271" s="26" t="s">
        <v>1274</v>
      </c>
      <c r="C271" s="27" t="s">
        <v>1263</v>
      </c>
      <c r="D271" s="61" t="s">
        <v>2145</v>
      </c>
      <c r="E271" s="62" t="s">
        <v>1193</v>
      </c>
      <c r="F271" s="63" t="s">
        <v>1111</v>
      </c>
      <c r="G271" s="64" t="s">
        <v>1301</v>
      </c>
      <c r="H271" s="65" t="s">
        <v>1229</v>
      </c>
      <c r="I271" s="66" t="s">
        <v>1230</v>
      </c>
      <c r="J271" s="67">
        <v>1388</v>
      </c>
      <c r="K271" s="68" t="s">
        <v>1327</v>
      </c>
      <c r="L271" s="260" t="s">
        <v>2309</v>
      </c>
      <c r="M271" s="70"/>
      <c r="N271" s="71"/>
      <c r="O271" s="69" t="str">
        <f t="shared" si="4"/>
        <v>제3편 제1심의 소송절차-제07장 증거-제04절 증거조사의 개시와 실시-02</v>
      </c>
    </row>
    <row r="272" spans="2:15" ht="14.45" customHeight="1" x14ac:dyDescent="0.2">
      <c r="B272" s="26" t="s">
        <v>1274</v>
      </c>
      <c r="C272" s="27" t="s">
        <v>1263</v>
      </c>
      <c r="D272" s="61" t="s">
        <v>2145</v>
      </c>
      <c r="E272" s="62" t="s">
        <v>1193</v>
      </c>
      <c r="F272" s="63" t="s">
        <v>116</v>
      </c>
      <c r="G272" s="64" t="s">
        <v>1302</v>
      </c>
      <c r="H272" s="65" t="s">
        <v>2767</v>
      </c>
      <c r="I272" s="66" t="s">
        <v>2768</v>
      </c>
      <c r="J272" s="67">
        <v>1266</v>
      </c>
      <c r="K272" s="68" t="s">
        <v>1327</v>
      </c>
      <c r="L272" s="260" t="s">
        <v>2309</v>
      </c>
      <c r="M272" s="70"/>
      <c r="N272" s="71"/>
      <c r="O272" s="69" t="str">
        <f t="shared" si="4"/>
        <v>제3편 제1심의 소송절차-제07장 증거-제04절 증거조사의 개시와 실시-03</v>
      </c>
    </row>
    <row r="273" spans="2:15" ht="14.45" customHeight="1" x14ac:dyDescent="0.2">
      <c r="B273" s="26" t="s">
        <v>1274</v>
      </c>
      <c r="C273" s="27" t="s">
        <v>1263</v>
      </c>
      <c r="D273" s="61" t="s">
        <v>2145</v>
      </c>
      <c r="E273" s="62" t="s">
        <v>1193</v>
      </c>
      <c r="F273" s="63" t="s">
        <v>2856</v>
      </c>
      <c r="G273" s="64" t="s">
        <v>1303</v>
      </c>
      <c r="H273" s="65" t="s">
        <v>2857</v>
      </c>
      <c r="I273" s="66" t="s">
        <v>2858</v>
      </c>
      <c r="J273" s="67">
        <v>2220</v>
      </c>
      <c r="K273" s="68" t="s">
        <v>1326</v>
      </c>
      <c r="L273" s="260"/>
      <c r="M273" s="70"/>
      <c r="N273" s="71"/>
      <c r="O273" s="69" t="str">
        <f t="shared" si="4"/>
        <v>제3편 제1심의 소송절차-제07장 증거-제04절 증거조사의 개시와 실시-04</v>
      </c>
    </row>
    <row r="274" spans="2:15" ht="14.45" customHeight="1" x14ac:dyDescent="0.2">
      <c r="B274" s="26" t="s">
        <v>1274</v>
      </c>
      <c r="C274" s="27" t="s">
        <v>1263</v>
      </c>
      <c r="D274" s="61" t="s">
        <v>2145</v>
      </c>
      <c r="E274" s="62" t="s">
        <v>399</v>
      </c>
      <c r="F274" s="63" t="s">
        <v>2540</v>
      </c>
      <c r="G274" s="64" t="s">
        <v>2839</v>
      </c>
      <c r="H274" s="65" t="s">
        <v>1906</v>
      </c>
      <c r="I274" s="66" t="s">
        <v>1512</v>
      </c>
      <c r="J274" s="67">
        <v>733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실시-05</v>
      </c>
    </row>
    <row r="275" spans="2:15" ht="14.45" customHeight="1" x14ac:dyDescent="0.2">
      <c r="B275" s="26" t="s">
        <v>1274</v>
      </c>
      <c r="C275" s="27" t="s">
        <v>1263</v>
      </c>
      <c r="D275" s="61" t="s">
        <v>2145</v>
      </c>
      <c r="E275" s="62" t="s">
        <v>399</v>
      </c>
      <c r="F275" s="63" t="s">
        <v>2541</v>
      </c>
      <c r="G275" s="64" t="s">
        <v>2840</v>
      </c>
      <c r="H275" s="65" t="s">
        <v>1907</v>
      </c>
      <c r="I275" s="66" t="s">
        <v>1513</v>
      </c>
      <c r="J275" s="67">
        <v>1179</v>
      </c>
      <c r="K275" s="68"/>
      <c r="L275" s="260"/>
      <c r="M275" s="70"/>
      <c r="N275" s="71"/>
      <c r="O275" s="69" t="str">
        <f t="shared" si="4"/>
        <v>제3편 제1심의 소송절차-제07장 증거-제04절 증거조사의 개시와 실시-06</v>
      </c>
    </row>
    <row r="276" spans="2:15" ht="14.45" customHeight="1" x14ac:dyDescent="0.2">
      <c r="B276" s="26" t="s">
        <v>1274</v>
      </c>
      <c r="C276" s="27" t="s">
        <v>1263</v>
      </c>
      <c r="D276" s="61" t="s">
        <v>2145</v>
      </c>
      <c r="E276" s="62" t="s">
        <v>399</v>
      </c>
      <c r="F276" s="63" t="s">
        <v>2542</v>
      </c>
      <c r="G276" s="64" t="s">
        <v>2841</v>
      </c>
      <c r="H276" s="65" t="s">
        <v>1908</v>
      </c>
      <c r="I276" s="66" t="s">
        <v>1514</v>
      </c>
      <c r="J276" s="67">
        <v>799</v>
      </c>
      <c r="K276" s="68"/>
      <c r="L276" s="260" t="s">
        <v>2866</v>
      </c>
      <c r="M276" s="70"/>
      <c r="N276" s="71"/>
      <c r="O276" s="69" t="str">
        <f t="shared" si="4"/>
        <v>제3편 제1심의 소송절차-제07장 증거-제04절 증거조사의 개시와 실시-07</v>
      </c>
    </row>
    <row r="277" spans="2:15" ht="14.45" customHeight="1" x14ac:dyDescent="0.2">
      <c r="B277" s="26" t="s">
        <v>1274</v>
      </c>
      <c r="C277" s="27" t="s">
        <v>1263</v>
      </c>
      <c r="D277" s="61" t="s">
        <v>2145</v>
      </c>
      <c r="E277" s="62" t="s">
        <v>399</v>
      </c>
      <c r="F277" s="63" t="s">
        <v>2543</v>
      </c>
      <c r="G277" s="64" t="s">
        <v>2842</v>
      </c>
      <c r="H277" s="65" t="s">
        <v>1909</v>
      </c>
      <c r="I277" s="66" t="s">
        <v>1515</v>
      </c>
      <c r="J277" s="67">
        <v>802</v>
      </c>
      <c r="K277" s="68"/>
      <c r="L277" s="260" t="s">
        <v>2866</v>
      </c>
      <c r="M277" s="70"/>
      <c r="N277" s="71"/>
      <c r="O277" s="69" t="str">
        <f t="shared" si="4"/>
        <v>제3편 제1심의 소송절차-제07장 증거-제04절 증거조사의 개시와 실시-08</v>
      </c>
    </row>
    <row r="278" spans="2:15" ht="14.45" customHeight="1" x14ac:dyDescent="0.2">
      <c r="B278" s="26" t="s">
        <v>1274</v>
      </c>
      <c r="C278" s="27" t="s">
        <v>1263</v>
      </c>
      <c r="D278" s="61" t="s">
        <v>2145</v>
      </c>
      <c r="E278" s="62" t="s">
        <v>399</v>
      </c>
      <c r="F278" s="63" t="s">
        <v>2544</v>
      </c>
      <c r="G278" s="64" t="s">
        <v>2843</v>
      </c>
      <c r="H278" s="65" t="s">
        <v>1910</v>
      </c>
      <c r="I278" s="66" t="s">
        <v>1516</v>
      </c>
      <c r="J278" s="67">
        <v>734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실시-09</v>
      </c>
    </row>
    <row r="279" spans="2:15" ht="14.45" customHeight="1" x14ac:dyDescent="0.2">
      <c r="B279" s="26" t="s">
        <v>1274</v>
      </c>
      <c r="C279" s="27" t="s">
        <v>1263</v>
      </c>
      <c r="D279" s="61" t="s">
        <v>2145</v>
      </c>
      <c r="E279" s="62" t="s">
        <v>399</v>
      </c>
      <c r="F279" s="63" t="s">
        <v>2545</v>
      </c>
      <c r="G279" s="64" t="s">
        <v>2844</v>
      </c>
      <c r="H279" s="65" t="s">
        <v>1911</v>
      </c>
      <c r="I279" s="66" t="s">
        <v>1517</v>
      </c>
      <c r="J279" s="67">
        <v>605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실시-10</v>
      </c>
    </row>
    <row r="280" spans="2:15" ht="14.45" customHeight="1" x14ac:dyDescent="0.2">
      <c r="B280" s="26" t="s">
        <v>1274</v>
      </c>
      <c r="C280" s="27" t="s">
        <v>1263</v>
      </c>
      <c r="D280" s="61" t="s">
        <v>2145</v>
      </c>
      <c r="E280" s="62" t="s">
        <v>399</v>
      </c>
      <c r="F280" s="63" t="s">
        <v>2546</v>
      </c>
      <c r="G280" s="64" t="s">
        <v>2845</v>
      </c>
      <c r="H280" s="65" t="s">
        <v>1912</v>
      </c>
      <c r="I280" s="66" t="s">
        <v>1518</v>
      </c>
      <c r="J280" s="67">
        <v>966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실시-11</v>
      </c>
    </row>
    <row r="281" spans="2:15" ht="14.45" customHeight="1" x14ac:dyDescent="0.2">
      <c r="B281" s="26" t="s">
        <v>1274</v>
      </c>
      <c r="C281" s="27" t="s">
        <v>1263</v>
      </c>
      <c r="D281" s="61" t="s">
        <v>2145</v>
      </c>
      <c r="E281" s="62" t="s">
        <v>399</v>
      </c>
      <c r="F281" s="63" t="s">
        <v>2547</v>
      </c>
      <c r="G281" s="64" t="s">
        <v>2846</v>
      </c>
      <c r="H281" s="65" t="s">
        <v>1913</v>
      </c>
      <c r="I281" s="66" t="s">
        <v>1519</v>
      </c>
      <c r="J281" s="67">
        <v>603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실시-12</v>
      </c>
    </row>
    <row r="282" spans="2:15" ht="14.45" customHeight="1" x14ac:dyDescent="0.2">
      <c r="B282" s="26" t="s">
        <v>1274</v>
      </c>
      <c r="C282" s="27" t="s">
        <v>1263</v>
      </c>
      <c r="D282" s="61" t="s">
        <v>2145</v>
      </c>
      <c r="E282" s="62" t="s">
        <v>399</v>
      </c>
      <c r="F282" s="63" t="s">
        <v>2548</v>
      </c>
      <c r="G282" s="64" t="s">
        <v>2847</v>
      </c>
      <c r="H282" s="65" t="s">
        <v>1914</v>
      </c>
      <c r="I282" s="66" t="s">
        <v>1520</v>
      </c>
      <c r="J282" s="67">
        <v>346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실시-13</v>
      </c>
    </row>
    <row r="283" spans="2:15" ht="14.45" customHeight="1" x14ac:dyDescent="0.2">
      <c r="B283" s="26" t="s">
        <v>1274</v>
      </c>
      <c r="C283" s="27" t="s">
        <v>1263</v>
      </c>
      <c r="D283" s="61" t="s">
        <v>2145</v>
      </c>
      <c r="E283" s="62" t="s">
        <v>399</v>
      </c>
      <c r="F283" s="63" t="s">
        <v>2549</v>
      </c>
      <c r="G283" s="64" t="s">
        <v>2848</v>
      </c>
      <c r="H283" s="65" t="s">
        <v>1915</v>
      </c>
      <c r="I283" s="66" t="s">
        <v>1521</v>
      </c>
      <c r="J283" s="67">
        <v>491</v>
      </c>
      <c r="K283" s="68"/>
      <c r="L283" s="260" t="s">
        <v>2830</v>
      </c>
      <c r="M283" s="70"/>
      <c r="N283" s="71"/>
      <c r="O283" s="69" t="str">
        <f t="shared" si="4"/>
        <v>제3편 제1심의 소송절차-제07장 증거-제04절 증거조사의 개시와 실시-14</v>
      </c>
    </row>
    <row r="284" spans="2:15" ht="14.45" customHeight="1" x14ac:dyDescent="0.2">
      <c r="B284" s="26" t="s">
        <v>1274</v>
      </c>
      <c r="C284" s="27" t="s">
        <v>1263</v>
      </c>
      <c r="D284" s="61" t="s">
        <v>2145</v>
      </c>
      <c r="E284" s="62" t="s">
        <v>399</v>
      </c>
      <c r="F284" s="63" t="s">
        <v>2550</v>
      </c>
      <c r="G284" s="64" t="s">
        <v>2849</v>
      </c>
      <c r="H284" s="65" t="s">
        <v>1916</v>
      </c>
      <c r="I284" s="66" t="s">
        <v>1522</v>
      </c>
      <c r="J284" s="67">
        <v>470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실시-15</v>
      </c>
    </row>
    <row r="285" spans="2:15" ht="14.45" customHeight="1" x14ac:dyDescent="0.2">
      <c r="B285" s="26" t="s">
        <v>1274</v>
      </c>
      <c r="C285" s="27" t="s">
        <v>1263</v>
      </c>
      <c r="D285" s="28" t="s">
        <v>2145</v>
      </c>
      <c r="E285" s="29" t="s">
        <v>399</v>
      </c>
      <c r="F285" s="30" t="s">
        <v>2551</v>
      </c>
      <c r="G285" s="31" t="s">
        <v>2850</v>
      </c>
      <c r="H285" s="32" t="s">
        <v>1917</v>
      </c>
      <c r="I285" s="33" t="s">
        <v>1523</v>
      </c>
      <c r="J285" s="34">
        <v>270</v>
      </c>
      <c r="K285" s="35"/>
      <c r="L285" s="257"/>
      <c r="M285" s="37"/>
      <c r="N285" s="38"/>
      <c r="O285" s="36" t="str">
        <f t="shared" si="4"/>
        <v>제3편 제1심의 소송절차-제07장 증거-제04절 증거조사의 개시와 실시-16</v>
      </c>
    </row>
    <row r="286" spans="2:15" ht="14.45" customHeight="1" x14ac:dyDescent="0.2">
      <c r="B286" s="26" t="s">
        <v>1274</v>
      </c>
      <c r="C286" s="27" t="s">
        <v>1263</v>
      </c>
      <c r="D286" s="50" t="s">
        <v>2149</v>
      </c>
      <c r="E286" s="51" t="s">
        <v>7</v>
      </c>
      <c r="F286" s="52" t="s">
        <v>398</v>
      </c>
      <c r="G286" s="53" t="s">
        <v>1300</v>
      </c>
      <c r="H286" s="54" t="s">
        <v>57</v>
      </c>
      <c r="I286" s="55" t="s">
        <v>3074</v>
      </c>
      <c r="J286" s="56">
        <v>2789</v>
      </c>
      <c r="K286" s="57" t="s">
        <v>1327</v>
      </c>
      <c r="L286" s="259"/>
      <c r="M286" s="59"/>
      <c r="N286" s="60"/>
      <c r="O286" s="58" t="str">
        <f t="shared" si="4"/>
        <v>제3편 제1심의 소송절차-제07장 증거-제05절 자유심증주의-01</v>
      </c>
    </row>
    <row r="287" spans="2:15" ht="14.45" customHeight="1" x14ac:dyDescent="0.2">
      <c r="B287" s="26" t="s">
        <v>1274</v>
      </c>
      <c r="C287" s="27" t="s">
        <v>1263</v>
      </c>
      <c r="D287" s="61" t="s">
        <v>2149</v>
      </c>
      <c r="E287" s="62" t="s">
        <v>1193</v>
      </c>
      <c r="F287" s="63" t="s">
        <v>1112</v>
      </c>
      <c r="G287" s="64" t="s">
        <v>1301</v>
      </c>
      <c r="H287" s="65" t="s">
        <v>117</v>
      </c>
      <c r="I287" s="66" t="s">
        <v>1008</v>
      </c>
      <c r="J287" s="67">
        <v>1657</v>
      </c>
      <c r="K287" s="68" t="s">
        <v>1327</v>
      </c>
      <c r="L287" s="260"/>
      <c r="M287" s="70"/>
      <c r="N287" s="71"/>
      <c r="O287" s="69" t="str">
        <f t="shared" si="4"/>
        <v>제3편 제1심의 소송절차-제07장 증거-제05절 자유심증주의-02</v>
      </c>
    </row>
    <row r="288" spans="2:15" ht="14.45" customHeight="1" x14ac:dyDescent="0.2">
      <c r="B288" s="26" t="s">
        <v>1274</v>
      </c>
      <c r="C288" s="27" t="s">
        <v>1263</v>
      </c>
      <c r="D288" s="61" t="s">
        <v>2149</v>
      </c>
      <c r="E288" s="62" t="s">
        <v>399</v>
      </c>
      <c r="F288" s="63" t="s">
        <v>2552</v>
      </c>
      <c r="G288" s="64" t="s">
        <v>1302</v>
      </c>
      <c r="H288" s="65" t="s">
        <v>1892</v>
      </c>
      <c r="I288" s="66" t="s">
        <v>1498</v>
      </c>
      <c r="J288" s="67">
        <v>310</v>
      </c>
      <c r="K288" s="68"/>
      <c r="L288" s="260"/>
      <c r="M288" s="70"/>
      <c r="N288" s="71"/>
      <c r="O288" s="69" t="str">
        <f t="shared" si="4"/>
        <v>제3편 제1심의 소송절차-제07장 증거-제05절 자유심증주의-03</v>
      </c>
    </row>
    <row r="289" spans="2:15" ht="14.45" customHeight="1" x14ac:dyDescent="0.2">
      <c r="B289" s="26" t="s">
        <v>1274</v>
      </c>
      <c r="C289" s="27" t="s">
        <v>1263</v>
      </c>
      <c r="D289" s="61" t="s">
        <v>2149</v>
      </c>
      <c r="E289" s="62" t="s">
        <v>399</v>
      </c>
      <c r="F289" s="63" t="s">
        <v>2553</v>
      </c>
      <c r="G289" s="64" t="s">
        <v>1303</v>
      </c>
      <c r="H289" s="65" t="s">
        <v>1893</v>
      </c>
      <c r="I289" s="66" t="s">
        <v>1499</v>
      </c>
      <c r="J289" s="67">
        <v>1138</v>
      </c>
      <c r="K289" s="68"/>
      <c r="L289" s="260"/>
      <c r="M289" s="70"/>
      <c r="N289" s="71"/>
      <c r="O289" s="69" t="str">
        <f t="shared" si="4"/>
        <v>제3편 제1심의 소송절차-제07장 증거-제05절 자유심증주의-04</v>
      </c>
    </row>
    <row r="290" spans="2:15" ht="14.45" customHeight="1" x14ac:dyDescent="0.2">
      <c r="B290" s="26" t="s">
        <v>1274</v>
      </c>
      <c r="C290" s="27" t="s">
        <v>1263</v>
      </c>
      <c r="D290" s="61" t="s">
        <v>2149</v>
      </c>
      <c r="E290" s="62" t="s">
        <v>399</v>
      </c>
      <c r="F290" s="63" t="s">
        <v>2554</v>
      </c>
      <c r="G290" s="64" t="s">
        <v>2310</v>
      </c>
      <c r="H290" s="65" t="s">
        <v>1918</v>
      </c>
      <c r="I290" s="66" t="s">
        <v>1524</v>
      </c>
      <c r="J290" s="67">
        <v>392</v>
      </c>
      <c r="K290" s="68"/>
      <c r="L290" s="260"/>
      <c r="M290" s="70"/>
      <c r="N290" s="71"/>
      <c r="O290" s="69" t="str">
        <f t="shared" si="4"/>
        <v>제3편 제1심의 소송절차-제07장 증거-제05절 자유심증주의-05</v>
      </c>
    </row>
    <row r="291" spans="2:15" ht="14.45" customHeight="1" x14ac:dyDescent="0.2">
      <c r="B291" s="26" t="s">
        <v>1274</v>
      </c>
      <c r="C291" s="27" t="s">
        <v>1263</v>
      </c>
      <c r="D291" s="28" t="s">
        <v>2149</v>
      </c>
      <c r="E291" s="29" t="s">
        <v>399</v>
      </c>
      <c r="F291" s="30" t="s">
        <v>2555</v>
      </c>
      <c r="G291" s="31" t="s">
        <v>2311</v>
      </c>
      <c r="H291" s="32" t="s">
        <v>1919</v>
      </c>
      <c r="I291" s="33" t="s">
        <v>1525</v>
      </c>
      <c r="J291" s="34">
        <v>306</v>
      </c>
      <c r="K291" s="35"/>
      <c r="L291" s="257"/>
      <c r="M291" s="37"/>
      <c r="N291" s="38"/>
      <c r="O291" s="36" t="str">
        <f t="shared" si="4"/>
        <v>제3편 제1심의 소송절차-제07장 증거-제05절 자유심증주의-06</v>
      </c>
    </row>
    <row r="292" spans="2:15" ht="14.45" customHeight="1" x14ac:dyDescent="0.2">
      <c r="B292" s="26" t="s">
        <v>1274</v>
      </c>
      <c r="C292" s="27" t="s">
        <v>1263</v>
      </c>
      <c r="D292" s="50" t="s">
        <v>2139</v>
      </c>
      <c r="E292" s="51" t="s">
        <v>7</v>
      </c>
      <c r="F292" s="52" t="s">
        <v>1064</v>
      </c>
      <c r="G292" s="53" t="s">
        <v>1300</v>
      </c>
      <c r="H292" s="54" t="s">
        <v>58</v>
      </c>
      <c r="I292" s="55" t="s">
        <v>3075</v>
      </c>
      <c r="J292" s="56">
        <v>2263</v>
      </c>
      <c r="K292" s="57" t="s">
        <v>1326</v>
      </c>
      <c r="L292" s="259"/>
      <c r="M292" s="59"/>
      <c r="N292" s="60"/>
      <c r="O292" s="58" t="str">
        <f t="shared" si="4"/>
        <v>제3편 제1심의 소송절차-제07장 증거-제06절 증명책임-01</v>
      </c>
    </row>
    <row r="293" spans="2:15" ht="14.45" customHeight="1" x14ac:dyDescent="0.2">
      <c r="B293" s="26" t="s">
        <v>1274</v>
      </c>
      <c r="C293" s="27" t="s">
        <v>1263</v>
      </c>
      <c r="D293" s="61" t="s">
        <v>2940</v>
      </c>
      <c r="E293" s="62" t="s">
        <v>1193</v>
      </c>
      <c r="F293" s="63" t="s">
        <v>1110</v>
      </c>
      <c r="G293" s="64" t="s">
        <v>1301</v>
      </c>
      <c r="H293" s="65" t="s">
        <v>1217</v>
      </c>
      <c r="I293" s="66" t="s">
        <v>1218</v>
      </c>
      <c r="J293" s="67">
        <v>2171</v>
      </c>
      <c r="K293" s="68" t="s">
        <v>1326</v>
      </c>
      <c r="L293" s="260" t="s">
        <v>2853</v>
      </c>
      <c r="M293" s="70"/>
      <c r="N293" s="71"/>
      <c r="O293" s="69" t="str">
        <f t="shared" si="4"/>
        <v>제3편 제1심의 소송절차-제07장 증거-제06절 증명책임-02</v>
      </c>
    </row>
    <row r="294" spans="2:15" ht="14.45" customHeight="1" x14ac:dyDescent="0.2">
      <c r="B294" s="26" t="s">
        <v>1274</v>
      </c>
      <c r="C294" s="27" t="s">
        <v>1263</v>
      </c>
      <c r="D294" s="61" t="s">
        <v>2139</v>
      </c>
      <c r="E294" s="62" t="s">
        <v>2771</v>
      </c>
      <c r="F294" s="63" t="s">
        <v>2258</v>
      </c>
      <c r="G294" s="64" t="s">
        <v>1302</v>
      </c>
      <c r="H294" s="65" t="s">
        <v>2264</v>
      </c>
      <c r="I294" s="66" t="s">
        <v>2775</v>
      </c>
      <c r="J294" s="67">
        <v>779</v>
      </c>
      <c r="K294" s="68" t="s">
        <v>1327</v>
      </c>
      <c r="L294" s="260" t="s">
        <v>2309</v>
      </c>
      <c r="M294" s="70"/>
      <c r="N294" s="71"/>
      <c r="O294" s="69" t="str">
        <f t="shared" si="4"/>
        <v>제3편 제1심의 소송절차-제07장 증거-제06절 증명책임-03</v>
      </c>
    </row>
    <row r="295" spans="2:15" ht="14.45" customHeight="1" x14ac:dyDescent="0.2">
      <c r="B295" s="26" t="s">
        <v>1274</v>
      </c>
      <c r="C295" s="27" t="s">
        <v>1263</v>
      </c>
      <c r="D295" s="61" t="s">
        <v>2139</v>
      </c>
      <c r="E295" s="62" t="s">
        <v>399</v>
      </c>
      <c r="F295" s="63" t="s">
        <v>2556</v>
      </c>
      <c r="G295" s="64" t="s">
        <v>1303</v>
      </c>
      <c r="H295" s="65" t="s">
        <v>1920</v>
      </c>
      <c r="I295" s="66" t="s">
        <v>1526</v>
      </c>
      <c r="J295" s="67">
        <v>403</v>
      </c>
      <c r="K295" s="68"/>
      <c r="L295" s="260"/>
      <c r="M295" s="70"/>
      <c r="N295" s="71"/>
      <c r="O295" s="69" t="str">
        <f t="shared" si="4"/>
        <v>제3편 제1심의 소송절차-제07장 증거-제06절 증명책임-04</v>
      </c>
    </row>
    <row r="296" spans="2:15" ht="14.45" customHeight="1" x14ac:dyDescent="0.2">
      <c r="B296" s="26" t="s">
        <v>1274</v>
      </c>
      <c r="C296" s="27" t="s">
        <v>1263</v>
      </c>
      <c r="D296" s="61" t="s">
        <v>2139</v>
      </c>
      <c r="E296" s="62" t="s">
        <v>399</v>
      </c>
      <c r="F296" s="63" t="s">
        <v>2557</v>
      </c>
      <c r="G296" s="64" t="s">
        <v>2310</v>
      </c>
      <c r="H296" s="65" t="s">
        <v>1921</v>
      </c>
      <c r="I296" s="66" t="s">
        <v>1527</v>
      </c>
      <c r="J296" s="67">
        <v>240</v>
      </c>
      <c r="K296" s="68"/>
      <c r="L296" s="260"/>
      <c r="M296" s="70"/>
      <c r="N296" s="71"/>
      <c r="O296" s="69" t="str">
        <f t="shared" si="4"/>
        <v>제3편 제1심의 소송절차-제07장 증거-제06절 증명책임-05</v>
      </c>
    </row>
    <row r="297" spans="2:15" ht="14.45" customHeight="1" x14ac:dyDescent="0.2">
      <c r="B297" s="26" t="s">
        <v>1274</v>
      </c>
      <c r="C297" s="27" t="s">
        <v>1263</v>
      </c>
      <c r="D297" s="61" t="s">
        <v>2139</v>
      </c>
      <c r="E297" s="62" t="s">
        <v>399</v>
      </c>
      <c r="F297" s="63" t="s">
        <v>2558</v>
      </c>
      <c r="G297" s="64" t="s">
        <v>2311</v>
      </c>
      <c r="H297" s="65" t="s">
        <v>1922</v>
      </c>
      <c r="I297" s="66" t="s">
        <v>1528</v>
      </c>
      <c r="J297" s="67">
        <v>605</v>
      </c>
      <c r="K297" s="68"/>
      <c r="L297" s="260"/>
      <c r="M297" s="70"/>
      <c r="N297" s="71"/>
      <c r="O297" s="69" t="str">
        <f t="shared" si="4"/>
        <v>제3편 제1심의 소송절차-제07장 증거-제06절 증명책임-06</v>
      </c>
    </row>
    <row r="298" spans="2:15" ht="14.45" customHeight="1" x14ac:dyDescent="0.2">
      <c r="B298" s="26" t="s">
        <v>1274</v>
      </c>
      <c r="C298" s="27" t="s">
        <v>1263</v>
      </c>
      <c r="D298" s="61" t="s">
        <v>2139</v>
      </c>
      <c r="E298" s="62" t="s">
        <v>399</v>
      </c>
      <c r="F298" s="63" t="s">
        <v>2559</v>
      </c>
      <c r="G298" s="64" t="s">
        <v>2312</v>
      </c>
      <c r="H298" s="65" t="s">
        <v>1923</v>
      </c>
      <c r="I298" s="66" t="s">
        <v>1529</v>
      </c>
      <c r="J298" s="67">
        <v>630</v>
      </c>
      <c r="K298" s="68"/>
      <c r="L298" s="260"/>
      <c r="M298" s="70"/>
      <c r="N298" s="71"/>
      <c r="O298" s="69" t="str">
        <f t="shared" si="4"/>
        <v>제3편 제1심의 소송절차-제07장 증거-제06절 증명책임-07</v>
      </c>
    </row>
    <row r="299" spans="2:15" ht="14.45" customHeight="1" x14ac:dyDescent="0.2">
      <c r="B299" s="26" t="s">
        <v>1274</v>
      </c>
      <c r="C299" s="27" t="s">
        <v>1263</v>
      </c>
      <c r="D299" s="61" t="s">
        <v>2139</v>
      </c>
      <c r="E299" s="62" t="s">
        <v>399</v>
      </c>
      <c r="F299" s="63" t="s">
        <v>2560</v>
      </c>
      <c r="G299" s="64" t="s">
        <v>2313</v>
      </c>
      <c r="H299" s="65" t="s">
        <v>1924</v>
      </c>
      <c r="I299" s="66" t="s">
        <v>1530</v>
      </c>
      <c r="J299" s="67">
        <v>832</v>
      </c>
      <c r="K299" s="68"/>
      <c r="L299" s="260"/>
      <c r="M299" s="70"/>
      <c r="N299" s="71"/>
      <c r="O299" s="69" t="str">
        <f t="shared" si="4"/>
        <v>제3편 제1심의 소송절차-제07장 증거-제06절 증명책임-08</v>
      </c>
    </row>
    <row r="300" spans="2:15" ht="14.45" customHeight="1" x14ac:dyDescent="0.2">
      <c r="B300" s="26" t="s">
        <v>1274</v>
      </c>
      <c r="C300" s="27" t="s">
        <v>1263</v>
      </c>
      <c r="D300" s="61" t="s">
        <v>2139</v>
      </c>
      <c r="E300" s="62" t="s">
        <v>399</v>
      </c>
      <c r="F300" s="63" t="s">
        <v>2561</v>
      </c>
      <c r="G300" s="64" t="s">
        <v>2314</v>
      </c>
      <c r="H300" s="65" t="s">
        <v>1925</v>
      </c>
      <c r="I300" s="66" t="s">
        <v>1531</v>
      </c>
      <c r="J300" s="67">
        <v>569</v>
      </c>
      <c r="K300" s="68"/>
      <c r="L300" s="260"/>
      <c r="M300" s="70"/>
      <c r="N300" s="71"/>
      <c r="O300" s="69" t="str">
        <f t="shared" si="4"/>
        <v>제3편 제1심의 소송절차-제07장 증거-제06절 증명책임-09</v>
      </c>
    </row>
    <row r="301" spans="2:15" ht="14.45" customHeight="1" thickBot="1" x14ac:dyDescent="0.25">
      <c r="B301" s="95" t="s">
        <v>1274</v>
      </c>
      <c r="C301" s="72" t="s">
        <v>1263</v>
      </c>
      <c r="D301" s="73" t="s">
        <v>2139</v>
      </c>
      <c r="E301" s="74" t="s">
        <v>399</v>
      </c>
      <c r="F301" s="75" t="s">
        <v>2562</v>
      </c>
      <c r="G301" s="76" t="s">
        <v>2315</v>
      </c>
      <c r="H301" s="77" t="s">
        <v>1926</v>
      </c>
      <c r="I301" s="78" t="s">
        <v>1532</v>
      </c>
      <c r="J301" s="79">
        <v>529</v>
      </c>
      <c r="K301" s="80"/>
      <c r="L301" s="261"/>
      <c r="M301" s="82"/>
      <c r="N301" s="83"/>
      <c r="O301" s="81" t="str">
        <f t="shared" si="4"/>
        <v>제3편 제1심의 소송절차-제07장 증거-제06절 증명책임-10</v>
      </c>
    </row>
    <row r="302" spans="2:15" ht="14.45" customHeight="1" x14ac:dyDescent="0.2">
      <c r="B302" s="13" t="s">
        <v>1333</v>
      </c>
      <c r="C302" s="14" t="s">
        <v>1266</v>
      </c>
      <c r="D302" s="84" t="s">
        <v>2206</v>
      </c>
      <c r="E302" s="85" t="s">
        <v>7</v>
      </c>
      <c r="F302" s="86" t="s">
        <v>17</v>
      </c>
      <c r="G302" s="87" t="s">
        <v>1300</v>
      </c>
      <c r="H302" s="88" t="s">
        <v>59</v>
      </c>
      <c r="I302" s="89" t="s">
        <v>3076</v>
      </c>
      <c r="J302" s="90">
        <v>2255</v>
      </c>
      <c r="K302" s="91" t="s">
        <v>1326</v>
      </c>
      <c r="L302" s="262"/>
      <c r="M302" s="93"/>
      <c r="N302" s="94"/>
      <c r="O302" s="92" t="str">
        <f t="shared" si="4"/>
        <v>제4편 소송의 종료-제08장 총설-제01절 소송종료사유-01</v>
      </c>
    </row>
    <row r="303" spans="2:15" ht="14.45" customHeight="1" x14ac:dyDescent="0.2">
      <c r="B303" s="26" t="s">
        <v>1275</v>
      </c>
      <c r="C303" s="27" t="s">
        <v>1265</v>
      </c>
      <c r="D303" s="50" t="s">
        <v>2207</v>
      </c>
      <c r="E303" s="51" t="s">
        <v>7</v>
      </c>
      <c r="F303" s="52" t="s">
        <v>17</v>
      </c>
      <c r="G303" s="53" t="s">
        <v>1300</v>
      </c>
      <c r="H303" s="54" t="s">
        <v>60</v>
      </c>
      <c r="I303" s="55" t="s">
        <v>3077</v>
      </c>
      <c r="J303" s="56">
        <v>2325</v>
      </c>
      <c r="K303" s="57" t="s">
        <v>1326</v>
      </c>
      <c r="L303" s="259"/>
      <c r="M303" s="59"/>
      <c r="N303" s="60"/>
      <c r="O303" s="58" t="str">
        <f t="shared" si="4"/>
        <v>제4편 소송의 종료-제08장 총설-제02절 소송종료선언-01</v>
      </c>
    </row>
    <row r="304" spans="2:15" ht="14.45" customHeight="1" x14ac:dyDescent="0.2">
      <c r="B304" s="26" t="s">
        <v>1275</v>
      </c>
      <c r="C304" s="27" t="s">
        <v>1265</v>
      </c>
      <c r="D304" s="61" t="s">
        <v>2207</v>
      </c>
      <c r="E304" s="62" t="s">
        <v>399</v>
      </c>
      <c r="F304" s="63" t="s">
        <v>2563</v>
      </c>
      <c r="G304" s="64" t="s">
        <v>1301</v>
      </c>
      <c r="H304" s="65" t="s">
        <v>1927</v>
      </c>
      <c r="I304" s="66" t="s">
        <v>1533</v>
      </c>
      <c r="J304" s="67">
        <v>476</v>
      </c>
      <c r="K304" s="68"/>
      <c r="L304" s="260"/>
      <c r="M304" s="70"/>
      <c r="N304" s="71"/>
      <c r="O304" s="69" t="str">
        <f t="shared" si="4"/>
        <v>제4편 소송의 종료-제08장 총설-제02절 소송종료선언-02</v>
      </c>
    </row>
    <row r="305" spans="2:15" ht="14.45" customHeight="1" thickBot="1" x14ac:dyDescent="0.25">
      <c r="B305" s="26" t="s">
        <v>1275</v>
      </c>
      <c r="C305" s="72" t="s">
        <v>1265</v>
      </c>
      <c r="D305" s="73" t="s">
        <v>2207</v>
      </c>
      <c r="E305" s="74" t="s">
        <v>399</v>
      </c>
      <c r="F305" s="75" t="s">
        <v>2564</v>
      </c>
      <c r="G305" s="76" t="s">
        <v>1302</v>
      </c>
      <c r="H305" s="77" t="s">
        <v>1928</v>
      </c>
      <c r="I305" s="78" t="s">
        <v>1534</v>
      </c>
      <c r="J305" s="79">
        <v>419</v>
      </c>
      <c r="K305" s="80"/>
      <c r="L305" s="261"/>
      <c r="M305" s="82"/>
      <c r="N305" s="83"/>
      <c r="O305" s="81" t="str">
        <f t="shared" si="4"/>
        <v>제4편 소송의 종료-제08장 총설-제02절 소송종료선언-03</v>
      </c>
    </row>
    <row r="306" spans="2:15" ht="14.45" customHeight="1" x14ac:dyDescent="0.2">
      <c r="B306" s="26" t="s">
        <v>1275</v>
      </c>
      <c r="C306" s="14" t="s">
        <v>1280</v>
      </c>
      <c r="D306" s="15" t="s">
        <v>2156</v>
      </c>
      <c r="E306" s="16" t="s">
        <v>7</v>
      </c>
      <c r="F306" s="17" t="s">
        <v>86</v>
      </c>
      <c r="G306" s="18" t="s">
        <v>1300</v>
      </c>
      <c r="H306" s="19" t="s">
        <v>61</v>
      </c>
      <c r="I306" s="20" t="s">
        <v>3078</v>
      </c>
      <c r="J306" s="21">
        <v>2290</v>
      </c>
      <c r="K306" s="22" t="s">
        <v>1325</v>
      </c>
      <c r="L306" s="256" t="s">
        <v>2293</v>
      </c>
      <c r="M306" s="24"/>
      <c r="N306" s="25"/>
      <c r="O306" s="23" t="str">
        <f t="shared" si="4"/>
        <v>제4편 소송의 종료-제09장 당사자 행위에 의한 종료-제01절 소의 취하와 재소금지-01</v>
      </c>
    </row>
    <row r="307" spans="2:15" ht="14.45" customHeight="1" x14ac:dyDescent="0.2">
      <c r="B307" s="26" t="s">
        <v>1275</v>
      </c>
      <c r="C307" s="27" t="s">
        <v>1279</v>
      </c>
      <c r="D307" s="61" t="s">
        <v>2156</v>
      </c>
      <c r="E307" s="62" t="s">
        <v>1193</v>
      </c>
      <c r="F307" s="63" t="s">
        <v>119</v>
      </c>
      <c r="G307" s="64" t="s">
        <v>1301</v>
      </c>
      <c r="H307" s="65" t="s">
        <v>2769</v>
      </c>
      <c r="I307" s="66" t="s">
        <v>2770</v>
      </c>
      <c r="J307" s="67">
        <v>1547</v>
      </c>
      <c r="K307" s="68" t="s">
        <v>1326</v>
      </c>
      <c r="L307" s="260" t="s">
        <v>2309</v>
      </c>
      <c r="M307" s="70"/>
      <c r="N307" s="71"/>
      <c r="O307" s="69" t="str">
        <f t="shared" si="4"/>
        <v>제4편 소송의 종료-제09장 당사자 행위에 의한 종료-제01절 소의 취하와 재소금지-02</v>
      </c>
    </row>
    <row r="308" spans="2:15" ht="14.45" customHeight="1" x14ac:dyDescent="0.2">
      <c r="B308" s="26" t="s">
        <v>1275</v>
      </c>
      <c r="C308" s="27" t="s">
        <v>1279</v>
      </c>
      <c r="D308" s="61" t="s">
        <v>2156</v>
      </c>
      <c r="E308" s="62" t="s">
        <v>1193</v>
      </c>
      <c r="F308" s="63" t="s">
        <v>1113</v>
      </c>
      <c r="G308" s="64" t="s">
        <v>1302</v>
      </c>
      <c r="H308" s="65" t="s">
        <v>1233</v>
      </c>
      <c r="I308" s="66" t="s">
        <v>1234</v>
      </c>
      <c r="J308" s="67">
        <v>1517</v>
      </c>
      <c r="K308" s="68" t="s">
        <v>1326</v>
      </c>
      <c r="L308" s="260" t="s">
        <v>2309</v>
      </c>
      <c r="M308" s="70"/>
      <c r="N308" s="71"/>
      <c r="O308" s="69" t="str">
        <f t="shared" si="4"/>
        <v>제4편 소송의 종료-제09장 당사자 행위에 의한 종료-제01절 소의 취하와 재소금지-03</v>
      </c>
    </row>
    <row r="309" spans="2:15" ht="14.45" customHeight="1" x14ac:dyDescent="0.2">
      <c r="B309" s="26" t="s">
        <v>1275</v>
      </c>
      <c r="C309" s="27" t="s">
        <v>1279</v>
      </c>
      <c r="D309" s="61" t="s">
        <v>2156</v>
      </c>
      <c r="E309" s="62" t="s">
        <v>1193</v>
      </c>
      <c r="F309" s="63" t="s">
        <v>118</v>
      </c>
      <c r="G309" s="64" t="s">
        <v>1303</v>
      </c>
      <c r="H309" s="65" t="s">
        <v>1231</v>
      </c>
      <c r="I309" s="66" t="s">
        <v>1232</v>
      </c>
      <c r="J309" s="67">
        <v>1501</v>
      </c>
      <c r="K309" s="68" t="s">
        <v>1326</v>
      </c>
      <c r="L309" s="260" t="s">
        <v>2309</v>
      </c>
      <c r="M309" s="70"/>
      <c r="N309" s="71"/>
      <c r="O309" s="69" t="str">
        <f t="shared" si="4"/>
        <v>제4편 소송의 종료-제09장 당사자 행위에 의한 종료-제01절 소의 취하와 재소금지-04</v>
      </c>
    </row>
    <row r="310" spans="2:15" ht="14.45" customHeight="1" x14ac:dyDescent="0.2">
      <c r="B310" s="26" t="s">
        <v>1275</v>
      </c>
      <c r="C310" s="27" t="s">
        <v>1279</v>
      </c>
      <c r="D310" s="61" t="s">
        <v>2156</v>
      </c>
      <c r="E310" s="62" t="s">
        <v>399</v>
      </c>
      <c r="F310" s="63" t="s">
        <v>2565</v>
      </c>
      <c r="G310" s="64" t="s">
        <v>2310</v>
      </c>
      <c r="H310" s="65" t="s">
        <v>1929</v>
      </c>
      <c r="I310" s="66" t="s">
        <v>1535</v>
      </c>
      <c r="J310" s="67">
        <v>498</v>
      </c>
      <c r="K310" s="68" t="s">
        <v>1325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재소금지-05</v>
      </c>
    </row>
    <row r="311" spans="2:15" ht="14.45" customHeight="1" x14ac:dyDescent="0.2">
      <c r="B311" s="26" t="s">
        <v>1275</v>
      </c>
      <c r="C311" s="27" t="s">
        <v>1279</v>
      </c>
      <c r="D311" s="61" t="s">
        <v>2156</v>
      </c>
      <c r="E311" s="62" t="s">
        <v>399</v>
      </c>
      <c r="F311" s="63" t="s">
        <v>2566</v>
      </c>
      <c r="G311" s="64" t="s">
        <v>2311</v>
      </c>
      <c r="H311" s="65" t="s">
        <v>1930</v>
      </c>
      <c r="I311" s="66" t="s">
        <v>1536</v>
      </c>
      <c r="J311" s="67">
        <v>274</v>
      </c>
      <c r="K311" s="68" t="s">
        <v>1325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재소금지-06</v>
      </c>
    </row>
    <row r="312" spans="2:15" ht="14.45" customHeight="1" x14ac:dyDescent="0.2">
      <c r="B312" s="26" t="s">
        <v>1275</v>
      </c>
      <c r="C312" s="27" t="s">
        <v>1279</v>
      </c>
      <c r="D312" s="61" t="s">
        <v>2156</v>
      </c>
      <c r="E312" s="62" t="s">
        <v>399</v>
      </c>
      <c r="F312" s="63" t="s">
        <v>2567</v>
      </c>
      <c r="G312" s="64" t="s">
        <v>2312</v>
      </c>
      <c r="H312" s="65" t="s">
        <v>1931</v>
      </c>
      <c r="I312" s="66" t="s">
        <v>1537</v>
      </c>
      <c r="J312" s="67">
        <v>210</v>
      </c>
      <c r="K312" s="68" t="s">
        <v>1325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재소금지-07</v>
      </c>
    </row>
    <row r="313" spans="2:15" ht="14.45" customHeight="1" x14ac:dyDescent="0.2">
      <c r="B313" s="26" t="s">
        <v>1275</v>
      </c>
      <c r="C313" s="27" t="s">
        <v>1279</v>
      </c>
      <c r="D313" s="61" t="s">
        <v>2156</v>
      </c>
      <c r="E313" s="62" t="s">
        <v>399</v>
      </c>
      <c r="F313" s="63" t="s">
        <v>2568</v>
      </c>
      <c r="G313" s="64" t="s">
        <v>2313</v>
      </c>
      <c r="H313" s="65" t="s">
        <v>1932</v>
      </c>
      <c r="I313" s="66" t="s">
        <v>1538</v>
      </c>
      <c r="J313" s="67">
        <v>287</v>
      </c>
      <c r="K313" s="68" t="s">
        <v>1325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재소금지-08</v>
      </c>
    </row>
    <row r="314" spans="2:15" ht="14.45" customHeight="1" x14ac:dyDescent="0.2">
      <c r="B314" s="26" t="s">
        <v>1275</v>
      </c>
      <c r="C314" s="27" t="s">
        <v>1279</v>
      </c>
      <c r="D314" s="61" t="s">
        <v>2156</v>
      </c>
      <c r="E314" s="62" t="s">
        <v>399</v>
      </c>
      <c r="F314" s="63" t="s">
        <v>2569</v>
      </c>
      <c r="G314" s="64" t="s">
        <v>2314</v>
      </c>
      <c r="H314" s="65" t="s">
        <v>1933</v>
      </c>
      <c r="I314" s="66" t="s">
        <v>1539</v>
      </c>
      <c r="J314" s="67">
        <v>379</v>
      </c>
      <c r="K314" s="68" t="s">
        <v>1325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재소금지-09</v>
      </c>
    </row>
    <row r="315" spans="2:15" ht="14.45" customHeight="1" x14ac:dyDescent="0.2">
      <c r="B315" s="26" t="s">
        <v>1275</v>
      </c>
      <c r="C315" s="27" t="s">
        <v>1279</v>
      </c>
      <c r="D315" s="61" t="s">
        <v>2156</v>
      </c>
      <c r="E315" s="62" t="s">
        <v>399</v>
      </c>
      <c r="F315" s="63" t="s">
        <v>2570</v>
      </c>
      <c r="G315" s="64" t="s">
        <v>2315</v>
      </c>
      <c r="H315" s="65" t="s">
        <v>1934</v>
      </c>
      <c r="I315" s="66" t="s">
        <v>1540</v>
      </c>
      <c r="J315" s="67">
        <v>228</v>
      </c>
      <c r="K315" s="68" t="s">
        <v>1325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재소금지-10</v>
      </c>
    </row>
    <row r="316" spans="2:15" ht="14.45" customHeight="1" x14ac:dyDescent="0.2">
      <c r="B316" s="26" t="s">
        <v>1275</v>
      </c>
      <c r="C316" s="27" t="s">
        <v>1279</v>
      </c>
      <c r="D316" s="61" t="s">
        <v>2156</v>
      </c>
      <c r="E316" s="62" t="s">
        <v>399</v>
      </c>
      <c r="F316" s="63" t="s">
        <v>2571</v>
      </c>
      <c r="G316" s="64" t="s">
        <v>2316</v>
      </c>
      <c r="H316" s="65" t="s">
        <v>1935</v>
      </c>
      <c r="I316" s="66" t="s">
        <v>1541</v>
      </c>
      <c r="J316" s="67">
        <v>253</v>
      </c>
      <c r="K316" s="68" t="s">
        <v>1325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재소금지-11</v>
      </c>
    </row>
    <row r="317" spans="2:15" ht="14.45" customHeight="1" x14ac:dyDescent="0.2">
      <c r="B317" s="26" t="s">
        <v>1275</v>
      </c>
      <c r="C317" s="27" t="s">
        <v>1279</v>
      </c>
      <c r="D317" s="61" t="s">
        <v>2156</v>
      </c>
      <c r="E317" s="62" t="s">
        <v>399</v>
      </c>
      <c r="F317" s="63" t="s">
        <v>2572</v>
      </c>
      <c r="G317" s="64" t="s">
        <v>2317</v>
      </c>
      <c r="H317" s="65" t="s">
        <v>1936</v>
      </c>
      <c r="I317" s="66" t="s">
        <v>1542</v>
      </c>
      <c r="J317" s="67">
        <v>243</v>
      </c>
      <c r="K317" s="68" t="s">
        <v>1325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재소금지-12</v>
      </c>
    </row>
    <row r="318" spans="2:15" ht="14.45" customHeight="1" x14ac:dyDescent="0.2">
      <c r="B318" s="26" t="s">
        <v>1275</v>
      </c>
      <c r="C318" s="27" t="s">
        <v>1279</v>
      </c>
      <c r="D318" s="61" t="s">
        <v>2156</v>
      </c>
      <c r="E318" s="62" t="s">
        <v>399</v>
      </c>
      <c r="F318" s="63" t="s">
        <v>2573</v>
      </c>
      <c r="G318" s="64" t="s">
        <v>2318</v>
      </c>
      <c r="H318" s="65" t="s">
        <v>1937</v>
      </c>
      <c r="I318" s="66" t="s">
        <v>1543</v>
      </c>
      <c r="J318" s="67">
        <v>385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재소금지-13</v>
      </c>
    </row>
    <row r="319" spans="2:15" ht="14.45" customHeight="1" x14ac:dyDescent="0.2">
      <c r="B319" s="26" t="s">
        <v>1275</v>
      </c>
      <c r="C319" s="27" t="s">
        <v>1279</v>
      </c>
      <c r="D319" s="61" t="s">
        <v>2156</v>
      </c>
      <c r="E319" s="62" t="s">
        <v>399</v>
      </c>
      <c r="F319" s="63" t="s">
        <v>2574</v>
      </c>
      <c r="G319" s="64" t="s">
        <v>2319</v>
      </c>
      <c r="H319" s="65" t="s">
        <v>1938</v>
      </c>
      <c r="I319" s="66" t="s">
        <v>1544</v>
      </c>
      <c r="J319" s="67">
        <v>301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재소금지-14</v>
      </c>
    </row>
    <row r="320" spans="2:15" ht="14.45" customHeight="1" x14ac:dyDescent="0.2">
      <c r="B320" s="26" t="s">
        <v>1275</v>
      </c>
      <c r="C320" s="27" t="s">
        <v>1279</v>
      </c>
      <c r="D320" s="61" t="s">
        <v>2156</v>
      </c>
      <c r="E320" s="62" t="s">
        <v>399</v>
      </c>
      <c r="F320" s="63" t="s">
        <v>2575</v>
      </c>
      <c r="G320" s="64" t="s">
        <v>2320</v>
      </c>
      <c r="H320" s="65" t="s">
        <v>1939</v>
      </c>
      <c r="I320" s="66" t="s">
        <v>1545</v>
      </c>
      <c r="J320" s="67">
        <v>287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재소금지-15</v>
      </c>
    </row>
    <row r="321" spans="2:15" ht="14.45" customHeight="1" x14ac:dyDescent="0.2">
      <c r="B321" s="26" t="s">
        <v>1275</v>
      </c>
      <c r="C321" s="27" t="s">
        <v>1279</v>
      </c>
      <c r="D321" s="61" t="s">
        <v>2156</v>
      </c>
      <c r="E321" s="62" t="s">
        <v>399</v>
      </c>
      <c r="F321" s="63" t="s">
        <v>2576</v>
      </c>
      <c r="G321" s="64" t="s">
        <v>2321</v>
      </c>
      <c r="H321" s="65" t="s">
        <v>1940</v>
      </c>
      <c r="I321" s="66" t="s">
        <v>1546</v>
      </c>
      <c r="J321" s="67">
        <v>522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재소금지-16</v>
      </c>
    </row>
    <row r="322" spans="2:15" ht="14.45" customHeight="1" x14ac:dyDescent="0.2">
      <c r="B322" s="26" t="s">
        <v>1275</v>
      </c>
      <c r="C322" s="27" t="s">
        <v>1279</v>
      </c>
      <c r="D322" s="61" t="s">
        <v>2156</v>
      </c>
      <c r="E322" s="62" t="s">
        <v>399</v>
      </c>
      <c r="F322" s="63" t="s">
        <v>2577</v>
      </c>
      <c r="G322" s="64" t="s">
        <v>2322</v>
      </c>
      <c r="H322" s="65" t="s">
        <v>1941</v>
      </c>
      <c r="I322" s="66" t="s">
        <v>1547</v>
      </c>
      <c r="J322" s="67">
        <v>415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재소금지-17</v>
      </c>
    </row>
    <row r="323" spans="2:15" ht="14.45" customHeight="1" x14ac:dyDescent="0.2">
      <c r="B323" s="26" t="s">
        <v>1275</v>
      </c>
      <c r="C323" s="27" t="s">
        <v>1279</v>
      </c>
      <c r="D323" s="61" t="s">
        <v>2156</v>
      </c>
      <c r="E323" s="62" t="s">
        <v>399</v>
      </c>
      <c r="F323" s="63" t="s">
        <v>2578</v>
      </c>
      <c r="G323" s="64" t="s">
        <v>2323</v>
      </c>
      <c r="H323" s="65" t="s">
        <v>1942</v>
      </c>
      <c r="I323" s="66" t="s">
        <v>1548</v>
      </c>
      <c r="J323" s="67">
        <v>801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재소금지-18</v>
      </c>
    </row>
    <row r="324" spans="2:15" ht="14.45" customHeight="1" x14ac:dyDescent="0.2">
      <c r="B324" s="26" t="s">
        <v>1275</v>
      </c>
      <c r="C324" s="27" t="s">
        <v>1279</v>
      </c>
      <c r="D324" s="61" t="s">
        <v>2156</v>
      </c>
      <c r="E324" s="62" t="s">
        <v>399</v>
      </c>
      <c r="F324" s="63" t="s">
        <v>2579</v>
      </c>
      <c r="G324" s="64" t="s">
        <v>2324</v>
      </c>
      <c r="H324" s="65" t="s">
        <v>1943</v>
      </c>
      <c r="I324" s="66" t="s">
        <v>1549</v>
      </c>
      <c r="J324" s="67">
        <v>266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재소금지-19</v>
      </c>
    </row>
    <row r="325" spans="2:15" ht="14.45" customHeight="1" x14ac:dyDescent="0.2">
      <c r="B325" s="26" t="s">
        <v>1275</v>
      </c>
      <c r="C325" s="27" t="s">
        <v>1279</v>
      </c>
      <c r="D325" s="61" t="s">
        <v>2156</v>
      </c>
      <c r="E325" s="62" t="s">
        <v>399</v>
      </c>
      <c r="F325" s="63" t="s">
        <v>2580</v>
      </c>
      <c r="G325" s="64" t="s">
        <v>2325</v>
      </c>
      <c r="H325" s="65" t="s">
        <v>1944</v>
      </c>
      <c r="I325" s="66" t="s">
        <v>1550</v>
      </c>
      <c r="J325" s="67">
        <v>343</v>
      </c>
      <c r="K325" s="68"/>
      <c r="L325" s="260"/>
      <c r="M325" s="70"/>
      <c r="N325" s="71"/>
      <c r="O325" s="69" t="str">
        <f t="shared" ref="O325:O388" si="5">B325&amp;"-"&amp;C325&amp;"-"&amp;D325&amp;"-"&amp;G325</f>
        <v>제4편 소송의 종료-제09장 당사자 행위에 의한 종료-제01절 소의 취하와 재소금지-20</v>
      </c>
    </row>
    <row r="326" spans="2:15" ht="14.45" customHeight="1" x14ac:dyDescent="0.2">
      <c r="B326" s="26" t="s">
        <v>1275</v>
      </c>
      <c r="C326" s="27" t="s">
        <v>1279</v>
      </c>
      <c r="D326" s="28" t="s">
        <v>2156</v>
      </c>
      <c r="E326" s="29" t="s">
        <v>399</v>
      </c>
      <c r="F326" s="30" t="s">
        <v>2581</v>
      </c>
      <c r="G326" s="31" t="s">
        <v>2326</v>
      </c>
      <c r="H326" s="32" t="s">
        <v>1945</v>
      </c>
      <c r="I326" s="33" t="s">
        <v>1551</v>
      </c>
      <c r="J326" s="34">
        <v>300</v>
      </c>
      <c r="K326" s="35"/>
      <c r="L326" s="257"/>
      <c r="M326" s="37"/>
      <c r="N326" s="38"/>
      <c r="O326" s="36" t="str">
        <f t="shared" si="5"/>
        <v>제4편 소송의 종료-제09장 당사자 행위에 의한 종료-제01절 소의 취하와 재소금지-21</v>
      </c>
    </row>
    <row r="327" spans="2:15" ht="14.45" customHeight="1" x14ac:dyDescent="0.2">
      <c r="B327" s="26" t="s">
        <v>1275</v>
      </c>
      <c r="C327" s="27" t="s">
        <v>1279</v>
      </c>
      <c r="D327" s="50" t="s">
        <v>2159</v>
      </c>
      <c r="E327" s="51" t="s">
        <v>7</v>
      </c>
      <c r="F327" s="52" t="s">
        <v>86</v>
      </c>
      <c r="G327" s="53" t="s">
        <v>1300</v>
      </c>
      <c r="H327" s="54" t="s">
        <v>157</v>
      </c>
      <c r="I327" s="55" t="s">
        <v>3079</v>
      </c>
      <c r="J327" s="56">
        <v>2040</v>
      </c>
      <c r="K327" s="57" t="s">
        <v>1326</v>
      </c>
      <c r="L327" s="259"/>
      <c r="M327" s="59"/>
      <c r="N327" s="60"/>
      <c r="O327" s="58" t="str">
        <f t="shared" si="5"/>
        <v>제4편 소송의 종료-제09장 당사자 행위에 의한 종료-제02절 청구의 포기・인낙-01</v>
      </c>
    </row>
    <row r="328" spans="2:15" ht="14.45" customHeight="1" x14ac:dyDescent="0.2">
      <c r="B328" s="26" t="s">
        <v>1275</v>
      </c>
      <c r="C328" s="27" t="s">
        <v>1279</v>
      </c>
      <c r="D328" s="61" t="s">
        <v>2159</v>
      </c>
      <c r="E328" s="62" t="s">
        <v>2771</v>
      </c>
      <c r="F328" s="63" t="s">
        <v>2251</v>
      </c>
      <c r="G328" s="64" t="s">
        <v>1301</v>
      </c>
      <c r="H328" s="65" t="s">
        <v>158</v>
      </c>
      <c r="I328" s="66" t="s">
        <v>2773</v>
      </c>
      <c r="J328" s="67">
        <v>1305</v>
      </c>
      <c r="K328" s="68" t="s">
        <v>1326</v>
      </c>
      <c r="L328" s="260"/>
      <c r="M328" s="70"/>
      <c r="N328" s="71"/>
      <c r="O328" s="69" t="str">
        <f t="shared" si="5"/>
        <v>제4편 소송의 종료-제09장 당사자 행위에 의한 종료-제02절 청구의 포기・인낙-02</v>
      </c>
    </row>
    <row r="329" spans="2:15" ht="14.45" customHeight="1" x14ac:dyDescent="0.2">
      <c r="B329" s="26" t="s">
        <v>1275</v>
      </c>
      <c r="C329" s="27" t="s">
        <v>1279</v>
      </c>
      <c r="D329" s="61" t="s">
        <v>2159</v>
      </c>
      <c r="E329" s="62" t="s">
        <v>2771</v>
      </c>
      <c r="F329" s="63" t="s">
        <v>2252</v>
      </c>
      <c r="G329" s="64" t="s">
        <v>1302</v>
      </c>
      <c r="H329" s="65" t="s">
        <v>159</v>
      </c>
      <c r="I329" s="66" t="s">
        <v>2774</v>
      </c>
      <c r="J329" s="67">
        <v>1258</v>
      </c>
      <c r="K329" s="68" t="s">
        <v>1326</v>
      </c>
      <c r="L329" s="260"/>
      <c r="M329" s="70"/>
      <c r="N329" s="71"/>
      <c r="O329" s="69" t="str">
        <f t="shared" si="5"/>
        <v>제4편 소송의 종료-제09장 당사자 행위에 의한 종료-제02절 청구의 포기・인낙-03</v>
      </c>
    </row>
    <row r="330" spans="2:15" ht="14.45" customHeight="1" x14ac:dyDescent="0.2">
      <c r="B330" s="26" t="s">
        <v>1275</v>
      </c>
      <c r="C330" s="27" t="s">
        <v>1279</v>
      </c>
      <c r="D330" s="61" t="s">
        <v>2159</v>
      </c>
      <c r="E330" s="62" t="s">
        <v>399</v>
      </c>
      <c r="F330" s="63" t="s">
        <v>2582</v>
      </c>
      <c r="G330" s="64" t="s">
        <v>1303</v>
      </c>
      <c r="H330" s="65" t="s">
        <v>1946</v>
      </c>
      <c r="I330" s="66" t="s">
        <v>1552</v>
      </c>
      <c r="J330" s="67">
        <v>285</v>
      </c>
      <c r="K330" s="68"/>
      <c r="L330" s="260"/>
      <c r="M330" s="70"/>
      <c r="N330" s="71"/>
      <c r="O330" s="69" t="str">
        <f t="shared" si="5"/>
        <v>제4편 소송의 종료-제09장 당사자 행위에 의한 종료-제02절 청구의 포기・인낙-04</v>
      </c>
    </row>
    <row r="331" spans="2:15" ht="14.45" customHeight="1" x14ac:dyDescent="0.2">
      <c r="B331" s="26" t="s">
        <v>1275</v>
      </c>
      <c r="C331" s="27" t="s">
        <v>1279</v>
      </c>
      <c r="D331" s="28" t="s">
        <v>2159</v>
      </c>
      <c r="E331" s="29" t="s">
        <v>399</v>
      </c>
      <c r="F331" s="30" t="s">
        <v>2583</v>
      </c>
      <c r="G331" s="31" t="s">
        <v>2310</v>
      </c>
      <c r="H331" s="32" t="s">
        <v>1947</v>
      </c>
      <c r="I331" s="33" t="s">
        <v>1553</v>
      </c>
      <c r="J331" s="34">
        <v>403</v>
      </c>
      <c r="K331" s="35"/>
      <c r="L331" s="257"/>
      <c r="M331" s="37"/>
      <c r="N331" s="38"/>
      <c r="O331" s="36" t="str">
        <f t="shared" si="5"/>
        <v>제4편 소송의 종료-제09장 당사자 행위에 의한 종료-제02절 청구의 포기・인낙-05</v>
      </c>
    </row>
    <row r="332" spans="2:15" ht="14.45" customHeight="1" x14ac:dyDescent="0.2">
      <c r="B332" s="26" t="s">
        <v>1275</v>
      </c>
      <c r="C332" s="27" t="s">
        <v>1279</v>
      </c>
      <c r="D332" s="50" t="s">
        <v>2158</v>
      </c>
      <c r="E332" s="51" t="s">
        <v>7</v>
      </c>
      <c r="F332" s="52" t="s">
        <v>86</v>
      </c>
      <c r="G332" s="53" t="s">
        <v>1300</v>
      </c>
      <c r="H332" s="54" t="s">
        <v>62</v>
      </c>
      <c r="I332" s="55" t="s">
        <v>3080</v>
      </c>
      <c r="J332" s="56">
        <v>2973</v>
      </c>
      <c r="K332" s="57" t="s">
        <v>1325</v>
      </c>
      <c r="L332" s="259"/>
      <c r="M332" s="59"/>
      <c r="N332" s="60"/>
      <c r="O332" s="58" t="str">
        <f t="shared" si="5"/>
        <v>제4편 소송의 종료-제09장 당사자 행위에 의한 종료-제03절 재판상 화해-01</v>
      </c>
    </row>
    <row r="333" spans="2:15" ht="14.45" customHeight="1" x14ac:dyDescent="0.2">
      <c r="B333" s="26" t="s">
        <v>1275</v>
      </c>
      <c r="C333" s="27" t="s">
        <v>1279</v>
      </c>
      <c r="D333" s="61" t="s">
        <v>2158</v>
      </c>
      <c r="E333" s="62" t="s">
        <v>1193</v>
      </c>
      <c r="F333" s="63" t="s">
        <v>1114</v>
      </c>
      <c r="G333" s="64" t="s">
        <v>1301</v>
      </c>
      <c r="H333" s="65" t="s">
        <v>1215</v>
      </c>
      <c r="I333" s="66" t="s">
        <v>1216</v>
      </c>
      <c r="J333" s="67">
        <v>1465</v>
      </c>
      <c r="K333" s="68" t="s">
        <v>1325</v>
      </c>
      <c r="L333" s="260" t="s">
        <v>2309</v>
      </c>
      <c r="M333" s="70"/>
      <c r="N333" s="71"/>
      <c r="O333" s="69" t="str">
        <f t="shared" si="5"/>
        <v>제4편 소송의 종료-제09장 당사자 행위에 의한 종료-제03절 재판상 화해-02</v>
      </c>
    </row>
    <row r="334" spans="2:15" ht="14.45" customHeight="1" x14ac:dyDescent="0.2">
      <c r="B334" s="26" t="s">
        <v>1275</v>
      </c>
      <c r="C334" s="27" t="s">
        <v>1279</v>
      </c>
      <c r="D334" s="61" t="s">
        <v>2158</v>
      </c>
      <c r="E334" s="62" t="s">
        <v>399</v>
      </c>
      <c r="F334" s="63" t="s">
        <v>2584</v>
      </c>
      <c r="G334" s="64" t="s">
        <v>1302</v>
      </c>
      <c r="H334" s="65" t="s">
        <v>1948</v>
      </c>
      <c r="I334" s="66" t="s">
        <v>1554</v>
      </c>
      <c r="J334" s="67">
        <v>238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화해-03</v>
      </c>
    </row>
    <row r="335" spans="2:15" ht="14.45" customHeight="1" x14ac:dyDescent="0.2">
      <c r="B335" s="26" t="s">
        <v>1275</v>
      </c>
      <c r="C335" s="27" t="s">
        <v>1279</v>
      </c>
      <c r="D335" s="61" t="s">
        <v>2158</v>
      </c>
      <c r="E335" s="62" t="s">
        <v>399</v>
      </c>
      <c r="F335" s="63" t="s">
        <v>2585</v>
      </c>
      <c r="G335" s="64" t="s">
        <v>1303</v>
      </c>
      <c r="H335" s="65" t="s">
        <v>1949</v>
      </c>
      <c r="I335" s="66" t="s">
        <v>1555</v>
      </c>
      <c r="J335" s="67">
        <v>402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화해-04</v>
      </c>
    </row>
    <row r="336" spans="2:15" ht="14.45" customHeight="1" x14ac:dyDescent="0.2">
      <c r="B336" s="26" t="s">
        <v>1275</v>
      </c>
      <c r="C336" s="27" t="s">
        <v>1279</v>
      </c>
      <c r="D336" s="61" t="s">
        <v>2158</v>
      </c>
      <c r="E336" s="62" t="s">
        <v>399</v>
      </c>
      <c r="F336" s="63" t="s">
        <v>2586</v>
      </c>
      <c r="G336" s="64" t="s">
        <v>2310</v>
      </c>
      <c r="H336" s="65" t="s">
        <v>1950</v>
      </c>
      <c r="I336" s="66" t="s">
        <v>1556</v>
      </c>
      <c r="J336" s="67">
        <v>322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화해-05</v>
      </c>
    </row>
    <row r="337" spans="2:15" ht="14.45" customHeight="1" x14ac:dyDescent="0.2">
      <c r="B337" s="26" t="s">
        <v>1275</v>
      </c>
      <c r="C337" s="27" t="s">
        <v>1279</v>
      </c>
      <c r="D337" s="61" t="s">
        <v>2158</v>
      </c>
      <c r="E337" s="62" t="s">
        <v>399</v>
      </c>
      <c r="F337" s="63" t="s">
        <v>2587</v>
      </c>
      <c r="G337" s="64" t="s">
        <v>2311</v>
      </c>
      <c r="H337" s="65" t="s">
        <v>1951</v>
      </c>
      <c r="I337" s="66" t="s">
        <v>1557</v>
      </c>
      <c r="J337" s="67">
        <v>232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화해-06</v>
      </c>
    </row>
    <row r="338" spans="2:15" ht="14.45" customHeight="1" x14ac:dyDescent="0.2">
      <c r="B338" s="26" t="s">
        <v>1275</v>
      </c>
      <c r="C338" s="27" t="s">
        <v>1279</v>
      </c>
      <c r="D338" s="61" t="s">
        <v>2158</v>
      </c>
      <c r="E338" s="62" t="s">
        <v>399</v>
      </c>
      <c r="F338" s="63" t="s">
        <v>2588</v>
      </c>
      <c r="G338" s="64" t="s">
        <v>2312</v>
      </c>
      <c r="H338" s="65" t="s">
        <v>1952</v>
      </c>
      <c r="I338" s="66" t="s">
        <v>1558</v>
      </c>
      <c r="J338" s="67">
        <v>268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화해-07</v>
      </c>
    </row>
    <row r="339" spans="2:15" ht="14.45" customHeight="1" x14ac:dyDescent="0.2">
      <c r="B339" s="26" t="s">
        <v>1275</v>
      </c>
      <c r="C339" s="27" t="s">
        <v>1279</v>
      </c>
      <c r="D339" s="61" t="s">
        <v>2158</v>
      </c>
      <c r="E339" s="62" t="s">
        <v>399</v>
      </c>
      <c r="F339" s="63" t="s">
        <v>2589</v>
      </c>
      <c r="G339" s="64" t="s">
        <v>2313</v>
      </c>
      <c r="H339" s="65" t="s">
        <v>1953</v>
      </c>
      <c r="I339" s="66" t="s">
        <v>1559</v>
      </c>
      <c r="J339" s="67">
        <v>1358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화해-08</v>
      </c>
    </row>
    <row r="340" spans="2:15" ht="14.45" customHeight="1" x14ac:dyDescent="0.2">
      <c r="B340" s="26" t="s">
        <v>1275</v>
      </c>
      <c r="C340" s="27" t="s">
        <v>1279</v>
      </c>
      <c r="D340" s="61" t="s">
        <v>2158</v>
      </c>
      <c r="E340" s="62" t="s">
        <v>399</v>
      </c>
      <c r="F340" s="63" t="s">
        <v>2590</v>
      </c>
      <c r="G340" s="64" t="s">
        <v>2314</v>
      </c>
      <c r="H340" s="65" t="s">
        <v>1954</v>
      </c>
      <c r="I340" s="66" t="s">
        <v>1560</v>
      </c>
      <c r="J340" s="67">
        <v>583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화해-09</v>
      </c>
    </row>
    <row r="341" spans="2:15" ht="14.45" customHeight="1" x14ac:dyDescent="0.2">
      <c r="B341" s="26" t="s">
        <v>1275</v>
      </c>
      <c r="C341" s="27" t="s">
        <v>1279</v>
      </c>
      <c r="D341" s="61" t="s">
        <v>2158</v>
      </c>
      <c r="E341" s="62" t="s">
        <v>399</v>
      </c>
      <c r="F341" s="63" t="s">
        <v>2591</v>
      </c>
      <c r="G341" s="64" t="s">
        <v>2315</v>
      </c>
      <c r="H341" s="65" t="s">
        <v>1955</v>
      </c>
      <c r="I341" s="66" t="s">
        <v>1561</v>
      </c>
      <c r="J341" s="67">
        <v>373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화해-10</v>
      </c>
    </row>
    <row r="342" spans="2:15" ht="14.45" customHeight="1" x14ac:dyDescent="0.2">
      <c r="B342" s="26" t="s">
        <v>1275</v>
      </c>
      <c r="C342" s="27" t="s">
        <v>1279</v>
      </c>
      <c r="D342" s="61" t="s">
        <v>2158</v>
      </c>
      <c r="E342" s="62" t="s">
        <v>399</v>
      </c>
      <c r="F342" s="63" t="s">
        <v>2592</v>
      </c>
      <c r="G342" s="64" t="s">
        <v>2316</v>
      </c>
      <c r="H342" s="65" t="s">
        <v>1956</v>
      </c>
      <c r="I342" s="66" t="s">
        <v>1562</v>
      </c>
      <c r="J342" s="67">
        <v>348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화해-11</v>
      </c>
    </row>
    <row r="343" spans="2:15" ht="14.45" customHeight="1" x14ac:dyDescent="0.2">
      <c r="B343" s="26" t="s">
        <v>1275</v>
      </c>
      <c r="C343" s="27" t="s">
        <v>1279</v>
      </c>
      <c r="D343" s="61" t="s">
        <v>2158</v>
      </c>
      <c r="E343" s="62" t="s">
        <v>399</v>
      </c>
      <c r="F343" s="63" t="s">
        <v>2593</v>
      </c>
      <c r="G343" s="64" t="s">
        <v>2317</v>
      </c>
      <c r="H343" s="65" t="s">
        <v>1957</v>
      </c>
      <c r="I343" s="66" t="s">
        <v>1563</v>
      </c>
      <c r="J343" s="67">
        <v>277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화해-12</v>
      </c>
    </row>
    <row r="344" spans="2:15" ht="14.45" customHeight="1" x14ac:dyDescent="0.2">
      <c r="B344" s="26" t="s">
        <v>1275</v>
      </c>
      <c r="C344" s="27" t="s">
        <v>1279</v>
      </c>
      <c r="D344" s="61" t="s">
        <v>2158</v>
      </c>
      <c r="E344" s="62" t="s">
        <v>399</v>
      </c>
      <c r="F344" s="63" t="s">
        <v>2594</v>
      </c>
      <c r="G344" s="64" t="s">
        <v>2318</v>
      </c>
      <c r="H344" s="65" t="s">
        <v>1958</v>
      </c>
      <c r="I344" s="66" t="s">
        <v>1564</v>
      </c>
      <c r="J344" s="67">
        <v>499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화해-13</v>
      </c>
    </row>
    <row r="345" spans="2:15" ht="14.45" customHeight="1" thickBot="1" x14ac:dyDescent="0.25">
      <c r="B345" s="26" t="s">
        <v>1275</v>
      </c>
      <c r="C345" s="72" t="s">
        <v>1279</v>
      </c>
      <c r="D345" s="73" t="s">
        <v>2158</v>
      </c>
      <c r="E345" s="74" t="s">
        <v>399</v>
      </c>
      <c r="F345" s="75" t="s">
        <v>2595</v>
      </c>
      <c r="G345" s="76" t="s">
        <v>2319</v>
      </c>
      <c r="H345" s="77" t="s">
        <v>1959</v>
      </c>
      <c r="I345" s="78" t="s">
        <v>1565</v>
      </c>
      <c r="J345" s="79">
        <v>320</v>
      </c>
      <c r="K345" s="80"/>
      <c r="L345" s="261"/>
      <c r="M345" s="82"/>
      <c r="N345" s="83"/>
      <c r="O345" s="81" t="str">
        <f t="shared" si="5"/>
        <v>제4편 소송의 종료-제09장 당사자 행위에 의한 종료-제03절 재판상 화해-14</v>
      </c>
    </row>
    <row r="346" spans="2:15" ht="14.45" customHeight="1" x14ac:dyDescent="0.2">
      <c r="B346" s="26" t="s">
        <v>1275</v>
      </c>
      <c r="C346" s="14" t="s">
        <v>1282</v>
      </c>
      <c r="D346" s="84" t="s">
        <v>2192</v>
      </c>
      <c r="E346" s="85" t="s">
        <v>7</v>
      </c>
      <c r="F346" s="86" t="s">
        <v>18</v>
      </c>
      <c r="G346" s="87" t="s">
        <v>1300</v>
      </c>
      <c r="H346" s="88" t="s">
        <v>178</v>
      </c>
      <c r="I346" s="89" t="s">
        <v>3081</v>
      </c>
      <c r="J346" s="90">
        <v>2034</v>
      </c>
      <c r="K346" s="91" t="s">
        <v>1327</v>
      </c>
      <c r="L346" s="262"/>
      <c r="M346" s="93"/>
      <c r="N346" s="94"/>
      <c r="O346" s="92" t="str">
        <f t="shared" si="5"/>
        <v>제4편 소송의 종료-제10장 종국판결에 의한 종료-제01절 재판-01</v>
      </c>
    </row>
    <row r="347" spans="2:15" ht="14.45" customHeight="1" x14ac:dyDescent="0.2">
      <c r="B347" s="26" t="s">
        <v>1275</v>
      </c>
      <c r="C347" s="27" t="s">
        <v>1281</v>
      </c>
      <c r="D347" s="50" t="s">
        <v>2157</v>
      </c>
      <c r="E347" s="51" t="s">
        <v>114</v>
      </c>
      <c r="F347" s="52" t="s">
        <v>18</v>
      </c>
      <c r="G347" s="53" t="s">
        <v>1300</v>
      </c>
      <c r="H347" s="54" t="s">
        <v>63</v>
      </c>
      <c r="I347" s="55" t="s">
        <v>3082</v>
      </c>
      <c r="J347" s="56">
        <v>4983</v>
      </c>
      <c r="K347" s="57" t="s">
        <v>1327</v>
      </c>
      <c r="L347" s="259"/>
      <c r="M347" s="59"/>
      <c r="N347" s="60"/>
      <c r="O347" s="58" t="str">
        <f t="shared" si="5"/>
        <v>제4편 소송의 종료-제10장 종국판결에 의한 종료-제02절 판결-01</v>
      </c>
    </row>
    <row r="348" spans="2:15" ht="14.45" customHeight="1" x14ac:dyDescent="0.2">
      <c r="B348" s="26" t="s">
        <v>1275</v>
      </c>
      <c r="C348" s="27" t="s">
        <v>1281</v>
      </c>
      <c r="D348" s="61" t="s">
        <v>2157</v>
      </c>
      <c r="E348" s="62" t="s">
        <v>1193</v>
      </c>
      <c r="F348" s="63" t="s">
        <v>123</v>
      </c>
      <c r="G348" s="64" t="s">
        <v>1301</v>
      </c>
      <c r="H348" s="65" t="s">
        <v>1237</v>
      </c>
      <c r="I348" s="66" t="s">
        <v>1238</v>
      </c>
      <c r="J348" s="67">
        <v>1348</v>
      </c>
      <c r="K348" s="68" t="s">
        <v>1327</v>
      </c>
      <c r="L348" s="260" t="s">
        <v>2309</v>
      </c>
      <c r="M348" s="70"/>
      <c r="N348" s="71"/>
      <c r="O348" s="69" t="str">
        <f t="shared" si="5"/>
        <v>제4편 소송의 종료-제10장 종국판결에 의한 종료-제02절 판결-02</v>
      </c>
    </row>
    <row r="349" spans="2:15" ht="14.45" customHeight="1" x14ac:dyDescent="0.2">
      <c r="B349" s="26" t="s">
        <v>1275</v>
      </c>
      <c r="C349" s="27" t="s">
        <v>1281</v>
      </c>
      <c r="D349" s="61" t="s">
        <v>2157</v>
      </c>
      <c r="E349" s="62" t="s">
        <v>1193</v>
      </c>
      <c r="F349" s="63" t="s">
        <v>122</v>
      </c>
      <c r="G349" s="64" t="s">
        <v>1302</v>
      </c>
      <c r="H349" s="65" t="s">
        <v>120</v>
      </c>
      <c r="I349" s="66" t="s">
        <v>1009</v>
      </c>
      <c r="J349" s="67">
        <v>1560</v>
      </c>
      <c r="K349" s="68" t="s">
        <v>1327</v>
      </c>
      <c r="L349" s="260"/>
      <c r="M349" s="70"/>
      <c r="N349" s="71"/>
      <c r="O349" s="69" t="str">
        <f t="shared" si="5"/>
        <v>제4편 소송의 종료-제10장 종국판결에 의한 종료-제02절 판결-03</v>
      </c>
    </row>
    <row r="350" spans="2:15" ht="14.45" customHeight="1" x14ac:dyDescent="0.2">
      <c r="B350" s="26" t="s">
        <v>1275</v>
      </c>
      <c r="C350" s="27" t="s">
        <v>1281</v>
      </c>
      <c r="D350" s="61" t="s">
        <v>2157</v>
      </c>
      <c r="E350" s="62" t="s">
        <v>1193</v>
      </c>
      <c r="F350" s="63" t="s">
        <v>1115</v>
      </c>
      <c r="G350" s="64" t="s">
        <v>1303</v>
      </c>
      <c r="H350" s="65" t="s">
        <v>1235</v>
      </c>
      <c r="I350" s="66" t="s">
        <v>1236</v>
      </c>
      <c r="J350" s="67">
        <v>1320</v>
      </c>
      <c r="K350" s="68" t="s">
        <v>1327</v>
      </c>
      <c r="L350" s="260" t="s">
        <v>2309</v>
      </c>
      <c r="M350" s="70"/>
      <c r="N350" s="71"/>
      <c r="O350" s="69" t="str">
        <f t="shared" si="5"/>
        <v>제4편 소송의 종료-제10장 종국판결에 의한 종료-제02절 판결-04</v>
      </c>
    </row>
    <row r="351" spans="2:15" ht="14.45" customHeight="1" x14ac:dyDescent="0.2">
      <c r="B351" s="26" t="s">
        <v>1275</v>
      </c>
      <c r="C351" s="27" t="s">
        <v>1281</v>
      </c>
      <c r="D351" s="61" t="s">
        <v>2157</v>
      </c>
      <c r="E351" s="62" t="s">
        <v>1193</v>
      </c>
      <c r="F351" s="63" t="s">
        <v>121</v>
      </c>
      <c r="G351" s="64" t="s">
        <v>2310</v>
      </c>
      <c r="H351" s="65" t="s">
        <v>1207</v>
      </c>
      <c r="I351" s="66" t="s">
        <v>1208</v>
      </c>
      <c r="J351" s="67">
        <v>1613</v>
      </c>
      <c r="K351" s="68" t="s">
        <v>1327</v>
      </c>
      <c r="L351" s="260"/>
      <c r="M351" s="70"/>
      <c r="N351" s="71"/>
      <c r="O351" s="69" t="str">
        <f t="shared" si="5"/>
        <v>제4편 소송의 종료-제10장 종국판결에 의한 종료-제02절 판결-05</v>
      </c>
    </row>
    <row r="352" spans="2:15" ht="14.45" customHeight="1" x14ac:dyDescent="0.2">
      <c r="B352" s="26" t="s">
        <v>1275</v>
      </c>
      <c r="C352" s="27" t="s">
        <v>1281</v>
      </c>
      <c r="D352" s="61" t="s">
        <v>2157</v>
      </c>
      <c r="E352" s="62" t="s">
        <v>2771</v>
      </c>
      <c r="F352" s="63" t="s">
        <v>2869</v>
      </c>
      <c r="G352" s="64" t="s">
        <v>2870</v>
      </c>
      <c r="H352" s="65" t="s">
        <v>2875</v>
      </c>
      <c r="I352" s="66" t="s">
        <v>2872</v>
      </c>
      <c r="J352" s="67">
        <v>1929</v>
      </c>
      <c r="K352" s="68" t="s">
        <v>1325</v>
      </c>
      <c r="L352" s="260" t="s">
        <v>2873</v>
      </c>
      <c r="M352" s="70"/>
      <c r="N352" s="71"/>
      <c r="O352" s="69" t="str">
        <f t="shared" si="5"/>
        <v>제4편 소송의 종료-제10장 종국판결에 의한 종료-제02절 판결-06</v>
      </c>
    </row>
    <row r="353" spans="2:15" ht="14.45" customHeight="1" x14ac:dyDescent="0.2">
      <c r="B353" s="26" t="s">
        <v>1275</v>
      </c>
      <c r="C353" s="27" t="s">
        <v>1281</v>
      </c>
      <c r="D353" s="61" t="s">
        <v>2157</v>
      </c>
      <c r="E353" s="62" t="s">
        <v>399</v>
      </c>
      <c r="F353" s="63" t="s">
        <v>2596</v>
      </c>
      <c r="G353" s="64" t="s">
        <v>2312</v>
      </c>
      <c r="H353" s="65" t="s">
        <v>1960</v>
      </c>
      <c r="I353" s="66" t="s">
        <v>1566</v>
      </c>
      <c r="J353" s="67">
        <v>1373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판결-07</v>
      </c>
    </row>
    <row r="354" spans="2:15" ht="14.45" customHeight="1" x14ac:dyDescent="0.2">
      <c r="B354" s="26" t="s">
        <v>1275</v>
      </c>
      <c r="C354" s="27" t="s">
        <v>1281</v>
      </c>
      <c r="D354" s="61" t="s">
        <v>2157</v>
      </c>
      <c r="E354" s="62" t="s">
        <v>399</v>
      </c>
      <c r="F354" s="63" t="s">
        <v>2597</v>
      </c>
      <c r="G354" s="64" t="s">
        <v>2313</v>
      </c>
      <c r="H354" s="65" t="s">
        <v>1961</v>
      </c>
      <c r="I354" s="66" t="s">
        <v>1567</v>
      </c>
      <c r="J354" s="67">
        <v>222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판결-08</v>
      </c>
    </row>
    <row r="355" spans="2:15" ht="14.45" customHeight="1" x14ac:dyDescent="0.2">
      <c r="B355" s="26" t="s">
        <v>1275</v>
      </c>
      <c r="C355" s="27" t="s">
        <v>1281</v>
      </c>
      <c r="D355" s="61" t="s">
        <v>2157</v>
      </c>
      <c r="E355" s="62" t="s">
        <v>399</v>
      </c>
      <c r="F355" s="63" t="s">
        <v>2598</v>
      </c>
      <c r="G355" s="64" t="s">
        <v>2314</v>
      </c>
      <c r="H355" s="65" t="s">
        <v>1962</v>
      </c>
      <c r="I355" s="66" t="s">
        <v>1568</v>
      </c>
      <c r="J355" s="67">
        <v>329</v>
      </c>
      <c r="K355" s="68"/>
      <c r="L355" s="260"/>
      <c r="M355" s="70"/>
      <c r="N355" s="71"/>
      <c r="O355" s="69" t="str">
        <f t="shared" si="5"/>
        <v>제4편 소송의 종료-제10장 종국판결에 의한 종료-제02절 판결-09</v>
      </c>
    </row>
    <row r="356" spans="2:15" ht="14.45" customHeight="1" x14ac:dyDescent="0.2">
      <c r="B356" s="26" t="s">
        <v>1275</v>
      </c>
      <c r="C356" s="27" t="s">
        <v>1281</v>
      </c>
      <c r="D356" s="61" t="s">
        <v>2157</v>
      </c>
      <c r="E356" s="62" t="s">
        <v>399</v>
      </c>
      <c r="F356" s="63" t="s">
        <v>2599</v>
      </c>
      <c r="G356" s="64" t="s">
        <v>2315</v>
      </c>
      <c r="H356" s="65" t="s">
        <v>1963</v>
      </c>
      <c r="I356" s="66" t="s">
        <v>1569</v>
      </c>
      <c r="J356" s="67">
        <v>400</v>
      </c>
      <c r="K356" s="68" t="s">
        <v>1325</v>
      </c>
      <c r="L356" s="260"/>
      <c r="M356" s="70"/>
      <c r="N356" s="71"/>
      <c r="O356" s="69" t="str">
        <f t="shared" si="5"/>
        <v>제4편 소송의 종료-제10장 종국판결에 의한 종료-제02절 판결-10</v>
      </c>
    </row>
    <row r="357" spans="2:15" ht="14.45" customHeight="1" x14ac:dyDescent="0.2">
      <c r="B357" s="26" t="s">
        <v>1275</v>
      </c>
      <c r="C357" s="27" t="s">
        <v>1281</v>
      </c>
      <c r="D357" s="61" t="s">
        <v>2157</v>
      </c>
      <c r="E357" s="62" t="s">
        <v>399</v>
      </c>
      <c r="F357" s="63" t="s">
        <v>2600</v>
      </c>
      <c r="G357" s="64" t="s">
        <v>2316</v>
      </c>
      <c r="H357" s="65" t="s">
        <v>1964</v>
      </c>
      <c r="I357" s="66" t="s">
        <v>1570</v>
      </c>
      <c r="J357" s="67">
        <v>262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판결-11</v>
      </c>
    </row>
    <row r="358" spans="2:15" ht="14.45" customHeight="1" x14ac:dyDescent="0.2">
      <c r="B358" s="26" t="s">
        <v>1275</v>
      </c>
      <c r="C358" s="27" t="s">
        <v>1281</v>
      </c>
      <c r="D358" s="61" t="s">
        <v>2157</v>
      </c>
      <c r="E358" s="62" t="s">
        <v>399</v>
      </c>
      <c r="F358" s="63" t="s">
        <v>2601</v>
      </c>
      <c r="G358" s="64" t="s">
        <v>2317</v>
      </c>
      <c r="H358" s="65" t="s">
        <v>1965</v>
      </c>
      <c r="I358" s="66" t="s">
        <v>1571</v>
      </c>
      <c r="J358" s="67">
        <v>726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판결-12</v>
      </c>
    </row>
    <row r="359" spans="2:15" ht="14.45" customHeight="1" x14ac:dyDescent="0.2">
      <c r="B359" s="26" t="s">
        <v>1275</v>
      </c>
      <c r="C359" s="27" t="s">
        <v>1281</v>
      </c>
      <c r="D359" s="61" t="s">
        <v>2157</v>
      </c>
      <c r="E359" s="62" t="s">
        <v>399</v>
      </c>
      <c r="F359" s="63" t="s">
        <v>2602</v>
      </c>
      <c r="G359" s="64" t="s">
        <v>2318</v>
      </c>
      <c r="H359" s="65" t="s">
        <v>1966</v>
      </c>
      <c r="I359" s="66" t="s">
        <v>1572</v>
      </c>
      <c r="J359" s="67">
        <v>373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판결-13</v>
      </c>
    </row>
    <row r="360" spans="2:15" ht="14.45" customHeight="1" x14ac:dyDescent="0.2">
      <c r="B360" s="26" t="s">
        <v>1275</v>
      </c>
      <c r="C360" s="27" t="s">
        <v>1281</v>
      </c>
      <c r="D360" s="61" t="s">
        <v>2157</v>
      </c>
      <c r="E360" s="62" t="s">
        <v>399</v>
      </c>
      <c r="F360" s="63" t="s">
        <v>2603</v>
      </c>
      <c r="G360" s="64" t="s">
        <v>2319</v>
      </c>
      <c r="H360" s="65" t="s">
        <v>1967</v>
      </c>
      <c r="I360" s="66" t="s">
        <v>1573</v>
      </c>
      <c r="J360" s="67">
        <v>470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판결-14</v>
      </c>
    </row>
    <row r="361" spans="2:15" ht="14.45" customHeight="1" x14ac:dyDescent="0.2">
      <c r="B361" s="26" t="s">
        <v>1275</v>
      </c>
      <c r="C361" s="27" t="s">
        <v>1281</v>
      </c>
      <c r="D361" s="61" t="s">
        <v>2157</v>
      </c>
      <c r="E361" s="62" t="s">
        <v>399</v>
      </c>
      <c r="F361" s="63" t="s">
        <v>2604</v>
      </c>
      <c r="G361" s="64" t="s">
        <v>2320</v>
      </c>
      <c r="H361" s="65" t="s">
        <v>1968</v>
      </c>
      <c r="I361" s="66" t="s">
        <v>1574</v>
      </c>
      <c r="J361" s="67">
        <v>300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판결-15</v>
      </c>
    </row>
    <row r="362" spans="2:15" ht="14.45" customHeight="1" x14ac:dyDescent="0.2">
      <c r="B362" s="26" t="s">
        <v>1275</v>
      </c>
      <c r="C362" s="27" t="s">
        <v>1281</v>
      </c>
      <c r="D362" s="61" t="s">
        <v>2157</v>
      </c>
      <c r="E362" s="62" t="s">
        <v>399</v>
      </c>
      <c r="F362" s="63" t="s">
        <v>2605</v>
      </c>
      <c r="G362" s="64" t="s">
        <v>2321</v>
      </c>
      <c r="H362" s="65" t="s">
        <v>1969</v>
      </c>
      <c r="I362" s="66" t="s">
        <v>1575</v>
      </c>
      <c r="J362" s="67">
        <v>492</v>
      </c>
      <c r="K362" s="68" t="s">
        <v>1325</v>
      </c>
      <c r="L362" s="260"/>
      <c r="M362" s="70"/>
      <c r="N362" s="71"/>
      <c r="O362" s="69" t="str">
        <f t="shared" si="5"/>
        <v>제4편 소송의 종료-제10장 종국판결에 의한 종료-제02절 판결-16</v>
      </c>
    </row>
    <row r="363" spans="2:15" ht="14.45" customHeight="1" x14ac:dyDescent="0.2">
      <c r="B363" s="26" t="s">
        <v>1275</v>
      </c>
      <c r="C363" s="27" t="s">
        <v>1281</v>
      </c>
      <c r="D363" s="61" t="s">
        <v>2157</v>
      </c>
      <c r="E363" s="62" t="s">
        <v>399</v>
      </c>
      <c r="F363" s="63" t="s">
        <v>2606</v>
      </c>
      <c r="G363" s="64" t="s">
        <v>2322</v>
      </c>
      <c r="H363" s="65" t="s">
        <v>1970</v>
      </c>
      <c r="I363" s="66" t="s">
        <v>1576</v>
      </c>
      <c r="J363" s="67">
        <v>397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판결-17</v>
      </c>
    </row>
    <row r="364" spans="2:15" ht="14.45" customHeight="1" x14ac:dyDescent="0.2">
      <c r="B364" s="26" t="s">
        <v>1275</v>
      </c>
      <c r="C364" s="27" t="s">
        <v>1281</v>
      </c>
      <c r="D364" s="61" t="s">
        <v>2157</v>
      </c>
      <c r="E364" s="62" t="s">
        <v>399</v>
      </c>
      <c r="F364" s="63" t="s">
        <v>2607</v>
      </c>
      <c r="G364" s="64" t="s">
        <v>2323</v>
      </c>
      <c r="H364" s="65" t="s">
        <v>1971</v>
      </c>
      <c r="I364" s="66" t="s">
        <v>1577</v>
      </c>
      <c r="J364" s="67">
        <v>563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판결-18</v>
      </c>
    </row>
    <row r="365" spans="2:15" ht="14.45" customHeight="1" x14ac:dyDescent="0.2">
      <c r="B365" s="26" t="s">
        <v>1275</v>
      </c>
      <c r="C365" s="27" t="s">
        <v>1281</v>
      </c>
      <c r="D365" s="61" t="s">
        <v>2157</v>
      </c>
      <c r="E365" s="62" t="s">
        <v>399</v>
      </c>
      <c r="F365" s="63" t="s">
        <v>2608</v>
      </c>
      <c r="G365" s="64" t="s">
        <v>2324</v>
      </c>
      <c r="H365" s="65" t="s">
        <v>1972</v>
      </c>
      <c r="I365" s="66" t="s">
        <v>1578</v>
      </c>
      <c r="J365" s="67">
        <v>476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판결-19</v>
      </c>
    </row>
    <row r="366" spans="2:15" ht="14.45" customHeight="1" x14ac:dyDescent="0.2">
      <c r="B366" s="26" t="s">
        <v>1275</v>
      </c>
      <c r="C366" s="27" t="s">
        <v>1281</v>
      </c>
      <c r="D366" s="61" t="s">
        <v>2157</v>
      </c>
      <c r="E366" s="62" t="s">
        <v>399</v>
      </c>
      <c r="F366" s="63" t="s">
        <v>2609</v>
      </c>
      <c r="G366" s="64" t="s">
        <v>2325</v>
      </c>
      <c r="H366" s="65" t="s">
        <v>1973</v>
      </c>
      <c r="I366" s="66" t="s">
        <v>1579</v>
      </c>
      <c r="J366" s="67">
        <v>767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판결-20</v>
      </c>
    </row>
    <row r="367" spans="2:15" ht="14.45" customHeight="1" x14ac:dyDescent="0.2">
      <c r="B367" s="26" t="s">
        <v>1275</v>
      </c>
      <c r="C367" s="27" t="s">
        <v>1281</v>
      </c>
      <c r="D367" s="61" t="s">
        <v>2157</v>
      </c>
      <c r="E367" s="62" t="s">
        <v>399</v>
      </c>
      <c r="F367" s="63" t="s">
        <v>2610</v>
      </c>
      <c r="G367" s="64" t="s">
        <v>2326</v>
      </c>
      <c r="H367" s="65" t="s">
        <v>1974</v>
      </c>
      <c r="I367" s="66" t="s">
        <v>1580</v>
      </c>
      <c r="J367" s="67">
        <v>330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판결-21</v>
      </c>
    </row>
    <row r="368" spans="2:15" ht="14.45" customHeight="1" x14ac:dyDescent="0.2">
      <c r="B368" s="26" t="s">
        <v>1275</v>
      </c>
      <c r="C368" s="27" t="s">
        <v>1281</v>
      </c>
      <c r="D368" s="61" t="s">
        <v>2157</v>
      </c>
      <c r="E368" s="62" t="s">
        <v>399</v>
      </c>
      <c r="F368" s="63" t="s">
        <v>2611</v>
      </c>
      <c r="G368" s="64" t="s">
        <v>2327</v>
      </c>
      <c r="H368" s="65" t="s">
        <v>1975</v>
      </c>
      <c r="I368" s="66" t="s">
        <v>1581</v>
      </c>
      <c r="J368" s="67">
        <v>1014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판결-22</v>
      </c>
    </row>
    <row r="369" spans="2:15" ht="14.45" customHeight="1" x14ac:dyDescent="0.2">
      <c r="B369" s="26" t="s">
        <v>1275</v>
      </c>
      <c r="C369" s="27" t="s">
        <v>1281</v>
      </c>
      <c r="D369" s="61" t="s">
        <v>2157</v>
      </c>
      <c r="E369" s="62" t="s">
        <v>399</v>
      </c>
      <c r="F369" s="63" t="s">
        <v>2612</v>
      </c>
      <c r="G369" s="64" t="s">
        <v>2328</v>
      </c>
      <c r="H369" s="65" t="s">
        <v>1976</v>
      </c>
      <c r="I369" s="66" t="s">
        <v>1582</v>
      </c>
      <c r="J369" s="67">
        <v>885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판결-23</v>
      </c>
    </row>
    <row r="370" spans="2:15" ht="14.45" customHeight="1" x14ac:dyDescent="0.2">
      <c r="B370" s="26" t="s">
        <v>1275</v>
      </c>
      <c r="C370" s="27" t="s">
        <v>1281</v>
      </c>
      <c r="D370" s="61" t="s">
        <v>2157</v>
      </c>
      <c r="E370" s="62" t="s">
        <v>399</v>
      </c>
      <c r="F370" s="63" t="s">
        <v>2613</v>
      </c>
      <c r="G370" s="64" t="s">
        <v>2329</v>
      </c>
      <c r="H370" s="65" t="s">
        <v>1977</v>
      </c>
      <c r="I370" s="66" t="s">
        <v>1583</v>
      </c>
      <c r="J370" s="67">
        <v>427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판결-24</v>
      </c>
    </row>
    <row r="371" spans="2:15" ht="14.45" customHeight="1" x14ac:dyDescent="0.2">
      <c r="B371" s="26" t="s">
        <v>1275</v>
      </c>
      <c r="C371" s="27" t="s">
        <v>1281</v>
      </c>
      <c r="D371" s="61" t="s">
        <v>2157</v>
      </c>
      <c r="E371" s="62" t="s">
        <v>399</v>
      </c>
      <c r="F371" s="63" t="s">
        <v>2614</v>
      </c>
      <c r="G371" s="64" t="s">
        <v>2330</v>
      </c>
      <c r="H371" s="65" t="s">
        <v>2209</v>
      </c>
      <c r="I371" s="66" t="s">
        <v>2210</v>
      </c>
      <c r="J371" s="67">
        <v>510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판결-25</v>
      </c>
    </row>
    <row r="372" spans="2:15" ht="14.45" customHeight="1" x14ac:dyDescent="0.2">
      <c r="B372" s="26" t="s">
        <v>1275</v>
      </c>
      <c r="C372" s="27" t="s">
        <v>1281</v>
      </c>
      <c r="D372" s="61" t="s">
        <v>2157</v>
      </c>
      <c r="E372" s="62" t="s">
        <v>399</v>
      </c>
      <c r="F372" s="63" t="s">
        <v>2615</v>
      </c>
      <c r="G372" s="64" t="s">
        <v>2331</v>
      </c>
      <c r="H372" s="65" t="s">
        <v>1978</v>
      </c>
      <c r="I372" s="66" t="s">
        <v>1584</v>
      </c>
      <c r="J372" s="67">
        <v>968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판결-26</v>
      </c>
    </row>
    <row r="373" spans="2:15" ht="14.45" customHeight="1" x14ac:dyDescent="0.2">
      <c r="B373" s="26" t="s">
        <v>1275</v>
      </c>
      <c r="C373" s="27" t="s">
        <v>1281</v>
      </c>
      <c r="D373" s="61" t="s">
        <v>2157</v>
      </c>
      <c r="E373" s="62" t="s">
        <v>399</v>
      </c>
      <c r="F373" s="63" t="s">
        <v>2616</v>
      </c>
      <c r="G373" s="64" t="s">
        <v>2332</v>
      </c>
      <c r="H373" s="65" t="s">
        <v>1979</v>
      </c>
      <c r="I373" s="66" t="s">
        <v>1585</v>
      </c>
      <c r="J373" s="67">
        <v>544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판결-27</v>
      </c>
    </row>
    <row r="374" spans="2:15" ht="14.45" customHeight="1" x14ac:dyDescent="0.2">
      <c r="B374" s="26" t="s">
        <v>1275</v>
      </c>
      <c r="C374" s="27" t="s">
        <v>1281</v>
      </c>
      <c r="D374" s="61" t="s">
        <v>2157</v>
      </c>
      <c r="E374" s="62" t="s">
        <v>399</v>
      </c>
      <c r="F374" s="63" t="s">
        <v>2617</v>
      </c>
      <c r="G374" s="64" t="s">
        <v>2333</v>
      </c>
      <c r="H374" s="65" t="s">
        <v>1980</v>
      </c>
      <c r="I374" s="66" t="s">
        <v>1586</v>
      </c>
      <c r="J374" s="67">
        <v>413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판결-28</v>
      </c>
    </row>
    <row r="375" spans="2:15" ht="14.45" customHeight="1" x14ac:dyDescent="0.2">
      <c r="B375" s="26" t="s">
        <v>1275</v>
      </c>
      <c r="C375" s="27" t="s">
        <v>1281</v>
      </c>
      <c r="D375" s="61" t="s">
        <v>2157</v>
      </c>
      <c r="E375" s="62" t="s">
        <v>399</v>
      </c>
      <c r="F375" s="63" t="s">
        <v>2618</v>
      </c>
      <c r="G375" s="64" t="s">
        <v>2334</v>
      </c>
      <c r="H375" s="65" t="s">
        <v>1981</v>
      </c>
      <c r="I375" s="66" t="s">
        <v>1587</v>
      </c>
      <c r="J375" s="67">
        <v>844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판결-29</v>
      </c>
    </row>
    <row r="376" spans="2:15" ht="14.45" customHeight="1" x14ac:dyDescent="0.2">
      <c r="B376" s="26" t="s">
        <v>1275</v>
      </c>
      <c r="C376" s="27" t="s">
        <v>1281</v>
      </c>
      <c r="D376" s="61" t="s">
        <v>2157</v>
      </c>
      <c r="E376" s="62" t="s">
        <v>399</v>
      </c>
      <c r="F376" s="63" t="s">
        <v>2619</v>
      </c>
      <c r="G376" s="64" t="s">
        <v>2335</v>
      </c>
      <c r="H376" s="65" t="s">
        <v>1982</v>
      </c>
      <c r="I376" s="66" t="s">
        <v>1588</v>
      </c>
      <c r="J376" s="67">
        <v>204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판결-30</v>
      </c>
    </row>
    <row r="377" spans="2:15" ht="14.45" customHeight="1" x14ac:dyDescent="0.2">
      <c r="B377" s="26" t="s">
        <v>1275</v>
      </c>
      <c r="C377" s="27" t="s">
        <v>1281</v>
      </c>
      <c r="D377" s="61" t="s">
        <v>2157</v>
      </c>
      <c r="E377" s="62" t="s">
        <v>399</v>
      </c>
      <c r="F377" s="63" t="s">
        <v>2620</v>
      </c>
      <c r="G377" s="64" t="s">
        <v>2336</v>
      </c>
      <c r="H377" s="65" t="s">
        <v>1983</v>
      </c>
      <c r="I377" s="66" t="s">
        <v>1589</v>
      </c>
      <c r="J377" s="67">
        <v>1047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판결-31</v>
      </c>
    </row>
    <row r="378" spans="2:15" ht="14.45" customHeight="1" x14ac:dyDescent="0.2">
      <c r="B378" s="26" t="s">
        <v>1275</v>
      </c>
      <c r="C378" s="27" t="s">
        <v>1281</v>
      </c>
      <c r="D378" s="61" t="s">
        <v>2157</v>
      </c>
      <c r="E378" s="62" t="s">
        <v>399</v>
      </c>
      <c r="F378" s="63" t="s">
        <v>2621</v>
      </c>
      <c r="G378" s="64" t="s">
        <v>2337</v>
      </c>
      <c r="H378" s="65" t="s">
        <v>1984</v>
      </c>
      <c r="I378" s="66" t="s">
        <v>1590</v>
      </c>
      <c r="J378" s="67">
        <v>618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판결-32</v>
      </c>
    </row>
    <row r="379" spans="2:15" ht="14.45" customHeight="1" x14ac:dyDescent="0.2">
      <c r="B379" s="26" t="s">
        <v>1275</v>
      </c>
      <c r="C379" s="27" t="s">
        <v>1281</v>
      </c>
      <c r="D379" s="61" t="s">
        <v>2157</v>
      </c>
      <c r="E379" s="62" t="s">
        <v>399</v>
      </c>
      <c r="F379" s="63" t="s">
        <v>2622</v>
      </c>
      <c r="G379" s="64" t="s">
        <v>2338</v>
      </c>
      <c r="H379" s="65" t="s">
        <v>1985</v>
      </c>
      <c r="I379" s="66" t="s">
        <v>1591</v>
      </c>
      <c r="J379" s="67">
        <v>526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판결-33</v>
      </c>
    </row>
    <row r="380" spans="2:15" ht="14.45" customHeight="1" x14ac:dyDescent="0.2">
      <c r="B380" s="26" t="s">
        <v>1275</v>
      </c>
      <c r="C380" s="27" t="s">
        <v>1281</v>
      </c>
      <c r="D380" s="61" t="s">
        <v>2157</v>
      </c>
      <c r="E380" s="62" t="s">
        <v>399</v>
      </c>
      <c r="F380" s="63" t="s">
        <v>2623</v>
      </c>
      <c r="G380" s="64" t="s">
        <v>2339</v>
      </c>
      <c r="H380" s="65" t="s">
        <v>1986</v>
      </c>
      <c r="I380" s="66" t="s">
        <v>1592</v>
      </c>
      <c r="J380" s="67">
        <v>848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판결-34</v>
      </c>
    </row>
    <row r="381" spans="2:15" ht="14.45" customHeight="1" x14ac:dyDescent="0.2">
      <c r="B381" s="26" t="s">
        <v>1275</v>
      </c>
      <c r="C381" s="27" t="s">
        <v>1281</v>
      </c>
      <c r="D381" s="61" t="s">
        <v>2157</v>
      </c>
      <c r="E381" s="62" t="s">
        <v>399</v>
      </c>
      <c r="F381" s="63" t="s">
        <v>2624</v>
      </c>
      <c r="G381" s="64" t="s">
        <v>2340</v>
      </c>
      <c r="H381" s="65" t="s">
        <v>1987</v>
      </c>
      <c r="I381" s="66" t="s">
        <v>1593</v>
      </c>
      <c r="J381" s="67">
        <v>487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판결-35</v>
      </c>
    </row>
    <row r="382" spans="2:15" ht="14.45" customHeight="1" x14ac:dyDescent="0.2">
      <c r="B382" s="26" t="s">
        <v>1275</v>
      </c>
      <c r="C382" s="27" t="s">
        <v>1281</v>
      </c>
      <c r="D382" s="61" t="s">
        <v>2157</v>
      </c>
      <c r="E382" s="62" t="s">
        <v>399</v>
      </c>
      <c r="F382" s="63" t="s">
        <v>2625</v>
      </c>
      <c r="G382" s="64" t="s">
        <v>2341</v>
      </c>
      <c r="H382" s="65" t="s">
        <v>1988</v>
      </c>
      <c r="I382" s="66" t="s">
        <v>1594</v>
      </c>
      <c r="J382" s="67">
        <v>347</v>
      </c>
      <c r="K382" s="68" t="s">
        <v>1325</v>
      </c>
      <c r="L382" s="260"/>
      <c r="M382" s="70"/>
      <c r="N382" s="71"/>
      <c r="O382" s="69" t="str">
        <f t="shared" si="5"/>
        <v>제4편 소송의 종료-제10장 종국판결에 의한 종료-제02절 판결-36</v>
      </c>
    </row>
    <row r="383" spans="2:15" ht="14.45" customHeight="1" x14ac:dyDescent="0.2">
      <c r="B383" s="26" t="s">
        <v>1275</v>
      </c>
      <c r="C383" s="27" t="s">
        <v>1281</v>
      </c>
      <c r="D383" s="61" t="s">
        <v>2157</v>
      </c>
      <c r="E383" s="62" t="s">
        <v>399</v>
      </c>
      <c r="F383" s="63" t="s">
        <v>2626</v>
      </c>
      <c r="G383" s="64" t="s">
        <v>2342</v>
      </c>
      <c r="H383" s="65" t="s">
        <v>1989</v>
      </c>
      <c r="I383" s="66" t="s">
        <v>1595</v>
      </c>
      <c r="J383" s="67">
        <v>535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판결-37</v>
      </c>
    </row>
    <row r="384" spans="2:15" ht="14.45" customHeight="1" x14ac:dyDescent="0.2">
      <c r="B384" s="26" t="s">
        <v>1275</v>
      </c>
      <c r="C384" s="27" t="s">
        <v>1281</v>
      </c>
      <c r="D384" s="61" t="s">
        <v>2157</v>
      </c>
      <c r="E384" s="62" t="s">
        <v>399</v>
      </c>
      <c r="F384" s="63" t="s">
        <v>2627</v>
      </c>
      <c r="G384" s="64" t="s">
        <v>2343</v>
      </c>
      <c r="H384" s="65" t="s">
        <v>1990</v>
      </c>
      <c r="I384" s="66" t="s">
        <v>1596</v>
      </c>
      <c r="J384" s="67">
        <v>452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판결-38</v>
      </c>
    </row>
    <row r="385" spans="2:15" ht="14.45" customHeight="1" x14ac:dyDescent="0.2">
      <c r="B385" s="26" t="s">
        <v>1275</v>
      </c>
      <c r="C385" s="27" t="s">
        <v>1281</v>
      </c>
      <c r="D385" s="61" t="s">
        <v>2157</v>
      </c>
      <c r="E385" s="62" t="s">
        <v>399</v>
      </c>
      <c r="F385" s="63" t="s">
        <v>2628</v>
      </c>
      <c r="G385" s="64" t="s">
        <v>2344</v>
      </c>
      <c r="H385" s="65" t="s">
        <v>1991</v>
      </c>
      <c r="I385" s="66" t="s">
        <v>1597</v>
      </c>
      <c r="J385" s="67">
        <v>580</v>
      </c>
      <c r="K385" s="68" t="s">
        <v>1325</v>
      </c>
      <c r="L385" s="260"/>
      <c r="M385" s="70"/>
      <c r="N385" s="71"/>
      <c r="O385" s="69" t="str">
        <f t="shared" si="5"/>
        <v>제4편 소송의 종료-제10장 종국판결에 의한 종료-제02절 판결-39</v>
      </c>
    </row>
    <row r="386" spans="2:15" ht="14.45" customHeight="1" x14ac:dyDescent="0.2">
      <c r="B386" s="26" t="s">
        <v>1275</v>
      </c>
      <c r="C386" s="27" t="s">
        <v>1281</v>
      </c>
      <c r="D386" s="61" t="s">
        <v>2157</v>
      </c>
      <c r="E386" s="62" t="s">
        <v>399</v>
      </c>
      <c r="F386" s="63" t="s">
        <v>2629</v>
      </c>
      <c r="G386" s="64" t="s">
        <v>2345</v>
      </c>
      <c r="H386" s="65" t="s">
        <v>1992</v>
      </c>
      <c r="I386" s="66" t="s">
        <v>1598</v>
      </c>
      <c r="J386" s="67">
        <v>575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판결-40</v>
      </c>
    </row>
    <row r="387" spans="2:15" ht="14.45" customHeight="1" x14ac:dyDescent="0.2">
      <c r="B387" s="26" t="s">
        <v>1275</v>
      </c>
      <c r="C387" s="27" t="s">
        <v>1281</v>
      </c>
      <c r="D387" s="61" t="s">
        <v>2157</v>
      </c>
      <c r="E387" s="62" t="s">
        <v>399</v>
      </c>
      <c r="F387" s="63" t="s">
        <v>2630</v>
      </c>
      <c r="G387" s="64" t="s">
        <v>2346</v>
      </c>
      <c r="H387" s="65" t="s">
        <v>1993</v>
      </c>
      <c r="I387" s="66" t="s">
        <v>1599</v>
      </c>
      <c r="J387" s="67">
        <v>366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판결-41</v>
      </c>
    </row>
    <row r="388" spans="2:15" ht="14.45" customHeight="1" x14ac:dyDescent="0.2">
      <c r="B388" s="26" t="s">
        <v>1275</v>
      </c>
      <c r="C388" s="27" t="s">
        <v>1281</v>
      </c>
      <c r="D388" s="61" t="s">
        <v>2157</v>
      </c>
      <c r="E388" s="62" t="s">
        <v>399</v>
      </c>
      <c r="F388" s="63" t="s">
        <v>2631</v>
      </c>
      <c r="G388" s="64" t="s">
        <v>2347</v>
      </c>
      <c r="H388" s="65" t="s">
        <v>1994</v>
      </c>
      <c r="I388" s="66" t="s">
        <v>1600</v>
      </c>
      <c r="J388" s="67">
        <v>615</v>
      </c>
      <c r="K388" s="68"/>
      <c r="L388" s="260"/>
      <c r="M388" s="70"/>
      <c r="N388" s="71"/>
      <c r="O388" s="69" t="str">
        <f t="shared" si="5"/>
        <v>제4편 소송의 종료-제10장 종국판결에 의한 종료-제02절 판결-42</v>
      </c>
    </row>
    <row r="389" spans="2:15" ht="14.45" customHeight="1" x14ac:dyDescent="0.2">
      <c r="B389" s="26" t="s">
        <v>1275</v>
      </c>
      <c r="C389" s="27" t="s">
        <v>1281</v>
      </c>
      <c r="D389" s="61" t="s">
        <v>2157</v>
      </c>
      <c r="E389" s="62" t="s">
        <v>399</v>
      </c>
      <c r="F389" s="63" t="s">
        <v>2632</v>
      </c>
      <c r="G389" s="64" t="s">
        <v>2348</v>
      </c>
      <c r="H389" s="65" t="s">
        <v>1995</v>
      </c>
      <c r="I389" s="66" t="s">
        <v>1601</v>
      </c>
      <c r="J389" s="67">
        <v>540</v>
      </c>
      <c r="K389" s="68"/>
      <c r="L389" s="260"/>
      <c r="M389" s="70"/>
      <c r="N389" s="71"/>
      <c r="O389" s="69" t="str">
        <f t="shared" ref="O389:O452" si="6">B389&amp;"-"&amp;C389&amp;"-"&amp;D389&amp;"-"&amp;G389</f>
        <v>제4편 소송의 종료-제10장 종국판결에 의한 종료-제02절 판결-43</v>
      </c>
    </row>
    <row r="390" spans="2:15" ht="14.45" customHeight="1" x14ac:dyDescent="0.2">
      <c r="B390" s="26" t="s">
        <v>1275</v>
      </c>
      <c r="C390" s="27" t="s">
        <v>1281</v>
      </c>
      <c r="D390" s="61" t="s">
        <v>2157</v>
      </c>
      <c r="E390" s="62" t="s">
        <v>399</v>
      </c>
      <c r="F390" s="63" t="s">
        <v>2633</v>
      </c>
      <c r="G390" s="64" t="s">
        <v>2349</v>
      </c>
      <c r="H390" s="65" t="s">
        <v>1996</v>
      </c>
      <c r="I390" s="66" t="s">
        <v>1602</v>
      </c>
      <c r="J390" s="67">
        <v>368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판결-44</v>
      </c>
    </row>
    <row r="391" spans="2:15" ht="14.45" customHeight="1" x14ac:dyDescent="0.2">
      <c r="B391" s="26" t="s">
        <v>1275</v>
      </c>
      <c r="C391" s="27" t="s">
        <v>1281</v>
      </c>
      <c r="D391" s="61" t="s">
        <v>2157</v>
      </c>
      <c r="E391" s="62" t="s">
        <v>399</v>
      </c>
      <c r="F391" s="63" t="s">
        <v>2634</v>
      </c>
      <c r="G391" s="64" t="s">
        <v>2350</v>
      </c>
      <c r="H391" s="65" t="s">
        <v>1997</v>
      </c>
      <c r="I391" s="66" t="s">
        <v>1603</v>
      </c>
      <c r="J391" s="67">
        <v>363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판결-45</v>
      </c>
    </row>
    <row r="392" spans="2:15" ht="14.45" customHeight="1" x14ac:dyDescent="0.2">
      <c r="B392" s="26" t="s">
        <v>1275</v>
      </c>
      <c r="C392" s="27" t="s">
        <v>1281</v>
      </c>
      <c r="D392" s="61" t="s">
        <v>2157</v>
      </c>
      <c r="E392" s="62" t="s">
        <v>399</v>
      </c>
      <c r="F392" s="63" t="s">
        <v>2635</v>
      </c>
      <c r="G392" s="64" t="s">
        <v>2351</v>
      </c>
      <c r="H392" s="65" t="s">
        <v>1998</v>
      </c>
      <c r="I392" s="66" t="s">
        <v>1604</v>
      </c>
      <c r="J392" s="67">
        <v>413</v>
      </c>
      <c r="K392" s="68"/>
      <c r="L392" s="260"/>
      <c r="M392" s="70"/>
      <c r="N392" s="71"/>
      <c r="O392" s="69" t="str">
        <f t="shared" si="6"/>
        <v>제4편 소송의 종료-제10장 종국판결에 의한 종료-제02절 판결-46</v>
      </c>
    </row>
    <row r="393" spans="2:15" ht="14.45" customHeight="1" x14ac:dyDescent="0.2">
      <c r="B393" s="26" t="s">
        <v>1275</v>
      </c>
      <c r="C393" s="27" t="s">
        <v>1281</v>
      </c>
      <c r="D393" s="61" t="s">
        <v>2157</v>
      </c>
      <c r="E393" s="62" t="s">
        <v>399</v>
      </c>
      <c r="F393" s="63" t="s">
        <v>2636</v>
      </c>
      <c r="G393" s="64" t="s">
        <v>2352</v>
      </c>
      <c r="H393" s="65" t="s">
        <v>1999</v>
      </c>
      <c r="I393" s="66" t="s">
        <v>1605</v>
      </c>
      <c r="J393" s="67">
        <v>818</v>
      </c>
      <c r="K393" s="68" t="s">
        <v>1325</v>
      </c>
      <c r="L393" s="260"/>
      <c r="M393" s="70"/>
      <c r="N393" s="71"/>
      <c r="O393" s="69" t="str">
        <f t="shared" si="6"/>
        <v>제4편 소송의 종료-제10장 종국판결에 의한 종료-제02절 판결-47</v>
      </c>
    </row>
    <row r="394" spans="2:15" ht="14.45" customHeight="1" x14ac:dyDescent="0.2">
      <c r="B394" s="26" t="s">
        <v>1275</v>
      </c>
      <c r="C394" s="27" t="s">
        <v>1281</v>
      </c>
      <c r="D394" s="61" t="s">
        <v>2157</v>
      </c>
      <c r="E394" s="62" t="s">
        <v>399</v>
      </c>
      <c r="F394" s="63" t="s">
        <v>2637</v>
      </c>
      <c r="G394" s="64" t="s">
        <v>2353</v>
      </c>
      <c r="H394" s="65" t="s">
        <v>2000</v>
      </c>
      <c r="I394" s="66" t="s">
        <v>1606</v>
      </c>
      <c r="J394" s="67">
        <v>416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판결-48</v>
      </c>
    </row>
    <row r="395" spans="2:15" ht="14.45" customHeight="1" x14ac:dyDescent="0.2">
      <c r="B395" s="26" t="s">
        <v>1275</v>
      </c>
      <c r="C395" s="27" t="s">
        <v>1281</v>
      </c>
      <c r="D395" s="61" t="s">
        <v>2157</v>
      </c>
      <c r="E395" s="62" t="s">
        <v>399</v>
      </c>
      <c r="F395" s="63" t="s">
        <v>2638</v>
      </c>
      <c r="G395" s="64" t="s">
        <v>2354</v>
      </c>
      <c r="H395" s="65" t="s">
        <v>2001</v>
      </c>
      <c r="I395" s="66" t="s">
        <v>1607</v>
      </c>
      <c r="J395" s="67">
        <v>414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판결-49</v>
      </c>
    </row>
    <row r="396" spans="2:15" ht="14.45" customHeight="1" x14ac:dyDescent="0.2">
      <c r="B396" s="26" t="s">
        <v>1275</v>
      </c>
      <c r="C396" s="27" t="s">
        <v>1281</v>
      </c>
      <c r="D396" s="61" t="s">
        <v>2157</v>
      </c>
      <c r="E396" s="62" t="s">
        <v>399</v>
      </c>
      <c r="F396" s="63" t="s">
        <v>2639</v>
      </c>
      <c r="G396" s="64" t="s">
        <v>2355</v>
      </c>
      <c r="H396" s="65" t="s">
        <v>2002</v>
      </c>
      <c r="I396" s="66" t="s">
        <v>1608</v>
      </c>
      <c r="J396" s="67">
        <v>387</v>
      </c>
      <c r="K396" s="68"/>
      <c r="L396" s="260"/>
      <c r="M396" s="70"/>
      <c r="N396" s="71"/>
      <c r="O396" s="69" t="str">
        <f t="shared" si="6"/>
        <v>제4편 소송의 종료-제10장 종국판결에 의한 종료-제02절 판결-50</v>
      </c>
    </row>
    <row r="397" spans="2:15" ht="14.45" customHeight="1" x14ac:dyDescent="0.2">
      <c r="B397" s="26" t="s">
        <v>1275</v>
      </c>
      <c r="C397" s="27" t="s">
        <v>1281</v>
      </c>
      <c r="D397" s="61" t="s">
        <v>2157</v>
      </c>
      <c r="E397" s="62" t="s">
        <v>399</v>
      </c>
      <c r="F397" s="63" t="s">
        <v>2640</v>
      </c>
      <c r="G397" s="64" t="s">
        <v>2356</v>
      </c>
      <c r="H397" s="65" t="s">
        <v>2003</v>
      </c>
      <c r="I397" s="66" t="s">
        <v>1609</v>
      </c>
      <c r="J397" s="67">
        <v>542</v>
      </c>
      <c r="K397" s="68" t="s">
        <v>1325</v>
      </c>
      <c r="L397" s="260"/>
      <c r="M397" s="70"/>
      <c r="N397" s="71"/>
      <c r="O397" s="69" t="str">
        <f t="shared" si="6"/>
        <v>제4편 소송의 종료-제10장 종국판결에 의한 종료-제02절 판결-51</v>
      </c>
    </row>
    <row r="398" spans="2:15" ht="14.45" customHeight="1" x14ac:dyDescent="0.2">
      <c r="B398" s="26" t="s">
        <v>1275</v>
      </c>
      <c r="C398" s="27" t="s">
        <v>1281</v>
      </c>
      <c r="D398" s="61" t="s">
        <v>2157</v>
      </c>
      <c r="E398" s="62" t="s">
        <v>399</v>
      </c>
      <c r="F398" s="63" t="s">
        <v>2641</v>
      </c>
      <c r="G398" s="64" t="s">
        <v>2357</v>
      </c>
      <c r="H398" s="65" t="s">
        <v>2004</v>
      </c>
      <c r="I398" s="66" t="s">
        <v>1610</v>
      </c>
      <c r="J398" s="67">
        <v>212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판결-52</v>
      </c>
    </row>
    <row r="399" spans="2:15" ht="14.45" customHeight="1" x14ac:dyDescent="0.2">
      <c r="B399" s="26" t="s">
        <v>1275</v>
      </c>
      <c r="C399" s="27" t="s">
        <v>1281</v>
      </c>
      <c r="D399" s="61" t="s">
        <v>2157</v>
      </c>
      <c r="E399" s="62" t="s">
        <v>399</v>
      </c>
      <c r="F399" s="63" t="s">
        <v>2642</v>
      </c>
      <c r="G399" s="64" t="s">
        <v>2358</v>
      </c>
      <c r="H399" s="65" t="s">
        <v>2005</v>
      </c>
      <c r="I399" s="66" t="s">
        <v>1611</v>
      </c>
      <c r="J399" s="67">
        <v>282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판결-53</v>
      </c>
    </row>
    <row r="400" spans="2:15" ht="14.45" customHeight="1" x14ac:dyDescent="0.2">
      <c r="B400" s="26" t="s">
        <v>1275</v>
      </c>
      <c r="C400" s="27" t="s">
        <v>1281</v>
      </c>
      <c r="D400" s="61" t="s">
        <v>2157</v>
      </c>
      <c r="E400" s="62" t="s">
        <v>399</v>
      </c>
      <c r="F400" s="63" t="s">
        <v>2643</v>
      </c>
      <c r="G400" s="64" t="s">
        <v>2359</v>
      </c>
      <c r="H400" s="65" t="s">
        <v>2006</v>
      </c>
      <c r="I400" s="66" t="s">
        <v>1612</v>
      </c>
      <c r="J400" s="67">
        <v>376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판결-54</v>
      </c>
    </row>
    <row r="401" spans="2:15" ht="14.45" customHeight="1" x14ac:dyDescent="0.2">
      <c r="B401" s="26" t="s">
        <v>1275</v>
      </c>
      <c r="C401" s="27" t="s">
        <v>1281</v>
      </c>
      <c r="D401" s="61" t="s">
        <v>2157</v>
      </c>
      <c r="E401" s="62" t="s">
        <v>399</v>
      </c>
      <c r="F401" s="63" t="s">
        <v>2644</v>
      </c>
      <c r="G401" s="64" t="s">
        <v>2360</v>
      </c>
      <c r="H401" s="65" t="s">
        <v>2007</v>
      </c>
      <c r="I401" s="66" t="s">
        <v>1613</v>
      </c>
      <c r="J401" s="67">
        <v>295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판결-55</v>
      </c>
    </row>
    <row r="402" spans="2:15" ht="14.45" customHeight="1" x14ac:dyDescent="0.2">
      <c r="B402" s="26" t="s">
        <v>1275</v>
      </c>
      <c r="C402" s="27" t="s">
        <v>1281</v>
      </c>
      <c r="D402" s="61" t="s">
        <v>2157</v>
      </c>
      <c r="E402" s="62" t="s">
        <v>399</v>
      </c>
      <c r="F402" s="63" t="s">
        <v>2645</v>
      </c>
      <c r="G402" s="64" t="s">
        <v>2361</v>
      </c>
      <c r="H402" s="65" t="s">
        <v>2008</v>
      </c>
      <c r="I402" s="66" t="s">
        <v>1614</v>
      </c>
      <c r="J402" s="67">
        <v>945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판결-56</v>
      </c>
    </row>
    <row r="403" spans="2:15" ht="14.45" customHeight="1" x14ac:dyDescent="0.2">
      <c r="B403" s="26" t="s">
        <v>1275</v>
      </c>
      <c r="C403" s="27" t="s">
        <v>1281</v>
      </c>
      <c r="D403" s="61" t="s">
        <v>2157</v>
      </c>
      <c r="E403" s="62" t="s">
        <v>399</v>
      </c>
      <c r="F403" s="63" t="s">
        <v>2646</v>
      </c>
      <c r="G403" s="64" t="s">
        <v>2362</v>
      </c>
      <c r="H403" s="65" t="s">
        <v>2009</v>
      </c>
      <c r="I403" s="66" t="s">
        <v>1615</v>
      </c>
      <c r="J403" s="67">
        <v>728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판결-57</v>
      </c>
    </row>
    <row r="404" spans="2:15" ht="14.45" customHeight="1" x14ac:dyDescent="0.2">
      <c r="B404" s="26" t="s">
        <v>1275</v>
      </c>
      <c r="C404" s="27" t="s">
        <v>1281</v>
      </c>
      <c r="D404" s="61" t="s">
        <v>2157</v>
      </c>
      <c r="E404" s="62" t="s">
        <v>399</v>
      </c>
      <c r="F404" s="63" t="s">
        <v>2647</v>
      </c>
      <c r="G404" s="64" t="s">
        <v>2363</v>
      </c>
      <c r="H404" s="65" t="s">
        <v>2010</v>
      </c>
      <c r="I404" s="66" t="s">
        <v>1616</v>
      </c>
      <c r="J404" s="67">
        <v>382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판결-58</v>
      </c>
    </row>
    <row r="405" spans="2:15" ht="14.45" customHeight="1" thickBot="1" x14ac:dyDescent="0.25">
      <c r="B405" s="95" t="s">
        <v>1275</v>
      </c>
      <c r="C405" s="72" t="s">
        <v>1281</v>
      </c>
      <c r="D405" s="73" t="s">
        <v>2157</v>
      </c>
      <c r="E405" s="74" t="s">
        <v>399</v>
      </c>
      <c r="F405" s="75" t="s">
        <v>2648</v>
      </c>
      <c r="G405" s="64" t="s">
        <v>2871</v>
      </c>
      <c r="H405" s="77" t="s">
        <v>2011</v>
      </c>
      <c r="I405" s="78" t="s">
        <v>1617</v>
      </c>
      <c r="J405" s="79">
        <v>393</v>
      </c>
      <c r="K405" s="80"/>
      <c r="L405" s="261"/>
      <c r="M405" s="82"/>
      <c r="N405" s="83"/>
      <c r="O405" s="81" t="str">
        <f t="shared" si="6"/>
        <v>제4편 소송의 종료-제10장 종국판결에 의한 종료-제02절 판결-59</v>
      </c>
    </row>
    <row r="406" spans="2:15" ht="14.45" customHeight="1" x14ac:dyDescent="0.2">
      <c r="B406" s="13" t="s">
        <v>1334</v>
      </c>
      <c r="C406" s="14" t="s">
        <v>1284</v>
      </c>
      <c r="D406" s="15" t="s">
        <v>2160</v>
      </c>
      <c r="E406" s="16" t="s">
        <v>7</v>
      </c>
      <c r="F406" s="17" t="s">
        <v>19</v>
      </c>
      <c r="G406" s="18" t="s">
        <v>1300</v>
      </c>
      <c r="H406" s="19" t="s">
        <v>64</v>
      </c>
      <c r="I406" s="20" t="s">
        <v>3083</v>
      </c>
      <c r="J406" s="21">
        <v>4192</v>
      </c>
      <c r="K406" s="22" t="s">
        <v>1327</v>
      </c>
      <c r="L406" s="256"/>
      <c r="M406" s="24"/>
      <c r="N406" s="25"/>
      <c r="O406" s="23" t="str">
        <f t="shared" si="6"/>
        <v>제5편 병합소송-제11장 병합청구소송-제01절 청구의 원시적 병합-01</v>
      </c>
    </row>
    <row r="407" spans="2:15" ht="14.45" customHeight="1" x14ac:dyDescent="0.2">
      <c r="B407" s="26" t="s">
        <v>1276</v>
      </c>
      <c r="C407" s="27" t="s">
        <v>1283</v>
      </c>
      <c r="D407" s="61" t="s">
        <v>2160</v>
      </c>
      <c r="E407" s="62" t="s">
        <v>1193</v>
      </c>
      <c r="F407" s="63" t="s">
        <v>126</v>
      </c>
      <c r="G407" s="64" t="s">
        <v>1301</v>
      </c>
      <c r="H407" s="65" t="s">
        <v>1239</v>
      </c>
      <c r="I407" s="66" t="s">
        <v>1240</v>
      </c>
      <c r="J407" s="67">
        <v>1471</v>
      </c>
      <c r="K407" s="68" t="s">
        <v>1327</v>
      </c>
      <c r="L407" s="260" t="s">
        <v>2309</v>
      </c>
      <c r="M407" s="70"/>
      <c r="N407" s="71"/>
      <c r="O407" s="69" t="str">
        <f t="shared" si="6"/>
        <v>제5편 병합소송-제11장 병합청구소송-제01절 청구의 원시적 병합-02</v>
      </c>
    </row>
    <row r="408" spans="2:15" ht="14.45" customHeight="1" x14ac:dyDescent="0.2">
      <c r="B408" s="26" t="s">
        <v>1276</v>
      </c>
      <c r="C408" s="27" t="s">
        <v>1283</v>
      </c>
      <c r="D408" s="61" t="s">
        <v>2160</v>
      </c>
      <c r="E408" s="62" t="s">
        <v>1193</v>
      </c>
      <c r="F408" s="63" t="s">
        <v>1116</v>
      </c>
      <c r="G408" s="64" t="s">
        <v>1302</v>
      </c>
      <c r="H408" s="65" t="s">
        <v>124</v>
      </c>
      <c r="I408" s="66" t="s">
        <v>1010</v>
      </c>
      <c r="J408" s="67">
        <v>1884</v>
      </c>
      <c r="K408" s="68" t="s">
        <v>1327</v>
      </c>
      <c r="L408" s="260"/>
      <c r="M408" s="70"/>
      <c r="N408" s="71"/>
      <c r="O408" s="69" t="str">
        <f t="shared" si="6"/>
        <v>제5편 병합소송-제11장 병합청구소송-제01절 청구의 원시적 병합-03</v>
      </c>
    </row>
    <row r="409" spans="2:15" ht="14.45" customHeight="1" x14ac:dyDescent="0.2">
      <c r="B409" s="26" t="s">
        <v>1276</v>
      </c>
      <c r="C409" s="27" t="s">
        <v>1283</v>
      </c>
      <c r="D409" s="61" t="s">
        <v>2160</v>
      </c>
      <c r="E409" s="62" t="s">
        <v>1193</v>
      </c>
      <c r="F409" s="63" t="s">
        <v>125</v>
      </c>
      <c r="G409" s="64" t="s">
        <v>1303</v>
      </c>
      <c r="H409" s="65" t="s">
        <v>1213</v>
      </c>
      <c r="I409" s="66" t="s">
        <v>1214</v>
      </c>
      <c r="J409" s="67">
        <v>2220</v>
      </c>
      <c r="K409" s="68" t="s">
        <v>1326</v>
      </c>
      <c r="L409" s="260" t="s">
        <v>2852</v>
      </c>
      <c r="M409" s="70"/>
      <c r="N409" s="71"/>
      <c r="O409" s="69" t="str">
        <f t="shared" si="6"/>
        <v>제5편 병합소송-제11장 병합청구소송-제01절 청구의 원시적 병합-04</v>
      </c>
    </row>
    <row r="410" spans="2:15" ht="14.45" customHeight="1" x14ac:dyDescent="0.2">
      <c r="B410" s="26" t="s">
        <v>1276</v>
      </c>
      <c r="C410" s="27" t="s">
        <v>1283</v>
      </c>
      <c r="D410" s="61" t="s">
        <v>2160</v>
      </c>
      <c r="E410" s="62" t="s">
        <v>399</v>
      </c>
      <c r="F410" s="63" t="s">
        <v>2649</v>
      </c>
      <c r="G410" s="64" t="s">
        <v>2310</v>
      </c>
      <c r="H410" s="65" t="s">
        <v>2012</v>
      </c>
      <c r="I410" s="66" t="s">
        <v>1618</v>
      </c>
      <c r="J410" s="67">
        <v>472</v>
      </c>
      <c r="K410" s="68" t="s">
        <v>1325</v>
      </c>
      <c r="L410" s="260"/>
      <c r="M410" s="70"/>
      <c r="N410" s="71"/>
      <c r="O410" s="69" t="str">
        <f t="shared" si="6"/>
        <v>제5편 병합소송-제11장 병합청구소송-제01절 청구의 원시적 병합-05</v>
      </c>
    </row>
    <row r="411" spans="2:15" ht="14.45" customHeight="1" x14ac:dyDescent="0.2">
      <c r="B411" s="26" t="s">
        <v>1276</v>
      </c>
      <c r="C411" s="27" t="s">
        <v>1283</v>
      </c>
      <c r="D411" s="61" t="s">
        <v>2160</v>
      </c>
      <c r="E411" s="62" t="s">
        <v>399</v>
      </c>
      <c r="F411" s="63" t="s">
        <v>2650</v>
      </c>
      <c r="G411" s="64" t="s">
        <v>2311</v>
      </c>
      <c r="H411" s="65" t="s">
        <v>2013</v>
      </c>
      <c r="I411" s="66" t="s">
        <v>1619</v>
      </c>
      <c r="J411" s="67">
        <v>290</v>
      </c>
      <c r="K411" s="68"/>
      <c r="L411" s="260"/>
      <c r="M411" s="70"/>
      <c r="N411" s="71"/>
      <c r="O411" s="69" t="str">
        <f t="shared" si="6"/>
        <v>제5편 병합소송-제11장 병합청구소송-제01절 청구의 원시적 병합-06</v>
      </c>
    </row>
    <row r="412" spans="2:15" ht="14.45" customHeight="1" x14ac:dyDescent="0.2">
      <c r="B412" s="26" t="s">
        <v>1276</v>
      </c>
      <c r="C412" s="27" t="s">
        <v>1283</v>
      </c>
      <c r="D412" s="61" t="s">
        <v>2160</v>
      </c>
      <c r="E412" s="62" t="s">
        <v>399</v>
      </c>
      <c r="F412" s="63" t="s">
        <v>2651</v>
      </c>
      <c r="G412" s="64" t="s">
        <v>2312</v>
      </c>
      <c r="H412" s="65" t="s">
        <v>2014</v>
      </c>
      <c r="I412" s="66" t="s">
        <v>1620</v>
      </c>
      <c r="J412" s="67">
        <v>499</v>
      </c>
      <c r="K412" s="68" t="s">
        <v>1325</v>
      </c>
      <c r="L412" s="260"/>
      <c r="M412" s="70"/>
      <c r="N412" s="71"/>
      <c r="O412" s="69" t="str">
        <f t="shared" si="6"/>
        <v>제5편 병합소송-제11장 병합청구소송-제01절 청구의 원시적 병합-07</v>
      </c>
    </row>
    <row r="413" spans="2:15" ht="14.45" customHeight="1" x14ac:dyDescent="0.2">
      <c r="B413" s="26" t="s">
        <v>1276</v>
      </c>
      <c r="C413" s="27" t="s">
        <v>1283</v>
      </c>
      <c r="D413" s="61" t="s">
        <v>2160</v>
      </c>
      <c r="E413" s="62" t="s">
        <v>399</v>
      </c>
      <c r="F413" s="63" t="s">
        <v>2652</v>
      </c>
      <c r="G413" s="64" t="s">
        <v>2313</v>
      </c>
      <c r="H413" s="65" t="s">
        <v>2015</v>
      </c>
      <c r="I413" s="66" t="s">
        <v>1621</v>
      </c>
      <c r="J413" s="67">
        <v>314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병합-08</v>
      </c>
    </row>
    <row r="414" spans="2:15" ht="14.45" customHeight="1" x14ac:dyDescent="0.2">
      <c r="B414" s="26" t="s">
        <v>1276</v>
      </c>
      <c r="C414" s="27" t="s">
        <v>1283</v>
      </c>
      <c r="D414" s="61" t="s">
        <v>2160</v>
      </c>
      <c r="E414" s="62" t="s">
        <v>399</v>
      </c>
      <c r="F414" s="63" t="s">
        <v>2653</v>
      </c>
      <c r="G414" s="64" t="s">
        <v>2314</v>
      </c>
      <c r="H414" s="65" t="s">
        <v>2016</v>
      </c>
      <c r="I414" s="66" t="s">
        <v>1622</v>
      </c>
      <c r="J414" s="67">
        <v>491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병합-09</v>
      </c>
    </row>
    <row r="415" spans="2:15" ht="14.45" customHeight="1" x14ac:dyDescent="0.2">
      <c r="B415" s="26" t="s">
        <v>1276</v>
      </c>
      <c r="C415" s="27" t="s">
        <v>1283</v>
      </c>
      <c r="D415" s="61" t="s">
        <v>2160</v>
      </c>
      <c r="E415" s="62" t="s">
        <v>399</v>
      </c>
      <c r="F415" s="63" t="s">
        <v>2654</v>
      </c>
      <c r="G415" s="64" t="s">
        <v>2315</v>
      </c>
      <c r="H415" s="65" t="s">
        <v>2017</v>
      </c>
      <c r="I415" s="66" t="s">
        <v>1623</v>
      </c>
      <c r="J415" s="67">
        <v>386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병합-10</v>
      </c>
    </row>
    <row r="416" spans="2:15" ht="14.45" customHeight="1" x14ac:dyDescent="0.2">
      <c r="B416" s="26" t="s">
        <v>1276</v>
      </c>
      <c r="C416" s="27" t="s">
        <v>1283</v>
      </c>
      <c r="D416" s="61" t="s">
        <v>2160</v>
      </c>
      <c r="E416" s="62" t="s">
        <v>399</v>
      </c>
      <c r="F416" s="63" t="s">
        <v>2655</v>
      </c>
      <c r="G416" s="64" t="s">
        <v>2316</v>
      </c>
      <c r="H416" s="65" t="s">
        <v>2018</v>
      </c>
      <c r="I416" s="66" t="s">
        <v>1624</v>
      </c>
      <c r="J416" s="67">
        <v>493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병합-11</v>
      </c>
    </row>
    <row r="417" spans="2:15" ht="14.45" customHeight="1" x14ac:dyDescent="0.2">
      <c r="B417" s="26" t="s">
        <v>1276</v>
      </c>
      <c r="C417" s="27" t="s">
        <v>1283</v>
      </c>
      <c r="D417" s="61" t="s">
        <v>2160</v>
      </c>
      <c r="E417" s="62" t="s">
        <v>399</v>
      </c>
      <c r="F417" s="63" t="s">
        <v>2656</v>
      </c>
      <c r="G417" s="64" t="s">
        <v>2317</v>
      </c>
      <c r="H417" s="65" t="s">
        <v>2019</v>
      </c>
      <c r="I417" s="66" t="s">
        <v>1625</v>
      </c>
      <c r="J417" s="67">
        <v>529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병합-12</v>
      </c>
    </row>
    <row r="418" spans="2:15" ht="14.45" customHeight="1" x14ac:dyDescent="0.2">
      <c r="B418" s="26" t="s">
        <v>1276</v>
      </c>
      <c r="C418" s="27" t="s">
        <v>1283</v>
      </c>
      <c r="D418" s="61" t="s">
        <v>2160</v>
      </c>
      <c r="E418" s="62" t="s">
        <v>399</v>
      </c>
      <c r="F418" s="63" t="s">
        <v>2657</v>
      </c>
      <c r="G418" s="64" t="s">
        <v>2318</v>
      </c>
      <c r="H418" s="65" t="s">
        <v>2020</v>
      </c>
      <c r="I418" s="66" t="s">
        <v>1626</v>
      </c>
      <c r="J418" s="67">
        <v>592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병합-13</v>
      </c>
    </row>
    <row r="419" spans="2:15" ht="14.45" customHeight="1" x14ac:dyDescent="0.2">
      <c r="B419" s="26" t="s">
        <v>1276</v>
      </c>
      <c r="C419" s="27" t="s">
        <v>1283</v>
      </c>
      <c r="D419" s="61" t="s">
        <v>2160</v>
      </c>
      <c r="E419" s="62" t="s">
        <v>399</v>
      </c>
      <c r="F419" s="63" t="s">
        <v>2658</v>
      </c>
      <c r="G419" s="64" t="s">
        <v>2319</v>
      </c>
      <c r="H419" s="65" t="s">
        <v>2021</v>
      </c>
      <c r="I419" s="66" t="s">
        <v>1627</v>
      </c>
      <c r="J419" s="67">
        <v>361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병합-14</v>
      </c>
    </row>
    <row r="420" spans="2:15" ht="14.45" customHeight="1" x14ac:dyDescent="0.2">
      <c r="B420" s="26" t="s">
        <v>1276</v>
      </c>
      <c r="C420" s="27" t="s">
        <v>1283</v>
      </c>
      <c r="D420" s="61" t="s">
        <v>2160</v>
      </c>
      <c r="E420" s="62" t="s">
        <v>399</v>
      </c>
      <c r="F420" s="63" t="s">
        <v>2659</v>
      </c>
      <c r="G420" s="64" t="s">
        <v>2320</v>
      </c>
      <c r="H420" s="65" t="s">
        <v>2022</v>
      </c>
      <c r="I420" s="66" t="s">
        <v>1628</v>
      </c>
      <c r="J420" s="67">
        <v>353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병합-15</v>
      </c>
    </row>
    <row r="421" spans="2:15" ht="14.45" customHeight="1" x14ac:dyDescent="0.2">
      <c r="B421" s="26" t="s">
        <v>1276</v>
      </c>
      <c r="C421" s="27" t="s">
        <v>1283</v>
      </c>
      <c r="D421" s="61" t="s">
        <v>2160</v>
      </c>
      <c r="E421" s="62" t="s">
        <v>399</v>
      </c>
      <c r="F421" s="63" t="s">
        <v>2660</v>
      </c>
      <c r="G421" s="64" t="s">
        <v>2321</v>
      </c>
      <c r="H421" s="65" t="s">
        <v>2023</v>
      </c>
      <c r="I421" s="66" t="s">
        <v>1629</v>
      </c>
      <c r="J421" s="67">
        <v>1199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병합-16</v>
      </c>
    </row>
    <row r="422" spans="2:15" ht="14.45" customHeight="1" x14ac:dyDescent="0.2">
      <c r="B422" s="26" t="s">
        <v>1276</v>
      </c>
      <c r="C422" s="27" t="s">
        <v>1283</v>
      </c>
      <c r="D422" s="28" t="s">
        <v>2160</v>
      </c>
      <c r="E422" s="29" t="s">
        <v>399</v>
      </c>
      <c r="F422" s="30" t="s">
        <v>2661</v>
      </c>
      <c r="G422" s="31" t="s">
        <v>2322</v>
      </c>
      <c r="H422" s="32" t="s">
        <v>2118</v>
      </c>
      <c r="I422" s="33" t="s">
        <v>1726</v>
      </c>
      <c r="J422" s="34">
        <v>389</v>
      </c>
      <c r="K422" s="35" t="s">
        <v>1326</v>
      </c>
      <c r="L422" s="257" t="s">
        <v>2831</v>
      </c>
      <c r="M422" s="37"/>
      <c r="N422" s="38"/>
      <c r="O422" s="36" t="str">
        <f t="shared" si="6"/>
        <v>제5편 병합소송-제11장 병합청구소송-제01절 청구의 원시적 병합-17</v>
      </c>
    </row>
    <row r="423" spans="2:15" ht="14.45" customHeight="1" x14ac:dyDescent="0.2">
      <c r="B423" s="26" t="s">
        <v>1276</v>
      </c>
      <c r="C423" s="27" t="s">
        <v>1283</v>
      </c>
      <c r="D423" s="50" t="s">
        <v>2162</v>
      </c>
      <c r="E423" s="51" t="s">
        <v>7</v>
      </c>
      <c r="F423" s="52" t="s">
        <v>19</v>
      </c>
      <c r="G423" s="53" t="s">
        <v>1300</v>
      </c>
      <c r="H423" s="54" t="s">
        <v>65</v>
      </c>
      <c r="I423" s="55" t="s">
        <v>3084</v>
      </c>
      <c r="J423" s="56">
        <v>3748</v>
      </c>
      <c r="K423" s="57" t="s">
        <v>1325</v>
      </c>
      <c r="L423" s="259"/>
      <c r="M423" s="59"/>
      <c r="N423" s="60"/>
      <c r="O423" s="58" t="str">
        <f t="shared" si="6"/>
        <v>제5편 병합소송-제11장 병합청구소송-제02절 청구의 후발적 병합-01</v>
      </c>
    </row>
    <row r="424" spans="2:15" ht="14.45" customHeight="1" x14ac:dyDescent="0.2">
      <c r="B424" s="26" t="s">
        <v>1276</v>
      </c>
      <c r="C424" s="27" t="s">
        <v>1283</v>
      </c>
      <c r="D424" s="61" t="s">
        <v>2162</v>
      </c>
      <c r="E424" s="62" t="s">
        <v>1193</v>
      </c>
      <c r="F424" s="63" t="s">
        <v>1117</v>
      </c>
      <c r="G424" s="64" t="s">
        <v>1301</v>
      </c>
      <c r="H424" s="65" t="s">
        <v>1243</v>
      </c>
      <c r="I424" s="66" t="s">
        <v>1244</v>
      </c>
      <c r="J424" s="67">
        <v>1219</v>
      </c>
      <c r="K424" s="68" t="s">
        <v>1325</v>
      </c>
      <c r="L424" s="260" t="s">
        <v>2309</v>
      </c>
      <c r="M424" s="70"/>
      <c r="N424" s="71"/>
      <c r="O424" s="69" t="str">
        <f t="shared" si="6"/>
        <v>제5편 병합소송-제11장 병합청구소송-제02절 청구의 후발적 병합-02</v>
      </c>
    </row>
    <row r="425" spans="2:15" ht="14.45" customHeight="1" x14ac:dyDescent="0.2">
      <c r="B425" s="26" t="s">
        <v>1276</v>
      </c>
      <c r="C425" s="27" t="s">
        <v>1283</v>
      </c>
      <c r="D425" s="61" t="s">
        <v>2162</v>
      </c>
      <c r="E425" s="62" t="s">
        <v>1193</v>
      </c>
      <c r="F425" s="63" t="s">
        <v>127</v>
      </c>
      <c r="G425" s="64" t="s">
        <v>1302</v>
      </c>
      <c r="H425" s="65" t="s">
        <v>1241</v>
      </c>
      <c r="I425" s="66" t="s">
        <v>1242</v>
      </c>
      <c r="J425" s="67">
        <v>1425</v>
      </c>
      <c r="K425" s="68" t="s">
        <v>1325</v>
      </c>
      <c r="L425" s="260" t="s">
        <v>2309</v>
      </c>
      <c r="M425" s="70"/>
      <c r="N425" s="71"/>
      <c r="O425" s="69" t="str">
        <f t="shared" si="6"/>
        <v>제5편 병합소송-제11장 병합청구소송-제02절 청구의 후발적 병합-03</v>
      </c>
    </row>
    <row r="426" spans="2:15" ht="14.45" customHeight="1" x14ac:dyDescent="0.2">
      <c r="B426" s="26" t="s">
        <v>1276</v>
      </c>
      <c r="C426" s="27" t="s">
        <v>1283</v>
      </c>
      <c r="D426" s="61" t="s">
        <v>2162</v>
      </c>
      <c r="E426" s="62" t="s">
        <v>2771</v>
      </c>
      <c r="F426" s="63" t="s">
        <v>2255</v>
      </c>
      <c r="G426" s="64" t="s">
        <v>1303</v>
      </c>
      <c r="H426" s="65" t="s">
        <v>2266</v>
      </c>
      <c r="I426" s="66" t="s">
        <v>2824</v>
      </c>
      <c r="J426" s="67">
        <v>851</v>
      </c>
      <c r="K426" s="68" t="s">
        <v>1325</v>
      </c>
      <c r="L426" s="260" t="s">
        <v>2309</v>
      </c>
      <c r="M426" s="70"/>
      <c r="N426" s="71"/>
      <c r="O426" s="69" t="str">
        <f t="shared" si="6"/>
        <v>제5편 병합소송-제11장 병합청구소송-제02절 청구의 후발적 병합-04</v>
      </c>
    </row>
    <row r="427" spans="2:15" ht="14.45" customHeight="1" x14ac:dyDescent="0.2">
      <c r="B427" s="26" t="s">
        <v>1276</v>
      </c>
      <c r="C427" s="27" t="s">
        <v>1283</v>
      </c>
      <c r="D427" s="61" t="s">
        <v>2162</v>
      </c>
      <c r="E427" s="62" t="s">
        <v>399</v>
      </c>
      <c r="F427" s="63" t="s">
        <v>2662</v>
      </c>
      <c r="G427" s="64" t="s">
        <v>2310</v>
      </c>
      <c r="H427" s="65" t="s">
        <v>2024</v>
      </c>
      <c r="I427" s="66" t="s">
        <v>1630</v>
      </c>
      <c r="J427" s="67">
        <v>207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병합-05</v>
      </c>
    </row>
    <row r="428" spans="2:15" ht="14.45" customHeight="1" x14ac:dyDescent="0.2">
      <c r="B428" s="26" t="s">
        <v>1276</v>
      </c>
      <c r="C428" s="27" t="s">
        <v>1283</v>
      </c>
      <c r="D428" s="61" t="s">
        <v>2162</v>
      </c>
      <c r="E428" s="62" t="s">
        <v>399</v>
      </c>
      <c r="F428" s="63" t="s">
        <v>2663</v>
      </c>
      <c r="G428" s="64" t="s">
        <v>2311</v>
      </c>
      <c r="H428" s="65" t="s">
        <v>2025</v>
      </c>
      <c r="I428" s="66" t="s">
        <v>1631</v>
      </c>
      <c r="J428" s="67">
        <v>315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병합-06</v>
      </c>
    </row>
    <row r="429" spans="2:15" ht="14.45" customHeight="1" x14ac:dyDescent="0.2">
      <c r="B429" s="26" t="s">
        <v>1276</v>
      </c>
      <c r="C429" s="27" t="s">
        <v>1283</v>
      </c>
      <c r="D429" s="61" t="s">
        <v>2162</v>
      </c>
      <c r="E429" s="62" t="s">
        <v>399</v>
      </c>
      <c r="F429" s="63" t="s">
        <v>2664</v>
      </c>
      <c r="G429" s="64" t="s">
        <v>2312</v>
      </c>
      <c r="H429" s="65" t="s">
        <v>2026</v>
      </c>
      <c r="I429" s="66" t="s">
        <v>1632</v>
      </c>
      <c r="J429" s="67">
        <v>218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병합-07</v>
      </c>
    </row>
    <row r="430" spans="2:15" ht="14.45" customHeight="1" x14ac:dyDescent="0.2">
      <c r="B430" s="26" t="s">
        <v>1276</v>
      </c>
      <c r="C430" s="27" t="s">
        <v>1283</v>
      </c>
      <c r="D430" s="61" t="s">
        <v>2162</v>
      </c>
      <c r="E430" s="62" t="s">
        <v>399</v>
      </c>
      <c r="F430" s="63" t="s">
        <v>2665</v>
      </c>
      <c r="G430" s="64" t="s">
        <v>2313</v>
      </c>
      <c r="H430" s="65" t="s">
        <v>2027</v>
      </c>
      <c r="I430" s="66" t="s">
        <v>1633</v>
      </c>
      <c r="J430" s="67">
        <v>268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병합-08</v>
      </c>
    </row>
    <row r="431" spans="2:15" ht="14.45" customHeight="1" x14ac:dyDescent="0.2">
      <c r="B431" s="26" t="s">
        <v>1276</v>
      </c>
      <c r="C431" s="27" t="s">
        <v>1283</v>
      </c>
      <c r="D431" s="61" t="s">
        <v>2162</v>
      </c>
      <c r="E431" s="62" t="s">
        <v>399</v>
      </c>
      <c r="F431" s="63" t="s">
        <v>2666</v>
      </c>
      <c r="G431" s="64" t="s">
        <v>2314</v>
      </c>
      <c r="H431" s="65" t="s">
        <v>2028</v>
      </c>
      <c r="I431" s="66" t="s">
        <v>1634</v>
      </c>
      <c r="J431" s="67">
        <v>502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병합-09</v>
      </c>
    </row>
    <row r="432" spans="2:15" ht="14.45" customHeight="1" x14ac:dyDescent="0.2">
      <c r="B432" s="26" t="s">
        <v>1276</v>
      </c>
      <c r="C432" s="27" t="s">
        <v>1283</v>
      </c>
      <c r="D432" s="61" t="s">
        <v>2162</v>
      </c>
      <c r="E432" s="62" t="s">
        <v>399</v>
      </c>
      <c r="F432" s="63" t="s">
        <v>2667</v>
      </c>
      <c r="G432" s="64" t="s">
        <v>2315</v>
      </c>
      <c r="H432" s="65" t="s">
        <v>2029</v>
      </c>
      <c r="I432" s="66" t="s">
        <v>1635</v>
      </c>
      <c r="J432" s="67">
        <v>575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병합-10</v>
      </c>
    </row>
    <row r="433" spans="2:15" ht="14.45" customHeight="1" thickBot="1" x14ac:dyDescent="0.25">
      <c r="B433" s="26" t="s">
        <v>1276</v>
      </c>
      <c r="C433" s="72" t="s">
        <v>1283</v>
      </c>
      <c r="D433" s="73" t="s">
        <v>2162</v>
      </c>
      <c r="E433" s="74" t="s">
        <v>399</v>
      </c>
      <c r="F433" s="75" t="s">
        <v>2668</v>
      </c>
      <c r="G433" s="76" t="s">
        <v>2316</v>
      </c>
      <c r="H433" s="77" t="s">
        <v>2030</v>
      </c>
      <c r="I433" s="78" t="s">
        <v>1636</v>
      </c>
      <c r="J433" s="79">
        <v>655</v>
      </c>
      <c r="K433" s="80"/>
      <c r="L433" s="261"/>
      <c r="M433" s="82"/>
      <c r="N433" s="83"/>
      <c r="O433" s="81" t="str">
        <f t="shared" si="6"/>
        <v>제5편 병합소송-제11장 병합청구소송-제02절 청구의 후발적 병합-11</v>
      </c>
    </row>
    <row r="434" spans="2:15" ht="14.45" customHeight="1" x14ac:dyDescent="0.2">
      <c r="B434" s="26" t="s">
        <v>1276</v>
      </c>
      <c r="C434" s="14" t="s">
        <v>1286</v>
      </c>
      <c r="D434" s="15" t="s">
        <v>2161</v>
      </c>
      <c r="E434" s="16" t="s">
        <v>7</v>
      </c>
      <c r="F434" s="17" t="s">
        <v>20</v>
      </c>
      <c r="G434" s="18" t="s">
        <v>1300</v>
      </c>
      <c r="H434" s="19" t="s">
        <v>66</v>
      </c>
      <c r="I434" s="20" t="s">
        <v>3085</v>
      </c>
      <c r="J434" s="21">
        <v>3973</v>
      </c>
      <c r="K434" s="22" t="s">
        <v>1325</v>
      </c>
      <c r="L434" s="256"/>
      <c r="M434" s="24"/>
      <c r="N434" s="25"/>
      <c r="O434" s="23" t="str">
        <f t="shared" si="6"/>
        <v>제5편 병합소송-제12장 다수당사자소송-제01절 공동소송-01</v>
      </c>
    </row>
    <row r="435" spans="2:15" ht="14.45" customHeight="1" x14ac:dyDescent="0.2">
      <c r="B435" s="26" t="s">
        <v>1276</v>
      </c>
      <c r="C435" s="27" t="s">
        <v>1285</v>
      </c>
      <c r="D435" s="61" t="s">
        <v>2161</v>
      </c>
      <c r="E435" s="62" t="s">
        <v>1193</v>
      </c>
      <c r="F435" s="63" t="s">
        <v>138</v>
      </c>
      <c r="G435" s="64" t="s">
        <v>1301</v>
      </c>
      <c r="H435" s="65" t="s">
        <v>2762</v>
      </c>
      <c r="I435" s="66" t="s">
        <v>2761</v>
      </c>
      <c r="J435" s="67">
        <v>1474</v>
      </c>
      <c r="K435" s="68" t="s">
        <v>1325</v>
      </c>
      <c r="L435" s="260" t="s">
        <v>2309</v>
      </c>
      <c r="M435" s="70"/>
      <c r="N435" s="71"/>
      <c r="O435" s="69" t="str">
        <f t="shared" si="6"/>
        <v>제5편 병합소송-제12장 다수당사자소송-제01절 공동소송-02</v>
      </c>
    </row>
    <row r="436" spans="2:15" ht="14.45" customHeight="1" x14ac:dyDescent="0.2">
      <c r="B436" s="26" t="s">
        <v>1276</v>
      </c>
      <c r="C436" s="27" t="s">
        <v>1285</v>
      </c>
      <c r="D436" s="61" t="s">
        <v>2161</v>
      </c>
      <c r="E436" s="62" t="s">
        <v>1193</v>
      </c>
      <c r="F436" s="63" t="s">
        <v>100</v>
      </c>
      <c r="G436" s="64" t="s">
        <v>1302</v>
      </c>
      <c r="H436" s="65" t="s">
        <v>1202</v>
      </c>
      <c r="I436" s="66" t="s">
        <v>1201</v>
      </c>
      <c r="J436" s="67">
        <v>1858</v>
      </c>
      <c r="K436" s="68" t="s">
        <v>1325</v>
      </c>
      <c r="L436" s="260" t="s">
        <v>2212</v>
      </c>
      <c r="M436" s="70"/>
      <c r="N436" s="71"/>
      <c r="O436" s="69" t="str">
        <f t="shared" si="6"/>
        <v>제5편 병합소송-제12장 다수당사자소송-제01절 공동소송-03</v>
      </c>
    </row>
    <row r="437" spans="2:15" ht="14.45" customHeight="1" x14ac:dyDescent="0.2">
      <c r="B437" s="26" t="s">
        <v>1276</v>
      </c>
      <c r="C437" s="27" t="s">
        <v>1285</v>
      </c>
      <c r="D437" s="61" t="s">
        <v>2161</v>
      </c>
      <c r="E437" s="62" t="s">
        <v>1193</v>
      </c>
      <c r="F437" s="63" t="s">
        <v>137</v>
      </c>
      <c r="G437" s="64" t="s">
        <v>1303</v>
      </c>
      <c r="H437" s="65" t="s">
        <v>132</v>
      </c>
      <c r="I437" s="66" t="s">
        <v>1015</v>
      </c>
      <c r="J437" s="67">
        <v>1618</v>
      </c>
      <c r="K437" s="68" t="s">
        <v>1325</v>
      </c>
      <c r="L437" s="260"/>
      <c r="M437" s="70"/>
      <c r="N437" s="71"/>
      <c r="O437" s="69" t="str">
        <f t="shared" si="6"/>
        <v>제5편 병합소송-제12장 다수당사자소송-제01절 공동소송-04</v>
      </c>
    </row>
    <row r="438" spans="2:15" ht="14.45" customHeight="1" x14ac:dyDescent="0.2">
      <c r="B438" s="26" t="s">
        <v>1276</v>
      </c>
      <c r="C438" s="27" t="s">
        <v>1285</v>
      </c>
      <c r="D438" s="61" t="s">
        <v>2161</v>
      </c>
      <c r="E438" s="62" t="s">
        <v>1193</v>
      </c>
      <c r="F438" s="63" t="s">
        <v>136</v>
      </c>
      <c r="G438" s="64" t="s">
        <v>2310</v>
      </c>
      <c r="H438" s="65" t="s">
        <v>131</v>
      </c>
      <c r="I438" s="66" t="s">
        <v>1014</v>
      </c>
      <c r="J438" s="67">
        <v>1949</v>
      </c>
      <c r="K438" s="68" t="s">
        <v>1326</v>
      </c>
      <c r="L438" s="260"/>
      <c r="M438" s="70"/>
      <c r="N438" s="71"/>
      <c r="O438" s="69" t="str">
        <f t="shared" si="6"/>
        <v>제5편 병합소송-제12장 다수당사자소송-제01절 공동소송-05</v>
      </c>
    </row>
    <row r="439" spans="2:15" ht="14.45" customHeight="1" x14ac:dyDescent="0.2">
      <c r="B439" s="26" t="s">
        <v>1276</v>
      </c>
      <c r="C439" s="27" t="s">
        <v>1285</v>
      </c>
      <c r="D439" s="61" t="s">
        <v>2161</v>
      </c>
      <c r="E439" s="62" t="s">
        <v>1193</v>
      </c>
      <c r="F439" s="63" t="s">
        <v>135</v>
      </c>
      <c r="G439" s="64" t="s">
        <v>2311</v>
      </c>
      <c r="H439" s="65" t="s">
        <v>130</v>
      </c>
      <c r="I439" s="66" t="s">
        <v>1013</v>
      </c>
      <c r="J439" s="67">
        <v>1597</v>
      </c>
      <c r="K439" s="68" t="s">
        <v>1325</v>
      </c>
      <c r="L439" s="260" t="s">
        <v>2309</v>
      </c>
      <c r="M439" s="70"/>
      <c r="N439" s="71"/>
      <c r="O439" s="69" t="str">
        <f t="shared" si="6"/>
        <v>제5편 병합소송-제12장 다수당사자소송-제01절 공동소송-06</v>
      </c>
    </row>
    <row r="440" spans="2:15" ht="14.45" customHeight="1" x14ac:dyDescent="0.2">
      <c r="B440" s="26" t="s">
        <v>1276</v>
      </c>
      <c r="C440" s="27" t="s">
        <v>1285</v>
      </c>
      <c r="D440" s="61" t="s">
        <v>2161</v>
      </c>
      <c r="E440" s="62" t="s">
        <v>1193</v>
      </c>
      <c r="F440" s="63" t="s">
        <v>134</v>
      </c>
      <c r="G440" s="64" t="s">
        <v>2312</v>
      </c>
      <c r="H440" s="65" t="s">
        <v>129</v>
      </c>
      <c r="I440" s="66" t="s">
        <v>1012</v>
      </c>
      <c r="J440" s="67">
        <v>1789</v>
      </c>
      <c r="K440" s="68" t="s">
        <v>1325</v>
      </c>
      <c r="L440" s="260"/>
      <c r="M440" s="70"/>
      <c r="N440" s="71"/>
      <c r="O440" s="69" t="str">
        <f t="shared" si="6"/>
        <v>제5편 병합소송-제12장 다수당사자소송-제01절 공동소송-07</v>
      </c>
    </row>
    <row r="441" spans="2:15" ht="14.45" customHeight="1" x14ac:dyDescent="0.2">
      <c r="B441" s="26" t="s">
        <v>1276</v>
      </c>
      <c r="C441" s="27" t="s">
        <v>1285</v>
      </c>
      <c r="D441" s="61" t="s">
        <v>2161</v>
      </c>
      <c r="E441" s="62" t="s">
        <v>1193</v>
      </c>
      <c r="F441" s="63" t="s">
        <v>1118</v>
      </c>
      <c r="G441" s="64" t="s">
        <v>2313</v>
      </c>
      <c r="H441" s="65" t="s">
        <v>128</v>
      </c>
      <c r="I441" s="66" t="s">
        <v>1011</v>
      </c>
      <c r="J441" s="67">
        <v>1619</v>
      </c>
      <c r="K441" s="68" t="s">
        <v>1325</v>
      </c>
      <c r="L441" s="260"/>
      <c r="M441" s="70"/>
      <c r="N441" s="71"/>
      <c r="O441" s="69" t="str">
        <f t="shared" si="6"/>
        <v>제5편 병합소송-제12장 다수당사자소송-제01절 공동소송-08</v>
      </c>
    </row>
    <row r="442" spans="2:15" ht="14.45" customHeight="1" x14ac:dyDescent="0.2">
      <c r="B442" s="26" t="s">
        <v>1276</v>
      </c>
      <c r="C442" s="27" t="s">
        <v>1285</v>
      </c>
      <c r="D442" s="61" t="s">
        <v>2161</v>
      </c>
      <c r="E442" s="62" t="s">
        <v>1193</v>
      </c>
      <c r="F442" s="63" t="s">
        <v>133</v>
      </c>
      <c r="G442" s="64" t="s">
        <v>2314</v>
      </c>
      <c r="H442" s="65" t="s">
        <v>1151</v>
      </c>
      <c r="I442" s="66" t="s">
        <v>1152</v>
      </c>
      <c r="J442" s="67">
        <v>1364</v>
      </c>
      <c r="K442" s="68" t="s">
        <v>1326</v>
      </c>
      <c r="L442" s="260"/>
      <c r="M442" s="70"/>
      <c r="N442" s="71"/>
      <c r="O442" s="69" t="str">
        <f t="shared" si="6"/>
        <v>제5편 병합소송-제12장 다수당사자소송-제01절 공동소송-09</v>
      </c>
    </row>
    <row r="443" spans="2:15" ht="14.45" customHeight="1" x14ac:dyDescent="0.2">
      <c r="B443" s="26" t="s">
        <v>1276</v>
      </c>
      <c r="C443" s="27" t="s">
        <v>1285</v>
      </c>
      <c r="D443" s="61" t="s">
        <v>2161</v>
      </c>
      <c r="E443" s="62" t="s">
        <v>2771</v>
      </c>
      <c r="F443" s="63" t="s">
        <v>1126</v>
      </c>
      <c r="G443" s="64" t="s">
        <v>2315</v>
      </c>
      <c r="H443" s="65" t="s">
        <v>1162</v>
      </c>
      <c r="I443" s="66" t="s">
        <v>2822</v>
      </c>
      <c r="J443" s="67">
        <v>1473</v>
      </c>
      <c r="K443" s="68" t="s">
        <v>1325</v>
      </c>
      <c r="L443" s="260"/>
      <c r="M443" s="70"/>
      <c r="N443" s="71"/>
      <c r="O443" s="69" t="str">
        <f t="shared" si="6"/>
        <v>제5편 병합소송-제12장 다수당사자소송-제01절 공동소송-10</v>
      </c>
    </row>
    <row r="444" spans="2:15" ht="14.45" customHeight="1" x14ac:dyDescent="0.2">
      <c r="B444" s="26" t="s">
        <v>1276</v>
      </c>
      <c r="C444" s="27" t="s">
        <v>1285</v>
      </c>
      <c r="D444" s="61" t="s">
        <v>2161</v>
      </c>
      <c r="E444" s="62" t="s">
        <v>2771</v>
      </c>
      <c r="F444" s="63" t="s">
        <v>2256</v>
      </c>
      <c r="G444" s="64" t="s">
        <v>2316</v>
      </c>
      <c r="H444" s="65" t="s">
        <v>2267</v>
      </c>
      <c r="I444" s="66" t="s">
        <v>2823</v>
      </c>
      <c r="J444" s="67">
        <v>1147</v>
      </c>
      <c r="K444" s="68" t="s">
        <v>1325</v>
      </c>
      <c r="L444" s="260" t="s">
        <v>2309</v>
      </c>
      <c r="M444" s="70"/>
      <c r="N444" s="71"/>
      <c r="O444" s="69" t="str">
        <f t="shared" si="6"/>
        <v>제5편 병합소송-제12장 다수당사자소송-제01절 공동소송-11</v>
      </c>
    </row>
    <row r="445" spans="2:15" ht="14.45" customHeight="1" x14ac:dyDescent="0.2">
      <c r="B445" s="26" t="s">
        <v>1276</v>
      </c>
      <c r="C445" s="27" t="s">
        <v>1285</v>
      </c>
      <c r="D445" s="61" t="s">
        <v>2161</v>
      </c>
      <c r="E445" s="62" t="s">
        <v>399</v>
      </c>
      <c r="F445" s="63" t="s">
        <v>2669</v>
      </c>
      <c r="G445" s="64" t="s">
        <v>2317</v>
      </c>
      <c r="H445" s="65" t="s">
        <v>2031</v>
      </c>
      <c r="I445" s="66" t="s">
        <v>1637</v>
      </c>
      <c r="J445" s="67">
        <v>426</v>
      </c>
      <c r="K445" s="68"/>
      <c r="L445" s="260"/>
      <c r="M445" s="70"/>
      <c r="N445" s="71"/>
      <c r="O445" s="69" t="str">
        <f t="shared" si="6"/>
        <v>제5편 병합소송-제12장 다수당사자소송-제01절 공동소송-12</v>
      </c>
    </row>
    <row r="446" spans="2:15" ht="14.45" customHeight="1" x14ac:dyDescent="0.2">
      <c r="B446" s="26" t="s">
        <v>1276</v>
      </c>
      <c r="C446" s="27" t="s">
        <v>1285</v>
      </c>
      <c r="D446" s="61" t="s">
        <v>2161</v>
      </c>
      <c r="E446" s="62" t="s">
        <v>399</v>
      </c>
      <c r="F446" s="63" t="s">
        <v>2670</v>
      </c>
      <c r="G446" s="64" t="s">
        <v>2318</v>
      </c>
      <c r="H446" s="65" t="s">
        <v>2032</v>
      </c>
      <c r="I446" s="66" t="s">
        <v>1638</v>
      </c>
      <c r="J446" s="67">
        <v>209</v>
      </c>
      <c r="K446" s="68"/>
      <c r="L446" s="260"/>
      <c r="M446" s="70"/>
      <c r="N446" s="71"/>
      <c r="O446" s="69" t="str">
        <f t="shared" si="6"/>
        <v>제5편 병합소송-제12장 다수당사자소송-제01절 공동소송-13</v>
      </c>
    </row>
    <row r="447" spans="2:15" ht="14.45" customHeight="1" x14ac:dyDescent="0.2">
      <c r="B447" s="26" t="s">
        <v>1276</v>
      </c>
      <c r="C447" s="27" t="s">
        <v>1285</v>
      </c>
      <c r="D447" s="61" t="s">
        <v>2161</v>
      </c>
      <c r="E447" s="62" t="s">
        <v>399</v>
      </c>
      <c r="F447" s="63" t="s">
        <v>2671</v>
      </c>
      <c r="G447" s="64" t="s">
        <v>2319</v>
      </c>
      <c r="H447" s="65" t="s">
        <v>2033</v>
      </c>
      <c r="I447" s="66" t="s">
        <v>1639</v>
      </c>
      <c r="J447" s="67">
        <v>539</v>
      </c>
      <c r="K447" s="68"/>
      <c r="L447" s="260"/>
      <c r="M447" s="70"/>
      <c r="N447" s="71"/>
      <c r="O447" s="69" t="str">
        <f t="shared" si="6"/>
        <v>제5편 병합소송-제12장 다수당사자소송-제01절 공동소송-14</v>
      </c>
    </row>
    <row r="448" spans="2:15" ht="14.45" customHeight="1" x14ac:dyDescent="0.2">
      <c r="B448" s="26" t="s">
        <v>1276</v>
      </c>
      <c r="C448" s="27" t="s">
        <v>1285</v>
      </c>
      <c r="D448" s="61" t="s">
        <v>2161</v>
      </c>
      <c r="E448" s="62" t="s">
        <v>399</v>
      </c>
      <c r="F448" s="63" t="s">
        <v>2672</v>
      </c>
      <c r="G448" s="64" t="s">
        <v>2320</v>
      </c>
      <c r="H448" s="65" t="s">
        <v>2034</v>
      </c>
      <c r="I448" s="66" t="s">
        <v>1640</v>
      </c>
      <c r="J448" s="67">
        <v>741</v>
      </c>
      <c r="K448" s="68"/>
      <c r="L448" s="260"/>
      <c r="M448" s="70"/>
      <c r="N448" s="71"/>
      <c r="O448" s="69" t="str">
        <f t="shared" si="6"/>
        <v>제5편 병합소송-제12장 다수당사자소송-제01절 공동소송-15</v>
      </c>
    </row>
    <row r="449" spans="2:15" ht="14.45" customHeight="1" x14ac:dyDescent="0.2">
      <c r="B449" s="26" t="s">
        <v>1276</v>
      </c>
      <c r="C449" s="27" t="s">
        <v>1285</v>
      </c>
      <c r="D449" s="61" t="s">
        <v>2161</v>
      </c>
      <c r="E449" s="62" t="s">
        <v>399</v>
      </c>
      <c r="F449" s="63" t="s">
        <v>2673</v>
      </c>
      <c r="G449" s="64" t="s">
        <v>2321</v>
      </c>
      <c r="H449" s="65" t="s">
        <v>2035</v>
      </c>
      <c r="I449" s="66" t="s">
        <v>1641</v>
      </c>
      <c r="J449" s="67">
        <v>315</v>
      </c>
      <c r="K449" s="68"/>
      <c r="L449" s="260"/>
      <c r="M449" s="70"/>
      <c r="N449" s="71"/>
      <c r="O449" s="69" t="str">
        <f t="shared" si="6"/>
        <v>제5편 병합소송-제12장 다수당사자소송-제01절 공동소송-16</v>
      </c>
    </row>
    <row r="450" spans="2:15" ht="14.45" customHeight="1" x14ac:dyDescent="0.2">
      <c r="B450" s="26" t="s">
        <v>1276</v>
      </c>
      <c r="C450" s="27" t="s">
        <v>1285</v>
      </c>
      <c r="D450" s="61" t="s">
        <v>2161</v>
      </c>
      <c r="E450" s="62" t="s">
        <v>399</v>
      </c>
      <c r="F450" s="63" t="s">
        <v>2674</v>
      </c>
      <c r="G450" s="64" t="s">
        <v>2322</v>
      </c>
      <c r="H450" s="65" t="s">
        <v>2036</v>
      </c>
      <c r="I450" s="66" t="s">
        <v>1642</v>
      </c>
      <c r="J450" s="67">
        <v>466</v>
      </c>
      <c r="K450" s="68"/>
      <c r="L450" s="260"/>
      <c r="M450" s="70"/>
      <c r="N450" s="71"/>
      <c r="O450" s="69" t="str">
        <f t="shared" si="6"/>
        <v>제5편 병합소송-제12장 다수당사자소송-제01절 공동소송-17</v>
      </c>
    </row>
    <row r="451" spans="2:15" ht="14.45" customHeight="1" x14ac:dyDescent="0.2">
      <c r="B451" s="26" t="s">
        <v>1276</v>
      </c>
      <c r="C451" s="27" t="s">
        <v>1285</v>
      </c>
      <c r="D451" s="61" t="s">
        <v>2161</v>
      </c>
      <c r="E451" s="62" t="s">
        <v>399</v>
      </c>
      <c r="F451" s="63" t="s">
        <v>2675</v>
      </c>
      <c r="G451" s="64" t="s">
        <v>2323</v>
      </c>
      <c r="H451" s="65" t="s">
        <v>2037</v>
      </c>
      <c r="I451" s="66" t="s">
        <v>1643</v>
      </c>
      <c r="J451" s="67">
        <v>528</v>
      </c>
      <c r="K451" s="68"/>
      <c r="L451" s="260"/>
      <c r="M451" s="70"/>
      <c r="N451" s="71"/>
      <c r="O451" s="69" t="str">
        <f t="shared" si="6"/>
        <v>제5편 병합소송-제12장 다수당사자소송-제01절 공동소송-18</v>
      </c>
    </row>
    <row r="452" spans="2:15" ht="14.45" customHeight="1" x14ac:dyDescent="0.2">
      <c r="B452" s="26" t="s">
        <v>1276</v>
      </c>
      <c r="C452" s="27" t="s">
        <v>1285</v>
      </c>
      <c r="D452" s="61" t="s">
        <v>2161</v>
      </c>
      <c r="E452" s="62" t="s">
        <v>399</v>
      </c>
      <c r="F452" s="63" t="s">
        <v>2676</v>
      </c>
      <c r="G452" s="64" t="s">
        <v>2324</v>
      </c>
      <c r="H452" s="65" t="s">
        <v>2038</v>
      </c>
      <c r="I452" s="66" t="s">
        <v>1644</v>
      </c>
      <c r="J452" s="67">
        <v>288</v>
      </c>
      <c r="K452" s="68"/>
      <c r="L452" s="260"/>
      <c r="M452" s="70"/>
      <c r="N452" s="71"/>
      <c r="O452" s="69" t="str">
        <f t="shared" si="6"/>
        <v>제5편 병합소송-제12장 다수당사자소송-제01절 공동소송-19</v>
      </c>
    </row>
    <row r="453" spans="2:15" ht="14.45" customHeight="1" x14ac:dyDescent="0.2">
      <c r="B453" s="26" t="s">
        <v>1276</v>
      </c>
      <c r="C453" s="27" t="s">
        <v>1285</v>
      </c>
      <c r="D453" s="61" t="s">
        <v>2161</v>
      </c>
      <c r="E453" s="62" t="s">
        <v>399</v>
      </c>
      <c r="F453" s="63" t="s">
        <v>2677</v>
      </c>
      <c r="G453" s="64" t="s">
        <v>2325</v>
      </c>
      <c r="H453" s="65" t="s">
        <v>2039</v>
      </c>
      <c r="I453" s="66" t="s">
        <v>1645</v>
      </c>
      <c r="J453" s="67">
        <v>728</v>
      </c>
      <c r="K453" s="68"/>
      <c r="L453" s="260"/>
      <c r="M453" s="70"/>
      <c r="N453" s="71"/>
      <c r="O453" s="69" t="str">
        <f t="shared" ref="O453:O516" si="7">B453&amp;"-"&amp;C453&amp;"-"&amp;D453&amp;"-"&amp;G453</f>
        <v>제5편 병합소송-제12장 다수당사자소송-제01절 공동소송-20</v>
      </c>
    </row>
    <row r="454" spans="2:15" ht="14.45" customHeight="1" x14ac:dyDescent="0.2">
      <c r="B454" s="26" t="s">
        <v>1276</v>
      </c>
      <c r="C454" s="27" t="s">
        <v>1285</v>
      </c>
      <c r="D454" s="61" t="s">
        <v>2161</v>
      </c>
      <c r="E454" s="62" t="s">
        <v>399</v>
      </c>
      <c r="F454" s="63" t="s">
        <v>2678</v>
      </c>
      <c r="G454" s="64" t="s">
        <v>2326</v>
      </c>
      <c r="H454" s="65" t="s">
        <v>2040</v>
      </c>
      <c r="I454" s="66" t="s">
        <v>1646</v>
      </c>
      <c r="J454" s="67">
        <v>377</v>
      </c>
      <c r="K454" s="68"/>
      <c r="L454" s="260"/>
      <c r="M454" s="70"/>
      <c r="N454" s="71"/>
      <c r="O454" s="69" t="str">
        <f t="shared" si="7"/>
        <v>제5편 병합소송-제12장 다수당사자소송-제01절 공동소송-21</v>
      </c>
    </row>
    <row r="455" spans="2:15" ht="14.45" customHeight="1" x14ac:dyDescent="0.2">
      <c r="B455" s="26" t="s">
        <v>1276</v>
      </c>
      <c r="C455" s="27" t="s">
        <v>1285</v>
      </c>
      <c r="D455" s="61" t="s">
        <v>2161</v>
      </c>
      <c r="E455" s="62" t="s">
        <v>399</v>
      </c>
      <c r="F455" s="63" t="s">
        <v>2679</v>
      </c>
      <c r="G455" s="64" t="s">
        <v>2327</v>
      </c>
      <c r="H455" s="65" t="s">
        <v>2041</v>
      </c>
      <c r="I455" s="66" t="s">
        <v>1647</v>
      </c>
      <c r="J455" s="67">
        <v>340</v>
      </c>
      <c r="K455" s="68"/>
      <c r="L455" s="260"/>
      <c r="M455" s="70"/>
      <c r="N455" s="71"/>
      <c r="O455" s="69" t="str">
        <f t="shared" si="7"/>
        <v>제5편 병합소송-제12장 다수당사자소송-제01절 공동소송-22</v>
      </c>
    </row>
    <row r="456" spans="2:15" ht="14.45" customHeight="1" x14ac:dyDescent="0.2">
      <c r="B456" s="26" t="s">
        <v>1276</v>
      </c>
      <c r="C456" s="27" t="s">
        <v>1285</v>
      </c>
      <c r="D456" s="61" t="s">
        <v>2161</v>
      </c>
      <c r="E456" s="62" t="s">
        <v>399</v>
      </c>
      <c r="F456" s="63" t="s">
        <v>2680</v>
      </c>
      <c r="G456" s="64" t="s">
        <v>2328</v>
      </c>
      <c r="H456" s="65" t="s">
        <v>2042</v>
      </c>
      <c r="I456" s="66" t="s">
        <v>1648</v>
      </c>
      <c r="J456" s="67">
        <v>483</v>
      </c>
      <c r="K456" s="68"/>
      <c r="L456" s="260"/>
      <c r="M456" s="70"/>
      <c r="N456" s="71"/>
      <c r="O456" s="69" t="str">
        <f t="shared" si="7"/>
        <v>제5편 병합소송-제12장 다수당사자소송-제01절 공동소송-23</v>
      </c>
    </row>
    <row r="457" spans="2:15" ht="14.45" customHeight="1" x14ac:dyDescent="0.2">
      <c r="B457" s="26" t="s">
        <v>1276</v>
      </c>
      <c r="C457" s="27" t="s">
        <v>1285</v>
      </c>
      <c r="D457" s="61" t="s">
        <v>2161</v>
      </c>
      <c r="E457" s="62" t="s">
        <v>399</v>
      </c>
      <c r="F457" s="63" t="s">
        <v>2681</v>
      </c>
      <c r="G457" s="64" t="s">
        <v>2329</v>
      </c>
      <c r="H457" s="65" t="s">
        <v>2043</v>
      </c>
      <c r="I457" s="66" t="s">
        <v>1649</v>
      </c>
      <c r="J457" s="67">
        <v>424</v>
      </c>
      <c r="K457" s="68"/>
      <c r="L457" s="260"/>
      <c r="M457" s="70"/>
      <c r="N457" s="71"/>
      <c r="O457" s="69" t="str">
        <f t="shared" si="7"/>
        <v>제5편 병합소송-제12장 다수당사자소송-제01절 공동소송-24</v>
      </c>
    </row>
    <row r="458" spans="2:15" ht="14.45" customHeight="1" x14ac:dyDescent="0.2">
      <c r="B458" s="26" t="s">
        <v>1276</v>
      </c>
      <c r="C458" s="27" t="s">
        <v>1285</v>
      </c>
      <c r="D458" s="61" t="s">
        <v>2161</v>
      </c>
      <c r="E458" s="62" t="s">
        <v>399</v>
      </c>
      <c r="F458" s="63" t="s">
        <v>2682</v>
      </c>
      <c r="G458" s="64" t="s">
        <v>2330</v>
      </c>
      <c r="H458" s="65" t="s">
        <v>2044</v>
      </c>
      <c r="I458" s="66" t="s">
        <v>1650</v>
      </c>
      <c r="J458" s="67">
        <v>666</v>
      </c>
      <c r="K458" s="68"/>
      <c r="L458" s="260"/>
      <c r="M458" s="70"/>
      <c r="N458" s="71"/>
      <c r="O458" s="69" t="str">
        <f t="shared" si="7"/>
        <v>제5편 병합소송-제12장 다수당사자소송-제01절 공동소송-25</v>
      </c>
    </row>
    <row r="459" spans="2:15" ht="14.45" customHeight="1" x14ac:dyDescent="0.2">
      <c r="B459" s="26" t="s">
        <v>1276</v>
      </c>
      <c r="C459" s="27" t="s">
        <v>1285</v>
      </c>
      <c r="D459" s="61" t="s">
        <v>2161</v>
      </c>
      <c r="E459" s="62" t="s">
        <v>399</v>
      </c>
      <c r="F459" s="63" t="s">
        <v>2683</v>
      </c>
      <c r="G459" s="64" t="s">
        <v>2331</v>
      </c>
      <c r="H459" s="65" t="s">
        <v>2045</v>
      </c>
      <c r="I459" s="66" t="s">
        <v>1651</v>
      </c>
      <c r="J459" s="67">
        <v>412</v>
      </c>
      <c r="K459" s="68"/>
      <c r="L459" s="260"/>
      <c r="M459" s="70"/>
      <c r="N459" s="71"/>
      <c r="O459" s="69" t="str">
        <f t="shared" si="7"/>
        <v>제5편 병합소송-제12장 다수당사자소송-제01절 공동소송-26</v>
      </c>
    </row>
    <row r="460" spans="2:15" ht="14.45" customHeight="1" x14ac:dyDescent="0.2">
      <c r="B460" s="26" t="s">
        <v>1276</v>
      </c>
      <c r="C460" s="27" t="s">
        <v>1285</v>
      </c>
      <c r="D460" s="61" t="s">
        <v>2161</v>
      </c>
      <c r="E460" s="62" t="s">
        <v>399</v>
      </c>
      <c r="F460" s="63" t="s">
        <v>2684</v>
      </c>
      <c r="G460" s="64" t="s">
        <v>2332</v>
      </c>
      <c r="H460" s="65" t="s">
        <v>2867</v>
      </c>
      <c r="I460" s="66" t="s">
        <v>2868</v>
      </c>
      <c r="J460" s="67">
        <v>516</v>
      </c>
      <c r="K460" s="68"/>
      <c r="L460" s="260"/>
      <c r="M460" s="70"/>
      <c r="N460" s="71"/>
      <c r="O460" s="69" t="str">
        <f t="shared" si="7"/>
        <v>제5편 병합소송-제12장 다수당사자소송-제01절 공동소송-27</v>
      </c>
    </row>
    <row r="461" spans="2:15" ht="14.45" customHeight="1" x14ac:dyDescent="0.2">
      <c r="B461" s="26" t="s">
        <v>1276</v>
      </c>
      <c r="C461" s="27" t="s">
        <v>1285</v>
      </c>
      <c r="D461" s="61" t="s">
        <v>2161</v>
      </c>
      <c r="E461" s="62" t="s">
        <v>399</v>
      </c>
      <c r="F461" s="63" t="s">
        <v>2685</v>
      </c>
      <c r="G461" s="64" t="s">
        <v>2333</v>
      </c>
      <c r="H461" s="65" t="s">
        <v>2046</v>
      </c>
      <c r="I461" s="66" t="s">
        <v>1652</v>
      </c>
      <c r="J461" s="67">
        <v>940</v>
      </c>
      <c r="K461" s="68"/>
      <c r="L461" s="260"/>
      <c r="M461" s="70"/>
      <c r="N461" s="71"/>
      <c r="O461" s="69" t="str">
        <f t="shared" si="7"/>
        <v>제5편 병합소송-제12장 다수당사자소송-제01절 공동소송-28</v>
      </c>
    </row>
    <row r="462" spans="2:15" ht="14.45" customHeight="1" x14ac:dyDescent="0.2">
      <c r="B462" s="26" t="s">
        <v>1276</v>
      </c>
      <c r="C462" s="27" t="s">
        <v>1285</v>
      </c>
      <c r="D462" s="61" t="s">
        <v>2161</v>
      </c>
      <c r="E462" s="62" t="s">
        <v>399</v>
      </c>
      <c r="F462" s="63" t="s">
        <v>2686</v>
      </c>
      <c r="G462" s="64" t="s">
        <v>2334</v>
      </c>
      <c r="H462" s="65" t="s">
        <v>2047</v>
      </c>
      <c r="I462" s="66" t="s">
        <v>1653</v>
      </c>
      <c r="J462" s="67">
        <v>799</v>
      </c>
      <c r="K462" s="68"/>
      <c r="L462" s="260"/>
      <c r="M462" s="70"/>
      <c r="N462" s="71"/>
      <c r="O462" s="69" t="str">
        <f t="shared" si="7"/>
        <v>제5편 병합소송-제12장 다수당사자소송-제01절 공동소송-29</v>
      </c>
    </row>
    <row r="463" spans="2:15" ht="14.45" customHeight="1" x14ac:dyDescent="0.2">
      <c r="B463" s="26" t="s">
        <v>1276</v>
      </c>
      <c r="C463" s="27" t="s">
        <v>1285</v>
      </c>
      <c r="D463" s="28" t="s">
        <v>2161</v>
      </c>
      <c r="E463" s="29" t="s">
        <v>399</v>
      </c>
      <c r="F463" s="30" t="s">
        <v>2687</v>
      </c>
      <c r="G463" s="31" t="s">
        <v>2335</v>
      </c>
      <c r="H463" s="32" t="s">
        <v>2048</v>
      </c>
      <c r="I463" s="33" t="s">
        <v>1654</v>
      </c>
      <c r="J463" s="34">
        <v>317</v>
      </c>
      <c r="K463" s="35"/>
      <c r="L463" s="257"/>
      <c r="M463" s="37"/>
      <c r="N463" s="38"/>
      <c r="O463" s="36" t="str">
        <f t="shared" si="7"/>
        <v>제5편 병합소송-제12장 다수당사자소송-제01절 공동소송-30</v>
      </c>
    </row>
    <row r="464" spans="2:15" ht="14.45" customHeight="1" x14ac:dyDescent="0.2">
      <c r="B464" s="26" t="s">
        <v>1276</v>
      </c>
      <c r="C464" s="27" t="s">
        <v>1285</v>
      </c>
      <c r="D464" s="50" t="s">
        <v>2163</v>
      </c>
      <c r="E464" s="51" t="s">
        <v>7</v>
      </c>
      <c r="F464" s="52" t="s">
        <v>20</v>
      </c>
      <c r="G464" s="53" t="s">
        <v>1300</v>
      </c>
      <c r="H464" s="54" t="s">
        <v>67</v>
      </c>
      <c r="I464" s="55" t="s">
        <v>3086</v>
      </c>
      <c r="J464" s="56">
        <v>3681</v>
      </c>
      <c r="K464" s="57" t="s">
        <v>1325</v>
      </c>
      <c r="L464" s="259"/>
      <c r="M464" s="59"/>
      <c r="N464" s="60"/>
      <c r="O464" s="58" t="str">
        <f t="shared" si="7"/>
        <v>제5편 병합소송-제12장 다수당사자소송-제02절 제3자의 소송참가-01</v>
      </c>
    </row>
    <row r="465" spans="2:15" ht="14.45" customHeight="1" x14ac:dyDescent="0.2">
      <c r="B465" s="26" t="s">
        <v>1276</v>
      </c>
      <c r="C465" s="27" t="s">
        <v>1285</v>
      </c>
      <c r="D465" s="61" t="s">
        <v>2163</v>
      </c>
      <c r="E465" s="62" t="s">
        <v>1193</v>
      </c>
      <c r="F465" s="63" t="s">
        <v>142</v>
      </c>
      <c r="G465" s="64" t="s">
        <v>1301</v>
      </c>
      <c r="H465" s="65" t="s">
        <v>140</v>
      </c>
      <c r="I465" s="66" t="s">
        <v>1017</v>
      </c>
      <c r="J465" s="67">
        <v>1567</v>
      </c>
      <c r="K465" s="68" t="s">
        <v>1325</v>
      </c>
      <c r="L465" s="260" t="s">
        <v>2309</v>
      </c>
      <c r="M465" s="70"/>
      <c r="N465" s="71"/>
      <c r="O465" s="69" t="str">
        <f t="shared" si="7"/>
        <v>제5편 병합소송-제12장 다수당사자소송-제02절 제3자의 소송참가-02</v>
      </c>
    </row>
    <row r="466" spans="2:15" ht="14.45" customHeight="1" x14ac:dyDescent="0.2">
      <c r="B466" s="26" t="s">
        <v>1276</v>
      </c>
      <c r="C466" s="27" t="s">
        <v>1285</v>
      </c>
      <c r="D466" s="61" t="s">
        <v>2163</v>
      </c>
      <c r="E466" s="62" t="s">
        <v>1193</v>
      </c>
      <c r="F466" s="63" t="s">
        <v>93</v>
      </c>
      <c r="G466" s="64" t="s">
        <v>1302</v>
      </c>
      <c r="H466" s="65" t="s">
        <v>1153</v>
      </c>
      <c r="I466" s="66" t="s">
        <v>1154</v>
      </c>
      <c r="J466" s="67">
        <v>2879</v>
      </c>
      <c r="K466" s="68" t="s">
        <v>1325</v>
      </c>
      <c r="L466" s="260"/>
      <c r="M466" s="70"/>
      <c r="N466" s="71"/>
      <c r="O466" s="69" t="str">
        <f t="shared" si="7"/>
        <v>제5편 병합소송-제12장 다수당사자소송-제02절 제3자의 소송참가-03</v>
      </c>
    </row>
    <row r="467" spans="2:15" ht="14.45" customHeight="1" x14ac:dyDescent="0.2">
      <c r="B467" s="26" t="s">
        <v>1276</v>
      </c>
      <c r="C467" s="27" t="s">
        <v>1285</v>
      </c>
      <c r="D467" s="61" t="s">
        <v>2163</v>
      </c>
      <c r="E467" s="62" t="s">
        <v>1193</v>
      </c>
      <c r="F467" s="63" t="s">
        <v>1119</v>
      </c>
      <c r="G467" s="64" t="s">
        <v>1303</v>
      </c>
      <c r="H467" s="65" t="s">
        <v>1219</v>
      </c>
      <c r="I467" s="66" t="s">
        <v>1220</v>
      </c>
      <c r="J467" s="67">
        <v>1323</v>
      </c>
      <c r="K467" s="68" t="s">
        <v>1325</v>
      </c>
      <c r="L467" s="260" t="s">
        <v>2309</v>
      </c>
      <c r="M467" s="70"/>
      <c r="N467" s="71"/>
      <c r="O467" s="69" t="str">
        <f t="shared" si="7"/>
        <v>제5편 병합소송-제12장 다수당사자소송-제02절 제3자의 소송참가-04</v>
      </c>
    </row>
    <row r="468" spans="2:15" ht="14.45" customHeight="1" x14ac:dyDescent="0.2">
      <c r="B468" s="26" t="s">
        <v>1276</v>
      </c>
      <c r="C468" s="27" t="s">
        <v>1285</v>
      </c>
      <c r="D468" s="61" t="s">
        <v>2163</v>
      </c>
      <c r="E468" s="62" t="s">
        <v>1193</v>
      </c>
      <c r="F468" s="63" t="s">
        <v>141</v>
      </c>
      <c r="G468" s="64" t="s">
        <v>2310</v>
      </c>
      <c r="H468" s="65" t="s">
        <v>139</v>
      </c>
      <c r="I468" s="66" t="s">
        <v>1016</v>
      </c>
      <c r="J468" s="67">
        <v>1464</v>
      </c>
      <c r="K468" s="68" t="s">
        <v>1325</v>
      </c>
      <c r="L468" s="260" t="s">
        <v>2309</v>
      </c>
      <c r="M468" s="70"/>
      <c r="N468" s="71"/>
      <c r="O468" s="69" t="str">
        <f t="shared" si="7"/>
        <v>제5편 병합소송-제12장 다수당사자소송-제02절 제3자의 소송참가-05</v>
      </c>
    </row>
    <row r="469" spans="2:15" ht="14.45" customHeight="1" x14ac:dyDescent="0.2">
      <c r="B469" s="26" t="s">
        <v>1276</v>
      </c>
      <c r="C469" s="27" t="s">
        <v>1285</v>
      </c>
      <c r="D469" s="61" t="s">
        <v>2163</v>
      </c>
      <c r="E469" s="62" t="s">
        <v>399</v>
      </c>
      <c r="F469" s="63" t="s">
        <v>2688</v>
      </c>
      <c r="G469" s="64" t="s">
        <v>2311</v>
      </c>
      <c r="H469" s="65" t="s">
        <v>2049</v>
      </c>
      <c r="I469" s="66" t="s">
        <v>1655</v>
      </c>
      <c r="J469" s="67">
        <v>506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소송참가-06</v>
      </c>
    </row>
    <row r="470" spans="2:15" ht="14.45" customHeight="1" x14ac:dyDescent="0.2">
      <c r="B470" s="26" t="s">
        <v>1276</v>
      </c>
      <c r="C470" s="27" t="s">
        <v>1285</v>
      </c>
      <c r="D470" s="61" t="s">
        <v>2163</v>
      </c>
      <c r="E470" s="62" t="s">
        <v>399</v>
      </c>
      <c r="F470" s="63" t="s">
        <v>2689</v>
      </c>
      <c r="G470" s="64" t="s">
        <v>2312</v>
      </c>
      <c r="H470" s="65" t="s">
        <v>2050</v>
      </c>
      <c r="I470" s="66" t="s">
        <v>1656</v>
      </c>
      <c r="J470" s="67">
        <v>575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소송참가-07</v>
      </c>
    </row>
    <row r="471" spans="2:15" ht="14.45" customHeight="1" x14ac:dyDescent="0.2">
      <c r="B471" s="26" t="s">
        <v>1276</v>
      </c>
      <c r="C471" s="27" t="s">
        <v>1285</v>
      </c>
      <c r="D471" s="61" t="s">
        <v>2163</v>
      </c>
      <c r="E471" s="62" t="s">
        <v>399</v>
      </c>
      <c r="F471" s="63" t="s">
        <v>2690</v>
      </c>
      <c r="G471" s="64" t="s">
        <v>2313</v>
      </c>
      <c r="H471" s="65" t="s">
        <v>2051</v>
      </c>
      <c r="I471" s="66" t="s">
        <v>1657</v>
      </c>
      <c r="J471" s="67">
        <v>366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소송참가-08</v>
      </c>
    </row>
    <row r="472" spans="2:15" ht="14.45" customHeight="1" x14ac:dyDescent="0.2">
      <c r="B472" s="26" t="s">
        <v>1276</v>
      </c>
      <c r="C472" s="27" t="s">
        <v>1285</v>
      </c>
      <c r="D472" s="61" t="s">
        <v>2163</v>
      </c>
      <c r="E472" s="62" t="s">
        <v>399</v>
      </c>
      <c r="F472" s="63" t="s">
        <v>2691</v>
      </c>
      <c r="G472" s="64" t="s">
        <v>2314</v>
      </c>
      <c r="H472" s="65" t="s">
        <v>2052</v>
      </c>
      <c r="I472" s="66" t="s">
        <v>1658</v>
      </c>
      <c r="J472" s="67">
        <v>503</v>
      </c>
      <c r="K472" s="68"/>
      <c r="L472" s="260"/>
      <c r="M472" s="70"/>
      <c r="N472" s="71"/>
      <c r="O472" s="69" t="str">
        <f t="shared" si="7"/>
        <v>제5편 병합소송-제12장 다수당사자소송-제02절 제3자의 소송참가-09</v>
      </c>
    </row>
    <row r="473" spans="2:15" ht="14.45" customHeight="1" x14ac:dyDescent="0.2">
      <c r="B473" s="26" t="s">
        <v>1276</v>
      </c>
      <c r="C473" s="27" t="s">
        <v>1285</v>
      </c>
      <c r="D473" s="61" t="s">
        <v>2163</v>
      </c>
      <c r="E473" s="62" t="s">
        <v>399</v>
      </c>
      <c r="F473" s="63" t="s">
        <v>2692</v>
      </c>
      <c r="G473" s="64" t="s">
        <v>2315</v>
      </c>
      <c r="H473" s="65" t="s">
        <v>2053</v>
      </c>
      <c r="I473" s="66" t="s">
        <v>1659</v>
      </c>
      <c r="J473" s="67">
        <v>558</v>
      </c>
      <c r="K473" s="68" t="s">
        <v>1325</v>
      </c>
      <c r="L473" s="260"/>
      <c r="M473" s="70"/>
      <c r="N473" s="71"/>
      <c r="O473" s="69" t="str">
        <f t="shared" si="7"/>
        <v>제5편 병합소송-제12장 다수당사자소송-제02절 제3자의 소송참가-10</v>
      </c>
    </row>
    <row r="474" spans="2:15" ht="14.45" customHeight="1" x14ac:dyDescent="0.2">
      <c r="B474" s="26" t="s">
        <v>1276</v>
      </c>
      <c r="C474" s="27" t="s">
        <v>1285</v>
      </c>
      <c r="D474" s="61" t="s">
        <v>2163</v>
      </c>
      <c r="E474" s="62" t="s">
        <v>399</v>
      </c>
      <c r="F474" s="63" t="s">
        <v>2693</v>
      </c>
      <c r="G474" s="64" t="s">
        <v>2316</v>
      </c>
      <c r="H474" s="65" t="s">
        <v>2054</v>
      </c>
      <c r="I474" s="66" t="s">
        <v>1660</v>
      </c>
      <c r="J474" s="67">
        <v>435</v>
      </c>
      <c r="K474" s="68" t="s">
        <v>1325</v>
      </c>
      <c r="L474" s="260"/>
      <c r="M474" s="70"/>
      <c r="N474" s="71"/>
      <c r="O474" s="69" t="str">
        <f t="shared" si="7"/>
        <v>제5편 병합소송-제12장 다수당사자소송-제02절 제3자의 소송참가-11</v>
      </c>
    </row>
    <row r="475" spans="2:15" ht="14.45" customHeight="1" x14ac:dyDescent="0.2">
      <c r="B475" s="26" t="s">
        <v>1276</v>
      </c>
      <c r="C475" s="27" t="s">
        <v>1285</v>
      </c>
      <c r="D475" s="61" t="s">
        <v>2163</v>
      </c>
      <c r="E475" s="62" t="s">
        <v>399</v>
      </c>
      <c r="F475" s="63" t="s">
        <v>2694</v>
      </c>
      <c r="G475" s="64" t="s">
        <v>2317</v>
      </c>
      <c r="H475" s="65" t="s">
        <v>2055</v>
      </c>
      <c r="I475" s="66" t="s">
        <v>1661</v>
      </c>
      <c r="J475" s="67">
        <v>770</v>
      </c>
      <c r="K475" s="68" t="s">
        <v>1325</v>
      </c>
      <c r="L475" s="260"/>
      <c r="M475" s="70"/>
      <c r="N475" s="71"/>
      <c r="O475" s="69" t="str">
        <f t="shared" si="7"/>
        <v>제5편 병합소송-제12장 다수당사자소송-제02절 제3자의 소송참가-12</v>
      </c>
    </row>
    <row r="476" spans="2:15" ht="14.45" customHeight="1" x14ac:dyDescent="0.2">
      <c r="B476" s="26" t="s">
        <v>1276</v>
      </c>
      <c r="C476" s="27" t="s">
        <v>1285</v>
      </c>
      <c r="D476" s="61" t="s">
        <v>2163</v>
      </c>
      <c r="E476" s="62" t="s">
        <v>399</v>
      </c>
      <c r="F476" s="63" t="s">
        <v>2695</v>
      </c>
      <c r="G476" s="64" t="s">
        <v>2318</v>
      </c>
      <c r="H476" s="65" t="s">
        <v>2056</v>
      </c>
      <c r="I476" s="66" t="s">
        <v>1662</v>
      </c>
      <c r="J476" s="67">
        <v>433</v>
      </c>
      <c r="K476" s="68" t="s">
        <v>1325</v>
      </c>
      <c r="L476" s="260"/>
      <c r="M476" s="70"/>
      <c r="N476" s="71"/>
      <c r="O476" s="69" t="str">
        <f t="shared" si="7"/>
        <v>제5편 병합소송-제12장 다수당사자소송-제02절 제3자의 소송참가-13</v>
      </c>
    </row>
    <row r="477" spans="2:15" ht="14.45" customHeight="1" x14ac:dyDescent="0.2">
      <c r="B477" s="26" t="s">
        <v>1276</v>
      </c>
      <c r="C477" s="27" t="s">
        <v>1285</v>
      </c>
      <c r="D477" s="61" t="s">
        <v>2163</v>
      </c>
      <c r="E477" s="62" t="s">
        <v>399</v>
      </c>
      <c r="F477" s="63" t="s">
        <v>2696</v>
      </c>
      <c r="G477" s="64" t="s">
        <v>2319</v>
      </c>
      <c r="H477" s="65" t="s">
        <v>2057</v>
      </c>
      <c r="I477" s="66" t="s">
        <v>1663</v>
      </c>
      <c r="J477" s="67">
        <v>687</v>
      </c>
      <c r="K477" s="68" t="s">
        <v>1325</v>
      </c>
      <c r="L477" s="260"/>
      <c r="M477" s="70"/>
      <c r="N477" s="71"/>
      <c r="O477" s="69" t="str">
        <f t="shared" si="7"/>
        <v>제5편 병합소송-제12장 다수당사자소송-제02절 제3자의 소송참가-14</v>
      </c>
    </row>
    <row r="478" spans="2:15" ht="14.45" customHeight="1" x14ac:dyDescent="0.2">
      <c r="B478" s="26" t="s">
        <v>1276</v>
      </c>
      <c r="C478" s="27" t="s">
        <v>1285</v>
      </c>
      <c r="D478" s="61" t="s">
        <v>2163</v>
      </c>
      <c r="E478" s="62" t="s">
        <v>399</v>
      </c>
      <c r="F478" s="63" t="s">
        <v>2697</v>
      </c>
      <c r="G478" s="64" t="s">
        <v>2320</v>
      </c>
      <c r="H478" s="65" t="s">
        <v>2058</v>
      </c>
      <c r="I478" s="66" t="s">
        <v>1664</v>
      </c>
      <c r="J478" s="67">
        <v>541</v>
      </c>
      <c r="K478" s="68" t="s">
        <v>1325</v>
      </c>
      <c r="L478" s="260"/>
      <c r="M478" s="70"/>
      <c r="N478" s="71"/>
      <c r="O478" s="69" t="str">
        <f t="shared" si="7"/>
        <v>제5편 병합소송-제12장 다수당사자소송-제02절 제3자의 소송참가-15</v>
      </c>
    </row>
    <row r="479" spans="2:15" ht="14.45" customHeight="1" x14ac:dyDescent="0.2">
      <c r="B479" s="26" t="s">
        <v>1276</v>
      </c>
      <c r="C479" s="27" t="s">
        <v>1285</v>
      </c>
      <c r="D479" s="61" t="s">
        <v>2163</v>
      </c>
      <c r="E479" s="62" t="s">
        <v>399</v>
      </c>
      <c r="F479" s="63" t="s">
        <v>2698</v>
      </c>
      <c r="G479" s="64" t="s">
        <v>2321</v>
      </c>
      <c r="H479" s="65" t="s">
        <v>2059</v>
      </c>
      <c r="I479" s="66" t="s">
        <v>1665</v>
      </c>
      <c r="J479" s="67">
        <v>342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소송참가-16</v>
      </c>
    </row>
    <row r="480" spans="2:15" ht="14.45" customHeight="1" x14ac:dyDescent="0.2">
      <c r="B480" s="26" t="s">
        <v>1276</v>
      </c>
      <c r="C480" s="27" t="s">
        <v>1285</v>
      </c>
      <c r="D480" s="61" t="s">
        <v>2163</v>
      </c>
      <c r="E480" s="62" t="s">
        <v>399</v>
      </c>
      <c r="F480" s="63" t="s">
        <v>2699</v>
      </c>
      <c r="G480" s="64" t="s">
        <v>2322</v>
      </c>
      <c r="H480" s="65" t="s">
        <v>2060</v>
      </c>
      <c r="I480" s="66" t="s">
        <v>1666</v>
      </c>
      <c r="J480" s="67">
        <v>500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소송참가-17</v>
      </c>
    </row>
    <row r="481" spans="2:15" ht="14.45" customHeight="1" x14ac:dyDescent="0.2">
      <c r="B481" s="26" t="s">
        <v>1276</v>
      </c>
      <c r="C481" s="27" t="s">
        <v>1285</v>
      </c>
      <c r="D481" s="61" t="s">
        <v>2163</v>
      </c>
      <c r="E481" s="62" t="s">
        <v>399</v>
      </c>
      <c r="F481" s="63" t="s">
        <v>2700</v>
      </c>
      <c r="G481" s="64" t="s">
        <v>2323</v>
      </c>
      <c r="H481" s="65" t="s">
        <v>2061</v>
      </c>
      <c r="I481" s="66" t="s">
        <v>1667</v>
      </c>
      <c r="J481" s="67">
        <v>460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소송참가-18</v>
      </c>
    </row>
    <row r="482" spans="2:15" ht="14.45" customHeight="1" x14ac:dyDescent="0.2">
      <c r="B482" s="26" t="s">
        <v>1276</v>
      </c>
      <c r="C482" s="27" t="s">
        <v>1285</v>
      </c>
      <c r="D482" s="61" t="s">
        <v>2163</v>
      </c>
      <c r="E482" s="62" t="s">
        <v>399</v>
      </c>
      <c r="F482" s="63" t="s">
        <v>2701</v>
      </c>
      <c r="G482" s="64" t="s">
        <v>2324</v>
      </c>
      <c r="H482" s="65" t="s">
        <v>2062</v>
      </c>
      <c r="I482" s="66" t="s">
        <v>1668</v>
      </c>
      <c r="J482" s="67">
        <v>450</v>
      </c>
      <c r="K482" s="68"/>
      <c r="L482" s="260"/>
      <c r="M482" s="70"/>
      <c r="N482" s="71"/>
      <c r="O482" s="69" t="str">
        <f t="shared" si="7"/>
        <v>제5편 병합소송-제12장 다수당사자소송-제02절 제3자의 소송참가-19</v>
      </c>
    </row>
    <row r="483" spans="2:15" ht="14.45" customHeight="1" x14ac:dyDescent="0.2">
      <c r="B483" s="26" t="s">
        <v>1276</v>
      </c>
      <c r="C483" s="27" t="s">
        <v>1285</v>
      </c>
      <c r="D483" s="61" t="s">
        <v>2163</v>
      </c>
      <c r="E483" s="62" t="s">
        <v>399</v>
      </c>
      <c r="F483" s="63" t="s">
        <v>2702</v>
      </c>
      <c r="G483" s="64" t="s">
        <v>2325</v>
      </c>
      <c r="H483" s="65" t="s">
        <v>2063</v>
      </c>
      <c r="I483" s="66" t="s">
        <v>1669</v>
      </c>
      <c r="J483" s="67">
        <v>569</v>
      </c>
      <c r="K483" s="68" t="s">
        <v>1325</v>
      </c>
      <c r="L483" s="260"/>
      <c r="M483" s="70"/>
      <c r="N483" s="71"/>
      <c r="O483" s="69" t="str">
        <f t="shared" si="7"/>
        <v>제5편 병합소송-제12장 다수당사자소송-제02절 제3자의 소송참가-20</v>
      </c>
    </row>
    <row r="484" spans="2:15" ht="14.45" customHeight="1" x14ac:dyDescent="0.2">
      <c r="B484" s="26" t="s">
        <v>1276</v>
      </c>
      <c r="C484" s="27" t="s">
        <v>1285</v>
      </c>
      <c r="D484" s="61" t="s">
        <v>2163</v>
      </c>
      <c r="E484" s="62" t="s">
        <v>399</v>
      </c>
      <c r="F484" s="63" t="s">
        <v>2703</v>
      </c>
      <c r="G484" s="64" t="s">
        <v>2326</v>
      </c>
      <c r="H484" s="65" t="s">
        <v>2064</v>
      </c>
      <c r="I484" s="66" t="s">
        <v>1670</v>
      </c>
      <c r="J484" s="67">
        <v>542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소송참가-21</v>
      </c>
    </row>
    <row r="485" spans="2:15" ht="14.45" customHeight="1" x14ac:dyDescent="0.2">
      <c r="B485" s="26" t="s">
        <v>1276</v>
      </c>
      <c r="C485" s="27" t="s">
        <v>1285</v>
      </c>
      <c r="D485" s="61" t="s">
        <v>2163</v>
      </c>
      <c r="E485" s="62" t="s">
        <v>399</v>
      </c>
      <c r="F485" s="63" t="s">
        <v>2704</v>
      </c>
      <c r="G485" s="64" t="s">
        <v>2327</v>
      </c>
      <c r="H485" s="65" t="s">
        <v>2065</v>
      </c>
      <c r="I485" s="66" t="s">
        <v>1671</v>
      </c>
      <c r="J485" s="67">
        <v>474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소송참가-22</v>
      </c>
    </row>
    <row r="486" spans="2:15" ht="14.45" customHeight="1" x14ac:dyDescent="0.2">
      <c r="B486" s="26" t="s">
        <v>1276</v>
      </c>
      <c r="C486" s="27" t="s">
        <v>1285</v>
      </c>
      <c r="D486" s="61" t="s">
        <v>2163</v>
      </c>
      <c r="E486" s="62" t="s">
        <v>399</v>
      </c>
      <c r="F486" s="63" t="s">
        <v>2705</v>
      </c>
      <c r="G486" s="64" t="s">
        <v>2328</v>
      </c>
      <c r="H486" s="65" t="s">
        <v>2066</v>
      </c>
      <c r="I486" s="66" t="s">
        <v>1672</v>
      </c>
      <c r="J486" s="67">
        <v>498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소송참가-23</v>
      </c>
    </row>
    <row r="487" spans="2:15" ht="14.45" customHeight="1" x14ac:dyDescent="0.2">
      <c r="B487" s="26" t="s">
        <v>1276</v>
      </c>
      <c r="C487" s="27" t="s">
        <v>1285</v>
      </c>
      <c r="D487" s="28" t="s">
        <v>2163</v>
      </c>
      <c r="E487" s="29" t="s">
        <v>399</v>
      </c>
      <c r="F487" s="30" t="s">
        <v>2706</v>
      </c>
      <c r="G487" s="31" t="s">
        <v>2329</v>
      </c>
      <c r="H487" s="32" t="s">
        <v>2067</v>
      </c>
      <c r="I487" s="33" t="s">
        <v>1673</v>
      </c>
      <c r="J487" s="34">
        <v>772</v>
      </c>
      <c r="K487" s="35" t="s">
        <v>1325</v>
      </c>
      <c r="L487" s="257"/>
      <c r="M487" s="37"/>
      <c r="N487" s="38"/>
      <c r="O487" s="36" t="str">
        <f t="shared" si="7"/>
        <v>제5편 병합소송-제12장 다수당사자소송-제02절 제3자의 소송참가-24</v>
      </c>
    </row>
    <row r="488" spans="2:15" ht="14.45" customHeight="1" x14ac:dyDescent="0.2">
      <c r="B488" s="26" t="s">
        <v>1276</v>
      </c>
      <c r="C488" s="27" t="s">
        <v>1285</v>
      </c>
      <c r="D488" s="50" t="s">
        <v>2164</v>
      </c>
      <c r="E488" s="51" t="s">
        <v>7</v>
      </c>
      <c r="F488" s="52" t="s">
        <v>20</v>
      </c>
      <c r="G488" s="53" t="s">
        <v>1300</v>
      </c>
      <c r="H488" s="54" t="s">
        <v>68</v>
      </c>
      <c r="I488" s="55" t="s">
        <v>3087</v>
      </c>
      <c r="J488" s="56">
        <v>2627</v>
      </c>
      <c r="K488" s="57" t="s">
        <v>1326</v>
      </c>
      <c r="L488" s="259"/>
      <c r="M488" s="59"/>
      <c r="N488" s="60"/>
      <c r="O488" s="58" t="str">
        <f t="shared" si="7"/>
        <v>제5편 병합소송-제12장 다수당사자소송-제03절 당사자의 변경-01</v>
      </c>
    </row>
    <row r="489" spans="2:15" ht="14.45" customHeight="1" x14ac:dyDescent="0.2">
      <c r="B489" s="26" t="s">
        <v>1276</v>
      </c>
      <c r="C489" s="27" t="s">
        <v>1285</v>
      </c>
      <c r="D489" s="61" t="s">
        <v>2164</v>
      </c>
      <c r="E489" s="62" t="s">
        <v>1193</v>
      </c>
      <c r="F489" s="63" t="s">
        <v>95</v>
      </c>
      <c r="G489" s="64" t="s">
        <v>1301</v>
      </c>
      <c r="H489" s="65" t="s">
        <v>92</v>
      </c>
      <c r="I489" s="66" t="s">
        <v>1001</v>
      </c>
      <c r="J489" s="67">
        <v>1504</v>
      </c>
      <c r="K489" s="68" t="s">
        <v>1326</v>
      </c>
      <c r="L489" s="260" t="s">
        <v>2212</v>
      </c>
      <c r="M489" s="70"/>
      <c r="N489" s="71"/>
      <c r="O489" s="69" t="str">
        <f t="shared" si="7"/>
        <v>제5편 병합소송-제12장 다수당사자소송-제03절 당사자의 변경-02</v>
      </c>
    </row>
    <row r="490" spans="2:15" ht="14.45" customHeight="1" x14ac:dyDescent="0.2">
      <c r="B490" s="26" t="s">
        <v>1276</v>
      </c>
      <c r="C490" s="27" t="s">
        <v>1285</v>
      </c>
      <c r="D490" s="61" t="s">
        <v>2164</v>
      </c>
      <c r="E490" s="62" t="s">
        <v>399</v>
      </c>
      <c r="F490" s="63" t="s">
        <v>2707</v>
      </c>
      <c r="G490" s="64" t="s">
        <v>1302</v>
      </c>
      <c r="H490" s="65" t="s">
        <v>2068</v>
      </c>
      <c r="I490" s="66" t="s">
        <v>1674</v>
      </c>
      <c r="J490" s="67">
        <v>321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변경-03</v>
      </c>
    </row>
    <row r="491" spans="2:15" ht="14.45" customHeight="1" x14ac:dyDescent="0.2">
      <c r="B491" s="26" t="s">
        <v>1276</v>
      </c>
      <c r="C491" s="27" t="s">
        <v>1285</v>
      </c>
      <c r="D491" s="61" t="s">
        <v>2164</v>
      </c>
      <c r="E491" s="62" t="s">
        <v>399</v>
      </c>
      <c r="F491" s="63" t="s">
        <v>2708</v>
      </c>
      <c r="G491" s="64" t="s">
        <v>1303</v>
      </c>
      <c r="H491" s="65" t="s">
        <v>2069</v>
      </c>
      <c r="I491" s="66" t="s">
        <v>1675</v>
      </c>
      <c r="J491" s="67">
        <v>377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변경-04</v>
      </c>
    </row>
    <row r="492" spans="2:15" ht="14.45" customHeight="1" x14ac:dyDescent="0.2">
      <c r="B492" s="26" t="s">
        <v>1276</v>
      </c>
      <c r="C492" s="27" t="s">
        <v>1285</v>
      </c>
      <c r="D492" s="61" t="s">
        <v>2164</v>
      </c>
      <c r="E492" s="62" t="s">
        <v>399</v>
      </c>
      <c r="F492" s="63" t="s">
        <v>2709</v>
      </c>
      <c r="G492" s="64" t="s">
        <v>2310</v>
      </c>
      <c r="H492" s="65" t="s">
        <v>2070</v>
      </c>
      <c r="I492" s="66" t="s">
        <v>1676</v>
      </c>
      <c r="J492" s="67">
        <v>593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변경-05</v>
      </c>
    </row>
    <row r="493" spans="2:15" ht="14.45" customHeight="1" x14ac:dyDescent="0.2">
      <c r="B493" s="26" t="s">
        <v>1276</v>
      </c>
      <c r="C493" s="27" t="s">
        <v>1285</v>
      </c>
      <c r="D493" s="61" t="s">
        <v>2164</v>
      </c>
      <c r="E493" s="62" t="s">
        <v>399</v>
      </c>
      <c r="F493" s="63" t="s">
        <v>2710</v>
      </c>
      <c r="G493" s="64" t="s">
        <v>2311</v>
      </c>
      <c r="H493" s="65" t="s">
        <v>2071</v>
      </c>
      <c r="I493" s="66" t="s">
        <v>1677</v>
      </c>
      <c r="J493" s="67">
        <v>539</v>
      </c>
      <c r="K493" s="68"/>
      <c r="L493" s="260"/>
      <c r="M493" s="70"/>
      <c r="N493" s="71"/>
      <c r="O493" s="69" t="str">
        <f t="shared" si="7"/>
        <v>제5편 병합소송-제12장 다수당사자소송-제03절 당사자의 변경-06</v>
      </c>
    </row>
    <row r="494" spans="2:15" ht="14.45" customHeight="1" thickBot="1" x14ac:dyDescent="0.25">
      <c r="B494" s="95" t="s">
        <v>1276</v>
      </c>
      <c r="C494" s="72" t="s">
        <v>1285</v>
      </c>
      <c r="D494" s="73" t="s">
        <v>2164</v>
      </c>
      <c r="E494" s="74" t="s">
        <v>399</v>
      </c>
      <c r="F494" s="75" t="s">
        <v>2711</v>
      </c>
      <c r="G494" s="76" t="s">
        <v>2312</v>
      </c>
      <c r="H494" s="77" t="s">
        <v>2072</v>
      </c>
      <c r="I494" s="78" t="s">
        <v>1678</v>
      </c>
      <c r="J494" s="79">
        <v>429</v>
      </c>
      <c r="K494" s="80"/>
      <c r="L494" s="261"/>
      <c r="M494" s="82"/>
      <c r="N494" s="83"/>
      <c r="O494" s="81" t="str">
        <f t="shared" si="7"/>
        <v>제5편 병합소송-제12장 다수당사자소송-제03절 당사자의 변경-07</v>
      </c>
    </row>
    <row r="495" spans="2:15" ht="14.45" customHeight="1" x14ac:dyDescent="0.2">
      <c r="B495" s="13" t="s">
        <v>2121</v>
      </c>
      <c r="C495" s="14" t="s">
        <v>1288</v>
      </c>
      <c r="D495" s="84" t="s">
        <v>2194</v>
      </c>
      <c r="E495" s="85" t="s">
        <v>7</v>
      </c>
      <c r="F495" s="86" t="s">
        <v>22</v>
      </c>
      <c r="G495" s="87" t="s">
        <v>1300</v>
      </c>
      <c r="H495" s="88" t="s">
        <v>69</v>
      </c>
      <c r="I495" s="89" t="s">
        <v>3088</v>
      </c>
      <c r="J495" s="90">
        <v>2054</v>
      </c>
      <c r="K495" s="91" t="s">
        <v>1326</v>
      </c>
      <c r="L495" s="262"/>
      <c r="M495" s="93"/>
      <c r="N495" s="94"/>
      <c r="O495" s="92" t="str">
        <f t="shared" si="7"/>
        <v>제6편 상소심절차-제13장 총설-제01절 상소의 의의-01</v>
      </c>
    </row>
    <row r="496" spans="2:15" ht="14.45" customHeight="1" x14ac:dyDescent="0.2">
      <c r="B496" s="26" t="s">
        <v>1277</v>
      </c>
      <c r="C496" s="27" t="s">
        <v>1287</v>
      </c>
      <c r="D496" s="50" t="s">
        <v>2167</v>
      </c>
      <c r="E496" s="51" t="s">
        <v>7</v>
      </c>
      <c r="F496" s="52" t="s">
        <v>21</v>
      </c>
      <c r="G496" s="53" t="s">
        <v>1300</v>
      </c>
      <c r="H496" s="54" t="s">
        <v>70</v>
      </c>
      <c r="I496" s="55" t="s">
        <v>3089</v>
      </c>
      <c r="J496" s="56">
        <v>2639</v>
      </c>
      <c r="K496" s="57" t="s">
        <v>1326</v>
      </c>
      <c r="L496" s="259"/>
      <c r="M496" s="59"/>
      <c r="N496" s="60"/>
      <c r="O496" s="58" t="str">
        <f t="shared" si="7"/>
        <v>제6편 상소심절차-제13장 총설-제02절 상소의 적법요건-01</v>
      </c>
    </row>
    <row r="497" spans="2:15" ht="14.45" customHeight="1" x14ac:dyDescent="0.2">
      <c r="B497" s="26" t="s">
        <v>1277</v>
      </c>
      <c r="C497" s="27" t="s">
        <v>1287</v>
      </c>
      <c r="D497" s="61" t="s">
        <v>2167</v>
      </c>
      <c r="E497" s="62" t="s">
        <v>2771</v>
      </c>
      <c r="F497" s="63" t="s">
        <v>1127</v>
      </c>
      <c r="G497" s="64" t="s">
        <v>1301</v>
      </c>
      <c r="H497" s="65" t="s">
        <v>160</v>
      </c>
      <c r="I497" s="66" t="s">
        <v>2820</v>
      </c>
      <c r="J497" s="67">
        <v>1287</v>
      </c>
      <c r="K497" s="68" t="s">
        <v>1326</v>
      </c>
      <c r="L497" s="260"/>
      <c r="M497" s="70"/>
      <c r="N497" s="71"/>
      <c r="O497" s="69" t="str">
        <f t="shared" si="7"/>
        <v>제6편 상소심절차-제13장 총설-제02절 상소의 적법요건-02</v>
      </c>
    </row>
    <row r="498" spans="2:15" ht="14.45" customHeight="1" x14ac:dyDescent="0.2">
      <c r="B498" s="26" t="s">
        <v>1277</v>
      </c>
      <c r="C498" s="27" t="s">
        <v>1287</v>
      </c>
      <c r="D498" s="61" t="s">
        <v>2167</v>
      </c>
      <c r="E498" s="62" t="s">
        <v>2771</v>
      </c>
      <c r="F498" s="63" t="s">
        <v>1128</v>
      </c>
      <c r="G498" s="64" t="s">
        <v>1302</v>
      </c>
      <c r="H498" s="65" t="s">
        <v>161</v>
      </c>
      <c r="I498" s="66" t="s">
        <v>2821</v>
      </c>
      <c r="J498" s="67">
        <v>1373</v>
      </c>
      <c r="K498" s="68" t="s">
        <v>1325</v>
      </c>
      <c r="L498" s="260"/>
      <c r="M498" s="70"/>
      <c r="N498" s="71"/>
      <c r="O498" s="69" t="str">
        <f t="shared" si="7"/>
        <v>제6편 상소심절차-제13장 총설-제02절 상소의 적법요건-03</v>
      </c>
    </row>
    <row r="499" spans="2:15" ht="14.45" customHeight="1" x14ac:dyDescent="0.2">
      <c r="B499" s="26" t="s">
        <v>1277</v>
      </c>
      <c r="C499" s="27" t="s">
        <v>1287</v>
      </c>
      <c r="D499" s="61" t="s">
        <v>2167</v>
      </c>
      <c r="E499" s="62" t="s">
        <v>399</v>
      </c>
      <c r="F499" s="63" t="s">
        <v>2712</v>
      </c>
      <c r="G499" s="64" t="s">
        <v>1303</v>
      </c>
      <c r="H499" s="65" t="s">
        <v>2073</v>
      </c>
      <c r="I499" s="66" t="s">
        <v>1679</v>
      </c>
      <c r="J499" s="67">
        <v>431</v>
      </c>
      <c r="K499" s="68" t="s">
        <v>1325</v>
      </c>
      <c r="L499" s="260"/>
      <c r="M499" s="70"/>
      <c r="N499" s="71"/>
      <c r="O499" s="69" t="str">
        <f t="shared" si="7"/>
        <v>제6편 상소심절차-제13장 총설-제02절 상소의 적법요건-04</v>
      </c>
    </row>
    <row r="500" spans="2:15" ht="14.45" customHeight="1" x14ac:dyDescent="0.2">
      <c r="B500" s="26" t="s">
        <v>1277</v>
      </c>
      <c r="C500" s="27" t="s">
        <v>1287</v>
      </c>
      <c r="D500" s="61" t="s">
        <v>2167</v>
      </c>
      <c r="E500" s="62" t="s">
        <v>399</v>
      </c>
      <c r="F500" s="63" t="s">
        <v>2713</v>
      </c>
      <c r="G500" s="64" t="s">
        <v>2310</v>
      </c>
      <c r="H500" s="65" t="s">
        <v>2074</v>
      </c>
      <c r="I500" s="66" t="s">
        <v>1680</v>
      </c>
      <c r="J500" s="67">
        <v>575</v>
      </c>
      <c r="K500" s="68"/>
      <c r="L500" s="260"/>
      <c r="M500" s="70"/>
      <c r="N500" s="71"/>
      <c r="O500" s="69" t="str">
        <f t="shared" si="7"/>
        <v>제6편 상소심절차-제13장 총설-제02절 상소의 적법요건-05</v>
      </c>
    </row>
    <row r="501" spans="2:15" ht="14.45" customHeight="1" x14ac:dyDescent="0.2">
      <c r="B501" s="26" t="s">
        <v>1277</v>
      </c>
      <c r="C501" s="27" t="s">
        <v>1287</v>
      </c>
      <c r="D501" s="61" t="s">
        <v>2167</v>
      </c>
      <c r="E501" s="62" t="s">
        <v>399</v>
      </c>
      <c r="F501" s="63" t="s">
        <v>2714</v>
      </c>
      <c r="G501" s="64" t="s">
        <v>2311</v>
      </c>
      <c r="H501" s="65" t="s">
        <v>2075</v>
      </c>
      <c r="I501" s="66" t="s">
        <v>1681</v>
      </c>
      <c r="J501" s="67">
        <v>819</v>
      </c>
      <c r="K501" s="68"/>
      <c r="L501" s="260"/>
      <c r="M501" s="70"/>
      <c r="N501" s="71"/>
      <c r="O501" s="69" t="str">
        <f t="shared" si="7"/>
        <v>제6편 상소심절차-제13장 총설-제02절 상소의 적법요건-06</v>
      </c>
    </row>
    <row r="502" spans="2:15" ht="14.45" customHeight="1" x14ac:dyDescent="0.2">
      <c r="B502" s="26" t="s">
        <v>1277</v>
      </c>
      <c r="C502" s="27" t="s">
        <v>1287</v>
      </c>
      <c r="D502" s="61" t="s">
        <v>2167</v>
      </c>
      <c r="E502" s="62" t="s">
        <v>399</v>
      </c>
      <c r="F502" s="63" t="s">
        <v>2715</v>
      </c>
      <c r="G502" s="64" t="s">
        <v>2312</v>
      </c>
      <c r="H502" s="65" t="s">
        <v>2076</v>
      </c>
      <c r="I502" s="66" t="s">
        <v>1682</v>
      </c>
      <c r="J502" s="67">
        <v>589</v>
      </c>
      <c r="K502" s="68"/>
      <c r="L502" s="260"/>
      <c r="M502" s="70"/>
      <c r="N502" s="71"/>
      <c r="O502" s="69" t="str">
        <f t="shared" si="7"/>
        <v>제6편 상소심절차-제13장 총설-제02절 상소의 적법요건-07</v>
      </c>
    </row>
    <row r="503" spans="2:15" ht="14.45" customHeight="1" x14ac:dyDescent="0.2">
      <c r="B503" s="26" t="s">
        <v>1277</v>
      </c>
      <c r="C503" s="27" t="s">
        <v>1287</v>
      </c>
      <c r="D503" s="61" t="s">
        <v>2167</v>
      </c>
      <c r="E503" s="62" t="s">
        <v>399</v>
      </c>
      <c r="F503" s="63" t="s">
        <v>2716</v>
      </c>
      <c r="G503" s="64" t="s">
        <v>2313</v>
      </c>
      <c r="H503" s="65" t="s">
        <v>2077</v>
      </c>
      <c r="I503" s="66" t="s">
        <v>1683</v>
      </c>
      <c r="J503" s="67">
        <v>591</v>
      </c>
      <c r="K503" s="68"/>
      <c r="L503" s="260"/>
      <c r="M503" s="70"/>
      <c r="N503" s="71"/>
      <c r="O503" s="69" t="str">
        <f t="shared" si="7"/>
        <v>제6편 상소심절차-제13장 총설-제02절 상소의 적법요건-08</v>
      </c>
    </row>
    <row r="504" spans="2:15" ht="14.45" customHeight="1" x14ac:dyDescent="0.2">
      <c r="B504" s="26" t="s">
        <v>1277</v>
      </c>
      <c r="C504" s="27" t="s">
        <v>1287</v>
      </c>
      <c r="D504" s="61" t="s">
        <v>2167</v>
      </c>
      <c r="E504" s="62" t="s">
        <v>399</v>
      </c>
      <c r="F504" s="63" t="s">
        <v>2717</v>
      </c>
      <c r="G504" s="64" t="s">
        <v>2314</v>
      </c>
      <c r="H504" s="65" t="s">
        <v>2078</v>
      </c>
      <c r="I504" s="66" t="s">
        <v>1684</v>
      </c>
      <c r="J504" s="67">
        <v>547</v>
      </c>
      <c r="K504" s="68" t="s">
        <v>1325</v>
      </c>
      <c r="L504" s="260"/>
      <c r="M504" s="70"/>
      <c r="N504" s="71"/>
      <c r="O504" s="69" t="str">
        <f t="shared" si="7"/>
        <v>제6편 상소심절차-제13장 총설-제02절 상소의 적법요건-09</v>
      </c>
    </row>
    <row r="505" spans="2:15" ht="14.45" customHeight="1" x14ac:dyDescent="0.2">
      <c r="B505" s="26" t="s">
        <v>1277</v>
      </c>
      <c r="C505" s="27" t="s">
        <v>1287</v>
      </c>
      <c r="D505" s="28" t="s">
        <v>2167</v>
      </c>
      <c r="E505" s="29" t="s">
        <v>399</v>
      </c>
      <c r="F505" s="30" t="s">
        <v>2718</v>
      </c>
      <c r="G505" s="31" t="s">
        <v>2315</v>
      </c>
      <c r="H505" s="32" t="s">
        <v>2079</v>
      </c>
      <c r="I505" s="33" t="s">
        <v>1685</v>
      </c>
      <c r="J505" s="34">
        <v>985</v>
      </c>
      <c r="K505" s="35"/>
      <c r="L505" s="257"/>
      <c r="M505" s="37"/>
      <c r="N505" s="38"/>
      <c r="O505" s="36" t="str">
        <f t="shared" si="7"/>
        <v>제6편 상소심절차-제13장 총설-제02절 상소의 적법요건-10</v>
      </c>
    </row>
    <row r="506" spans="2:15" ht="14.45" customHeight="1" x14ac:dyDescent="0.2">
      <c r="B506" s="26" t="s">
        <v>1277</v>
      </c>
      <c r="C506" s="27" t="s">
        <v>1287</v>
      </c>
      <c r="D506" s="50" t="s">
        <v>2165</v>
      </c>
      <c r="E506" s="51" t="s">
        <v>7</v>
      </c>
      <c r="F506" s="52" t="s">
        <v>21</v>
      </c>
      <c r="G506" s="53" t="s">
        <v>1300</v>
      </c>
      <c r="H506" s="54" t="s">
        <v>71</v>
      </c>
      <c r="I506" s="55" t="s">
        <v>3090</v>
      </c>
      <c r="J506" s="56">
        <v>1891</v>
      </c>
      <c r="K506" s="57" t="s">
        <v>1326</v>
      </c>
      <c r="L506" s="259"/>
      <c r="M506" s="59"/>
      <c r="N506" s="60"/>
      <c r="O506" s="58" t="str">
        <f t="shared" si="7"/>
        <v>제6편 상소심절차-제13장 총설-제03절 상소의 효력-01</v>
      </c>
    </row>
    <row r="507" spans="2:15" ht="14.45" customHeight="1" x14ac:dyDescent="0.2">
      <c r="B507" s="26" t="s">
        <v>1277</v>
      </c>
      <c r="C507" s="27" t="s">
        <v>1287</v>
      </c>
      <c r="D507" s="61" t="s">
        <v>2165</v>
      </c>
      <c r="E507" s="62" t="s">
        <v>1193</v>
      </c>
      <c r="F507" s="63" t="s">
        <v>1120</v>
      </c>
      <c r="G507" s="64" t="s">
        <v>1301</v>
      </c>
      <c r="H507" s="65" t="s">
        <v>143</v>
      </c>
      <c r="I507" s="66" t="s">
        <v>1018</v>
      </c>
      <c r="J507" s="67">
        <v>2013</v>
      </c>
      <c r="K507" s="68" t="s">
        <v>1326</v>
      </c>
      <c r="L507" s="260"/>
      <c r="M507" s="70"/>
      <c r="N507" s="71"/>
      <c r="O507" s="69" t="str">
        <f t="shared" si="7"/>
        <v>제6편 상소심절차-제13장 총설-제03절 상소의 효력-02</v>
      </c>
    </row>
    <row r="508" spans="2:15" ht="14.45" customHeight="1" x14ac:dyDescent="0.2">
      <c r="B508" s="26" t="s">
        <v>1277</v>
      </c>
      <c r="C508" s="27" t="s">
        <v>1287</v>
      </c>
      <c r="D508" s="61" t="s">
        <v>2165</v>
      </c>
      <c r="E508" s="62" t="s">
        <v>399</v>
      </c>
      <c r="F508" s="63" t="s">
        <v>2719</v>
      </c>
      <c r="G508" s="64" t="s">
        <v>1302</v>
      </c>
      <c r="H508" s="65" t="s">
        <v>2080</v>
      </c>
      <c r="I508" s="66" t="s">
        <v>1686</v>
      </c>
      <c r="J508" s="67">
        <v>554</v>
      </c>
      <c r="K508" s="68"/>
      <c r="L508" s="260"/>
      <c r="M508" s="70"/>
      <c r="N508" s="71"/>
      <c r="O508" s="69" t="str">
        <f t="shared" si="7"/>
        <v>제6편 상소심절차-제13장 총설-제03절 상소의 효력-03</v>
      </c>
    </row>
    <row r="509" spans="2:15" ht="14.45" customHeight="1" thickBot="1" x14ac:dyDescent="0.25">
      <c r="B509" s="26" t="s">
        <v>1277</v>
      </c>
      <c r="C509" s="72" t="s">
        <v>1287</v>
      </c>
      <c r="D509" s="73" t="s">
        <v>2165</v>
      </c>
      <c r="E509" s="74" t="s">
        <v>399</v>
      </c>
      <c r="F509" s="75" t="s">
        <v>2720</v>
      </c>
      <c r="G509" s="76" t="s">
        <v>1303</v>
      </c>
      <c r="H509" s="77" t="s">
        <v>2081</v>
      </c>
      <c r="I509" s="78" t="s">
        <v>1687</v>
      </c>
      <c r="J509" s="79">
        <v>591</v>
      </c>
      <c r="K509" s="80"/>
      <c r="L509" s="261"/>
      <c r="M509" s="82"/>
      <c r="N509" s="83"/>
      <c r="O509" s="81" t="str">
        <f t="shared" si="7"/>
        <v>제6편 상소심절차-제13장 총설-제03절 상소의 효력-04</v>
      </c>
    </row>
    <row r="510" spans="2:15" ht="14.45" customHeight="1" x14ac:dyDescent="0.2">
      <c r="B510" s="26" t="s">
        <v>1277</v>
      </c>
      <c r="C510" s="14" t="s">
        <v>1290</v>
      </c>
      <c r="D510" s="15" t="s">
        <v>2196</v>
      </c>
      <c r="E510" s="16" t="s">
        <v>7</v>
      </c>
      <c r="F510" s="17" t="s">
        <v>24</v>
      </c>
      <c r="G510" s="18" t="s">
        <v>1300</v>
      </c>
      <c r="H510" s="19" t="s">
        <v>361</v>
      </c>
      <c r="I510" s="20" t="s">
        <v>3091</v>
      </c>
      <c r="J510" s="119">
        <v>1887</v>
      </c>
      <c r="K510" s="22" t="s">
        <v>1326</v>
      </c>
      <c r="L510" s="256"/>
      <c r="M510" s="24"/>
      <c r="N510" s="25"/>
      <c r="O510" s="23" t="str">
        <f t="shared" si="7"/>
        <v>제6편 상소심절차-제14장 항소-제01절 항소의 개관-01</v>
      </c>
    </row>
    <row r="511" spans="2:15" ht="14.45" customHeight="1" x14ac:dyDescent="0.2">
      <c r="B511" s="26" t="s">
        <v>1277</v>
      </c>
      <c r="C511" s="27" t="s">
        <v>1289</v>
      </c>
      <c r="D511" s="28" t="s">
        <v>2196</v>
      </c>
      <c r="E511" s="29" t="s">
        <v>399</v>
      </c>
      <c r="F511" s="30" t="s">
        <v>2721</v>
      </c>
      <c r="G511" s="31" t="s">
        <v>1301</v>
      </c>
      <c r="H511" s="32" t="s">
        <v>2082</v>
      </c>
      <c r="I511" s="33" t="s">
        <v>1688</v>
      </c>
      <c r="J511" s="120">
        <v>311</v>
      </c>
      <c r="K511" s="35"/>
      <c r="L511" s="257"/>
      <c r="M511" s="37"/>
      <c r="N511" s="38"/>
      <c r="O511" s="36" t="str">
        <f t="shared" si="7"/>
        <v>제6편 상소심절차-제14장 항소-제01절 항소의 개관-02</v>
      </c>
    </row>
    <row r="512" spans="2:15" ht="14.45" customHeight="1" x14ac:dyDescent="0.2">
      <c r="B512" s="26" t="s">
        <v>1277</v>
      </c>
      <c r="C512" s="27" t="s">
        <v>1289</v>
      </c>
      <c r="D512" s="50" t="s">
        <v>2166</v>
      </c>
      <c r="E512" s="51" t="s">
        <v>7</v>
      </c>
      <c r="F512" s="52" t="s">
        <v>23</v>
      </c>
      <c r="G512" s="53" t="s">
        <v>1300</v>
      </c>
      <c r="H512" s="54" t="s">
        <v>72</v>
      </c>
      <c r="I512" s="55" t="s">
        <v>3092</v>
      </c>
      <c r="J512" s="121">
        <v>2071</v>
      </c>
      <c r="K512" s="57" t="s">
        <v>1326</v>
      </c>
      <c r="L512" s="259"/>
      <c r="M512" s="59"/>
      <c r="N512" s="60"/>
      <c r="O512" s="58" t="str">
        <f t="shared" si="7"/>
        <v>제6편 상소심절차-제14장 항소-제02절 항소의 제기-01</v>
      </c>
    </row>
    <row r="513" spans="2:15" ht="14.45" customHeight="1" x14ac:dyDescent="0.2">
      <c r="B513" s="26" t="s">
        <v>1277</v>
      </c>
      <c r="C513" s="27" t="s">
        <v>1289</v>
      </c>
      <c r="D513" s="61" t="s">
        <v>2166</v>
      </c>
      <c r="E513" s="62" t="s">
        <v>1193</v>
      </c>
      <c r="F513" s="63" t="s">
        <v>1121</v>
      </c>
      <c r="G513" s="64" t="s">
        <v>1301</v>
      </c>
      <c r="H513" s="65" t="s">
        <v>1245</v>
      </c>
      <c r="I513" s="66" t="s">
        <v>1246</v>
      </c>
      <c r="J513" s="122">
        <v>1459</v>
      </c>
      <c r="K513" s="68" t="s">
        <v>1326</v>
      </c>
      <c r="L513" s="260" t="s">
        <v>2309</v>
      </c>
      <c r="M513" s="70"/>
      <c r="N513" s="71"/>
      <c r="O513" s="69" t="str">
        <f t="shared" si="7"/>
        <v>제6편 상소심절차-제14장 항소-제02절 항소의 제기-02</v>
      </c>
    </row>
    <row r="514" spans="2:15" ht="14.45" customHeight="1" x14ac:dyDescent="0.2">
      <c r="B514" s="26" t="s">
        <v>1277</v>
      </c>
      <c r="C514" s="27" t="s">
        <v>1289</v>
      </c>
      <c r="D514" s="61" t="s">
        <v>2166</v>
      </c>
      <c r="E514" s="62" t="s">
        <v>399</v>
      </c>
      <c r="F514" s="63" t="s">
        <v>2722</v>
      </c>
      <c r="G514" s="64" t="s">
        <v>1302</v>
      </c>
      <c r="H514" s="65" t="s">
        <v>2083</v>
      </c>
      <c r="I514" s="66" t="s">
        <v>1689</v>
      </c>
      <c r="J514" s="122">
        <v>296</v>
      </c>
      <c r="K514" s="68"/>
      <c r="L514" s="260"/>
      <c r="M514" s="70"/>
      <c r="N514" s="71"/>
      <c r="O514" s="69" t="str">
        <f t="shared" si="7"/>
        <v>제6편 상소심절차-제14장 항소-제02절 항소의 제기-03</v>
      </c>
    </row>
    <row r="515" spans="2:15" ht="14.45" customHeight="1" x14ac:dyDescent="0.2">
      <c r="B515" s="26" t="s">
        <v>1277</v>
      </c>
      <c r="C515" s="27" t="s">
        <v>1289</v>
      </c>
      <c r="D515" s="61" t="s">
        <v>2166</v>
      </c>
      <c r="E515" s="62" t="s">
        <v>399</v>
      </c>
      <c r="F515" s="63" t="s">
        <v>2723</v>
      </c>
      <c r="G515" s="64" t="s">
        <v>1303</v>
      </c>
      <c r="H515" s="65" t="s">
        <v>2084</v>
      </c>
      <c r="I515" s="66" t="s">
        <v>1690</v>
      </c>
      <c r="J515" s="122">
        <v>405</v>
      </c>
      <c r="K515" s="68"/>
      <c r="L515" s="260"/>
      <c r="M515" s="70"/>
      <c r="N515" s="71"/>
      <c r="O515" s="69" t="str">
        <f t="shared" si="7"/>
        <v>제6편 상소심절차-제14장 항소-제02절 항소의 제기-04</v>
      </c>
    </row>
    <row r="516" spans="2:15" ht="14.45" customHeight="1" x14ac:dyDescent="0.2">
      <c r="B516" s="26" t="s">
        <v>1277</v>
      </c>
      <c r="C516" s="27" t="s">
        <v>1289</v>
      </c>
      <c r="D516" s="61" t="s">
        <v>2166</v>
      </c>
      <c r="E516" s="62" t="s">
        <v>399</v>
      </c>
      <c r="F516" s="63" t="s">
        <v>2724</v>
      </c>
      <c r="G516" s="64" t="s">
        <v>2310</v>
      </c>
      <c r="H516" s="65" t="s">
        <v>2085</v>
      </c>
      <c r="I516" s="66" t="s">
        <v>1691</v>
      </c>
      <c r="J516" s="122">
        <v>816</v>
      </c>
      <c r="K516" s="68"/>
      <c r="L516" s="260"/>
      <c r="M516" s="70"/>
      <c r="N516" s="71"/>
      <c r="O516" s="69" t="str">
        <f t="shared" si="7"/>
        <v>제6편 상소심절차-제14장 항소-제02절 항소의 제기-05</v>
      </c>
    </row>
    <row r="517" spans="2:15" ht="14.45" customHeight="1" x14ac:dyDescent="0.2">
      <c r="B517" s="26" t="s">
        <v>1277</v>
      </c>
      <c r="C517" s="27" t="s">
        <v>1289</v>
      </c>
      <c r="D517" s="28" t="s">
        <v>2166</v>
      </c>
      <c r="E517" s="29" t="s">
        <v>399</v>
      </c>
      <c r="F517" s="30" t="s">
        <v>2725</v>
      </c>
      <c r="G517" s="31" t="s">
        <v>2311</v>
      </c>
      <c r="H517" s="32" t="s">
        <v>2086</v>
      </c>
      <c r="I517" s="33" t="s">
        <v>1692</v>
      </c>
      <c r="J517" s="120">
        <v>455</v>
      </c>
      <c r="K517" s="35"/>
      <c r="L517" s="257"/>
      <c r="M517" s="37"/>
      <c r="N517" s="38"/>
      <c r="O517" s="36" t="str">
        <f t="shared" ref="O517:O580" si="8">B517&amp;"-"&amp;C517&amp;"-"&amp;D517&amp;"-"&amp;G517</f>
        <v>제6편 상소심절차-제14장 항소-제02절 항소의 제기-06</v>
      </c>
    </row>
    <row r="518" spans="2:15" ht="14.45" customHeight="1" x14ac:dyDescent="0.2">
      <c r="B518" s="26" t="s">
        <v>1277</v>
      </c>
      <c r="C518" s="27" t="s">
        <v>1289</v>
      </c>
      <c r="D518" s="50" t="s">
        <v>2168</v>
      </c>
      <c r="E518" s="51" t="s">
        <v>7</v>
      </c>
      <c r="F518" s="52" t="s">
        <v>23</v>
      </c>
      <c r="G518" s="53" t="s">
        <v>1300</v>
      </c>
      <c r="H518" s="54" t="s">
        <v>73</v>
      </c>
      <c r="I518" s="55" t="s">
        <v>3093</v>
      </c>
      <c r="J518" s="121">
        <v>1781</v>
      </c>
      <c r="K518" s="57" t="s">
        <v>1326</v>
      </c>
      <c r="L518" s="259"/>
      <c r="M518" s="59"/>
      <c r="N518" s="60"/>
      <c r="O518" s="58" t="str">
        <f t="shared" si="8"/>
        <v>제6편 상소심절차-제14장 항소-제03절 항소심의 심리-01</v>
      </c>
    </row>
    <row r="519" spans="2:15" ht="14.45" customHeight="1" x14ac:dyDescent="0.2">
      <c r="B519" s="26" t="s">
        <v>1277</v>
      </c>
      <c r="C519" s="27" t="s">
        <v>1289</v>
      </c>
      <c r="D519" s="61" t="s">
        <v>2168</v>
      </c>
      <c r="E519" s="62" t="s">
        <v>2771</v>
      </c>
      <c r="F519" s="63" t="s">
        <v>1129</v>
      </c>
      <c r="G519" s="64" t="s">
        <v>1301</v>
      </c>
      <c r="H519" s="65" t="s">
        <v>162</v>
      </c>
      <c r="I519" s="66" t="s">
        <v>2818</v>
      </c>
      <c r="J519" s="122">
        <v>1180</v>
      </c>
      <c r="K519" s="68" t="s">
        <v>1326</v>
      </c>
      <c r="L519" s="260"/>
      <c r="M519" s="70"/>
      <c r="N519" s="71"/>
      <c r="O519" s="69" t="str">
        <f t="shared" si="8"/>
        <v>제6편 상소심절차-제14장 항소-제03절 항소심의 심리-02</v>
      </c>
    </row>
    <row r="520" spans="2:15" ht="14.45" customHeight="1" x14ac:dyDescent="0.2">
      <c r="B520" s="26" t="s">
        <v>1277</v>
      </c>
      <c r="C520" s="27" t="s">
        <v>1289</v>
      </c>
      <c r="D520" s="61" t="s">
        <v>2168</v>
      </c>
      <c r="E520" s="62" t="s">
        <v>2771</v>
      </c>
      <c r="F520" s="63" t="s">
        <v>1130</v>
      </c>
      <c r="G520" s="64" t="s">
        <v>1302</v>
      </c>
      <c r="H520" s="65" t="s">
        <v>163</v>
      </c>
      <c r="I520" s="66" t="s">
        <v>2819</v>
      </c>
      <c r="J520" s="122">
        <v>1277</v>
      </c>
      <c r="K520" s="68" t="s">
        <v>1326</v>
      </c>
      <c r="L520" s="260"/>
      <c r="M520" s="70"/>
      <c r="N520" s="71"/>
      <c r="O520" s="69" t="str">
        <f t="shared" si="8"/>
        <v>제6편 상소심절차-제14장 항소-제03절 항소심의 심리-03</v>
      </c>
    </row>
    <row r="521" spans="2:15" ht="14.45" customHeight="1" x14ac:dyDescent="0.2">
      <c r="B521" s="26" t="s">
        <v>1277</v>
      </c>
      <c r="C521" s="27" t="s">
        <v>1289</v>
      </c>
      <c r="D521" s="61" t="s">
        <v>2168</v>
      </c>
      <c r="E521" s="62" t="s">
        <v>399</v>
      </c>
      <c r="F521" s="63" t="s">
        <v>2726</v>
      </c>
      <c r="G521" s="64" t="s">
        <v>1303</v>
      </c>
      <c r="H521" s="65" t="s">
        <v>2087</v>
      </c>
      <c r="I521" s="66" t="s">
        <v>1693</v>
      </c>
      <c r="J521" s="122">
        <v>635</v>
      </c>
      <c r="K521" s="68"/>
      <c r="L521" s="260"/>
      <c r="M521" s="70"/>
      <c r="N521" s="71"/>
      <c r="O521" s="69" t="str">
        <f t="shared" si="8"/>
        <v>제6편 상소심절차-제14장 항소-제03절 항소심의 심리-04</v>
      </c>
    </row>
    <row r="522" spans="2:15" ht="14.45" customHeight="1" x14ac:dyDescent="0.2">
      <c r="B522" s="26" t="s">
        <v>1277</v>
      </c>
      <c r="C522" s="27" t="s">
        <v>1289</v>
      </c>
      <c r="D522" s="61" t="s">
        <v>2168</v>
      </c>
      <c r="E522" s="62" t="s">
        <v>399</v>
      </c>
      <c r="F522" s="63" t="s">
        <v>2727</v>
      </c>
      <c r="G522" s="64" t="s">
        <v>2310</v>
      </c>
      <c r="H522" s="65" t="s">
        <v>2088</v>
      </c>
      <c r="I522" s="66" t="s">
        <v>1694</v>
      </c>
      <c r="J522" s="122">
        <v>305</v>
      </c>
      <c r="K522" s="68"/>
      <c r="L522" s="260"/>
      <c r="M522" s="70"/>
      <c r="N522" s="71"/>
      <c r="O522" s="69" t="str">
        <f t="shared" si="8"/>
        <v>제6편 상소심절차-제14장 항소-제03절 항소심의 심리-05</v>
      </c>
    </row>
    <row r="523" spans="2:15" ht="14.45" customHeight="1" x14ac:dyDescent="0.2">
      <c r="B523" s="26" t="s">
        <v>1277</v>
      </c>
      <c r="C523" s="27" t="s">
        <v>1289</v>
      </c>
      <c r="D523" s="61" t="s">
        <v>2168</v>
      </c>
      <c r="E523" s="62" t="s">
        <v>399</v>
      </c>
      <c r="F523" s="63" t="s">
        <v>2728</v>
      </c>
      <c r="G523" s="64" t="s">
        <v>2311</v>
      </c>
      <c r="H523" s="65" t="s">
        <v>2089</v>
      </c>
      <c r="I523" s="66" t="s">
        <v>1695</v>
      </c>
      <c r="J523" s="122">
        <v>309</v>
      </c>
      <c r="K523" s="68"/>
      <c r="L523" s="260"/>
      <c r="M523" s="70"/>
      <c r="N523" s="71"/>
      <c r="O523" s="69" t="str">
        <f t="shared" si="8"/>
        <v>제6편 상소심절차-제14장 항소-제03절 항소심의 심리-06</v>
      </c>
    </row>
    <row r="524" spans="2:15" ht="14.45" customHeight="1" x14ac:dyDescent="0.2">
      <c r="B524" s="26" t="s">
        <v>1277</v>
      </c>
      <c r="C524" s="27" t="s">
        <v>1289</v>
      </c>
      <c r="D524" s="61" t="s">
        <v>2168</v>
      </c>
      <c r="E524" s="62" t="s">
        <v>399</v>
      </c>
      <c r="F524" s="63" t="s">
        <v>2729</v>
      </c>
      <c r="G524" s="64" t="s">
        <v>2312</v>
      </c>
      <c r="H524" s="65" t="s">
        <v>2090</v>
      </c>
      <c r="I524" s="66" t="s">
        <v>1696</v>
      </c>
      <c r="J524" s="122">
        <v>549</v>
      </c>
      <c r="K524" s="68"/>
      <c r="L524" s="260"/>
      <c r="M524" s="70"/>
      <c r="N524" s="71"/>
      <c r="O524" s="69" t="str">
        <f t="shared" si="8"/>
        <v>제6편 상소심절차-제14장 항소-제03절 항소심의 심리-07</v>
      </c>
    </row>
    <row r="525" spans="2:15" ht="14.45" customHeight="1" x14ac:dyDescent="0.2">
      <c r="B525" s="26" t="s">
        <v>1277</v>
      </c>
      <c r="C525" s="27" t="s">
        <v>1289</v>
      </c>
      <c r="D525" s="61" t="s">
        <v>2168</v>
      </c>
      <c r="E525" s="62" t="s">
        <v>399</v>
      </c>
      <c r="F525" s="63" t="s">
        <v>2730</v>
      </c>
      <c r="G525" s="64" t="s">
        <v>2313</v>
      </c>
      <c r="H525" s="65" t="s">
        <v>2091</v>
      </c>
      <c r="I525" s="66" t="s">
        <v>1697</v>
      </c>
      <c r="J525" s="122">
        <v>678</v>
      </c>
      <c r="K525" s="68"/>
      <c r="L525" s="260"/>
      <c r="M525" s="70"/>
      <c r="N525" s="71"/>
      <c r="O525" s="69" t="str">
        <f t="shared" si="8"/>
        <v>제6편 상소심절차-제14장 항소-제03절 항소심의 심리-08</v>
      </c>
    </row>
    <row r="526" spans="2:15" ht="14.45" customHeight="1" x14ac:dyDescent="0.2">
      <c r="B526" s="26" t="s">
        <v>1277</v>
      </c>
      <c r="C526" s="27" t="s">
        <v>1289</v>
      </c>
      <c r="D526" s="61" t="s">
        <v>2168</v>
      </c>
      <c r="E526" s="62" t="s">
        <v>399</v>
      </c>
      <c r="F526" s="63" t="s">
        <v>2440</v>
      </c>
      <c r="G526" s="64" t="s">
        <v>2314</v>
      </c>
      <c r="H526" s="65" t="s">
        <v>2092</v>
      </c>
      <c r="I526" s="66" t="s">
        <v>1698</v>
      </c>
      <c r="J526" s="122">
        <v>320</v>
      </c>
      <c r="K526" s="68"/>
      <c r="L526" s="260"/>
      <c r="M526" s="70"/>
      <c r="N526" s="71"/>
      <c r="O526" s="69" t="str">
        <f t="shared" si="8"/>
        <v>제6편 상소심절차-제14장 항소-제03절 항소심의 심리-09</v>
      </c>
    </row>
    <row r="527" spans="2:15" ht="14.45" customHeight="1" x14ac:dyDescent="0.2">
      <c r="B527" s="26" t="s">
        <v>1277</v>
      </c>
      <c r="C527" s="27" t="s">
        <v>1289</v>
      </c>
      <c r="D527" s="28" t="s">
        <v>2168</v>
      </c>
      <c r="E527" s="29" t="s">
        <v>399</v>
      </c>
      <c r="F527" s="30" t="s">
        <v>2731</v>
      </c>
      <c r="G527" s="31" t="s">
        <v>2315</v>
      </c>
      <c r="H527" s="32" t="s">
        <v>2093</v>
      </c>
      <c r="I527" s="33" t="s">
        <v>1699</v>
      </c>
      <c r="J527" s="120">
        <v>464</v>
      </c>
      <c r="K527" s="35"/>
      <c r="L527" s="257"/>
      <c r="M527" s="37"/>
      <c r="N527" s="38"/>
      <c r="O527" s="36" t="str">
        <f t="shared" si="8"/>
        <v>제6편 상소심절차-제14장 항소-제03절 항소심의 심리-10</v>
      </c>
    </row>
    <row r="528" spans="2:15" ht="14.45" customHeight="1" x14ac:dyDescent="0.2">
      <c r="B528" s="26" t="s">
        <v>1277</v>
      </c>
      <c r="C528" s="27" t="s">
        <v>1289</v>
      </c>
      <c r="D528" s="50" t="s">
        <v>2169</v>
      </c>
      <c r="E528" s="51" t="s">
        <v>7</v>
      </c>
      <c r="F528" s="52" t="s">
        <v>23</v>
      </c>
      <c r="G528" s="53" t="s">
        <v>1300</v>
      </c>
      <c r="H528" s="54" t="s">
        <v>74</v>
      </c>
      <c r="I528" s="55" t="s">
        <v>3094</v>
      </c>
      <c r="J528" s="121">
        <v>1934</v>
      </c>
      <c r="K528" s="57" t="s">
        <v>1326</v>
      </c>
      <c r="L528" s="259"/>
      <c r="M528" s="59"/>
      <c r="N528" s="60"/>
      <c r="O528" s="58" t="str">
        <f t="shared" si="8"/>
        <v>제6편 상소심절차-제14장 항소-제04절 항소심의 종국재판-01</v>
      </c>
    </row>
    <row r="529" spans="2:15" ht="14.45" customHeight="1" x14ac:dyDescent="0.2">
      <c r="B529" s="26" t="s">
        <v>1277</v>
      </c>
      <c r="C529" s="27" t="s">
        <v>1289</v>
      </c>
      <c r="D529" s="61" t="s">
        <v>2169</v>
      </c>
      <c r="E529" s="62" t="s">
        <v>2771</v>
      </c>
      <c r="F529" s="63" t="s">
        <v>1131</v>
      </c>
      <c r="G529" s="64" t="s">
        <v>1301</v>
      </c>
      <c r="H529" s="65" t="s">
        <v>1155</v>
      </c>
      <c r="I529" s="66" t="s">
        <v>2816</v>
      </c>
      <c r="J529" s="122">
        <v>1429</v>
      </c>
      <c r="K529" s="68" t="s">
        <v>1327</v>
      </c>
      <c r="L529" s="260"/>
      <c r="M529" s="70"/>
      <c r="N529" s="71"/>
      <c r="O529" s="69" t="str">
        <f t="shared" si="8"/>
        <v>제6편 상소심절차-제14장 항소-제04절 항소심의 종국재판-02</v>
      </c>
    </row>
    <row r="530" spans="2:15" ht="14.45" customHeight="1" x14ac:dyDescent="0.2">
      <c r="B530" s="26" t="s">
        <v>1277</v>
      </c>
      <c r="C530" s="27" t="s">
        <v>1289</v>
      </c>
      <c r="D530" s="61" t="s">
        <v>2169</v>
      </c>
      <c r="E530" s="62" t="s">
        <v>2771</v>
      </c>
      <c r="F530" s="63" t="s">
        <v>1132</v>
      </c>
      <c r="G530" s="64" t="s">
        <v>1302</v>
      </c>
      <c r="H530" s="65" t="s">
        <v>164</v>
      </c>
      <c r="I530" s="66" t="s">
        <v>2817</v>
      </c>
      <c r="J530" s="122">
        <v>1265</v>
      </c>
      <c r="K530" s="68" t="s">
        <v>1326</v>
      </c>
      <c r="L530" s="260"/>
      <c r="M530" s="70"/>
      <c r="N530" s="71"/>
      <c r="O530" s="69" t="str">
        <f t="shared" si="8"/>
        <v>제6편 상소심절차-제14장 항소-제04절 항소심의 종국재판-03</v>
      </c>
    </row>
    <row r="531" spans="2:15" ht="14.45" customHeight="1" thickBot="1" x14ac:dyDescent="0.25">
      <c r="B531" s="26" t="s">
        <v>1277</v>
      </c>
      <c r="C531" s="72" t="s">
        <v>1289</v>
      </c>
      <c r="D531" s="73" t="s">
        <v>2169</v>
      </c>
      <c r="E531" s="74" t="s">
        <v>399</v>
      </c>
      <c r="F531" s="75" t="s">
        <v>2732</v>
      </c>
      <c r="G531" s="76" t="s">
        <v>1303</v>
      </c>
      <c r="H531" s="77" t="s">
        <v>2094</v>
      </c>
      <c r="I531" s="78" t="s">
        <v>1700</v>
      </c>
      <c r="J531" s="123">
        <v>621</v>
      </c>
      <c r="K531" s="80"/>
      <c r="L531" s="261"/>
      <c r="M531" s="82"/>
      <c r="N531" s="83"/>
      <c r="O531" s="81" t="str">
        <f t="shared" si="8"/>
        <v>제6편 상소심절차-제14장 항소-제04절 항소심의 종국재판-04</v>
      </c>
    </row>
    <row r="532" spans="2:15" ht="14.45" customHeight="1" x14ac:dyDescent="0.2">
      <c r="B532" s="26" t="s">
        <v>1277</v>
      </c>
      <c r="C532" s="14" t="s">
        <v>1292</v>
      </c>
      <c r="D532" s="15" t="s">
        <v>2198</v>
      </c>
      <c r="E532" s="16" t="s">
        <v>7</v>
      </c>
      <c r="F532" s="17" t="s">
        <v>26</v>
      </c>
      <c r="G532" s="18" t="s">
        <v>1300</v>
      </c>
      <c r="H532" s="19" t="s">
        <v>75</v>
      </c>
      <c r="I532" s="20" t="s">
        <v>3095</v>
      </c>
      <c r="J532" s="119">
        <v>1884</v>
      </c>
      <c r="K532" s="22" t="s">
        <v>1326</v>
      </c>
      <c r="L532" s="256"/>
      <c r="M532" s="24"/>
      <c r="N532" s="25"/>
      <c r="O532" s="23" t="str">
        <f t="shared" si="8"/>
        <v>제6편 상소심절차-제15장 상고-제01절 상고의 의의-01</v>
      </c>
    </row>
    <row r="533" spans="2:15" ht="14.45" customHeight="1" x14ac:dyDescent="0.2">
      <c r="B533" s="26" t="s">
        <v>1277</v>
      </c>
      <c r="C533" s="27" t="s">
        <v>1291</v>
      </c>
      <c r="D533" s="28" t="s">
        <v>2198</v>
      </c>
      <c r="E533" s="29" t="s">
        <v>399</v>
      </c>
      <c r="F533" s="30" t="s">
        <v>2733</v>
      </c>
      <c r="G533" s="31" t="s">
        <v>1301</v>
      </c>
      <c r="H533" s="32" t="s">
        <v>2095</v>
      </c>
      <c r="I533" s="33" t="s">
        <v>1701</v>
      </c>
      <c r="J533" s="120">
        <v>405</v>
      </c>
      <c r="K533" s="35"/>
      <c r="L533" s="257"/>
      <c r="M533" s="37"/>
      <c r="N533" s="38"/>
      <c r="O533" s="36" t="str">
        <f t="shared" si="8"/>
        <v>제6편 상소심절차-제15장 상고-제01절 상고의 의의-02</v>
      </c>
    </row>
    <row r="534" spans="2:15" ht="14.45" customHeight="1" x14ac:dyDescent="0.2">
      <c r="B534" s="26" t="s">
        <v>1277</v>
      </c>
      <c r="C534" s="27" t="s">
        <v>1291</v>
      </c>
      <c r="D534" s="50" t="s">
        <v>2170</v>
      </c>
      <c r="E534" s="51" t="s">
        <v>7</v>
      </c>
      <c r="F534" s="52" t="s">
        <v>25</v>
      </c>
      <c r="G534" s="53" t="s">
        <v>1300</v>
      </c>
      <c r="H534" s="54" t="s">
        <v>76</v>
      </c>
      <c r="I534" s="55" t="s">
        <v>3096</v>
      </c>
      <c r="J534" s="121">
        <v>2431</v>
      </c>
      <c r="K534" s="57" t="s">
        <v>1326</v>
      </c>
      <c r="L534" s="259"/>
      <c r="M534" s="59"/>
      <c r="N534" s="60"/>
      <c r="O534" s="58" t="str">
        <f t="shared" si="8"/>
        <v>제6편 상소심절차-제15장 상고-제02절 상고이유-01</v>
      </c>
    </row>
    <row r="535" spans="2:15" ht="14.45" customHeight="1" x14ac:dyDescent="0.2">
      <c r="B535" s="26" t="s">
        <v>1277</v>
      </c>
      <c r="C535" s="27" t="s">
        <v>1291</v>
      </c>
      <c r="D535" s="61" t="s">
        <v>2170</v>
      </c>
      <c r="E535" s="62" t="s">
        <v>2771</v>
      </c>
      <c r="F535" s="63" t="s">
        <v>1133</v>
      </c>
      <c r="G535" s="64" t="s">
        <v>1301</v>
      </c>
      <c r="H535" s="65" t="s">
        <v>165</v>
      </c>
      <c r="I535" s="66" t="s">
        <v>2814</v>
      </c>
      <c r="J535" s="122">
        <v>1336</v>
      </c>
      <c r="K535" s="68" t="s">
        <v>1326</v>
      </c>
      <c r="L535" s="260"/>
      <c r="M535" s="70"/>
      <c r="N535" s="71"/>
      <c r="O535" s="69" t="str">
        <f t="shared" si="8"/>
        <v>제6편 상소심절차-제15장 상고-제02절 상고이유-02</v>
      </c>
    </row>
    <row r="536" spans="2:15" ht="14.45" customHeight="1" x14ac:dyDescent="0.2">
      <c r="B536" s="26" t="s">
        <v>1277</v>
      </c>
      <c r="C536" s="27" t="s">
        <v>1291</v>
      </c>
      <c r="D536" s="61" t="s">
        <v>2170</v>
      </c>
      <c r="E536" s="62" t="s">
        <v>2771</v>
      </c>
      <c r="F536" s="63" t="s">
        <v>1134</v>
      </c>
      <c r="G536" s="64" t="s">
        <v>1302</v>
      </c>
      <c r="H536" s="65" t="s">
        <v>1328</v>
      </c>
      <c r="I536" s="66" t="s">
        <v>2815</v>
      </c>
      <c r="J536" s="122">
        <v>1503</v>
      </c>
      <c r="K536" s="68" t="s">
        <v>1326</v>
      </c>
      <c r="L536" s="260"/>
      <c r="M536" s="70"/>
      <c r="N536" s="71"/>
      <c r="O536" s="69" t="str">
        <f t="shared" si="8"/>
        <v>제6편 상소심절차-제15장 상고-제02절 상고이유-03</v>
      </c>
    </row>
    <row r="537" spans="2:15" ht="14.45" customHeight="1" x14ac:dyDescent="0.2">
      <c r="B537" s="26" t="s">
        <v>1277</v>
      </c>
      <c r="C537" s="27" t="s">
        <v>1291</v>
      </c>
      <c r="D537" s="61" t="s">
        <v>2170</v>
      </c>
      <c r="E537" s="62" t="s">
        <v>399</v>
      </c>
      <c r="F537" s="63" t="s">
        <v>2734</v>
      </c>
      <c r="G537" s="64" t="s">
        <v>1303</v>
      </c>
      <c r="H537" s="65" t="s">
        <v>2096</v>
      </c>
      <c r="I537" s="66" t="s">
        <v>1702</v>
      </c>
      <c r="J537" s="122">
        <v>1206</v>
      </c>
      <c r="K537" s="68"/>
      <c r="L537" s="260"/>
      <c r="M537" s="70"/>
      <c r="N537" s="71"/>
      <c r="O537" s="69" t="str">
        <f t="shared" si="8"/>
        <v>제6편 상소심절차-제15장 상고-제02절 상고이유-04</v>
      </c>
    </row>
    <row r="538" spans="2:15" ht="14.45" customHeight="1" x14ac:dyDescent="0.2">
      <c r="B538" s="26" t="s">
        <v>1277</v>
      </c>
      <c r="C538" s="27" t="s">
        <v>1291</v>
      </c>
      <c r="D538" s="61" t="s">
        <v>2170</v>
      </c>
      <c r="E538" s="62" t="s">
        <v>399</v>
      </c>
      <c r="F538" s="63" t="s">
        <v>2735</v>
      </c>
      <c r="G538" s="64" t="s">
        <v>2310</v>
      </c>
      <c r="H538" s="65" t="s">
        <v>2097</v>
      </c>
      <c r="I538" s="66" t="s">
        <v>1703</v>
      </c>
      <c r="J538" s="122">
        <v>611</v>
      </c>
      <c r="K538" s="68"/>
      <c r="L538" s="260"/>
      <c r="M538" s="70"/>
      <c r="N538" s="71"/>
      <c r="O538" s="69" t="str">
        <f t="shared" si="8"/>
        <v>제6편 상소심절차-제15장 상고-제02절 상고이유-05</v>
      </c>
    </row>
    <row r="539" spans="2:15" ht="14.45" customHeight="1" x14ac:dyDescent="0.2">
      <c r="B539" s="26" t="s">
        <v>1277</v>
      </c>
      <c r="C539" s="27" t="s">
        <v>1291</v>
      </c>
      <c r="D539" s="28" t="s">
        <v>2170</v>
      </c>
      <c r="E539" s="29" t="s">
        <v>399</v>
      </c>
      <c r="F539" s="30" t="s">
        <v>2736</v>
      </c>
      <c r="G539" s="31" t="s">
        <v>2311</v>
      </c>
      <c r="H539" s="32" t="s">
        <v>2098</v>
      </c>
      <c r="I539" s="33" t="s">
        <v>1704</v>
      </c>
      <c r="J539" s="120">
        <v>621</v>
      </c>
      <c r="K539" s="35"/>
      <c r="L539" s="257"/>
      <c r="M539" s="37"/>
      <c r="N539" s="38"/>
      <c r="O539" s="36" t="str">
        <f t="shared" si="8"/>
        <v>제6편 상소심절차-제15장 상고-제02절 상고이유-06</v>
      </c>
    </row>
    <row r="540" spans="2:15" ht="14.45" customHeight="1" x14ac:dyDescent="0.2">
      <c r="B540" s="26" t="s">
        <v>1277</v>
      </c>
      <c r="C540" s="27" t="s">
        <v>1291</v>
      </c>
      <c r="D540" s="50" t="s">
        <v>2171</v>
      </c>
      <c r="E540" s="51" t="s">
        <v>7</v>
      </c>
      <c r="F540" s="52" t="s">
        <v>25</v>
      </c>
      <c r="G540" s="53" t="s">
        <v>1300</v>
      </c>
      <c r="H540" s="54" t="s">
        <v>84</v>
      </c>
      <c r="I540" s="55" t="s">
        <v>3097</v>
      </c>
      <c r="J540" s="121">
        <v>1948</v>
      </c>
      <c r="K540" s="57" t="s">
        <v>1326</v>
      </c>
      <c r="L540" s="259"/>
      <c r="M540" s="59"/>
      <c r="N540" s="60"/>
      <c r="O540" s="58" t="str">
        <f t="shared" si="8"/>
        <v>제6편 상소심절차-제15장 상고-제03절 상고심절차의 개시와 심리-01</v>
      </c>
    </row>
    <row r="541" spans="2:15" ht="14.45" customHeight="1" x14ac:dyDescent="0.2">
      <c r="B541" s="26" t="s">
        <v>1277</v>
      </c>
      <c r="C541" s="27" t="s">
        <v>1291</v>
      </c>
      <c r="D541" s="61" t="s">
        <v>2171</v>
      </c>
      <c r="E541" s="62" t="s">
        <v>2771</v>
      </c>
      <c r="F541" s="63" t="s">
        <v>1135</v>
      </c>
      <c r="G541" s="64" t="s">
        <v>1301</v>
      </c>
      <c r="H541" s="65" t="s">
        <v>166</v>
      </c>
      <c r="I541" s="66" t="s">
        <v>2812</v>
      </c>
      <c r="J541" s="122">
        <v>1571</v>
      </c>
      <c r="K541" s="68" t="s">
        <v>1326</v>
      </c>
      <c r="L541" s="260"/>
      <c r="M541" s="70"/>
      <c r="N541" s="71"/>
      <c r="O541" s="69" t="str">
        <f t="shared" si="8"/>
        <v>제6편 상소심절차-제15장 상고-제03절 상고심절차의 개시와 심리-02</v>
      </c>
    </row>
    <row r="542" spans="2:15" ht="14.45" customHeight="1" x14ac:dyDescent="0.2">
      <c r="B542" s="26" t="s">
        <v>1277</v>
      </c>
      <c r="C542" s="27" t="s">
        <v>1291</v>
      </c>
      <c r="D542" s="61" t="s">
        <v>2171</v>
      </c>
      <c r="E542" s="62" t="s">
        <v>2771</v>
      </c>
      <c r="F542" s="63" t="s">
        <v>1136</v>
      </c>
      <c r="G542" s="64" t="s">
        <v>1302</v>
      </c>
      <c r="H542" s="65" t="s">
        <v>167</v>
      </c>
      <c r="I542" s="66" t="s">
        <v>2813</v>
      </c>
      <c r="J542" s="122">
        <v>1356</v>
      </c>
      <c r="K542" s="68" t="s">
        <v>1326</v>
      </c>
      <c r="L542" s="260"/>
      <c r="M542" s="70"/>
      <c r="N542" s="71"/>
      <c r="O542" s="69" t="str">
        <f t="shared" si="8"/>
        <v>제6편 상소심절차-제15장 상고-제03절 상고심절차의 개시와 심리-03</v>
      </c>
    </row>
    <row r="543" spans="2:15" ht="14.45" customHeight="1" x14ac:dyDescent="0.2">
      <c r="B543" s="26" t="s">
        <v>1277</v>
      </c>
      <c r="C543" s="27" t="s">
        <v>1291</v>
      </c>
      <c r="D543" s="61" t="s">
        <v>2171</v>
      </c>
      <c r="E543" s="62" t="s">
        <v>399</v>
      </c>
      <c r="F543" s="63" t="s">
        <v>2737</v>
      </c>
      <c r="G543" s="64" t="s">
        <v>1303</v>
      </c>
      <c r="H543" s="65" t="s">
        <v>2099</v>
      </c>
      <c r="I543" s="66" t="s">
        <v>1705</v>
      </c>
      <c r="J543" s="122">
        <v>419</v>
      </c>
      <c r="K543" s="68"/>
      <c r="L543" s="260"/>
      <c r="M543" s="70"/>
      <c r="N543" s="71"/>
      <c r="O543" s="69" t="str">
        <f t="shared" si="8"/>
        <v>제6편 상소심절차-제15장 상고-제03절 상고심절차의 개시와 심리-04</v>
      </c>
    </row>
    <row r="544" spans="2:15" ht="14.45" customHeight="1" x14ac:dyDescent="0.2">
      <c r="B544" s="26" t="s">
        <v>1277</v>
      </c>
      <c r="C544" s="27" t="s">
        <v>1291</v>
      </c>
      <c r="D544" s="28" t="s">
        <v>2171</v>
      </c>
      <c r="E544" s="29" t="s">
        <v>399</v>
      </c>
      <c r="F544" s="30" t="s">
        <v>2738</v>
      </c>
      <c r="G544" s="31" t="s">
        <v>2310</v>
      </c>
      <c r="H544" s="32" t="s">
        <v>2100</v>
      </c>
      <c r="I544" s="33" t="s">
        <v>1706</v>
      </c>
      <c r="J544" s="120">
        <v>986</v>
      </c>
      <c r="K544" s="35"/>
      <c r="L544" s="257"/>
      <c r="M544" s="37"/>
      <c r="N544" s="38"/>
      <c r="O544" s="36" t="str">
        <f t="shared" si="8"/>
        <v>제6편 상소심절차-제15장 상고-제03절 상고심절차의 개시와 심리-05</v>
      </c>
    </row>
    <row r="545" spans="2:15" ht="14.45" customHeight="1" x14ac:dyDescent="0.2">
      <c r="B545" s="26" t="s">
        <v>1277</v>
      </c>
      <c r="C545" s="27" t="s">
        <v>1291</v>
      </c>
      <c r="D545" s="50" t="s">
        <v>2172</v>
      </c>
      <c r="E545" s="51" t="s">
        <v>7</v>
      </c>
      <c r="F545" s="52" t="s">
        <v>25</v>
      </c>
      <c r="G545" s="53" t="s">
        <v>1300</v>
      </c>
      <c r="H545" s="54" t="s">
        <v>85</v>
      </c>
      <c r="I545" s="55" t="s">
        <v>3098</v>
      </c>
      <c r="J545" s="121">
        <v>1932</v>
      </c>
      <c r="K545" s="57" t="s">
        <v>1326</v>
      </c>
      <c r="L545" s="259"/>
      <c r="M545" s="59"/>
      <c r="N545" s="60"/>
      <c r="O545" s="58" t="str">
        <f t="shared" si="8"/>
        <v>제6편 상소심절차-제15장 상고-제04절 상고심의 종국재판-01</v>
      </c>
    </row>
    <row r="546" spans="2:15" ht="14.45" customHeight="1" x14ac:dyDescent="0.2">
      <c r="B546" s="26" t="s">
        <v>1277</v>
      </c>
      <c r="C546" s="27" t="s">
        <v>1291</v>
      </c>
      <c r="D546" s="61" t="s">
        <v>2172</v>
      </c>
      <c r="E546" s="62" t="s">
        <v>2771</v>
      </c>
      <c r="F546" s="63" t="s">
        <v>1137</v>
      </c>
      <c r="G546" s="64" t="s">
        <v>1301</v>
      </c>
      <c r="H546" s="65" t="s">
        <v>168</v>
      </c>
      <c r="I546" s="66" t="s">
        <v>2810</v>
      </c>
      <c r="J546" s="122">
        <v>1469</v>
      </c>
      <c r="K546" s="68" t="s">
        <v>1327</v>
      </c>
      <c r="L546" s="260"/>
      <c r="M546" s="70"/>
      <c r="N546" s="71"/>
      <c r="O546" s="69" t="str">
        <f t="shared" si="8"/>
        <v>제6편 상소심절차-제15장 상고-제04절 상고심의 종국재판-02</v>
      </c>
    </row>
    <row r="547" spans="2:15" ht="14.45" customHeight="1" x14ac:dyDescent="0.2">
      <c r="B547" s="26" t="s">
        <v>1277</v>
      </c>
      <c r="C547" s="27" t="s">
        <v>1291</v>
      </c>
      <c r="D547" s="61" t="s">
        <v>2172</v>
      </c>
      <c r="E547" s="62" t="s">
        <v>2771</v>
      </c>
      <c r="F547" s="63" t="s">
        <v>1138</v>
      </c>
      <c r="G547" s="64" t="s">
        <v>1302</v>
      </c>
      <c r="H547" s="65" t="s">
        <v>169</v>
      </c>
      <c r="I547" s="66" t="s">
        <v>2811</v>
      </c>
      <c r="J547" s="122">
        <v>1454</v>
      </c>
      <c r="K547" s="68" t="s">
        <v>1326</v>
      </c>
      <c r="L547" s="260"/>
      <c r="M547" s="70"/>
      <c r="N547" s="71"/>
      <c r="O547" s="69" t="str">
        <f t="shared" si="8"/>
        <v>제6편 상소심절차-제15장 상고-제04절 상고심의 종국재판-03</v>
      </c>
    </row>
    <row r="548" spans="2:15" ht="14.45" customHeight="1" x14ac:dyDescent="0.2">
      <c r="B548" s="26" t="s">
        <v>1277</v>
      </c>
      <c r="C548" s="27" t="s">
        <v>1291</v>
      </c>
      <c r="D548" s="61" t="s">
        <v>2172</v>
      </c>
      <c r="E548" s="62" t="s">
        <v>399</v>
      </c>
      <c r="F548" s="63" t="s">
        <v>2739</v>
      </c>
      <c r="G548" s="64" t="s">
        <v>1303</v>
      </c>
      <c r="H548" s="65" t="s">
        <v>2101</v>
      </c>
      <c r="I548" s="66" t="s">
        <v>1707</v>
      </c>
      <c r="J548" s="122">
        <v>705</v>
      </c>
      <c r="K548" s="68"/>
      <c r="L548" s="260"/>
      <c r="M548" s="70"/>
      <c r="N548" s="71"/>
      <c r="O548" s="69" t="str">
        <f t="shared" si="8"/>
        <v>제6편 상소심절차-제15장 상고-제04절 상고심의 종국재판-04</v>
      </c>
    </row>
    <row r="549" spans="2:15" ht="14.45" customHeight="1" x14ac:dyDescent="0.2">
      <c r="B549" s="26" t="s">
        <v>1277</v>
      </c>
      <c r="C549" s="27" t="s">
        <v>1291</v>
      </c>
      <c r="D549" s="61" t="s">
        <v>2172</v>
      </c>
      <c r="E549" s="62" t="s">
        <v>399</v>
      </c>
      <c r="F549" s="63" t="s">
        <v>2740</v>
      </c>
      <c r="G549" s="64" t="s">
        <v>2310</v>
      </c>
      <c r="H549" s="65" t="s">
        <v>2102</v>
      </c>
      <c r="I549" s="66" t="s">
        <v>1708</v>
      </c>
      <c r="J549" s="122">
        <v>1340</v>
      </c>
      <c r="K549" s="68"/>
      <c r="L549" s="260"/>
      <c r="M549" s="70"/>
      <c r="N549" s="71"/>
      <c r="O549" s="69" t="str">
        <f t="shared" si="8"/>
        <v>제6편 상소심절차-제15장 상고-제04절 상고심의 종국재판-05</v>
      </c>
    </row>
    <row r="550" spans="2:15" ht="14.45" customHeight="1" x14ac:dyDescent="0.2">
      <c r="B550" s="26" t="s">
        <v>1277</v>
      </c>
      <c r="C550" s="27" t="s">
        <v>1291</v>
      </c>
      <c r="D550" s="61" t="s">
        <v>2172</v>
      </c>
      <c r="E550" s="62" t="s">
        <v>399</v>
      </c>
      <c r="F550" s="63" t="s">
        <v>2741</v>
      </c>
      <c r="G550" s="64" t="s">
        <v>2311</v>
      </c>
      <c r="H550" s="65" t="s">
        <v>2103</v>
      </c>
      <c r="I550" s="66" t="s">
        <v>1709</v>
      </c>
      <c r="J550" s="122">
        <v>465</v>
      </c>
      <c r="K550" s="68"/>
      <c r="L550" s="260"/>
      <c r="M550" s="70"/>
      <c r="N550" s="71"/>
      <c r="O550" s="69" t="str">
        <f t="shared" si="8"/>
        <v>제6편 상소심절차-제15장 상고-제04절 상고심의 종국재판-06</v>
      </c>
    </row>
    <row r="551" spans="2:15" ht="14.45" customHeight="1" thickBot="1" x14ac:dyDescent="0.25">
      <c r="B551" s="26" t="s">
        <v>1277</v>
      </c>
      <c r="C551" s="72" t="s">
        <v>1291</v>
      </c>
      <c r="D551" s="73" t="s">
        <v>2172</v>
      </c>
      <c r="E551" s="74" t="s">
        <v>399</v>
      </c>
      <c r="F551" s="75" t="s">
        <v>2742</v>
      </c>
      <c r="G551" s="76" t="s">
        <v>2312</v>
      </c>
      <c r="H551" s="77" t="s">
        <v>2104</v>
      </c>
      <c r="I551" s="78" t="s">
        <v>1710</v>
      </c>
      <c r="J551" s="123">
        <v>970</v>
      </c>
      <c r="K551" s="80"/>
      <c r="L551" s="261"/>
      <c r="M551" s="82"/>
      <c r="N551" s="83"/>
      <c r="O551" s="81" t="str">
        <f t="shared" si="8"/>
        <v>제6편 상소심절차-제15장 상고-제04절 상고심의 종국재판-07</v>
      </c>
    </row>
    <row r="552" spans="2:15" ht="14.45" customHeight="1" x14ac:dyDescent="0.2">
      <c r="B552" s="26" t="s">
        <v>1277</v>
      </c>
      <c r="C552" s="14" t="s">
        <v>1294</v>
      </c>
      <c r="D552" s="15" t="s">
        <v>2200</v>
      </c>
      <c r="E552" s="16" t="s">
        <v>7</v>
      </c>
      <c r="F552" s="17" t="s">
        <v>28</v>
      </c>
      <c r="G552" s="18" t="s">
        <v>1300</v>
      </c>
      <c r="H552" s="19" t="s">
        <v>77</v>
      </c>
      <c r="I552" s="20" t="s">
        <v>3099</v>
      </c>
      <c r="J552" s="119">
        <v>2178</v>
      </c>
      <c r="K552" s="22" t="s">
        <v>1326</v>
      </c>
      <c r="L552" s="256"/>
      <c r="M552" s="24"/>
      <c r="N552" s="25"/>
      <c r="O552" s="23" t="str">
        <f t="shared" si="8"/>
        <v>제6편 상소심절차-제16장 항고-제01절 항고의 의의-01</v>
      </c>
    </row>
    <row r="553" spans="2:15" ht="14.45" customHeight="1" x14ac:dyDescent="0.2">
      <c r="B553" s="26" t="s">
        <v>1277</v>
      </c>
      <c r="C553" s="27" t="s">
        <v>1293</v>
      </c>
      <c r="D553" s="61" t="s">
        <v>2200</v>
      </c>
      <c r="E553" s="62" t="s">
        <v>399</v>
      </c>
      <c r="F553" s="63" t="s">
        <v>2743</v>
      </c>
      <c r="G553" s="64" t="s">
        <v>1301</v>
      </c>
      <c r="H553" s="65" t="s">
        <v>2105</v>
      </c>
      <c r="I553" s="66" t="s">
        <v>1711</v>
      </c>
      <c r="J553" s="122">
        <v>372</v>
      </c>
      <c r="K553" s="68"/>
      <c r="L553" s="260"/>
      <c r="M553" s="70"/>
      <c r="N553" s="71"/>
      <c r="O553" s="69" t="str">
        <f t="shared" si="8"/>
        <v>제6편 상소심절차-제16장 항고-제01절 항고의 의의-02</v>
      </c>
    </row>
    <row r="554" spans="2:15" ht="14.45" customHeight="1" x14ac:dyDescent="0.2">
      <c r="B554" s="26" t="s">
        <v>1277</v>
      </c>
      <c r="C554" s="27" t="s">
        <v>1293</v>
      </c>
      <c r="D554" s="61" t="s">
        <v>2200</v>
      </c>
      <c r="E554" s="62" t="s">
        <v>399</v>
      </c>
      <c r="F554" s="63" t="s">
        <v>2744</v>
      </c>
      <c r="G554" s="64" t="s">
        <v>1302</v>
      </c>
      <c r="H554" s="65" t="s">
        <v>2106</v>
      </c>
      <c r="I554" s="66" t="s">
        <v>1712</v>
      </c>
      <c r="J554" s="122">
        <v>326</v>
      </c>
      <c r="K554" s="68"/>
      <c r="L554" s="260"/>
      <c r="M554" s="70"/>
      <c r="N554" s="71"/>
      <c r="O554" s="69" t="str">
        <f t="shared" si="8"/>
        <v>제6편 상소심절차-제16장 항고-제01절 항고의 의의-03</v>
      </c>
    </row>
    <row r="555" spans="2:15" ht="14.45" customHeight="1" x14ac:dyDescent="0.2">
      <c r="B555" s="26" t="s">
        <v>1277</v>
      </c>
      <c r="C555" s="27" t="s">
        <v>1293</v>
      </c>
      <c r="D555" s="61" t="s">
        <v>2200</v>
      </c>
      <c r="E555" s="62" t="s">
        <v>399</v>
      </c>
      <c r="F555" s="63" t="s">
        <v>2745</v>
      </c>
      <c r="G555" s="64" t="s">
        <v>1303</v>
      </c>
      <c r="H555" s="65" t="s">
        <v>2107</v>
      </c>
      <c r="I555" s="66" t="s">
        <v>1713</v>
      </c>
      <c r="J555" s="122">
        <v>372</v>
      </c>
      <c r="K555" s="68"/>
      <c r="L555" s="260"/>
      <c r="M555" s="70"/>
      <c r="N555" s="71"/>
      <c r="O555" s="69" t="str">
        <f t="shared" si="8"/>
        <v>제6편 상소심절차-제16장 항고-제01절 항고의 의의-04</v>
      </c>
    </row>
    <row r="556" spans="2:15" ht="14.45" customHeight="1" x14ac:dyDescent="0.2">
      <c r="B556" s="26" t="s">
        <v>1277</v>
      </c>
      <c r="C556" s="27" t="s">
        <v>1293</v>
      </c>
      <c r="D556" s="61" t="s">
        <v>2200</v>
      </c>
      <c r="E556" s="62" t="s">
        <v>399</v>
      </c>
      <c r="F556" s="63" t="s">
        <v>2746</v>
      </c>
      <c r="G556" s="64" t="s">
        <v>2310</v>
      </c>
      <c r="H556" s="65" t="s">
        <v>2108</v>
      </c>
      <c r="I556" s="66" t="s">
        <v>1714</v>
      </c>
      <c r="J556" s="122">
        <v>408</v>
      </c>
      <c r="K556" s="68"/>
      <c r="L556" s="260"/>
      <c r="M556" s="70"/>
      <c r="N556" s="71"/>
      <c r="O556" s="69" t="str">
        <f t="shared" si="8"/>
        <v>제6편 상소심절차-제16장 항고-제01절 항고의 의의-05</v>
      </c>
    </row>
    <row r="557" spans="2:15" ht="14.45" customHeight="1" x14ac:dyDescent="0.2">
      <c r="B557" s="26" t="s">
        <v>1277</v>
      </c>
      <c r="C557" s="27" t="s">
        <v>1293</v>
      </c>
      <c r="D557" s="28" t="s">
        <v>2200</v>
      </c>
      <c r="E557" s="29" t="s">
        <v>399</v>
      </c>
      <c r="F557" s="30" t="s">
        <v>2747</v>
      </c>
      <c r="G557" s="31" t="s">
        <v>2311</v>
      </c>
      <c r="H557" s="32" t="s">
        <v>2862</v>
      </c>
      <c r="I557" s="33" t="s">
        <v>1715</v>
      </c>
      <c r="J557" s="120">
        <v>316</v>
      </c>
      <c r="K557" s="35"/>
      <c r="L557" s="257"/>
      <c r="M557" s="37"/>
      <c r="N557" s="38"/>
      <c r="O557" s="36" t="str">
        <f t="shared" si="8"/>
        <v>제6편 상소심절차-제16장 항고-제01절 항고의 의의-06</v>
      </c>
    </row>
    <row r="558" spans="2:15" ht="14.45" customHeight="1" x14ac:dyDescent="0.2">
      <c r="B558" s="26" t="s">
        <v>1277</v>
      </c>
      <c r="C558" s="27" t="s">
        <v>1293</v>
      </c>
      <c r="D558" s="50" t="s">
        <v>2173</v>
      </c>
      <c r="E558" s="51" t="s">
        <v>7</v>
      </c>
      <c r="F558" s="52" t="s">
        <v>27</v>
      </c>
      <c r="G558" s="53" t="s">
        <v>1300</v>
      </c>
      <c r="H558" s="54" t="s">
        <v>78</v>
      </c>
      <c r="I558" s="55" t="s">
        <v>3100</v>
      </c>
      <c r="J558" s="121">
        <v>2066</v>
      </c>
      <c r="K558" s="57" t="s">
        <v>1326</v>
      </c>
      <c r="L558" s="259"/>
      <c r="M558" s="59"/>
      <c r="N558" s="60"/>
      <c r="O558" s="58" t="str">
        <f t="shared" si="8"/>
        <v>제6편 상소심절차-제16장 항고-제02절 항고의 절차-01</v>
      </c>
    </row>
    <row r="559" spans="2:15" ht="14.45" customHeight="1" x14ac:dyDescent="0.2">
      <c r="B559" s="26" t="s">
        <v>1277</v>
      </c>
      <c r="C559" s="27" t="s">
        <v>1293</v>
      </c>
      <c r="D559" s="61" t="s">
        <v>2173</v>
      </c>
      <c r="E559" s="62" t="s">
        <v>2771</v>
      </c>
      <c r="F559" s="63" t="s">
        <v>1139</v>
      </c>
      <c r="G559" s="64" t="s">
        <v>1301</v>
      </c>
      <c r="H559" s="65" t="s">
        <v>170</v>
      </c>
      <c r="I559" s="66" t="s">
        <v>2808</v>
      </c>
      <c r="J559" s="122">
        <v>1307</v>
      </c>
      <c r="K559" s="68" t="s">
        <v>1326</v>
      </c>
      <c r="L559" s="260"/>
      <c r="M559" s="70"/>
      <c r="N559" s="71"/>
      <c r="O559" s="69" t="str">
        <f t="shared" si="8"/>
        <v>제6편 상소심절차-제16장 항고-제02절 항고의 절차-02</v>
      </c>
    </row>
    <row r="560" spans="2:15" ht="14.45" customHeight="1" thickBot="1" x14ac:dyDescent="0.25">
      <c r="B560" s="95" t="s">
        <v>1277</v>
      </c>
      <c r="C560" s="72" t="s">
        <v>1293</v>
      </c>
      <c r="D560" s="73" t="s">
        <v>2173</v>
      </c>
      <c r="E560" s="74" t="s">
        <v>2771</v>
      </c>
      <c r="F560" s="75" t="s">
        <v>1140</v>
      </c>
      <c r="G560" s="76" t="s">
        <v>1302</v>
      </c>
      <c r="H560" s="77" t="s">
        <v>171</v>
      </c>
      <c r="I560" s="78" t="s">
        <v>2809</v>
      </c>
      <c r="J560" s="123">
        <v>1324</v>
      </c>
      <c r="K560" s="80" t="s">
        <v>1326</v>
      </c>
      <c r="L560" s="261"/>
      <c r="M560" s="82"/>
      <c r="N560" s="83"/>
      <c r="O560" s="81" t="str">
        <f t="shared" si="8"/>
        <v>제6편 상소심절차-제16장 항고-제02절 항고의 절차-03</v>
      </c>
    </row>
    <row r="561" spans="2:15" ht="14.45" customHeight="1" x14ac:dyDescent="0.2">
      <c r="B561" s="13" t="s">
        <v>1329</v>
      </c>
      <c r="C561" s="124" t="s">
        <v>1296</v>
      </c>
      <c r="D561" s="84" t="s">
        <v>2202</v>
      </c>
      <c r="E561" s="85" t="s">
        <v>7</v>
      </c>
      <c r="F561" s="86" t="s">
        <v>30</v>
      </c>
      <c r="G561" s="87" t="s">
        <v>1300</v>
      </c>
      <c r="H561" s="88" t="s">
        <v>79</v>
      </c>
      <c r="I561" s="89" t="s">
        <v>3101</v>
      </c>
      <c r="J561" s="125">
        <v>1902</v>
      </c>
      <c r="K561" s="91" t="s">
        <v>1326</v>
      </c>
      <c r="L561" s="262"/>
      <c r="M561" s="93"/>
      <c r="N561" s="94"/>
      <c r="O561" s="92" t="str">
        <f t="shared" si="8"/>
        <v>제7편 재심절차-제17장 재심-제01절 재심의 개념-01</v>
      </c>
    </row>
    <row r="562" spans="2:15" ht="14.45" customHeight="1" x14ac:dyDescent="0.2">
      <c r="B562" s="26" t="s">
        <v>1278</v>
      </c>
      <c r="C562" s="126" t="s">
        <v>1295</v>
      </c>
      <c r="D562" s="50" t="s">
        <v>2174</v>
      </c>
      <c r="E562" s="51" t="s">
        <v>7</v>
      </c>
      <c r="F562" s="52" t="s">
        <v>29</v>
      </c>
      <c r="G562" s="53" t="s">
        <v>1300</v>
      </c>
      <c r="H562" s="54" t="s">
        <v>80</v>
      </c>
      <c r="I562" s="55" t="s">
        <v>3102</v>
      </c>
      <c r="J562" s="121">
        <v>2061</v>
      </c>
      <c r="K562" s="57" t="s">
        <v>1326</v>
      </c>
      <c r="L562" s="259"/>
      <c r="M562" s="59"/>
      <c r="N562" s="60"/>
      <c r="O562" s="58" t="str">
        <f t="shared" si="8"/>
        <v>제7편 재심절차-제17장 재심-제02절 재심의 소송물-01</v>
      </c>
    </row>
    <row r="563" spans="2:15" ht="14.45" customHeight="1" x14ac:dyDescent="0.2">
      <c r="B563" s="26" t="s">
        <v>1278</v>
      </c>
      <c r="C563" s="126" t="s">
        <v>1295</v>
      </c>
      <c r="D563" s="61" t="s">
        <v>2174</v>
      </c>
      <c r="E563" s="62" t="s">
        <v>2771</v>
      </c>
      <c r="F563" s="63" t="s">
        <v>1141</v>
      </c>
      <c r="G563" s="64" t="s">
        <v>1301</v>
      </c>
      <c r="H563" s="65" t="s">
        <v>172</v>
      </c>
      <c r="I563" s="66" t="s">
        <v>2806</v>
      </c>
      <c r="J563" s="122">
        <v>1315</v>
      </c>
      <c r="K563" s="68" t="s">
        <v>1326</v>
      </c>
      <c r="L563" s="260"/>
      <c r="M563" s="70"/>
      <c r="N563" s="71"/>
      <c r="O563" s="69" t="str">
        <f t="shared" si="8"/>
        <v>제7편 재심절차-제17장 재심-제02절 재심의 소송물-02</v>
      </c>
    </row>
    <row r="564" spans="2:15" ht="14.45" customHeight="1" x14ac:dyDescent="0.2">
      <c r="B564" s="26" t="s">
        <v>1278</v>
      </c>
      <c r="C564" s="126" t="s">
        <v>1295</v>
      </c>
      <c r="D564" s="28" t="s">
        <v>2174</v>
      </c>
      <c r="E564" s="29" t="s">
        <v>2771</v>
      </c>
      <c r="F564" s="30" t="s">
        <v>1142</v>
      </c>
      <c r="G564" s="31" t="s">
        <v>1302</v>
      </c>
      <c r="H564" s="32" t="s">
        <v>173</v>
      </c>
      <c r="I564" s="33" t="s">
        <v>2807</v>
      </c>
      <c r="J564" s="120">
        <v>1383</v>
      </c>
      <c r="K564" s="35" t="s">
        <v>1326</v>
      </c>
      <c r="L564" s="257"/>
      <c r="M564" s="37"/>
      <c r="N564" s="38"/>
      <c r="O564" s="36" t="str">
        <f t="shared" si="8"/>
        <v>제7편 재심절차-제17장 재심-제02절 재심의 소송물-03</v>
      </c>
    </row>
    <row r="565" spans="2:15" ht="14.45" customHeight="1" x14ac:dyDescent="0.2">
      <c r="B565" s="26" t="s">
        <v>1278</v>
      </c>
      <c r="C565" s="126" t="s">
        <v>1295</v>
      </c>
      <c r="D565" s="50" t="s">
        <v>2175</v>
      </c>
      <c r="E565" s="51" t="s">
        <v>7</v>
      </c>
      <c r="F565" s="52" t="s">
        <v>30</v>
      </c>
      <c r="G565" s="53" t="s">
        <v>1300</v>
      </c>
      <c r="H565" s="54" t="s">
        <v>81</v>
      </c>
      <c r="I565" s="55" t="s">
        <v>3103</v>
      </c>
      <c r="J565" s="121">
        <v>2633</v>
      </c>
      <c r="K565" s="57" t="s">
        <v>1326</v>
      </c>
      <c r="L565" s="259"/>
      <c r="M565" s="59"/>
      <c r="N565" s="60"/>
      <c r="O565" s="58" t="str">
        <f t="shared" si="8"/>
        <v>제7편 재심절차-제17장 재심-제03절 적법요건-01</v>
      </c>
    </row>
    <row r="566" spans="2:15" ht="14.45" customHeight="1" x14ac:dyDescent="0.2">
      <c r="B566" s="26" t="s">
        <v>1278</v>
      </c>
      <c r="C566" s="126" t="s">
        <v>1295</v>
      </c>
      <c r="D566" s="61" t="s">
        <v>2175</v>
      </c>
      <c r="E566" s="62" t="s">
        <v>2771</v>
      </c>
      <c r="F566" s="63" t="s">
        <v>1143</v>
      </c>
      <c r="G566" s="64" t="s">
        <v>1301</v>
      </c>
      <c r="H566" s="65" t="s">
        <v>174</v>
      </c>
      <c r="I566" s="66" t="s">
        <v>2803</v>
      </c>
      <c r="J566" s="122">
        <v>1527</v>
      </c>
      <c r="K566" s="68" t="s">
        <v>1326</v>
      </c>
      <c r="L566" s="260"/>
      <c r="M566" s="70"/>
      <c r="N566" s="71"/>
      <c r="O566" s="69" t="str">
        <f t="shared" si="8"/>
        <v>제7편 재심절차-제17장 재심-제03절 적법요건-02</v>
      </c>
    </row>
    <row r="567" spans="2:15" ht="14.45" customHeight="1" x14ac:dyDescent="0.2">
      <c r="B567" s="26" t="s">
        <v>1278</v>
      </c>
      <c r="C567" s="126" t="s">
        <v>1295</v>
      </c>
      <c r="D567" s="61" t="s">
        <v>2175</v>
      </c>
      <c r="E567" s="62" t="s">
        <v>2771</v>
      </c>
      <c r="F567" s="63" t="s">
        <v>1144</v>
      </c>
      <c r="G567" s="64" t="s">
        <v>1302</v>
      </c>
      <c r="H567" s="65" t="s">
        <v>175</v>
      </c>
      <c r="I567" s="66" t="s">
        <v>2804</v>
      </c>
      <c r="J567" s="122">
        <v>1384</v>
      </c>
      <c r="K567" s="68" t="s">
        <v>1326</v>
      </c>
      <c r="L567" s="260"/>
      <c r="M567" s="70"/>
      <c r="N567" s="71"/>
      <c r="O567" s="69" t="str">
        <f t="shared" si="8"/>
        <v>제7편 재심절차-제17장 재심-제03절 적법요건-03</v>
      </c>
    </row>
    <row r="568" spans="2:15" ht="14.45" customHeight="1" x14ac:dyDescent="0.2">
      <c r="B568" s="26" t="s">
        <v>1278</v>
      </c>
      <c r="C568" s="126" t="s">
        <v>1295</v>
      </c>
      <c r="D568" s="61" t="s">
        <v>2175</v>
      </c>
      <c r="E568" s="62" t="s">
        <v>2771</v>
      </c>
      <c r="F568" s="63" t="s">
        <v>2257</v>
      </c>
      <c r="G568" s="64" t="s">
        <v>1303</v>
      </c>
      <c r="H568" s="65" t="s">
        <v>2269</v>
      </c>
      <c r="I568" s="66" t="s">
        <v>2805</v>
      </c>
      <c r="J568" s="122">
        <v>879</v>
      </c>
      <c r="K568" s="68" t="s">
        <v>1325</v>
      </c>
      <c r="L568" s="260" t="s">
        <v>2309</v>
      </c>
      <c r="M568" s="70"/>
      <c r="N568" s="71"/>
      <c r="O568" s="69" t="str">
        <f t="shared" si="8"/>
        <v>제7편 재심절차-제17장 재심-제03절 적법요건-04</v>
      </c>
    </row>
    <row r="569" spans="2:15" ht="14.45" customHeight="1" x14ac:dyDescent="0.2">
      <c r="B569" s="26" t="s">
        <v>1278</v>
      </c>
      <c r="C569" s="126" t="s">
        <v>1295</v>
      </c>
      <c r="D569" s="61" t="s">
        <v>2175</v>
      </c>
      <c r="E569" s="62" t="s">
        <v>399</v>
      </c>
      <c r="F569" s="63" t="s">
        <v>2748</v>
      </c>
      <c r="G569" s="64" t="s">
        <v>2310</v>
      </c>
      <c r="H569" s="65" t="s">
        <v>2109</v>
      </c>
      <c r="I569" s="66" t="s">
        <v>1716</v>
      </c>
      <c r="J569" s="122">
        <v>371</v>
      </c>
      <c r="K569" s="68"/>
      <c r="L569" s="260"/>
      <c r="M569" s="70"/>
      <c r="N569" s="71"/>
      <c r="O569" s="69" t="str">
        <f t="shared" si="8"/>
        <v>제7편 재심절차-제17장 재심-제03절 적법요건-05</v>
      </c>
    </row>
    <row r="570" spans="2:15" ht="14.45" customHeight="1" x14ac:dyDescent="0.2">
      <c r="B570" s="26" t="s">
        <v>1278</v>
      </c>
      <c r="C570" s="126" t="s">
        <v>1295</v>
      </c>
      <c r="D570" s="61" t="s">
        <v>2175</v>
      </c>
      <c r="E570" s="62" t="s">
        <v>399</v>
      </c>
      <c r="F570" s="63" t="s">
        <v>2749</v>
      </c>
      <c r="G570" s="64" t="s">
        <v>2311</v>
      </c>
      <c r="H570" s="65" t="s">
        <v>2110</v>
      </c>
      <c r="I570" s="66" t="s">
        <v>1717</v>
      </c>
      <c r="J570" s="122">
        <v>884</v>
      </c>
      <c r="K570" s="68"/>
      <c r="L570" s="260"/>
      <c r="M570" s="70"/>
      <c r="N570" s="71"/>
      <c r="O570" s="69" t="str">
        <f t="shared" si="8"/>
        <v>제7편 재심절차-제17장 재심-제03절 적법요건-06</v>
      </c>
    </row>
    <row r="571" spans="2:15" ht="14.45" customHeight="1" x14ac:dyDescent="0.2">
      <c r="B571" s="26" t="s">
        <v>1278</v>
      </c>
      <c r="C571" s="126" t="s">
        <v>1295</v>
      </c>
      <c r="D571" s="61" t="s">
        <v>2175</v>
      </c>
      <c r="E571" s="62" t="s">
        <v>399</v>
      </c>
      <c r="F571" s="63" t="s">
        <v>2750</v>
      </c>
      <c r="G571" s="64" t="s">
        <v>2312</v>
      </c>
      <c r="H571" s="65" t="s">
        <v>2111</v>
      </c>
      <c r="I571" s="66" t="s">
        <v>1718</v>
      </c>
      <c r="J571" s="122">
        <v>1644</v>
      </c>
      <c r="K571" s="68"/>
      <c r="L571" s="260"/>
      <c r="M571" s="70"/>
      <c r="N571" s="71"/>
      <c r="O571" s="69" t="str">
        <f t="shared" si="8"/>
        <v>제7편 재심절차-제17장 재심-제03절 적법요건-07</v>
      </c>
    </row>
    <row r="572" spans="2:15" ht="14.45" customHeight="1" x14ac:dyDescent="0.2">
      <c r="B572" s="26" t="s">
        <v>1278</v>
      </c>
      <c r="C572" s="126" t="s">
        <v>1295</v>
      </c>
      <c r="D572" s="61" t="s">
        <v>2175</v>
      </c>
      <c r="E572" s="62" t="s">
        <v>399</v>
      </c>
      <c r="F572" s="63" t="s">
        <v>2751</v>
      </c>
      <c r="G572" s="64" t="s">
        <v>2313</v>
      </c>
      <c r="H572" s="65" t="s">
        <v>2112</v>
      </c>
      <c r="I572" s="66" t="s">
        <v>1719</v>
      </c>
      <c r="J572" s="122">
        <v>445</v>
      </c>
      <c r="K572" s="68"/>
      <c r="L572" s="260"/>
      <c r="M572" s="70"/>
      <c r="N572" s="71"/>
      <c r="O572" s="69" t="str">
        <f t="shared" si="8"/>
        <v>제7편 재심절차-제17장 재심-제03절 적법요건-08</v>
      </c>
    </row>
    <row r="573" spans="2:15" ht="14.45" customHeight="1" x14ac:dyDescent="0.2">
      <c r="B573" s="26" t="s">
        <v>1278</v>
      </c>
      <c r="C573" s="126" t="s">
        <v>1295</v>
      </c>
      <c r="D573" s="61" t="s">
        <v>2175</v>
      </c>
      <c r="E573" s="62" t="s">
        <v>399</v>
      </c>
      <c r="F573" s="63" t="s">
        <v>2752</v>
      </c>
      <c r="G573" s="64" t="s">
        <v>2314</v>
      </c>
      <c r="H573" s="65" t="s">
        <v>2113</v>
      </c>
      <c r="I573" s="66" t="s">
        <v>1720</v>
      </c>
      <c r="J573" s="122">
        <v>784</v>
      </c>
      <c r="K573" s="68"/>
      <c r="L573" s="260"/>
      <c r="M573" s="70"/>
      <c r="N573" s="71"/>
      <c r="O573" s="69" t="str">
        <f t="shared" si="8"/>
        <v>제7편 재심절차-제17장 재심-제03절 적법요건-09</v>
      </c>
    </row>
    <row r="574" spans="2:15" ht="14.45" customHeight="1" x14ac:dyDescent="0.2">
      <c r="B574" s="26" t="s">
        <v>1278</v>
      </c>
      <c r="C574" s="126" t="s">
        <v>1295</v>
      </c>
      <c r="D574" s="61" t="s">
        <v>2175</v>
      </c>
      <c r="E574" s="62" t="s">
        <v>399</v>
      </c>
      <c r="F574" s="63" t="s">
        <v>2753</v>
      </c>
      <c r="G574" s="64" t="s">
        <v>2315</v>
      </c>
      <c r="H574" s="65" t="s">
        <v>2114</v>
      </c>
      <c r="I574" s="66" t="s">
        <v>1721</v>
      </c>
      <c r="J574" s="122">
        <v>617</v>
      </c>
      <c r="K574" s="68"/>
      <c r="L574" s="260"/>
      <c r="M574" s="70"/>
      <c r="N574" s="71"/>
      <c r="O574" s="69" t="str">
        <f t="shared" si="8"/>
        <v>제7편 재심절차-제17장 재심-제03절 적법요건-10</v>
      </c>
    </row>
    <row r="575" spans="2:15" ht="14.45" customHeight="1" x14ac:dyDescent="0.2">
      <c r="B575" s="26" t="s">
        <v>1278</v>
      </c>
      <c r="C575" s="126" t="s">
        <v>1295</v>
      </c>
      <c r="D575" s="61" t="s">
        <v>2175</v>
      </c>
      <c r="E575" s="62" t="s">
        <v>399</v>
      </c>
      <c r="F575" s="63" t="s">
        <v>2754</v>
      </c>
      <c r="G575" s="64" t="s">
        <v>2316</v>
      </c>
      <c r="H575" s="65" t="s">
        <v>2115</v>
      </c>
      <c r="I575" s="66" t="s">
        <v>1722</v>
      </c>
      <c r="J575" s="122">
        <v>530</v>
      </c>
      <c r="K575" s="68"/>
      <c r="L575" s="260"/>
      <c r="M575" s="70"/>
      <c r="N575" s="71"/>
      <c r="O575" s="69" t="str">
        <f t="shared" si="8"/>
        <v>제7편 재심절차-제17장 재심-제03절 적법요건-11</v>
      </c>
    </row>
    <row r="576" spans="2:15" ht="14.45" customHeight="1" x14ac:dyDescent="0.2">
      <c r="B576" s="26" t="s">
        <v>1278</v>
      </c>
      <c r="C576" s="126" t="s">
        <v>1295</v>
      </c>
      <c r="D576" s="61" t="s">
        <v>2175</v>
      </c>
      <c r="E576" s="62" t="s">
        <v>399</v>
      </c>
      <c r="F576" s="63" t="s">
        <v>2755</v>
      </c>
      <c r="G576" s="64" t="s">
        <v>2317</v>
      </c>
      <c r="H576" s="65" t="s">
        <v>2116</v>
      </c>
      <c r="I576" s="66" t="s">
        <v>1723</v>
      </c>
      <c r="J576" s="122">
        <v>1241</v>
      </c>
      <c r="K576" s="68"/>
      <c r="L576" s="260"/>
      <c r="M576" s="70"/>
      <c r="N576" s="71"/>
      <c r="O576" s="69" t="str">
        <f t="shared" si="8"/>
        <v>제7편 재심절차-제17장 재심-제03절 적법요건-12</v>
      </c>
    </row>
    <row r="577" spans="2:15" ht="14.45" customHeight="1" x14ac:dyDescent="0.2">
      <c r="B577" s="26" t="s">
        <v>1278</v>
      </c>
      <c r="C577" s="126" t="s">
        <v>1295</v>
      </c>
      <c r="D577" s="28" t="s">
        <v>2175</v>
      </c>
      <c r="E577" s="29" t="s">
        <v>399</v>
      </c>
      <c r="F577" s="30" t="s">
        <v>2756</v>
      </c>
      <c r="G577" s="31" t="s">
        <v>2318</v>
      </c>
      <c r="H577" s="32" t="s">
        <v>2117</v>
      </c>
      <c r="I577" s="33" t="s">
        <v>1724</v>
      </c>
      <c r="J577" s="120">
        <v>967</v>
      </c>
      <c r="K577" s="35"/>
      <c r="L577" s="257"/>
      <c r="M577" s="37"/>
      <c r="N577" s="38"/>
      <c r="O577" s="36" t="str">
        <f t="shared" si="8"/>
        <v>제7편 재심절차-제17장 재심-제03절 적법요건-13</v>
      </c>
    </row>
    <row r="578" spans="2:15" ht="14.45" customHeight="1" x14ac:dyDescent="0.2">
      <c r="B578" s="26" t="s">
        <v>1278</v>
      </c>
      <c r="C578" s="126" t="s">
        <v>1295</v>
      </c>
      <c r="D578" s="50" t="s">
        <v>2176</v>
      </c>
      <c r="E578" s="51" t="s">
        <v>7</v>
      </c>
      <c r="F578" s="52" t="s">
        <v>30</v>
      </c>
      <c r="G578" s="53" t="s">
        <v>1300</v>
      </c>
      <c r="H578" s="54" t="s">
        <v>29</v>
      </c>
      <c r="I578" s="55" t="s">
        <v>3104</v>
      </c>
      <c r="J578" s="121">
        <v>2005</v>
      </c>
      <c r="K578" s="57" t="s">
        <v>1326</v>
      </c>
      <c r="L578" s="259"/>
      <c r="M578" s="59"/>
      <c r="N578" s="60"/>
      <c r="O578" s="58" t="str">
        <f t="shared" si="8"/>
        <v>제7편 재심절차-제17장 재심-제04절 재심절차-01</v>
      </c>
    </row>
    <row r="579" spans="2:15" ht="14.45" customHeight="1" x14ac:dyDescent="0.2">
      <c r="B579" s="26" t="s">
        <v>1278</v>
      </c>
      <c r="C579" s="126" t="s">
        <v>1295</v>
      </c>
      <c r="D579" s="61" t="s">
        <v>2176</v>
      </c>
      <c r="E579" s="62" t="s">
        <v>2771</v>
      </c>
      <c r="F579" s="63" t="s">
        <v>1145</v>
      </c>
      <c r="G579" s="64" t="s">
        <v>1301</v>
      </c>
      <c r="H579" s="65" t="s">
        <v>176</v>
      </c>
      <c r="I579" s="66" t="s">
        <v>2801</v>
      </c>
      <c r="J579" s="122">
        <v>1411</v>
      </c>
      <c r="K579" s="68" t="s">
        <v>1326</v>
      </c>
      <c r="L579" s="260"/>
      <c r="M579" s="70"/>
      <c r="N579" s="71"/>
      <c r="O579" s="69" t="str">
        <f t="shared" si="8"/>
        <v>제7편 재심절차-제17장 재심-제04절 재심절차-02</v>
      </c>
    </row>
    <row r="580" spans="2:15" ht="14.45" customHeight="1" x14ac:dyDescent="0.2">
      <c r="B580" s="26" t="s">
        <v>1278</v>
      </c>
      <c r="C580" s="126" t="s">
        <v>1295</v>
      </c>
      <c r="D580" s="61" t="s">
        <v>2176</v>
      </c>
      <c r="E580" s="62" t="s">
        <v>2771</v>
      </c>
      <c r="F580" s="63" t="s">
        <v>1146</v>
      </c>
      <c r="G580" s="64" t="s">
        <v>1302</v>
      </c>
      <c r="H580" s="65" t="s">
        <v>177</v>
      </c>
      <c r="I580" s="66" t="s">
        <v>2802</v>
      </c>
      <c r="J580" s="122">
        <v>1511</v>
      </c>
      <c r="K580" s="68" t="s">
        <v>1326</v>
      </c>
      <c r="L580" s="260"/>
      <c r="M580" s="70"/>
      <c r="N580" s="71"/>
      <c r="O580" s="69" t="str">
        <f t="shared" si="8"/>
        <v>제7편 재심절차-제17장 재심-제04절 재심절차-03</v>
      </c>
    </row>
    <row r="581" spans="2:15" ht="14.45" customHeight="1" x14ac:dyDescent="0.2">
      <c r="B581" s="26" t="s">
        <v>1278</v>
      </c>
      <c r="C581" s="126" t="s">
        <v>1295</v>
      </c>
      <c r="D581" s="28" t="s">
        <v>2176</v>
      </c>
      <c r="E581" s="29" t="s">
        <v>399</v>
      </c>
      <c r="F581" s="30" t="s">
        <v>2757</v>
      </c>
      <c r="G581" s="31" t="s">
        <v>1303</v>
      </c>
      <c r="H581" s="32" t="s">
        <v>2827</v>
      </c>
      <c r="I581" s="33" t="s">
        <v>1725</v>
      </c>
      <c r="J581" s="120">
        <v>668</v>
      </c>
      <c r="K581" s="35"/>
      <c r="L581" s="257"/>
      <c r="M581" s="37"/>
      <c r="N581" s="38"/>
      <c r="O581" s="36" t="str">
        <f t="shared" ref="O581:O598" si="9">B581&amp;"-"&amp;C581&amp;"-"&amp;D581&amp;"-"&amp;G581</f>
        <v>제7편 재심절차-제17장 재심-제04절 재심절차-04</v>
      </c>
    </row>
    <row r="582" spans="2:15" ht="14.45" customHeight="1" x14ac:dyDescent="0.2">
      <c r="B582" s="26" t="s">
        <v>1278</v>
      </c>
      <c r="C582" s="126" t="s">
        <v>1295</v>
      </c>
      <c r="D582" s="50" t="s">
        <v>2177</v>
      </c>
      <c r="E582" s="51" t="s">
        <v>7</v>
      </c>
      <c r="F582" s="52" t="s">
        <v>29</v>
      </c>
      <c r="G582" s="53" t="s">
        <v>1300</v>
      </c>
      <c r="H582" s="54" t="s">
        <v>82</v>
      </c>
      <c r="I582" s="55" t="s">
        <v>3105</v>
      </c>
      <c r="J582" s="121">
        <v>1595</v>
      </c>
      <c r="K582" s="57" t="s">
        <v>1326</v>
      </c>
      <c r="L582" s="259"/>
      <c r="M582" s="59"/>
      <c r="N582" s="60"/>
      <c r="O582" s="58" t="str">
        <f t="shared" si="9"/>
        <v>제7편 재심절차-제17장 재심-제05절 준재심-01</v>
      </c>
    </row>
    <row r="583" spans="2:15" ht="14.45" customHeight="1" x14ac:dyDescent="0.2">
      <c r="B583" s="26" t="s">
        <v>1278</v>
      </c>
      <c r="C583" s="126" t="s">
        <v>1295</v>
      </c>
      <c r="D583" s="61" t="s">
        <v>2177</v>
      </c>
      <c r="E583" s="62" t="s">
        <v>2771</v>
      </c>
      <c r="F583" s="63" t="s">
        <v>2126</v>
      </c>
      <c r="G583" s="64" t="s">
        <v>1301</v>
      </c>
      <c r="H583" s="65" t="s">
        <v>2127</v>
      </c>
      <c r="I583" s="66" t="s">
        <v>2799</v>
      </c>
      <c r="J583" s="122">
        <v>1464</v>
      </c>
      <c r="K583" s="68" t="s">
        <v>1327</v>
      </c>
      <c r="L583" s="260"/>
      <c r="M583" s="70"/>
      <c r="N583" s="71"/>
      <c r="O583" s="69" t="str">
        <f t="shared" si="9"/>
        <v>제7편 재심절차-제17장 재심-제05절 준재심-02</v>
      </c>
    </row>
    <row r="584" spans="2:15" ht="14.45" customHeight="1" x14ac:dyDescent="0.2">
      <c r="B584" s="26" t="s">
        <v>1278</v>
      </c>
      <c r="C584" s="126" t="s">
        <v>1295</v>
      </c>
      <c r="D584" s="61" t="s">
        <v>2177</v>
      </c>
      <c r="E584" s="62" t="s">
        <v>2771</v>
      </c>
      <c r="F584" s="63" t="s">
        <v>2128</v>
      </c>
      <c r="G584" s="64" t="s">
        <v>1302</v>
      </c>
      <c r="H584" s="65" t="s">
        <v>2129</v>
      </c>
      <c r="I584" s="66" t="s">
        <v>2800</v>
      </c>
      <c r="J584" s="122">
        <v>1516</v>
      </c>
      <c r="K584" s="68" t="s">
        <v>1327</v>
      </c>
      <c r="L584" s="260"/>
      <c r="M584" s="70"/>
      <c r="N584" s="71"/>
      <c r="O584" s="69" t="str">
        <f t="shared" si="9"/>
        <v>제7편 재심절차-제17장 재심-제05절 준재심-03</v>
      </c>
    </row>
    <row r="585" spans="2:15" ht="14.45" customHeight="1" x14ac:dyDescent="0.2">
      <c r="B585" s="26" t="s">
        <v>1278</v>
      </c>
      <c r="C585" s="126" t="s">
        <v>1295</v>
      </c>
      <c r="D585" s="61" t="s">
        <v>2177</v>
      </c>
      <c r="E585" s="62" t="s">
        <v>399</v>
      </c>
      <c r="F585" s="63" t="s">
        <v>2758</v>
      </c>
      <c r="G585" s="64" t="s">
        <v>1303</v>
      </c>
      <c r="H585" s="65" t="s">
        <v>2119</v>
      </c>
      <c r="I585" s="66" t="s">
        <v>1727</v>
      </c>
      <c r="J585" s="122">
        <v>967</v>
      </c>
      <c r="K585" s="68"/>
      <c r="L585" s="260"/>
      <c r="M585" s="70"/>
      <c r="N585" s="71"/>
      <c r="O585" s="69" t="str">
        <f t="shared" si="9"/>
        <v>제7편 재심절차-제17장 재심-제05절 준재심-04</v>
      </c>
    </row>
    <row r="586" spans="2:15" ht="14.45" customHeight="1" thickBot="1" x14ac:dyDescent="0.25">
      <c r="B586" s="95" t="s">
        <v>1278</v>
      </c>
      <c r="C586" s="127" t="s">
        <v>1295</v>
      </c>
      <c r="D586" s="73" t="s">
        <v>2177</v>
      </c>
      <c r="E586" s="404" t="s">
        <v>399</v>
      </c>
      <c r="F586" s="405" t="s">
        <v>2759</v>
      </c>
      <c r="G586" s="406" t="s">
        <v>2310</v>
      </c>
      <c r="H586" s="155" t="s">
        <v>2120</v>
      </c>
      <c r="I586" s="407" t="s">
        <v>1728</v>
      </c>
      <c r="J586" s="408">
        <v>387</v>
      </c>
      <c r="K586" s="409"/>
      <c r="L586" s="410"/>
      <c r="M586" s="411"/>
      <c r="N586" s="412"/>
      <c r="O586" s="413" t="str">
        <f t="shared" si="9"/>
        <v>제7편 재심절차-제17장 재심-제05절 준재심-05</v>
      </c>
    </row>
    <row r="587" spans="2:15" ht="14.45" customHeight="1" x14ac:dyDescent="0.2">
      <c r="B587" s="320" t="s">
        <v>3300</v>
      </c>
      <c r="C587" s="402" t="s">
        <v>3248</v>
      </c>
      <c r="D587" s="403" t="s">
        <v>3250</v>
      </c>
      <c r="E587" s="16" t="s">
        <v>2771</v>
      </c>
      <c r="F587" s="414" t="s">
        <v>3251</v>
      </c>
      <c r="G587" s="415" t="s">
        <v>3275</v>
      </c>
      <c r="H587" s="416" t="s">
        <v>3263</v>
      </c>
      <c r="I587" s="417" t="s">
        <v>3287</v>
      </c>
      <c r="J587" s="418">
        <v>1403</v>
      </c>
      <c r="K587" s="22" t="s">
        <v>1325</v>
      </c>
      <c r="L587" s="256"/>
      <c r="M587" s="24"/>
      <c r="N587" s="419"/>
      <c r="O587" s="419" t="str">
        <f t="shared" si="9"/>
        <v>제8편 최종 모의-제18장 복합 사례-제01절 2026년도 대비-01</v>
      </c>
    </row>
    <row r="588" spans="2:15" ht="14.45" customHeight="1" x14ac:dyDescent="0.2">
      <c r="B588" s="26" t="s">
        <v>3300</v>
      </c>
      <c r="C588" s="27" t="s">
        <v>3247</v>
      </c>
      <c r="D588" s="400" t="s">
        <v>3249</v>
      </c>
      <c r="E588" s="62" t="s">
        <v>2771</v>
      </c>
      <c r="F588" s="63" t="s">
        <v>3252</v>
      </c>
      <c r="G588" s="420" t="s">
        <v>3276</v>
      </c>
      <c r="H588" s="421" t="s">
        <v>3264</v>
      </c>
      <c r="I588" s="271" t="s">
        <v>3288</v>
      </c>
      <c r="J588" s="422">
        <v>1806</v>
      </c>
      <c r="K588" s="68" t="s">
        <v>1325</v>
      </c>
      <c r="L588" s="260"/>
      <c r="M588" s="70"/>
      <c r="N588" s="423"/>
      <c r="O588" s="423" t="str">
        <f t="shared" si="9"/>
        <v>제8편 최종 모의-제18장 복합 사례-제01절 2026년도 대비-02</v>
      </c>
    </row>
    <row r="589" spans="2:15" ht="14.45" customHeight="1" x14ac:dyDescent="0.2">
      <c r="B589" s="26" t="s">
        <v>3299</v>
      </c>
      <c r="C589" s="27" t="s">
        <v>3247</v>
      </c>
      <c r="D589" s="400" t="s">
        <v>3249</v>
      </c>
      <c r="E589" s="62" t="s">
        <v>2771</v>
      </c>
      <c r="F589" s="63" t="s">
        <v>3253</v>
      </c>
      <c r="G589" s="420" t="s">
        <v>3277</v>
      </c>
      <c r="H589" s="421" t="s">
        <v>3265</v>
      </c>
      <c r="I589" s="271" t="s">
        <v>3289</v>
      </c>
      <c r="J589" s="422">
        <v>1714</v>
      </c>
      <c r="K589" s="68" t="s">
        <v>1325</v>
      </c>
      <c r="L589" s="260"/>
      <c r="M589" s="70"/>
      <c r="N589" s="423"/>
      <c r="O589" s="423" t="str">
        <f t="shared" si="9"/>
        <v>제8편 최종 모의-제18장 복합 사례-제01절 2026년도 대비-03</v>
      </c>
    </row>
    <row r="590" spans="2:15" ht="14.45" customHeight="1" x14ac:dyDescent="0.2">
      <c r="B590" s="26" t="s">
        <v>3299</v>
      </c>
      <c r="C590" s="27" t="s">
        <v>3247</v>
      </c>
      <c r="D590" s="400" t="s">
        <v>3249</v>
      </c>
      <c r="E590" s="62" t="s">
        <v>2771</v>
      </c>
      <c r="F590" s="63" t="s">
        <v>3254</v>
      </c>
      <c r="G590" s="420" t="s">
        <v>3278</v>
      </c>
      <c r="H590" s="421" t="s">
        <v>3266</v>
      </c>
      <c r="I590" s="271" t="s">
        <v>3290</v>
      </c>
      <c r="J590" s="422">
        <v>1599</v>
      </c>
      <c r="K590" s="68" t="s">
        <v>1325</v>
      </c>
      <c r="L590" s="260"/>
      <c r="M590" s="70"/>
      <c r="N590" s="423"/>
      <c r="O590" s="423" t="str">
        <f t="shared" si="9"/>
        <v>제8편 최종 모의-제18장 복합 사례-제01절 2026년도 대비-04</v>
      </c>
    </row>
    <row r="591" spans="2:15" ht="14.45" customHeight="1" x14ac:dyDescent="0.2">
      <c r="B591" s="26" t="s">
        <v>3299</v>
      </c>
      <c r="C591" s="27" t="s">
        <v>3247</v>
      </c>
      <c r="D591" s="400" t="s">
        <v>3249</v>
      </c>
      <c r="E591" s="62" t="s">
        <v>2771</v>
      </c>
      <c r="F591" s="63" t="s">
        <v>3255</v>
      </c>
      <c r="G591" s="420" t="s">
        <v>3279</v>
      </c>
      <c r="H591" s="421" t="s">
        <v>3267</v>
      </c>
      <c r="I591" s="271" t="s">
        <v>3291</v>
      </c>
      <c r="J591" s="422">
        <v>1426</v>
      </c>
      <c r="K591" s="68" t="s">
        <v>1325</v>
      </c>
      <c r="L591" s="260"/>
      <c r="M591" s="70"/>
      <c r="N591" s="423"/>
      <c r="O591" s="423" t="str">
        <f t="shared" si="9"/>
        <v>제8편 최종 모의-제18장 복합 사례-제01절 2026년도 대비-05</v>
      </c>
    </row>
    <row r="592" spans="2:15" ht="14.45" customHeight="1" x14ac:dyDescent="0.2">
      <c r="B592" s="26" t="s">
        <v>3299</v>
      </c>
      <c r="C592" s="27" t="s">
        <v>3247</v>
      </c>
      <c r="D592" s="400" t="s">
        <v>3249</v>
      </c>
      <c r="E592" s="62" t="s">
        <v>2771</v>
      </c>
      <c r="F592" s="63" t="s">
        <v>3256</v>
      </c>
      <c r="G592" s="420" t="s">
        <v>3280</v>
      </c>
      <c r="H592" s="421" t="s">
        <v>3268</v>
      </c>
      <c r="I592" s="271" t="s">
        <v>3292</v>
      </c>
      <c r="J592" s="422">
        <v>1495</v>
      </c>
      <c r="K592" s="68" t="s">
        <v>1325</v>
      </c>
      <c r="L592" s="260"/>
      <c r="M592" s="70"/>
      <c r="N592" s="423"/>
      <c r="O592" s="423" t="str">
        <f t="shared" si="9"/>
        <v>제8편 최종 모의-제18장 복합 사례-제01절 2026년도 대비-06</v>
      </c>
    </row>
    <row r="593" spans="2:15" ht="14.45" customHeight="1" x14ac:dyDescent="0.2">
      <c r="B593" s="26" t="s">
        <v>3299</v>
      </c>
      <c r="C593" s="27" t="s">
        <v>3247</v>
      </c>
      <c r="D593" s="400" t="s">
        <v>3249</v>
      </c>
      <c r="E593" s="62" t="s">
        <v>2771</v>
      </c>
      <c r="F593" s="63" t="s">
        <v>3257</v>
      </c>
      <c r="G593" s="420" t="s">
        <v>3281</v>
      </c>
      <c r="H593" s="421" t="s">
        <v>3269</v>
      </c>
      <c r="I593" s="271" t="s">
        <v>3293</v>
      </c>
      <c r="J593" s="422">
        <v>1447</v>
      </c>
      <c r="K593" s="68" t="s">
        <v>1325</v>
      </c>
      <c r="L593" s="260"/>
      <c r="M593" s="70"/>
      <c r="N593" s="423"/>
      <c r="O593" s="423" t="str">
        <f t="shared" si="9"/>
        <v>제8편 최종 모의-제18장 복합 사례-제01절 2026년도 대비-07</v>
      </c>
    </row>
    <row r="594" spans="2:15" ht="14.45" customHeight="1" x14ac:dyDescent="0.2">
      <c r="B594" s="26" t="s">
        <v>3299</v>
      </c>
      <c r="C594" s="27" t="s">
        <v>3247</v>
      </c>
      <c r="D594" s="400" t="s">
        <v>3249</v>
      </c>
      <c r="E594" s="62" t="s">
        <v>2771</v>
      </c>
      <c r="F594" s="63" t="s">
        <v>3258</v>
      </c>
      <c r="G594" s="420" t="s">
        <v>3282</v>
      </c>
      <c r="H594" s="421" t="s">
        <v>3270</v>
      </c>
      <c r="I594" s="271" t="s">
        <v>3294</v>
      </c>
      <c r="J594" s="422">
        <v>1577</v>
      </c>
      <c r="K594" s="68" t="s">
        <v>1325</v>
      </c>
      <c r="L594" s="260"/>
      <c r="M594" s="70"/>
      <c r="N594" s="423"/>
      <c r="O594" s="423" t="str">
        <f t="shared" si="9"/>
        <v>제8편 최종 모의-제18장 복합 사례-제01절 2026년도 대비-08</v>
      </c>
    </row>
    <row r="595" spans="2:15" ht="14.45" customHeight="1" x14ac:dyDescent="0.2">
      <c r="B595" s="26" t="s">
        <v>3299</v>
      </c>
      <c r="C595" s="27" t="s">
        <v>3247</v>
      </c>
      <c r="D595" s="400" t="s">
        <v>3249</v>
      </c>
      <c r="E595" s="62" t="s">
        <v>2771</v>
      </c>
      <c r="F595" s="63" t="s">
        <v>3259</v>
      </c>
      <c r="G595" s="420" t="s">
        <v>3283</v>
      </c>
      <c r="H595" s="421" t="s">
        <v>3271</v>
      </c>
      <c r="I595" s="271" t="s">
        <v>3295</v>
      </c>
      <c r="J595" s="422">
        <v>1466</v>
      </c>
      <c r="K595" s="68" t="s">
        <v>1325</v>
      </c>
      <c r="L595" s="260"/>
      <c r="M595" s="70"/>
      <c r="N595" s="423"/>
      <c r="O595" s="423" t="str">
        <f t="shared" si="9"/>
        <v>제8편 최종 모의-제18장 복합 사례-제01절 2026년도 대비-09</v>
      </c>
    </row>
    <row r="596" spans="2:15" ht="14.45" customHeight="1" x14ac:dyDescent="0.2">
      <c r="B596" s="26" t="s">
        <v>3299</v>
      </c>
      <c r="C596" s="27" t="s">
        <v>3247</v>
      </c>
      <c r="D596" s="400" t="s">
        <v>3249</v>
      </c>
      <c r="E596" s="62" t="s">
        <v>2771</v>
      </c>
      <c r="F596" s="63" t="s">
        <v>3260</v>
      </c>
      <c r="G596" s="420" t="s">
        <v>3284</v>
      </c>
      <c r="H596" s="421" t="s">
        <v>3272</v>
      </c>
      <c r="I596" s="271" t="s">
        <v>3296</v>
      </c>
      <c r="J596" s="422">
        <v>1550</v>
      </c>
      <c r="K596" s="68" t="s">
        <v>1325</v>
      </c>
      <c r="L596" s="260"/>
      <c r="M596" s="70"/>
      <c r="N596" s="423"/>
      <c r="O596" s="423" t="str">
        <f t="shared" si="9"/>
        <v>제8편 최종 모의-제18장 복합 사례-제01절 2026년도 대비-10</v>
      </c>
    </row>
    <row r="597" spans="2:15" ht="14.45" customHeight="1" x14ac:dyDescent="0.2">
      <c r="B597" s="26" t="s">
        <v>3299</v>
      </c>
      <c r="C597" s="27" t="s">
        <v>3247</v>
      </c>
      <c r="D597" s="400" t="s">
        <v>3249</v>
      </c>
      <c r="E597" s="62" t="s">
        <v>2771</v>
      </c>
      <c r="F597" s="63" t="s">
        <v>3261</v>
      </c>
      <c r="G597" s="420" t="s">
        <v>3285</v>
      </c>
      <c r="H597" s="421" t="s">
        <v>3273</v>
      </c>
      <c r="I597" s="271" t="s">
        <v>3297</v>
      </c>
      <c r="J597" s="422">
        <v>1522</v>
      </c>
      <c r="K597" s="68" t="s">
        <v>1325</v>
      </c>
      <c r="L597" s="260"/>
      <c r="M597" s="70"/>
      <c r="N597" s="423"/>
      <c r="O597" s="423" t="str">
        <f t="shared" si="9"/>
        <v>제8편 최종 모의-제18장 복합 사례-제01절 2026년도 대비-11</v>
      </c>
    </row>
    <row r="598" spans="2:15" ht="14.45" customHeight="1" thickBot="1" x14ac:dyDescent="0.25">
      <c r="B598" s="95" t="s">
        <v>3299</v>
      </c>
      <c r="C598" s="72" t="s">
        <v>3247</v>
      </c>
      <c r="D598" s="401" t="s">
        <v>3249</v>
      </c>
      <c r="E598" s="74" t="s">
        <v>2771</v>
      </c>
      <c r="F598" s="75" t="s">
        <v>3262</v>
      </c>
      <c r="G598" s="424" t="s">
        <v>3286</v>
      </c>
      <c r="H598" s="425" t="s">
        <v>3274</v>
      </c>
      <c r="I598" s="305" t="s">
        <v>3298</v>
      </c>
      <c r="J598" s="426">
        <v>1389</v>
      </c>
      <c r="K598" s="80" t="s">
        <v>1325</v>
      </c>
      <c r="L598" s="261"/>
      <c r="M598" s="82"/>
      <c r="N598" s="427"/>
      <c r="O598" s="427" t="str">
        <f t="shared" si="9"/>
        <v>제8편 최종 모의-제18장 복합 사례-제01절 2026년도 대비-12</v>
      </c>
    </row>
  </sheetData>
  <autoFilter ref="B3:O586" xr:uid="{4FAC6D25-28DA-469F-8AA5-9FBA38CDD426}">
    <sortState xmlns:xlrd2="http://schemas.microsoft.com/office/spreadsheetml/2017/richdata2" ref="B4:O586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9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E4:E598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K4:K598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2:W126"/>
  <sheetViews>
    <sheetView showGridLines="0" workbookViewId="0">
      <pane ySplit="3" topLeftCell="A4" activePane="bottomLeft" state="frozen"/>
      <selection pane="bottomLeft" activeCell="L14" sqref="L14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389" t="s">
        <v>184</v>
      </c>
      <c r="E2" s="390"/>
      <c r="F2" s="388" t="s">
        <v>2</v>
      </c>
      <c r="G2" s="388"/>
      <c r="H2" s="388"/>
      <c r="I2" s="388"/>
      <c r="J2" s="388"/>
      <c r="K2" s="388"/>
      <c r="L2" s="8" t="s">
        <v>185</v>
      </c>
      <c r="M2" s="8" t="s">
        <v>1123</v>
      </c>
      <c r="N2" s="8" t="s">
        <v>1124</v>
      </c>
      <c r="O2" s="8" t="s">
        <v>2973</v>
      </c>
      <c r="P2" s="8" t="s">
        <v>186</v>
      </c>
      <c r="Q2" s="388" t="s">
        <v>187</v>
      </c>
      <c r="R2" s="388"/>
      <c r="S2" s="388"/>
      <c r="T2" s="388"/>
      <c r="U2" s="388"/>
    </row>
    <row r="3" spans="2:23" ht="14.45" customHeight="1" x14ac:dyDescent="0.2">
      <c r="B3" s="246"/>
      <c r="C3" s="247"/>
      <c r="D3" s="391"/>
      <c r="E3" s="392"/>
      <c r="F3" s="393" t="s">
        <v>360</v>
      </c>
      <c r="G3" s="394"/>
      <c r="H3" s="393" t="s">
        <v>1297</v>
      </c>
      <c r="I3" s="394"/>
      <c r="J3" s="388" t="s">
        <v>1</v>
      </c>
      <c r="K3" s="388"/>
      <c r="L3" s="246"/>
      <c r="M3" s="246"/>
      <c r="N3" s="246"/>
      <c r="O3" s="350"/>
      <c r="P3" s="246"/>
      <c r="Q3" s="248" t="s">
        <v>1299</v>
      </c>
      <c r="R3" s="248" t="s">
        <v>1196</v>
      </c>
      <c r="S3" s="248" t="s">
        <v>2882</v>
      </c>
      <c r="T3" s="248" t="s">
        <v>188</v>
      </c>
      <c r="U3" s="248" t="s">
        <v>189</v>
      </c>
    </row>
    <row r="4" spans="2:23" ht="14.45" customHeight="1" x14ac:dyDescent="0.2">
      <c r="B4" s="249">
        <f t="shared" ref="B4:B35" si="0">ROW()-3</f>
        <v>1</v>
      </c>
      <c r="C4" s="255">
        <v>1.01</v>
      </c>
      <c r="D4" s="251">
        <v>1</v>
      </c>
      <c r="E4" s="251" t="s">
        <v>197</v>
      </c>
      <c r="F4" s="200" t="s">
        <v>1272</v>
      </c>
      <c r="G4" s="254" t="s">
        <v>1301</v>
      </c>
      <c r="H4" s="200" t="s">
        <v>1253</v>
      </c>
      <c r="I4" s="251" t="s">
        <v>198</v>
      </c>
      <c r="J4" s="321" t="s">
        <v>2205</v>
      </c>
      <c r="K4" s="251" t="s">
        <v>192</v>
      </c>
      <c r="L4" s="200" t="str">
        <f>VLOOKUP(W4,통합목록!$F$4:$I$586,3,0)</f>
        <v>민사소송법의 법적 성격</v>
      </c>
      <c r="M4" s="243" t="str">
        <f>VLOOKUP(W4,통합목록!$F$4:$I$586,4,0)</f>
        <v>열기2-04.민사소송법\02.문제\[모의][01.01-1]민사소송법의 법적 성격.txt</v>
      </c>
      <c r="N4" s="243" t="s">
        <v>2771</v>
      </c>
      <c r="O4" s="243" t="str">
        <f>VLOOKUP(W4,통합목록!$F$4:$K$586,6,0)</f>
        <v>B</v>
      </c>
      <c r="P4" s="253"/>
      <c r="Q4" s="243" t="str">
        <f t="shared" ref="Q4:Q35" si="1">F4&amp;"&gt;"&amp;G4&amp;"&gt;"&amp;D4&amp;"&gt;"&amp;N4</f>
        <v>제1편 총설&gt;02&gt;1&gt;모의</v>
      </c>
      <c r="R4" s="243" t="str">
        <f t="shared" ref="R4:R35" si="2">H4&amp;"&gt;"&amp;I4&amp;"&gt;"&amp;D4&amp;"&gt;"&amp;N4</f>
        <v>제01장 민사소송&gt;02&gt;1&gt;모의</v>
      </c>
      <c r="S4" s="243" t="str">
        <f t="shared" ref="S4:S35" si="3">H4&amp;"&gt;"&amp;J4&amp;"&gt;"&amp;K4</f>
        <v>제01장 민사소송&gt;제01절 민사소송의 개관&gt;01</v>
      </c>
      <c r="T4" s="243" t="str">
        <f t="shared" ref="T4:T35" si="4">N4&amp;"&gt;"&amp;C4&amp;"&gt;"&amp;E4</f>
        <v>모의&gt;1.01&gt;1</v>
      </c>
      <c r="U4" s="243" t="str">
        <f t="shared" ref="U4:U35" si="5">N4&amp;"&gt;"&amp;C4&amp;"&gt;"&amp;D4</f>
        <v>모의&gt;1.01&gt;1</v>
      </c>
      <c r="W4" s="128" t="str">
        <f t="shared" ref="W4:W35" si="6">C4&amp;"-"&amp;D4</f>
        <v>1.01-1</v>
      </c>
    </row>
    <row r="5" spans="2:23" ht="14.45" customHeight="1" x14ac:dyDescent="0.2">
      <c r="B5" s="249">
        <f t="shared" si="0"/>
        <v>2</v>
      </c>
      <c r="C5" s="250">
        <v>2014</v>
      </c>
      <c r="D5" s="251" t="s">
        <v>206</v>
      </c>
      <c r="E5" s="251" t="s">
        <v>196</v>
      </c>
      <c r="F5" s="200" t="s">
        <v>1272</v>
      </c>
      <c r="G5" s="254" t="s">
        <v>1300</v>
      </c>
      <c r="H5" s="200" t="s">
        <v>1253</v>
      </c>
      <c r="I5" s="251" t="s">
        <v>192</v>
      </c>
      <c r="J5" s="321" t="s">
        <v>2132</v>
      </c>
      <c r="K5" s="251" t="s">
        <v>192</v>
      </c>
      <c r="L5" s="200" t="str">
        <f>VLOOKUP(W5,통합목록!$F$4:$I$586,3,0)</f>
        <v>해고 후 임금 등을 수령하고 3년이 경과하여 제기한 소송의 실효 여부</v>
      </c>
      <c r="M5" s="243" t="str">
        <f>VLOOKUP(W5,통합목록!$F$4:$I$586,4,0)</f>
        <v>열기2-04.민사소송법\02.문제\[기출][2014-2]해고 후 임금 등을 수령하고 3년이 경과하여 제기한 소송의 실효 여부.txt</v>
      </c>
      <c r="N5" s="243" t="s">
        <v>1125</v>
      </c>
      <c r="O5" s="243" t="str">
        <f>VLOOKUP(W5,통합목록!$F$4:$K$586,6,0)</f>
        <v>B</v>
      </c>
      <c r="P5" s="253"/>
      <c r="Q5" s="243" t="str">
        <f t="shared" si="1"/>
        <v>제1편 총설&gt;01&gt;2&gt;기출</v>
      </c>
      <c r="R5" s="243" t="str">
        <f t="shared" si="2"/>
        <v>제01장 민사소송&gt;01&gt;2&gt;기출</v>
      </c>
      <c r="S5" s="243" t="str">
        <f t="shared" si="3"/>
        <v>제01장 민사소송&gt;제03절 민사소송의 이상과 신의성실의 원칙&gt;01</v>
      </c>
      <c r="T5" s="243" t="str">
        <f t="shared" si="4"/>
        <v>기출&gt;2014&gt;2</v>
      </c>
      <c r="U5" s="243" t="str">
        <f t="shared" si="5"/>
        <v>기출&gt;2014&gt;2</v>
      </c>
      <c r="W5" s="128" t="str">
        <f t="shared" si="6"/>
        <v>2014-2</v>
      </c>
    </row>
    <row r="6" spans="2:23" ht="14.45" customHeight="1" x14ac:dyDescent="0.2">
      <c r="B6" s="249">
        <f t="shared" si="0"/>
        <v>3</v>
      </c>
      <c r="C6" s="255">
        <v>1.03</v>
      </c>
      <c r="D6" s="251" t="s">
        <v>2270</v>
      </c>
      <c r="E6" s="251" t="s">
        <v>2270</v>
      </c>
      <c r="F6" s="200" t="s">
        <v>1272</v>
      </c>
      <c r="G6" s="252" t="s">
        <v>2274</v>
      </c>
      <c r="H6" s="200" t="s">
        <v>1253</v>
      </c>
      <c r="I6" s="251" t="s">
        <v>2274</v>
      </c>
      <c r="J6" s="321" t="s">
        <v>2132</v>
      </c>
      <c r="K6" s="251" t="s">
        <v>2273</v>
      </c>
      <c r="L6" s="200" t="str">
        <f>VLOOKUP(W6,통합목록!$F$4:$I$586,3,0)</f>
        <v>소송법상 실효의 원칙의 의의, 신의칙과의 관계, 성립 요건, 적용 범위 및 소송법상 효과</v>
      </c>
      <c r="M6" s="243" t="str">
        <f>VLOOKUP(W6,통합목록!$F$4:$I$586,4,0)</f>
        <v>열기2-04.민사소송법\02.문제\[모의][01.03-1]소송법상 실효의 원칙의 의의, 신의칙과의 관계, 성립 요건, 적용 범위 및 소송법상 효과.txt</v>
      </c>
      <c r="N6" s="243" t="s">
        <v>2771</v>
      </c>
      <c r="O6" s="243" t="str">
        <f>VLOOKUP(W6,통합목록!$F$4:$K$586,6,0)</f>
        <v>A</v>
      </c>
      <c r="P6" s="253" t="s">
        <v>2309</v>
      </c>
      <c r="Q6" s="243" t="str">
        <f t="shared" si="1"/>
        <v>제1편 총설&gt;03&gt;1&gt;모의</v>
      </c>
      <c r="R6" s="243" t="str">
        <f t="shared" si="2"/>
        <v>제01장 민사소송&gt;03&gt;1&gt;모의</v>
      </c>
      <c r="S6" s="243" t="str">
        <f t="shared" si="3"/>
        <v>제01장 민사소송&gt;제03절 민사소송의 이상과 신의성실의 원칙&gt;02</v>
      </c>
      <c r="T6" s="243" t="str">
        <f t="shared" si="4"/>
        <v>모의&gt;1.03&gt;1</v>
      </c>
      <c r="U6" s="243" t="str">
        <f t="shared" si="5"/>
        <v>모의&gt;1.03&gt;1</v>
      </c>
      <c r="W6" s="128" t="str">
        <f t="shared" si="6"/>
        <v>1.03-1</v>
      </c>
    </row>
    <row r="7" spans="2:23" ht="14.45" customHeight="1" x14ac:dyDescent="0.2">
      <c r="B7" s="249">
        <f t="shared" si="0"/>
        <v>4</v>
      </c>
      <c r="C7" s="255">
        <v>3.02</v>
      </c>
      <c r="D7" s="251" t="s">
        <v>214</v>
      </c>
      <c r="E7" s="251" t="s">
        <v>193</v>
      </c>
      <c r="F7" s="200" t="s">
        <v>1273</v>
      </c>
      <c r="G7" s="254">
        <v>13</v>
      </c>
      <c r="H7" s="200" t="s">
        <v>1257</v>
      </c>
      <c r="I7" s="251" t="s">
        <v>201</v>
      </c>
      <c r="J7" s="321" t="s">
        <v>215</v>
      </c>
      <c r="K7" s="251" t="s">
        <v>192</v>
      </c>
      <c r="L7" s="200" t="str">
        <f>VLOOKUP(W7,통합목록!$F$4:$I$586,3,0)</f>
        <v>법관이 제1심 판결 후 항소심 재판부 구성원으로 참여하는 것이 전심관여 제척사유에 해당하는지 여부</v>
      </c>
      <c r="M7" s="243" t="str">
        <f>VLOOKUP(W7,통합목록!$F$4:$I$586,4,0)</f>
        <v>열기2-04.민사소송법\02.문제\[모의][03.02-1]법관이 제1심 판결 후 항소심 재판부 구성원으로 참여하는 것이 전심관여 제척사유에 해당하는지 여부.txt</v>
      </c>
      <c r="N7" s="243" t="s">
        <v>2771</v>
      </c>
      <c r="O7" s="243" t="str">
        <f>VLOOKUP(W7,통합목록!$F$4:$K$586,6,0)</f>
        <v>B</v>
      </c>
      <c r="P7" s="253"/>
      <c r="Q7" s="243" t="str">
        <f t="shared" si="1"/>
        <v>제2편 소송의 주체&gt;13&gt;1&gt;모의</v>
      </c>
      <c r="R7" s="243" t="str">
        <f t="shared" si="2"/>
        <v>제03장 법원&gt;04&gt;1&gt;모의</v>
      </c>
      <c r="S7" s="243" t="str">
        <f t="shared" si="3"/>
        <v>제03장 법원&gt;제02절 법관의 제척・기피・회피&gt;01</v>
      </c>
      <c r="T7" s="243" t="str">
        <f t="shared" si="4"/>
        <v>모의&gt;3.02&gt;4</v>
      </c>
      <c r="U7" s="243" t="str">
        <f t="shared" si="5"/>
        <v>모의&gt;3.02&gt;1</v>
      </c>
      <c r="W7" s="128" t="str">
        <f t="shared" si="6"/>
        <v>3.02-1</v>
      </c>
    </row>
    <row r="8" spans="2:23" ht="14.45" customHeight="1" x14ac:dyDescent="0.2">
      <c r="B8" s="249">
        <f t="shared" si="0"/>
        <v>5</v>
      </c>
      <c r="C8" s="255">
        <v>3.02</v>
      </c>
      <c r="D8" s="251" t="s">
        <v>206</v>
      </c>
      <c r="E8" s="251" t="s">
        <v>195</v>
      </c>
      <c r="F8" s="200" t="s">
        <v>1273</v>
      </c>
      <c r="G8" s="254">
        <v>14</v>
      </c>
      <c r="H8" s="200" t="s">
        <v>1257</v>
      </c>
      <c r="I8" s="251" t="s">
        <v>204</v>
      </c>
      <c r="J8" s="321" t="s">
        <v>215</v>
      </c>
      <c r="K8" s="251" t="s">
        <v>198</v>
      </c>
      <c r="L8" s="200" t="str">
        <f>VLOOKUP(W8,통합목록!$F$4:$I$586,3,0)</f>
        <v>기피원인인 재판의 공정성을 기대하기 어려운 사정의 객관적 기준과 기피신청 시 소송절차의 정지 여부</v>
      </c>
      <c r="M8" s="243" t="str">
        <f>VLOOKUP(W8,통합목록!$F$4:$I$586,4,0)</f>
        <v>열기2-04.민사소송법\02.문제\[모의][03.02-2]기피원인인 재판의 공정성을 기대하기 어려운 사정의 객관적 기준과 기피신청 시 소송절차의 정지 여부.txt</v>
      </c>
      <c r="N8" s="243" t="s">
        <v>2771</v>
      </c>
      <c r="O8" s="243" t="str">
        <f>VLOOKUP(W8,통합목록!$F$4:$K$586,6,0)</f>
        <v>A</v>
      </c>
      <c r="P8" s="253"/>
      <c r="Q8" s="243" t="str">
        <f t="shared" si="1"/>
        <v>제2편 소송의 주체&gt;14&gt;2&gt;모의</v>
      </c>
      <c r="R8" s="243" t="str">
        <f t="shared" si="2"/>
        <v>제03장 법원&gt;05&gt;2&gt;모의</v>
      </c>
      <c r="S8" s="243" t="str">
        <f t="shared" si="3"/>
        <v>제03장 법원&gt;제02절 법관의 제척・기피・회피&gt;02</v>
      </c>
      <c r="T8" s="243" t="str">
        <f t="shared" si="4"/>
        <v>모의&gt;3.02&gt;3</v>
      </c>
      <c r="U8" s="243" t="str">
        <f t="shared" si="5"/>
        <v>모의&gt;3.02&gt;2</v>
      </c>
      <c r="W8" s="128" t="str">
        <f t="shared" si="6"/>
        <v>3.02-2</v>
      </c>
    </row>
    <row r="9" spans="2:23" ht="14.45" customHeight="1" x14ac:dyDescent="0.2">
      <c r="B9" s="249">
        <f t="shared" si="0"/>
        <v>6</v>
      </c>
      <c r="C9" s="255">
        <v>3.02</v>
      </c>
      <c r="D9" s="251" t="s">
        <v>207</v>
      </c>
      <c r="E9" s="251" t="s">
        <v>196</v>
      </c>
      <c r="F9" s="200" t="s">
        <v>1273</v>
      </c>
      <c r="G9" s="254">
        <v>15</v>
      </c>
      <c r="H9" s="200" t="s">
        <v>1257</v>
      </c>
      <c r="I9" s="251" t="s">
        <v>208</v>
      </c>
      <c r="J9" s="321" t="s">
        <v>215</v>
      </c>
      <c r="K9" s="251" t="s">
        <v>199</v>
      </c>
      <c r="L9" s="200" t="str">
        <f>VLOOKUP(W9,통합목록!$F$4:$I$586,3,0)</f>
        <v>제척사유가 있는 법관이 스스로 직무집행을 피하는 회피의 절차와 효과</v>
      </c>
      <c r="M9" s="243" t="str">
        <f>VLOOKUP(W9,통합목록!$F$4:$I$586,4,0)</f>
        <v>열기2-04.민사소송법\02.문제\[모의][03.02-3]제척사유가 있는 법관이 스스로 직무집행을 피하는 회피의 절차와 효과.txt</v>
      </c>
      <c r="N9" s="243" t="s">
        <v>2771</v>
      </c>
      <c r="O9" s="243" t="str">
        <f>VLOOKUP(W9,통합목록!$F$4:$K$586,6,0)</f>
        <v>C</v>
      </c>
      <c r="P9" s="253"/>
      <c r="Q9" s="243" t="str">
        <f t="shared" si="1"/>
        <v>제2편 소송의 주체&gt;15&gt;3&gt;모의</v>
      </c>
      <c r="R9" s="243" t="str">
        <f t="shared" si="2"/>
        <v>제03장 법원&gt;06&gt;3&gt;모의</v>
      </c>
      <c r="S9" s="243" t="str">
        <f t="shared" si="3"/>
        <v>제03장 법원&gt;제02절 법관의 제척・기피・회피&gt;03</v>
      </c>
      <c r="T9" s="243" t="str">
        <f t="shared" si="4"/>
        <v>모의&gt;3.02&gt;2</v>
      </c>
      <c r="U9" s="243" t="str">
        <f t="shared" si="5"/>
        <v>모의&gt;3.02&gt;3</v>
      </c>
      <c r="W9" s="128" t="str">
        <f t="shared" si="6"/>
        <v>3.02-3</v>
      </c>
    </row>
    <row r="10" spans="2:23" ht="14.45" customHeight="1" x14ac:dyDescent="0.2">
      <c r="B10" s="249">
        <f t="shared" si="0"/>
        <v>7</v>
      </c>
      <c r="C10" s="255">
        <v>3.02</v>
      </c>
      <c r="D10" s="251" t="s">
        <v>2271</v>
      </c>
      <c r="E10" s="251" t="s">
        <v>2270</v>
      </c>
      <c r="F10" s="200" t="s">
        <v>1273</v>
      </c>
      <c r="G10" s="254">
        <v>16</v>
      </c>
      <c r="H10" s="200" t="s">
        <v>1257</v>
      </c>
      <c r="I10" s="251" t="s">
        <v>2275</v>
      </c>
      <c r="J10" s="321" t="s">
        <v>215</v>
      </c>
      <c r="K10" s="251" t="s">
        <v>2276</v>
      </c>
      <c r="L10" s="200" t="str">
        <f>VLOOKUP(W10,통합목록!$F$4:$I$586,3,0)</f>
        <v>법관의 기피제도의 의의 및 제척제도와의 구별, 기피사유, 절차 및 원칙, 남용과 간이각하결정</v>
      </c>
      <c r="M10" s="243" t="str">
        <f>VLOOKUP(W10,통합목록!$F$4:$I$586,4,0)</f>
        <v>열기2-04.민사소송법\02.문제\[모의][03.02-4]법관의 기피제도의 의의 및 제척제도와의 구별, 기피사유, 절차 및 원칙, 남용과 간이각하결정.txt</v>
      </c>
      <c r="N10" s="243" t="s">
        <v>2771</v>
      </c>
      <c r="O10" s="243" t="str">
        <f>VLOOKUP(W10,통합목록!$F$4:$K$586,6,0)</f>
        <v>A</v>
      </c>
      <c r="P10" s="253" t="s">
        <v>2309</v>
      </c>
      <c r="Q10" s="243" t="str">
        <f t="shared" si="1"/>
        <v>제2편 소송의 주체&gt;16&gt;4&gt;모의</v>
      </c>
      <c r="R10" s="243" t="str">
        <f t="shared" si="2"/>
        <v>제03장 법원&gt;07&gt;4&gt;모의</v>
      </c>
      <c r="S10" s="243" t="str">
        <f t="shared" si="3"/>
        <v>제03장 법원&gt;제02절 법관의 제척・기피・회피&gt;04</v>
      </c>
      <c r="T10" s="243" t="str">
        <f t="shared" si="4"/>
        <v>모의&gt;3.02&gt;1</v>
      </c>
      <c r="U10" s="243" t="str">
        <f t="shared" si="5"/>
        <v>모의&gt;3.02&gt;4</v>
      </c>
      <c r="W10" s="128" t="str">
        <f t="shared" si="6"/>
        <v>3.02-4</v>
      </c>
    </row>
    <row r="11" spans="2:23" ht="14.45" customHeight="1" x14ac:dyDescent="0.2">
      <c r="B11" s="249">
        <f t="shared" si="0"/>
        <v>8</v>
      </c>
      <c r="C11" s="250">
        <v>2020</v>
      </c>
      <c r="D11" s="251" t="s">
        <v>190</v>
      </c>
      <c r="E11" s="251" t="s">
        <v>193</v>
      </c>
      <c r="F11" s="200" t="s">
        <v>1273</v>
      </c>
      <c r="G11" s="252" t="s">
        <v>1306</v>
      </c>
      <c r="H11" s="200" t="s">
        <v>1257</v>
      </c>
      <c r="I11" s="251" t="s">
        <v>192</v>
      </c>
      <c r="J11" s="321" t="s">
        <v>2134</v>
      </c>
      <c r="K11" s="251" t="s">
        <v>192</v>
      </c>
      <c r="L11" s="200" t="str">
        <f>VLOOKUP(W11,통합목록!$F$4:$I$586,3,0)</f>
        <v>당사자표시정정 후의 관할권 인정 여부와 변론관할의 성립</v>
      </c>
      <c r="M11" s="243" t="str">
        <f>VLOOKUP(W11,통합목록!$F$4:$I$586,4,0)</f>
        <v>열기2-04.민사소송법\02.문제\[기출][2020-1-1]당사자표시정정 후의 관할권 인정 여부와 변론관할의 성립.txt</v>
      </c>
      <c r="N11" s="243" t="s">
        <v>1125</v>
      </c>
      <c r="O11" s="243" t="str">
        <f>VLOOKUP(W11,통합목록!$F$4:$K$586,6,0)</f>
        <v>B</v>
      </c>
      <c r="P11" s="253"/>
      <c r="Q11" s="243" t="str">
        <f t="shared" si="1"/>
        <v>제2편 소송의 주체&gt;02&gt;1-1&gt;기출</v>
      </c>
      <c r="R11" s="243" t="str">
        <f t="shared" si="2"/>
        <v>제03장 법원&gt;01&gt;1-1&gt;기출</v>
      </c>
      <c r="S11" s="243" t="str">
        <f t="shared" si="3"/>
        <v>제03장 법원&gt;제03절 관할&gt;01</v>
      </c>
      <c r="T11" s="243" t="str">
        <f t="shared" si="4"/>
        <v>기출&gt;2020&gt;4</v>
      </c>
      <c r="U11" s="243" t="str">
        <f t="shared" si="5"/>
        <v>기출&gt;2020&gt;1-1</v>
      </c>
      <c r="W11" s="128" t="str">
        <f t="shared" si="6"/>
        <v>2020-1-1</v>
      </c>
    </row>
    <row r="12" spans="2:23" ht="14.45" customHeight="1" x14ac:dyDescent="0.2">
      <c r="B12" s="249">
        <f t="shared" si="0"/>
        <v>9</v>
      </c>
      <c r="C12" s="250">
        <v>2019</v>
      </c>
      <c r="D12" s="251" t="s">
        <v>196</v>
      </c>
      <c r="E12" s="251" t="s">
        <v>196</v>
      </c>
      <c r="F12" s="200" t="s">
        <v>1273</v>
      </c>
      <c r="G12" s="252" t="s">
        <v>1307</v>
      </c>
      <c r="H12" s="200" t="s">
        <v>1257</v>
      </c>
      <c r="I12" s="251" t="s">
        <v>198</v>
      </c>
      <c r="J12" s="321" t="s">
        <v>2134</v>
      </c>
      <c r="K12" s="251" t="s">
        <v>198</v>
      </c>
      <c r="L12" s="200" t="str">
        <f>VLOOKUP(W12,통합목록!$F$4:$I$586,3,0)</f>
        <v>합의관할의 의의, 성립요건, 종류, 효력</v>
      </c>
      <c r="M12" s="243" t="str">
        <f>VLOOKUP(W12,통합목록!$F$4:$I$586,4,0)</f>
        <v>열기2-04.민사소송법\02.문제\[기출][2019-2]합의관할의 의의, 성립요건, 종류, 효력.txt</v>
      </c>
      <c r="N12" s="243" t="s">
        <v>1125</v>
      </c>
      <c r="O12" s="243" t="str">
        <f>VLOOKUP(W12,통합목록!$F$4:$K$586,6,0)</f>
        <v>B</v>
      </c>
      <c r="P12" s="253" t="s">
        <v>2309</v>
      </c>
      <c r="Q12" s="243" t="str">
        <f t="shared" si="1"/>
        <v>제2편 소송의 주체&gt;04&gt;2&gt;기출</v>
      </c>
      <c r="R12" s="243" t="str">
        <f t="shared" si="2"/>
        <v>제03장 법원&gt;02&gt;2&gt;기출</v>
      </c>
      <c r="S12" s="243" t="str">
        <f t="shared" si="3"/>
        <v>제03장 법원&gt;제03절 관할&gt;02</v>
      </c>
      <c r="T12" s="243" t="str">
        <f t="shared" si="4"/>
        <v>기출&gt;2019&gt;2</v>
      </c>
      <c r="U12" s="243" t="str">
        <f t="shared" si="5"/>
        <v>기출&gt;2019&gt;2</v>
      </c>
      <c r="W12" s="128" t="str">
        <f t="shared" si="6"/>
        <v>2019-2</v>
      </c>
    </row>
    <row r="13" spans="2:23" ht="14.45" customHeight="1" x14ac:dyDescent="0.2">
      <c r="B13" s="249">
        <f t="shared" si="0"/>
        <v>10</v>
      </c>
      <c r="C13" s="250">
        <v>2015</v>
      </c>
      <c r="D13" s="251" t="s">
        <v>206</v>
      </c>
      <c r="E13" s="251" t="s">
        <v>196</v>
      </c>
      <c r="F13" s="200" t="s">
        <v>1273</v>
      </c>
      <c r="G13" s="252" t="s">
        <v>1312</v>
      </c>
      <c r="H13" s="200" t="s">
        <v>1257</v>
      </c>
      <c r="I13" s="251" t="s">
        <v>199</v>
      </c>
      <c r="J13" s="321" t="s">
        <v>2134</v>
      </c>
      <c r="K13" s="251" t="s">
        <v>199</v>
      </c>
      <c r="L13" s="200" t="str">
        <f>VLOOKUP(W13,통합목록!$F$4:$I$586,3,0)</f>
        <v>사물관할의 의의, 결정 기준, 구체적 범위</v>
      </c>
      <c r="M13" s="243" t="str">
        <f>VLOOKUP(W13,통합목록!$F$4:$I$586,4,0)</f>
        <v>열기2-04.민사소송법\02.문제\[기출][2015-2]사물관할의 의의, 결정 기준, 구체적 범위.txt</v>
      </c>
      <c r="N13" s="243" t="s">
        <v>1125</v>
      </c>
      <c r="O13" s="243" t="str">
        <f>VLOOKUP(W13,통합목록!$F$4:$K$586,6,0)</f>
        <v>B</v>
      </c>
      <c r="P13" s="253" t="s">
        <v>2309</v>
      </c>
      <c r="Q13" s="243" t="str">
        <f t="shared" si="1"/>
        <v>제2편 소송의 주체&gt;09&gt;2&gt;기출</v>
      </c>
      <c r="R13" s="243" t="str">
        <f t="shared" si="2"/>
        <v>제03장 법원&gt;03&gt;2&gt;기출</v>
      </c>
      <c r="S13" s="243" t="str">
        <f t="shared" si="3"/>
        <v>제03장 법원&gt;제03절 관할&gt;03</v>
      </c>
      <c r="T13" s="243" t="str">
        <f t="shared" si="4"/>
        <v>기출&gt;2015&gt;2</v>
      </c>
      <c r="U13" s="243" t="str">
        <f t="shared" si="5"/>
        <v>기출&gt;2015&gt;2</v>
      </c>
      <c r="W13" s="128" t="str">
        <f t="shared" si="6"/>
        <v>2015-2</v>
      </c>
    </row>
    <row r="14" spans="2:23" ht="14.45" customHeight="1" x14ac:dyDescent="0.2">
      <c r="B14" s="249">
        <f t="shared" si="0"/>
        <v>11</v>
      </c>
      <c r="C14" s="255">
        <v>3.03</v>
      </c>
      <c r="D14" s="251" t="s">
        <v>3132</v>
      </c>
      <c r="E14" s="251" t="s">
        <v>3132</v>
      </c>
      <c r="F14" s="200" t="s">
        <v>3134</v>
      </c>
      <c r="G14" s="252">
        <v>17</v>
      </c>
      <c r="H14" s="200" t="s">
        <v>3135</v>
      </c>
      <c r="I14" s="251" t="s">
        <v>3138</v>
      </c>
      <c r="J14" s="321" t="s">
        <v>3136</v>
      </c>
      <c r="K14" s="251" t="s">
        <v>3139</v>
      </c>
      <c r="L14" s="200" t="str">
        <f>VLOOKUP(W14,통합목록!$F$4:$I$586,3,0)</f>
        <v>토지관할의 의의, 재판적의 구체적 내용, 관할의 경합과 관련 재판적</v>
      </c>
      <c r="M14" s="243" t="str">
        <f>VLOOKUP(W14,통합목록!$F$4:$I$586,4,0)</f>
        <v>열기2-04.민사소송법\02.문제\[모의][03.03-1]토지관할의 의의, 재판적의 구체적 내용, 관할의 경합과 관련 재판적.txt</v>
      </c>
      <c r="N14" s="243" t="s">
        <v>3133</v>
      </c>
      <c r="O14" s="243" t="str">
        <f>VLOOKUP(W14,통합목록!$F$4:$K$586,6,0)</f>
        <v>B</v>
      </c>
      <c r="P14" s="253" t="s">
        <v>3130</v>
      </c>
      <c r="Q14" s="243" t="str">
        <f t="shared" si="1"/>
        <v>제2편 소송의 주체&gt;17&gt;1&gt;모의</v>
      </c>
      <c r="R14" s="243" t="str">
        <f t="shared" si="2"/>
        <v>제03장 법원&gt;08&gt;1&gt;모의</v>
      </c>
      <c r="S14" s="243" t="str">
        <f t="shared" si="3"/>
        <v>제03장 법원&gt;제03절 관할&gt;04</v>
      </c>
      <c r="T14" s="243" t="str">
        <f t="shared" si="4"/>
        <v>모의&gt;3.03&gt;1</v>
      </c>
      <c r="U14" s="243" t="str">
        <f t="shared" si="5"/>
        <v>모의&gt;3.03&gt;1</v>
      </c>
      <c r="W14" s="128" t="str">
        <f t="shared" si="6"/>
        <v>3.03-1</v>
      </c>
    </row>
    <row r="15" spans="2:23" ht="14.45" customHeight="1" x14ac:dyDescent="0.2">
      <c r="B15" s="249">
        <f t="shared" si="0"/>
        <v>12</v>
      </c>
      <c r="C15" s="250">
        <v>2020</v>
      </c>
      <c r="D15" s="251" t="s">
        <v>194</v>
      </c>
      <c r="E15" s="251" t="s">
        <v>195</v>
      </c>
      <c r="F15" s="200" t="s">
        <v>1273</v>
      </c>
      <c r="G15" s="252" t="s">
        <v>1305</v>
      </c>
      <c r="H15" s="200" t="s">
        <v>1259</v>
      </c>
      <c r="I15" s="251" t="s">
        <v>198</v>
      </c>
      <c r="J15" s="321" t="s">
        <v>2135</v>
      </c>
      <c r="K15" s="251" t="s">
        <v>192</v>
      </c>
      <c r="L15" s="200" t="str">
        <f>VLOOKUP(W15,통합목록!$F$4:$I$586,3,0)</f>
        <v>소제기 전 사망자를 피고로 한 경우 당사자표시정정의 적법성 여부</v>
      </c>
      <c r="M15" s="243" t="str">
        <f>VLOOKUP(W15,통합목록!$F$4:$I$586,4,0)</f>
        <v>열기2-04.민사소송법\02.문제\[기출][2020-1-2]소제기 전 사망자를 피고로 한 경우 당사자표시정정의 적법성 여부.txt</v>
      </c>
      <c r="N15" s="243" t="s">
        <v>1125</v>
      </c>
      <c r="O15" s="243" t="str">
        <f>VLOOKUP(W15,통합목록!$F$4:$K$586,6,0)</f>
        <v>B</v>
      </c>
      <c r="P15" s="253"/>
      <c r="Q15" s="243" t="str">
        <f t="shared" si="1"/>
        <v>제2편 소송의 주체&gt;03&gt;1-2&gt;기출</v>
      </c>
      <c r="R15" s="243" t="str">
        <f t="shared" si="2"/>
        <v>제04장 당사자&gt;02&gt;1-2&gt;기출</v>
      </c>
      <c r="S15" s="243" t="str">
        <f t="shared" si="3"/>
        <v>제04장 당사자&gt;제01절 당사자의 개관&gt;01</v>
      </c>
      <c r="T15" s="243" t="str">
        <f t="shared" si="4"/>
        <v>기출&gt;2020&gt;3</v>
      </c>
      <c r="U15" s="243" t="str">
        <f t="shared" si="5"/>
        <v>기출&gt;2020&gt;1-2</v>
      </c>
      <c r="W15" s="128" t="str">
        <f t="shared" si="6"/>
        <v>2020-1-2</v>
      </c>
    </row>
    <row r="16" spans="2:23" ht="14.45" customHeight="1" x14ac:dyDescent="0.2">
      <c r="B16" s="249">
        <f t="shared" si="0"/>
        <v>13</v>
      </c>
      <c r="C16" s="255">
        <v>4.01</v>
      </c>
      <c r="D16" s="251" t="s">
        <v>1156</v>
      </c>
      <c r="E16" s="251" t="s">
        <v>1156</v>
      </c>
      <c r="F16" s="200" t="s">
        <v>1273</v>
      </c>
      <c r="G16" s="254">
        <v>18</v>
      </c>
      <c r="H16" s="200" t="s">
        <v>1259</v>
      </c>
      <c r="I16" s="251" t="s">
        <v>1157</v>
      </c>
      <c r="J16" s="321" t="s">
        <v>2135</v>
      </c>
      <c r="K16" s="251" t="s">
        <v>1159</v>
      </c>
      <c r="L16" s="200" t="str">
        <f>VLOOKUP(W16,통합목록!$F$4:$I$586,3,0)</f>
        <v>성명모용소송에서 당사자 확정 기준 및 피모용자의 구제 수단</v>
      </c>
      <c r="M16" s="243" t="str">
        <f>VLOOKUP(W16,통합목록!$F$4:$I$586,4,0)</f>
        <v>열기2-04.민사소송법\02.문제\[모의][04.01-1]성명모용소송에서 당사자 확정 기준 및 피모용자의 구제 수단.txt</v>
      </c>
      <c r="N16" s="243" t="s">
        <v>2771</v>
      </c>
      <c r="O16" s="243" t="str">
        <f>VLOOKUP(W16,통합목록!$F$4:$K$586,6,0)</f>
        <v>A</v>
      </c>
      <c r="P16" s="253"/>
      <c r="Q16" s="243" t="str">
        <f t="shared" si="1"/>
        <v>제2편 소송의 주체&gt;18&gt;1&gt;모의</v>
      </c>
      <c r="R16" s="243" t="str">
        <f t="shared" si="2"/>
        <v>제04장 당사자&gt;10&gt;1&gt;모의</v>
      </c>
      <c r="S16" s="243" t="str">
        <f t="shared" si="3"/>
        <v>제04장 당사자&gt;제01절 당사자의 개관&gt;02</v>
      </c>
      <c r="T16" s="243" t="str">
        <f t="shared" si="4"/>
        <v>모의&gt;4.01&gt;1</v>
      </c>
      <c r="U16" s="243" t="str">
        <f t="shared" si="5"/>
        <v>모의&gt;4.01&gt;1</v>
      </c>
      <c r="W16" s="128" t="str">
        <f t="shared" si="6"/>
        <v>4.01-1</v>
      </c>
    </row>
    <row r="17" spans="2:23" ht="14.45" customHeight="1" x14ac:dyDescent="0.2">
      <c r="B17" s="249">
        <f t="shared" si="0"/>
        <v>14</v>
      </c>
      <c r="C17" s="250">
        <v>2021</v>
      </c>
      <c r="D17" s="251" t="s">
        <v>196</v>
      </c>
      <c r="E17" s="251" t="s">
        <v>196</v>
      </c>
      <c r="F17" s="200" t="s">
        <v>1273</v>
      </c>
      <c r="G17" s="252" t="s">
        <v>1304</v>
      </c>
      <c r="H17" s="200" t="s">
        <v>1259</v>
      </c>
      <c r="I17" s="251" t="s">
        <v>192</v>
      </c>
      <c r="J17" s="321" t="s">
        <v>2133</v>
      </c>
      <c r="K17" s="251" t="s">
        <v>192</v>
      </c>
      <c r="L17" s="200" t="str">
        <f>VLOOKUP(W17,통합목록!$F$4:$I$586,3,0)</f>
        <v>당사자능력의 의의, 판정 기준, 비법인의 당사자능력, 당사자능력의 흠결과 효과</v>
      </c>
      <c r="M17" s="243" t="str">
        <f>VLOOKUP(W17,통합목록!$F$4:$I$586,4,0)</f>
        <v>열기2-04.민사소송법\02.문제\[기출][2021-2]당사자능력의 의의, 판정 기준, 비법인의 당사자능력, 당사자능력의 흠결과 효과.txt</v>
      </c>
      <c r="N17" s="243" t="s">
        <v>1125</v>
      </c>
      <c r="O17" s="243" t="str">
        <f>VLOOKUP(W17,통합목록!$F$4:$K$586,6,0)</f>
        <v>A</v>
      </c>
      <c r="P17" s="253" t="s">
        <v>2309</v>
      </c>
      <c r="Q17" s="243" t="str">
        <f t="shared" si="1"/>
        <v>제2편 소송의 주체&gt;01&gt;2&gt;기출</v>
      </c>
      <c r="R17" s="243" t="str">
        <f t="shared" si="2"/>
        <v>제04장 당사자&gt;01&gt;2&gt;기출</v>
      </c>
      <c r="S17" s="243" t="str">
        <f t="shared" si="3"/>
        <v>제04장 당사자&gt;제02절 당사자의 자격&gt;01</v>
      </c>
      <c r="T17" s="243" t="str">
        <f t="shared" si="4"/>
        <v>기출&gt;2021&gt;2</v>
      </c>
      <c r="U17" s="243" t="str">
        <f t="shared" si="5"/>
        <v>기출&gt;2021&gt;2</v>
      </c>
      <c r="W17" s="128" t="str">
        <f t="shared" si="6"/>
        <v>2021-2</v>
      </c>
    </row>
    <row r="18" spans="2:23" ht="14.45" customHeight="1" x14ac:dyDescent="0.2">
      <c r="B18" s="249">
        <f t="shared" si="0"/>
        <v>15</v>
      </c>
      <c r="C18" s="250">
        <v>2017</v>
      </c>
      <c r="D18" s="251" t="s">
        <v>194</v>
      </c>
      <c r="E18" s="251" t="s">
        <v>191</v>
      </c>
      <c r="F18" s="200" t="s">
        <v>1273</v>
      </c>
      <c r="G18" s="252" t="s">
        <v>1309</v>
      </c>
      <c r="H18" s="200" t="s">
        <v>1259</v>
      </c>
      <c r="I18" s="251" t="s">
        <v>201</v>
      </c>
      <c r="J18" s="321" t="s">
        <v>2133</v>
      </c>
      <c r="K18" s="251" t="s">
        <v>198</v>
      </c>
      <c r="L18" s="200" t="str">
        <f>VLOOKUP(W18,통합목록!$F$4:$I$586,3,0)</f>
        <v>소송계속 중 당사자 사망을 간과한 판결의 효력과 상속인에 대한 승계 여부</v>
      </c>
      <c r="M18" s="243" t="str">
        <f>VLOOKUP(W18,통합목록!$F$4:$I$586,4,0)</f>
        <v>열기2-04.민사소송법\02.문제\[기출][2017-1-2]소송계속 중 당사자 사망을 간과한 판결의 효력과 상속인에 대한 승계 여부.txt</v>
      </c>
      <c r="N18" s="243" t="s">
        <v>1125</v>
      </c>
      <c r="O18" s="243" t="str">
        <f>VLOOKUP(W18,통합목록!$F$4:$K$586,6,0)</f>
        <v>A</v>
      </c>
      <c r="P18" s="253"/>
      <c r="Q18" s="243" t="str">
        <f t="shared" si="1"/>
        <v>제2편 소송의 주체&gt;06&gt;1-2&gt;기출</v>
      </c>
      <c r="R18" s="243" t="str">
        <f t="shared" si="2"/>
        <v>제04장 당사자&gt;04&gt;1-2&gt;기출</v>
      </c>
      <c r="S18" s="243" t="str">
        <f t="shared" si="3"/>
        <v>제04장 당사자&gt;제02절 당사자의 자격&gt;02</v>
      </c>
      <c r="T18" s="243" t="str">
        <f t="shared" si="4"/>
        <v>기출&gt;2017&gt;5</v>
      </c>
      <c r="U18" s="243" t="str">
        <f t="shared" si="5"/>
        <v>기출&gt;2017&gt;1-2</v>
      </c>
      <c r="W18" s="128" t="str">
        <f t="shared" si="6"/>
        <v>2017-1-2</v>
      </c>
    </row>
    <row r="19" spans="2:23" ht="14.45" customHeight="1" x14ac:dyDescent="0.2">
      <c r="B19" s="249">
        <f t="shared" si="0"/>
        <v>16</v>
      </c>
      <c r="C19" s="250">
        <v>2016</v>
      </c>
      <c r="D19" s="251" t="s">
        <v>190</v>
      </c>
      <c r="E19" s="251" t="s">
        <v>193</v>
      </c>
      <c r="F19" s="200" t="s">
        <v>1273</v>
      </c>
      <c r="G19" s="252" t="s">
        <v>1310</v>
      </c>
      <c r="H19" s="200" t="s">
        <v>1259</v>
      </c>
      <c r="I19" s="251" t="s">
        <v>204</v>
      </c>
      <c r="J19" s="321" t="s">
        <v>2133</v>
      </c>
      <c r="K19" s="251" t="s">
        <v>199</v>
      </c>
      <c r="L19" s="200" t="str">
        <f>VLOOKUP(W19,통합목록!$F$4:$I$586,3,0)</f>
        <v>노동조합이 조합원을 위하여 제기한 손해배상청구소송에서 노동조합의 당사자적격 여부</v>
      </c>
      <c r="M19" s="243" t="str">
        <f>VLOOKUP(W19,통합목록!$F$4:$I$586,4,0)</f>
        <v>열기2-04.민사소송법\02.문제\[기출][2016-1-1]노동조합이 조합원을 위하여 제기한 손해배상청구소송에서 노동조합의 당사자적격 여부.txt</v>
      </c>
      <c r="N19" s="243" t="s">
        <v>1125</v>
      </c>
      <c r="O19" s="243" t="str">
        <f>VLOOKUP(W19,통합목록!$F$4:$K$586,6,0)</f>
        <v>A</v>
      </c>
      <c r="P19" s="253"/>
      <c r="Q19" s="243" t="str">
        <f t="shared" si="1"/>
        <v>제2편 소송의 주체&gt;07&gt;1-1&gt;기출</v>
      </c>
      <c r="R19" s="243" t="str">
        <f t="shared" si="2"/>
        <v>제04장 당사자&gt;05&gt;1-1&gt;기출</v>
      </c>
      <c r="S19" s="243" t="str">
        <f t="shared" si="3"/>
        <v>제04장 당사자&gt;제02절 당사자의 자격&gt;03</v>
      </c>
      <c r="T19" s="243" t="str">
        <f t="shared" si="4"/>
        <v>기출&gt;2016&gt;4</v>
      </c>
      <c r="U19" s="243" t="str">
        <f t="shared" si="5"/>
        <v>기출&gt;2016&gt;1-1</v>
      </c>
      <c r="W19" s="128" t="str">
        <f t="shared" si="6"/>
        <v>2016-1-1</v>
      </c>
    </row>
    <row r="20" spans="2:23" ht="14.45" customHeight="1" x14ac:dyDescent="0.2">
      <c r="B20" s="249">
        <f t="shared" si="0"/>
        <v>17</v>
      </c>
      <c r="C20" s="250">
        <v>2014</v>
      </c>
      <c r="D20" s="251" t="s">
        <v>203</v>
      </c>
      <c r="E20" s="251" t="s">
        <v>193</v>
      </c>
      <c r="F20" s="200" t="s">
        <v>1273</v>
      </c>
      <c r="G20" s="252">
        <v>10</v>
      </c>
      <c r="H20" s="200" t="s">
        <v>1259</v>
      </c>
      <c r="I20" s="251" t="s">
        <v>209</v>
      </c>
      <c r="J20" s="321" t="s">
        <v>2133</v>
      </c>
      <c r="K20" s="251" t="s">
        <v>201</v>
      </c>
      <c r="L20" s="200" t="str">
        <f>VLOOKUP(W20,통합목록!$F$4:$I$586,3,0)</f>
        <v>민법상 조합인 회사를 상대로 한 해고무효 확인의 소 제기 가능성</v>
      </c>
      <c r="M20" s="243" t="str">
        <f>VLOOKUP(W20,통합목록!$F$4:$I$586,4,0)</f>
        <v>열기2-04.민사소송법\02.문제\[기출][2014-1-1]민법상 조합인 회사를 상대로 한 해고무효 확인의 소 제기 가능성.txt</v>
      </c>
      <c r="N20" s="243" t="s">
        <v>1125</v>
      </c>
      <c r="O20" s="243" t="str">
        <f>VLOOKUP(W20,통합목록!$F$4:$K$586,6,0)</f>
        <v>A</v>
      </c>
      <c r="P20" s="253"/>
      <c r="Q20" s="243" t="str">
        <f t="shared" si="1"/>
        <v>제2편 소송의 주체&gt;10&gt;1-1&gt;기출</v>
      </c>
      <c r="R20" s="243" t="str">
        <f t="shared" si="2"/>
        <v>제04장 당사자&gt;07&gt;1-1&gt;기출</v>
      </c>
      <c r="S20" s="243" t="str">
        <f t="shared" si="3"/>
        <v>제04장 당사자&gt;제02절 당사자의 자격&gt;04</v>
      </c>
      <c r="T20" s="243" t="str">
        <f t="shared" si="4"/>
        <v>기출&gt;2014&gt;4</v>
      </c>
      <c r="U20" s="243" t="str">
        <f t="shared" si="5"/>
        <v>기출&gt;2014&gt;1-1</v>
      </c>
      <c r="W20" s="128" t="str">
        <f t="shared" si="6"/>
        <v>2014-1-1</v>
      </c>
    </row>
    <row r="21" spans="2:23" ht="14.45" customHeight="1" x14ac:dyDescent="0.2">
      <c r="B21" s="249">
        <f t="shared" si="0"/>
        <v>18</v>
      </c>
      <c r="C21" s="250">
        <v>2010</v>
      </c>
      <c r="D21" s="251" t="s">
        <v>210</v>
      </c>
      <c r="E21" s="251" t="s">
        <v>196</v>
      </c>
      <c r="F21" s="200" t="s">
        <v>1273</v>
      </c>
      <c r="G21" s="254">
        <v>12</v>
      </c>
      <c r="H21" s="200" t="s">
        <v>1259</v>
      </c>
      <c r="I21" s="251" t="s">
        <v>216</v>
      </c>
      <c r="J21" s="321" t="s">
        <v>2133</v>
      </c>
      <c r="K21" s="251" t="s">
        <v>204</v>
      </c>
      <c r="L21" s="200" t="str">
        <f>VLOOKUP(W21,통합목록!$F$4:$I$586,3,0)</f>
        <v>임의적 소송담당의 의의 및 유형, 허용 요건, 소송법적 효과</v>
      </c>
      <c r="M21" s="243" t="str">
        <f>VLOOKUP(W21,통합목록!$F$4:$I$586,4,0)</f>
        <v>열기2-04.민사소송법\02.문제\[기출][2010-2-1]임의적 소송담당의 의의 및 유형, 허용 요건, 소송법적 효과.txt</v>
      </c>
      <c r="N21" s="243" t="s">
        <v>1125</v>
      </c>
      <c r="O21" s="243" t="str">
        <f>VLOOKUP(W21,통합목록!$F$4:$K$586,6,0)</f>
        <v>A</v>
      </c>
      <c r="P21" s="253" t="s">
        <v>2309</v>
      </c>
      <c r="Q21" s="243" t="str">
        <f t="shared" si="1"/>
        <v>제2편 소송의 주체&gt;12&gt;2-1&gt;기출</v>
      </c>
      <c r="R21" s="243" t="str">
        <f t="shared" si="2"/>
        <v>제04장 당사자&gt;09&gt;2-1&gt;기출</v>
      </c>
      <c r="S21" s="243" t="str">
        <f t="shared" si="3"/>
        <v>제04장 당사자&gt;제02절 당사자의 자격&gt;05</v>
      </c>
      <c r="T21" s="243" t="str">
        <f t="shared" si="4"/>
        <v>기출&gt;2010&gt;2</v>
      </c>
      <c r="U21" s="243" t="str">
        <f t="shared" si="5"/>
        <v>기출&gt;2010&gt;2-1</v>
      </c>
      <c r="W21" s="128" t="str">
        <f t="shared" si="6"/>
        <v>2010-2-1</v>
      </c>
    </row>
    <row r="22" spans="2:23" ht="14.45" customHeight="1" x14ac:dyDescent="0.2">
      <c r="B22" s="249">
        <f t="shared" si="0"/>
        <v>19</v>
      </c>
      <c r="C22" s="255">
        <v>4.0199999999999996</v>
      </c>
      <c r="D22" s="251" t="s">
        <v>1156</v>
      </c>
      <c r="E22" s="251" t="s">
        <v>1156</v>
      </c>
      <c r="F22" s="200" t="s">
        <v>1273</v>
      </c>
      <c r="G22" s="254">
        <v>19</v>
      </c>
      <c r="H22" s="200" t="s">
        <v>1259</v>
      </c>
      <c r="I22" s="251" t="s">
        <v>1161</v>
      </c>
      <c r="J22" s="321" t="s">
        <v>2133</v>
      </c>
      <c r="K22" s="251" t="s">
        <v>1158</v>
      </c>
      <c r="L22" s="200" t="str">
        <f>VLOOKUP(W22,통합목록!$F$4:$I$586,3,0)</f>
        <v>당사자능력과 당사자적격의 비교</v>
      </c>
      <c r="M22" s="243" t="str">
        <f>VLOOKUP(W22,통합목록!$F$4:$I$586,4,0)</f>
        <v>열기2-04.민사소송법\02.문제\[모의][04.02-1]당사자능력과 당사자적격의 비교.txt</v>
      </c>
      <c r="N22" s="243" t="s">
        <v>2771</v>
      </c>
      <c r="O22" s="243" t="str">
        <f>VLOOKUP(W22,통합목록!$F$4:$K$586,6,0)</f>
        <v>A</v>
      </c>
      <c r="P22" s="253"/>
      <c r="Q22" s="243" t="str">
        <f t="shared" si="1"/>
        <v>제2편 소송의 주체&gt;19&gt;1&gt;모의</v>
      </c>
      <c r="R22" s="243" t="str">
        <f t="shared" si="2"/>
        <v>제04장 당사자&gt;11&gt;1&gt;모의</v>
      </c>
      <c r="S22" s="243" t="str">
        <f t="shared" si="3"/>
        <v>제04장 당사자&gt;제02절 당사자의 자격&gt;06</v>
      </c>
      <c r="T22" s="243" t="str">
        <f t="shared" si="4"/>
        <v>모의&gt;4.02&gt;1</v>
      </c>
      <c r="U22" s="243" t="str">
        <f t="shared" si="5"/>
        <v>모의&gt;4.02&gt;1</v>
      </c>
      <c r="W22" s="128" t="str">
        <f t="shared" si="6"/>
        <v>4.02-1</v>
      </c>
    </row>
    <row r="23" spans="2:23" ht="14.45" customHeight="1" x14ac:dyDescent="0.2">
      <c r="B23" s="249">
        <f t="shared" si="0"/>
        <v>20</v>
      </c>
      <c r="C23" s="255">
        <v>4.0199999999999996</v>
      </c>
      <c r="D23" s="251" t="s">
        <v>2272</v>
      </c>
      <c r="E23" s="251" t="s">
        <v>2272</v>
      </c>
      <c r="F23" s="200" t="s">
        <v>1273</v>
      </c>
      <c r="G23" s="254">
        <v>20</v>
      </c>
      <c r="H23" s="200" t="s">
        <v>1259</v>
      </c>
      <c r="I23" s="251" t="s">
        <v>2277</v>
      </c>
      <c r="J23" s="321" t="s">
        <v>2133</v>
      </c>
      <c r="K23" s="251" t="s">
        <v>2275</v>
      </c>
      <c r="L23" s="200" t="str">
        <f>VLOOKUP(W23,통합목록!$F$4:$I$586,3,0)</f>
        <v>소송상 당사자적격의 의의 및 당사자능력과의 구별, 권리주체, 소송법상 성질, 흠결 효과</v>
      </c>
      <c r="M23" s="243" t="str">
        <f>VLOOKUP(W23,통합목록!$F$4:$I$586,4,0)</f>
        <v>열기2-04.민사소송법\02.문제\[모의][04.02-2]소송상 당사자적격의 의의 및 당사자능력과의 구별, 권리주체, 소송법상 성질, 흠결 효과.txt</v>
      </c>
      <c r="N23" s="243" t="s">
        <v>2771</v>
      </c>
      <c r="O23" s="243" t="str">
        <f>VLOOKUP(W23,통합목록!$F$4:$K$586,6,0)</f>
        <v>A</v>
      </c>
      <c r="P23" s="253" t="s">
        <v>2309</v>
      </c>
      <c r="Q23" s="243" t="str">
        <f t="shared" si="1"/>
        <v>제2편 소송의 주체&gt;20&gt;2&gt;모의</v>
      </c>
      <c r="R23" s="243" t="str">
        <f t="shared" si="2"/>
        <v>제04장 당사자&gt;12&gt;2&gt;모의</v>
      </c>
      <c r="S23" s="243" t="str">
        <f t="shared" si="3"/>
        <v>제04장 당사자&gt;제02절 당사자의 자격&gt;07</v>
      </c>
      <c r="T23" s="243" t="str">
        <f t="shared" si="4"/>
        <v>모의&gt;4.02&gt;2</v>
      </c>
      <c r="U23" s="243" t="str">
        <f t="shared" si="5"/>
        <v>모의&gt;4.02&gt;2</v>
      </c>
      <c r="W23" s="128" t="str">
        <f t="shared" si="6"/>
        <v>4.02-2</v>
      </c>
    </row>
    <row r="24" spans="2:23" ht="14.45" customHeight="1" x14ac:dyDescent="0.2">
      <c r="B24" s="249">
        <f t="shared" si="0"/>
        <v>21</v>
      </c>
      <c r="C24" s="250">
        <v>2018</v>
      </c>
      <c r="D24" s="251" t="s">
        <v>194</v>
      </c>
      <c r="E24" s="251" t="s">
        <v>195</v>
      </c>
      <c r="F24" s="200" t="s">
        <v>1273</v>
      </c>
      <c r="G24" s="252" t="s">
        <v>1308</v>
      </c>
      <c r="H24" s="200" t="s">
        <v>1259</v>
      </c>
      <c r="I24" s="251" t="s">
        <v>199</v>
      </c>
      <c r="J24" s="321" t="s">
        <v>2136</v>
      </c>
      <c r="K24" s="251" t="s">
        <v>192</v>
      </c>
      <c r="L24" s="200" t="str">
        <f>VLOOKUP(W24,통합목록!$F$4:$I$586,3,0)</f>
        <v>배우자 및 공인노무사의 소송대리권 인정 여부</v>
      </c>
      <c r="M24" s="243" t="str">
        <f>VLOOKUP(W24,통합목록!$F$4:$I$586,4,0)</f>
        <v>열기2-04.민사소송법\02.문제\[기출][2018-1-2]배우자 및 공인노무사의 소송대리권 인정 여부.txt</v>
      </c>
      <c r="N24" s="243" t="s">
        <v>1125</v>
      </c>
      <c r="O24" s="243" t="str">
        <f>VLOOKUP(W24,통합목록!$F$4:$K$586,6,0)</f>
        <v>A</v>
      </c>
      <c r="P24" s="253"/>
      <c r="Q24" s="243" t="str">
        <f t="shared" si="1"/>
        <v>제2편 소송의 주체&gt;05&gt;1-2&gt;기출</v>
      </c>
      <c r="R24" s="243" t="str">
        <f t="shared" si="2"/>
        <v>제04장 당사자&gt;03&gt;1-2&gt;기출</v>
      </c>
      <c r="S24" s="243" t="str">
        <f t="shared" si="3"/>
        <v>제04장 당사자&gt;제03절 소송상의 대리인&gt;01</v>
      </c>
      <c r="T24" s="243" t="str">
        <f t="shared" si="4"/>
        <v>기출&gt;2018&gt;3</v>
      </c>
      <c r="U24" s="243" t="str">
        <f t="shared" si="5"/>
        <v>기출&gt;2018&gt;1-2</v>
      </c>
      <c r="W24" s="128" t="str">
        <f t="shared" si="6"/>
        <v>2018-1-2</v>
      </c>
    </row>
    <row r="25" spans="2:23" ht="14.45" customHeight="1" x14ac:dyDescent="0.2">
      <c r="B25" s="249">
        <f t="shared" si="0"/>
        <v>22</v>
      </c>
      <c r="C25" s="250">
        <v>2016</v>
      </c>
      <c r="D25" s="251" t="s">
        <v>194</v>
      </c>
      <c r="E25" s="251" t="s">
        <v>195</v>
      </c>
      <c r="F25" s="200" t="s">
        <v>1273</v>
      </c>
      <c r="G25" s="252" t="s">
        <v>1311</v>
      </c>
      <c r="H25" s="200" t="s">
        <v>1259</v>
      </c>
      <c r="I25" s="251" t="s">
        <v>208</v>
      </c>
      <c r="J25" s="321" t="s">
        <v>2136</v>
      </c>
      <c r="K25" s="251" t="s">
        <v>198</v>
      </c>
      <c r="L25" s="200" t="str">
        <f>VLOOKUP(W25,통합목록!$F$4:$I$586,3,0)</f>
        <v>대법원의 파기환송판결에 의해 사건이 다시 계속된 경우 변호사의 소송대리권 부활 여부</v>
      </c>
      <c r="M25" s="243" t="str">
        <f>VLOOKUP(W25,통합목록!$F$4:$I$586,4,0)</f>
        <v>열기2-04.민사소송법\02.문제\[기출][2016-1-2]대법원의 파기환송판결에 의해 사건이 다시 계속된 경우 변호사의 소송대리권 부활 여부.txt</v>
      </c>
      <c r="N25" s="243" t="s">
        <v>1125</v>
      </c>
      <c r="O25" s="243" t="str">
        <f>VLOOKUP(W25,통합목록!$F$4:$K$586,6,0)</f>
        <v>A</v>
      </c>
      <c r="P25" s="253"/>
      <c r="Q25" s="243" t="str">
        <f t="shared" si="1"/>
        <v>제2편 소송의 주체&gt;08&gt;1-2&gt;기출</v>
      </c>
      <c r="R25" s="243" t="str">
        <f t="shared" si="2"/>
        <v>제04장 당사자&gt;06&gt;1-2&gt;기출</v>
      </c>
      <c r="S25" s="243" t="str">
        <f t="shared" si="3"/>
        <v>제04장 당사자&gt;제03절 소송상의 대리인&gt;02</v>
      </c>
      <c r="T25" s="243" t="str">
        <f t="shared" si="4"/>
        <v>기출&gt;2016&gt;3</v>
      </c>
      <c r="U25" s="243" t="str">
        <f t="shared" si="5"/>
        <v>기출&gt;2016&gt;1-2</v>
      </c>
      <c r="W25" s="128" t="str">
        <f t="shared" si="6"/>
        <v>2016-1-2</v>
      </c>
    </row>
    <row r="26" spans="2:23" ht="14.45" customHeight="1" x14ac:dyDescent="0.2">
      <c r="B26" s="249">
        <f t="shared" si="0"/>
        <v>23</v>
      </c>
      <c r="C26" s="250">
        <v>2013</v>
      </c>
      <c r="D26" s="251" t="s">
        <v>203</v>
      </c>
      <c r="E26" s="251" t="s">
        <v>191</v>
      </c>
      <c r="F26" s="200" t="s">
        <v>1273</v>
      </c>
      <c r="G26" s="254">
        <v>11</v>
      </c>
      <c r="H26" s="200" t="s">
        <v>1259</v>
      </c>
      <c r="I26" s="251" t="s">
        <v>212</v>
      </c>
      <c r="J26" s="321" t="s">
        <v>2136</v>
      </c>
      <c r="K26" s="251" t="s">
        <v>199</v>
      </c>
      <c r="L26" s="200" t="str">
        <f>VLOOKUP(W26,통합목록!$F$4:$I$586,3,0)</f>
        <v>도급계약상 연대책임 관계인 공동 피고에 대한 임금청구소송에서 소송대리인의 대리권 범위</v>
      </c>
      <c r="M26" s="243" t="str">
        <f>VLOOKUP(W26,통합목록!$F$4:$I$586,4,0)</f>
        <v>열기2-04.민사소송법\02.문제\[기출][2013-1-1]도급계약상 연대책임 관계인 공동 피고에 대한 임금청구소송에서 소송대리인의 대리권 범위.txt</v>
      </c>
      <c r="N26" s="243" t="s">
        <v>1125</v>
      </c>
      <c r="O26" s="243" t="str">
        <f>VLOOKUP(W26,통합목록!$F$4:$K$586,6,0)</f>
        <v>A</v>
      </c>
      <c r="P26" s="253"/>
      <c r="Q26" s="243" t="str">
        <f t="shared" si="1"/>
        <v>제2편 소송의 주체&gt;11&gt;1-1&gt;기출</v>
      </c>
      <c r="R26" s="243" t="str">
        <f t="shared" si="2"/>
        <v>제04장 당사자&gt;08&gt;1-1&gt;기출</v>
      </c>
      <c r="S26" s="243" t="str">
        <f t="shared" si="3"/>
        <v>제04장 당사자&gt;제03절 소송상의 대리인&gt;03</v>
      </c>
      <c r="T26" s="243" t="str">
        <f t="shared" si="4"/>
        <v>기출&gt;2013&gt;5</v>
      </c>
      <c r="U26" s="243" t="str">
        <f t="shared" si="5"/>
        <v>기출&gt;2013&gt;1-1</v>
      </c>
      <c r="W26" s="128" t="str">
        <f t="shared" si="6"/>
        <v>2013-1-1</v>
      </c>
    </row>
    <row r="27" spans="2:23" ht="14.45" customHeight="1" x14ac:dyDescent="0.2">
      <c r="B27" s="249">
        <f t="shared" si="0"/>
        <v>24</v>
      </c>
      <c r="C27" s="255">
        <v>4.03</v>
      </c>
      <c r="D27" s="251" t="s">
        <v>2270</v>
      </c>
      <c r="E27" s="251" t="s">
        <v>2270</v>
      </c>
      <c r="F27" s="200" t="s">
        <v>1273</v>
      </c>
      <c r="G27" s="254">
        <v>21</v>
      </c>
      <c r="H27" s="200" t="s">
        <v>1259</v>
      </c>
      <c r="I27" s="251" t="s">
        <v>2286</v>
      </c>
      <c r="J27" s="321" t="s">
        <v>2136</v>
      </c>
      <c r="K27" s="251" t="s">
        <v>2276</v>
      </c>
      <c r="L27" s="200" t="str">
        <f>VLOOKUP(W27,통합목록!$F$4:$I$586,3,0)</f>
        <v>특별수권사항의 의의, 구체적 범위, 특별수권없는 대리의 효력</v>
      </c>
      <c r="M27" s="243" t="str">
        <f>VLOOKUP(W27,통합목록!$F$4:$I$586,4,0)</f>
        <v>열기2-04.민사소송법\02.문제\[모의][04.03-1]특별수권사항의 의의, 구체적 범위, 특별수권없는 대리의 효력.txt</v>
      </c>
      <c r="N27" s="243" t="s">
        <v>2771</v>
      </c>
      <c r="O27" s="243" t="str">
        <f>VLOOKUP(W27,통합목록!$F$4:$K$586,6,0)</f>
        <v>A</v>
      </c>
      <c r="P27" s="253" t="s">
        <v>2309</v>
      </c>
      <c r="Q27" s="243" t="str">
        <f t="shared" si="1"/>
        <v>제2편 소송의 주체&gt;21&gt;1&gt;모의</v>
      </c>
      <c r="R27" s="243" t="str">
        <f t="shared" si="2"/>
        <v>제04장 당사자&gt;13&gt;1&gt;모의</v>
      </c>
      <c r="S27" s="243" t="str">
        <f t="shared" si="3"/>
        <v>제04장 당사자&gt;제03절 소송상의 대리인&gt;04</v>
      </c>
      <c r="T27" s="243" t="str">
        <f t="shared" si="4"/>
        <v>모의&gt;4.03&gt;1</v>
      </c>
      <c r="U27" s="243" t="str">
        <f t="shared" si="5"/>
        <v>모의&gt;4.03&gt;1</v>
      </c>
      <c r="W27" s="128" t="str">
        <f t="shared" si="6"/>
        <v>4.03-1</v>
      </c>
    </row>
    <row r="28" spans="2:23" ht="14.45" customHeight="1" x14ac:dyDescent="0.2">
      <c r="B28" s="249">
        <f t="shared" si="0"/>
        <v>25</v>
      </c>
      <c r="C28" s="255">
        <v>5.0199999999999996</v>
      </c>
      <c r="D28" s="251" t="s">
        <v>214</v>
      </c>
      <c r="E28" s="251" t="s">
        <v>195</v>
      </c>
      <c r="F28" s="200" t="s">
        <v>1274</v>
      </c>
      <c r="G28" s="252" t="s">
        <v>2332</v>
      </c>
      <c r="H28" s="200" t="s">
        <v>1298</v>
      </c>
      <c r="I28" s="251" t="s">
        <v>209</v>
      </c>
      <c r="J28" s="321" t="s">
        <v>2150</v>
      </c>
      <c r="K28" s="251" t="s">
        <v>192</v>
      </c>
      <c r="L28" s="200" t="str">
        <f>VLOOKUP(W28,통합목록!$F$4:$I$586,3,0)</f>
        <v>부제소특약의 간과와 본안기각판결 선고의 적법성 및 그 효력</v>
      </c>
      <c r="M28" s="243" t="str">
        <f>VLOOKUP(W28,통합목록!$F$4:$I$586,4,0)</f>
        <v>열기2-04.민사소송법\02.문제\[모의][05.02-1]부제소특약의 간과와 본안기각판결 선고의 적법성 및 그 효력.txt</v>
      </c>
      <c r="N28" s="243" t="s">
        <v>2771</v>
      </c>
      <c r="O28" s="243" t="str">
        <f>VLOOKUP(W28,통합목록!$F$4:$K$586,6,0)</f>
        <v>B</v>
      </c>
      <c r="P28" s="253"/>
      <c r="Q28" s="243" t="str">
        <f t="shared" si="1"/>
        <v>제3편 제1심의 소송절차&gt;27&gt;1&gt;모의</v>
      </c>
      <c r="R28" s="243" t="str">
        <f t="shared" si="2"/>
        <v>제05장 소송 개시와 심리 대상&gt;07&gt;1&gt;모의</v>
      </c>
      <c r="S28" s="243" t="str">
        <f t="shared" si="3"/>
        <v>제05장 소송 개시와 심리 대상&gt;제02절 소송요건&gt;01</v>
      </c>
      <c r="T28" s="243" t="str">
        <f t="shared" si="4"/>
        <v>모의&gt;5.02&gt;3</v>
      </c>
      <c r="U28" s="243" t="str">
        <f t="shared" si="5"/>
        <v>모의&gt;5.02&gt;1</v>
      </c>
      <c r="W28" s="128" t="str">
        <f t="shared" si="6"/>
        <v>5.02-1</v>
      </c>
    </row>
    <row r="29" spans="2:23" ht="14.45" customHeight="1" x14ac:dyDescent="0.2">
      <c r="B29" s="249">
        <f t="shared" si="0"/>
        <v>26</v>
      </c>
      <c r="C29" s="255">
        <v>5.0199999999999996</v>
      </c>
      <c r="D29" s="251" t="s">
        <v>206</v>
      </c>
      <c r="E29" s="251" t="s">
        <v>196</v>
      </c>
      <c r="F29" s="200" t="s">
        <v>1274</v>
      </c>
      <c r="G29" s="252" t="s">
        <v>2333</v>
      </c>
      <c r="H29" s="200" t="s">
        <v>1298</v>
      </c>
      <c r="I29" s="251" t="s">
        <v>212</v>
      </c>
      <c r="J29" s="321" t="s">
        <v>2150</v>
      </c>
      <c r="K29" s="251" t="s">
        <v>198</v>
      </c>
      <c r="L29" s="200" t="str">
        <f>VLOOKUP(W29,통합목록!$F$4:$I$586,3,0)</f>
        <v>당사자능력 등 소송요건의 존재를 판단하는 기준 시점과 증명방법 및 증명책임의 분배 원칙</v>
      </c>
      <c r="M29" s="243" t="str">
        <f>VLOOKUP(W29,통합목록!$F$4:$I$586,4,0)</f>
        <v>열기2-04.민사소송법\02.문제\[모의][05.02-2]당사자능력 등 소송요건의 존재를 판단하는 기준 시점과 증명방법 및 증명책임의 분배 원칙.txt</v>
      </c>
      <c r="N29" s="243" t="s">
        <v>2771</v>
      </c>
      <c r="O29" s="243" t="str">
        <f>VLOOKUP(W29,통합목록!$F$4:$K$586,6,0)</f>
        <v>B</v>
      </c>
      <c r="P29" s="253"/>
      <c r="Q29" s="243" t="str">
        <f t="shared" si="1"/>
        <v>제3편 제1심의 소송절차&gt;28&gt;2&gt;모의</v>
      </c>
      <c r="R29" s="243" t="str">
        <f t="shared" si="2"/>
        <v>제05장 소송 개시와 심리 대상&gt;08&gt;2&gt;모의</v>
      </c>
      <c r="S29" s="243" t="str">
        <f t="shared" si="3"/>
        <v>제05장 소송 개시와 심리 대상&gt;제02절 소송요건&gt;02</v>
      </c>
      <c r="T29" s="243" t="str">
        <f t="shared" si="4"/>
        <v>모의&gt;5.02&gt;2</v>
      </c>
      <c r="U29" s="243" t="str">
        <f t="shared" si="5"/>
        <v>모의&gt;5.02&gt;2</v>
      </c>
      <c r="W29" s="128" t="str">
        <f t="shared" si="6"/>
        <v>5.02-2</v>
      </c>
    </row>
    <row r="30" spans="2:23" ht="14.45" customHeight="1" x14ac:dyDescent="0.2">
      <c r="B30" s="249">
        <f t="shared" si="0"/>
        <v>27</v>
      </c>
      <c r="C30" s="255">
        <v>5.0199999999999996</v>
      </c>
      <c r="D30" s="251" t="s">
        <v>2300</v>
      </c>
      <c r="E30" s="251" t="s">
        <v>2301</v>
      </c>
      <c r="F30" s="200" t="s">
        <v>1274</v>
      </c>
      <c r="G30" s="252" t="s">
        <v>2334</v>
      </c>
      <c r="H30" s="200" t="s">
        <v>1298</v>
      </c>
      <c r="I30" s="251" t="s">
        <v>2302</v>
      </c>
      <c r="J30" s="321" t="s">
        <v>2150</v>
      </c>
      <c r="K30" s="251" t="s">
        <v>2303</v>
      </c>
      <c r="L30" s="200" t="str">
        <f>VLOOKUP(W30,통합목록!$F$4:$I$586,3,0)</f>
        <v>소송요건의 의의, 구체적 분류, 조사 심리 절차, 요건 흠결 시 소송법상 효과</v>
      </c>
      <c r="M30" s="243" t="str">
        <f>VLOOKUP(W30,통합목록!$F$4:$I$586,4,0)</f>
        <v>열기2-04.민사소송법\02.문제\[모의][05.02-3]소송요건의 의의, 구체적 분류, 조사 심리 절차, 요건 흠결 시 소송법상 효과.txt</v>
      </c>
      <c r="N30" s="243" t="s">
        <v>2771</v>
      </c>
      <c r="O30" s="243" t="str">
        <f>VLOOKUP(W30,통합목록!$F$4:$K$586,6,0)</f>
        <v>A</v>
      </c>
      <c r="P30" s="253" t="s">
        <v>2309</v>
      </c>
      <c r="Q30" s="243" t="str">
        <f t="shared" si="1"/>
        <v>제3편 제1심의 소송절차&gt;29&gt;3&gt;모의</v>
      </c>
      <c r="R30" s="243" t="str">
        <f t="shared" si="2"/>
        <v>제05장 소송 개시와 심리 대상&gt;09&gt;3&gt;모의</v>
      </c>
      <c r="S30" s="243" t="str">
        <f t="shared" si="3"/>
        <v>제05장 소송 개시와 심리 대상&gt;제02절 소송요건&gt;03</v>
      </c>
      <c r="T30" s="243" t="str">
        <f t="shared" si="4"/>
        <v>모의&gt;5.02&gt;1</v>
      </c>
      <c r="U30" s="243" t="str">
        <f t="shared" si="5"/>
        <v>모의&gt;5.02&gt;3</v>
      </c>
      <c r="W30" s="128" t="str">
        <f t="shared" si="6"/>
        <v>5.02-3</v>
      </c>
    </row>
    <row r="31" spans="2:23" ht="14.45" customHeight="1" x14ac:dyDescent="0.2">
      <c r="B31" s="249">
        <f t="shared" si="0"/>
        <v>28</v>
      </c>
      <c r="C31" s="250">
        <v>2025</v>
      </c>
      <c r="D31" s="251" t="s">
        <v>196</v>
      </c>
      <c r="E31" s="251" t="s">
        <v>196</v>
      </c>
      <c r="F31" s="200" t="s">
        <v>1274</v>
      </c>
      <c r="G31" s="252" t="s">
        <v>2310</v>
      </c>
      <c r="H31" s="200" t="s">
        <v>1298</v>
      </c>
      <c r="I31" s="251" t="s">
        <v>192</v>
      </c>
      <c r="J31" s="321" t="s">
        <v>2137</v>
      </c>
      <c r="K31" s="251" t="s">
        <v>192</v>
      </c>
      <c r="L31" s="200" t="str">
        <f>VLOOKUP(W31,통합목록!$F$4:$I$586,3,0)</f>
        <v>확인의 이익의 의의, 일반 원칙, 요건, 구체적 양태</v>
      </c>
      <c r="M31" s="243" t="str">
        <f>VLOOKUP(W31,통합목록!$F$4:$I$586,4,0)</f>
        <v>열기2-04.민사소송법\02.문제\[기출][2025-2]확인의 이익의 의의, 일반 원칙, 요건, 구체적 양태.txt</v>
      </c>
      <c r="N31" s="243" t="s">
        <v>1125</v>
      </c>
      <c r="O31" s="243" t="str">
        <f>VLOOKUP(W31,통합목록!$F$4:$K$586,6,0)</f>
        <v>C</v>
      </c>
      <c r="P31" s="253" t="s">
        <v>2309</v>
      </c>
      <c r="Q31" s="243" t="str">
        <f t="shared" si="1"/>
        <v>제3편 제1심의 소송절차&gt;05&gt;2&gt;기출</v>
      </c>
      <c r="R31" s="243" t="str">
        <f t="shared" si="2"/>
        <v>제05장 소송 개시와 심리 대상&gt;01&gt;2&gt;기출</v>
      </c>
      <c r="S31" s="243" t="str">
        <f t="shared" si="3"/>
        <v>제05장 소송 개시와 심리 대상&gt;제03절 소의 이익&gt;01</v>
      </c>
      <c r="T31" s="243" t="str">
        <f t="shared" si="4"/>
        <v>기출&gt;2025&gt;2</v>
      </c>
      <c r="U31" s="243" t="str">
        <f t="shared" si="5"/>
        <v>기출&gt;2025&gt;2</v>
      </c>
      <c r="W31" s="128" t="str">
        <f t="shared" si="6"/>
        <v>2025-2</v>
      </c>
    </row>
    <row r="32" spans="2:23" ht="14.45" customHeight="1" x14ac:dyDescent="0.2">
      <c r="B32" s="249">
        <f t="shared" si="0"/>
        <v>29</v>
      </c>
      <c r="C32" s="250">
        <v>2023</v>
      </c>
      <c r="D32" s="251" t="s">
        <v>196</v>
      </c>
      <c r="E32" s="251" t="s">
        <v>196</v>
      </c>
      <c r="F32" s="200" t="s">
        <v>1274</v>
      </c>
      <c r="G32" s="252" t="s">
        <v>2313</v>
      </c>
      <c r="H32" s="200" t="s">
        <v>1298</v>
      </c>
      <c r="I32" s="251" t="s">
        <v>199</v>
      </c>
      <c r="J32" s="321" t="s">
        <v>2137</v>
      </c>
      <c r="K32" s="251" t="s">
        <v>198</v>
      </c>
      <c r="L32" s="200" t="str">
        <f>VLOOKUP(W32,통합목록!$F$4:$I$586,3,0)</f>
        <v>장래의 이행의 소의 의의, 법리, 구체적 양태</v>
      </c>
      <c r="M32" s="243" t="str">
        <f>VLOOKUP(W32,통합목록!$F$4:$I$586,4,0)</f>
        <v>열기2-04.민사소송법\02.문제\[기출][2023-2]장래의 이행의 소의 의의, 법리, 구체적 양태.txt</v>
      </c>
      <c r="N32" s="243" t="s">
        <v>1125</v>
      </c>
      <c r="O32" s="243" t="str">
        <f>VLOOKUP(W32,통합목록!$F$4:$K$586,6,0)</f>
        <v>C</v>
      </c>
      <c r="P32" s="253" t="s">
        <v>2309</v>
      </c>
      <c r="Q32" s="243" t="str">
        <f t="shared" si="1"/>
        <v>제3편 제1심의 소송절차&gt;08&gt;2&gt;기출</v>
      </c>
      <c r="R32" s="243" t="str">
        <f t="shared" si="2"/>
        <v>제05장 소송 개시와 심리 대상&gt;03&gt;2&gt;기출</v>
      </c>
      <c r="S32" s="243" t="str">
        <f t="shared" si="3"/>
        <v>제05장 소송 개시와 심리 대상&gt;제03절 소의 이익&gt;02</v>
      </c>
      <c r="T32" s="243" t="str">
        <f t="shared" si="4"/>
        <v>기출&gt;2023&gt;2</v>
      </c>
      <c r="U32" s="243" t="str">
        <f t="shared" si="5"/>
        <v>기출&gt;2023&gt;2</v>
      </c>
      <c r="W32" s="128" t="str">
        <f t="shared" si="6"/>
        <v>2023-2</v>
      </c>
    </row>
    <row r="33" spans="2:23" ht="14.45" customHeight="1" x14ac:dyDescent="0.2">
      <c r="B33" s="249">
        <f t="shared" si="0"/>
        <v>30</v>
      </c>
      <c r="C33" s="250">
        <v>2018</v>
      </c>
      <c r="D33" s="251" t="s">
        <v>190</v>
      </c>
      <c r="E33" s="251" t="s">
        <v>193</v>
      </c>
      <c r="F33" s="200" t="s">
        <v>1274</v>
      </c>
      <c r="G33" s="252" t="s">
        <v>2318</v>
      </c>
      <c r="H33" s="200" t="s">
        <v>1298</v>
      </c>
      <c r="I33" s="251" t="s">
        <v>201</v>
      </c>
      <c r="J33" s="321" t="s">
        <v>2137</v>
      </c>
      <c r="K33" s="251" t="s">
        <v>199</v>
      </c>
      <c r="L33" s="200" t="str">
        <f>VLOOKUP(W33,통합목록!$F$4:$I$586,3,0)</f>
        <v>조합규약상 소제기 금지규정의 유효성과 이를 위반한 소의 적법성</v>
      </c>
      <c r="M33" s="243" t="str">
        <f>VLOOKUP(W33,통합목록!$F$4:$I$586,4,0)</f>
        <v>열기2-04.민사소송법\02.문제\[기출][2018-1-1]조합규약상 소제기 금지규정의 유효성과 이를 위반한 소의 적법성.txt</v>
      </c>
      <c r="N33" s="243" t="s">
        <v>1125</v>
      </c>
      <c r="O33" s="243" t="str">
        <f>VLOOKUP(W33,통합목록!$F$4:$K$586,6,0)</f>
        <v>C</v>
      </c>
      <c r="P33" s="253"/>
      <c r="Q33" s="243" t="str">
        <f t="shared" si="1"/>
        <v>제3편 제1심의 소송절차&gt;13&gt;1-1&gt;기출</v>
      </c>
      <c r="R33" s="243" t="str">
        <f t="shared" si="2"/>
        <v>제05장 소송 개시와 심리 대상&gt;04&gt;1-1&gt;기출</v>
      </c>
      <c r="S33" s="243" t="str">
        <f t="shared" si="3"/>
        <v>제05장 소송 개시와 심리 대상&gt;제03절 소의 이익&gt;03</v>
      </c>
      <c r="T33" s="243" t="str">
        <f t="shared" si="4"/>
        <v>기출&gt;2018&gt;4</v>
      </c>
      <c r="U33" s="243" t="str">
        <f t="shared" si="5"/>
        <v>기출&gt;2018&gt;1-1</v>
      </c>
      <c r="W33" s="128" t="str">
        <f t="shared" si="6"/>
        <v>2018-1-1</v>
      </c>
    </row>
    <row r="34" spans="2:23" ht="14.45" customHeight="1" x14ac:dyDescent="0.2">
      <c r="B34" s="249">
        <f t="shared" si="0"/>
        <v>31</v>
      </c>
      <c r="C34" s="255">
        <v>5.04</v>
      </c>
      <c r="D34" s="251" t="s">
        <v>214</v>
      </c>
      <c r="E34" s="251" t="s">
        <v>196</v>
      </c>
      <c r="F34" s="200" t="s">
        <v>1274</v>
      </c>
      <c r="G34" s="252" t="s">
        <v>2335</v>
      </c>
      <c r="H34" s="200" t="s">
        <v>1298</v>
      </c>
      <c r="I34" s="251" t="s">
        <v>217</v>
      </c>
      <c r="J34" s="321" t="s">
        <v>2151</v>
      </c>
      <c r="K34" s="251" t="s">
        <v>192</v>
      </c>
      <c r="L34" s="200" t="str">
        <f>VLOOKUP(W34,통합목록!$F$4:$I$586,3,0)</f>
        <v>구실체법설에 따른 전후소 소송물의 동일성 여부 및 후소의 적법성 판단</v>
      </c>
      <c r="M34" s="243" t="str">
        <f>VLOOKUP(W34,통합목록!$F$4:$I$586,4,0)</f>
        <v>열기2-04.민사소송법\02.문제\[모의][05.04-1]구실체법설에 따른 전후소 소송물의 동일성 여부 및 후소의 적법성 판단.txt</v>
      </c>
      <c r="N34" s="243" t="s">
        <v>2771</v>
      </c>
      <c r="O34" s="243" t="str">
        <f>VLOOKUP(W34,통합목록!$F$4:$K$586,6,0)</f>
        <v>B</v>
      </c>
      <c r="P34" s="253"/>
      <c r="Q34" s="243" t="str">
        <f t="shared" si="1"/>
        <v>제3편 제1심의 소송절차&gt;30&gt;1&gt;모의</v>
      </c>
      <c r="R34" s="243" t="str">
        <f t="shared" si="2"/>
        <v>제05장 소송 개시와 심리 대상&gt;10&gt;1&gt;모의</v>
      </c>
      <c r="S34" s="243" t="str">
        <f t="shared" si="3"/>
        <v>제05장 소송 개시와 심리 대상&gt;제04절 소송물&gt;01</v>
      </c>
      <c r="T34" s="243" t="str">
        <f t="shared" si="4"/>
        <v>모의&gt;5.04&gt;2</v>
      </c>
      <c r="U34" s="243" t="str">
        <f t="shared" si="5"/>
        <v>모의&gt;5.04&gt;1</v>
      </c>
      <c r="W34" s="128" t="str">
        <f t="shared" si="6"/>
        <v>5.04-1</v>
      </c>
    </row>
    <row r="35" spans="2:23" ht="14.45" customHeight="1" x14ac:dyDescent="0.2">
      <c r="B35" s="249">
        <f t="shared" si="0"/>
        <v>32</v>
      </c>
      <c r="C35" s="255">
        <v>5.04</v>
      </c>
      <c r="D35" s="251" t="s">
        <v>206</v>
      </c>
      <c r="E35" s="251" t="s">
        <v>197</v>
      </c>
      <c r="F35" s="200" t="s">
        <v>1274</v>
      </c>
      <c r="G35" s="252" t="s">
        <v>2336</v>
      </c>
      <c r="H35" s="200" t="s">
        <v>1298</v>
      </c>
      <c r="I35" s="251" t="s">
        <v>218</v>
      </c>
      <c r="J35" s="321" t="s">
        <v>2151</v>
      </c>
      <c r="K35" s="251" t="s">
        <v>198</v>
      </c>
      <c r="L35" s="200" t="str">
        <f>VLOOKUP(W35,통합목록!$F$4:$I$586,3,0)</f>
        <v>불법행위책임과 자배법상 책임의 소송물 관계 및 법원의 법적 근거 선택 권한</v>
      </c>
      <c r="M35" s="243" t="str">
        <f>VLOOKUP(W35,통합목록!$F$4:$I$586,4,0)</f>
        <v>열기2-04.민사소송법\02.문제\[모의][05.04-2]불법행위책임과 자배법상 책임의 소송물 관계 및 법원의 법적 근거 선택 권한.txt</v>
      </c>
      <c r="N35" s="243" t="s">
        <v>2771</v>
      </c>
      <c r="O35" s="243" t="str">
        <f>VLOOKUP(W35,통합목록!$F$4:$K$586,6,0)</f>
        <v>B</v>
      </c>
      <c r="P35" s="253"/>
      <c r="Q35" s="243" t="str">
        <f t="shared" si="1"/>
        <v>제3편 제1심의 소송절차&gt;31&gt;2&gt;모의</v>
      </c>
      <c r="R35" s="243" t="str">
        <f t="shared" si="2"/>
        <v>제05장 소송 개시와 심리 대상&gt;11&gt;2&gt;모의</v>
      </c>
      <c r="S35" s="243" t="str">
        <f t="shared" si="3"/>
        <v>제05장 소송 개시와 심리 대상&gt;제04절 소송물&gt;02</v>
      </c>
      <c r="T35" s="243" t="str">
        <f t="shared" si="4"/>
        <v>모의&gt;5.04&gt;1</v>
      </c>
      <c r="U35" s="243" t="str">
        <f t="shared" si="5"/>
        <v>모의&gt;5.04&gt;2</v>
      </c>
      <c r="W35" s="128" t="str">
        <f t="shared" si="6"/>
        <v>5.04-2</v>
      </c>
    </row>
    <row r="36" spans="2:23" ht="14.45" customHeight="1" x14ac:dyDescent="0.2">
      <c r="B36" s="249">
        <f t="shared" ref="B36:B67" si="7">ROW()-3</f>
        <v>33</v>
      </c>
      <c r="C36" s="255">
        <v>5.05</v>
      </c>
      <c r="D36" s="251" t="s">
        <v>214</v>
      </c>
      <c r="E36" s="251" t="s">
        <v>196</v>
      </c>
      <c r="F36" s="200" t="s">
        <v>1274</v>
      </c>
      <c r="G36" s="252" t="s">
        <v>2337</v>
      </c>
      <c r="H36" s="200" t="s">
        <v>1298</v>
      </c>
      <c r="I36" s="251" t="s">
        <v>219</v>
      </c>
      <c r="J36" s="321" t="s">
        <v>2152</v>
      </c>
      <c r="K36" s="251" t="s">
        <v>192</v>
      </c>
      <c r="L36" s="200" t="str">
        <f>VLOOKUP(W36,통합목록!$F$4:$I$586,3,0)</f>
        <v>채무부존재확인의 소의 중복소제기 금지 위반 여부 및 판결의 형식</v>
      </c>
      <c r="M36" s="243" t="str">
        <f>VLOOKUP(W36,통합목록!$F$4:$I$586,4,0)</f>
        <v>열기2-04.민사소송법\02.문제\[모의][05.05-1]채무부존재확인의 소의 중복소제기 금지 위반 여부 및 판결의 형식.txt</v>
      </c>
      <c r="N36" s="243" t="s">
        <v>2771</v>
      </c>
      <c r="O36" s="243" t="str">
        <f>VLOOKUP(W36,통합목록!$F$4:$K$586,6,0)</f>
        <v>B</v>
      </c>
      <c r="P36" s="253"/>
      <c r="Q36" s="243" t="str">
        <f t="shared" ref="Q36:Q67" si="8">F36&amp;"&gt;"&amp;G36&amp;"&gt;"&amp;D36&amp;"&gt;"&amp;N36</f>
        <v>제3편 제1심의 소송절차&gt;32&gt;1&gt;모의</v>
      </c>
      <c r="R36" s="243" t="str">
        <f t="shared" ref="R36:R67" si="9">H36&amp;"&gt;"&amp;I36&amp;"&gt;"&amp;D36&amp;"&gt;"&amp;N36</f>
        <v>제05장 소송 개시와 심리 대상&gt;12&gt;1&gt;모의</v>
      </c>
      <c r="S36" s="243" t="str">
        <f t="shared" ref="S36:S67" si="10">H36&amp;"&gt;"&amp;J36&amp;"&gt;"&amp;K36</f>
        <v>제05장 소송 개시와 심리 대상&gt;제05절 소의 제기&gt;01</v>
      </c>
      <c r="T36" s="243" t="str">
        <f t="shared" ref="T36:T67" si="11">N36&amp;"&gt;"&amp;C36&amp;"&gt;"&amp;E36</f>
        <v>모의&gt;5.05&gt;2</v>
      </c>
      <c r="U36" s="243" t="str">
        <f t="shared" ref="U36:U67" si="12">N36&amp;"&gt;"&amp;C36&amp;"&gt;"&amp;D36</f>
        <v>모의&gt;5.05&gt;1</v>
      </c>
      <c r="W36" s="128" t="str">
        <f t="shared" ref="W36:W67" si="13">C36&amp;"-"&amp;D36</f>
        <v>5.05-1</v>
      </c>
    </row>
    <row r="37" spans="2:23" ht="14.45" customHeight="1" x14ac:dyDescent="0.2">
      <c r="B37" s="249">
        <f t="shared" si="7"/>
        <v>34</v>
      </c>
      <c r="C37" s="255">
        <v>5.05</v>
      </c>
      <c r="D37" s="251" t="s">
        <v>206</v>
      </c>
      <c r="E37" s="251" t="s">
        <v>197</v>
      </c>
      <c r="F37" s="200" t="s">
        <v>1274</v>
      </c>
      <c r="G37" s="252" t="s">
        <v>2338</v>
      </c>
      <c r="H37" s="200" t="s">
        <v>1298</v>
      </c>
      <c r="I37" s="251" t="s">
        <v>220</v>
      </c>
      <c r="J37" s="321" t="s">
        <v>2152</v>
      </c>
      <c r="K37" s="251" t="s">
        <v>198</v>
      </c>
      <c r="L37" s="200" t="str">
        <f>VLOOKUP(W37,통합목록!$F$4:$I$586,3,0)</f>
        <v>일부청구임을 명시하지 않은 별소 제기의 중복소제기 해당 여부 및 효과</v>
      </c>
      <c r="M37" s="243" t="str">
        <f>VLOOKUP(W37,통합목록!$F$4:$I$586,4,0)</f>
        <v>열기2-04.민사소송법\02.문제\[모의][05.05-2]일부청구임을 명시하지 않은 별소 제기의 중복소제기 해당 여부 및 효과.txt</v>
      </c>
      <c r="N37" s="243" t="s">
        <v>2771</v>
      </c>
      <c r="O37" s="243" t="str">
        <f>VLOOKUP(W37,통합목록!$F$4:$K$586,6,0)</f>
        <v>A</v>
      </c>
      <c r="P37" s="253"/>
      <c r="Q37" s="243" t="str">
        <f t="shared" si="8"/>
        <v>제3편 제1심의 소송절차&gt;33&gt;2&gt;모의</v>
      </c>
      <c r="R37" s="243" t="str">
        <f t="shared" si="9"/>
        <v>제05장 소송 개시와 심리 대상&gt;13&gt;2&gt;모의</v>
      </c>
      <c r="S37" s="243" t="str">
        <f t="shared" si="10"/>
        <v>제05장 소송 개시와 심리 대상&gt;제05절 소의 제기&gt;02</v>
      </c>
      <c r="T37" s="243" t="str">
        <f t="shared" si="11"/>
        <v>모의&gt;5.05&gt;1</v>
      </c>
      <c r="U37" s="243" t="str">
        <f t="shared" si="12"/>
        <v>모의&gt;5.05&gt;2</v>
      </c>
      <c r="W37" s="128" t="str">
        <f t="shared" si="13"/>
        <v>5.05-2</v>
      </c>
    </row>
    <row r="38" spans="2:23" ht="14.45" customHeight="1" x14ac:dyDescent="0.2">
      <c r="B38" s="249">
        <f t="shared" si="7"/>
        <v>35</v>
      </c>
      <c r="C38" s="255">
        <v>5.0599999999999996</v>
      </c>
      <c r="D38" s="251" t="s">
        <v>214</v>
      </c>
      <c r="E38" s="251" t="s">
        <v>196</v>
      </c>
      <c r="F38" s="200" t="s">
        <v>1274</v>
      </c>
      <c r="G38" s="252" t="s">
        <v>2339</v>
      </c>
      <c r="H38" s="200" t="s">
        <v>1298</v>
      </c>
      <c r="I38" s="251" t="s">
        <v>221</v>
      </c>
      <c r="J38" s="321" t="s">
        <v>2153</v>
      </c>
      <c r="K38" s="251" t="s">
        <v>192</v>
      </c>
      <c r="L38" s="200" t="str">
        <f>VLOOKUP(W38,통합목록!$F$4:$I$586,3,0)</f>
        <v>보정기한 도과 후 각하명령 송달 전 흠결 보정 시 소장각하명령의 효력</v>
      </c>
      <c r="M38" s="243" t="str">
        <f>VLOOKUP(W38,통합목록!$F$4:$I$586,4,0)</f>
        <v>열기2-04.민사소송법\02.문제\[모의][05.06-1]보정기한 도과 후 각하명령 송달 전 흠결 보정 시 소장각하명령의 효력.txt</v>
      </c>
      <c r="N38" s="243" t="s">
        <v>2771</v>
      </c>
      <c r="O38" s="243" t="str">
        <f>VLOOKUP(W38,통합목록!$F$4:$K$586,6,0)</f>
        <v>B</v>
      </c>
      <c r="P38" s="253"/>
      <c r="Q38" s="243" t="str">
        <f t="shared" si="8"/>
        <v>제3편 제1심의 소송절차&gt;34&gt;1&gt;모의</v>
      </c>
      <c r="R38" s="243" t="str">
        <f t="shared" si="9"/>
        <v>제05장 소송 개시와 심리 대상&gt;14&gt;1&gt;모의</v>
      </c>
      <c r="S38" s="243" t="str">
        <f t="shared" si="10"/>
        <v>제05장 소송 개시와 심리 대상&gt;제06절 재판장의 소장심사와 그 후의 조치&gt;01</v>
      </c>
      <c r="T38" s="243" t="str">
        <f t="shared" si="11"/>
        <v>모의&gt;5.06&gt;2</v>
      </c>
      <c r="U38" s="243" t="str">
        <f t="shared" si="12"/>
        <v>모의&gt;5.06&gt;1</v>
      </c>
      <c r="W38" s="128" t="str">
        <f t="shared" si="13"/>
        <v>5.06-1</v>
      </c>
    </row>
    <row r="39" spans="2:23" ht="14.45" customHeight="1" x14ac:dyDescent="0.2">
      <c r="B39" s="249">
        <f t="shared" si="7"/>
        <v>36</v>
      </c>
      <c r="C39" s="255">
        <v>5.0599999999999996</v>
      </c>
      <c r="D39" s="251" t="s">
        <v>206</v>
      </c>
      <c r="E39" s="251" t="s">
        <v>197</v>
      </c>
      <c r="F39" s="200" t="s">
        <v>1274</v>
      </c>
      <c r="G39" s="252" t="s">
        <v>2340</v>
      </c>
      <c r="H39" s="200" t="s">
        <v>1298</v>
      </c>
      <c r="I39" s="251" t="s">
        <v>2283</v>
      </c>
      <c r="J39" s="321" t="s">
        <v>2153</v>
      </c>
      <c r="K39" s="251" t="s">
        <v>198</v>
      </c>
      <c r="L39" s="200" t="str">
        <f>VLOOKUP(W39,통합목록!$F$4:$I$586,3,0)</f>
        <v>소장 부본 송달불능 시 재판장의 조치인 소장각하명령과 소각하판결의 차이점</v>
      </c>
      <c r="M39" s="243" t="str">
        <f>VLOOKUP(W39,통합목록!$F$4:$I$586,4,0)</f>
        <v>열기2-04.민사소송법\02.문제\[모의][05.06-2]소장 부본 송달불능 시 재판장의 조치인 소장각하명령과 소각하판결의 차이점.txt</v>
      </c>
      <c r="N39" s="243" t="s">
        <v>2771</v>
      </c>
      <c r="O39" s="243" t="str">
        <f>VLOOKUP(W39,통합목록!$F$4:$K$586,6,0)</f>
        <v>B</v>
      </c>
      <c r="P39" s="253"/>
      <c r="Q39" s="243" t="str">
        <f t="shared" si="8"/>
        <v>제3편 제1심의 소송절차&gt;35&gt;2&gt;모의</v>
      </c>
      <c r="R39" s="243" t="str">
        <f t="shared" si="9"/>
        <v>제05장 소송 개시와 심리 대상&gt;15&gt;2&gt;모의</v>
      </c>
      <c r="S39" s="243" t="str">
        <f t="shared" si="10"/>
        <v>제05장 소송 개시와 심리 대상&gt;제06절 재판장의 소장심사와 그 후의 조치&gt;02</v>
      </c>
      <c r="T39" s="243" t="str">
        <f t="shared" si="11"/>
        <v>모의&gt;5.06&gt;1</v>
      </c>
      <c r="U39" s="243" t="str">
        <f t="shared" si="12"/>
        <v>모의&gt;5.06&gt;2</v>
      </c>
      <c r="W39" s="128" t="str">
        <f t="shared" si="13"/>
        <v>5.06-2</v>
      </c>
    </row>
    <row r="40" spans="2:23" ht="14.45" customHeight="1" x14ac:dyDescent="0.2">
      <c r="B40" s="249">
        <f t="shared" si="7"/>
        <v>37</v>
      </c>
      <c r="C40" s="250">
        <v>2023</v>
      </c>
      <c r="D40" s="251" t="s">
        <v>190</v>
      </c>
      <c r="E40" s="251" t="s">
        <v>193</v>
      </c>
      <c r="F40" s="200" t="s">
        <v>1274</v>
      </c>
      <c r="G40" s="252" t="s">
        <v>2312</v>
      </c>
      <c r="H40" s="200" t="s">
        <v>1298</v>
      </c>
      <c r="I40" s="251" t="s">
        <v>198</v>
      </c>
      <c r="J40" s="321" t="s">
        <v>2141</v>
      </c>
      <c r="K40" s="251" t="s">
        <v>192</v>
      </c>
      <c r="L40" s="200" t="str">
        <f>VLOOKUP(W40,통합목록!$F$4:$I$586,3,0)</f>
        <v>상계의 항변과 중복소송의 관계 및 전소와 후소의 선후에 따른 대여금채권 소구의 적법성</v>
      </c>
      <c r="M40" s="243" t="str">
        <f>VLOOKUP(W40,통합목록!$F$4:$I$586,4,0)</f>
        <v>열기2-04.민사소송법\02.문제\[기출][2023-1-1]상계의 항변과 중복소송의 관계 및 전소와 후소의 선후에 따른 대여금채권 소구의 적법성.txt</v>
      </c>
      <c r="N40" s="243" t="s">
        <v>1125</v>
      </c>
      <c r="O40" s="243" t="str">
        <f>VLOOKUP(W40,통합목록!$F$4:$K$586,6,0)</f>
        <v>C</v>
      </c>
      <c r="P40" s="253"/>
      <c r="Q40" s="243" t="str">
        <f t="shared" si="8"/>
        <v>제3편 제1심의 소송절차&gt;07&gt;1-1&gt;기출</v>
      </c>
      <c r="R40" s="243" t="str">
        <f t="shared" si="9"/>
        <v>제05장 소송 개시와 심리 대상&gt;02&gt;1-1&gt;기출</v>
      </c>
      <c r="S40" s="243" t="str">
        <f t="shared" si="10"/>
        <v>제05장 소송 개시와 심리 대상&gt;제07절 소제기의 효과&gt;01</v>
      </c>
      <c r="T40" s="243" t="str">
        <f t="shared" si="11"/>
        <v>기출&gt;2023&gt;4</v>
      </c>
      <c r="U40" s="243" t="str">
        <f t="shared" si="12"/>
        <v>기출&gt;2023&gt;1-1</v>
      </c>
      <c r="W40" s="128" t="str">
        <f t="shared" si="13"/>
        <v>2023-1-1</v>
      </c>
    </row>
    <row r="41" spans="2:23" ht="14.45" customHeight="1" x14ac:dyDescent="0.2">
      <c r="B41" s="249">
        <f t="shared" si="7"/>
        <v>38</v>
      </c>
      <c r="C41" s="250">
        <v>2014</v>
      </c>
      <c r="D41" s="251" t="s">
        <v>207</v>
      </c>
      <c r="E41" s="251" t="s">
        <v>197</v>
      </c>
      <c r="F41" s="200" t="s">
        <v>1274</v>
      </c>
      <c r="G41" s="252" t="s">
        <v>2325</v>
      </c>
      <c r="H41" s="200" t="s">
        <v>1298</v>
      </c>
      <c r="I41" s="251" t="s">
        <v>204</v>
      </c>
      <c r="J41" s="321" t="s">
        <v>2141</v>
      </c>
      <c r="K41" s="251" t="s">
        <v>198</v>
      </c>
      <c r="L41" s="200" t="str">
        <f>VLOOKUP(W41,통합목록!$F$4:$I$586,3,0)</f>
        <v>중복된 소제기 금지의 의의, 요건, 형태, 법원의 조치 및 간과 판결의 효력</v>
      </c>
      <c r="M41" s="243" t="str">
        <f>VLOOKUP(W41,통합목록!$F$4:$I$586,4,0)</f>
        <v>열기2-04.민사소송법\02.문제\[기출][2014-3]중복된 소제기 금지의 의의, 요건, 형태, 법원의 조치 및 간과 판결의 효력.txt</v>
      </c>
      <c r="N41" s="243" t="s">
        <v>1125</v>
      </c>
      <c r="O41" s="243" t="str">
        <f>VLOOKUP(W41,통합목록!$F$4:$K$586,6,0)</f>
        <v>A</v>
      </c>
      <c r="P41" s="253" t="s">
        <v>2309</v>
      </c>
      <c r="Q41" s="243" t="str">
        <f t="shared" si="8"/>
        <v>제3편 제1심의 소송절차&gt;20&gt;3&gt;기출</v>
      </c>
      <c r="R41" s="243" t="str">
        <f t="shared" si="9"/>
        <v>제05장 소송 개시와 심리 대상&gt;05&gt;3&gt;기출</v>
      </c>
      <c r="S41" s="243" t="str">
        <f t="shared" si="10"/>
        <v>제05장 소송 개시와 심리 대상&gt;제07절 소제기의 효과&gt;02</v>
      </c>
      <c r="T41" s="243" t="str">
        <f t="shared" si="11"/>
        <v>기출&gt;2014&gt;1</v>
      </c>
      <c r="U41" s="243" t="str">
        <f t="shared" si="12"/>
        <v>기출&gt;2014&gt;3</v>
      </c>
      <c r="W41" s="128" t="str">
        <f t="shared" si="13"/>
        <v>2014-3</v>
      </c>
    </row>
    <row r="42" spans="2:23" ht="14.45" customHeight="1" x14ac:dyDescent="0.2">
      <c r="B42" s="249">
        <f t="shared" si="7"/>
        <v>39</v>
      </c>
      <c r="C42" s="250">
        <v>2012</v>
      </c>
      <c r="D42" s="251" t="s">
        <v>197</v>
      </c>
      <c r="E42" s="251" t="s">
        <v>195</v>
      </c>
      <c r="F42" s="200" t="s">
        <v>1274</v>
      </c>
      <c r="G42" s="252" t="s">
        <v>2327</v>
      </c>
      <c r="H42" s="200" t="s">
        <v>1298</v>
      </c>
      <c r="I42" s="251" t="s">
        <v>208</v>
      </c>
      <c r="J42" s="321" t="s">
        <v>2147</v>
      </c>
      <c r="K42" s="251" t="s">
        <v>192</v>
      </c>
      <c r="L42" s="200" t="str">
        <f>VLOOKUP(W42,통합목록!$F$4:$I$586,3,0)</f>
        <v>채권자대위소송의 판결이 확정된 경우 그 기판력이 채무자에게 미치는지 여부</v>
      </c>
      <c r="M42" s="243" t="str">
        <f>VLOOKUP(W42,통합목록!$F$4:$I$586,4,0)</f>
        <v>열기2-04.민사소송법\02.문제\[기출][2012-1]채권자대위소송의 판결이 확정된 경우 그 기판력이 채무자에게 미치는지 여부.txt</v>
      </c>
      <c r="N42" s="243" t="s">
        <v>1125</v>
      </c>
      <c r="O42" s="243" t="str">
        <f>VLOOKUP(W42,통합목록!$F$4:$K$586,6,0)</f>
        <v>B</v>
      </c>
      <c r="P42" s="253"/>
      <c r="Q42" s="243" t="str">
        <f t="shared" si="8"/>
        <v>제3편 제1심의 소송절차&gt;22&gt;1&gt;기출</v>
      </c>
      <c r="R42" s="243" t="str">
        <f t="shared" si="9"/>
        <v>제05장 소송 개시와 심리 대상&gt;06&gt;1&gt;기출</v>
      </c>
      <c r="S42" s="243" t="str">
        <f t="shared" si="10"/>
        <v>제05장 소송 개시와 심리 대상&gt;제08절 채권자대위소송에 대한 주요논점&gt;01</v>
      </c>
      <c r="T42" s="243" t="str">
        <f t="shared" si="11"/>
        <v>기출&gt;2012&gt;3</v>
      </c>
      <c r="U42" s="243" t="str">
        <f t="shared" si="12"/>
        <v>기출&gt;2012&gt;1</v>
      </c>
      <c r="W42" s="128" t="str">
        <f t="shared" si="13"/>
        <v>2012-1</v>
      </c>
    </row>
    <row r="43" spans="2:23" ht="14.45" customHeight="1" x14ac:dyDescent="0.2">
      <c r="B43" s="249">
        <f t="shared" si="7"/>
        <v>40</v>
      </c>
      <c r="C43" s="250">
        <v>2020</v>
      </c>
      <c r="D43" s="251" t="s">
        <v>196</v>
      </c>
      <c r="E43" s="251" t="s">
        <v>196</v>
      </c>
      <c r="F43" s="200" t="s">
        <v>1274</v>
      </c>
      <c r="G43" s="252" t="s">
        <v>2316</v>
      </c>
      <c r="H43" s="200" t="s">
        <v>1261</v>
      </c>
      <c r="I43" s="251" t="s">
        <v>199</v>
      </c>
      <c r="J43" s="321" t="s">
        <v>2144</v>
      </c>
      <c r="K43" s="251" t="s">
        <v>192</v>
      </c>
      <c r="L43" s="200" t="str">
        <f>VLOOKUP(W43,통합목록!$F$4:$I$586,3,0)</f>
        <v>석명의무의 의의, 내용과 대상, 범위, 한계, 위반의 효과</v>
      </c>
      <c r="M43" s="243" t="str">
        <f>VLOOKUP(W43,통합목록!$F$4:$I$586,4,0)</f>
        <v>열기2-04.민사소송법\02.문제\[기출][2020-2]석명의무의 의의, 내용과 대상, 범위, 한계, 위반의 효과.txt</v>
      </c>
      <c r="N43" s="243" t="s">
        <v>1125</v>
      </c>
      <c r="O43" s="243" t="str">
        <f>VLOOKUP(W43,통합목록!$F$4:$K$586,6,0)</f>
        <v>A</v>
      </c>
      <c r="P43" s="253" t="s">
        <v>2309</v>
      </c>
      <c r="Q43" s="243" t="str">
        <f t="shared" si="8"/>
        <v>제3편 제1심의 소송절차&gt;11&gt;2&gt;기출</v>
      </c>
      <c r="R43" s="243" t="str">
        <f t="shared" si="9"/>
        <v>제06장 변론&gt;03&gt;2&gt;기출</v>
      </c>
      <c r="S43" s="243" t="str">
        <f t="shared" si="10"/>
        <v>제06장 변론&gt;제02절 심리에 관한 제 원칙&gt;01</v>
      </c>
      <c r="T43" s="243" t="str">
        <f t="shared" si="11"/>
        <v>기출&gt;2020&gt;2</v>
      </c>
      <c r="U43" s="243" t="str">
        <f t="shared" si="12"/>
        <v>기출&gt;2020&gt;2</v>
      </c>
      <c r="W43" s="128" t="str">
        <f t="shared" si="13"/>
        <v>2020-2</v>
      </c>
    </row>
    <row r="44" spans="2:23" ht="14.45" customHeight="1" x14ac:dyDescent="0.2">
      <c r="B44" s="249">
        <f t="shared" si="7"/>
        <v>41</v>
      </c>
      <c r="C44" s="250">
        <v>2019</v>
      </c>
      <c r="D44" s="251" t="s">
        <v>190</v>
      </c>
      <c r="E44" s="251" t="s">
        <v>193</v>
      </c>
      <c r="F44" s="200" t="s">
        <v>1274</v>
      </c>
      <c r="G44" s="252" t="s">
        <v>2317</v>
      </c>
      <c r="H44" s="200" t="s">
        <v>1261</v>
      </c>
      <c r="I44" s="251" t="s">
        <v>201</v>
      </c>
      <c r="J44" s="321" t="s">
        <v>2144</v>
      </c>
      <c r="K44" s="251" t="s">
        <v>198</v>
      </c>
      <c r="L44" s="200" t="str">
        <f>VLOOKUP(W44,통합목록!$F$4:$I$586,3,0)</f>
        <v>피고의 일부변제 미주장 시 법원이 원고 청구액 전액을 인용한 판결의 타당성 여부</v>
      </c>
      <c r="M44" s="243" t="str">
        <f>VLOOKUP(W44,통합목록!$F$4:$I$586,4,0)</f>
        <v>열기2-04.민사소송법\02.문제\[기출][2019-1-1]피고의 일부변제 미주장 시 법원이 원고 청구액 전액을 인용한 판결의 타당성 여부.txt</v>
      </c>
      <c r="N44" s="243" t="s">
        <v>1125</v>
      </c>
      <c r="O44" s="243" t="str">
        <f>VLOOKUP(W44,통합목록!$F$4:$K$586,6,0)</f>
        <v>A</v>
      </c>
      <c r="P44" s="253"/>
      <c r="Q44" s="243" t="str">
        <f t="shared" si="8"/>
        <v>제3편 제1심의 소송절차&gt;12&gt;1-1&gt;기출</v>
      </c>
      <c r="R44" s="243" t="str">
        <f t="shared" si="9"/>
        <v>제06장 변론&gt;04&gt;1-1&gt;기출</v>
      </c>
      <c r="S44" s="243" t="str">
        <f t="shared" si="10"/>
        <v>제06장 변론&gt;제02절 심리에 관한 제 원칙&gt;02</v>
      </c>
      <c r="T44" s="243" t="str">
        <f t="shared" si="11"/>
        <v>기출&gt;2019&gt;4</v>
      </c>
      <c r="U44" s="243" t="str">
        <f t="shared" si="12"/>
        <v>기출&gt;2019&gt;1-1</v>
      </c>
      <c r="W44" s="128" t="str">
        <f t="shared" si="13"/>
        <v>2019-1-1</v>
      </c>
    </row>
    <row r="45" spans="2:23" ht="14.45" customHeight="1" x14ac:dyDescent="0.2">
      <c r="B45" s="249">
        <f t="shared" si="7"/>
        <v>42</v>
      </c>
      <c r="C45" s="250">
        <v>2014</v>
      </c>
      <c r="D45" s="251" t="s">
        <v>205</v>
      </c>
      <c r="E45" s="251" t="s">
        <v>195</v>
      </c>
      <c r="F45" s="200" t="s">
        <v>1274</v>
      </c>
      <c r="G45" s="252" t="s">
        <v>2324</v>
      </c>
      <c r="H45" s="200" t="s">
        <v>1261</v>
      </c>
      <c r="I45" s="251" t="s">
        <v>212</v>
      </c>
      <c r="J45" s="321" t="s">
        <v>2144</v>
      </c>
      <c r="K45" s="251" t="s">
        <v>199</v>
      </c>
      <c r="L45" s="200" t="str">
        <f>VLOOKUP(W45,통합목록!$F$4:$I$586,3,0)</f>
        <v>근로자가 청구하지 않은 임금지급을 명한 판결의 적법성 여부</v>
      </c>
      <c r="M45" s="243" t="str">
        <f>VLOOKUP(W45,통합목록!$F$4:$I$586,4,0)</f>
        <v>열기2-04.민사소송법\02.문제\[기출][2014-1-2]근로자가 청구하지 않은 임금지급을 명한 판결의 적법성 여부.txt</v>
      </c>
      <c r="N45" s="243" t="s">
        <v>1125</v>
      </c>
      <c r="O45" s="243" t="str">
        <f>VLOOKUP(W45,통합목록!$F$4:$K$586,6,0)</f>
        <v>A</v>
      </c>
      <c r="P45" s="253"/>
      <c r="Q45" s="243" t="str">
        <f t="shared" si="8"/>
        <v>제3편 제1심의 소송절차&gt;19&gt;1-2&gt;기출</v>
      </c>
      <c r="R45" s="243" t="str">
        <f t="shared" si="9"/>
        <v>제06장 변론&gt;08&gt;1-2&gt;기출</v>
      </c>
      <c r="S45" s="243" t="str">
        <f t="shared" si="10"/>
        <v>제06장 변론&gt;제02절 심리에 관한 제 원칙&gt;03</v>
      </c>
      <c r="T45" s="243" t="str">
        <f t="shared" si="11"/>
        <v>기출&gt;2014&gt;3</v>
      </c>
      <c r="U45" s="243" t="str">
        <f t="shared" si="12"/>
        <v>기출&gt;2014&gt;1-2</v>
      </c>
      <c r="W45" s="128" t="str">
        <f t="shared" si="13"/>
        <v>2014-1-2</v>
      </c>
    </row>
    <row r="46" spans="2:23" ht="14.45" customHeight="1" x14ac:dyDescent="0.2">
      <c r="B46" s="249">
        <f t="shared" si="7"/>
        <v>43</v>
      </c>
      <c r="C46" s="250">
        <v>2011</v>
      </c>
      <c r="D46" s="251" t="s">
        <v>197</v>
      </c>
      <c r="E46" s="251" t="s">
        <v>195</v>
      </c>
      <c r="F46" s="200" t="s">
        <v>1274</v>
      </c>
      <c r="G46" s="252" t="s">
        <v>2329</v>
      </c>
      <c r="H46" s="200" t="s">
        <v>1261</v>
      </c>
      <c r="I46" s="251" t="s">
        <v>217</v>
      </c>
      <c r="J46" s="321" t="s">
        <v>2144</v>
      </c>
      <c r="K46" s="251" t="s">
        <v>201</v>
      </c>
      <c r="L46" s="200" t="str">
        <f>VLOOKUP(W46,통합목록!$F$4:$I$586,3,0)</f>
        <v>교통사고 손해배상청구에서 개별 항목별 청구액을 초과하여 인정한 판결의 적법성 여부</v>
      </c>
      <c r="M46" s="243" t="str">
        <f>VLOOKUP(W46,통합목록!$F$4:$I$586,4,0)</f>
        <v>열기2-04.민사소송법\02.문제\[기출][2011-1]교통사고 손해배상청구에서 개별 항목별 청구액을 초과하여 인정한 판결의 적법성 여부.txt</v>
      </c>
      <c r="N46" s="243" t="s">
        <v>1125</v>
      </c>
      <c r="O46" s="243" t="str">
        <f>VLOOKUP(W46,통합목록!$F$4:$K$586,6,0)</f>
        <v>A</v>
      </c>
      <c r="P46" s="253"/>
      <c r="Q46" s="243" t="str">
        <f t="shared" si="8"/>
        <v>제3편 제1심의 소송절차&gt;24&gt;1&gt;기출</v>
      </c>
      <c r="R46" s="243" t="str">
        <f t="shared" si="9"/>
        <v>제06장 변론&gt;10&gt;1&gt;기출</v>
      </c>
      <c r="S46" s="243" t="str">
        <f t="shared" si="10"/>
        <v>제06장 변론&gt;제02절 심리에 관한 제 원칙&gt;04</v>
      </c>
      <c r="T46" s="243" t="str">
        <f t="shared" si="11"/>
        <v>기출&gt;2011&gt;3</v>
      </c>
      <c r="U46" s="243" t="str">
        <f t="shared" si="12"/>
        <v>기출&gt;2011&gt;1</v>
      </c>
      <c r="W46" s="128" t="str">
        <f t="shared" si="13"/>
        <v>2011-1</v>
      </c>
    </row>
    <row r="47" spans="2:23" ht="14.45" customHeight="1" x14ac:dyDescent="0.2">
      <c r="B47" s="249">
        <f t="shared" si="7"/>
        <v>44</v>
      </c>
      <c r="C47" s="255">
        <v>6.02</v>
      </c>
      <c r="D47" s="251" t="s">
        <v>2270</v>
      </c>
      <c r="E47" s="251" t="s">
        <v>2272</v>
      </c>
      <c r="F47" s="200" t="s">
        <v>1274</v>
      </c>
      <c r="G47" s="252" t="s">
        <v>2341</v>
      </c>
      <c r="H47" s="200" t="s">
        <v>1261</v>
      </c>
      <c r="I47" s="251" t="s">
        <v>2279</v>
      </c>
      <c r="J47" s="321" t="s">
        <v>2144</v>
      </c>
      <c r="K47" s="251" t="s">
        <v>2280</v>
      </c>
      <c r="L47" s="200" t="str">
        <f>VLOOKUP(W47,통합목록!$F$4:$I$586,3,0)</f>
        <v>처분권주의의 의의 및 적용 영역, 제한 및 예외, 위반의 효과</v>
      </c>
      <c r="M47" s="243" t="str">
        <f>VLOOKUP(W47,통합목록!$F$4:$I$586,4,0)</f>
        <v>열기2-04.민사소송법\02.문제\[모의][06.02-1]처분권주의의 의의 및 적용 영역, 제한 및 예외, 위반의 효과.txt</v>
      </c>
      <c r="N47" s="243" t="s">
        <v>2771</v>
      </c>
      <c r="O47" s="243" t="str">
        <f>VLOOKUP(W47,통합목록!$F$4:$K$586,6,0)</f>
        <v>A</v>
      </c>
      <c r="P47" s="253" t="s">
        <v>2309</v>
      </c>
      <c r="Q47" s="243" t="str">
        <f t="shared" si="8"/>
        <v>제3편 제1심의 소송절차&gt;36&gt;1&gt;모의</v>
      </c>
      <c r="R47" s="243" t="str">
        <f t="shared" si="9"/>
        <v>제06장 변론&gt;11&gt;1&gt;모의</v>
      </c>
      <c r="S47" s="243" t="str">
        <f t="shared" si="10"/>
        <v>제06장 변론&gt;제02절 심리에 관한 제 원칙&gt;05</v>
      </c>
      <c r="T47" s="243" t="str">
        <f t="shared" si="11"/>
        <v>모의&gt;6.02&gt;2</v>
      </c>
      <c r="U47" s="243" t="str">
        <f t="shared" si="12"/>
        <v>모의&gt;6.02&gt;1</v>
      </c>
      <c r="W47" s="128" t="str">
        <f t="shared" si="13"/>
        <v>6.02-1</v>
      </c>
    </row>
    <row r="48" spans="2:23" ht="14.45" customHeight="1" x14ac:dyDescent="0.2">
      <c r="B48" s="249">
        <f t="shared" si="7"/>
        <v>45</v>
      </c>
      <c r="C48" s="255">
        <v>6.02</v>
      </c>
      <c r="D48" s="251" t="s">
        <v>2272</v>
      </c>
      <c r="E48" s="251" t="s">
        <v>2270</v>
      </c>
      <c r="F48" s="200" t="s">
        <v>1274</v>
      </c>
      <c r="G48" s="252" t="s">
        <v>2342</v>
      </c>
      <c r="H48" s="200" t="s">
        <v>1261</v>
      </c>
      <c r="I48" s="251" t="s">
        <v>2277</v>
      </c>
      <c r="J48" s="321" t="s">
        <v>2144</v>
      </c>
      <c r="K48" s="251" t="s">
        <v>2281</v>
      </c>
      <c r="L48" s="200" t="str">
        <f>VLOOKUP(W48,통합목록!$F$4:$I$586,3,0)</f>
        <v>주요사실과 간접사실의 개념, 구별기준, 소송법상 실익</v>
      </c>
      <c r="M48" s="243" t="str">
        <f>VLOOKUP(W48,통합목록!$F$4:$I$586,4,0)</f>
        <v>열기2-04.민사소송법\02.문제\[모의][06.02-2]주요사실과 간접사실의 개념, 구별기준, 소송법상 실익.txt</v>
      </c>
      <c r="N48" s="243" t="s">
        <v>2771</v>
      </c>
      <c r="O48" s="243" t="str">
        <f>VLOOKUP(W48,통합목록!$F$4:$K$586,6,0)</f>
        <v>A</v>
      </c>
      <c r="P48" s="253" t="s">
        <v>2309</v>
      </c>
      <c r="Q48" s="243" t="str">
        <f t="shared" si="8"/>
        <v>제3편 제1심의 소송절차&gt;37&gt;2&gt;모의</v>
      </c>
      <c r="R48" s="243" t="str">
        <f t="shared" si="9"/>
        <v>제06장 변론&gt;12&gt;2&gt;모의</v>
      </c>
      <c r="S48" s="243" t="str">
        <f t="shared" si="10"/>
        <v>제06장 변론&gt;제02절 심리에 관한 제 원칙&gt;06</v>
      </c>
      <c r="T48" s="243" t="str">
        <f t="shared" si="11"/>
        <v>모의&gt;6.02&gt;1</v>
      </c>
      <c r="U48" s="243" t="str">
        <f t="shared" si="12"/>
        <v>모의&gt;6.02&gt;2</v>
      </c>
      <c r="W48" s="128" t="str">
        <f t="shared" si="13"/>
        <v>6.02-2</v>
      </c>
    </row>
    <row r="49" spans="2:23" ht="14.45" customHeight="1" x14ac:dyDescent="0.2">
      <c r="B49" s="249">
        <f t="shared" si="7"/>
        <v>46</v>
      </c>
      <c r="C49" s="250">
        <v>2012</v>
      </c>
      <c r="D49" s="251" t="s">
        <v>196</v>
      </c>
      <c r="E49" s="251" t="s">
        <v>196</v>
      </c>
      <c r="F49" s="200" t="s">
        <v>1274</v>
      </c>
      <c r="G49" s="252" t="s">
        <v>2328</v>
      </c>
      <c r="H49" s="200" t="s">
        <v>1261</v>
      </c>
      <c r="I49" s="251" t="s">
        <v>216</v>
      </c>
      <c r="J49" s="321" t="s">
        <v>2148</v>
      </c>
      <c r="K49" s="251" t="s">
        <v>192</v>
      </c>
      <c r="L49" s="200" t="str">
        <f>VLOOKUP(W49,통합목록!$F$4:$I$586,3,0)</f>
        <v>준비서면을 제출하지 않았을 때의 효과</v>
      </c>
      <c r="M49" s="243" t="str">
        <f>VLOOKUP(W49,통합목록!$F$4:$I$586,4,0)</f>
        <v>열기2-04.민사소송법\02.문제\[기출][2012-2]준비서면을 제출하지 않았을 때의 효과.txt</v>
      </c>
      <c r="N49" s="243" t="s">
        <v>1125</v>
      </c>
      <c r="O49" s="243" t="str">
        <f>VLOOKUP(W49,통합목록!$F$4:$K$586,6,0)</f>
        <v>B</v>
      </c>
      <c r="P49" s="253" t="s">
        <v>2309</v>
      </c>
      <c r="Q49" s="243" t="str">
        <f t="shared" si="8"/>
        <v>제3편 제1심의 소송절차&gt;23&gt;2&gt;기출</v>
      </c>
      <c r="R49" s="243" t="str">
        <f t="shared" si="9"/>
        <v>제06장 변론&gt;09&gt;2&gt;기출</v>
      </c>
      <c r="S49" s="243" t="str">
        <f t="shared" si="10"/>
        <v>제06장 변론&gt;제03절 변론의 준비&gt;01</v>
      </c>
      <c r="T49" s="243" t="str">
        <f t="shared" si="11"/>
        <v>기출&gt;2012&gt;2</v>
      </c>
      <c r="U49" s="243" t="str">
        <f t="shared" si="12"/>
        <v>기출&gt;2012&gt;2</v>
      </c>
      <c r="W49" s="128" t="str">
        <f t="shared" si="13"/>
        <v>2012-2</v>
      </c>
    </row>
    <row r="50" spans="2:23" ht="14.45" customHeight="1" x14ac:dyDescent="0.2">
      <c r="B50" s="249">
        <f t="shared" si="7"/>
        <v>47</v>
      </c>
      <c r="C50" s="250">
        <v>2022</v>
      </c>
      <c r="D50" s="251" t="s">
        <v>196</v>
      </c>
      <c r="E50" s="251" t="s">
        <v>196</v>
      </c>
      <c r="F50" s="200" t="s">
        <v>1274</v>
      </c>
      <c r="G50" s="252" t="s">
        <v>2314</v>
      </c>
      <c r="H50" s="200" t="s">
        <v>1261</v>
      </c>
      <c r="I50" s="251" t="s">
        <v>198</v>
      </c>
      <c r="J50" s="321" t="s">
        <v>2142</v>
      </c>
      <c r="K50" s="251" t="s">
        <v>192</v>
      </c>
      <c r="L50" s="200" t="str">
        <f>VLOOKUP(W50,통합목록!$F$4:$I$586,3,0)</f>
        <v>소송상 항변의 의의, 부인과의 구별, 항변의 종류, 제출요건과 시기</v>
      </c>
      <c r="M50" s="243" t="str">
        <f>VLOOKUP(W50,통합목록!$F$4:$I$586,4,0)</f>
        <v>열기2-04.민사소송법\02.문제\[기출][2022-2]소송상 항변의 의의, 부인과의 구별, 항변의 종류, 제출요건과 시기.txt</v>
      </c>
      <c r="N50" s="243" t="s">
        <v>1125</v>
      </c>
      <c r="O50" s="243" t="str">
        <f>VLOOKUP(W50,통합목록!$F$4:$K$586,6,0)</f>
        <v>B</v>
      </c>
      <c r="P50" s="253" t="s">
        <v>2309</v>
      </c>
      <c r="Q50" s="243" t="str">
        <f t="shared" si="8"/>
        <v>제3편 제1심의 소송절차&gt;09&gt;2&gt;기출</v>
      </c>
      <c r="R50" s="243" t="str">
        <f t="shared" si="9"/>
        <v>제06장 변론&gt;02&gt;2&gt;기출</v>
      </c>
      <c r="S50" s="243" t="str">
        <f t="shared" si="10"/>
        <v>제06장 변론&gt;제04절 변론&gt;01</v>
      </c>
      <c r="T50" s="243" t="str">
        <f t="shared" si="11"/>
        <v>기출&gt;2022&gt;2</v>
      </c>
      <c r="U50" s="243" t="str">
        <f t="shared" si="12"/>
        <v>기출&gt;2022&gt;2</v>
      </c>
      <c r="W50" s="128" t="str">
        <f t="shared" si="13"/>
        <v>2022-2</v>
      </c>
    </row>
    <row r="51" spans="2:23" ht="14.45" customHeight="1" x14ac:dyDescent="0.2">
      <c r="B51" s="249">
        <f t="shared" si="7"/>
        <v>48</v>
      </c>
      <c r="C51" s="250">
        <v>2017</v>
      </c>
      <c r="D51" s="251" t="s">
        <v>196</v>
      </c>
      <c r="E51" s="251" t="s">
        <v>195</v>
      </c>
      <c r="F51" s="200" t="s">
        <v>1274</v>
      </c>
      <c r="G51" s="252" t="s">
        <v>2320</v>
      </c>
      <c r="H51" s="200" t="s">
        <v>1261</v>
      </c>
      <c r="I51" s="251" t="s">
        <v>204</v>
      </c>
      <c r="J51" s="321" t="s">
        <v>2146</v>
      </c>
      <c r="K51" s="251" t="s">
        <v>192</v>
      </c>
      <c r="L51" s="200" t="str">
        <f>VLOOKUP(W51,통합목록!$F$4:$I$586,3,0)</f>
        <v>자백간주의 의의, 성립 요건, 효력, 적용 범위 및 제한</v>
      </c>
      <c r="M51" s="243" t="str">
        <f>VLOOKUP(W51,통합목록!$F$4:$I$586,4,0)</f>
        <v>열기2-04.민사소송법\02.문제\[기출][2017-2]자백간주의 의의, 성립 요건, 효력, 적용 범위 및 제한.txt</v>
      </c>
      <c r="N51" s="243" t="s">
        <v>1125</v>
      </c>
      <c r="O51" s="243" t="str">
        <f>VLOOKUP(W51,통합목록!$F$4:$K$586,6,0)</f>
        <v>B</v>
      </c>
      <c r="P51" s="253" t="s">
        <v>2309</v>
      </c>
      <c r="Q51" s="243" t="str">
        <f t="shared" si="8"/>
        <v>제3편 제1심의 소송절차&gt;15&gt;2&gt;기출</v>
      </c>
      <c r="R51" s="243" t="str">
        <f t="shared" si="9"/>
        <v>제06장 변론&gt;05&gt;2&gt;기출</v>
      </c>
      <c r="S51" s="243" t="str">
        <f t="shared" si="10"/>
        <v>제06장 변론&gt;제06절 변론기일에서의 당사자의 결석&gt;01</v>
      </c>
      <c r="T51" s="243" t="str">
        <f t="shared" si="11"/>
        <v>기출&gt;2017&gt;3</v>
      </c>
      <c r="U51" s="243" t="str">
        <f t="shared" si="12"/>
        <v>기출&gt;2017&gt;2</v>
      </c>
      <c r="W51" s="128" t="str">
        <f t="shared" si="13"/>
        <v>2017-2</v>
      </c>
    </row>
    <row r="52" spans="2:23" ht="14.45" customHeight="1" x14ac:dyDescent="0.2">
      <c r="B52" s="249">
        <f t="shared" si="7"/>
        <v>49</v>
      </c>
      <c r="C52" s="250">
        <v>2024</v>
      </c>
      <c r="D52" s="251" t="s">
        <v>195</v>
      </c>
      <c r="E52" s="251" t="s">
        <v>197</v>
      </c>
      <c r="F52" s="200" t="s">
        <v>1274</v>
      </c>
      <c r="G52" s="252" t="s">
        <v>2311</v>
      </c>
      <c r="H52" s="200" t="s">
        <v>1261</v>
      </c>
      <c r="I52" s="251" t="s">
        <v>192</v>
      </c>
      <c r="J52" s="321" t="s">
        <v>2140</v>
      </c>
      <c r="K52" s="251" t="s">
        <v>192</v>
      </c>
      <c r="L52" s="200" t="str">
        <f>VLOOKUP(W52,통합목록!$F$4:$I$586,3,0)</f>
        <v>보충송달의 의의, 요건, 제한과 예외, 효력 발생, 불능 시 조치</v>
      </c>
      <c r="M52" s="243" t="str">
        <f>VLOOKUP(W52,통합목록!$F$4:$I$586,4,0)</f>
        <v>열기2-04.민사소송법\02.문제\[기출][2024-3]보충송달의 의의, 요건, 제한과 예외, 효력 발생, 불능 시 조치.txt</v>
      </c>
      <c r="N52" s="243" t="s">
        <v>1125</v>
      </c>
      <c r="O52" s="243" t="str">
        <f>VLOOKUP(W52,통합목록!$F$4:$K$586,6,0)</f>
        <v>C</v>
      </c>
      <c r="P52" s="253" t="s">
        <v>2309</v>
      </c>
      <c r="Q52" s="243" t="str">
        <f t="shared" si="8"/>
        <v>제3편 제1심의 소송절차&gt;06&gt;3&gt;기출</v>
      </c>
      <c r="R52" s="243" t="str">
        <f t="shared" si="9"/>
        <v>제06장 변론&gt;01&gt;3&gt;기출</v>
      </c>
      <c r="S52" s="243" t="str">
        <f t="shared" si="10"/>
        <v>제06장 변론&gt;제07절 기일・기간 및 송달&gt;01</v>
      </c>
      <c r="T52" s="243" t="str">
        <f t="shared" si="11"/>
        <v>기출&gt;2024&gt;1</v>
      </c>
      <c r="U52" s="243" t="str">
        <f t="shared" si="12"/>
        <v>기출&gt;2024&gt;3</v>
      </c>
      <c r="W52" s="128" t="str">
        <f t="shared" si="13"/>
        <v>2024-3</v>
      </c>
    </row>
    <row r="53" spans="2:23" ht="14.45" customHeight="1" x14ac:dyDescent="0.2">
      <c r="B53" s="249">
        <f t="shared" si="7"/>
        <v>50</v>
      </c>
      <c r="C53" s="250">
        <v>2016</v>
      </c>
      <c r="D53" s="251" t="s">
        <v>196</v>
      </c>
      <c r="E53" s="251" t="s">
        <v>196</v>
      </c>
      <c r="F53" s="200" t="s">
        <v>1274</v>
      </c>
      <c r="G53" s="252" t="s">
        <v>2322</v>
      </c>
      <c r="H53" s="200" t="s">
        <v>1261</v>
      </c>
      <c r="I53" s="251" t="s">
        <v>208</v>
      </c>
      <c r="J53" s="321" t="s">
        <v>2140</v>
      </c>
      <c r="K53" s="251" t="s">
        <v>198</v>
      </c>
      <c r="L53" s="200" t="str">
        <f>VLOOKUP(W53,통합목록!$F$4:$I$586,3,0)</f>
        <v>공시송달의 의의, 요건, 절차 및 효력</v>
      </c>
      <c r="M53" s="243" t="str">
        <f>VLOOKUP(W53,통합목록!$F$4:$I$586,4,0)</f>
        <v>열기2-04.민사소송법\02.문제\[기출][2016-2]공시송달의 의의, 요건, 절차 및 효력.txt</v>
      </c>
      <c r="N53" s="243" t="s">
        <v>1125</v>
      </c>
      <c r="O53" s="243" t="str">
        <f>VLOOKUP(W53,통합목록!$F$4:$K$586,6,0)</f>
        <v>C</v>
      </c>
      <c r="P53" s="253" t="s">
        <v>2309</v>
      </c>
      <c r="Q53" s="243" t="str">
        <f t="shared" si="8"/>
        <v>제3편 제1심의 소송절차&gt;17&gt;2&gt;기출</v>
      </c>
      <c r="R53" s="243" t="str">
        <f t="shared" si="9"/>
        <v>제06장 변론&gt;06&gt;2&gt;기출</v>
      </c>
      <c r="S53" s="243" t="str">
        <f t="shared" si="10"/>
        <v>제06장 변론&gt;제07절 기일・기간 및 송달&gt;02</v>
      </c>
      <c r="T53" s="243" t="str">
        <f t="shared" si="11"/>
        <v>기출&gt;2016&gt;2</v>
      </c>
      <c r="U53" s="243" t="str">
        <f t="shared" si="12"/>
        <v>기출&gt;2016&gt;2</v>
      </c>
      <c r="W53" s="128" t="str">
        <f t="shared" si="13"/>
        <v>2016-2</v>
      </c>
    </row>
    <row r="54" spans="2:23" ht="14.45" customHeight="1" x14ac:dyDescent="0.2">
      <c r="B54" s="249">
        <f t="shared" si="7"/>
        <v>51</v>
      </c>
      <c r="C54" s="250">
        <v>2015</v>
      </c>
      <c r="D54" s="251" t="s">
        <v>205</v>
      </c>
      <c r="E54" s="251" t="s">
        <v>195</v>
      </c>
      <c r="F54" s="200" t="s">
        <v>1274</v>
      </c>
      <c r="G54" s="252" t="s">
        <v>2323</v>
      </c>
      <c r="H54" s="200" t="s">
        <v>1261</v>
      </c>
      <c r="I54" s="251" t="s">
        <v>209</v>
      </c>
      <c r="J54" s="321" t="s">
        <v>2140</v>
      </c>
      <c r="K54" s="251" t="s">
        <v>199</v>
      </c>
      <c r="L54" s="200" t="str">
        <f>VLOOKUP(W54,통합목록!$F$4:$I$586,3,0)</f>
        <v>피고 은행의 소장부본을 은행 사무원에게 우체국 창구에서 교부한 송달의 적법 여부</v>
      </c>
      <c r="M54" s="243" t="str">
        <f>VLOOKUP(W54,통합목록!$F$4:$I$586,4,0)</f>
        <v>열기2-04.민사소송법\02.문제\[기출][2015-1-2]피고 은행의 소장부본을 은행 사무원에게 우체국 창구에서 교부한 송달의 적법 여부.txt</v>
      </c>
      <c r="N54" s="243" t="s">
        <v>1125</v>
      </c>
      <c r="O54" s="243" t="str">
        <f>VLOOKUP(W54,통합목록!$F$4:$K$586,6,0)</f>
        <v>C</v>
      </c>
      <c r="P54" s="253"/>
      <c r="Q54" s="243" t="str">
        <f t="shared" si="8"/>
        <v>제3편 제1심의 소송절차&gt;18&gt;1-2&gt;기출</v>
      </c>
      <c r="R54" s="243" t="str">
        <f t="shared" si="9"/>
        <v>제06장 변론&gt;07&gt;1-2&gt;기출</v>
      </c>
      <c r="S54" s="243" t="str">
        <f t="shared" si="10"/>
        <v>제06장 변론&gt;제07절 기일・기간 및 송달&gt;03</v>
      </c>
      <c r="T54" s="243" t="str">
        <f t="shared" si="11"/>
        <v>기출&gt;2015&gt;3</v>
      </c>
      <c r="U54" s="243" t="str">
        <f t="shared" si="12"/>
        <v>기출&gt;2015&gt;1-2</v>
      </c>
      <c r="W54" s="128" t="str">
        <f t="shared" si="13"/>
        <v>2015-1-2</v>
      </c>
    </row>
    <row r="55" spans="2:23" ht="14.45" customHeight="1" x14ac:dyDescent="0.2">
      <c r="B55" s="249">
        <f t="shared" si="7"/>
        <v>52</v>
      </c>
      <c r="C55" s="255">
        <v>6.08</v>
      </c>
      <c r="D55" s="251" t="s">
        <v>214</v>
      </c>
      <c r="E55" s="251" t="s">
        <v>196</v>
      </c>
      <c r="F55" s="200" t="s">
        <v>1274</v>
      </c>
      <c r="G55" s="252" t="s">
        <v>2343</v>
      </c>
      <c r="H55" s="200" t="s">
        <v>1261</v>
      </c>
      <c r="I55" s="251" t="s">
        <v>220</v>
      </c>
      <c r="J55" s="321" t="s">
        <v>2154</v>
      </c>
      <c r="K55" s="251" t="s">
        <v>192</v>
      </c>
      <c r="L55" s="200" t="str">
        <f>VLOOKUP(W55,통합목록!$F$4:$I$586,3,0)</f>
        <v>소송대리인이 있는 경우의 소송절차 중단 예외와 판결의 효력 및 수계절차</v>
      </c>
      <c r="M55" s="243" t="str">
        <f>VLOOKUP(W55,통합목록!$F$4:$I$586,4,0)</f>
        <v>열기2-04.민사소송법\02.문제\[모의][06.08-1]소송대리인이 있는 경우의 소송절차 중단 예외와 판결의 효력 및 수계절차.txt</v>
      </c>
      <c r="N55" s="243" t="s">
        <v>2771</v>
      </c>
      <c r="O55" s="243" t="str">
        <f>VLOOKUP(W55,통합목록!$F$4:$K$586,6,0)</f>
        <v>B</v>
      </c>
      <c r="P55" s="253"/>
      <c r="Q55" s="243" t="str">
        <f t="shared" si="8"/>
        <v>제3편 제1심의 소송절차&gt;38&gt;1&gt;모의</v>
      </c>
      <c r="R55" s="243" t="str">
        <f t="shared" si="9"/>
        <v>제06장 변론&gt;13&gt;1&gt;모의</v>
      </c>
      <c r="S55" s="243" t="str">
        <f t="shared" si="10"/>
        <v>제06장 변론&gt;제08절 소송절차의 정지&gt;01</v>
      </c>
      <c r="T55" s="243" t="str">
        <f t="shared" si="11"/>
        <v>모의&gt;6.08&gt;2</v>
      </c>
      <c r="U55" s="243" t="str">
        <f t="shared" si="12"/>
        <v>모의&gt;6.08&gt;1</v>
      </c>
      <c r="W55" s="128" t="str">
        <f t="shared" si="13"/>
        <v>6.08-1</v>
      </c>
    </row>
    <row r="56" spans="2:23" ht="14.45" customHeight="1" x14ac:dyDescent="0.2">
      <c r="B56" s="249">
        <f t="shared" si="7"/>
        <v>53</v>
      </c>
      <c r="C56" s="255">
        <v>6.08</v>
      </c>
      <c r="D56" s="251" t="s">
        <v>206</v>
      </c>
      <c r="E56" s="251" t="s">
        <v>197</v>
      </c>
      <c r="F56" s="200" t="s">
        <v>1274</v>
      </c>
      <c r="G56" s="252" t="s">
        <v>2344</v>
      </c>
      <c r="H56" s="200" t="s">
        <v>1261</v>
      </c>
      <c r="I56" s="251" t="s">
        <v>221</v>
      </c>
      <c r="J56" s="321" t="s">
        <v>2154</v>
      </c>
      <c r="K56" s="251" t="s">
        <v>198</v>
      </c>
      <c r="L56" s="200" t="str">
        <f>VLOOKUP(W56,통합목록!$F$4:$I$586,3,0)</f>
        <v>원고의 파산선고에 따른 소송절차 중단과 수계 및 판결의 효력</v>
      </c>
      <c r="M56" s="243" t="str">
        <f>VLOOKUP(W56,통합목록!$F$4:$I$586,4,0)</f>
        <v>열기2-04.민사소송법\02.문제\[모의][06.08-2]원고의 파산선고에 따른 소송절차 중단과 수계 및 판결의 효력.txt</v>
      </c>
      <c r="N56" s="243" t="s">
        <v>2771</v>
      </c>
      <c r="O56" s="243" t="str">
        <f>VLOOKUP(W56,통합목록!$F$4:$K$586,6,0)</f>
        <v>B</v>
      </c>
      <c r="P56" s="253"/>
      <c r="Q56" s="243" t="str">
        <f t="shared" si="8"/>
        <v>제3편 제1심의 소송절차&gt;39&gt;2&gt;모의</v>
      </c>
      <c r="R56" s="243" t="str">
        <f t="shared" si="9"/>
        <v>제06장 변론&gt;14&gt;2&gt;모의</v>
      </c>
      <c r="S56" s="243" t="str">
        <f t="shared" si="10"/>
        <v>제06장 변론&gt;제08절 소송절차의 정지&gt;02</v>
      </c>
      <c r="T56" s="243" t="str">
        <f t="shared" si="11"/>
        <v>모의&gt;6.08&gt;1</v>
      </c>
      <c r="U56" s="243" t="str">
        <f t="shared" si="12"/>
        <v>모의&gt;6.08&gt;2</v>
      </c>
      <c r="W56" s="128" t="str">
        <f t="shared" si="13"/>
        <v>6.08-2</v>
      </c>
    </row>
    <row r="57" spans="2:23" ht="14.45" customHeight="1" x14ac:dyDescent="0.2">
      <c r="B57" s="249">
        <f t="shared" si="7"/>
        <v>54</v>
      </c>
      <c r="C57" s="250">
        <v>2025</v>
      </c>
      <c r="D57" s="251" t="s">
        <v>203</v>
      </c>
      <c r="E57" s="251" t="s">
        <v>2859</v>
      </c>
      <c r="F57" s="200" t="s">
        <v>1274</v>
      </c>
      <c r="G57" s="252" t="s">
        <v>1300</v>
      </c>
      <c r="H57" s="200" t="s">
        <v>1263</v>
      </c>
      <c r="I57" s="251" t="s">
        <v>1300</v>
      </c>
      <c r="J57" s="321" t="s">
        <v>2138</v>
      </c>
      <c r="K57" s="251" t="s">
        <v>2855</v>
      </c>
      <c r="L57" s="200" t="str">
        <f>VLOOKUP(W57,통합목록!$F$4:$I$586,3,0)</f>
        <v>대여금 청구 소송에서 당사자 간 주장 및 증거 제출에 따른 법원의 판결 방향</v>
      </c>
      <c r="M57" s="243" t="str">
        <f>VLOOKUP(W57,통합목록!$F$4:$I$586,4,0)</f>
        <v>열기2-04.민사소송법\02.문제\[기출][2025-1-1]대여금 청구 소송에서 당사자 간 주장 및 증거 제출에 따른 법원의 판결 방향.txt</v>
      </c>
      <c r="N57" s="243" t="s">
        <v>1193</v>
      </c>
      <c r="O57" s="243" t="str">
        <f>VLOOKUP(W57,통합목록!$F$4:$K$586,6,0)</f>
        <v>C</v>
      </c>
      <c r="P57" s="253"/>
      <c r="Q57" s="243" t="str">
        <f t="shared" si="8"/>
        <v>제3편 제1심의 소송절차&gt;01&gt;1-1&gt;기출</v>
      </c>
      <c r="R57" s="243" t="str">
        <f t="shared" si="9"/>
        <v>제07장 증거&gt;01&gt;1-1&gt;기출</v>
      </c>
      <c r="S57" s="243" t="str">
        <f t="shared" si="10"/>
        <v>제07장 증거&gt;제01절 증거의 총설&gt;01</v>
      </c>
      <c r="T57" s="243" t="str">
        <f t="shared" si="11"/>
        <v>기출&gt;2025&gt;7</v>
      </c>
      <c r="U57" s="243" t="str">
        <f t="shared" si="12"/>
        <v>기출&gt;2025&gt;1-1</v>
      </c>
      <c r="W57" s="128" t="str">
        <f t="shared" si="13"/>
        <v>2025-1-1</v>
      </c>
    </row>
    <row r="58" spans="2:23" ht="14.45" customHeight="1" x14ac:dyDescent="0.2">
      <c r="B58" s="249">
        <f t="shared" si="7"/>
        <v>55</v>
      </c>
      <c r="C58" s="255">
        <v>7.02</v>
      </c>
      <c r="D58" s="251" t="s">
        <v>214</v>
      </c>
      <c r="E58" s="251" t="s">
        <v>196</v>
      </c>
      <c r="F58" s="200" t="s">
        <v>1274</v>
      </c>
      <c r="G58" s="252" t="s">
        <v>2345</v>
      </c>
      <c r="H58" s="200" t="s">
        <v>1263</v>
      </c>
      <c r="I58" s="251" t="s">
        <v>2316</v>
      </c>
      <c r="J58" s="321" t="s">
        <v>2155</v>
      </c>
      <c r="K58" s="251" t="s">
        <v>192</v>
      </c>
      <c r="L58" s="200" t="str">
        <f>VLOOKUP(W58,통합목록!$F$4:$I$586,3,0)</f>
        <v>재판상 자백의 성립 요건과 자백 취소의 허용 여부 및 요건</v>
      </c>
      <c r="M58" s="243" t="str">
        <f>VLOOKUP(W58,통합목록!$F$4:$I$586,4,0)</f>
        <v>열기2-04.민사소송법\02.문제\[모의][07.02-1]재판상 자백의 성립 요건과 자백 취소의 허용 여부 및 요건.txt</v>
      </c>
      <c r="N58" s="243" t="s">
        <v>2771</v>
      </c>
      <c r="O58" s="243" t="str">
        <f>VLOOKUP(W58,통합목록!$F$4:$K$586,6,0)</f>
        <v>C</v>
      </c>
      <c r="P58" s="253"/>
      <c r="Q58" s="243" t="str">
        <f t="shared" si="8"/>
        <v>제3편 제1심의 소송절차&gt;40&gt;1&gt;모의</v>
      </c>
      <c r="R58" s="243" t="str">
        <f t="shared" si="9"/>
        <v>제07장 증거&gt;11&gt;1&gt;모의</v>
      </c>
      <c r="S58" s="243" t="str">
        <f t="shared" si="10"/>
        <v>제07장 증거&gt;제02절 증명의 대상&gt;01</v>
      </c>
      <c r="T58" s="243" t="str">
        <f t="shared" si="11"/>
        <v>모의&gt;7.02&gt;2</v>
      </c>
      <c r="U58" s="243" t="str">
        <f t="shared" si="12"/>
        <v>모의&gt;7.02&gt;1</v>
      </c>
      <c r="W58" s="128" t="str">
        <f t="shared" si="13"/>
        <v>7.02-1</v>
      </c>
    </row>
    <row r="59" spans="2:23" ht="14.45" customHeight="1" x14ac:dyDescent="0.2">
      <c r="B59" s="249">
        <f t="shared" si="7"/>
        <v>56</v>
      </c>
      <c r="C59" s="255">
        <v>7.02</v>
      </c>
      <c r="D59" s="251" t="s">
        <v>206</v>
      </c>
      <c r="E59" s="251" t="s">
        <v>197</v>
      </c>
      <c r="F59" s="200" t="s">
        <v>1274</v>
      </c>
      <c r="G59" s="252" t="s">
        <v>2346</v>
      </c>
      <c r="H59" s="200" t="s">
        <v>1263</v>
      </c>
      <c r="I59" s="251" t="s">
        <v>2317</v>
      </c>
      <c r="J59" s="321" t="s">
        <v>2155</v>
      </c>
      <c r="K59" s="251" t="s">
        <v>198</v>
      </c>
      <c r="L59" s="200" t="str">
        <f>VLOOKUP(W59,통합목록!$F$4:$I$586,3,0)</f>
        <v>현저한 사실의 의의와 범위 및 이를 근거로 한 판결의 절차적 요건</v>
      </c>
      <c r="M59" s="243" t="str">
        <f>VLOOKUP(W59,통합목록!$F$4:$I$586,4,0)</f>
        <v>열기2-04.민사소송법\02.문제\[모의][07.02-2]현저한 사실의 의의와 범위 및 이를 근거로 한 판결의 절차적 요건.txt</v>
      </c>
      <c r="N59" s="243" t="s">
        <v>2771</v>
      </c>
      <c r="O59" s="243" t="str">
        <f>VLOOKUP(W59,통합목록!$F$4:$K$586,6,0)</f>
        <v>C</v>
      </c>
      <c r="P59" s="253"/>
      <c r="Q59" s="243" t="str">
        <f t="shared" si="8"/>
        <v>제3편 제1심의 소송절차&gt;41&gt;2&gt;모의</v>
      </c>
      <c r="R59" s="243" t="str">
        <f t="shared" si="9"/>
        <v>제07장 증거&gt;12&gt;2&gt;모의</v>
      </c>
      <c r="S59" s="243" t="str">
        <f t="shared" si="10"/>
        <v>제07장 증거&gt;제02절 증명의 대상&gt;02</v>
      </c>
      <c r="T59" s="243" t="str">
        <f t="shared" si="11"/>
        <v>모의&gt;7.02&gt;1</v>
      </c>
      <c r="U59" s="243" t="str">
        <f t="shared" si="12"/>
        <v>모의&gt;7.02&gt;2</v>
      </c>
      <c r="W59" s="128" t="str">
        <f t="shared" si="13"/>
        <v>7.02-2</v>
      </c>
    </row>
    <row r="60" spans="2:23" ht="14.45" customHeight="1" x14ac:dyDescent="0.2">
      <c r="B60" s="249">
        <f t="shared" si="7"/>
        <v>57</v>
      </c>
      <c r="C60" s="250">
        <v>2025</v>
      </c>
      <c r="D60" s="251" t="s">
        <v>190</v>
      </c>
      <c r="E60" s="251" t="s">
        <v>2211</v>
      </c>
      <c r="F60" s="200" t="s">
        <v>1274</v>
      </c>
      <c r="G60" s="252" t="s">
        <v>198</v>
      </c>
      <c r="H60" s="200" t="s">
        <v>1263</v>
      </c>
      <c r="I60" s="251" t="s">
        <v>198</v>
      </c>
      <c r="J60" s="321" t="s">
        <v>2941</v>
      </c>
      <c r="K60" s="251" t="s">
        <v>192</v>
      </c>
      <c r="L60" s="200" t="str">
        <f>VLOOKUP(W60,통합목록!$F$4:$I$586,3,0)</f>
        <v>대여금 청구 소송에서 당사자 간 주장 및 증거 제출에 따른 법원의 판결 방향</v>
      </c>
      <c r="M60" s="243" t="str">
        <f>VLOOKUP(W60,통합목록!$F$4:$I$586,4,0)</f>
        <v>열기2-04.민사소송법\02.문제\[기출][2025-1-1]대여금 청구 소송에서 당사자 간 주장 및 증거 제출에 따른 법원의 판결 방향.txt</v>
      </c>
      <c r="N60" s="243" t="s">
        <v>1125</v>
      </c>
      <c r="O60" s="243" t="str">
        <f>VLOOKUP(W60,통합목록!$F$4:$K$586,6,0)</f>
        <v>C</v>
      </c>
      <c r="P60" s="253"/>
      <c r="Q60" s="243" t="str">
        <f t="shared" si="8"/>
        <v>제3편 제1심의 소송절차&gt;02&gt;1-1&gt;기출</v>
      </c>
      <c r="R60" s="243" t="str">
        <f t="shared" si="9"/>
        <v>제07장 증거&gt;02&gt;1-1&gt;기출</v>
      </c>
      <c r="S60" s="243" t="str">
        <f t="shared" si="10"/>
        <v>제07장 증거&gt;제03절 불요증사실&gt;01</v>
      </c>
      <c r="T60" s="243" t="str">
        <f t="shared" si="11"/>
        <v>기출&gt;2025&gt;6</v>
      </c>
      <c r="U60" s="243" t="str">
        <f t="shared" si="12"/>
        <v>기출&gt;2025&gt;1-1</v>
      </c>
      <c r="W60" s="128" t="str">
        <f t="shared" si="13"/>
        <v>2025-1-1</v>
      </c>
    </row>
    <row r="61" spans="2:23" ht="14.45" customHeight="1" x14ac:dyDescent="0.2">
      <c r="B61" s="249">
        <f t="shared" si="7"/>
        <v>58</v>
      </c>
      <c r="C61" s="250">
        <v>2021</v>
      </c>
      <c r="D61" s="251" t="s">
        <v>190</v>
      </c>
      <c r="E61" s="251" t="s">
        <v>193</v>
      </c>
      <c r="F61" s="200" t="s">
        <v>1274</v>
      </c>
      <c r="G61" s="252" t="s">
        <v>2315</v>
      </c>
      <c r="H61" s="200" t="s">
        <v>1263</v>
      </c>
      <c r="I61" s="251" t="s">
        <v>204</v>
      </c>
      <c r="J61" s="321" t="s">
        <v>2143</v>
      </c>
      <c r="K61" s="251" t="s">
        <v>198</v>
      </c>
      <c r="L61" s="200" t="str">
        <f>VLOOKUP(W61,통합목록!$F$4:$I$586,3,0)</f>
        <v>재판상 자백의 성립과 취소 및 공동소송인 독립의 원칙에 따른 판결의 가부</v>
      </c>
      <c r="M61" s="243" t="str">
        <f>VLOOKUP(W61,통합목록!$F$4:$I$586,4,0)</f>
        <v>열기2-04.민사소송법\02.문제\[기출][2021-1-1]재판상 자백의 성립과 취소 및 공동소송인 독립의 원칙에 따른 판결의 가부.txt</v>
      </c>
      <c r="N61" s="243" t="s">
        <v>1125</v>
      </c>
      <c r="O61" s="243" t="str">
        <f>VLOOKUP(W61,통합목록!$F$4:$K$586,6,0)</f>
        <v>A</v>
      </c>
      <c r="P61" s="253"/>
      <c r="Q61" s="243" t="str">
        <f t="shared" si="8"/>
        <v>제3편 제1심의 소송절차&gt;10&gt;1-1&gt;기출</v>
      </c>
      <c r="R61" s="243" t="str">
        <f t="shared" si="9"/>
        <v>제07장 증거&gt;05&gt;1-1&gt;기출</v>
      </c>
      <c r="S61" s="243" t="str">
        <f t="shared" si="10"/>
        <v>제07장 증거&gt;제03절 불요증사실&gt;02</v>
      </c>
      <c r="T61" s="243" t="str">
        <f t="shared" si="11"/>
        <v>기출&gt;2021&gt;4</v>
      </c>
      <c r="U61" s="243" t="str">
        <f t="shared" si="12"/>
        <v>기출&gt;2021&gt;1-1</v>
      </c>
      <c r="W61" s="128" t="str">
        <f t="shared" si="13"/>
        <v>2021-1-1</v>
      </c>
    </row>
    <row r="62" spans="2:23" ht="14.45" customHeight="1" x14ac:dyDescent="0.2">
      <c r="B62" s="249">
        <f t="shared" si="7"/>
        <v>59</v>
      </c>
      <c r="C62" s="250">
        <v>2017</v>
      </c>
      <c r="D62" s="251" t="s">
        <v>196</v>
      </c>
      <c r="E62" s="251" t="s">
        <v>196</v>
      </c>
      <c r="F62" s="200" t="s">
        <v>1274</v>
      </c>
      <c r="G62" s="252" t="s">
        <v>2321</v>
      </c>
      <c r="H62" s="200" t="s">
        <v>2947</v>
      </c>
      <c r="I62" s="251" t="s">
        <v>2312</v>
      </c>
      <c r="J62" s="321" t="s">
        <v>2941</v>
      </c>
      <c r="K62" s="251" t="s">
        <v>199</v>
      </c>
      <c r="L62" s="200" t="str">
        <f>VLOOKUP(W62,통합목록!$F$4:$I$586,3,0)</f>
        <v>자백간주의 의의, 성립 요건, 효력, 적용 범위 및 제한</v>
      </c>
      <c r="M62" s="243" t="str">
        <f>VLOOKUP(W62,통합목록!$F$4:$I$586,4,0)</f>
        <v>열기2-04.민사소송법\02.문제\[기출][2017-2]자백간주의 의의, 성립 요건, 효력, 적용 범위 및 제한.txt</v>
      </c>
      <c r="N62" s="243" t="s">
        <v>1125</v>
      </c>
      <c r="O62" s="243" t="str">
        <f>VLOOKUP(W62,통합목록!$F$4:$K$586,6,0)</f>
        <v>B</v>
      </c>
      <c r="P62" s="253" t="s">
        <v>2309</v>
      </c>
      <c r="Q62" s="243" t="str">
        <f t="shared" si="8"/>
        <v>제3편 제1심의 소송절차&gt;16&gt;2&gt;기출</v>
      </c>
      <c r="R62" s="243" t="str">
        <f t="shared" si="9"/>
        <v>제07장 증거&gt;07&gt;2&gt;기출</v>
      </c>
      <c r="S62" s="243" t="str">
        <f t="shared" si="10"/>
        <v>제07장 증거&gt;제03절 불요증사실&gt;03</v>
      </c>
      <c r="T62" s="243" t="str">
        <f t="shared" si="11"/>
        <v>기출&gt;2017&gt;2</v>
      </c>
      <c r="U62" s="243" t="str">
        <f t="shared" si="12"/>
        <v>기출&gt;2017&gt;2</v>
      </c>
      <c r="W62" s="128" t="str">
        <f t="shared" si="13"/>
        <v>2017-2</v>
      </c>
    </row>
    <row r="63" spans="2:23" ht="14.45" customHeight="1" x14ac:dyDescent="0.2">
      <c r="B63" s="249">
        <f t="shared" si="7"/>
        <v>60</v>
      </c>
      <c r="C63" s="250">
        <v>2011</v>
      </c>
      <c r="D63" s="251" t="s">
        <v>211</v>
      </c>
      <c r="E63" s="251" t="s">
        <v>197</v>
      </c>
      <c r="F63" s="200" t="s">
        <v>1274</v>
      </c>
      <c r="G63" s="252" t="s">
        <v>2330</v>
      </c>
      <c r="H63" s="200" t="s">
        <v>1263</v>
      </c>
      <c r="I63" s="251" t="s">
        <v>2314</v>
      </c>
      <c r="J63" s="321" t="s">
        <v>2143</v>
      </c>
      <c r="K63" s="251" t="s">
        <v>201</v>
      </c>
      <c r="L63" s="200" t="str">
        <f>VLOOKUP(W63,통합목록!$F$4:$I$586,3,0)</f>
        <v>재판상 자백의 의의, 성립요건, 자백의 구속력, 철회와 실효</v>
      </c>
      <c r="M63" s="243" t="str">
        <f>VLOOKUP(W63,통합목록!$F$4:$I$586,4,0)</f>
        <v>열기2-04.민사소송법\02.문제\[기출][2011-2-2]재판상 자백의 의의, 성립요건, 자백의 구속력, 철회와 실효.txt</v>
      </c>
      <c r="N63" s="243" t="s">
        <v>1125</v>
      </c>
      <c r="O63" s="243" t="str">
        <f>VLOOKUP(W63,통합목록!$F$4:$K$586,6,0)</f>
        <v>A</v>
      </c>
      <c r="P63" s="253" t="s">
        <v>2309</v>
      </c>
      <c r="Q63" s="243" t="str">
        <f t="shared" si="8"/>
        <v>제3편 제1심의 소송절차&gt;25&gt;2-2&gt;기출</v>
      </c>
      <c r="R63" s="243" t="str">
        <f t="shared" si="9"/>
        <v>제07장 증거&gt;09&gt;2-2&gt;기출</v>
      </c>
      <c r="S63" s="243" t="str">
        <f t="shared" si="10"/>
        <v>제07장 증거&gt;제03절 불요증사실&gt;04</v>
      </c>
      <c r="T63" s="243" t="str">
        <f t="shared" si="11"/>
        <v>기출&gt;2011&gt;1</v>
      </c>
      <c r="U63" s="243" t="str">
        <f t="shared" si="12"/>
        <v>기출&gt;2011&gt;2-2</v>
      </c>
      <c r="W63" s="128" t="str">
        <f t="shared" si="13"/>
        <v>2011-2-2</v>
      </c>
    </row>
    <row r="64" spans="2:23" ht="14.45" customHeight="1" x14ac:dyDescent="0.2">
      <c r="B64" s="249">
        <f t="shared" si="7"/>
        <v>61</v>
      </c>
      <c r="C64" s="250">
        <v>2025</v>
      </c>
      <c r="D64" s="251" t="s">
        <v>205</v>
      </c>
      <c r="E64" s="251" t="s">
        <v>2860</v>
      </c>
      <c r="F64" s="200" t="s">
        <v>1274</v>
      </c>
      <c r="G64" s="252" t="s">
        <v>2861</v>
      </c>
      <c r="H64" s="200" t="s">
        <v>1263</v>
      </c>
      <c r="I64" s="251" t="s">
        <v>2861</v>
      </c>
      <c r="J64" s="321" t="s">
        <v>2145</v>
      </c>
      <c r="K64" s="251" t="s">
        <v>1300</v>
      </c>
      <c r="L64" s="200" t="str">
        <f>VLOOKUP(W64,통합목록!$F$4:$I$586,3,0)</f>
        <v>대여금 및 예비적 청구 소송에서 사문서의 진정성립 추정 및 예비적 병합의 심판순위에 따른 판결의 타당성</v>
      </c>
      <c r="M64" s="243" t="str">
        <f>VLOOKUP(W64,통합목록!$F$4:$I$586,4,0)</f>
        <v>열기2-04.민사소송법\02.문제\[기출][2025-1-2]대여금 및 예비적 청구 소송에서 사문서의 진정성립 추정 및 예비적 병합의 심판순위에 따른 판결의 타당성.txt</v>
      </c>
      <c r="N64" s="243" t="s">
        <v>1193</v>
      </c>
      <c r="O64" s="243" t="str">
        <f>VLOOKUP(W64,통합목록!$F$4:$K$586,6,0)</f>
        <v>C</v>
      </c>
      <c r="P64" s="253"/>
      <c r="Q64" s="243" t="str">
        <f t="shared" si="8"/>
        <v>제3편 제1심의 소송절차&gt;04&gt;1-2&gt;기출</v>
      </c>
      <c r="R64" s="243" t="str">
        <f t="shared" si="9"/>
        <v>제07장 증거&gt;04&gt;1-2&gt;기출</v>
      </c>
      <c r="S64" s="243" t="str">
        <f t="shared" si="10"/>
        <v>제07장 증거&gt;제04절 증거조사의 개시와 실시&gt;01</v>
      </c>
      <c r="T64" s="243" t="str">
        <f t="shared" si="11"/>
        <v>기출&gt;2025&gt;4</v>
      </c>
      <c r="U64" s="243" t="str">
        <f t="shared" si="12"/>
        <v>기출&gt;2025&gt;1-2</v>
      </c>
      <c r="W64" s="128" t="str">
        <f t="shared" si="13"/>
        <v>2025-1-2</v>
      </c>
    </row>
    <row r="65" spans="2:23" ht="14.45" customHeight="1" x14ac:dyDescent="0.2">
      <c r="B65" s="249">
        <f t="shared" si="7"/>
        <v>62</v>
      </c>
      <c r="C65" s="250">
        <v>2018</v>
      </c>
      <c r="D65" s="251" t="s">
        <v>195</v>
      </c>
      <c r="E65" s="251" t="s">
        <v>197</v>
      </c>
      <c r="F65" s="200" t="s">
        <v>1274</v>
      </c>
      <c r="G65" s="252" t="s">
        <v>2319</v>
      </c>
      <c r="H65" s="200" t="s">
        <v>1263</v>
      </c>
      <c r="I65" s="251" t="s">
        <v>2311</v>
      </c>
      <c r="J65" s="321" t="s">
        <v>2145</v>
      </c>
      <c r="K65" s="251" t="s">
        <v>198</v>
      </c>
      <c r="L65" s="200" t="str">
        <f>VLOOKUP(W65,통합목록!$F$4:$I$586,3,0)</f>
        <v>문서의 증거력의 의의, 형식적 증거력, 실질적 증거력, 증거력의 다툼과 법원의 판단</v>
      </c>
      <c r="M65" s="243" t="str">
        <f>VLOOKUP(W65,통합목록!$F$4:$I$586,4,0)</f>
        <v>열기2-04.민사소송법\02.문제\[기출][2018-3]문서의 증거력의 의의, 형식적 증거력, 실질적 증거력, 증거력의 다툼과 법원의 판단.txt</v>
      </c>
      <c r="N65" s="243" t="s">
        <v>1125</v>
      </c>
      <c r="O65" s="243" t="s">
        <v>3042</v>
      </c>
      <c r="P65" s="253" t="s">
        <v>2309</v>
      </c>
      <c r="Q65" s="243" t="str">
        <f t="shared" si="8"/>
        <v>제3편 제1심의 소송절차&gt;14&gt;3&gt;기출</v>
      </c>
      <c r="R65" s="243" t="str">
        <f t="shared" si="9"/>
        <v>제07장 증거&gt;06&gt;3&gt;기출</v>
      </c>
      <c r="S65" s="243" t="str">
        <f t="shared" si="10"/>
        <v>제07장 증거&gt;제04절 증거조사의 개시와 실시&gt;02</v>
      </c>
      <c r="T65" s="243" t="str">
        <f t="shared" si="11"/>
        <v>기출&gt;2018&gt;1</v>
      </c>
      <c r="U65" s="243" t="str">
        <f t="shared" si="12"/>
        <v>기출&gt;2018&gt;3</v>
      </c>
      <c r="W65" s="128" t="str">
        <f t="shared" si="13"/>
        <v>2018-3</v>
      </c>
    </row>
    <row r="66" spans="2:23" ht="14.45" customHeight="1" x14ac:dyDescent="0.2">
      <c r="B66" s="249">
        <f t="shared" si="7"/>
        <v>63</v>
      </c>
      <c r="C66" s="250">
        <v>2013</v>
      </c>
      <c r="D66" s="251" t="s">
        <v>207</v>
      </c>
      <c r="E66" s="251" t="s">
        <v>197</v>
      </c>
      <c r="F66" s="200" t="s">
        <v>1274</v>
      </c>
      <c r="G66" s="252" t="s">
        <v>2326</v>
      </c>
      <c r="H66" s="200" t="s">
        <v>1263</v>
      </c>
      <c r="I66" s="251" t="s">
        <v>2313</v>
      </c>
      <c r="J66" s="321" t="s">
        <v>2145</v>
      </c>
      <c r="K66" s="251" t="s">
        <v>199</v>
      </c>
      <c r="L66" s="200" t="str">
        <f>VLOOKUP(W66,통합목록!$F$4:$I$586,3,0)</f>
        <v>문서제출명령의 의의, 대상과 범위, 신청과 심리, 불이행 효과</v>
      </c>
      <c r="M66" s="243" t="str">
        <f>VLOOKUP(W66,통합목록!$F$4:$I$586,4,0)</f>
        <v>열기2-04.민사소송법\02.문제\[기출][2013-3]문서제출명령의 의의, 대상과 범위, 신청과 심리, 불이행 효과.txt</v>
      </c>
      <c r="N66" s="243" t="s">
        <v>1125</v>
      </c>
      <c r="O66" s="243" t="s">
        <v>3042</v>
      </c>
      <c r="P66" s="253" t="s">
        <v>2309</v>
      </c>
      <c r="Q66" s="243" t="str">
        <f t="shared" si="8"/>
        <v>제3편 제1심의 소송절차&gt;21&gt;3&gt;기출</v>
      </c>
      <c r="R66" s="243" t="str">
        <f t="shared" si="9"/>
        <v>제07장 증거&gt;08&gt;3&gt;기출</v>
      </c>
      <c r="S66" s="243" t="str">
        <f t="shared" si="10"/>
        <v>제07장 증거&gt;제04절 증거조사의 개시와 실시&gt;03</v>
      </c>
      <c r="T66" s="243" t="str">
        <f t="shared" si="11"/>
        <v>기출&gt;2013&gt;1</v>
      </c>
      <c r="U66" s="243" t="str">
        <f t="shared" si="12"/>
        <v>기출&gt;2013&gt;3</v>
      </c>
      <c r="W66" s="128" t="str">
        <f t="shared" si="13"/>
        <v>2013-3</v>
      </c>
    </row>
    <row r="67" spans="2:23" ht="14.45" customHeight="1" x14ac:dyDescent="0.2">
      <c r="B67" s="249">
        <f t="shared" si="7"/>
        <v>64</v>
      </c>
      <c r="C67" s="250">
        <v>2010</v>
      </c>
      <c r="D67" s="251" t="s">
        <v>197</v>
      </c>
      <c r="E67" s="251" t="s">
        <v>195</v>
      </c>
      <c r="F67" s="200" t="s">
        <v>1274</v>
      </c>
      <c r="G67" s="252" t="s">
        <v>2331</v>
      </c>
      <c r="H67" s="200" t="s">
        <v>1263</v>
      </c>
      <c r="I67" s="251" t="s">
        <v>2315</v>
      </c>
      <c r="J67" s="321" t="s">
        <v>2149</v>
      </c>
      <c r="K67" s="251" t="s">
        <v>192</v>
      </c>
      <c r="L67" s="200" t="str">
        <f>VLOOKUP(W67,통합목록!$F$4:$I$586,3,0)</f>
        <v>대여금청구소송에서 금전대여사실의 존부 판단에 적용되는 자유심증주의의 원칙</v>
      </c>
      <c r="M67" s="243" t="str">
        <f>VLOOKUP(W67,통합목록!$F$4:$I$586,4,0)</f>
        <v>열기2-04.민사소송법\02.문제\[기출][2010-1]대여금청구소송에서 금전대여사실의 존부 판단에 적용되는 자유심증주의의 원칙.txt</v>
      </c>
      <c r="N67" s="243" t="s">
        <v>1125</v>
      </c>
      <c r="O67" s="243" t="str">
        <f>VLOOKUP(W67,통합목록!$F$4:$K$586,6,0)</f>
        <v>B</v>
      </c>
      <c r="P67" s="253"/>
      <c r="Q67" s="243" t="str">
        <f t="shared" si="8"/>
        <v>제3편 제1심의 소송절차&gt;26&gt;1&gt;기출</v>
      </c>
      <c r="R67" s="243" t="str">
        <f t="shared" si="9"/>
        <v>제07장 증거&gt;10&gt;1&gt;기출</v>
      </c>
      <c r="S67" s="243" t="str">
        <f t="shared" si="10"/>
        <v>제07장 증거&gt;제05절 자유심증주의&gt;01</v>
      </c>
      <c r="T67" s="243" t="str">
        <f t="shared" si="11"/>
        <v>기출&gt;2010&gt;3</v>
      </c>
      <c r="U67" s="243" t="str">
        <f t="shared" si="12"/>
        <v>기출&gt;2010&gt;1</v>
      </c>
      <c r="W67" s="128" t="str">
        <f t="shared" si="13"/>
        <v>2010-1</v>
      </c>
    </row>
    <row r="68" spans="2:23" ht="14.45" customHeight="1" x14ac:dyDescent="0.2">
      <c r="B68" s="249">
        <f t="shared" ref="B68:B99" si="14">ROW()-3</f>
        <v>65</v>
      </c>
      <c r="C68" s="250">
        <v>2025</v>
      </c>
      <c r="D68" s="251" t="s">
        <v>190</v>
      </c>
      <c r="E68" s="251" t="s">
        <v>191</v>
      </c>
      <c r="F68" s="200" t="s">
        <v>1274</v>
      </c>
      <c r="G68" s="252" t="s">
        <v>199</v>
      </c>
      <c r="H68" s="200" t="s">
        <v>1263</v>
      </c>
      <c r="I68" s="251" t="s">
        <v>199</v>
      </c>
      <c r="J68" s="321" t="s">
        <v>2940</v>
      </c>
      <c r="K68" s="251" t="s">
        <v>192</v>
      </c>
      <c r="L68" s="200" t="str">
        <f>VLOOKUP(W68,통합목록!$F$4:$I$586,3,0)</f>
        <v>대여금 청구 소송에서 당사자 간 주장 및 증거 제출에 따른 법원의 판결 방향</v>
      </c>
      <c r="M68" s="243" t="str">
        <f>VLOOKUP(W68,통합목록!$F$4:$I$586,4,0)</f>
        <v>열기2-04.민사소송법\02.문제\[기출][2025-1-1]대여금 청구 소송에서 당사자 간 주장 및 증거 제출에 따른 법원의 판결 방향.txt</v>
      </c>
      <c r="N68" s="243" t="s">
        <v>1125</v>
      </c>
      <c r="O68" s="243" t="str">
        <f>VLOOKUP(W68,통합목록!$F$4:$K$586,6,0)</f>
        <v>C</v>
      </c>
      <c r="P68" s="253"/>
      <c r="Q68" s="243" t="str">
        <f t="shared" ref="Q68:Q99" si="15">F68&amp;"&gt;"&amp;G68&amp;"&gt;"&amp;D68&amp;"&gt;"&amp;N68</f>
        <v>제3편 제1심의 소송절차&gt;03&gt;1-1&gt;기출</v>
      </c>
      <c r="R68" s="243" t="str">
        <f t="shared" ref="R68:R99" si="16">H68&amp;"&gt;"&amp;I68&amp;"&gt;"&amp;D68&amp;"&gt;"&amp;N68</f>
        <v>제07장 증거&gt;03&gt;1-1&gt;기출</v>
      </c>
      <c r="S68" s="243" t="str">
        <f t="shared" ref="S68:S99" si="17">H68&amp;"&gt;"&amp;J68&amp;"&gt;"&amp;K68</f>
        <v>제07장 증거&gt;제06절 증명책임&gt;01</v>
      </c>
      <c r="T68" s="243" t="str">
        <f t="shared" ref="T68:T99" si="18">N68&amp;"&gt;"&amp;C68&amp;"&gt;"&amp;E68</f>
        <v>기출&gt;2025&gt;5</v>
      </c>
      <c r="U68" s="243" t="str">
        <f t="shared" ref="U68:U99" si="19">N68&amp;"&gt;"&amp;C68&amp;"&gt;"&amp;D68</f>
        <v>기출&gt;2025&gt;1-1</v>
      </c>
      <c r="W68" s="128" t="str">
        <f t="shared" ref="W68:W99" si="20">C68&amp;"-"&amp;D68</f>
        <v>2025-1-1</v>
      </c>
    </row>
    <row r="69" spans="2:23" ht="14.45" customHeight="1" x14ac:dyDescent="0.2">
      <c r="B69" s="249">
        <f t="shared" si="14"/>
        <v>66</v>
      </c>
      <c r="C69" s="255">
        <v>7.06</v>
      </c>
      <c r="D69" s="251" t="s">
        <v>2270</v>
      </c>
      <c r="E69" s="251" t="s">
        <v>2270</v>
      </c>
      <c r="F69" s="200" t="s">
        <v>1274</v>
      </c>
      <c r="G69" s="252" t="s">
        <v>2347</v>
      </c>
      <c r="H69" s="200" t="s">
        <v>1263</v>
      </c>
      <c r="I69" s="251" t="s">
        <v>2318</v>
      </c>
      <c r="J69" s="321" t="s">
        <v>2139</v>
      </c>
      <c r="K69" s="251" t="s">
        <v>2273</v>
      </c>
      <c r="L69" s="200" t="str">
        <f>VLOOKUP(W69,통합목록!$F$4:$I$586,3,0)</f>
        <v>법률상 추정의 의의 및 사실상 추정과의 구별, 분류, 효과</v>
      </c>
      <c r="M69" s="243" t="str">
        <f>VLOOKUP(W69,통합목록!$F$4:$I$586,4,0)</f>
        <v>열기2-04.민사소송법\02.문제\[모의][07.06-1]법률상 추정의 의의 및 사실상 추정과의 구별, 분류, 효과.txt</v>
      </c>
      <c r="N69" s="243" t="s">
        <v>2771</v>
      </c>
      <c r="O69" s="243" t="str">
        <f>VLOOKUP(W69,통합목록!$F$4:$K$586,6,0)</f>
        <v>B</v>
      </c>
      <c r="P69" s="253" t="s">
        <v>2309</v>
      </c>
      <c r="Q69" s="243" t="str">
        <f t="shared" si="15"/>
        <v>제3편 제1심의 소송절차&gt;42&gt;1&gt;모의</v>
      </c>
      <c r="R69" s="243" t="str">
        <f t="shared" si="16"/>
        <v>제07장 증거&gt;13&gt;1&gt;모의</v>
      </c>
      <c r="S69" s="243" t="str">
        <f t="shared" si="17"/>
        <v>제07장 증거&gt;제06절 증명책임&gt;02</v>
      </c>
      <c r="T69" s="243" t="str">
        <f t="shared" si="18"/>
        <v>모의&gt;7.06&gt;1</v>
      </c>
      <c r="U69" s="243" t="str">
        <f t="shared" si="19"/>
        <v>모의&gt;7.06&gt;1</v>
      </c>
      <c r="W69" s="128" t="str">
        <f t="shared" si="20"/>
        <v>7.06-1</v>
      </c>
    </row>
    <row r="70" spans="2:23" ht="14.45" customHeight="1" x14ac:dyDescent="0.2">
      <c r="B70" s="249">
        <f t="shared" si="14"/>
        <v>67</v>
      </c>
      <c r="C70" s="250">
        <v>2025</v>
      </c>
      <c r="D70" s="251" t="s">
        <v>195</v>
      </c>
      <c r="E70" s="251" t="s">
        <v>197</v>
      </c>
      <c r="F70" s="200" t="s">
        <v>1275</v>
      </c>
      <c r="G70" s="254" t="s">
        <v>1300</v>
      </c>
      <c r="H70" s="200" t="s">
        <v>1279</v>
      </c>
      <c r="I70" s="251" t="s">
        <v>192</v>
      </c>
      <c r="J70" s="321" t="s">
        <v>2156</v>
      </c>
      <c r="K70" s="251" t="s">
        <v>192</v>
      </c>
      <c r="L70" s="200" t="str">
        <f>VLOOKUP(W70,통합목록!$F$4:$I$586,3,0)</f>
        <v>재소의 금지의 의의, 요건, 예외, 효과, 특수한 경우의 재소금지</v>
      </c>
      <c r="M70" s="243" t="str">
        <f>VLOOKUP(W70,통합목록!$F$4:$I$586,4,0)</f>
        <v>열기2-04.민사소송법\02.문제\[기출][2025-3]재소의 금지의 의의, 요건, 예외, 효과, 특수한 경우의 재소금지.txt</v>
      </c>
      <c r="N70" s="243" t="s">
        <v>1125</v>
      </c>
      <c r="O70" s="243" t="str">
        <f>VLOOKUP(W70,통합목록!$F$4:$K$586,6,0)</f>
        <v>C</v>
      </c>
      <c r="P70" s="253" t="s">
        <v>2309</v>
      </c>
      <c r="Q70" s="243" t="str">
        <f t="shared" si="15"/>
        <v>제4편 소송의 종료&gt;01&gt;3&gt;기출</v>
      </c>
      <c r="R70" s="243" t="str">
        <f t="shared" si="16"/>
        <v>제09장 당사자 행위에 의한 종료&gt;01&gt;3&gt;기출</v>
      </c>
      <c r="S70" s="243" t="str">
        <f t="shared" si="17"/>
        <v>제09장 당사자 행위에 의한 종료&gt;제01절 소의 취하와 재소금지&gt;01</v>
      </c>
      <c r="T70" s="243" t="str">
        <f t="shared" si="18"/>
        <v>기출&gt;2025&gt;1</v>
      </c>
      <c r="U70" s="243" t="str">
        <f t="shared" si="19"/>
        <v>기출&gt;2025&gt;3</v>
      </c>
      <c r="W70" s="128" t="str">
        <f t="shared" si="20"/>
        <v>2025-3</v>
      </c>
    </row>
    <row r="71" spans="2:23" ht="14.45" customHeight="1" x14ac:dyDescent="0.2">
      <c r="B71" s="249">
        <f t="shared" si="14"/>
        <v>68</v>
      </c>
      <c r="C71" s="250">
        <v>2024</v>
      </c>
      <c r="D71" s="251" t="s">
        <v>196</v>
      </c>
      <c r="E71" s="251" t="s">
        <v>196</v>
      </c>
      <c r="F71" s="200" t="s">
        <v>1275</v>
      </c>
      <c r="G71" s="254" t="s">
        <v>1301</v>
      </c>
      <c r="H71" s="200" t="s">
        <v>1279</v>
      </c>
      <c r="I71" s="251" t="s">
        <v>198</v>
      </c>
      <c r="J71" s="321" t="s">
        <v>2156</v>
      </c>
      <c r="K71" s="251" t="s">
        <v>198</v>
      </c>
      <c r="L71" s="200" t="str">
        <f>VLOOKUP(W71,통합목록!$F$4:$I$586,3,0)</f>
        <v>당사자가 변론기일의 지정을 신청할 수 있는 구체적인 경우</v>
      </c>
      <c r="M71" s="243" t="str">
        <f>VLOOKUP(W71,통합목록!$F$4:$I$586,4,0)</f>
        <v>열기2-04.민사소송법\02.문제\[기출][2024-2]당사자가 변론기일의 지정을 신청할 수 있는 구체적인 경우.txt</v>
      </c>
      <c r="N71" s="243" t="s">
        <v>1125</v>
      </c>
      <c r="O71" s="243" t="str">
        <f>VLOOKUP(W71,통합목록!$F$4:$K$586,6,0)</f>
        <v>C</v>
      </c>
      <c r="P71" s="253" t="s">
        <v>2309</v>
      </c>
      <c r="Q71" s="243" t="str">
        <f t="shared" si="15"/>
        <v>제4편 소송의 종료&gt;02&gt;2&gt;기출</v>
      </c>
      <c r="R71" s="243" t="str">
        <f t="shared" si="16"/>
        <v>제09장 당사자 행위에 의한 종료&gt;02&gt;2&gt;기출</v>
      </c>
      <c r="S71" s="243" t="str">
        <f t="shared" si="17"/>
        <v>제09장 당사자 행위에 의한 종료&gt;제01절 소의 취하와 재소금지&gt;02</v>
      </c>
      <c r="T71" s="243" t="str">
        <f t="shared" si="18"/>
        <v>기출&gt;2024&gt;2</v>
      </c>
      <c r="U71" s="243" t="str">
        <f t="shared" si="19"/>
        <v>기출&gt;2024&gt;2</v>
      </c>
      <c r="W71" s="128" t="str">
        <f t="shared" si="20"/>
        <v>2024-2</v>
      </c>
    </row>
    <row r="72" spans="2:23" ht="14.45" customHeight="1" x14ac:dyDescent="0.2">
      <c r="B72" s="249">
        <f t="shared" si="14"/>
        <v>69</v>
      </c>
      <c r="C72" s="250">
        <v>2015</v>
      </c>
      <c r="D72" s="251" t="s">
        <v>207</v>
      </c>
      <c r="E72" s="251" t="s">
        <v>197</v>
      </c>
      <c r="F72" s="200" t="s">
        <v>3022</v>
      </c>
      <c r="G72" s="252" t="s">
        <v>1320</v>
      </c>
      <c r="H72" s="200" t="s">
        <v>1279</v>
      </c>
      <c r="I72" s="251" t="s">
        <v>199</v>
      </c>
      <c r="J72" s="321" t="s">
        <v>2156</v>
      </c>
      <c r="K72" s="251" t="s">
        <v>199</v>
      </c>
      <c r="L72" s="200" t="str">
        <f>VLOOKUP(W72,통합목록!$F$4:$I$586,3,0)</f>
        <v>재소의 금지의 의의, 요건, 적용 범위, 효과</v>
      </c>
      <c r="M72" s="243" t="str">
        <f>VLOOKUP(W72,통합목록!$F$4:$I$586,4,0)</f>
        <v>열기2-04.민사소송법\02.문제\[기출][2015-3]재소의 금지의 의의, 요건, 적용 범위, 효과.txt</v>
      </c>
      <c r="N72" s="243" t="s">
        <v>1125</v>
      </c>
      <c r="O72" s="243" t="str">
        <f>VLOOKUP(W72,통합목록!$F$4:$K$586,6,0)</f>
        <v>C</v>
      </c>
      <c r="P72" s="253" t="s">
        <v>2309</v>
      </c>
      <c r="Q72" s="243" t="str">
        <f t="shared" si="15"/>
        <v>제4편 소송의 종료&gt;07&gt;3&gt;기출</v>
      </c>
      <c r="R72" s="243" t="str">
        <f t="shared" si="16"/>
        <v>제09장 당사자 행위에 의한 종료&gt;03&gt;3&gt;기출</v>
      </c>
      <c r="S72" s="243" t="str">
        <f t="shared" si="17"/>
        <v>제09장 당사자 행위에 의한 종료&gt;제01절 소의 취하와 재소금지&gt;03</v>
      </c>
      <c r="T72" s="243" t="str">
        <f t="shared" si="18"/>
        <v>기출&gt;2015&gt;1</v>
      </c>
      <c r="U72" s="243" t="str">
        <f t="shared" si="19"/>
        <v>기출&gt;2015&gt;3</v>
      </c>
      <c r="W72" s="128" t="str">
        <f t="shared" si="20"/>
        <v>2015-3</v>
      </c>
    </row>
    <row r="73" spans="2:23" ht="14.45" customHeight="1" x14ac:dyDescent="0.2">
      <c r="B73" s="249">
        <f t="shared" si="14"/>
        <v>70</v>
      </c>
      <c r="C73" s="255">
        <v>9.02</v>
      </c>
      <c r="D73" s="251" t="s">
        <v>214</v>
      </c>
      <c r="E73" s="251" t="s">
        <v>196</v>
      </c>
      <c r="F73" s="200" t="s">
        <v>1275</v>
      </c>
      <c r="G73" s="252" t="s">
        <v>1322</v>
      </c>
      <c r="H73" s="200" t="s">
        <v>1279</v>
      </c>
      <c r="I73" s="251" t="s">
        <v>204</v>
      </c>
      <c r="J73" s="321" t="s">
        <v>2159</v>
      </c>
      <c r="K73" s="251" t="s">
        <v>192</v>
      </c>
      <c r="L73" s="200" t="str">
        <f>VLOOKUP(W73,통합목록!$F$4:$I$586,3,0)</f>
        <v>강박에 의한 청구인낙에 대한 불복 방법 및 그 요건</v>
      </c>
      <c r="M73" s="243" t="str">
        <f>VLOOKUP(W73,통합목록!$F$4:$I$586,4,0)</f>
        <v>열기2-04.민사소송법\02.문제\[모의][09.02-1]강박에 의한 청구인낙에 대한 불복 방법 및 그 요건.txt</v>
      </c>
      <c r="N73" s="243" t="s">
        <v>2771</v>
      </c>
      <c r="O73" s="243" t="str">
        <f>VLOOKUP(W73,통합목록!$F$4:$K$586,6,0)</f>
        <v>C</v>
      </c>
      <c r="P73" s="253"/>
      <c r="Q73" s="243" t="str">
        <f t="shared" si="15"/>
        <v>제4편 소송의 종료&gt;09&gt;1&gt;모의</v>
      </c>
      <c r="R73" s="243" t="str">
        <f t="shared" si="16"/>
        <v>제09장 당사자 행위에 의한 종료&gt;05&gt;1&gt;모의</v>
      </c>
      <c r="S73" s="243" t="str">
        <f t="shared" si="17"/>
        <v>제09장 당사자 행위에 의한 종료&gt;제02절 청구의 포기・인낙&gt;01</v>
      </c>
      <c r="T73" s="243" t="str">
        <f t="shared" si="18"/>
        <v>모의&gt;9.02&gt;2</v>
      </c>
      <c r="U73" s="243" t="str">
        <f t="shared" si="19"/>
        <v>모의&gt;9.02&gt;1</v>
      </c>
      <c r="W73" s="128" t="str">
        <f t="shared" si="20"/>
        <v>9.02-1</v>
      </c>
    </row>
    <row r="74" spans="2:23" ht="14.45" customHeight="1" x14ac:dyDescent="0.2">
      <c r="B74" s="249">
        <f t="shared" si="14"/>
        <v>71</v>
      </c>
      <c r="C74" s="255">
        <v>9.02</v>
      </c>
      <c r="D74" s="251" t="s">
        <v>206</v>
      </c>
      <c r="E74" s="251" t="s">
        <v>197</v>
      </c>
      <c r="F74" s="200" t="s">
        <v>1275</v>
      </c>
      <c r="G74" s="252">
        <v>10</v>
      </c>
      <c r="H74" s="200" t="s">
        <v>1279</v>
      </c>
      <c r="I74" s="251" t="s">
        <v>208</v>
      </c>
      <c r="J74" s="321" t="s">
        <v>2159</v>
      </c>
      <c r="K74" s="251" t="s">
        <v>198</v>
      </c>
      <c r="L74" s="200" t="str">
        <f>VLOOKUP(W74,통합목록!$F$4:$I$586,3,0)</f>
        <v>서면에 의한 청구인낙의 성립 요건 및 기판력의 범위와 효력 부인</v>
      </c>
      <c r="M74" s="243" t="str">
        <f>VLOOKUP(W74,통합목록!$F$4:$I$586,4,0)</f>
        <v>열기2-04.민사소송법\02.문제\[모의][09.02-2]서면에 의한 청구인낙의 성립 요건 및 기판력의 범위와 효력 부인.txt</v>
      </c>
      <c r="N74" s="243" t="s">
        <v>2771</v>
      </c>
      <c r="O74" s="243" t="str">
        <f>VLOOKUP(W74,통합목록!$F$4:$K$586,6,0)</f>
        <v>C</v>
      </c>
      <c r="P74" s="253"/>
      <c r="Q74" s="243" t="str">
        <f t="shared" si="15"/>
        <v>제4편 소송의 종료&gt;10&gt;2&gt;모의</v>
      </c>
      <c r="R74" s="243" t="str">
        <f t="shared" si="16"/>
        <v>제09장 당사자 행위에 의한 종료&gt;06&gt;2&gt;모의</v>
      </c>
      <c r="S74" s="243" t="str">
        <f t="shared" si="17"/>
        <v>제09장 당사자 행위에 의한 종료&gt;제02절 청구의 포기・인낙&gt;02</v>
      </c>
      <c r="T74" s="243" t="str">
        <f t="shared" si="18"/>
        <v>모의&gt;9.02&gt;1</v>
      </c>
      <c r="U74" s="243" t="str">
        <f t="shared" si="19"/>
        <v>모의&gt;9.02&gt;2</v>
      </c>
      <c r="W74" s="128" t="str">
        <f t="shared" si="20"/>
        <v>9.02-2</v>
      </c>
    </row>
    <row r="75" spans="2:23" ht="14.45" customHeight="1" x14ac:dyDescent="0.2">
      <c r="B75" s="249">
        <f t="shared" si="14"/>
        <v>72</v>
      </c>
      <c r="C75" s="250">
        <v>2013</v>
      </c>
      <c r="D75" s="251" t="s">
        <v>206</v>
      </c>
      <c r="E75" s="251" t="s">
        <v>196</v>
      </c>
      <c r="F75" s="200" t="s">
        <v>1275</v>
      </c>
      <c r="G75" s="252" t="s">
        <v>1321</v>
      </c>
      <c r="H75" s="200" t="s">
        <v>1279</v>
      </c>
      <c r="I75" s="251" t="s">
        <v>201</v>
      </c>
      <c r="J75" s="321" t="s">
        <v>2158</v>
      </c>
      <c r="K75" s="251" t="s">
        <v>192</v>
      </c>
      <c r="L75" s="200" t="str">
        <f>VLOOKUP(W75,통합목록!$F$4:$I$586,3,0)</f>
        <v>소송상 화해의 의의, 요건, 효력, 하자 구제수단</v>
      </c>
      <c r="M75" s="243" t="str">
        <f>VLOOKUP(W75,통합목록!$F$4:$I$586,4,0)</f>
        <v>열기2-04.민사소송법\02.문제\[기출][2013-2]소송상 화해의 의의, 요건, 효력, 하자 구제수단.txt</v>
      </c>
      <c r="N75" s="243" t="s">
        <v>1125</v>
      </c>
      <c r="O75" s="243" t="str">
        <f>VLOOKUP(W75,통합목록!$F$4:$K$586,6,0)</f>
        <v>A</v>
      </c>
      <c r="P75" s="253" t="s">
        <v>2309</v>
      </c>
      <c r="Q75" s="243" t="str">
        <f t="shared" si="15"/>
        <v>제4편 소송의 종료&gt;08&gt;2&gt;기출</v>
      </c>
      <c r="R75" s="243" t="str">
        <f t="shared" si="16"/>
        <v>제09장 당사자 행위에 의한 종료&gt;04&gt;2&gt;기출</v>
      </c>
      <c r="S75" s="243" t="str">
        <f t="shared" si="17"/>
        <v>제09장 당사자 행위에 의한 종료&gt;제03절 재판상 화해&gt;01</v>
      </c>
      <c r="T75" s="243" t="str">
        <f t="shared" si="18"/>
        <v>기출&gt;2013&gt;2</v>
      </c>
      <c r="U75" s="243" t="str">
        <f t="shared" si="19"/>
        <v>기출&gt;2013&gt;2</v>
      </c>
      <c r="W75" s="128" t="str">
        <f t="shared" si="20"/>
        <v>2013-2</v>
      </c>
    </row>
    <row r="76" spans="2:23" ht="14.45" customHeight="1" x14ac:dyDescent="0.2">
      <c r="B76" s="249">
        <f t="shared" si="14"/>
        <v>73</v>
      </c>
      <c r="C76" s="250">
        <v>2023</v>
      </c>
      <c r="D76" s="251" t="s">
        <v>194</v>
      </c>
      <c r="E76" s="251" t="s">
        <v>195</v>
      </c>
      <c r="F76" s="200" t="s">
        <v>1275</v>
      </c>
      <c r="G76" s="252" t="s">
        <v>1315</v>
      </c>
      <c r="H76" s="200" t="s">
        <v>1281</v>
      </c>
      <c r="I76" s="251" t="s">
        <v>192</v>
      </c>
      <c r="J76" s="321" t="s">
        <v>2157</v>
      </c>
      <c r="K76" s="251" t="s">
        <v>192</v>
      </c>
      <c r="L76" s="200" t="str">
        <f>VLOOKUP(W76,통합목록!$F$4:$I$586,3,0)</f>
        <v>상계의 항변이 판단된 판결이 확정된 후 자동채권 소구의 적법성 및 기판력의 범위</v>
      </c>
      <c r="M76" s="243" t="str">
        <f>VLOOKUP(W76,통합목록!$F$4:$I$586,4,0)</f>
        <v>열기2-04.민사소송법\02.문제\[기출][2023-1-2]상계의 항변이 판단된 판결이 확정된 후 자동채권 소구의 적법성 및 기판력의 범위.txt</v>
      </c>
      <c r="N76" s="243" t="s">
        <v>1125</v>
      </c>
      <c r="O76" s="243" t="str">
        <f>VLOOKUP(W76,통합목록!$F$4:$K$586,6,0)</f>
        <v>B</v>
      </c>
      <c r="P76" s="253"/>
      <c r="Q76" s="243" t="str">
        <f t="shared" si="15"/>
        <v>제4편 소송의 종료&gt;03&gt;1-2&gt;기출</v>
      </c>
      <c r="R76" s="243" t="str">
        <f t="shared" si="16"/>
        <v>제10장 종국판결에 의한 종료&gt;01&gt;1-2&gt;기출</v>
      </c>
      <c r="S76" s="243" t="str">
        <f t="shared" si="17"/>
        <v>제10장 종국판결에 의한 종료&gt;제02절 판결&gt;01</v>
      </c>
      <c r="T76" s="243" t="str">
        <f t="shared" si="18"/>
        <v>기출&gt;2023&gt;3</v>
      </c>
      <c r="U76" s="243" t="str">
        <f t="shared" si="19"/>
        <v>기출&gt;2023&gt;1-2</v>
      </c>
      <c r="W76" s="128" t="str">
        <f t="shared" si="20"/>
        <v>2023-1-2</v>
      </c>
    </row>
    <row r="77" spans="2:23" ht="14.45" customHeight="1" x14ac:dyDescent="0.2">
      <c r="B77" s="249">
        <f t="shared" si="14"/>
        <v>74</v>
      </c>
      <c r="C77" s="250">
        <v>2022</v>
      </c>
      <c r="D77" s="251" t="s">
        <v>195</v>
      </c>
      <c r="E77" s="251" t="s">
        <v>197</v>
      </c>
      <c r="F77" s="200" t="s">
        <v>1275</v>
      </c>
      <c r="G77" s="252" t="s">
        <v>1317</v>
      </c>
      <c r="H77" s="200" t="s">
        <v>1281</v>
      </c>
      <c r="I77" s="251" t="s">
        <v>198</v>
      </c>
      <c r="J77" s="321" t="s">
        <v>2157</v>
      </c>
      <c r="K77" s="251" t="s">
        <v>198</v>
      </c>
      <c r="L77" s="200" t="str">
        <f>VLOOKUP(W77,통합목록!$F$4:$I$586,3,0)</f>
        <v>판결의 편취의 의의, 유형, 확정 전・후 구제수단</v>
      </c>
      <c r="M77" s="243" t="str">
        <f>VLOOKUP(W77,통합목록!$F$4:$I$586,4,0)</f>
        <v>열기2-04.민사소송법\02.문제\[기출][2022-3]판결의 편취의 의의, 유형, 확정 전・후 구제수단.txt</v>
      </c>
      <c r="N77" s="243" t="s">
        <v>1125</v>
      </c>
      <c r="O77" s="243" t="str">
        <f>VLOOKUP(W77,통합목록!$F$4:$K$586,6,0)</f>
        <v>B</v>
      </c>
      <c r="P77" s="253" t="s">
        <v>2309</v>
      </c>
      <c r="Q77" s="243" t="str">
        <f t="shared" si="15"/>
        <v>제4편 소송의 종료&gt;04&gt;3&gt;기출</v>
      </c>
      <c r="R77" s="243" t="str">
        <f t="shared" si="16"/>
        <v>제10장 종국판결에 의한 종료&gt;02&gt;3&gt;기출</v>
      </c>
      <c r="S77" s="243" t="str">
        <f t="shared" si="17"/>
        <v>제10장 종국판결에 의한 종료&gt;제02절 판결&gt;02</v>
      </c>
      <c r="T77" s="243" t="str">
        <f t="shared" si="18"/>
        <v>기출&gt;2022&gt;1</v>
      </c>
      <c r="U77" s="243" t="str">
        <f t="shared" si="19"/>
        <v>기출&gt;2022&gt;3</v>
      </c>
      <c r="W77" s="128" t="str">
        <f t="shared" si="20"/>
        <v>2022-3</v>
      </c>
    </row>
    <row r="78" spans="2:23" ht="14.45" customHeight="1" x14ac:dyDescent="0.2">
      <c r="B78" s="249">
        <f t="shared" si="14"/>
        <v>75</v>
      </c>
      <c r="C78" s="250">
        <v>2019</v>
      </c>
      <c r="D78" s="251" t="s">
        <v>194</v>
      </c>
      <c r="E78" s="251" t="s">
        <v>195</v>
      </c>
      <c r="F78" s="200" t="s">
        <v>1275</v>
      </c>
      <c r="G78" s="252" t="s">
        <v>1318</v>
      </c>
      <c r="H78" s="200" t="s">
        <v>1281</v>
      </c>
      <c r="I78" s="251" t="s">
        <v>199</v>
      </c>
      <c r="J78" s="321" t="s">
        <v>2157</v>
      </c>
      <c r="K78" s="251" t="s">
        <v>199</v>
      </c>
      <c r="L78" s="200" t="str">
        <f>VLOOKUP(W78,통합목록!$F$4:$I$586,3,0)</f>
        <v>확정판결의 기판력과 표준시 이후의 상계권 행사 가능성</v>
      </c>
      <c r="M78" s="243" t="str">
        <f>VLOOKUP(W78,통합목록!$F$4:$I$586,4,0)</f>
        <v>열기2-04.민사소송법\02.문제\[기출][2019-1-2]확정판결의 기판력과 표준시 이후의 상계권 행사 가능성.txt</v>
      </c>
      <c r="N78" s="243" t="s">
        <v>1125</v>
      </c>
      <c r="O78" s="243" t="str">
        <f>VLOOKUP(W78,통합목록!$F$4:$K$586,6,0)</f>
        <v>B</v>
      </c>
      <c r="P78" s="253"/>
      <c r="Q78" s="243" t="str">
        <f t="shared" si="15"/>
        <v>제4편 소송의 종료&gt;05&gt;1-2&gt;기출</v>
      </c>
      <c r="R78" s="243" t="str">
        <f t="shared" si="16"/>
        <v>제10장 종국판결에 의한 종료&gt;03&gt;1-2&gt;기출</v>
      </c>
      <c r="S78" s="243" t="str">
        <f t="shared" si="17"/>
        <v>제10장 종국판결에 의한 종료&gt;제02절 판결&gt;03</v>
      </c>
      <c r="T78" s="243" t="str">
        <f t="shared" si="18"/>
        <v>기출&gt;2019&gt;3</v>
      </c>
      <c r="U78" s="243" t="str">
        <f t="shared" si="19"/>
        <v>기출&gt;2019&gt;1-2</v>
      </c>
      <c r="W78" s="128" t="str">
        <f t="shared" si="20"/>
        <v>2019-1-2</v>
      </c>
    </row>
    <row r="79" spans="2:23" ht="14.45" customHeight="1" x14ac:dyDescent="0.2">
      <c r="B79" s="249">
        <f t="shared" si="14"/>
        <v>76</v>
      </c>
      <c r="C79" s="250">
        <v>2017</v>
      </c>
      <c r="D79" s="251" t="s">
        <v>195</v>
      </c>
      <c r="E79" s="251" t="s">
        <v>197</v>
      </c>
      <c r="F79" s="200" t="s">
        <v>1275</v>
      </c>
      <c r="G79" s="252" t="s">
        <v>1319</v>
      </c>
      <c r="H79" s="200" t="s">
        <v>1281</v>
      </c>
      <c r="I79" s="251" t="s">
        <v>201</v>
      </c>
      <c r="J79" s="321" t="s">
        <v>2157</v>
      </c>
      <c r="K79" s="251" t="s">
        <v>201</v>
      </c>
      <c r="L79" s="200" t="str">
        <f>VLOOKUP(W79,통합목록!$F$4:$I$586,3,0)</f>
        <v>변론종결 뒤의 승계인의 의의 및 요건, 학설 및 판례, 기판력의 범위와 한계</v>
      </c>
      <c r="M79" s="243" t="str">
        <f>VLOOKUP(W79,통합목록!$F$4:$I$586,4,0)</f>
        <v>열기2-04.민사소송법\02.문제\[기출][2017-3]변론종결 뒤의 승계인의 의의 및 요건, 학설 및 판례, 기판력의 범위와 한계.txt</v>
      </c>
      <c r="N79" s="243" t="s">
        <v>1125</v>
      </c>
      <c r="O79" s="243" t="str">
        <f>VLOOKUP(W79,통합목록!$F$4:$K$586,6,0)</f>
        <v>B</v>
      </c>
      <c r="P79" s="253" t="s">
        <v>2309</v>
      </c>
      <c r="Q79" s="243" t="str">
        <f t="shared" si="15"/>
        <v>제4편 소송의 종료&gt;06&gt;3&gt;기출</v>
      </c>
      <c r="R79" s="243" t="str">
        <f t="shared" si="16"/>
        <v>제10장 종국판결에 의한 종료&gt;04&gt;3&gt;기출</v>
      </c>
      <c r="S79" s="243" t="str">
        <f t="shared" si="17"/>
        <v>제10장 종국판결에 의한 종료&gt;제02절 판결&gt;04</v>
      </c>
      <c r="T79" s="243" t="str">
        <f t="shared" si="18"/>
        <v>기출&gt;2017&gt;1</v>
      </c>
      <c r="U79" s="243" t="str">
        <f t="shared" si="19"/>
        <v>기출&gt;2017&gt;3</v>
      </c>
      <c r="W79" s="128" t="str">
        <f t="shared" si="20"/>
        <v>2017-3</v>
      </c>
    </row>
    <row r="80" spans="2:23" ht="14.45" customHeight="1" x14ac:dyDescent="0.2">
      <c r="B80" s="249">
        <f t="shared" si="14"/>
        <v>77</v>
      </c>
      <c r="C80" s="255">
        <v>10.02</v>
      </c>
      <c r="D80" s="251" t="s">
        <v>2874</v>
      </c>
      <c r="E80" s="251" t="s">
        <v>2874</v>
      </c>
      <c r="F80" s="200" t="s">
        <v>1275</v>
      </c>
      <c r="G80" s="252">
        <v>11</v>
      </c>
      <c r="H80" s="200" t="s">
        <v>1281</v>
      </c>
      <c r="I80" s="251" t="s">
        <v>2878</v>
      </c>
      <c r="J80" s="321" t="s">
        <v>2157</v>
      </c>
      <c r="K80" s="251" t="s">
        <v>2878</v>
      </c>
      <c r="L80" s="200" t="str">
        <f>VLOOKUP(W80,통합목록!$F$4:$I$586,3,0)</f>
        <v>기판력의 의의 및 본질, 작용요건, 범위</v>
      </c>
      <c r="M80" s="243" t="str">
        <f>VLOOKUP(W80,통합목록!$F$4:$I$586,4,0)</f>
        <v>열기2-04.민사소송법\02.문제\[모의][10.02-1]기판력의 의의 및 본질, 작용요건, 범위.txt</v>
      </c>
      <c r="N80" s="243" t="s">
        <v>2876</v>
      </c>
      <c r="O80" s="243" t="str">
        <f>VLOOKUP(W80,통합목록!$F$4:$K$586,6,0)</f>
        <v>A</v>
      </c>
      <c r="P80" s="253" t="s">
        <v>2877</v>
      </c>
      <c r="Q80" s="243" t="str">
        <f t="shared" si="15"/>
        <v>제4편 소송의 종료&gt;11&gt;1&gt;모의</v>
      </c>
      <c r="R80" s="243" t="str">
        <f t="shared" si="16"/>
        <v>제10장 종국판결에 의한 종료&gt;05&gt;1&gt;모의</v>
      </c>
      <c r="S80" s="243" t="str">
        <f t="shared" si="17"/>
        <v>제10장 종국판결에 의한 종료&gt;제02절 판결&gt;05</v>
      </c>
      <c r="T80" s="243" t="str">
        <f t="shared" si="18"/>
        <v>모의&gt;10.02&gt;1</v>
      </c>
      <c r="U80" s="243" t="str">
        <f t="shared" si="19"/>
        <v>모의&gt;10.02&gt;1</v>
      </c>
      <c r="W80" s="128" t="str">
        <f t="shared" si="20"/>
        <v>10.02-1</v>
      </c>
    </row>
    <row r="81" spans="2:23" ht="14.45" customHeight="1" x14ac:dyDescent="0.2">
      <c r="B81" s="249">
        <f t="shared" si="14"/>
        <v>78</v>
      </c>
      <c r="C81" s="250">
        <v>2025</v>
      </c>
      <c r="D81" s="251" t="s">
        <v>194</v>
      </c>
      <c r="E81" s="251" t="s">
        <v>195</v>
      </c>
      <c r="F81" s="200" t="s">
        <v>2942</v>
      </c>
      <c r="G81" s="252" t="s">
        <v>1316</v>
      </c>
      <c r="H81" s="200" t="s">
        <v>2943</v>
      </c>
      <c r="I81" s="251" t="s">
        <v>192</v>
      </c>
      <c r="J81" s="321" t="s">
        <v>2944</v>
      </c>
      <c r="K81" s="251" t="s">
        <v>192</v>
      </c>
      <c r="L81" s="200" t="str">
        <f>VLOOKUP(W81,통합목록!$F$4:$I$586,3,0)</f>
        <v>대여금 및 예비적 청구 소송에서 사문서의 진정성립 추정 및 예비적 병합의 심판순위에 따른 판결의 타당성</v>
      </c>
      <c r="M81" s="243" t="str">
        <f>VLOOKUP(W81,통합목록!$F$4:$I$586,4,0)</f>
        <v>열기2-04.민사소송법\02.문제\[기출][2025-1-2]대여금 및 예비적 청구 소송에서 사문서의 진정성립 추정 및 예비적 병합의 심판순위에 따른 판결의 타당성.txt</v>
      </c>
      <c r="N81" s="243" t="s">
        <v>1125</v>
      </c>
      <c r="O81" s="243" t="str">
        <f>VLOOKUP(W81,통합목록!$F$4:$K$586,6,0)</f>
        <v>C</v>
      </c>
      <c r="P81" s="253"/>
      <c r="Q81" s="243" t="str">
        <f t="shared" si="15"/>
        <v>제5편 병합소송&gt;01&gt;1-2&gt;기출</v>
      </c>
      <c r="R81" s="243" t="str">
        <f t="shared" si="16"/>
        <v>제11장 병합청구소송&gt;01&gt;1-2&gt;기출</v>
      </c>
      <c r="S81" s="243" t="str">
        <f t="shared" si="17"/>
        <v>제11장 병합청구소송&gt;제01절 청구의 원시적 병합&gt;01</v>
      </c>
      <c r="T81" s="243" t="str">
        <f t="shared" si="18"/>
        <v>기출&gt;2025&gt;3</v>
      </c>
      <c r="U81" s="243" t="str">
        <f t="shared" si="19"/>
        <v>기출&gt;2025&gt;1-2</v>
      </c>
      <c r="W81" s="128" t="str">
        <f t="shared" si="20"/>
        <v>2025-1-2</v>
      </c>
    </row>
    <row r="82" spans="2:23" ht="14.45" customHeight="1" x14ac:dyDescent="0.2">
      <c r="B82" s="249">
        <f t="shared" si="14"/>
        <v>79</v>
      </c>
      <c r="C82" s="250">
        <v>2022</v>
      </c>
      <c r="D82" s="251" t="s">
        <v>190</v>
      </c>
      <c r="E82" s="251" t="s">
        <v>193</v>
      </c>
      <c r="F82" s="200" t="s">
        <v>1276</v>
      </c>
      <c r="G82" s="252" t="s">
        <v>1315</v>
      </c>
      <c r="H82" s="200" t="s">
        <v>1283</v>
      </c>
      <c r="I82" s="251" t="s">
        <v>198</v>
      </c>
      <c r="J82" s="321" t="s">
        <v>2160</v>
      </c>
      <c r="K82" s="251" t="s">
        <v>198</v>
      </c>
      <c r="L82" s="200" t="str">
        <f>VLOOKUP(W82,통합목록!$F$4:$I$586,3,0)</f>
        <v>예비적 병합에서 일부 판결의 적법성 및 누락된 청구에 대한 불복방법</v>
      </c>
      <c r="M82" s="243" t="str">
        <f>VLOOKUP(W82,통합목록!$F$4:$I$586,4,0)</f>
        <v>열기2-04.민사소송법\02.문제\[기출][2022-1-1]예비적 병합에서 일부 판결의 적법성 및 누락된 청구에 대한 불복방법.txt</v>
      </c>
      <c r="N82" s="243" t="s">
        <v>1125</v>
      </c>
      <c r="O82" s="243" t="str">
        <f>VLOOKUP(W82,통합목록!$F$4:$K$586,6,0)</f>
        <v>B</v>
      </c>
      <c r="P82" s="253"/>
      <c r="Q82" s="243" t="str">
        <f t="shared" si="15"/>
        <v>제5편 병합소송&gt;03&gt;1-1&gt;기출</v>
      </c>
      <c r="R82" s="243" t="str">
        <f t="shared" si="16"/>
        <v>제11장 병합청구소송&gt;02&gt;1-1&gt;기출</v>
      </c>
      <c r="S82" s="243" t="str">
        <f t="shared" si="17"/>
        <v>제11장 병합청구소송&gt;제01절 청구의 원시적 병합&gt;02</v>
      </c>
      <c r="T82" s="243" t="str">
        <f t="shared" si="18"/>
        <v>기출&gt;2022&gt;4</v>
      </c>
      <c r="U82" s="243" t="str">
        <f t="shared" si="19"/>
        <v>기출&gt;2022&gt;1-1</v>
      </c>
      <c r="W82" s="128" t="str">
        <f t="shared" si="20"/>
        <v>2022-1-1</v>
      </c>
    </row>
    <row r="83" spans="2:23" ht="14.45" customHeight="1" x14ac:dyDescent="0.2">
      <c r="B83" s="249">
        <f t="shared" si="14"/>
        <v>80</v>
      </c>
      <c r="C83" s="250">
        <v>2016</v>
      </c>
      <c r="D83" s="251" t="s">
        <v>195</v>
      </c>
      <c r="E83" s="251" t="s">
        <v>197</v>
      </c>
      <c r="F83" s="200" t="s">
        <v>1276</v>
      </c>
      <c r="G83" s="254">
        <v>12</v>
      </c>
      <c r="H83" s="200" t="s">
        <v>1283</v>
      </c>
      <c r="I83" s="251" t="s">
        <v>201</v>
      </c>
      <c r="J83" s="321" t="s">
        <v>2160</v>
      </c>
      <c r="K83" s="251" t="s">
        <v>199</v>
      </c>
      <c r="L83" s="200" t="str">
        <f>VLOOKUP(W83,통합목록!$F$4:$I$586,3,0)</f>
        <v>청구의 선택적 병합의 의의, 요건, 심리, 판결과 상소</v>
      </c>
      <c r="M83" s="243" t="str">
        <f>VLOOKUP(W83,통합목록!$F$4:$I$586,4,0)</f>
        <v>열기2-04.민사소송법\02.문제\[기출][2016-3]청구의 선택적 병합의 의의, 요건, 심리, 판결과 상소.txt</v>
      </c>
      <c r="N83" s="243" t="s">
        <v>1125</v>
      </c>
      <c r="O83" s="243" t="str">
        <f>VLOOKUP(W83,통합목록!$F$4:$K$586,6,0)</f>
        <v>B</v>
      </c>
      <c r="P83" s="253" t="s">
        <v>2309</v>
      </c>
      <c r="Q83" s="243" t="str">
        <f t="shared" si="15"/>
        <v>제5편 병합소송&gt;12&gt;3&gt;기출</v>
      </c>
      <c r="R83" s="243" t="str">
        <f t="shared" si="16"/>
        <v>제11장 병합청구소송&gt;04&gt;3&gt;기출</v>
      </c>
      <c r="S83" s="243" t="str">
        <f t="shared" si="17"/>
        <v>제11장 병합청구소송&gt;제01절 청구의 원시적 병합&gt;03</v>
      </c>
      <c r="T83" s="243" t="str">
        <f t="shared" si="18"/>
        <v>기출&gt;2016&gt;1</v>
      </c>
      <c r="U83" s="243" t="str">
        <f t="shared" si="19"/>
        <v>기출&gt;2016&gt;3</v>
      </c>
      <c r="W83" s="128" t="str">
        <f t="shared" si="20"/>
        <v>2016-3</v>
      </c>
    </row>
    <row r="84" spans="2:23" ht="14.45" customHeight="1" x14ac:dyDescent="0.2">
      <c r="B84" s="249">
        <f t="shared" si="14"/>
        <v>81</v>
      </c>
      <c r="C84" s="250">
        <v>2021</v>
      </c>
      <c r="D84" s="251" t="s">
        <v>195</v>
      </c>
      <c r="E84" s="251" t="s">
        <v>197</v>
      </c>
      <c r="F84" s="200" t="s">
        <v>1276</v>
      </c>
      <c r="G84" s="252" t="s">
        <v>1319</v>
      </c>
      <c r="H84" s="200" t="s">
        <v>1283</v>
      </c>
      <c r="I84" s="251" t="s">
        <v>199</v>
      </c>
      <c r="J84" s="321" t="s">
        <v>2162</v>
      </c>
      <c r="K84" s="251" t="s">
        <v>192</v>
      </c>
      <c r="L84" s="200" t="str">
        <f>VLOOKUP(W84,통합목록!$F$4:$I$586,3,0)</f>
        <v>중간확인의 소의 의의, 요건, 절차, 효력</v>
      </c>
      <c r="M84" s="243" t="str">
        <f>VLOOKUP(W84,통합목록!$F$4:$I$586,4,0)</f>
        <v>열기2-04.민사소송법\02.문제\[기출][2021-3]중간확인의 소의 의의, 요건, 절차, 효력.txt</v>
      </c>
      <c r="N84" s="243" t="s">
        <v>1125</v>
      </c>
      <c r="O84" s="243" t="str">
        <f>VLOOKUP(W84,통합목록!$F$4:$K$586,6,0)</f>
        <v>A</v>
      </c>
      <c r="P84" s="253" t="s">
        <v>2309</v>
      </c>
      <c r="Q84" s="243" t="str">
        <f t="shared" si="15"/>
        <v>제5편 병합소송&gt;06&gt;3&gt;기출</v>
      </c>
      <c r="R84" s="243" t="str">
        <f t="shared" si="16"/>
        <v>제11장 병합청구소송&gt;03&gt;3&gt;기출</v>
      </c>
      <c r="S84" s="243" t="str">
        <f t="shared" si="17"/>
        <v>제11장 병합청구소송&gt;제02절 청구의 후발적 병합&gt;01</v>
      </c>
      <c r="T84" s="243" t="str">
        <f t="shared" si="18"/>
        <v>기출&gt;2021&gt;1</v>
      </c>
      <c r="U84" s="243" t="str">
        <f t="shared" si="19"/>
        <v>기출&gt;2021&gt;3</v>
      </c>
      <c r="W84" s="128" t="str">
        <f t="shared" si="20"/>
        <v>2021-3</v>
      </c>
    </row>
    <row r="85" spans="2:23" ht="14.45" customHeight="1" x14ac:dyDescent="0.2">
      <c r="B85" s="249">
        <f t="shared" si="14"/>
        <v>82</v>
      </c>
      <c r="C85" s="250">
        <v>2012</v>
      </c>
      <c r="D85" s="251" t="s">
        <v>195</v>
      </c>
      <c r="E85" s="251" t="s">
        <v>197</v>
      </c>
      <c r="F85" s="200" t="s">
        <v>1276</v>
      </c>
      <c r="G85" s="254">
        <v>16</v>
      </c>
      <c r="H85" s="200" t="s">
        <v>1283</v>
      </c>
      <c r="I85" s="251" t="s">
        <v>204</v>
      </c>
      <c r="J85" s="321" t="s">
        <v>2162</v>
      </c>
      <c r="K85" s="251" t="s">
        <v>198</v>
      </c>
      <c r="L85" s="200" t="str">
        <f>VLOOKUP(W85,통합목록!$F$4:$I$586,3,0)</f>
        <v>반소의 의의, 요건, 제기 및 절차, 효과</v>
      </c>
      <c r="M85" s="243" t="str">
        <f>VLOOKUP(W85,통합목록!$F$4:$I$586,4,0)</f>
        <v>열기2-04.민사소송법\02.문제\[기출][2012-3]반소의 의의, 요건, 제기 및 절차, 효과.txt</v>
      </c>
      <c r="N85" s="243" t="s">
        <v>1125</v>
      </c>
      <c r="O85" s="243" t="str">
        <f>VLOOKUP(W85,통합목록!$F$4:$K$586,6,0)</f>
        <v>A</v>
      </c>
      <c r="P85" s="253" t="s">
        <v>2309</v>
      </c>
      <c r="Q85" s="243" t="str">
        <f t="shared" si="15"/>
        <v>제5편 병합소송&gt;16&gt;3&gt;기출</v>
      </c>
      <c r="R85" s="243" t="str">
        <f t="shared" si="16"/>
        <v>제11장 병합청구소송&gt;05&gt;3&gt;기출</v>
      </c>
      <c r="S85" s="243" t="str">
        <f t="shared" si="17"/>
        <v>제11장 병합청구소송&gt;제02절 청구의 후발적 병합&gt;02</v>
      </c>
      <c r="T85" s="243" t="str">
        <f t="shared" si="18"/>
        <v>기출&gt;2012&gt;1</v>
      </c>
      <c r="U85" s="243" t="str">
        <f t="shared" si="19"/>
        <v>기출&gt;2012&gt;3</v>
      </c>
      <c r="W85" s="128" t="str">
        <f t="shared" si="20"/>
        <v>2012-3</v>
      </c>
    </row>
    <row r="86" spans="2:23" ht="14.45" customHeight="1" x14ac:dyDescent="0.2">
      <c r="B86" s="249">
        <f t="shared" si="14"/>
        <v>83</v>
      </c>
      <c r="C86" s="255">
        <v>11.02</v>
      </c>
      <c r="D86" s="251" t="s">
        <v>2270</v>
      </c>
      <c r="E86" s="251" t="s">
        <v>2270</v>
      </c>
      <c r="F86" s="200" t="s">
        <v>1276</v>
      </c>
      <c r="G86" s="254">
        <v>19</v>
      </c>
      <c r="H86" s="200" t="s">
        <v>1283</v>
      </c>
      <c r="I86" s="251" t="s">
        <v>2281</v>
      </c>
      <c r="J86" s="321" t="s">
        <v>2162</v>
      </c>
      <c r="K86" s="251" t="s">
        <v>2274</v>
      </c>
      <c r="L86" s="200" t="str">
        <f>VLOOKUP(W86,통합목록!$F$4:$I$586,3,0)</f>
        <v>청구의 변경의 의의 및 허용 필요성, 적법요건, 소송절차 및 관할, 위반 시 조치</v>
      </c>
      <c r="M86" s="243" t="str">
        <f>VLOOKUP(W86,통합목록!$F$4:$I$586,4,0)</f>
        <v>열기2-04.민사소송법\02.문제\[모의][11.02-1]청구의 변경의 의의 및 허용 필요성, 적법요건, 소송절차 및 관할, 위반 시 조치.txt</v>
      </c>
      <c r="N86" s="243" t="s">
        <v>2771</v>
      </c>
      <c r="O86" s="243" t="str">
        <f>VLOOKUP(W86,통합목록!$F$4:$K$586,6,0)</f>
        <v>A</v>
      </c>
      <c r="P86" s="253" t="s">
        <v>2309</v>
      </c>
      <c r="Q86" s="243" t="str">
        <f t="shared" si="15"/>
        <v>제5편 병합소송&gt;19&gt;1&gt;모의</v>
      </c>
      <c r="R86" s="243" t="str">
        <f t="shared" si="16"/>
        <v>제11장 병합청구소송&gt;06&gt;1&gt;모의</v>
      </c>
      <c r="S86" s="243" t="str">
        <f t="shared" si="17"/>
        <v>제11장 병합청구소송&gt;제02절 청구의 후발적 병합&gt;03</v>
      </c>
      <c r="T86" s="243" t="str">
        <f t="shared" si="18"/>
        <v>모의&gt;11.02&gt;1</v>
      </c>
      <c r="U86" s="243" t="str">
        <f t="shared" si="19"/>
        <v>모의&gt;11.02&gt;1</v>
      </c>
      <c r="W86" s="128" t="str">
        <f t="shared" si="20"/>
        <v>11.02-1</v>
      </c>
    </row>
    <row r="87" spans="2:23" ht="14.45" customHeight="1" x14ac:dyDescent="0.2">
      <c r="B87" s="249">
        <f t="shared" si="14"/>
        <v>84</v>
      </c>
      <c r="C87" s="250">
        <v>2024</v>
      </c>
      <c r="D87" s="251" t="s">
        <v>190</v>
      </c>
      <c r="E87" s="251" t="s">
        <v>193</v>
      </c>
      <c r="F87" s="200" t="s">
        <v>1276</v>
      </c>
      <c r="G87" s="252" t="s">
        <v>1314</v>
      </c>
      <c r="H87" s="200" t="s">
        <v>1285</v>
      </c>
      <c r="I87" s="251" t="s">
        <v>192</v>
      </c>
      <c r="J87" s="321" t="s">
        <v>2161</v>
      </c>
      <c r="K87" s="251" t="s">
        <v>192</v>
      </c>
      <c r="L87" s="200" t="str">
        <f>VLOOKUP(W87,통합목록!$F$4:$I$586,3,0)</f>
        <v>원고가 제1심 소송계속 중 연대보증인을 예비적 피고로 추가한 행위의 적법성 여부</v>
      </c>
      <c r="M87" s="243" t="str">
        <f>VLOOKUP(W87,통합목록!$F$4:$I$586,4,0)</f>
        <v>열기2-04.민사소송법\02.문제\[기출][2024-1-1]원고가 제1심 소송계속 중 연대보증인을 예비적 피고로 추가한 행위의 적법성 여부.txt</v>
      </c>
      <c r="N87" s="243" t="s">
        <v>1125</v>
      </c>
      <c r="O87" s="243" t="str">
        <f>VLOOKUP(W87,통합목록!$F$4:$K$586,6,0)</f>
        <v>C</v>
      </c>
      <c r="P87" s="253"/>
      <c r="Q87" s="243" t="str">
        <f t="shared" si="15"/>
        <v>제5편 병합소송&gt;02&gt;1-1&gt;기출</v>
      </c>
      <c r="R87" s="243" t="str">
        <f t="shared" si="16"/>
        <v>제12장 다수당사자소송&gt;01&gt;1-1&gt;기출</v>
      </c>
      <c r="S87" s="243" t="str">
        <f t="shared" si="17"/>
        <v>제12장 다수당사자소송&gt;제01절 공동소송&gt;01</v>
      </c>
      <c r="T87" s="243" t="str">
        <f t="shared" si="18"/>
        <v>기출&gt;2024&gt;4</v>
      </c>
      <c r="U87" s="243" t="str">
        <f t="shared" si="19"/>
        <v>기출&gt;2024&gt;1-1</v>
      </c>
      <c r="W87" s="128" t="str">
        <f t="shared" si="20"/>
        <v>2024-1-1</v>
      </c>
    </row>
    <row r="88" spans="2:23" ht="14.45" customHeight="1" x14ac:dyDescent="0.2">
      <c r="B88" s="249">
        <f t="shared" si="14"/>
        <v>85</v>
      </c>
      <c r="C88" s="250">
        <v>2022</v>
      </c>
      <c r="D88" s="251" t="s">
        <v>194</v>
      </c>
      <c r="E88" s="251" t="s">
        <v>195</v>
      </c>
      <c r="F88" s="200" t="s">
        <v>1276</v>
      </c>
      <c r="G88" s="252" t="s">
        <v>1317</v>
      </c>
      <c r="H88" s="200" t="s">
        <v>1285</v>
      </c>
      <c r="I88" s="251" t="s">
        <v>198</v>
      </c>
      <c r="J88" s="321" t="s">
        <v>2161</v>
      </c>
      <c r="K88" s="251" t="s">
        <v>198</v>
      </c>
      <c r="L88" s="200" t="str">
        <f>VLOOKUP(W88,통합목록!$F$4:$I$586,3,0)</f>
        <v>공동선정당사자 중 1인의 진술이 가지는 소송상 효력</v>
      </c>
      <c r="M88" s="243" t="str">
        <f>VLOOKUP(W88,통합목록!$F$4:$I$586,4,0)</f>
        <v>열기2-04.민사소송법\02.문제\[기출][2022-1-2]공동선정당사자 중 1인의 진술이 가지는 소송상 효력.txt</v>
      </c>
      <c r="N88" s="243" t="s">
        <v>1125</v>
      </c>
      <c r="O88" s="243" t="str">
        <f>VLOOKUP(W88,통합목록!$F$4:$K$586,6,0)</f>
        <v>A</v>
      </c>
      <c r="P88" s="253"/>
      <c r="Q88" s="243" t="str">
        <f t="shared" si="15"/>
        <v>제5편 병합소송&gt;04&gt;1-2&gt;기출</v>
      </c>
      <c r="R88" s="243" t="str">
        <f t="shared" si="16"/>
        <v>제12장 다수당사자소송&gt;02&gt;1-2&gt;기출</v>
      </c>
      <c r="S88" s="243" t="str">
        <f t="shared" si="17"/>
        <v>제12장 다수당사자소송&gt;제01절 공동소송&gt;02</v>
      </c>
      <c r="T88" s="243" t="str">
        <f t="shared" si="18"/>
        <v>기출&gt;2022&gt;3</v>
      </c>
      <c r="U88" s="243" t="str">
        <f t="shared" si="19"/>
        <v>기출&gt;2022&gt;1-2</v>
      </c>
      <c r="W88" s="128" t="str">
        <f t="shared" si="20"/>
        <v>2022-1-2</v>
      </c>
    </row>
    <row r="89" spans="2:23" ht="14.45" customHeight="1" x14ac:dyDescent="0.2">
      <c r="B89" s="249">
        <f t="shared" si="14"/>
        <v>86</v>
      </c>
      <c r="C89" s="250">
        <v>2021</v>
      </c>
      <c r="D89" s="251" t="s">
        <v>194</v>
      </c>
      <c r="E89" s="251" t="s">
        <v>195</v>
      </c>
      <c r="F89" s="200" t="s">
        <v>1276</v>
      </c>
      <c r="G89" s="252" t="s">
        <v>1318</v>
      </c>
      <c r="H89" s="200" t="s">
        <v>1285</v>
      </c>
      <c r="I89" s="251" t="s">
        <v>199</v>
      </c>
      <c r="J89" s="321" t="s">
        <v>2161</v>
      </c>
      <c r="K89" s="251" t="s">
        <v>199</v>
      </c>
      <c r="L89" s="200" t="str">
        <f>VLOOKUP(W89,통합목록!$F$4:$I$586,3,0)</f>
        <v>공동소송인 독립의 원칙과 증거공통의 원칙에 따른 청구기각 판결의 적법성</v>
      </c>
      <c r="M89" s="243" t="str">
        <f>VLOOKUP(W89,통합목록!$F$4:$I$586,4,0)</f>
        <v>열기2-04.민사소송법\02.문제\[기출][2021-1-2]공동소송인 독립의 원칙과 증거공통의 원칙에 따른 청구기각 판결의 적법성.txt</v>
      </c>
      <c r="N89" s="243" t="s">
        <v>1125</v>
      </c>
      <c r="O89" s="243" t="str">
        <f>VLOOKUP(W89,통합목록!$F$4:$K$586,6,0)</f>
        <v>A</v>
      </c>
      <c r="P89" s="253"/>
      <c r="Q89" s="243" t="str">
        <f t="shared" si="15"/>
        <v>제5편 병합소송&gt;05&gt;1-2&gt;기출</v>
      </c>
      <c r="R89" s="243" t="str">
        <f t="shared" si="16"/>
        <v>제12장 다수당사자소송&gt;03&gt;1-2&gt;기출</v>
      </c>
      <c r="S89" s="243" t="str">
        <f t="shared" si="17"/>
        <v>제12장 다수당사자소송&gt;제01절 공동소송&gt;03</v>
      </c>
      <c r="T89" s="243" t="str">
        <f t="shared" si="18"/>
        <v>기출&gt;2021&gt;3</v>
      </c>
      <c r="U89" s="243" t="str">
        <f t="shared" si="19"/>
        <v>기출&gt;2021&gt;1-2</v>
      </c>
      <c r="W89" s="128" t="str">
        <f t="shared" si="20"/>
        <v>2021-1-2</v>
      </c>
    </row>
    <row r="90" spans="2:23" ht="14.45" customHeight="1" x14ac:dyDescent="0.2">
      <c r="B90" s="249">
        <f t="shared" si="14"/>
        <v>87</v>
      </c>
      <c r="C90" s="250">
        <v>2020</v>
      </c>
      <c r="D90" s="251" t="s">
        <v>195</v>
      </c>
      <c r="E90" s="251" t="s">
        <v>197</v>
      </c>
      <c r="F90" s="200" t="s">
        <v>1276</v>
      </c>
      <c r="G90" s="252" t="s">
        <v>1320</v>
      </c>
      <c r="H90" s="200" t="s">
        <v>1285</v>
      </c>
      <c r="I90" s="251" t="s">
        <v>201</v>
      </c>
      <c r="J90" s="321" t="s">
        <v>2161</v>
      </c>
      <c r="K90" s="251" t="s">
        <v>201</v>
      </c>
      <c r="L90" s="200" t="str">
        <f>VLOOKUP(W90,통합목록!$F$4:$I$586,3,0)</f>
        <v>유사필수적 공동소송의 의의, 성립요건 및 소송수행상의 특징</v>
      </c>
      <c r="M90" s="243" t="str">
        <f>VLOOKUP(W90,통합목록!$F$4:$I$586,4,0)</f>
        <v>열기2-04.민사소송법\02.문제\[기출][2020-3]유사필수적 공동소송의 의의, 성립요건 및 소송수행상의 특징.txt</v>
      </c>
      <c r="N90" s="243" t="s">
        <v>1125</v>
      </c>
      <c r="O90" s="243" t="str">
        <f>VLOOKUP(W90,통합목록!$F$4:$K$586,6,0)</f>
        <v>A</v>
      </c>
      <c r="P90" s="253" t="s">
        <v>2309</v>
      </c>
      <c r="Q90" s="243" t="str">
        <f t="shared" si="15"/>
        <v>제5편 병합소송&gt;07&gt;3&gt;기출</v>
      </c>
      <c r="R90" s="243" t="str">
        <f t="shared" si="16"/>
        <v>제12장 다수당사자소송&gt;04&gt;3&gt;기출</v>
      </c>
      <c r="S90" s="243" t="str">
        <f t="shared" si="17"/>
        <v>제12장 다수당사자소송&gt;제01절 공동소송&gt;04</v>
      </c>
      <c r="T90" s="243" t="str">
        <f t="shared" si="18"/>
        <v>기출&gt;2020&gt;1</v>
      </c>
      <c r="U90" s="243" t="str">
        <f t="shared" si="19"/>
        <v>기출&gt;2020&gt;3</v>
      </c>
      <c r="W90" s="128" t="str">
        <f t="shared" si="20"/>
        <v>2020-3</v>
      </c>
    </row>
    <row r="91" spans="2:23" ht="14.45" customHeight="1" x14ac:dyDescent="0.2">
      <c r="B91" s="249">
        <f t="shared" si="14"/>
        <v>88</v>
      </c>
      <c r="C91" s="250">
        <v>2015</v>
      </c>
      <c r="D91" s="251" t="s">
        <v>203</v>
      </c>
      <c r="E91" s="251" t="s">
        <v>193</v>
      </c>
      <c r="F91" s="200" t="s">
        <v>1276</v>
      </c>
      <c r="G91" s="254">
        <v>13</v>
      </c>
      <c r="H91" s="200" t="s">
        <v>1285</v>
      </c>
      <c r="I91" s="251" t="s">
        <v>216</v>
      </c>
      <c r="J91" s="321" t="s">
        <v>2161</v>
      </c>
      <c r="K91" s="251" t="s">
        <v>204</v>
      </c>
      <c r="L91" s="200" t="str">
        <f>VLOOKUP(W91,통합목록!$F$4:$I$586,3,0)</f>
        <v>피고를 특정하여 소를 제기한 후 예비적으로 피고를 추가한 소송형태의 적법 여부와 법원의 조치</v>
      </c>
      <c r="M91" s="243" t="str">
        <f>VLOOKUP(W91,통합목록!$F$4:$I$586,4,0)</f>
        <v>열기2-04.민사소송법\02.문제\[기출][2015-1-1]피고를 특정하여 소를 제기한 후 예비적으로 피고를 추가한 소송형태의 적법 여부와 법원의 조치.txt</v>
      </c>
      <c r="N91" s="243" t="s">
        <v>1125</v>
      </c>
      <c r="O91" s="243" t="str">
        <f>VLOOKUP(W91,통합목록!$F$4:$K$586,6,0)</f>
        <v>C</v>
      </c>
      <c r="P91" s="253"/>
      <c r="Q91" s="243" t="str">
        <f t="shared" si="15"/>
        <v>제5편 병합소송&gt;13&gt;1-1&gt;기출</v>
      </c>
      <c r="R91" s="243" t="str">
        <f t="shared" si="16"/>
        <v>제12장 다수당사자소송&gt;09&gt;1-1&gt;기출</v>
      </c>
      <c r="S91" s="243" t="str">
        <f t="shared" si="17"/>
        <v>제12장 다수당사자소송&gt;제01절 공동소송&gt;05</v>
      </c>
      <c r="T91" s="243" t="str">
        <f t="shared" si="18"/>
        <v>기출&gt;2015&gt;4</v>
      </c>
      <c r="U91" s="243" t="str">
        <f t="shared" si="19"/>
        <v>기출&gt;2015&gt;1-1</v>
      </c>
      <c r="W91" s="128" t="str">
        <f t="shared" si="20"/>
        <v>2015-1-1</v>
      </c>
    </row>
    <row r="92" spans="2:23" ht="14.45" customHeight="1" x14ac:dyDescent="0.2">
      <c r="B92" s="249">
        <f t="shared" si="14"/>
        <v>89</v>
      </c>
      <c r="C92" s="250">
        <v>2013</v>
      </c>
      <c r="D92" s="251" t="s">
        <v>203</v>
      </c>
      <c r="E92" s="251" t="s">
        <v>193</v>
      </c>
      <c r="F92" s="200" t="s">
        <v>2942</v>
      </c>
      <c r="G92" s="254">
        <v>14</v>
      </c>
      <c r="H92" s="200" t="s">
        <v>2945</v>
      </c>
      <c r="I92" s="251" t="s">
        <v>217</v>
      </c>
      <c r="J92" s="321" t="s">
        <v>2948</v>
      </c>
      <c r="K92" s="251" t="s">
        <v>208</v>
      </c>
      <c r="L92" s="200" t="str">
        <f>VLOOKUP(W92,통합목록!$F$4:$I$586,3,0)</f>
        <v>도급계약상 연대책임 관계인 공동 피고에 대한 임금청구소송에서 소송대리인의 대리권 범위</v>
      </c>
      <c r="M92" s="243" t="str">
        <f>VLOOKUP(W92,통합목록!$F$4:$I$586,4,0)</f>
        <v>열기2-04.민사소송법\02.문제\[기출][2013-1-1]도급계약상 연대책임 관계인 공동 피고에 대한 임금청구소송에서 소송대리인의 대리권 범위.txt</v>
      </c>
      <c r="N92" s="243" t="s">
        <v>1125</v>
      </c>
      <c r="O92" s="243" t="str">
        <f>VLOOKUP(W92,통합목록!$F$4:$K$586,6,0)</f>
        <v>A</v>
      </c>
      <c r="P92" s="253"/>
      <c r="Q92" s="243" t="str">
        <f t="shared" si="15"/>
        <v>제5편 병합소송&gt;14&gt;1-1&gt;기출</v>
      </c>
      <c r="R92" s="243" t="str">
        <f t="shared" si="16"/>
        <v>제12장 다수당사자소송&gt;10&gt;1-1&gt;기출</v>
      </c>
      <c r="S92" s="243" t="str">
        <f t="shared" si="17"/>
        <v>제12장 다수당사자소송&gt;제01절 공동소송&gt;06</v>
      </c>
      <c r="T92" s="243" t="str">
        <f t="shared" si="18"/>
        <v>기출&gt;2013&gt;4</v>
      </c>
      <c r="U92" s="243" t="str">
        <f t="shared" si="19"/>
        <v>기출&gt;2013&gt;1-1</v>
      </c>
      <c r="W92" s="128" t="str">
        <f t="shared" si="20"/>
        <v>2013-1-1</v>
      </c>
    </row>
    <row r="93" spans="2:23" ht="14.45" customHeight="1" x14ac:dyDescent="0.2">
      <c r="B93" s="249">
        <f t="shared" si="14"/>
        <v>90</v>
      </c>
      <c r="C93" s="250">
        <v>2013</v>
      </c>
      <c r="D93" s="251" t="s">
        <v>205</v>
      </c>
      <c r="E93" s="251" t="s">
        <v>195</v>
      </c>
      <c r="F93" s="200" t="s">
        <v>1276</v>
      </c>
      <c r="G93" s="254">
        <v>15</v>
      </c>
      <c r="H93" s="200" t="s">
        <v>1285</v>
      </c>
      <c r="I93" s="251" t="s">
        <v>218</v>
      </c>
      <c r="J93" s="321" t="s">
        <v>2161</v>
      </c>
      <c r="K93" s="251" t="s">
        <v>209</v>
      </c>
      <c r="L93" s="200" t="str">
        <f>VLOOKUP(W93,통합목록!$F$4:$I$586,3,0)</f>
        <v>공동피고 중 1인의 선정당사자 선정 가능성 및 그 판결의 효력이 선정자에게 미치는지 여부</v>
      </c>
      <c r="M93" s="243" t="str">
        <f>VLOOKUP(W93,통합목록!$F$4:$I$586,4,0)</f>
        <v>열기2-04.민사소송법\02.문제\[기출][2013-1-2]공동피고 중 1인의 선정당사자 선정 가능성 및 그 판결의 효력이 선정자에게 미치는지 여부.txt</v>
      </c>
      <c r="N93" s="243" t="s">
        <v>1125</v>
      </c>
      <c r="O93" s="243" t="str">
        <f>VLOOKUP(W93,통합목록!$F$4:$K$586,6,0)</f>
        <v>A</v>
      </c>
      <c r="P93" s="253"/>
      <c r="Q93" s="243" t="str">
        <f t="shared" si="15"/>
        <v>제5편 병합소송&gt;15&gt;1-2&gt;기출</v>
      </c>
      <c r="R93" s="243" t="str">
        <f t="shared" si="16"/>
        <v>제12장 다수당사자소송&gt;11&gt;1-2&gt;기출</v>
      </c>
      <c r="S93" s="243" t="str">
        <f t="shared" si="17"/>
        <v>제12장 다수당사자소송&gt;제01절 공동소송&gt;07</v>
      </c>
      <c r="T93" s="243" t="str">
        <f t="shared" si="18"/>
        <v>기출&gt;2013&gt;3</v>
      </c>
      <c r="U93" s="243" t="str">
        <f t="shared" si="19"/>
        <v>기출&gt;2013&gt;1-2</v>
      </c>
      <c r="W93" s="128" t="str">
        <f t="shared" si="20"/>
        <v>2013-1-2</v>
      </c>
    </row>
    <row r="94" spans="2:23" ht="14.45" customHeight="1" x14ac:dyDescent="0.2">
      <c r="B94" s="249">
        <f t="shared" si="14"/>
        <v>91</v>
      </c>
      <c r="C94" s="250">
        <v>2010</v>
      </c>
      <c r="D94" s="251" t="s">
        <v>211</v>
      </c>
      <c r="E94" s="251" t="s">
        <v>197</v>
      </c>
      <c r="F94" s="200" t="s">
        <v>1276</v>
      </c>
      <c r="G94" s="254">
        <v>18</v>
      </c>
      <c r="H94" s="200" t="s">
        <v>1285</v>
      </c>
      <c r="I94" s="251" t="s">
        <v>220</v>
      </c>
      <c r="J94" s="321" t="s">
        <v>2161</v>
      </c>
      <c r="K94" s="251" t="s">
        <v>212</v>
      </c>
      <c r="L94" s="200" t="str">
        <f>VLOOKUP(W94,통합목록!$F$4:$I$586,3,0)</f>
        <v>공동소송인 독립의 원칙의 의의, 내용, 보완 및 한계, 예외</v>
      </c>
      <c r="M94" s="243" t="str">
        <f>VLOOKUP(W94,통합목록!$F$4:$I$586,4,0)</f>
        <v>열기2-04.민사소송법\02.문제\[기출][2010-2-2]공동소송인 독립의 원칙의 의의, 내용, 보완 및 한계, 예외.txt</v>
      </c>
      <c r="N94" s="243" t="s">
        <v>1125</v>
      </c>
      <c r="O94" s="243" t="str">
        <f>VLOOKUP(W94,통합목록!$F$4:$K$586,6,0)</f>
        <v>A</v>
      </c>
      <c r="P94" s="253" t="s">
        <v>2309</v>
      </c>
      <c r="Q94" s="243" t="str">
        <f t="shared" si="15"/>
        <v>제5편 병합소송&gt;18&gt;2-2&gt;기출</v>
      </c>
      <c r="R94" s="243" t="str">
        <f t="shared" si="16"/>
        <v>제12장 다수당사자소송&gt;13&gt;2-2&gt;기출</v>
      </c>
      <c r="S94" s="243" t="str">
        <f t="shared" si="17"/>
        <v>제12장 다수당사자소송&gt;제01절 공동소송&gt;08</v>
      </c>
      <c r="T94" s="243" t="str">
        <f t="shared" si="18"/>
        <v>기출&gt;2010&gt;1</v>
      </c>
      <c r="U94" s="243" t="str">
        <f t="shared" si="19"/>
        <v>기출&gt;2010&gt;2-2</v>
      </c>
      <c r="W94" s="128" t="str">
        <f t="shared" si="20"/>
        <v>2010-2-2</v>
      </c>
    </row>
    <row r="95" spans="2:23" ht="14.45" customHeight="1" x14ac:dyDescent="0.2">
      <c r="B95" s="249">
        <f t="shared" si="14"/>
        <v>92</v>
      </c>
      <c r="C95" s="255">
        <v>12.01</v>
      </c>
      <c r="D95" s="251" t="s">
        <v>1156</v>
      </c>
      <c r="E95" s="251" t="s">
        <v>196</v>
      </c>
      <c r="F95" s="200" t="s">
        <v>1276</v>
      </c>
      <c r="G95" s="254">
        <v>20</v>
      </c>
      <c r="H95" s="200" t="s">
        <v>1285</v>
      </c>
      <c r="I95" s="251" t="s">
        <v>1164</v>
      </c>
      <c r="J95" s="321" t="s">
        <v>2161</v>
      </c>
      <c r="K95" s="251" t="s">
        <v>1163</v>
      </c>
      <c r="L95" s="200" t="str">
        <f>VLOOKUP(W95,통합목록!$F$4:$I$586,3,0)</f>
        <v>민법상 조합의 당사자능력 및 선정당사자 제도의 요건과 효과</v>
      </c>
      <c r="M95" s="243" t="str">
        <f>VLOOKUP(W95,통합목록!$F$4:$I$586,4,0)</f>
        <v>열기2-04.민사소송법\02.문제\[모의][12.01-1]민법상 조합의 당사자능력 및 선정당사자 제도의 요건과 효과.txt</v>
      </c>
      <c r="N95" s="243" t="s">
        <v>2771</v>
      </c>
      <c r="O95" s="243" t="str">
        <f>VLOOKUP(W95,통합목록!$F$4:$K$586,6,0)</f>
        <v>A</v>
      </c>
      <c r="P95" s="253"/>
      <c r="Q95" s="243" t="str">
        <f t="shared" si="15"/>
        <v>제5편 병합소송&gt;20&gt;1&gt;모의</v>
      </c>
      <c r="R95" s="243" t="str">
        <f t="shared" si="16"/>
        <v>제12장 다수당사자소송&gt;14&gt;1&gt;모의</v>
      </c>
      <c r="S95" s="243" t="str">
        <f t="shared" si="17"/>
        <v>제12장 다수당사자소송&gt;제01절 공동소송&gt;09</v>
      </c>
      <c r="T95" s="243" t="str">
        <f t="shared" si="18"/>
        <v>모의&gt;12.01&gt;2</v>
      </c>
      <c r="U95" s="243" t="str">
        <f t="shared" si="19"/>
        <v>모의&gt;12.01&gt;1</v>
      </c>
      <c r="W95" s="128" t="str">
        <f t="shared" si="20"/>
        <v>12.01-1</v>
      </c>
    </row>
    <row r="96" spans="2:23" ht="14.45" customHeight="1" x14ac:dyDescent="0.2">
      <c r="B96" s="249">
        <f t="shared" si="14"/>
        <v>93</v>
      </c>
      <c r="C96" s="255">
        <v>12.01</v>
      </c>
      <c r="D96" s="251" t="s">
        <v>2272</v>
      </c>
      <c r="E96" s="251" t="s">
        <v>2270</v>
      </c>
      <c r="F96" s="200" t="s">
        <v>1276</v>
      </c>
      <c r="G96" s="254">
        <v>21</v>
      </c>
      <c r="H96" s="200" t="s">
        <v>1285</v>
      </c>
      <c r="I96" s="251" t="s">
        <v>2283</v>
      </c>
      <c r="J96" s="321" t="s">
        <v>2161</v>
      </c>
      <c r="K96" s="251" t="s">
        <v>2282</v>
      </c>
      <c r="L96" s="200" t="str">
        <f>VLOOKUP(W96,통합목록!$F$4:$I$586,3,0)</f>
        <v>필수적 공동소송의 의의 및 통상공동소송과의 구별, 분류 및 발생원인, 심리상 특징</v>
      </c>
      <c r="M96" s="243" t="str">
        <f>VLOOKUP(W96,통합목록!$F$4:$I$586,4,0)</f>
        <v>열기2-04.민사소송법\02.문제\[모의][12.01-2]필수적 공동소송의 의의 및 통상공동소송과의 구별, 분류 및 발생원인, 심리상 특징.txt</v>
      </c>
      <c r="N96" s="243" t="s">
        <v>2771</v>
      </c>
      <c r="O96" s="243" t="str">
        <f>VLOOKUP(W96,통합목록!$F$4:$K$586,6,0)</f>
        <v>A</v>
      </c>
      <c r="P96" s="253" t="s">
        <v>2309</v>
      </c>
      <c r="Q96" s="243" t="str">
        <f t="shared" si="15"/>
        <v>제5편 병합소송&gt;21&gt;2&gt;모의</v>
      </c>
      <c r="R96" s="243" t="str">
        <f t="shared" si="16"/>
        <v>제12장 다수당사자소송&gt;15&gt;2&gt;모의</v>
      </c>
      <c r="S96" s="243" t="str">
        <f t="shared" si="17"/>
        <v>제12장 다수당사자소송&gt;제01절 공동소송&gt;10</v>
      </c>
      <c r="T96" s="243" t="str">
        <f t="shared" si="18"/>
        <v>모의&gt;12.01&gt;1</v>
      </c>
      <c r="U96" s="243" t="str">
        <f t="shared" si="19"/>
        <v>모의&gt;12.01&gt;2</v>
      </c>
      <c r="W96" s="128" t="str">
        <f t="shared" si="20"/>
        <v>12.01-2</v>
      </c>
    </row>
    <row r="97" spans="2:23" ht="14.45" customHeight="1" x14ac:dyDescent="0.2">
      <c r="B97" s="249">
        <f t="shared" si="14"/>
        <v>94</v>
      </c>
      <c r="C97" s="250">
        <v>2019</v>
      </c>
      <c r="D97" s="251" t="s">
        <v>195</v>
      </c>
      <c r="E97" s="251" t="s">
        <v>197</v>
      </c>
      <c r="F97" s="200" t="s">
        <v>1276</v>
      </c>
      <c r="G97" s="252" t="s">
        <v>1321</v>
      </c>
      <c r="H97" s="200" t="s">
        <v>1285</v>
      </c>
      <c r="I97" s="251" t="s">
        <v>204</v>
      </c>
      <c r="J97" s="321" t="s">
        <v>2163</v>
      </c>
      <c r="K97" s="251" t="s">
        <v>192</v>
      </c>
      <c r="L97" s="200" t="str">
        <f>VLOOKUP(W97,통합목록!$F$4:$I$586,3,0)</f>
        <v>공동소송참가의 의의, 성립요건 및 소송수행상의 효력</v>
      </c>
      <c r="M97" s="243" t="str">
        <f>VLOOKUP(W97,통합목록!$F$4:$I$586,4,0)</f>
        <v>열기2-04.민사소송법\02.문제\[기출][2019-3]공동소송참가의 의의, 성립요건 및 소송수행상의 효력.txt</v>
      </c>
      <c r="N97" s="243" t="s">
        <v>1125</v>
      </c>
      <c r="O97" s="243" t="str">
        <f>VLOOKUP(W97,통합목록!$F$4:$K$586,6,0)</f>
        <v>A</v>
      </c>
      <c r="P97" s="253" t="s">
        <v>2309</v>
      </c>
      <c r="Q97" s="243" t="str">
        <f t="shared" si="15"/>
        <v>제5편 병합소송&gt;08&gt;3&gt;기출</v>
      </c>
      <c r="R97" s="243" t="str">
        <f t="shared" si="16"/>
        <v>제12장 다수당사자소송&gt;05&gt;3&gt;기출</v>
      </c>
      <c r="S97" s="243" t="str">
        <f t="shared" si="17"/>
        <v>제12장 다수당사자소송&gt;제02절 제3자의 소송참가&gt;01</v>
      </c>
      <c r="T97" s="243" t="str">
        <f t="shared" si="18"/>
        <v>기출&gt;2019&gt;1</v>
      </c>
      <c r="U97" s="243" t="str">
        <f t="shared" si="19"/>
        <v>기출&gt;2019&gt;3</v>
      </c>
      <c r="W97" s="128" t="str">
        <f t="shared" si="20"/>
        <v>2019-3</v>
      </c>
    </row>
    <row r="98" spans="2:23" ht="14.45" customHeight="1" x14ac:dyDescent="0.2">
      <c r="B98" s="249">
        <f t="shared" si="14"/>
        <v>95</v>
      </c>
      <c r="C98" s="250">
        <v>2018</v>
      </c>
      <c r="D98" s="251" t="s">
        <v>196</v>
      </c>
      <c r="E98" s="251" t="s">
        <v>196</v>
      </c>
      <c r="F98" s="200" t="s">
        <v>1276</v>
      </c>
      <c r="G98" s="252" t="s">
        <v>1322</v>
      </c>
      <c r="H98" s="200" t="s">
        <v>1285</v>
      </c>
      <c r="I98" s="251" t="s">
        <v>208</v>
      </c>
      <c r="J98" s="321" t="s">
        <v>2163</v>
      </c>
      <c r="K98" s="251" t="s">
        <v>198</v>
      </c>
      <c r="L98" s="200" t="str">
        <f>VLOOKUP(W98,통합목록!$F$4:$I$586,3,0)</f>
        <v>소송고지의 의의, 요건, 절차 및 방식, 효력</v>
      </c>
      <c r="M98" s="243" t="str">
        <f>VLOOKUP(W98,통합목록!$F$4:$I$586,4,0)</f>
        <v>열기2-04.민사소송법\02.문제\[기출][2018-2]소송고지의 의의, 요건, 절차 및 방식, 효력.txt</v>
      </c>
      <c r="N98" s="243" t="s">
        <v>1125</v>
      </c>
      <c r="O98" s="243" t="str">
        <f>VLOOKUP(W98,통합목록!$F$4:$K$586,6,0)</f>
        <v>A</v>
      </c>
      <c r="P98" s="253" t="s">
        <v>2309</v>
      </c>
      <c r="Q98" s="243" t="str">
        <f t="shared" si="15"/>
        <v>제5편 병합소송&gt;09&gt;2&gt;기출</v>
      </c>
      <c r="R98" s="243" t="str">
        <f t="shared" si="16"/>
        <v>제12장 다수당사자소송&gt;06&gt;2&gt;기출</v>
      </c>
      <c r="S98" s="243" t="str">
        <f t="shared" si="17"/>
        <v>제12장 다수당사자소송&gt;제02절 제3자의 소송참가&gt;02</v>
      </c>
      <c r="T98" s="243" t="str">
        <f t="shared" si="18"/>
        <v>기출&gt;2018&gt;2</v>
      </c>
      <c r="U98" s="243" t="str">
        <f t="shared" si="19"/>
        <v>기출&gt;2018&gt;2</v>
      </c>
      <c r="W98" s="128" t="str">
        <f t="shared" si="20"/>
        <v>2018-2</v>
      </c>
    </row>
    <row r="99" spans="2:23" ht="14.45" customHeight="1" x14ac:dyDescent="0.2">
      <c r="B99" s="249">
        <f t="shared" si="14"/>
        <v>96</v>
      </c>
      <c r="C99" s="250">
        <v>2017</v>
      </c>
      <c r="D99" s="251" t="s">
        <v>190</v>
      </c>
      <c r="E99" s="251" t="s">
        <v>2211</v>
      </c>
      <c r="F99" s="200" t="s">
        <v>1276</v>
      </c>
      <c r="G99" s="254">
        <v>10</v>
      </c>
      <c r="H99" s="200" t="s">
        <v>1285</v>
      </c>
      <c r="I99" s="251" t="s">
        <v>209</v>
      </c>
      <c r="J99" s="321" t="s">
        <v>2163</v>
      </c>
      <c r="K99" s="251" t="s">
        <v>199</v>
      </c>
      <c r="L99" s="200" t="str">
        <f>VLOOKUP(W99,통합목록!$F$4:$I$586,3,0)</f>
        <v>보조참가인에 대한 전소 판결의 참가적 효력 인정 여부</v>
      </c>
      <c r="M99" s="243" t="str">
        <f>VLOOKUP(W99,통합목록!$F$4:$I$586,4,0)</f>
        <v>열기2-04.민사소송법\02.문제\[기출][2017-1-1]보조참가인에 대한 전소 판결의 참가적 효력 인정 여부.txt</v>
      </c>
      <c r="N99" s="243" t="s">
        <v>1125</v>
      </c>
      <c r="O99" s="243" t="str">
        <f>VLOOKUP(W99,통합목록!$F$4:$K$586,6,0)</f>
        <v>A</v>
      </c>
      <c r="P99" s="253"/>
      <c r="Q99" s="243" t="str">
        <f t="shared" si="15"/>
        <v>제5편 병합소송&gt;10&gt;1-1&gt;기출</v>
      </c>
      <c r="R99" s="243" t="str">
        <f t="shared" si="16"/>
        <v>제12장 다수당사자소송&gt;07&gt;1-1&gt;기출</v>
      </c>
      <c r="S99" s="243" t="str">
        <f t="shared" si="17"/>
        <v>제12장 다수당사자소송&gt;제02절 제3자의 소송참가&gt;03</v>
      </c>
      <c r="T99" s="243" t="str">
        <f t="shared" si="18"/>
        <v>기출&gt;2017&gt;6</v>
      </c>
      <c r="U99" s="243" t="str">
        <f t="shared" si="19"/>
        <v>기출&gt;2017&gt;1-1</v>
      </c>
      <c r="W99" s="128" t="str">
        <f t="shared" si="20"/>
        <v>2017-1-1</v>
      </c>
    </row>
    <row r="100" spans="2:23" ht="14.45" customHeight="1" x14ac:dyDescent="0.2">
      <c r="B100" s="249">
        <f t="shared" ref="B100:B126" si="21">ROW()-3</f>
        <v>97</v>
      </c>
      <c r="C100" s="250">
        <v>2011</v>
      </c>
      <c r="D100" s="251" t="s">
        <v>210</v>
      </c>
      <c r="E100" s="251" t="s">
        <v>196</v>
      </c>
      <c r="F100" s="200" t="s">
        <v>1276</v>
      </c>
      <c r="G100" s="254">
        <v>17</v>
      </c>
      <c r="H100" s="200" t="s">
        <v>1285</v>
      </c>
      <c r="I100" s="251" t="s">
        <v>219</v>
      </c>
      <c r="J100" s="321" t="s">
        <v>2163</v>
      </c>
      <c r="K100" s="251" t="s">
        <v>201</v>
      </c>
      <c r="L100" s="200" t="str">
        <f>VLOOKUP(W100,통합목록!$F$4:$I$586,3,0)</f>
        <v>보조참가인에 대한 재판의 효력의 의의 및 성질과 범위</v>
      </c>
      <c r="M100" s="243" t="str">
        <f>VLOOKUP(W100,통합목록!$F$4:$I$586,4,0)</f>
        <v>열기2-04.민사소송법\02.문제\[기출][2011-2-1]보조참가인에 대한 재판의 효력의 의의 및 성질과 범위.txt</v>
      </c>
      <c r="N100" s="243" t="s">
        <v>1125</v>
      </c>
      <c r="O100" s="243" t="str">
        <f>VLOOKUP(W100,통합목록!$F$4:$K$586,6,0)</f>
        <v>A</v>
      </c>
      <c r="P100" s="253" t="s">
        <v>2309</v>
      </c>
      <c r="Q100" s="243" t="str">
        <f t="shared" ref="Q100:Q126" si="22">F100&amp;"&gt;"&amp;G100&amp;"&gt;"&amp;D100&amp;"&gt;"&amp;N100</f>
        <v>제5편 병합소송&gt;17&gt;2-1&gt;기출</v>
      </c>
      <c r="R100" s="243" t="str">
        <f t="shared" ref="R100:R126" si="23">H100&amp;"&gt;"&amp;I100&amp;"&gt;"&amp;D100&amp;"&gt;"&amp;N100</f>
        <v>제12장 다수당사자소송&gt;12&gt;2-1&gt;기출</v>
      </c>
      <c r="S100" s="243" t="str">
        <f t="shared" ref="S100:S126" si="24">H100&amp;"&gt;"&amp;J100&amp;"&gt;"&amp;K100</f>
        <v>제12장 다수당사자소송&gt;제02절 제3자의 소송참가&gt;04</v>
      </c>
      <c r="T100" s="243" t="str">
        <f t="shared" ref="T100:T126" si="25">N100&amp;"&gt;"&amp;C100&amp;"&gt;"&amp;E100</f>
        <v>기출&gt;2011&gt;2</v>
      </c>
      <c r="U100" s="243" t="str">
        <f t="shared" ref="U100:U126" si="26">N100&amp;"&gt;"&amp;C100&amp;"&gt;"&amp;D100</f>
        <v>기출&gt;2011&gt;2-1</v>
      </c>
      <c r="W100" s="128" t="str">
        <f t="shared" ref="W100:W126" si="27">C100&amp;"-"&amp;D100</f>
        <v>2011-2-1</v>
      </c>
    </row>
    <row r="101" spans="2:23" ht="14.45" customHeight="1" x14ac:dyDescent="0.2">
      <c r="B101" s="249">
        <f t="shared" si="21"/>
        <v>98</v>
      </c>
      <c r="C101" s="250">
        <v>2017</v>
      </c>
      <c r="D101" s="251" t="s">
        <v>194</v>
      </c>
      <c r="E101" s="251" t="s">
        <v>193</v>
      </c>
      <c r="F101" s="200" t="s">
        <v>2942</v>
      </c>
      <c r="G101" s="254">
        <v>11</v>
      </c>
      <c r="H101" s="200" t="s">
        <v>2945</v>
      </c>
      <c r="I101" s="251" t="s">
        <v>212</v>
      </c>
      <c r="J101" s="321" t="s">
        <v>2946</v>
      </c>
      <c r="K101" s="251" t="s">
        <v>192</v>
      </c>
      <c r="L101" s="200" t="str">
        <f>VLOOKUP(W101,통합목록!$F$4:$I$586,3,0)</f>
        <v>소송계속 중 당사자 사망을 간과한 판결의 효력과 상속인에 대한 승계 여부</v>
      </c>
      <c r="M101" s="243" t="str">
        <f>VLOOKUP(W101,통합목록!$F$4:$I$586,4,0)</f>
        <v>열기2-04.민사소송법\02.문제\[기출][2017-1-2]소송계속 중 당사자 사망을 간과한 판결의 효력과 상속인에 대한 승계 여부.txt</v>
      </c>
      <c r="N101" s="243" t="s">
        <v>1125</v>
      </c>
      <c r="O101" s="243" t="str">
        <f>VLOOKUP(W101,통합목록!$F$4:$K$586,6,0)</f>
        <v>A</v>
      </c>
      <c r="P101" s="253"/>
      <c r="Q101" s="243" t="str">
        <f t="shared" si="22"/>
        <v>제5편 병합소송&gt;11&gt;1-2&gt;기출</v>
      </c>
      <c r="R101" s="243" t="str">
        <f t="shared" si="23"/>
        <v>제12장 다수당사자소송&gt;08&gt;1-2&gt;기출</v>
      </c>
      <c r="S101" s="243" t="str">
        <f t="shared" si="24"/>
        <v>제12장 다수당사자소송&gt;제03절 당사자의 변경&gt;01</v>
      </c>
      <c r="T101" s="243" t="str">
        <f t="shared" si="25"/>
        <v>기출&gt;2017&gt;4</v>
      </c>
      <c r="U101" s="243" t="str">
        <f t="shared" si="26"/>
        <v>기출&gt;2017&gt;1-2</v>
      </c>
      <c r="W101" s="128" t="str">
        <f t="shared" si="27"/>
        <v>2017-1-2</v>
      </c>
    </row>
    <row r="102" spans="2:23" ht="14.45" customHeight="1" x14ac:dyDescent="0.2">
      <c r="B102" s="249">
        <f t="shared" si="21"/>
        <v>99</v>
      </c>
      <c r="C102" s="255">
        <v>13.02</v>
      </c>
      <c r="D102" s="251" t="s">
        <v>214</v>
      </c>
      <c r="E102" s="251" t="s">
        <v>196</v>
      </c>
      <c r="F102" s="200" t="s">
        <v>1277</v>
      </c>
      <c r="G102" s="252" t="s">
        <v>1315</v>
      </c>
      <c r="H102" s="200" t="s">
        <v>1287</v>
      </c>
      <c r="I102" s="251" t="s">
        <v>198</v>
      </c>
      <c r="J102" s="321" t="s">
        <v>2167</v>
      </c>
      <c r="K102" s="251" t="s">
        <v>192</v>
      </c>
      <c r="L102" s="200" t="str">
        <f>VLOOKUP(W102,통합목록!$F$4:$I$586,3,0)</f>
        <v>항소기간 도과와 소송행위의 추후보완 요건 및 절차</v>
      </c>
      <c r="M102" s="243" t="str">
        <f>VLOOKUP(W102,통합목록!$F$4:$I$586,4,0)</f>
        <v>열기2-04.민사소송법\02.문제\[모의][13.02-1]항소기간 도과와 소송행위의 추후보완 요건 및 절차.txt</v>
      </c>
      <c r="N102" s="243" t="s">
        <v>2771</v>
      </c>
      <c r="O102" s="243" t="str">
        <f>VLOOKUP(W102,통합목록!$F$4:$K$586,6,0)</f>
        <v>C</v>
      </c>
      <c r="P102" s="253"/>
      <c r="Q102" s="243" t="str">
        <f t="shared" si="22"/>
        <v>제6편 상소심절차&gt;03&gt;1&gt;모의</v>
      </c>
      <c r="R102" s="243" t="str">
        <f t="shared" si="23"/>
        <v>제13장 총설&gt;02&gt;1&gt;모의</v>
      </c>
      <c r="S102" s="243" t="str">
        <f t="shared" si="24"/>
        <v>제13장 총설&gt;제02절 상소의 적법요건&gt;01</v>
      </c>
      <c r="T102" s="243" t="str">
        <f t="shared" si="25"/>
        <v>모의&gt;13.02&gt;2</v>
      </c>
      <c r="U102" s="243" t="str">
        <f t="shared" si="26"/>
        <v>모의&gt;13.02&gt;1</v>
      </c>
      <c r="W102" s="128" t="str">
        <f t="shared" si="27"/>
        <v>13.02-1</v>
      </c>
    </row>
    <row r="103" spans="2:23" ht="14.45" customHeight="1" x14ac:dyDescent="0.2">
      <c r="B103" s="249">
        <f t="shared" si="21"/>
        <v>100</v>
      </c>
      <c r="C103" s="255">
        <v>13.02</v>
      </c>
      <c r="D103" s="251" t="s">
        <v>206</v>
      </c>
      <c r="E103" s="251" t="s">
        <v>197</v>
      </c>
      <c r="F103" s="200" t="s">
        <v>1277</v>
      </c>
      <c r="G103" s="252" t="s">
        <v>1317</v>
      </c>
      <c r="H103" s="200" t="s">
        <v>1287</v>
      </c>
      <c r="I103" s="251" t="s">
        <v>199</v>
      </c>
      <c r="J103" s="321" t="s">
        <v>2167</v>
      </c>
      <c r="K103" s="251" t="s">
        <v>198</v>
      </c>
      <c r="L103" s="200" t="str">
        <f>VLOOKUP(W103,통합목록!$F$4:$I$586,3,0)</f>
        <v>상소권 포기의 효력 및 형식적 불복설에 따른 상소의 이익 인정 여부</v>
      </c>
      <c r="M103" s="243" t="str">
        <f>VLOOKUP(W103,통합목록!$F$4:$I$586,4,0)</f>
        <v>열기2-04.민사소송법\02.문제\[모의][13.02-2]상소권 포기의 효력 및 형식적 불복설에 따른 상소의 이익 인정 여부.txt</v>
      </c>
      <c r="N103" s="243" t="s">
        <v>2771</v>
      </c>
      <c r="O103" s="243" t="str">
        <f>VLOOKUP(W103,통합목록!$F$4:$K$586,6,0)</f>
        <v>A</v>
      </c>
      <c r="P103" s="253"/>
      <c r="Q103" s="243" t="str">
        <f t="shared" si="22"/>
        <v>제6편 상소심절차&gt;04&gt;2&gt;모의</v>
      </c>
      <c r="R103" s="243" t="str">
        <f t="shared" si="23"/>
        <v>제13장 총설&gt;03&gt;2&gt;모의</v>
      </c>
      <c r="S103" s="243" t="str">
        <f t="shared" si="24"/>
        <v>제13장 총설&gt;제02절 상소의 적법요건&gt;02</v>
      </c>
      <c r="T103" s="243" t="str">
        <f t="shared" si="25"/>
        <v>모의&gt;13.02&gt;1</v>
      </c>
      <c r="U103" s="243" t="str">
        <f t="shared" si="26"/>
        <v>모의&gt;13.02&gt;2</v>
      </c>
      <c r="W103" s="128" t="str">
        <f t="shared" si="27"/>
        <v>13.02-2</v>
      </c>
    </row>
    <row r="104" spans="2:23" ht="14.45" customHeight="1" x14ac:dyDescent="0.2">
      <c r="B104" s="249">
        <f t="shared" si="21"/>
        <v>101</v>
      </c>
      <c r="C104" s="250">
        <v>2024</v>
      </c>
      <c r="D104" s="251" t="s">
        <v>194</v>
      </c>
      <c r="E104" s="251" t="s">
        <v>195</v>
      </c>
      <c r="F104" s="200" t="s">
        <v>1277</v>
      </c>
      <c r="G104" s="252" t="s">
        <v>1316</v>
      </c>
      <c r="H104" s="200" t="s">
        <v>1287</v>
      </c>
      <c r="I104" s="251" t="s">
        <v>192</v>
      </c>
      <c r="J104" s="321" t="s">
        <v>2165</v>
      </c>
      <c r="K104" s="251" t="s">
        <v>192</v>
      </c>
      <c r="L104" s="200" t="str">
        <f>VLOOKUP(W104,통합목록!$F$4:$I$586,3,0)</f>
        <v>원고만이 항소한 경우 항소심 법원이 상계항변을 받아들여 청구 전부를 기각한 판결의 적법성</v>
      </c>
      <c r="M104" s="243" t="str">
        <f>VLOOKUP(W104,통합목록!$F$4:$I$586,4,0)</f>
        <v>열기2-04.민사소송법\02.문제\[기출][2024-1-2]원고만이 항소한 경우 항소심 법원이 상계항변을 받아들여 청구 전부를 기각한 판결의 적법성.txt</v>
      </c>
      <c r="N104" s="243" t="s">
        <v>1125</v>
      </c>
      <c r="O104" s="243" t="str">
        <f>VLOOKUP(W104,통합목록!$F$4:$K$586,6,0)</f>
        <v>C</v>
      </c>
      <c r="P104" s="253"/>
      <c r="Q104" s="243" t="str">
        <f t="shared" si="22"/>
        <v>제6편 상소심절차&gt;01&gt;1-2&gt;기출</v>
      </c>
      <c r="R104" s="243" t="str">
        <f t="shared" si="23"/>
        <v>제13장 총설&gt;01&gt;1-2&gt;기출</v>
      </c>
      <c r="S104" s="243" t="str">
        <f t="shared" si="24"/>
        <v>제13장 총설&gt;제03절 상소의 효력&gt;01</v>
      </c>
      <c r="T104" s="243" t="str">
        <f t="shared" si="25"/>
        <v>기출&gt;2024&gt;3</v>
      </c>
      <c r="U104" s="243" t="str">
        <f t="shared" si="26"/>
        <v>기출&gt;2024&gt;1-2</v>
      </c>
      <c r="W104" s="128" t="str">
        <f t="shared" si="27"/>
        <v>2024-1-2</v>
      </c>
    </row>
    <row r="105" spans="2:23" ht="14.45" customHeight="1" x14ac:dyDescent="0.2">
      <c r="B105" s="249">
        <f t="shared" si="21"/>
        <v>102</v>
      </c>
      <c r="C105" s="250">
        <v>2023</v>
      </c>
      <c r="D105" s="251" t="s">
        <v>195</v>
      </c>
      <c r="E105" s="251" t="s">
        <v>197</v>
      </c>
      <c r="F105" s="200" t="s">
        <v>1277</v>
      </c>
      <c r="G105" s="252" t="s">
        <v>1314</v>
      </c>
      <c r="H105" s="200" t="s">
        <v>1289</v>
      </c>
      <c r="I105" s="251" t="s">
        <v>192</v>
      </c>
      <c r="J105" s="321" t="s">
        <v>2166</v>
      </c>
      <c r="K105" s="251" t="s">
        <v>192</v>
      </c>
      <c r="L105" s="200" t="str">
        <f>VLOOKUP(W105,통합목록!$F$4:$I$586,3,0)</f>
        <v>부대항소의 의의, 요건, 절차와 방식, 효력, 특수한 경우의 부대항소</v>
      </c>
      <c r="M105" s="243" t="str">
        <f>VLOOKUP(W105,통합목록!$F$4:$I$586,4,0)</f>
        <v>열기2-04.민사소송법\02.문제\[기출][2023-3]부대항소의 의의, 요건, 절차와 방식, 효력, 특수한 경우의 부대항소.txt</v>
      </c>
      <c r="N105" s="243" t="s">
        <v>1125</v>
      </c>
      <c r="O105" s="243" t="str">
        <f>VLOOKUP(W105,통합목록!$F$4:$K$586,6,0)</f>
        <v>C</v>
      </c>
      <c r="P105" s="253" t="s">
        <v>2309</v>
      </c>
      <c r="Q105" s="243" t="str">
        <f t="shared" si="22"/>
        <v>제6편 상소심절차&gt;02&gt;3&gt;기출</v>
      </c>
      <c r="R105" s="243" t="str">
        <f t="shared" si="23"/>
        <v>제14장 항소&gt;01&gt;3&gt;기출</v>
      </c>
      <c r="S105" s="243" t="str">
        <f t="shared" si="24"/>
        <v>제14장 항소&gt;제02절 항소의 제기&gt;01</v>
      </c>
      <c r="T105" s="243" t="str">
        <f t="shared" si="25"/>
        <v>기출&gt;2023&gt;1</v>
      </c>
      <c r="U105" s="243" t="str">
        <f t="shared" si="26"/>
        <v>기출&gt;2023&gt;3</v>
      </c>
      <c r="W105" s="128" t="str">
        <f t="shared" si="27"/>
        <v>2023-3</v>
      </c>
    </row>
    <row r="106" spans="2:23" ht="14.45" customHeight="1" x14ac:dyDescent="0.2">
      <c r="B106" s="249">
        <f t="shared" si="21"/>
        <v>103</v>
      </c>
      <c r="C106" s="255">
        <v>14.03</v>
      </c>
      <c r="D106" s="251" t="s">
        <v>214</v>
      </c>
      <c r="E106" s="251" t="s">
        <v>196</v>
      </c>
      <c r="F106" s="200" t="s">
        <v>1277</v>
      </c>
      <c r="G106" s="252" t="s">
        <v>1318</v>
      </c>
      <c r="H106" s="200" t="s">
        <v>1289</v>
      </c>
      <c r="I106" s="251" t="s">
        <v>198</v>
      </c>
      <c r="J106" s="321" t="s">
        <v>2168</v>
      </c>
      <c r="K106" s="251" t="s">
        <v>192</v>
      </c>
      <c r="L106" s="200" t="str">
        <f>VLOOKUP(W106,통합목록!$F$4:$I$586,3,0)</f>
        <v>항소심의 속심제 구조와 소멸시효 항변의 적시제출의무 위반 여부</v>
      </c>
      <c r="M106" s="243" t="str">
        <f>VLOOKUP(W106,통합목록!$F$4:$I$586,4,0)</f>
        <v>열기2-04.민사소송법\02.문제\[모의][14.03-1]항소심의 속심제 구조와 소멸시효 항변의 적시제출의무 위반 여부.txt</v>
      </c>
      <c r="N106" s="243" t="s">
        <v>2771</v>
      </c>
      <c r="O106" s="243" t="str">
        <f>VLOOKUP(W106,통합목록!$F$4:$K$586,6,0)</f>
        <v>C</v>
      </c>
      <c r="P106" s="253"/>
      <c r="Q106" s="243" t="str">
        <f t="shared" si="22"/>
        <v>제6편 상소심절차&gt;05&gt;1&gt;모의</v>
      </c>
      <c r="R106" s="243" t="str">
        <f t="shared" si="23"/>
        <v>제14장 항소&gt;02&gt;1&gt;모의</v>
      </c>
      <c r="S106" s="243" t="str">
        <f t="shared" si="24"/>
        <v>제14장 항소&gt;제03절 항소심의 심리&gt;01</v>
      </c>
      <c r="T106" s="243" t="str">
        <f t="shared" si="25"/>
        <v>모의&gt;14.03&gt;2</v>
      </c>
      <c r="U106" s="243" t="str">
        <f t="shared" si="26"/>
        <v>모의&gt;14.03&gt;1</v>
      </c>
      <c r="W106" s="128" t="str">
        <f t="shared" si="27"/>
        <v>14.03-1</v>
      </c>
    </row>
    <row r="107" spans="2:23" ht="14.45" customHeight="1" x14ac:dyDescent="0.2">
      <c r="B107" s="249">
        <f t="shared" si="21"/>
        <v>104</v>
      </c>
      <c r="C107" s="255">
        <v>14.03</v>
      </c>
      <c r="D107" s="251" t="s">
        <v>206</v>
      </c>
      <c r="E107" s="251" t="s">
        <v>197</v>
      </c>
      <c r="F107" s="200" t="s">
        <v>1277</v>
      </c>
      <c r="G107" s="252" t="s">
        <v>1319</v>
      </c>
      <c r="H107" s="200" t="s">
        <v>1289</v>
      </c>
      <c r="I107" s="251" t="s">
        <v>199</v>
      </c>
      <c r="J107" s="321" t="s">
        <v>2168</v>
      </c>
      <c r="K107" s="251" t="s">
        <v>198</v>
      </c>
      <c r="L107" s="200" t="str">
        <f>VLOOKUP(W107,통합목록!$F$4:$I$586,3,0)</f>
        <v>항소심 변론의 범위와 상계항변의 적시제출주의 위반 여부 및 판례의 태도</v>
      </c>
      <c r="M107" s="243" t="str">
        <f>VLOOKUP(W107,통합목록!$F$4:$I$586,4,0)</f>
        <v>열기2-04.민사소송법\02.문제\[모의][14.03-2]항소심 변론의 범위와 상계항변의 적시제출주의 위반 여부 및 판례의 태도.txt</v>
      </c>
      <c r="N107" s="243" t="s">
        <v>2771</v>
      </c>
      <c r="O107" s="243" t="str">
        <f>VLOOKUP(W107,통합목록!$F$4:$K$586,6,0)</f>
        <v>C</v>
      </c>
      <c r="P107" s="253"/>
      <c r="Q107" s="243" t="str">
        <f t="shared" si="22"/>
        <v>제6편 상소심절차&gt;06&gt;2&gt;모의</v>
      </c>
      <c r="R107" s="243" t="str">
        <f t="shared" si="23"/>
        <v>제14장 항소&gt;03&gt;2&gt;모의</v>
      </c>
      <c r="S107" s="243" t="str">
        <f t="shared" si="24"/>
        <v>제14장 항소&gt;제03절 항소심의 심리&gt;02</v>
      </c>
      <c r="T107" s="243" t="str">
        <f t="shared" si="25"/>
        <v>모의&gt;14.03&gt;1</v>
      </c>
      <c r="U107" s="243" t="str">
        <f t="shared" si="26"/>
        <v>모의&gt;14.03&gt;2</v>
      </c>
      <c r="W107" s="128" t="str">
        <f t="shared" si="27"/>
        <v>14.03-2</v>
      </c>
    </row>
    <row r="108" spans="2:23" ht="14.45" customHeight="1" x14ac:dyDescent="0.2">
      <c r="B108" s="249">
        <f t="shared" si="21"/>
        <v>105</v>
      </c>
      <c r="C108" s="255">
        <v>14.04</v>
      </c>
      <c r="D108" s="251" t="s">
        <v>214</v>
      </c>
      <c r="E108" s="251" t="s">
        <v>196</v>
      </c>
      <c r="F108" s="200" t="s">
        <v>1277</v>
      </c>
      <c r="G108" s="252" t="s">
        <v>1320</v>
      </c>
      <c r="H108" s="200" t="s">
        <v>1289</v>
      </c>
      <c r="I108" s="251" t="s">
        <v>201</v>
      </c>
      <c r="J108" s="321" t="s">
        <v>2169</v>
      </c>
      <c r="K108" s="251" t="s">
        <v>192</v>
      </c>
      <c r="L108" s="200" t="str">
        <f>VLOOKUP(W108,통합목록!$F$4:$I$586,3,0)</f>
        <v>피고만이 항소한 경우 불이익변경금지의 원칙 적용 여부와 항소기각의 재판 형식</v>
      </c>
      <c r="M108" s="243" t="str">
        <f>VLOOKUP(W108,통합목록!$F$4:$I$586,4,0)</f>
        <v>열기2-04.민사소송법\02.문제\[모의][14.04-1]피고만이 항소한 경우 불이익변경금지의 원칙 적용 여부와 항소기각의 재판 형식.txt</v>
      </c>
      <c r="N108" s="243" t="s">
        <v>2771</v>
      </c>
      <c r="O108" s="243" t="str">
        <f>VLOOKUP(W108,통합목록!$F$4:$K$586,6,0)</f>
        <v>B</v>
      </c>
      <c r="P108" s="253"/>
      <c r="Q108" s="243" t="str">
        <f t="shared" si="22"/>
        <v>제6편 상소심절차&gt;07&gt;1&gt;모의</v>
      </c>
      <c r="R108" s="243" t="str">
        <f t="shared" si="23"/>
        <v>제14장 항소&gt;04&gt;1&gt;모의</v>
      </c>
      <c r="S108" s="243" t="str">
        <f t="shared" si="24"/>
        <v>제14장 항소&gt;제04절 항소심의 종국재판&gt;01</v>
      </c>
      <c r="T108" s="243" t="str">
        <f t="shared" si="25"/>
        <v>모의&gt;14.04&gt;2</v>
      </c>
      <c r="U108" s="243" t="str">
        <f t="shared" si="26"/>
        <v>모의&gt;14.04&gt;1</v>
      </c>
      <c r="W108" s="128" t="str">
        <f t="shared" si="27"/>
        <v>14.04-1</v>
      </c>
    </row>
    <row r="109" spans="2:23" ht="14.45" customHeight="1" x14ac:dyDescent="0.2">
      <c r="B109" s="249">
        <f t="shared" si="21"/>
        <v>106</v>
      </c>
      <c r="C109" s="255">
        <v>14.04</v>
      </c>
      <c r="D109" s="251" t="s">
        <v>206</v>
      </c>
      <c r="E109" s="251" t="s">
        <v>197</v>
      </c>
      <c r="F109" s="200" t="s">
        <v>1277</v>
      </c>
      <c r="G109" s="252" t="s">
        <v>1321</v>
      </c>
      <c r="H109" s="200" t="s">
        <v>1289</v>
      </c>
      <c r="I109" s="251" t="s">
        <v>204</v>
      </c>
      <c r="J109" s="321" t="s">
        <v>2169</v>
      </c>
      <c r="K109" s="251" t="s">
        <v>198</v>
      </c>
      <c r="L109" s="200" t="str">
        <f>VLOOKUP(W109,통합목록!$F$4:$I$586,3,0)</f>
        <v>제1심의 소각하판결이 부당한 경우 항소심 법원의 환송 및 자판 여부</v>
      </c>
      <c r="M109" s="243" t="str">
        <f>VLOOKUP(W109,통합목록!$F$4:$I$586,4,0)</f>
        <v>열기2-04.민사소송법\02.문제\[모의][14.04-2]제1심의 소각하판결이 부당한 경우 항소심 법원의 환송 및 자판 여부.txt</v>
      </c>
      <c r="N109" s="243" t="s">
        <v>2771</v>
      </c>
      <c r="O109" s="243" t="str">
        <f>VLOOKUP(W109,통합목록!$F$4:$K$586,6,0)</f>
        <v>C</v>
      </c>
      <c r="P109" s="253"/>
      <c r="Q109" s="243" t="str">
        <f t="shared" si="22"/>
        <v>제6편 상소심절차&gt;08&gt;2&gt;모의</v>
      </c>
      <c r="R109" s="243" t="str">
        <f t="shared" si="23"/>
        <v>제14장 항소&gt;05&gt;2&gt;모의</v>
      </c>
      <c r="S109" s="243" t="str">
        <f t="shared" si="24"/>
        <v>제14장 항소&gt;제04절 항소심의 종국재판&gt;02</v>
      </c>
      <c r="T109" s="243" t="str">
        <f t="shared" si="25"/>
        <v>모의&gt;14.04&gt;1</v>
      </c>
      <c r="U109" s="243" t="str">
        <f t="shared" si="26"/>
        <v>모의&gt;14.04&gt;2</v>
      </c>
      <c r="W109" s="128" t="str">
        <f t="shared" si="27"/>
        <v>14.04-2</v>
      </c>
    </row>
    <row r="110" spans="2:23" ht="14.45" customHeight="1" x14ac:dyDescent="0.2">
      <c r="B110" s="249">
        <f t="shared" si="21"/>
        <v>107</v>
      </c>
      <c r="C110" s="255">
        <v>15.02</v>
      </c>
      <c r="D110" s="251" t="s">
        <v>214</v>
      </c>
      <c r="E110" s="251" t="s">
        <v>196</v>
      </c>
      <c r="F110" s="200" t="s">
        <v>1277</v>
      </c>
      <c r="G110" s="252" t="s">
        <v>1322</v>
      </c>
      <c r="H110" s="200" t="s">
        <v>1291</v>
      </c>
      <c r="I110" s="251" t="s">
        <v>192</v>
      </c>
      <c r="J110" s="321" t="s">
        <v>2170</v>
      </c>
      <c r="K110" s="251" t="s">
        <v>192</v>
      </c>
      <c r="L110" s="200" t="str">
        <f>VLOOKUP(W110,통합목록!$F$4:$I$586,3,0)</f>
        <v>상고이유서 제출기한 도과 후 제출된 절대적 상고이유의 심리 가능성 여부</v>
      </c>
      <c r="M110" s="243" t="str">
        <f>VLOOKUP(W110,통합목록!$F$4:$I$586,4,0)</f>
        <v>열기2-04.민사소송법\02.문제\[모의][15.02-1]상고이유서 제출기한 도과 후 제출된 절대적 상고이유의 심리 가능성 여부.txt</v>
      </c>
      <c r="N110" s="243" t="s">
        <v>2771</v>
      </c>
      <c r="O110" s="243" t="str">
        <f>VLOOKUP(W110,통합목록!$F$4:$K$586,6,0)</f>
        <v>C</v>
      </c>
      <c r="P110" s="253"/>
      <c r="Q110" s="243" t="str">
        <f t="shared" si="22"/>
        <v>제6편 상소심절차&gt;09&gt;1&gt;모의</v>
      </c>
      <c r="R110" s="243" t="str">
        <f t="shared" si="23"/>
        <v>제15장 상고&gt;01&gt;1&gt;모의</v>
      </c>
      <c r="S110" s="243" t="str">
        <f t="shared" si="24"/>
        <v>제15장 상고&gt;제02절 상고이유&gt;01</v>
      </c>
      <c r="T110" s="243" t="str">
        <f t="shared" si="25"/>
        <v>모의&gt;15.02&gt;2</v>
      </c>
      <c r="U110" s="243" t="str">
        <f t="shared" si="26"/>
        <v>모의&gt;15.02&gt;1</v>
      </c>
      <c r="W110" s="128" t="str">
        <f t="shared" si="27"/>
        <v>15.02-1</v>
      </c>
    </row>
    <row r="111" spans="2:23" ht="14.45" customHeight="1" x14ac:dyDescent="0.2">
      <c r="B111" s="249">
        <f t="shared" si="21"/>
        <v>108</v>
      </c>
      <c r="C111" s="255">
        <v>15.02</v>
      </c>
      <c r="D111" s="251" t="s">
        <v>206</v>
      </c>
      <c r="E111" s="251" t="s">
        <v>197</v>
      </c>
      <c r="F111" s="200" t="s">
        <v>1277</v>
      </c>
      <c r="G111" s="254">
        <v>10</v>
      </c>
      <c r="H111" s="200" t="s">
        <v>1291</v>
      </c>
      <c r="I111" s="251" t="s">
        <v>198</v>
      </c>
      <c r="J111" s="321" t="s">
        <v>2170</v>
      </c>
      <c r="K111" s="251" t="s">
        <v>198</v>
      </c>
      <c r="L111" s="200" t="str">
        <f>VLOOKUP(W111,통합목록!$F$4:$I$586,3,0)</f>
        <v>상고심의 직권조사사항의 근거와 한계</v>
      </c>
      <c r="M111" s="243" t="str">
        <f>VLOOKUP(W111,통합목록!$F$4:$I$586,4,0)</f>
        <v>열기2-04.민사소송법\02.문제\[모의][15.02-2]상고심의 직권조사사항의 근거와 한계.txt</v>
      </c>
      <c r="N111" s="243" t="s">
        <v>2771</v>
      </c>
      <c r="O111" s="243" t="str">
        <f>VLOOKUP(W111,통합목록!$F$4:$K$586,6,0)</f>
        <v>C</v>
      </c>
      <c r="P111" s="253"/>
      <c r="Q111" s="243" t="str">
        <f t="shared" si="22"/>
        <v>제6편 상소심절차&gt;10&gt;2&gt;모의</v>
      </c>
      <c r="R111" s="243" t="str">
        <f t="shared" si="23"/>
        <v>제15장 상고&gt;02&gt;2&gt;모의</v>
      </c>
      <c r="S111" s="243" t="str">
        <f t="shared" si="24"/>
        <v>제15장 상고&gt;제02절 상고이유&gt;02</v>
      </c>
      <c r="T111" s="243" t="str">
        <f t="shared" si="25"/>
        <v>모의&gt;15.02&gt;1</v>
      </c>
      <c r="U111" s="243" t="str">
        <f t="shared" si="26"/>
        <v>모의&gt;15.02&gt;2</v>
      </c>
      <c r="W111" s="128" t="str">
        <f t="shared" si="27"/>
        <v>15.02-2</v>
      </c>
    </row>
    <row r="112" spans="2:23" ht="14.45" customHeight="1" x14ac:dyDescent="0.2">
      <c r="B112" s="249">
        <f t="shared" si="21"/>
        <v>109</v>
      </c>
      <c r="C112" s="255">
        <v>15.03</v>
      </c>
      <c r="D112" s="251" t="s">
        <v>214</v>
      </c>
      <c r="E112" s="251" t="s">
        <v>196</v>
      </c>
      <c r="F112" s="200" t="s">
        <v>1277</v>
      </c>
      <c r="G112" s="254">
        <v>11</v>
      </c>
      <c r="H112" s="200" t="s">
        <v>1291</v>
      </c>
      <c r="I112" s="251" t="s">
        <v>199</v>
      </c>
      <c r="J112" s="321" t="s">
        <v>2171</v>
      </c>
      <c r="K112" s="251" t="s">
        <v>192</v>
      </c>
      <c r="L112" s="200" t="str">
        <f>VLOOKUP(W112,통합목록!$F$4:$I$586,3,0)</f>
        <v>상고이유서 제출기한 도과에 따른 대법원의 조치와 직권조사사항 포함 시 재판 결과의 변화</v>
      </c>
      <c r="M112" s="243" t="str">
        <f>VLOOKUP(W112,통합목록!$F$4:$I$586,4,0)</f>
        <v>열기2-04.민사소송법\02.문제\[모의][15.03-1]상고이유서 제출기한 도과에 따른 대법원의 조치와 직권조사사항 포함 시 재판 결과의 변화.txt</v>
      </c>
      <c r="N112" s="243" t="s">
        <v>2771</v>
      </c>
      <c r="O112" s="243" t="str">
        <f>VLOOKUP(W112,통합목록!$F$4:$K$586,6,0)</f>
        <v>C</v>
      </c>
      <c r="P112" s="253"/>
      <c r="Q112" s="243" t="str">
        <f t="shared" si="22"/>
        <v>제6편 상소심절차&gt;11&gt;1&gt;모의</v>
      </c>
      <c r="R112" s="243" t="str">
        <f t="shared" si="23"/>
        <v>제15장 상고&gt;03&gt;1&gt;모의</v>
      </c>
      <c r="S112" s="243" t="str">
        <f t="shared" si="24"/>
        <v>제15장 상고&gt;제03절 상고심절차의 개시와 심리&gt;01</v>
      </c>
      <c r="T112" s="243" t="str">
        <f t="shared" si="25"/>
        <v>모의&gt;15.03&gt;2</v>
      </c>
      <c r="U112" s="243" t="str">
        <f t="shared" si="26"/>
        <v>모의&gt;15.03&gt;1</v>
      </c>
      <c r="W112" s="128" t="str">
        <f t="shared" si="27"/>
        <v>15.03-1</v>
      </c>
    </row>
    <row r="113" spans="2:23" ht="14.45" customHeight="1" x14ac:dyDescent="0.2">
      <c r="B113" s="249">
        <f t="shared" si="21"/>
        <v>110</v>
      </c>
      <c r="C113" s="255">
        <v>15.03</v>
      </c>
      <c r="D113" s="251" t="s">
        <v>206</v>
      </c>
      <c r="E113" s="251" t="s">
        <v>197</v>
      </c>
      <c r="F113" s="200" t="s">
        <v>1277</v>
      </c>
      <c r="G113" s="254">
        <v>12</v>
      </c>
      <c r="H113" s="200" t="s">
        <v>1291</v>
      </c>
      <c r="I113" s="251" t="s">
        <v>201</v>
      </c>
      <c r="J113" s="321" t="s">
        <v>2171</v>
      </c>
      <c r="K113" s="251" t="s">
        <v>198</v>
      </c>
      <c r="L113" s="200" t="str">
        <f>VLOOKUP(W113,통합목록!$F$4:$I$586,3,0)</f>
        <v>심리불속행 제도의 취지 및 범위와 상고심에서 새로운 사실 및 증거 제출의 허용 여부</v>
      </c>
      <c r="M113" s="243" t="str">
        <f>VLOOKUP(W113,통합목록!$F$4:$I$586,4,0)</f>
        <v>열기2-04.민사소송법\02.문제\[모의][15.03-2]심리불속행 제도의 취지 및 범위와 상고심에서 새로운 사실 및 증거 제출의 허용 여부.txt</v>
      </c>
      <c r="N113" s="243" t="s">
        <v>2771</v>
      </c>
      <c r="O113" s="243" t="str">
        <f>VLOOKUP(W113,통합목록!$F$4:$K$586,6,0)</f>
        <v>C</v>
      </c>
      <c r="P113" s="253"/>
      <c r="Q113" s="243" t="str">
        <f t="shared" si="22"/>
        <v>제6편 상소심절차&gt;12&gt;2&gt;모의</v>
      </c>
      <c r="R113" s="243" t="str">
        <f t="shared" si="23"/>
        <v>제15장 상고&gt;04&gt;2&gt;모의</v>
      </c>
      <c r="S113" s="243" t="str">
        <f t="shared" si="24"/>
        <v>제15장 상고&gt;제03절 상고심절차의 개시와 심리&gt;02</v>
      </c>
      <c r="T113" s="243" t="str">
        <f t="shared" si="25"/>
        <v>모의&gt;15.03&gt;1</v>
      </c>
      <c r="U113" s="243" t="str">
        <f t="shared" si="26"/>
        <v>모의&gt;15.03&gt;2</v>
      </c>
      <c r="W113" s="128" t="str">
        <f t="shared" si="27"/>
        <v>15.03-2</v>
      </c>
    </row>
    <row r="114" spans="2:23" ht="14.45" customHeight="1" x14ac:dyDescent="0.2">
      <c r="B114" s="249">
        <f t="shared" si="21"/>
        <v>111</v>
      </c>
      <c r="C114" s="255">
        <v>15.04</v>
      </c>
      <c r="D114" s="251" t="s">
        <v>214</v>
      </c>
      <c r="E114" s="251" t="s">
        <v>196</v>
      </c>
      <c r="F114" s="200" t="s">
        <v>1277</v>
      </c>
      <c r="G114" s="254">
        <v>13</v>
      </c>
      <c r="H114" s="200" t="s">
        <v>1291</v>
      </c>
      <c r="I114" s="251" t="s">
        <v>204</v>
      </c>
      <c r="J114" s="321" t="s">
        <v>2172</v>
      </c>
      <c r="K114" s="251" t="s">
        <v>192</v>
      </c>
      <c r="L114" s="200" t="str">
        <f>VLOOKUP(W114,통합목록!$F$4:$I$586,3,0)</f>
        <v>파기환송 판결의 기속력 및 범위와 사실관계 변동 시 기속력의 한계</v>
      </c>
      <c r="M114" s="243" t="str">
        <f>VLOOKUP(W114,통합목록!$F$4:$I$586,4,0)</f>
        <v>열기2-04.민사소송법\02.문제\[모의][15.04-1]파기환송 판결의 기속력 및 범위와 사실관계 변동 시 기속력의 한계.txt</v>
      </c>
      <c r="N114" s="243" t="s">
        <v>2771</v>
      </c>
      <c r="O114" s="243" t="str">
        <f>VLOOKUP(W114,통합목록!$F$4:$K$586,6,0)</f>
        <v>B</v>
      </c>
      <c r="P114" s="253"/>
      <c r="Q114" s="243" t="str">
        <f t="shared" si="22"/>
        <v>제6편 상소심절차&gt;13&gt;1&gt;모의</v>
      </c>
      <c r="R114" s="243" t="str">
        <f t="shared" si="23"/>
        <v>제15장 상고&gt;05&gt;1&gt;모의</v>
      </c>
      <c r="S114" s="243" t="str">
        <f t="shared" si="24"/>
        <v>제15장 상고&gt;제04절 상고심의 종국재판&gt;01</v>
      </c>
      <c r="T114" s="243" t="str">
        <f t="shared" si="25"/>
        <v>모의&gt;15.04&gt;2</v>
      </c>
      <c r="U114" s="243" t="str">
        <f t="shared" si="26"/>
        <v>모의&gt;15.04&gt;1</v>
      </c>
      <c r="W114" s="128" t="str">
        <f t="shared" si="27"/>
        <v>15.04-1</v>
      </c>
    </row>
    <row r="115" spans="2:23" ht="14.45" customHeight="1" x14ac:dyDescent="0.2">
      <c r="B115" s="249">
        <f t="shared" si="21"/>
        <v>112</v>
      </c>
      <c r="C115" s="255">
        <v>15.04</v>
      </c>
      <c r="D115" s="251" t="s">
        <v>206</v>
      </c>
      <c r="E115" s="251" t="s">
        <v>197</v>
      </c>
      <c r="F115" s="200" t="s">
        <v>1277</v>
      </c>
      <c r="G115" s="254">
        <v>14</v>
      </c>
      <c r="H115" s="200" t="s">
        <v>1291</v>
      </c>
      <c r="I115" s="251" t="s">
        <v>208</v>
      </c>
      <c r="J115" s="321" t="s">
        <v>2172</v>
      </c>
      <c r="K115" s="251" t="s">
        <v>198</v>
      </c>
      <c r="L115" s="200" t="str">
        <f>VLOOKUP(W115,통합목록!$F$4:$I$586,3,0)</f>
        <v>파기자판의 요건 및 상고기각 판결 확정 후의 불복 방법</v>
      </c>
      <c r="M115" s="243" t="str">
        <f>VLOOKUP(W115,통합목록!$F$4:$I$586,4,0)</f>
        <v>열기2-04.민사소송법\02.문제\[모의][15.04-2]파기자판의 요건 및 상고기각 판결 확정 후의 불복 방법.txt</v>
      </c>
      <c r="N115" s="243" t="s">
        <v>2771</v>
      </c>
      <c r="O115" s="243" t="str">
        <f>VLOOKUP(W115,통합목록!$F$4:$K$586,6,0)</f>
        <v>C</v>
      </c>
      <c r="P115" s="253"/>
      <c r="Q115" s="243" t="str">
        <f t="shared" si="22"/>
        <v>제6편 상소심절차&gt;14&gt;2&gt;모의</v>
      </c>
      <c r="R115" s="243" t="str">
        <f t="shared" si="23"/>
        <v>제15장 상고&gt;06&gt;2&gt;모의</v>
      </c>
      <c r="S115" s="243" t="str">
        <f t="shared" si="24"/>
        <v>제15장 상고&gt;제04절 상고심의 종국재판&gt;02</v>
      </c>
      <c r="T115" s="243" t="str">
        <f t="shared" si="25"/>
        <v>모의&gt;15.04&gt;1</v>
      </c>
      <c r="U115" s="243" t="str">
        <f t="shared" si="26"/>
        <v>모의&gt;15.04&gt;2</v>
      </c>
      <c r="W115" s="128" t="str">
        <f t="shared" si="27"/>
        <v>15.04-2</v>
      </c>
    </row>
    <row r="116" spans="2:23" ht="14.45" customHeight="1" x14ac:dyDescent="0.2">
      <c r="B116" s="249">
        <f t="shared" si="21"/>
        <v>113</v>
      </c>
      <c r="C116" s="255">
        <v>16.02</v>
      </c>
      <c r="D116" s="251" t="s">
        <v>214</v>
      </c>
      <c r="E116" s="251" t="s">
        <v>196</v>
      </c>
      <c r="F116" s="200" t="s">
        <v>1277</v>
      </c>
      <c r="G116" s="254">
        <v>15</v>
      </c>
      <c r="H116" s="200" t="s">
        <v>1293</v>
      </c>
      <c r="I116" s="251" t="s">
        <v>192</v>
      </c>
      <c r="J116" s="321" t="s">
        <v>2173</v>
      </c>
      <c r="K116" s="251" t="s">
        <v>192</v>
      </c>
      <c r="L116" s="200" t="str">
        <f>VLOOKUP(W116,통합목록!$F$4:$I$586,3,0)</f>
        <v>소장각하명령에 대한 항고절차 및 항고법원의 조치</v>
      </c>
      <c r="M116" s="243" t="str">
        <f>VLOOKUP(W116,통합목록!$F$4:$I$586,4,0)</f>
        <v>열기2-04.민사소송법\02.문제\[모의][16.02-1]소장각하명령에 대한 항고절차 및 항고법원의 조치.txt</v>
      </c>
      <c r="N116" s="243" t="s">
        <v>2771</v>
      </c>
      <c r="O116" s="243" t="str">
        <f>VLOOKUP(W116,통합목록!$F$4:$K$586,6,0)</f>
        <v>C</v>
      </c>
      <c r="P116" s="253"/>
      <c r="Q116" s="243" t="str">
        <f t="shared" si="22"/>
        <v>제6편 상소심절차&gt;15&gt;1&gt;모의</v>
      </c>
      <c r="R116" s="243" t="str">
        <f t="shared" si="23"/>
        <v>제16장 항고&gt;01&gt;1&gt;모의</v>
      </c>
      <c r="S116" s="243" t="str">
        <f t="shared" si="24"/>
        <v>제16장 항고&gt;제02절 항고의 절차&gt;01</v>
      </c>
      <c r="T116" s="243" t="str">
        <f t="shared" si="25"/>
        <v>모의&gt;16.02&gt;2</v>
      </c>
      <c r="U116" s="243" t="str">
        <f t="shared" si="26"/>
        <v>모의&gt;16.02&gt;1</v>
      </c>
      <c r="W116" s="128" t="str">
        <f t="shared" si="27"/>
        <v>16.02-1</v>
      </c>
    </row>
    <row r="117" spans="2:23" ht="14.45" customHeight="1" x14ac:dyDescent="0.2">
      <c r="B117" s="249">
        <f t="shared" si="21"/>
        <v>114</v>
      </c>
      <c r="C117" s="255">
        <v>16.02</v>
      </c>
      <c r="D117" s="251" t="s">
        <v>206</v>
      </c>
      <c r="E117" s="251" t="s">
        <v>197</v>
      </c>
      <c r="F117" s="200" t="s">
        <v>1277</v>
      </c>
      <c r="G117" s="254">
        <v>16</v>
      </c>
      <c r="H117" s="200" t="s">
        <v>1293</v>
      </c>
      <c r="I117" s="251" t="s">
        <v>198</v>
      </c>
      <c r="J117" s="321" t="s">
        <v>2173</v>
      </c>
      <c r="K117" s="251" t="s">
        <v>198</v>
      </c>
      <c r="L117" s="200" t="str">
        <f>VLOOKUP(W117,통합목록!$F$4:$I$586,3,0)</f>
        <v>즉시항고의 항고이유서 제출 기한의 성질과 효과 및 각하 가능성</v>
      </c>
      <c r="M117" s="243" t="str">
        <f>VLOOKUP(W117,통합목록!$F$4:$I$586,4,0)</f>
        <v>열기2-04.민사소송법\02.문제\[모의][16.02-2]즉시항고의 항고이유서 제출 기한의 성질과 효과 및 각하 가능성.txt</v>
      </c>
      <c r="N117" s="243" t="s">
        <v>2771</v>
      </c>
      <c r="O117" s="243" t="str">
        <f>VLOOKUP(W117,통합목록!$F$4:$K$586,6,0)</f>
        <v>C</v>
      </c>
      <c r="P117" s="253"/>
      <c r="Q117" s="243" t="str">
        <f t="shared" si="22"/>
        <v>제6편 상소심절차&gt;16&gt;2&gt;모의</v>
      </c>
      <c r="R117" s="243" t="str">
        <f t="shared" si="23"/>
        <v>제16장 항고&gt;02&gt;2&gt;모의</v>
      </c>
      <c r="S117" s="243" t="str">
        <f t="shared" si="24"/>
        <v>제16장 항고&gt;제02절 항고의 절차&gt;02</v>
      </c>
      <c r="T117" s="243" t="str">
        <f t="shared" si="25"/>
        <v>모의&gt;16.02&gt;1</v>
      </c>
      <c r="U117" s="243" t="str">
        <f t="shared" si="26"/>
        <v>모의&gt;16.02&gt;2</v>
      </c>
      <c r="W117" s="128" t="str">
        <f t="shared" si="27"/>
        <v>16.02-2</v>
      </c>
    </row>
    <row r="118" spans="2:23" ht="14.45" customHeight="1" x14ac:dyDescent="0.2">
      <c r="B118" s="249">
        <f t="shared" si="21"/>
        <v>115</v>
      </c>
      <c r="C118" s="255">
        <v>17.02</v>
      </c>
      <c r="D118" s="251" t="s">
        <v>214</v>
      </c>
      <c r="E118" s="251" t="s">
        <v>196</v>
      </c>
      <c r="F118" s="200" t="s">
        <v>1278</v>
      </c>
      <c r="G118" s="254" t="s">
        <v>1300</v>
      </c>
      <c r="H118" s="200" t="s">
        <v>1295</v>
      </c>
      <c r="I118" s="251" t="s">
        <v>192</v>
      </c>
      <c r="J118" s="321" t="s">
        <v>2174</v>
      </c>
      <c r="K118" s="251" t="s">
        <v>192</v>
      </c>
      <c r="L118" s="200" t="str">
        <f>VLOOKUP(W118,통합목록!$F$4:$I$586,3,0)</f>
        <v>재심의 소송물 이론에 따른 재심사유의 관계 및 본안 심리 절차의 구조</v>
      </c>
      <c r="M118" s="243" t="str">
        <f>VLOOKUP(W118,통합목록!$F$4:$I$586,4,0)</f>
        <v>열기2-04.민사소송법\02.문제\[모의][17.02-1]재심의 소송물 이론에 따른 재심사유의 관계 및 본안 심리 절차의 구조.txt</v>
      </c>
      <c r="N118" s="243" t="s">
        <v>2771</v>
      </c>
      <c r="O118" s="243" t="str">
        <f>VLOOKUP(W118,통합목록!$F$4:$K$586,6,0)</f>
        <v>C</v>
      </c>
      <c r="P118" s="253"/>
      <c r="Q118" s="243" t="str">
        <f t="shared" si="22"/>
        <v>제7편 재심절차&gt;01&gt;1&gt;모의</v>
      </c>
      <c r="R118" s="243" t="str">
        <f t="shared" si="23"/>
        <v>제17장 재심&gt;01&gt;1&gt;모의</v>
      </c>
      <c r="S118" s="243" t="str">
        <f t="shared" si="24"/>
        <v>제17장 재심&gt;제02절 재심의 소송물&gt;01</v>
      </c>
      <c r="T118" s="243" t="str">
        <f t="shared" si="25"/>
        <v>모의&gt;17.02&gt;2</v>
      </c>
      <c r="U118" s="243" t="str">
        <f t="shared" si="26"/>
        <v>모의&gt;17.02&gt;1</v>
      </c>
      <c r="W118" s="128" t="str">
        <f t="shared" si="27"/>
        <v>17.02-1</v>
      </c>
    </row>
    <row r="119" spans="2:23" ht="14.45" customHeight="1" x14ac:dyDescent="0.2">
      <c r="B119" s="249">
        <f t="shared" si="21"/>
        <v>116</v>
      </c>
      <c r="C119" s="255">
        <v>17.02</v>
      </c>
      <c r="D119" s="251" t="s">
        <v>206</v>
      </c>
      <c r="E119" s="251" t="s">
        <v>197</v>
      </c>
      <c r="F119" s="200" t="s">
        <v>1278</v>
      </c>
      <c r="G119" s="254" t="s">
        <v>1301</v>
      </c>
      <c r="H119" s="200" t="s">
        <v>1295</v>
      </c>
      <c r="I119" s="251" t="s">
        <v>198</v>
      </c>
      <c r="J119" s="321" t="s">
        <v>2174</v>
      </c>
      <c r="K119" s="251" t="s">
        <v>198</v>
      </c>
      <c r="L119" s="200" t="str">
        <f>VLOOKUP(W119,통합목록!$F$4:$I$586,3,0)</f>
        <v>재심제기기간의 기산점 판단 및 재심판결에 대한 재심의 소송물 확정</v>
      </c>
      <c r="M119" s="243" t="str">
        <f>VLOOKUP(W119,통합목록!$F$4:$I$586,4,0)</f>
        <v>열기2-04.민사소송법\02.문제\[모의][17.02-2]재심제기기간의 기산점 판단 및 재심판결에 대한 재심의 소송물 확정.txt</v>
      </c>
      <c r="N119" s="243" t="s">
        <v>2771</v>
      </c>
      <c r="O119" s="243" t="str">
        <f>VLOOKUP(W119,통합목록!$F$4:$K$586,6,0)</f>
        <v>C</v>
      </c>
      <c r="P119" s="253"/>
      <c r="Q119" s="243" t="str">
        <f t="shared" si="22"/>
        <v>제7편 재심절차&gt;02&gt;2&gt;모의</v>
      </c>
      <c r="R119" s="243" t="str">
        <f t="shared" si="23"/>
        <v>제17장 재심&gt;02&gt;2&gt;모의</v>
      </c>
      <c r="S119" s="243" t="str">
        <f t="shared" si="24"/>
        <v>제17장 재심&gt;제02절 재심의 소송물&gt;02</v>
      </c>
      <c r="T119" s="243" t="str">
        <f t="shared" si="25"/>
        <v>모의&gt;17.02&gt;1</v>
      </c>
      <c r="U119" s="243" t="str">
        <f t="shared" si="26"/>
        <v>모의&gt;17.02&gt;2</v>
      </c>
      <c r="W119" s="128" t="str">
        <f t="shared" si="27"/>
        <v>17.02-2</v>
      </c>
    </row>
    <row r="120" spans="2:23" ht="14.45" customHeight="1" x14ac:dyDescent="0.2">
      <c r="B120" s="249">
        <f t="shared" si="21"/>
        <v>117</v>
      </c>
      <c r="C120" s="255">
        <v>17.03</v>
      </c>
      <c r="D120" s="251" t="s">
        <v>214</v>
      </c>
      <c r="E120" s="251" t="s">
        <v>195</v>
      </c>
      <c r="F120" s="200" t="s">
        <v>1278</v>
      </c>
      <c r="G120" s="254" t="s">
        <v>1302</v>
      </c>
      <c r="H120" s="200" t="s">
        <v>1295</v>
      </c>
      <c r="I120" s="251" t="s">
        <v>199</v>
      </c>
      <c r="J120" s="321" t="s">
        <v>2175</v>
      </c>
      <c r="K120" s="251" t="s">
        <v>192</v>
      </c>
      <c r="L120" s="200" t="str">
        <f>VLOOKUP(W120,통합목록!$F$4:$I$586,3,0)</f>
        <v>재심사유의 보충성 원칙 위배 여부 및 재심대상의 확정 원칙</v>
      </c>
      <c r="M120" s="243" t="str">
        <f>VLOOKUP(W120,통합목록!$F$4:$I$586,4,0)</f>
        <v>열기2-04.민사소송법\02.문제\[모의][17.03-1]재심사유의 보충성 원칙 위배 여부 및 재심대상의 확정 원칙.txt</v>
      </c>
      <c r="N120" s="243" t="s">
        <v>2771</v>
      </c>
      <c r="O120" s="243" t="str">
        <f>VLOOKUP(W120,통합목록!$F$4:$K$586,6,0)</f>
        <v>C</v>
      </c>
      <c r="P120" s="253"/>
      <c r="Q120" s="243" t="str">
        <f t="shared" si="22"/>
        <v>제7편 재심절차&gt;03&gt;1&gt;모의</v>
      </c>
      <c r="R120" s="243" t="str">
        <f t="shared" si="23"/>
        <v>제17장 재심&gt;03&gt;1&gt;모의</v>
      </c>
      <c r="S120" s="243" t="str">
        <f t="shared" si="24"/>
        <v>제17장 재심&gt;제03절 적법요건&gt;01</v>
      </c>
      <c r="T120" s="243" t="str">
        <f t="shared" si="25"/>
        <v>모의&gt;17.03&gt;3</v>
      </c>
      <c r="U120" s="243" t="str">
        <f t="shared" si="26"/>
        <v>모의&gt;17.03&gt;1</v>
      </c>
      <c r="W120" s="128" t="str">
        <f t="shared" si="27"/>
        <v>17.03-1</v>
      </c>
    </row>
    <row r="121" spans="2:23" ht="14.45" customHeight="1" x14ac:dyDescent="0.2">
      <c r="B121" s="249">
        <f t="shared" si="21"/>
        <v>118</v>
      </c>
      <c r="C121" s="255">
        <v>17.03</v>
      </c>
      <c r="D121" s="251" t="s">
        <v>206</v>
      </c>
      <c r="E121" s="251" t="s">
        <v>196</v>
      </c>
      <c r="F121" s="200" t="s">
        <v>1278</v>
      </c>
      <c r="G121" s="254" t="s">
        <v>1303</v>
      </c>
      <c r="H121" s="200" t="s">
        <v>1295</v>
      </c>
      <c r="I121" s="251" t="s">
        <v>201</v>
      </c>
      <c r="J121" s="321" t="s">
        <v>2175</v>
      </c>
      <c r="K121" s="251" t="s">
        <v>198</v>
      </c>
      <c r="L121" s="200" t="str">
        <f>VLOOKUP(W121,통합목록!$F$4:$I$586,3,0)</f>
        <v>재심제기기간의 적법성 판단 및 준재심의 요건과 절차</v>
      </c>
      <c r="M121" s="243" t="str">
        <f>VLOOKUP(W121,통합목록!$F$4:$I$586,4,0)</f>
        <v>열기2-04.민사소송법\02.문제\[모의][17.03-2]재심제기기간의 적법성 판단 및 준재심의 요건과 절차.txt</v>
      </c>
      <c r="N121" s="243" t="s">
        <v>2771</v>
      </c>
      <c r="O121" s="243" t="str">
        <f>VLOOKUP(W121,통합목록!$F$4:$K$586,6,0)</f>
        <v>C</v>
      </c>
      <c r="P121" s="253"/>
      <c r="Q121" s="243" t="str">
        <f t="shared" si="22"/>
        <v>제7편 재심절차&gt;04&gt;2&gt;모의</v>
      </c>
      <c r="R121" s="243" t="str">
        <f t="shared" si="23"/>
        <v>제17장 재심&gt;04&gt;2&gt;모의</v>
      </c>
      <c r="S121" s="243" t="str">
        <f t="shared" si="24"/>
        <v>제17장 재심&gt;제03절 적법요건&gt;02</v>
      </c>
      <c r="T121" s="243" t="str">
        <f t="shared" si="25"/>
        <v>모의&gt;17.03&gt;2</v>
      </c>
      <c r="U121" s="243" t="str">
        <f t="shared" si="26"/>
        <v>모의&gt;17.03&gt;2</v>
      </c>
      <c r="W121" s="128" t="str">
        <f t="shared" si="27"/>
        <v>17.03-2</v>
      </c>
    </row>
    <row r="122" spans="2:23" ht="14.45" customHeight="1" x14ac:dyDescent="0.2">
      <c r="B122" s="249">
        <f t="shared" si="21"/>
        <v>119</v>
      </c>
      <c r="C122" s="255">
        <v>17.03</v>
      </c>
      <c r="D122" s="251" t="s">
        <v>2278</v>
      </c>
      <c r="E122" s="251" t="s">
        <v>2270</v>
      </c>
      <c r="F122" s="200" t="s">
        <v>1278</v>
      </c>
      <c r="G122" s="252" t="s">
        <v>2280</v>
      </c>
      <c r="H122" s="200" t="s">
        <v>1295</v>
      </c>
      <c r="I122" s="251" t="s">
        <v>2280</v>
      </c>
      <c r="J122" s="321" t="s">
        <v>2175</v>
      </c>
      <c r="K122" s="251" t="s">
        <v>2274</v>
      </c>
      <c r="L122" s="200" t="str">
        <f>VLOOKUP(W122,통합목록!$F$4:$I$586,3,0)</f>
        <v>제3자 재심청구의 의의 및 제도적 취지, 적법요건, 제소기간, 절차 및 결과 처리</v>
      </c>
      <c r="M122" s="243" t="str">
        <f>VLOOKUP(W122,통합목록!$F$4:$I$586,4,0)</f>
        <v>열기2-04.민사소송법\02.문제\[모의][17.03-3]제3자 재심청구의 의의 및 제도적 취지, 적법요건, 제소기간, 절차 및 결과 처리.txt</v>
      </c>
      <c r="N122" s="243" t="s">
        <v>2771</v>
      </c>
      <c r="O122" s="243" t="str">
        <f>VLOOKUP(W122,통합목록!$F$4:$K$586,6,0)</f>
        <v>A</v>
      </c>
      <c r="P122" s="253" t="s">
        <v>2309</v>
      </c>
      <c r="Q122" s="243" t="str">
        <f t="shared" si="22"/>
        <v>제7편 재심절차&gt;05&gt;3&gt;모의</v>
      </c>
      <c r="R122" s="243" t="str">
        <f t="shared" si="23"/>
        <v>제17장 재심&gt;05&gt;3&gt;모의</v>
      </c>
      <c r="S122" s="243" t="str">
        <f t="shared" si="24"/>
        <v>제17장 재심&gt;제03절 적법요건&gt;03</v>
      </c>
      <c r="T122" s="243" t="str">
        <f t="shared" si="25"/>
        <v>모의&gt;17.03&gt;1</v>
      </c>
      <c r="U122" s="243" t="str">
        <f t="shared" si="26"/>
        <v>모의&gt;17.03&gt;3</v>
      </c>
      <c r="W122" s="128" t="str">
        <f t="shared" si="27"/>
        <v>17.03-3</v>
      </c>
    </row>
    <row r="123" spans="2:23" ht="14.45" customHeight="1" x14ac:dyDescent="0.2">
      <c r="B123" s="249">
        <f t="shared" si="21"/>
        <v>120</v>
      </c>
      <c r="C123" s="255">
        <v>17.04</v>
      </c>
      <c r="D123" s="251" t="s">
        <v>214</v>
      </c>
      <c r="E123" s="251" t="s">
        <v>196</v>
      </c>
      <c r="F123" s="200" t="s">
        <v>1278</v>
      </c>
      <c r="G123" s="252" t="s">
        <v>2281</v>
      </c>
      <c r="H123" s="200" t="s">
        <v>1295</v>
      </c>
      <c r="I123" s="251" t="s">
        <v>208</v>
      </c>
      <c r="J123" s="321" t="s">
        <v>2176</v>
      </c>
      <c r="K123" s="251" t="s">
        <v>192</v>
      </c>
      <c r="L123" s="200" t="str">
        <f>VLOOKUP(W123,통합목록!$F$4:$I$586,3,0)</f>
        <v>재심절차의 본안심리에서 새로운 공격방어방법 제출 가능성 및 심판 범위</v>
      </c>
      <c r="M123" s="243" t="str">
        <f>VLOOKUP(W123,통합목록!$F$4:$I$586,4,0)</f>
        <v>열기2-04.민사소송법\02.문제\[모의][17.04-1]재심절차의 본안심리에서 새로운 공격방어방법 제출 가능성 및 심판 범위.txt</v>
      </c>
      <c r="N123" s="243" t="s">
        <v>2771</v>
      </c>
      <c r="O123" s="243" t="str">
        <f>VLOOKUP(W123,통합목록!$F$4:$K$586,6,0)</f>
        <v>C</v>
      </c>
      <c r="P123" s="253"/>
      <c r="Q123" s="243" t="str">
        <f t="shared" si="22"/>
        <v>제7편 재심절차&gt;06&gt;1&gt;모의</v>
      </c>
      <c r="R123" s="243" t="str">
        <f t="shared" si="23"/>
        <v>제17장 재심&gt;06&gt;1&gt;모의</v>
      </c>
      <c r="S123" s="243" t="str">
        <f t="shared" si="24"/>
        <v>제17장 재심&gt;제04절 재심절차&gt;01</v>
      </c>
      <c r="T123" s="243" t="str">
        <f t="shared" si="25"/>
        <v>모의&gt;17.04&gt;2</v>
      </c>
      <c r="U123" s="243" t="str">
        <f t="shared" si="26"/>
        <v>모의&gt;17.04&gt;1</v>
      </c>
      <c r="W123" s="128" t="str">
        <f t="shared" si="27"/>
        <v>17.04-1</v>
      </c>
    </row>
    <row r="124" spans="2:23" ht="14.45" customHeight="1" x14ac:dyDescent="0.2">
      <c r="B124" s="249">
        <f t="shared" si="21"/>
        <v>121</v>
      </c>
      <c r="C124" s="255">
        <v>17.04</v>
      </c>
      <c r="D124" s="251" t="s">
        <v>206</v>
      </c>
      <c r="E124" s="251" t="s">
        <v>197</v>
      </c>
      <c r="F124" s="200" t="s">
        <v>1278</v>
      </c>
      <c r="G124" s="252" t="s">
        <v>2275</v>
      </c>
      <c r="H124" s="200" t="s">
        <v>1295</v>
      </c>
      <c r="I124" s="251" t="s">
        <v>209</v>
      </c>
      <c r="J124" s="321" t="s">
        <v>2176</v>
      </c>
      <c r="K124" s="251" t="s">
        <v>198</v>
      </c>
      <c r="L124" s="200" t="str">
        <f>VLOOKUP(W124,통합목록!$F$4:$I$586,3,0)</f>
        <v>재심대상판결의 취소에 따른 강제집행 결과의 원상회복청구 방법 및 요건</v>
      </c>
      <c r="M124" s="243" t="str">
        <f>VLOOKUP(W124,통합목록!$F$4:$I$586,4,0)</f>
        <v>열기2-04.민사소송법\02.문제\[모의][17.04-2]재심대상판결의 취소에 따른 강제집행 결과의 원상회복청구 방법 및 요건.txt</v>
      </c>
      <c r="N124" s="243" t="s">
        <v>2771</v>
      </c>
      <c r="O124" s="243" t="str">
        <f>VLOOKUP(W124,통합목록!$F$4:$K$586,6,0)</f>
        <v>C</v>
      </c>
      <c r="P124" s="253"/>
      <c r="Q124" s="243" t="str">
        <f t="shared" si="22"/>
        <v>제7편 재심절차&gt;07&gt;2&gt;모의</v>
      </c>
      <c r="R124" s="243" t="str">
        <f t="shared" si="23"/>
        <v>제17장 재심&gt;07&gt;2&gt;모의</v>
      </c>
      <c r="S124" s="243" t="str">
        <f t="shared" si="24"/>
        <v>제17장 재심&gt;제04절 재심절차&gt;02</v>
      </c>
      <c r="T124" s="243" t="str">
        <f t="shared" si="25"/>
        <v>모의&gt;17.04&gt;1</v>
      </c>
      <c r="U124" s="243" t="str">
        <f t="shared" si="26"/>
        <v>모의&gt;17.04&gt;2</v>
      </c>
      <c r="W124" s="128" t="str">
        <f t="shared" si="27"/>
        <v>17.04-2</v>
      </c>
    </row>
    <row r="125" spans="2:23" ht="14.45" customHeight="1" x14ac:dyDescent="0.2">
      <c r="B125" s="249">
        <f t="shared" si="21"/>
        <v>122</v>
      </c>
      <c r="C125" s="255">
        <v>17.05</v>
      </c>
      <c r="D125" s="251" t="s">
        <v>214</v>
      </c>
      <c r="E125" s="251" t="s">
        <v>196</v>
      </c>
      <c r="F125" s="200" t="s">
        <v>1278</v>
      </c>
      <c r="G125" s="252" t="s">
        <v>2284</v>
      </c>
      <c r="H125" s="200" t="s">
        <v>1295</v>
      </c>
      <c r="I125" s="251" t="s">
        <v>212</v>
      </c>
      <c r="J125" s="321" t="s">
        <v>2177</v>
      </c>
      <c r="K125" s="251" t="s">
        <v>192</v>
      </c>
      <c r="L125" s="200" t="str">
        <f>VLOOKUP(W125,통합목록!$F$4:$I$586,3,0)</f>
        <v>확정된 화해권고결정에 대한 준재심의 소의 요건과 재심 규정의 준용 범위</v>
      </c>
      <c r="M125" s="243" t="str">
        <f>VLOOKUP(W125,통합목록!$F$4:$I$586,4,0)</f>
        <v>열기2-04.민사소송법\02.문제\[모의][17.05-1]확정된 화해권고결정에 대한 준재심의 소의 요건과 재심 규정의 준용 범위.txt</v>
      </c>
      <c r="N125" s="243" t="s">
        <v>2771</v>
      </c>
      <c r="O125" s="243" t="str">
        <f>VLOOKUP(W125,통합목록!$F$4:$K$586,6,0)</f>
        <v>B</v>
      </c>
      <c r="P125" s="253"/>
      <c r="Q125" s="243" t="str">
        <f t="shared" si="22"/>
        <v>제7편 재심절차&gt;08&gt;1&gt;모의</v>
      </c>
      <c r="R125" s="243" t="str">
        <f t="shared" si="23"/>
        <v>제17장 재심&gt;08&gt;1&gt;모의</v>
      </c>
      <c r="S125" s="243" t="str">
        <f t="shared" si="24"/>
        <v>제17장 재심&gt;제05절 준재심&gt;01</v>
      </c>
      <c r="T125" s="243" t="str">
        <f t="shared" si="25"/>
        <v>모의&gt;17.05&gt;2</v>
      </c>
      <c r="U125" s="243" t="str">
        <f t="shared" si="26"/>
        <v>모의&gt;17.05&gt;1</v>
      </c>
      <c r="W125" s="128" t="str">
        <f t="shared" si="27"/>
        <v>17.05-1</v>
      </c>
    </row>
    <row r="126" spans="2:23" ht="14.45" customHeight="1" x14ac:dyDescent="0.2">
      <c r="B126" s="249">
        <f t="shared" si="21"/>
        <v>123</v>
      </c>
      <c r="C126" s="255">
        <v>17.05</v>
      </c>
      <c r="D126" s="251" t="s">
        <v>206</v>
      </c>
      <c r="E126" s="251" t="s">
        <v>197</v>
      </c>
      <c r="F126" s="200" t="s">
        <v>1278</v>
      </c>
      <c r="G126" s="252" t="s">
        <v>2285</v>
      </c>
      <c r="H126" s="200" t="s">
        <v>1295</v>
      </c>
      <c r="I126" s="251" t="s">
        <v>216</v>
      </c>
      <c r="J126" s="321" t="s">
        <v>2177</v>
      </c>
      <c r="K126" s="251" t="s">
        <v>198</v>
      </c>
      <c r="L126" s="200" t="str">
        <f>VLOOKUP(W126,통합목록!$F$4:$I$586,3,0)</f>
        <v>확정된 지급명령에 대한 준재심 제기 가능성 및 조서의 특수성에 따른 준재심 사유</v>
      </c>
      <c r="M126" s="243" t="str">
        <f>VLOOKUP(W126,통합목록!$F$4:$I$586,4,0)</f>
        <v>열기2-04.민사소송법\02.문제\[모의][17.05-2]확정된 지급명령에 대한 준재심 제기 가능성 및 조서의 특수성에 따른 준재심 사유.txt</v>
      </c>
      <c r="N126" s="243" t="s">
        <v>2771</v>
      </c>
      <c r="O126" s="243" t="str">
        <f>VLOOKUP(W126,통합목록!$F$4:$K$586,6,0)</f>
        <v>B</v>
      </c>
      <c r="P126" s="253"/>
      <c r="Q126" s="243" t="str">
        <f t="shared" si="22"/>
        <v>제7편 재심절차&gt;09&gt;2&gt;모의</v>
      </c>
      <c r="R126" s="243" t="str">
        <f t="shared" si="23"/>
        <v>제17장 재심&gt;09&gt;2&gt;모의</v>
      </c>
      <c r="S126" s="243" t="str">
        <f t="shared" si="24"/>
        <v>제17장 재심&gt;제05절 준재심&gt;02</v>
      </c>
      <c r="T126" s="243" t="str">
        <f t="shared" si="25"/>
        <v>모의&gt;17.05&gt;1</v>
      </c>
      <c r="U126" s="243" t="str">
        <f t="shared" si="26"/>
        <v>모의&gt;17.05&gt;2</v>
      </c>
      <c r="W126" s="128" t="str">
        <f t="shared" si="27"/>
        <v>17.05-2</v>
      </c>
    </row>
  </sheetData>
  <autoFilter ref="B3:W126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W126">
      <sortCondition ref="S3:S126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26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397" activePane="bottomLeft" state="frozen"/>
      <selection pane="bottomLeft" activeCell="G386" sqref="G386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77" t="s">
        <v>2</v>
      </c>
      <c r="C2" s="378"/>
      <c r="D2" s="379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360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1330</v>
      </c>
      <c r="C4" s="142" t="s">
        <v>1253</v>
      </c>
      <c r="D4" s="143" t="s">
        <v>2296</v>
      </c>
      <c r="E4" s="144" t="s">
        <v>3124</v>
      </c>
      <c r="F4" s="145" t="s">
        <v>1325</v>
      </c>
      <c r="G4" s="146" t="s">
        <v>3125</v>
      </c>
    </row>
    <row r="5" spans="2:7" ht="14.45" customHeight="1" x14ac:dyDescent="0.2">
      <c r="B5" s="147" t="s">
        <v>1272</v>
      </c>
      <c r="C5" s="148" t="s">
        <v>1253</v>
      </c>
      <c r="D5" s="149" t="s">
        <v>2296</v>
      </c>
      <c r="E5" s="150" t="s">
        <v>351</v>
      </c>
      <c r="F5" s="151"/>
      <c r="G5" s="65" t="s">
        <v>350</v>
      </c>
    </row>
    <row r="6" spans="2:7" ht="14.45" customHeight="1" x14ac:dyDescent="0.2">
      <c r="B6" s="342" t="s">
        <v>1272</v>
      </c>
      <c r="C6" s="199" t="s">
        <v>1253</v>
      </c>
      <c r="D6" s="343" t="s">
        <v>2296</v>
      </c>
      <c r="E6" s="339" t="s">
        <v>2939</v>
      </c>
      <c r="F6" s="340" t="s">
        <v>1325</v>
      </c>
      <c r="G6" s="341" t="s">
        <v>2938</v>
      </c>
    </row>
    <row r="7" spans="2:7" ht="14.45" customHeight="1" x14ac:dyDescent="0.2">
      <c r="B7" s="342" t="s">
        <v>1272</v>
      </c>
      <c r="C7" s="199" t="s">
        <v>1253</v>
      </c>
      <c r="D7" s="343" t="s">
        <v>2296</v>
      </c>
      <c r="E7" s="339" t="s">
        <v>2936</v>
      </c>
      <c r="F7" s="340"/>
      <c r="G7" s="341" t="s">
        <v>2937</v>
      </c>
    </row>
    <row r="8" spans="2:7" ht="14.45" customHeight="1" x14ac:dyDescent="0.2">
      <c r="B8" s="147" t="s">
        <v>1272</v>
      </c>
      <c r="C8" s="148" t="s">
        <v>1253</v>
      </c>
      <c r="D8" s="343" t="s">
        <v>2296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1272</v>
      </c>
      <c r="C9" s="148" t="s">
        <v>1253</v>
      </c>
      <c r="D9" s="149" t="s">
        <v>2296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1272</v>
      </c>
      <c r="C10" s="148" t="s">
        <v>1253</v>
      </c>
      <c r="D10" s="149" t="s">
        <v>2296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1272</v>
      </c>
      <c r="C11" s="148" t="s">
        <v>1253</v>
      </c>
      <c r="D11" s="149" t="s">
        <v>2296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1272</v>
      </c>
      <c r="C12" s="148" t="s">
        <v>1253</v>
      </c>
      <c r="D12" s="149" t="s">
        <v>2296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1272</v>
      </c>
      <c r="C13" s="148" t="s">
        <v>1253</v>
      </c>
      <c r="D13" s="149" t="s">
        <v>2296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1272</v>
      </c>
      <c r="C14" s="148" t="s">
        <v>1253</v>
      </c>
      <c r="D14" s="149" t="s">
        <v>2296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1272</v>
      </c>
      <c r="C15" s="148" t="s">
        <v>1253</v>
      </c>
      <c r="D15" s="149" t="s">
        <v>2296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1272</v>
      </c>
      <c r="C16" s="148" t="s">
        <v>1253</v>
      </c>
      <c r="D16" s="149" t="s">
        <v>2296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1272</v>
      </c>
      <c r="C17" s="148" t="s">
        <v>1253</v>
      </c>
      <c r="D17" s="149" t="s">
        <v>2296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1272</v>
      </c>
      <c r="C18" s="148" t="s">
        <v>1253</v>
      </c>
      <c r="D18" s="343" t="s">
        <v>2296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1272</v>
      </c>
      <c r="C19" s="148" t="s">
        <v>1253</v>
      </c>
      <c r="D19" s="149" t="s">
        <v>2296</v>
      </c>
      <c r="E19" s="150" t="s">
        <v>234</v>
      </c>
      <c r="F19" s="151"/>
      <c r="G19" s="65" t="s">
        <v>278</v>
      </c>
    </row>
    <row r="20" spans="2:7" ht="14.45" customHeight="1" x14ac:dyDescent="0.2">
      <c r="B20" s="147" t="s">
        <v>1272</v>
      </c>
      <c r="C20" s="148" t="s">
        <v>1253</v>
      </c>
      <c r="D20" s="149" t="s">
        <v>2296</v>
      </c>
      <c r="E20" s="150" t="s">
        <v>352</v>
      </c>
      <c r="F20" s="151"/>
      <c r="G20" s="65" t="s">
        <v>353</v>
      </c>
    </row>
    <row r="21" spans="2:7" ht="14.45" customHeight="1" x14ac:dyDescent="0.2">
      <c r="B21" s="147" t="s">
        <v>1272</v>
      </c>
      <c r="C21" s="148" t="s">
        <v>1253</v>
      </c>
      <c r="D21" s="149" t="s">
        <v>2296</v>
      </c>
      <c r="E21" s="150" t="s">
        <v>354</v>
      </c>
      <c r="F21" s="151"/>
      <c r="G21" s="65" t="s">
        <v>355</v>
      </c>
    </row>
    <row r="22" spans="2:7" ht="14.45" customHeight="1" x14ac:dyDescent="0.2">
      <c r="B22" s="147" t="s">
        <v>1272</v>
      </c>
      <c r="C22" s="148" t="s">
        <v>1253</v>
      </c>
      <c r="D22" s="149" t="s">
        <v>2296</v>
      </c>
      <c r="E22" s="150" t="s">
        <v>356</v>
      </c>
      <c r="F22" s="151"/>
      <c r="G22" s="65" t="s">
        <v>358</v>
      </c>
    </row>
    <row r="23" spans="2:7" ht="14.45" customHeight="1" x14ac:dyDescent="0.2">
      <c r="B23" s="147" t="s">
        <v>1272</v>
      </c>
      <c r="C23" s="148" t="s">
        <v>1253</v>
      </c>
      <c r="D23" s="149" t="s">
        <v>2296</v>
      </c>
      <c r="E23" s="150" t="s">
        <v>357</v>
      </c>
      <c r="F23" s="151"/>
      <c r="G23" s="65" t="s">
        <v>359</v>
      </c>
    </row>
    <row r="24" spans="2:7" ht="14.45" customHeight="1" x14ac:dyDescent="0.2">
      <c r="B24" s="147" t="s">
        <v>1272</v>
      </c>
      <c r="C24" s="148" t="s">
        <v>1253</v>
      </c>
      <c r="D24" s="149" t="s">
        <v>2296</v>
      </c>
      <c r="E24" s="150" t="s">
        <v>235</v>
      </c>
      <c r="F24" s="151" t="s">
        <v>1325</v>
      </c>
      <c r="G24" s="65" t="s">
        <v>279</v>
      </c>
    </row>
    <row r="25" spans="2:7" ht="14.45" customHeight="1" x14ac:dyDescent="0.2">
      <c r="B25" s="147" t="s">
        <v>1272</v>
      </c>
      <c r="C25" s="148" t="s">
        <v>1253</v>
      </c>
      <c r="D25" s="149" t="s">
        <v>2296</v>
      </c>
      <c r="E25" s="150" t="s">
        <v>236</v>
      </c>
      <c r="F25" s="151" t="s">
        <v>1325</v>
      </c>
      <c r="G25" s="65" t="s">
        <v>280</v>
      </c>
    </row>
    <row r="26" spans="2:7" ht="14.45" customHeight="1" x14ac:dyDescent="0.2">
      <c r="B26" s="147" t="s">
        <v>1272</v>
      </c>
      <c r="C26" s="148" t="s">
        <v>1253</v>
      </c>
      <c r="D26" s="149" t="s">
        <v>2296</v>
      </c>
      <c r="E26" s="150" t="s">
        <v>237</v>
      </c>
      <c r="F26" s="151"/>
      <c r="G26" s="65" t="s">
        <v>281</v>
      </c>
    </row>
    <row r="27" spans="2:7" ht="14.45" customHeight="1" x14ac:dyDescent="0.2">
      <c r="B27" s="147" t="s">
        <v>1272</v>
      </c>
      <c r="C27" s="148" t="s">
        <v>1253</v>
      </c>
      <c r="D27" s="149" t="s">
        <v>2296</v>
      </c>
      <c r="E27" s="150" t="s">
        <v>238</v>
      </c>
      <c r="F27" s="151"/>
      <c r="G27" s="65" t="s">
        <v>282</v>
      </c>
    </row>
    <row r="28" spans="2:7" ht="14.45" customHeight="1" x14ac:dyDescent="0.2">
      <c r="B28" s="147" t="s">
        <v>1272</v>
      </c>
      <c r="C28" s="148" t="s">
        <v>1253</v>
      </c>
      <c r="D28" s="149" t="s">
        <v>2296</v>
      </c>
      <c r="E28" s="150" t="s">
        <v>239</v>
      </c>
      <c r="F28" s="151"/>
      <c r="G28" s="65" t="s">
        <v>283</v>
      </c>
    </row>
    <row r="29" spans="2:7" ht="14.45" customHeight="1" x14ac:dyDescent="0.2">
      <c r="B29" s="147" t="s">
        <v>1272</v>
      </c>
      <c r="C29" s="148" t="s">
        <v>1253</v>
      </c>
      <c r="D29" s="149" t="s">
        <v>2296</v>
      </c>
      <c r="E29" s="150" t="s">
        <v>240</v>
      </c>
      <c r="F29" s="151"/>
      <c r="G29" s="65" t="s">
        <v>284</v>
      </c>
    </row>
    <row r="30" spans="2:7" ht="14.45" customHeight="1" x14ac:dyDescent="0.2">
      <c r="B30" s="147" t="s">
        <v>1272</v>
      </c>
      <c r="C30" s="148" t="s">
        <v>1253</v>
      </c>
      <c r="D30" s="149" t="s">
        <v>2296</v>
      </c>
      <c r="E30" s="150" t="s">
        <v>241</v>
      </c>
      <c r="F30" s="151"/>
      <c r="G30" s="65" t="s">
        <v>285</v>
      </c>
    </row>
    <row r="31" spans="2:7" ht="14.45" customHeight="1" x14ac:dyDescent="0.2">
      <c r="B31" s="147" t="s">
        <v>1272</v>
      </c>
      <c r="C31" s="148" t="s">
        <v>1253</v>
      </c>
      <c r="D31" s="149" t="s">
        <v>2296</v>
      </c>
      <c r="E31" s="150" t="s">
        <v>242</v>
      </c>
      <c r="F31" s="151"/>
      <c r="G31" s="65" t="s">
        <v>286</v>
      </c>
    </row>
    <row r="32" spans="2:7" ht="14.45" customHeight="1" x14ac:dyDescent="0.2">
      <c r="B32" s="147" t="s">
        <v>1272</v>
      </c>
      <c r="C32" s="148" t="s">
        <v>1253</v>
      </c>
      <c r="D32" s="149" t="s">
        <v>2296</v>
      </c>
      <c r="E32" s="150" t="s">
        <v>243</v>
      </c>
      <c r="F32" s="151"/>
      <c r="G32" s="65" t="s">
        <v>287</v>
      </c>
    </row>
    <row r="33" spans="2:7" ht="14.45" customHeight="1" x14ac:dyDescent="0.2">
      <c r="B33" s="147" t="s">
        <v>1272</v>
      </c>
      <c r="C33" s="148" t="s">
        <v>1253</v>
      </c>
      <c r="D33" s="149" t="s">
        <v>2296</v>
      </c>
      <c r="E33" s="150" t="s">
        <v>244</v>
      </c>
      <c r="F33" s="151" t="s">
        <v>1325</v>
      </c>
      <c r="G33" s="65" t="s">
        <v>432</v>
      </c>
    </row>
    <row r="34" spans="2:7" ht="14.45" customHeight="1" x14ac:dyDescent="0.2">
      <c r="B34" s="147" t="s">
        <v>1272</v>
      </c>
      <c r="C34" s="148" t="s">
        <v>1253</v>
      </c>
      <c r="D34" s="149" t="s">
        <v>2296</v>
      </c>
      <c r="E34" s="150" t="s">
        <v>245</v>
      </c>
      <c r="F34" s="151"/>
      <c r="G34" s="65" t="s">
        <v>288</v>
      </c>
    </row>
    <row r="35" spans="2:7" ht="14.45" customHeight="1" x14ac:dyDescent="0.2">
      <c r="B35" s="147" t="s">
        <v>1272</v>
      </c>
      <c r="C35" s="148" t="s">
        <v>1253</v>
      </c>
      <c r="D35" s="149" t="s">
        <v>2296</v>
      </c>
      <c r="E35" s="150" t="s">
        <v>246</v>
      </c>
      <c r="F35" s="151"/>
      <c r="G35" s="65" t="s">
        <v>289</v>
      </c>
    </row>
    <row r="36" spans="2:7" ht="14.45" customHeight="1" x14ac:dyDescent="0.2">
      <c r="B36" s="147" t="s">
        <v>1272</v>
      </c>
      <c r="C36" s="148" t="s">
        <v>1253</v>
      </c>
      <c r="D36" s="149" t="s">
        <v>2296</v>
      </c>
      <c r="E36" s="150" t="s">
        <v>247</v>
      </c>
      <c r="F36" s="151"/>
      <c r="G36" s="65" t="s">
        <v>290</v>
      </c>
    </row>
    <row r="37" spans="2:7" ht="14.45" customHeight="1" x14ac:dyDescent="0.2">
      <c r="B37" s="147" t="s">
        <v>1272</v>
      </c>
      <c r="C37" s="148" t="s">
        <v>1253</v>
      </c>
      <c r="D37" s="149" t="s">
        <v>2296</v>
      </c>
      <c r="E37" s="150" t="s">
        <v>248</v>
      </c>
      <c r="F37" s="151"/>
      <c r="G37" s="65" t="s">
        <v>291</v>
      </c>
    </row>
    <row r="38" spans="2:7" ht="14.45" customHeight="1" x14ac:dyDescent="0.2">
      <c r="B38" s="147" t="s">
        <v>1272</v>
      </c>
      <c r="C38" s="148" t="s">
        <v>1253</v>
      </c>
      <c r="D38" s="149" t="s">
        <v>2296</v>
      </c>
      <c r="E38" s="150" t="s">
        <v>249</v>
      </c>
      <c r="F38" s="151"/>
      <c r="G38" s="65" t="s">
        <v>292</v>
      </c>
    </row>
    <row r="39" spans="2:7" ht="14.45" customHeight="1" x14ac:dyDescent="0.2">
      <c r="B39" s="147" t="s">
        <v>1272</v>
      </c>
      <c r="C39" s="148" t="s">
        <v>1253</v>
      </c>
      <c r="D39" s="149" t="s">
        <v>2296</v>
      </c>
      <c r="E39" s="150" t="s">
        <v>250</v>
      </c>
      <c r="F39" s="151"/>
      <c r="G39" s="65" t="s">
        <v>293</v>
      </c>
    </row>
    <row r="40" spans="2:7" ht="14.45" customHeight="1" x14ac:dyDescent="0.2">
      <c r="B40" s="147" t="s">
        <v>1272</v>
      </c>
      <c r="C40" s="148" t="s">
        <v>1253</v>
      </c>
      <c r="D40" s="149" t="s">
        <v>2296</v>
      </c>
      <c r="E40" s="150" t="s">
        <v>251</v>
      </c>
      <c r="F40" s="151"/>
      <c r="G40" s="65" t="s">
        <v>294</v>
      </c>
    </row>
    <row r="41" spans="2:7" ht="14.45" customHeight="1" x14ac:dyDescent="0.2">
      <c r="B41" s="147" t="s">
        <v>1272</v>
      </c>
      <c r="C41" s="148" t="s">
        <v>1253</v>
      </c>
      <c r="D41" s="149" t="s">
        <v>2296</v>
      </c>
      <c r="E41" s="150" t="s">
        <v>252</v>
      </c>
      <c r="F41" s="151"/>
      <c r="G41" s="65" t="s">
        <v>295</v>
      </c>
    </row>
    <row r="42" spans="2:7" ht="14.45" customHeight="1" x14ac:dyDescent="0.2">
      <c r="B42" s="147" t="s">
        <v>1272</v>
      </c>
      <c r="C42" s="148" t="s">
        <v>1253</v>
      </c>
      <c r="D42" s="152" t="s">
        <v>2296</v>
      </c>
      <c r="E42" s="153" t="s">
        <v>253</v>
      </c>
      <c r="F42" s="154"/>
      <c r="G42" s="155" t="s">
        <v>296</v>
      </c>
    </row>
    <row r="43" spans="2:7" ht="14.45" customHeight="1" x14ac:dyDescent="0.2">
      <c r="B43" s="147" t="s">
        <v>1272</v>
      </c>
      <c r="C43" s="148" t="s">
        <v>1253</v>
      </c>
      <c r="D43" s="156" t="s">
        <v>2180</v>
      </c>
      <c r="E43" s="157" t="s">
        <v>254</v>
      </c>
      <c r="F43" s="158"/>
      <c r="G43" s="159" t="s">
        <v>297</v>
      </c>
    </row>
    <row r="44" spans="2:7" ht="14.45" customHeight="1" x14ac:dyDescent="0.2">
      <c r="B44" s="147" t="s">
        <v>1272</v>
      </c>
      <c r="C44" s="148" t="s">
        <v>1253</v>
      </c>
      <c r="D44" s="149" t="s">
        <v>2180</v>
      </c>
      <c r="E44" s="150" t="s">
        <v>255</v>
      </c>
      <c r="F44" s="151"/>
      <c r="G44" s="65" t="s">
        <v>298</v>
      </c>
    </row>
    <row r="45" spans="2:7" ht="14.45" customHeight="1" x14ac:dyDescent="0.2">
      <c r="B45" s="147" t="s">
        <v>1272</v>
      </c>
      <c r="C45" s="148" t="s">
        <v>1253</v>
      </c>
      <c r="D45" s="149" t="s">
        <v>2180</v>
      </c>
      <c r="E45" s="150" t="s">
        <v>256</v>
      </c>
      <c r="F45" s="151"/>
      <c r="G45" s="65" t="s">
        <v>299</v>
      </c>
    </row>
    <row r="46" spans="2:7" ht="14.45" customHeight="1" x14ac:dyDescent="0.2">
      <c r="B46" s="147" t="s">
        <v>1272</v>
      </c>
      <c r="C46" s="148" t="s">
        <v>1253</v>
      </c>
      <c r="D46" s="149" t="s">
        <v>2180</v>
      </c>
      <c r="E46" s="150" t="s">
        <v>301</v>
      </c>
      <c r="F46" s="151"/>
      <c r="G46" s="65" t="s">
        <v>300</v>
      </c>
    </row>
    <row r="47" spans="2:7" ht="14.45" customHeight="1" x14ac:dyDescent="0.2">
      <c r="B47" s="147" t="s">
        <v>1272</v>
      </c>
      <c r="C47" s="148" t="s">
        <v>1253</v>
      </c>
      <c r="D47" s="149" t="s">
        <v>2180</v>
      </c>
      <c r="E47" s="150" t="s">
        <v>305</v>
      </c>
      <c r="F47" s="151"/>
      <c r="G47" s="65" t="s">
        <v>306</v>
      </c>
    </row>
    <row r="48" spans="2:7" ht="14.45" customHeight="1" x14ac:dyDescent="0.2">
      <c r="B48" s="147" t="s">
        <v>1272</v>
      </c>
      <c r="C48" s="148" t="s">
        <v>1253</v>
      </c>
      <c r="D48" s="149" t="s">
        <v>2180</v>
      </c>
      <c r="E48" s="150" t="s">
        <v>304</v>
      </c>
      <c r="F48" s="151"/>
      <c r="G48" s="65" t="s">
        <v>307</v>
      </c>
    </row>
    <row r="49" spans="2:7" ht="14.45" customHeight="1" x14ac:dyDescent="0.2">
      <c r="B49" s="147" t="s">
        <v>1272</v>
      </c>
      <c r="C49" s="148" t="s">
        <v>1253</v>
      </c>
      <c r="D49" s="149" t="s">
        <v>2180</v>
      </c>
      <c r="E49" s="150" t="s">
        <v>257</v>
      </c>
      <c r="F49" s="151"/>
      <c r="G49" s="65" t="s">
        <v>302</v>
      </c>
    </row>
    <row r="50" spans="2:7" ht="14.45" customHeight="1" x14ac:dyDescent="0.2">
      <c r="B50" s="147" t="s">
        <v>1272</v>
      </c>
      <c r="C50" s="148" t="s">
        <v>1253</v>
      </c>
      <c r="D50" s="152" t="s">
        <v>2180</v>
      </c>
      <c r="E50" s="153" t="s">
        <v>258</v>
      </c>
      <c r="F50" s="154"/>
      <c r="G50" s="155" t="s">
        <v>303</v>
      </c>
    </row>
    <row r="51" spans="2:7" ht="14.45" customHeight="1" x14ac:dyDescent="0.2">
      <c r="B51" s="147" t="s">
        <v>1272</v>
      </c>
      <c r="C51" s="148" t="s">
        <v>1253</v>
      </c>
      <c r="D51" s="156" t="s">
        <v>2132</v>
      </c>
      <c r="E51" s="157" t="s">
        <v>271</v>
      </c>
      <c r="F51" s="158"/>
      <c r="G51" s="159" t="s">
        <v>637</v>
      </c>
    </row>
    <row r="52" spans="2:7" ht="14.45" customHeight="1" x14ac:dyDescent="0.2">
      <c r="B52" s="147" t="s">
        <v>1272</v>
      </c>
      <c r="C52" s="148" t="s">
        <v>1253</v>
      </c>
      <c r="D52" s="149" t="s">
        <v>2132</v>
      </c>
      <c r="E52" s="150" t="s">
        <v>638</v>
      </c>
      <c r="F52" s="151"/>
      <c r="G52" s="65" t="s">
        <v>639</v>
      </c>
    </row>
    <row r="53" spans="2:7" ht="14.45" customHeight="1" x14ac:dyDescent="0.2">
      <c r="B53" s="147" t="s">
        <v>1272</v>
      </c>
      <c r="C53" s="148" t="s">
        <v>1253</v>
      </c>
      <c r="D53" s="149" t="s">
        <v>2132</v>
      </c>
      <c r="E53" s="150" t="s">
        <v>640</v>
      </c>
      <c r="F53" s="151"/>
      <c r="G53" s="65" t="s">
        <v>642</v>
      </c>
    </row>
    <row r="54" spans="2:7" ht="14.45" customHeight="1" x14ac:dyDescent="0.2">
      <c r="B54" s="147" t="s">
        <v>1272</v>
      </c>
      <c r="C54" s="148" t="s">
        <v>1253</v>
      </c>
      <c r="D54" s="149" t="s">
        <v>2132</v>
      </c>
      <c r="E54" s="150" t="s">
        <v>641</v>
      </c>
      <c r="F54" s="151"/>
      <c r="G54" s="65" t="s">
        <v>643</v>
      </c>
    </row>
    <row r="55" spans="2:7" ht="14.45" customHeight="1" x14ac:dyDescent="0.2">
      <c r="B55" s="147" t="s">
        <v>1272</v>
      </c>
      <c r="C55" s="148" t="s">
        <v>1253</v>
      </c>
      <c r="D55" s="149" t="s">
        <v>2132</v>
      </c>
      <c r="E55" s="150" t="s">
        <v>259</v>
      </c>
      <c r="F55" s="151"/>
      <c r="G55" s="65" t="s">
        <v>644</v>
      </c>
    </row>
    <row r="56" spans="2:7" ht="14.45" customHeight="1" x14ac:dyDescent="0.2">
      <c r="B56" s="147" t="s">
        <v>1272</v>
      </c>
      <c r="C56" s="148" t="s">
        <v>1253</v>
      </c>
      <c r="D56" s="149" t="s">
        <v>2132</v>
      </c>
      <c r="E56" s="150" t="s">
        <v>272</v>
      </c>
      <c r="F56" s="151"/>
      <c r="G56" s="65" t="s">
        <v>645</v>
      </c>
    </row>
    <row r="57" spans="2:7" ht="14.45" customHeight="1" x14ac:dyDescent="0.2">
      <c r="B57" s="147" t="s">
        <v>1272</v>
      </c>
      <c r="C57" s="148" t="s">
        <v>1253</v>
      </c>
      <c r="D57" s="149" t="s">
        <v>2132</v>
      </c>
      <c r="E57" s="150" t="s">
        <v>273</v>
      </c>
      <c r="F57" s="151"/>
      <c r="G57" s="65" t="s">
        <v>646</v>
      </c>
    </row>
    <row r="58" spans="2:7" ht="14.45" customHeight="1" x14ac:dyDescent="0.2">
      <c r="B58" s="147" t="s">
        <v>1272</v>
      </c>
      <c r="C58" s="148" t="s">
        <v>1253</v>
      </c>
      <c r="D58" s="149" t="s">
        <v>2132</v>
      </c>
      <c r="E58" s="150" t="s">
        <v>274</v>
      </c>
      <c r="F58" s="151"/>
      <c r="G58" s="65" t="s">
        <v>1020</v>
      </c>
    </row>
    <row r="59" spans="2:7" ht="14.45" customHeight="1" thickBot="1" x14ac:dyDescent="0.25">
      <c r="B59" s="147" t="s">
        <v>1272</v>
      </c>
      <c r="C59" s="160" t="s">
        <v>1253</v>
      </c>
      <c r="D59" s="161" t="s">
        <v>2132</v>
      </c>
      <c r="E59" s="153" t="s">
        <v>275</v>
      </c>
      <c r="F59" s="154"/>
      <c r="G59" s="155" t="s">
        <v>647</v>
      </c>
    </row>
    <row r="60" spans="2:7" ht="14.45" customHeight="1" x14ac:dyDescent="0.2">
      <c r="B60" s="147" t="s">
        <v>1272</v>
      </c>
      <c r="C60" s="142" t="s">
        <v>1255</v>
      </c>
      <c r="D60" s="162" t="s">
        <v>2182</v>
      </c>
      <c r="E60" s="163" t="s">
        <v>225</v>
      </c>
      <c r="F60" s="164"/>
      <c r="G60" s="165" t="s">
        <v>648</v>
      </c>
    </row>
    <row r="61" spans="2:7" ht="14.45" customHeight="1" x14ac:dyDescent="0.2">
      <c r="B61" s="147" t="s">
        <v>1272</v>
      </c>
      <c r="C61" s="148" t="s">
        <v>1255</v>
      </c>
      <c r="D61" s="156" t="s">
        <v>2184</v>
      </c>
      <c r="E61" s="157" t="s">
        <v>308</v>
      </c>
      <c r="F61" s="158"/>
      <c r="G61" s="159" t="s">
        <v>649</v>
      </c>
    </row>
    <row r="62" spans="2:7" ht="14.45" customHeight="1" x14ac:dyDescent="0.2">
      <c r="B62" s="147" t="s">
        <v>1272</v>
      </c>
      <c r="C62" s="148" t="s">
        <v>1255</v>
      </c>
      <c r="D62" s="149" t="s">
        <v>2184</v>
      </c>
      <c r="E62" s="150" t="s">
        <v>309</v>
      </c>
      <c r="F62" s="151"/>
      <c r="G62" s="65" t="s">
        <v>650</v>
      </c>
    </row>
    <row r="63" spans="2:7" ht="14.45" customHeight="1" x14ac:dyDescent="0.2">
      <c r="B63" s="147" t="s">
        <v>1272</v>
      </c>
      <c r="C63" s="148" t="s">
        <v>1255</v>
      </c>
      <c r="D63" s="149" t="s">
        <v>2184</v>
      </c>
      <c r="E63" s="150" t="s">
        <v>310</v>
      </c>
      <c r="F63" s="151"/>
      <c r="G63" s="65" t="s">
        <v>651</v>
      </c>
    </row>
    <row r="64" spans="2:7" ht="14.45" customHeight="1" x14ac:dyDescent="0.2">
      <c r="B64" s="147" t="s">
        <v>1272</v>
      </c>
      <c r="C64" s="148" t="s">
        <v>1255</v>
      </c>
      <c r="D64" s="149" t="s">
        <v>2184</v>
      </c>
      <c r="E64" s="150" t="s">
        <v>311</v>
      </c>
      <c r="F64" s="151"/>
      <c r="G64" s="65" t="s">
        <v>652</v>
      </c>
    </row>
    <row r="65" spans="2:7" ht="14.45" customHeight="1" thickBot="1" x14ac:dyDescent="0.25">
      <c r="B65" s="166" t="s">
        <v>1272</v>
      </c>
      <c r="C65" s="160" t="s">
        <v>1255</v>
      </c>
      <c r="D65" s="161" t="s">
        <v>2184</v>
      </c>
      <c r="E65" s="153" t="s">
        <v>312</v>
      </c>
      <c r="F65" s="154"/>
      <c r="G65" s="155" t="s">
        <v>653</v>
      </c>
    </row>
    <row r="66" spans="2:7" ht="14.45" customHeight="1" x14ac:dyDescent="0.2">
      <c r="B66" s="141" t="s">
        <v>1331</v>
      </c>
      <c r="C66" s="142" t="s">
        <v>1257</v>
      </c>
      <c r="D66" s="143" t="s">
        <v>2186</v>
      </c>
      <c r="E66" s="144" t="s">
        <v>313</v>
      </c>
      <c r="F66" s="145"/>
      <c r="G66" s="146" t="s">
        <v>654</v>
      </c>
    </row>
    <row r="67" spans="2:7" ht="14.45" customHeight="1" x14ac:dyDescent="0.2">
      <c r="B67" s="147" t="s">
        <v>1273</v>
      </c>
      <c r="C67" s="148" t="s">
        <v>1257</v>
      </c>
      <c r="D67" s="149" t="s">
        <v>2186</v>
      </c>
      <c r="E67" s="150" t="s">
        <v>314</v>
      </c>
      <c r="F67" s="151"/>
      <c r="G67" s="65" t="s">
        <v>962</v>
      </c>
    </row>
    <row r="68" spans="2:7" ht="14.45" customHeight="1" x14ac:dyDescent="0.2">
      <c r="B68" s="147" t="s">
        <v>1273</v>
      </c>
      <c r="C68" s="148" t="s">
        <v>1257</v>
      </c>
      <c r="D68" s="149" t="s">
        <v>2186</v>
      </c>
      <c r="E68" s="150" t="s">
        <v>655</v>
      </c>
      <c r="F68" s="151"/>
      <c r="G68" s="65" t="s">
        <v>656</v>
      </c>
    </row>
    <row r="69" spans="2:7" ht="14.45" customHeight="1" x14ac:dyDescent="0.2">
      <c r="B69" s="147" t="s">
        <v>1273</v>
      </c>
      <c r="C69" s="148" t="s">
        <v>1257</v>
      </c>
      <c r="D69" s="152" t="s">
        <v>2186</v>
      </c>
      <c r="E69" s="153" t="s">
        <v>315</v>
      </c>
      <c r="F69" s="154"/>
      <c r="G69" s="155" t="s">
        <v>657</v>
      </c>
    </row>
    <row r="70" spans="2:7" ht="14.45" customHeight="1" x14ac:dyDescent="0.2">
      <c r="B70" s="147" t="s">
        <v>1273</v>
      </c>
      <c r="C70" s="148" t="s">
        <v>1257</v>
      </c>
      <c r="D70" s="156" t="s">
        <v>215</v>
      </c>
      <c r="E70" s="157" t="s">
        <v>316</v>
      </c>
      <c r="F70" s="158"/>
      <c r="G70" s="159" t="s">
        <v>658</v>
      </c>
    </row>
    <row r="71" spans="2:7" ht="14.45" customHeight="1" x14ac:dyDescent="0.2">
      <c r="B71" s="147" t="s">
        <v>1273</v>
      </c>
      <c r="C71" s="148" t="s">
        <v>1257</v>
      </c>
      <c r="D71" s="149" t="s">
        <v>215</v>
      </c>
      <c r="E71" s="150" t="s">
        <v>317</v>
      </c>
      <c r="F71" s="151"/>
      <c r="G71" s="65" t="s">
        <v>659</v>
      </c>
    </row>
    <row r="72" spans="2:7" ht="14.45" customHeight="1" x14ac:dyDescent="0.2">
      <c r="B72" s="147" t="s">
        <v>1273</v>
      </c>
      <c r="C72" s="148" t="s">
        <v>1257</v>
      </c>
      <c r="D72" s="149" t="s">
        <v>215</v>
      </c>
      <c r="E72" s="150" t="s">
        <v>319</v>
      </c>
      <c r="F72" s="151"/>
      <c r="G72" s="65" t="s">
        <v>660</v>
      </c>
    </row>
    <row r="73" spans="2:7" ht="14.45" customHeight="1" x14ac:dyDescent="0.2">
      <c r="B73" s="147" t="s">
        <v>1273</v>
      </c>
      <c r="C73" s="148" t="s">
        <v>1257</v>
      </c>
      <c r="D73" s="152" t="s">
        <v>215</v>
      </c>
      <c r="E73" s="153" t="s">
        <v>318</v>
      </c>
      <c r="F73" s="154"/>
      <c r="G73" s="155" t="s">
        <v>661</v>
      </c>
    </row>
    <row r="74" spans="2:7" ht="14.45" customHeight="1" x14ac:dyDescent="0.2">
      <c r="B74" s="147" t="s">
        <v>1273</v>
      </c>
      <c r="C74" s="148" t="s">
        <v>1257</v>
      </c>
      <c r="D74" s="50" t="s">
        <v>2134</v>
      </c>
      <c r="E74" s="157" t="s">
        <v>262</v>
      </c>
      <c r="F74" s="158"/>
      <c r="G74" s="159" t="s">
        <v>331</v>
      </c>
    </row>
    <row r="75" spans="2:7" ht="14.45" customHeight="1" x14ac:dyDescent="0.2">
      <c r="B75" s="147" t="s">
        <v>1273</v>
      </c>
      <c r="C75" s="148" t="s">
        <v>1257</v>
      </c>
      <c r="D75" s="167" t="s">
        <v>2134</v>
      </c>
      <c r="E75" s="150" t="s">
        <v>226</v>
      </c>
      <c r="F75" s="151"/>
      <c r="G75" s="65" t="s">
        <v>333</v>
      </c>
    </row>
    <row r="76" spans="2:7" ht="14.45" customHeight="1" x14ac:dyDescent="0.2">
      <c r="B76" s="147" t="s">
        <v>1273</v>
      </c>
      <c r="C76" s="148" t="s">
        <v>1257</v>
      </c>
      <c r="D76" s="167" t="s">
        <v>2134</v>
      </c>
      <c r="E76" s="150" t="s">
        <v>320</v>
      </c>
      <c r="F76" s="151"/>
      <c r="G76" s="65" t="s">
        <v>332</v>
      </c>
    </row>
    <row r="77" spans="2:7" ht="14.45" customHeight="1" x14ac:dyDescent="0.2">
      <c r="B77" s="147" t="s">
        <v>1273</v>
      </c>
      <c r="C77" s="148" t="s">
        <v>1257</v>
      </c>
      <c r="D77" s="167" t="s">
        <v>2134</v>
      </c>
      <c r="E77" s="150" t="s">
        <v>321</v>
      </c>
      <c r="F77" s="151"/>
      <c r="G77" s="65" t="s">
        <v>334</v>
      </c>
    </row>
    <row r="78" spans="2:7" ht="14.45" customHeight="1" x14ac:dyDescent="0.2">
      <c r="B78" s="147" t="s">
        <v>1273</v>
      </c>
      <c r="C78" s="148" t="s">
        <v>1257</v>
      </c>
      <c r="D78" s="167" t="s">
        <v>2134</v>
      </c>
      <c r="E78" s="150" t="s">
        <v>322</v>
      </c>
      <c r="F78" s="151"/>
      <c r="G78" s="65" t="s">
        <v>335</v>
      </c>
    </row>
    <row r="79" spans="2:7" ht="14.45" customHeight="1" x14ac:dyDescent="0.2">
      <c r="B79" s="147" t="s">
        <v>1273</v>
      </c>
      <c r="C79" s="148" t="s">
        <v>1257</v>
      </c>
      <c r="D79" s="167" t="s">
        <v>2134</v>
      </c>
      <c r="E79" s="150" t="s">
        <v>907</v>
      </c>
      <c r="F79" s="151"/>
      <c r="G79" s="65" t="s">
        <v>329</v>
      </c>
    </row>
    <row r="80" spans="2:7" ht="14.45" customHeight="1" x14ac:dyDescent="0.2">
      <c r="B80" s="147" t="s">
        <v>1273</v>
      </c>
      <c r="C80" s="148" t="s">
        <v>1257</v>
      </c>
      <c r="D80" s="167" t="s">
        <v>2134</v>
      </c>
      <c r="E80" s="150" t="s">
        <v>336</v>
      </c>
      <c r="F80" s="151"/>
      <c r="G80" s="65" t="s">
        <v>337</v>
      </c>
    </row>
    <row r="81" spans="2:7" ht="14.45" customHeight="1" x14ac:dyDescent="0.2">
      <c r="B81" s="147" t="s">
        <v>1273</v>
      </c>
      <c r="C81" s="148" t="s">
        <v>1257</v>
      </c>
      <c r="D81" s="167" t="s">
        <v>2134</v>
      </c>
      <c r="E81" s="150" t="s">
        <v>326</v>
      </c>
      <c r="F81" s="151"/>
      <c r="G81" s="65" t="s">
        <v>338</v>
      </c>
    </row>
    <row r="82" spans="2:7" ht="14.45" customHeight="1" x14ac:dyDescent="0.2">
      <c r="B82" s="147" t="s">
        <v>1273</v>
      </c>
      <c r="C82" s="148" t="s">
        <v>1257</v>
      </c>
      <c r="D82" s="167" t="s">
        <v>2134</v>
      </c>
      <c r="E82" s="150" t="s">
        <v>327</v>
      </c>
      <c r="F82" s="151"/>
      <c r="G82" s="65" t="s">
        <v>963</v>
      </c>
    </row>
    <row r="83" spans="2:7" ht="14.45" customHeight="1" x14ac:dyDescent="0.2">
      <c r="B83" s="147" t="s">
        <v>1273</v>
      </c>
      <c r="C83" s="148" t="s">
        <v>1257</v>
      </c>
      <c r="D83" s="167" t="s">
        <v>2134</v>
      </c>
      <c r="E83" s="150" t="s">
        <v>264</v>
      </c>
      <c r="F83" s="151"/>
      <c r="G83" s="65" t="s">
        <v>339</v>
      </c>
    </row>
    <row r="84" spans="2:7" ht="14.45" customHeight="1" x14ac:dyDescent="0.2">
      <c r="B84" s="147" t="s">
        <v>1273</v>
      </c>
      <c r="C84" s="148" t="s">
        <v>1257</v>
      </c>
      <c r="D84" s="167" t="s">
        <v>2134</v>
      </c>
      <c r="E84" s="150" t="s">
        <v>328</v>
      </c>
      <c r="F84" s="151"/>
      <c r="G84" s="65" t="s">
        <v>344</v>
      </c>
    </row>
    <row r="85" spans="2:7" ht="14.45" customHeight="1" x14ac:dyDescent="0.2">
      <c r="B85" s="147" t="s">
        <v>1273</v>
      </c>
      <c r="C85" s="148" t="s">
        <v>1257</v>
      </c>
      <c r="D85" s="167" t="s">
        <v>2134</v>
      </c>
      <c r="E85" s="150" t="s">
        <v>323</v>
      </c>
      <c r="F85" s="151"/>
      <c r="G85" s="65" t="s">
        <v>343</v>
      </c>
    </row>
    <row r="86" spans="2:7" ht="14.45" customHeight="1" x14ac:dyDescent="0.2">
      <c r="B86" s="147" t="s">
        <v>1273</v>
      </c>
      <c r="C86" s="148" t="s">
        <v>1257</v>
      </c>
      <c r="D86" s="167" t="s">
        <v>2134</v>
      </c>
      <c r="E86" s="150" t="s">
        <v>340</v>
      </c>
      <c r="F86" s="151"/>
      <c r="G86" s="65" t="s">
        <v>345</v>
      </c>
    </row>
    <row r="87" spans="2:7" ht="14.45" customHeight="1" x14ac:dyDescent="0.2">
      <c r="B87" s="147" t="s">
        <v>1273</v>
      </c>
      <c r="C87" s="148" t="s">
        <v>1257</v>
      </c>
      <c r="D87" s="167" t="s">
        <v>2134</v>
      </c>
      <c r="E87" s="150" t="s">
        <v>341</v>
      </c>
      <c r="F87" s="151"/>
      <c r="G87" s="65" t="s">
        <v>346</v>
      </c>
    </row>
    <row r="88" spans="2:7" ht="14.45" customHeight="1" x14ac:dyDescent="0.2">
      <c r="B88" s="147" t="s">
        <v>1273</v>
      </c>
      <c r="C88" s="148" t="s">
        <v>1257</v>
      </c>
      <c r="D88" s="167" t="s">
        <v>2134</v>
      </c>
      <c r="E88" s="150" t="s">
        <v>330</v>
      </c>
      <c r="F88" s="151"/>
      <c r="G88" s="65" t="s">
        <v>342</v>
      </c>
    </row>
    <row r="89" spans="2:7" ht="14.45" customHeight="1" x14ac:dyDescent="0.2">
      <c r="B89" s="147" t="s">
        <v>1273</v>
      </c>
      <c r="C89" s="148" t="s">
        <v>1257</v>
      </c>
      <c r="D89" s="167" t="s">
        <v>2134</v>
      </c>
      <c r="E89" s="150" t="s">
        <v>324</v>
      </c>
      <c r="F89" s="151"/>
      <c r="G89" s="65" t="s">
        <v>348</v>
      </c>
    </row>
    <row r="90" spans="2:7" ht="14.45" customHeight="1" x14ac:dyDescent="0.2">
      <c r="B90" s="147" t="s">
        <v>1273</v>
      </c>
      <c r="C90" s="148" t="s">
        <v>1257</v>
      </c>
      <c r="D90" s="167" t="s">
        <v>2134</v>
      </c>
      <c r="E90" s="150" t="s">
        <v>325</v>
      </c>
      <c r="F90" s="151"/>
      <c r="G90" s="65" t="s">
        <v>347</v>
      </c>
    </row>
    <row r="91" spans="2:7" ht="14.45" customHeight="1" x14ac:dyDescent="0.2">
      <c r="B91" s="147" t="s">
        <v>1273</v>
      </c>
      <c r="C91" s="148" t="s">
        <v>1257</v>
      </c>
      <c r="D91" s="167" t="s">
        <v>2134</v>
      </c>
      <c r="E91" s="150" t="s">
        <v>568</v>
      </c>
      <c r="F91" s="151" t="s">
        <v>1325</v>
      </c>
      <c r="G91" s="65" t="s">
        <v>593</v>
      </c>
    </row>
    <row r="92" spans="2:7" ht="14.45" customHeight="1" x14ac:dyDescent="0.2">
      <c r="B92" s="147" t="s">
        <v>1273</v>
      </c>
      <c r="C92" s="148" t="s">
        <v>1257</v>
      </c>
      <c r="D92" s="167" t="s">
        <v>2134</v>
      </c>
      <c r="E92" s="150" t="s">
        <v>569</v>
      </c>
      <c r="F92" s="151"/>
      <c r="G92" s="65" t="s">
        <v>594</v>
      </c>
    </row>
    <row r="93" spans="2:7" ht="14.45" customHeight="1" thickBot="1" x14ac:dyDescent="0.25">
      <c r="B93" s="147" t="s">
        <v>1273</v>
      </c>
      <c r="C93" s="160" t="s">
        <v>1257</v>
      </c>
      <c r="D93" s="168" t="s">
        <v>2134</v>
      </c>
      <c r="E93" s="153" t="s">
        <v>570</v>
      </c>
      <c r="F93" s="154"/>
      <c r="G93" s="155" t="s">
        <v>595</v>
      </c>
    </row>
    <row r="94" spans="2:7" ht="14.45" customHeight="1" x14ac:dyDescent="0.2">
      <c r="B94" s="147" t="s">
        <v>1273</v>
      </c>
      <c r="C94" s="142" t="s">
        <v>1260</v>
      </c>
      <c r="D94" s="143" t="s">
        <v>2135</v>
      </c>
      <c r="E94" s="144" t="s">
        <v>400</v>
      </c>
      <c r="F94" s="145"/>
      <c r="G94" s="146" t="s">
        <v>422</v>
      </c>
    </row>
    <row r="95" spans="2:7" ht="14.45" customHeight="1" x14ac:dyDescent="0.2">
      <c r="B95" s="147" t="s">
        <v>1273</v>
      </c>
      <c r="C95" s="148" t="s">
        <v>1259</v>
      </c>
      <c r="D95" s="149" t="s">
        <v>2135</v>
      </c>
      <c r="E95" s="150" t="s">
        <v>401</v>
      </c>
      <c r="F95" s="151"/>
      <c r="G95" s="65" t="s">
        <v>423</v>
      </c>
    </row>
    <row r="96" spans="2:7" ht="14.45" customHeight="1" x14ac:dyDescent="0.2">
      <c r="B96" s="147" t="s">
        <v>1273</v>
      </c>
      <c r="C96" s="148" t="s">
        <v>1259</v>
      </c>
      <c r="D96" s="149" t="s">
        <v>2135</v>
      </c>
      <c r="E96" s="150" t="s">
        <v>402</v>
      </c>
      <c r="F96" s="151"/>
      <c r="G96" s="65" t="s">
        <v>424</v>
      </c>
    </row>
    <row r="97" spans="2:7" ht="14.45" customHeight="1" x14ac:dyDescent="0.2">
      <c r="B97" s="147" t="s">
        <v>1273</v>
      </c>
      <c r="C97" s="148" t="s">
        <v>1259</v>
      </c>
      <c r="D97" s="149" t="s">
        <v>2135</v>
      </c>
      <c r="E97" s="150" t="s">
        <v>403</v>
      </c>
      <c r="F97" s="151"/>
      <c r="G97" s="65" t="s">
        <v>425</v>
      </c>
    </row>
    <row r="98" spans="2:7" ht="14.45" customHeight="1" x14ac:dyDescent="0.2">
      <c r="B98" s="147" t="s">
        <v>1273</v>
      </c>
      <c r="C98" s="148" t="s">
        <v>1259</v>
      </c>
      <c r="D98" s="149" t="s">
        <v>2135</v>
      </c>
      <c r="E98" s="150" t="s">
        <v>404</v>
      </c>
      <c r="F98" s="151"/>
      <c r="G98" s="65" t="s">
        <v>426</v>
      </c>
    </row>
    <row r="99" spans="2:7" ht="14.45" customHeight="1" x14ac:dyDescent="0.2">
      <c r="B99" s="147" t="s">
        <v>1273</v>
      </c>
      <c r="C99" s="148" t="s">
        <v>1259</v>
      </c>
      <c r="D99" s="149" t="s">
        <v>2135</v>
      </c>
      <c r="E99" s="150" t="s">
        <v>405</v>
      </c>
      <c r="F99" s="151"/>
      <c r="G99" s="65" t="s">
        <v>662</v>
      </c>
    </row>
    <row r="100" spans="2:7" ht="14.45" customHeight="1" x14ac:dyDescent="0.2">
      <c r="B100" s="147" t="s">
        <v>1273</v>
      </c>
      <c r="C100" s="148" t="s">
        <v>1259</v>
      </c>
      <c r="D100" s="149" t="s">
        <v>2135</v>
      </c>
      <c r="E100" s="150" t="s">
        <v>406</v>
      </c>
      <c r="F100" s="151"/>
      <c r="G100" s="65" t="s">
        <v>663</v>
      </c>
    </row>
    <row r="101" spans="2:7" ht="14.45" customHeight="1" x14ac:dyDescent="0.2">
      <c r="B101" s="147" t="s">
        <v>1273</v>
      </c>
      <c r="C101" s="148" t="s">
        <v>1259</v>
      </c>
      <c r="D101" s="149" t="s">
        <v>2135</v>
      </c>
      <c r="E101" s="150" t="s">
        <v>407</v>
      </c>
      <c r="F101" s="151"/>
      <c r="G101" s="65" t="s">
        <v>408</v>
      </c>
    </row>
    <row r="102" spans="2:7" ht="14.45" customHeight="1" x14ac:dyDescent="0.2">
      <c r="B102" s="147" t="s">
        <v>1273</v>
      </c>
      <c r="C102" s="148" t="s">
        <v>1259</v>
      </c>
      <c r="D102" s="152" t="s">
        <v>2135</v>
      </c>
      <c r="E102" s="153" t="s">
        <v>409</v>
      </c>
      <c r="F102" s="154"/>
      <c r="G102" s="155" t="s">
        <v>664</v>
      </c>
    </row>
    <row r="103" spans="2:7" ht="14.45" customHeight="1" x14ac:dyDescent="0.2">
      <c r="B103" s="147" t="s">
        <v>1273</v>
      </c>
      <c r="C103" s="148" t="s">
        <v>1259</v>
      </c>
      <c r="D103" s="156" t="s">
        <v>2133</v>
      </c>
      <c r="E103" s="157" t="s">
        <v>232</v>
      </c>
      <c r="F103" s="158"/>
      <c r="G103" s="159" t="s">
        <v>665</v>
      </c>
    </row>
    <row r="104" spans="2:7" ht="14.45" customHeight="1" x14ac:dyDescent="0.2">
      <c r="B104" s="147" t="s">
        <v>1273</v>
      </c>
      <c r="C104" s="148" t="s">
        <v>1259</v>
      </c>
      <c r="D104" s="149" t="s">
        <v>2133</v>
      </c>
      <c r="E104" s="150" t="s">
        <v>234</v>
      </c>
      <c r="F104" s="151"/>
      <c r="G104" s="65" t="s">
        <v>666</v>
      </c>
    </row>
    <row r="105" spans="2:7" ht="14.45" customHeight="1" x14ac:dyDescent="0.2">
      <c r="B105" s="147" t="s">
        <v>1273</v>
      </c>
      <c r="C105" s="148" t="s">
        <v>1259</v>
      </c>
      <c r="D105" s="149" t="s">
        <v>2133</v>
      </c>
      <c r="E105" s="150" t="s">
        <v>410</v>
      </c>
      <c r="F105" s="151"/>
      <c r="G105" s="65" t="s">
        <v>2216</v>
      </c>
    </row>
    <row r="106" spans="2:7" ht="14.45" customHeight="1" x14ac:dyDescent="0.2">
      <c r="B106" s="147" t="s">
        <v>1273</v>
      </c>
      <c r="C106" s="148" t="s">
        <v>1259</v>
      </c>
      <c r="D106" s="149" t="s">
        <v>2133</v>
      </c>
      <c r="E106" s="150" t="s">
        <v>233</v>
      </c>
      <c r="F106" s="151"/>
      <c r="G106" s="65" t="s">
        <v>667</v>
      </c>
    </row>
    <row r="107" spans="2:7" ht="14.45" customHeight="1" x14ac:dyDescent="0.2">
      <c r="B107" s="147" t="s">
        <v>1273</v>
      </c>
      <c r="C107" s="148" t="s">
        <v>1259</v>
      </c>
      <c r="D107" s="152" t="s">
        <v>2133</v>
      </c>
      <c r="E107" s="153" t="s">
        <v>411</v>
      </c>
      <c r="F107" s="154"/>
      <c r="G107" s="155" t="s">
        <v>668</v>
      </c>
    </row>
    <row r="108" spans="2:7" ht="14.45" customHeight="1" x14ac:dyDescent="0.2">
      <c r="B108" s="147" t="s">
        <v>1273</v>
      </c>
      <c r="C108" s="148" t="s">
        <v>1259</v>
      </c>
      <c r="D108" s="50" t="s">
        <v>2136</v>
      </c>
      <c r="E108" s="157" t="s">
        <v>412</v>
      </c>
      <c r="F108" s="158"/>
      <c r="G108" s="159" t="s">
        <v>669</v>
      </c>
    </row>
    <row r="109" spans="2:7" ht="14.45" customHeight="1" x14ac:dyDescent="0.2">
      <c r="B109" s="147" t="s">
        <v>1273</v>
      </c>
      <c r="C109" s="148" t="s">
        <v>1259</v>
      </c>
      <c r="D109" s="167" t="s">
        <v>2136</v>
      </c>
      <c r="E109" s="150" t="s">
        <v>670</v>
      </c>
      <c r="F109" s="151"/>
      <c r="G109" s="65" t="s">
        <v>673</v>
      </c>
    </row>
    <row r="110" spans="2:7" ht="14.45" customHeight="1" x14ac:dyDescent="0.2">
      <c r="B110" s="147" t="s">
        <v>1273</v>
      </c>
      <c r="C110" s="148" t="s">
        <v>1259</v>
      </c>
      <c r="D110" s="167" t="s">
        <v>2136</v>
      </c>
      <c r="E110" s="150" t="s">
        <v>671</v>
      </c>
      <c r="F110" s="151"/>
      <c r="G110" s="65" t="s">
        <v>674</v>
      </c>
    </row>
    <row r="111" spans="2:7" ht="14.45" customHeight="1" x14ac:dyDescent="0.2">
      <c r="B111" s="147" t="s">
        <v>1273</v>
      </c>
      <c r="C111" s="148" t="s">
        <v>1259</v>
      </c>
      <c r="D111" s="167" t="s">
        <v>2136</v>
      </c>
      <c r="E111" s="150" t="s">
        <v>672</v>
      </c>
      <c r="F111" s="151"/>
      <c r="G111" s="65" t="s">
        <v>675</v>
      </c>
    </row>
    <row r="112" spans="2:7" ht="14.45" customHeight="1" x14ac:dyDescent="0.2">
      <c r="B112" s="147" t="s">
        <v>1273</v>
      </c>
      <c r="C112" s="148" t="s">
        <v>1259</v>
      </c>
      <c r="D112" s="167" t="s">
        <v>2136</v>
      </c>
      <c r="E112" s="150" t="s">
        <v>413</v>
      </c>
      <c r="F112" s="151"/>
      <c r="G112" s="65" t="s">
        <v>676</v>
      </c>
    </row>
    <row r="113" spans="2:7" ht="14.45" customHeight="1" thickBot="1" x14ac:dyDescent="0.25">
      <c r="B113" s="166" t="s">
        <v>1273</v>
      </c>
      <c r="C113" s="160" t="s">
        <v>1259</v>
      </c>
      <c r="D113" s="168" t="s">
        <v>2136</v>
      </c>
      <c r="E113" s="153" t="s">
        <v>2217</v>
      </c>
      <c r="F113" s="154"/>
      <c r="G113" s="155" t="s">
        <v>2218</v>
      </c>
    </row>
    <row r="114" spans="2:7" ht="14.45" customHeight="1" x14ac:dyDescent="0.2">
      <c r="B114" s="141" t="s">
        <v>1332</v>
      </c>
      <c r="C114" s="142" t="s">
        <v>2178</v>
      </c>
      <c r="D114" s="143" t="s">
        <v>2188</v>
      </c>
      <c r="E114" s="144" t="s">
        <v>349</v>
      </c>
      <c r="F114" s="145"/>
      <c r="G114" s="146" t="s">
        <v>3126</v>
      </c>
    </row>
    <row r="115" spans="2:7" ht="14.45" customHeight="1" x14ac:dyDescent="0.2">
      <c r="B115" s="147" t="s">
        <v>1274</v>
      </c>
      <c r="C115" s="148" t="s">
        <v>1298</v>
      </c>
      <c r="D115" s="149" t="s">
        <v>2188</v>
      </c>
      <c r="E115" s="150" t="s">
        <v>235</v>
      </c>
      <c r="F115" s="151"/>
      <c r="G115" s="65" t="s">
        <v>1086</v>
      </c>
    </row>
    <row r="116" spans="2:7" ht="14.45" customHeight="1" x14ac:dyDescent="0.2">
      <c r="B116" s="147" t="s">
        <v>1274</v>
      </c>
      <c r="C116" s="148" t="s">
        <v>1298</v>
      </c>
      <c r="D116" s="149" t="s">
        <v>2188</v>
      </c>
      <c r="E116" s="150" t="s">
        <v>2298</v>
      </c>
      <c r="F116" s="151"/>
      <c r="G116" s="65" t="s">
        <v>1188</v>
      </c>
    </row>
    <row r="117" spans="2:7" ht="14.45" customHeight="1" x14ac:dyDescent="0.2">
      <c r="B117" s="147" t="s">
        <v>1274</v>
      </c>
      <c r="C117" s="148" t="s">
        <v>1298</v>
      </c>
      <c r="D117" s="149" t="s">
        <v>2188</v>
      </c>
      <c r="E117" s="150" t="s">
        <v>1165</v>
      </c>
      <c r="F117" s="151" t="s">
        <v>1325</v>
      </c>
      <c r="G117" s="65" t="s">
        <v>2306</v>
      </c>
    </row>
    <row r="118" spans="2:7" ht="14.45" customHeight="1" x14ac:dyDescent="0.2">
      <c r="B118" s="147" t="s">
        <v>1274</v>
      </c>
      <c r="C118" s="148" t="s">
        <v>1298</v>
      </c>
      <c r="D118" s="149" t="s">
        <v>2188</v>
      </c>
      <c r="E118" s="150" t="s">
        <v>1166</v>
      </c>
      <c r="F118" s="151" t="s">
        <v>1325</v>
      </c>
      <c r="G118" s="65" t="s">
        <v>2307</v>
      </c>
    </row>
    <row r="119" spans="2:7" ht="14.45" customHeight="1" x14ac:dyDescent="0.2">
      <c r="B119" s="147" t="s">
        <v>1274</v>
      </c>
      <c r="C119" s="148" t="s">
        <v>1298</v>
      </c>
      <c r="D119" s="149" t="s">
        <v>2188</v>
      </c>
      <c r="E119" s="150" t="s">
        <v>1167</v>
      </c>
      <c r="F119" s="151" t="s">
        <v>1325</v>
      </c>
      <c r="G119" s="65" t="s">
        <v>2305</v>
      </c>
    </row>
    <row r="120" spans="2:7" ht="14.45" customHeight="1" x14ac:dyDescent="0.2">
      <c r="B120" s="147" t="s">
        <v>1274</v>
      </c>
      <c r="C120" s="148" t="s">
        <v>1298</v>
      </c>
      <c r="D120" s="149" t="s">
        <v>2188</v>
      </c>
      <c r="E120" s="150" t="s">
        <v>1168</v>
      </c>
      <c r="F120" s="151"/>
      <c r="G120" s="65" t="s">
        <v>1186</v>
      </c>
    </row>
    <row r="121" spans="2:7" ht="14.45" customHeight="1" x14ac:dyDescent="0.2">
      <c r="B121" s="147" t="s">
        <v>1274</v>
      </c>
      <c r="C121" s="148" t="s">
        <v>1298</v>
      </c>
      <c r="D121" s="149" t="s">
        <v>2188</v>
      </c>
      <c r="E121" s="150" t="s">
        <v>1169</v>
      </c>
      <c r="F121" s="151"/>
      <c r="G121" s="65" t="s">
        <v>1179</v>
      </c>
    </row>
    <row r="122" spans="2:7" ht="14.45" customHeight="1" x14ac:dyDescent="0.2">
      <c r="B122" s="147" t="s">
        <v>1274</v>
      </c>
      <c r="C122" s="148" t="s">
        <v>1298</v>
      </c>
      <c r="D122" s="149" t="s">
        <v>2188</v>
      </c>
      <c r="E122" s="150" t="s">
        <v>1170</v>
      </c>
      <c r="F122" s="151"/>
      <c r="G122" s="65" t="s">
        <v>1189</v>
      </c>
    </row>
    <row r="123" spans="2:7" ht="14.45" customHeight="1" x14ac:dyDescent="0.2">
      <c r="B123" s="147" t="s">
        <v>1274</v>
      </c>
      <c r="C123" s="148" t="s">
        <v>1298</v>
      </c>
      <c r="D123" s="149" t="s">
        <v>2188</v>
      </c>
      <c r="E123" s="150" t="s">
        <v>1171</v>
      </c>
      <c r="F123" s="151"/>
      <c r="G123" s="65" t="s">
        <v>1180</v>
      </c>
    </row>
    <row r="124" spans="2:7" ht="14.45" customHeight="1" x14ac:dyDescent="0.2">
      <c r="B124" s="147" t="s">
        <v>1274</v>
      </c>
      <c r="C124" s="148" t="s">
        <v>1298</v>
      </c>
      <c r="D124" s="149" t="s">
        <v>2188</v>
      </c>
      <c r="E124" s="150" t="s">
        <v>1172</v>
      </c>
      <c r="F124" s="151"/>
      <c r="G124" s="65" t="s">
        <v>1190</v>
      </c>
    </row>
    <row r="125" spans="2:7" ht="14.45" customHeight="1" x14ac:dyDescent="0.2">
      <c r="B125" s="147" t="s">
        <v>1274</v>
      </c>
      <c r="C125" s="148" t="s">
        <v>1298</v>
      </c>
      <c r="D125" s="149" t="s">
        <v>2188</v>
      </c>
      <c r="E125" s="150" t="s">
        <v>1173</v>
      </c>
      <c r="F125" s="151"/>
      <c r="G125" s="65" t="s">
        <v>1181</v>
      </c>
    </row>
    <row r="126" spans="2:7" ht="14.45" customHeight="1" x14ac:dyDescent="0.2">
      <c r="B126" s="147" t="s">
        <v>1274</v>
      </c>
      <c r="C126" s="148" t="s">
        <v>1298</v>
      </c>
      <c r="D126" s="149" t="s">
        <v>2188</v>
      </c>
      <c r="E126" s="150" t="s">
        <v>1174</v>
      </c>
      <c r="F126" s="151"/>
      <c r="G126" s="65" t="s">
        <v>1187</v>
      </c>
    </row>
    <row r="127" spans="2:7" ht="14.45" customHeight="1" x14ac:dyDescent="0.2">
      <c r="B127" s="147" t="s">
        <v>1274</v>
      </c>
      <c r="C127" s="148" t="s">
        <v>1298</v>
      </c>
      <c r="D127" s="149" t="s">
        <v>2188</v>
      </c>
      <c r="E127" s="150" t="s">
        <v>1175</v>
      </c>
      <c r="F127" s="151"/>
      <c r="G127" s="65" t="s">
        <v>1182</v>
      </c>
    </row>
    <row r="128" spans="2:7" ht="14.45" customHeight="1" x14ac:dyDescent="0.2">
      <c r="B128" s="147" t="s">
        <v>1274</v>
      </c>
      <c r="C128" s="148" t="s">
        <v>1298</v>
      </c>
      <c r="D128" s="149" t="s">
        <v>2188</v>
      </c>
      <c r="E128" s="150" t="s">
        <v>1176</v>
      </c>
      <c r="F128" s="151"/>
      <c r="G128" s="65" t="s">
        <v>1183</v>
      </c>
    </row>
    <row r="129" spans="2:7" ht="14.45" customHeight="1" x14ac:dyDescent="0.2">
      <c r="B129" s="147" t="s">
        <v>1274</v>
      </c>
      <c r="C129" s="148" t="s">
        <v>1298</v>
      </c>
      <c r="D129" s="149" t="s">
        <v>2188</v>
      </c>
      <c r="E129" s="150" t="s">
        <v>1177</v>
      </c>
      <c r="F129" s="151"/>
      <c r="G129" s="65" t="s">
        <v>1184</v>
      </c>
    </row>
    <row r="130" spans="2:7" ht="14.45" customHeight="1" x14ac:dyDescent="0.2">
      <c r="B130" s="147" t="s">
        <v>1274</v>
      </c>
      <c r="C130" s="148" t="s">
        <v>1298</v>
      </c>
      <c r="D130" s="152" t="s">
        <v>2188</v>
      </c>
      <c r="E130" s="153" t="s">
        <v>1178</v>
      </c>
      <c r="F130" s="154"/>
      <c r="G130" s="155" t="s">
        <v>1185</v>
      </c>
    </row>
    <row r="131" spans="2:7" ht="14.45" customHeight="1" x14ac:dyDescent="0.2">
      <c r="B131" s="147" t="s">
        <v>1274</v>
      </c>
      <c r="C131" s="148" t="s">
        <v>1298</v>
      </c>
      <c r="D131" s="156" t="s">
        <v>2150</v>
      </c>
      <c r="E131" s="157" t="s">
        <v>428</v>
      </c>
      <c r="F131" s="158"/>
      <c r="G131" s="159" t="s">
        <v>964</v>
      </c>
    </row>
    <row r="132" spans="2:7" ht="14.45" customHeight="1" x14ac:dyDescent="0.2">
      <c r="B132" s="147" t="s">
        <v>1274</v>
      </c>
      <c r="C132" s="148" t="s">
        <v>1298</v>
      </c>
      <c r="D132" s="149" t="s">
        <v>2150</v>
      </c>
      <c r="E132" s="150" t="s">
        <v>429</v>
      </c>
      <c r="F132" s="151"/>
      <c r="G132" s="65" t="s">
        <v>965</v>
      </c>
    </row>
    <row r="133" spans="2:7" ht="14.45" customHeight="1" x14ac:dyDescent="0.2">
      <c r="B133" s="147" t="s">
        <v>1274</v>
      </c>
      <c r="C133" s="148" t="s">
        <v>1298</v>
      </c>
      <c r="D133" s="149" t="s">
        <v>2150</v>
      </c>
      <c r="E133" s="150" t="s">
        <v>430</v>
      </c>
      <c r="F133" s="151"/>
      <c r="G133" s="169" t="s">
        <v>431</v>
      </c>
    </row>
    <row r="134" spans="2:7" ht="14.45" customHeight="1" x14ac:dyDescent="0.2">
      <c r="B134" s="147" t="s">
        <v>1274</v>
      </c>
      <c r="C134" s="148" t="s">
        <v>1298</v>
      </c>
      <c r="D134" s="152" t="s">
        <v>2150</v>
      </c>
      <c r="E134" s="153" t="s">
        <v>356</v>
      </c>
      <c r="F134" s="154"/>
      <c r="G134" s="155" t="s">
        <v>677</v>
      </c>
    </row>
    <row r="135" spans="2:7" ht="14.45" customHeight="1" x14ac:dyDescent="0.2">
      <c r="B135" s="147" t="s">
        <v>1274</v>
      </c>
      <c r="C135" s="148" t="s">
        <v>1298</v>
      </c>
      <c r="D135" s="156" t="s">
        <v>2137</v>
      </c>
      <c r="E135" s="157" t="s">
        <v>433</v>
      </c>
      <c r="F135" s="158"/>
      <c r="G135" s="159" t="s">
        <v>678</v>
      </c>
    </row>
    <row r="136" spans="2:7" ht="14.45" customHeight="1" x14ac:dyDescent="0.2">
      <c r="B136" s="147" t="s">
        <v>1274</v>
      </c>
      <c r="C136" s="148" t="s">
        <v>1298</v>
      </c>
      <c r="D136" s="149" t="s">
        <v>2137</v>
      </c>
      <c r="E136" s="150" t="s">
        <v>434</v>
      </c>
      <c r="F136" s="151"/>
      <c r="G136" s="65" t="s">
        <v>680</v>
      </c>
    </row>
    <row r="137" spans="2:7" ht="14.45" customHeight="1" x14ac:dyDescent="0.2">
      <c r="B137" s="147" t="s">
        <v>1274</v>
      </c>
      <c r="C137" s="148" t="s">
        <v>1298</v>
      </c>
      <c r="D137" s="149" t="s">
        <v>2137</v>
      </c>
      <c r="E137" s="150" t="s">
        <v>437</v>
      </c>
      <c r="F137" s="151"/>
      <c r="G137" s="65" t="s">
        <v>679</v>
      </c>
    </row>
    <row r="138" spans="2:7" ht="14.45" customHeight="1" x14ac:dyDescent="0.2">
      <c r="B138" s="147" t="s">
        <v>1274</v>
      </c>
      <c r="C138" s="148" t="s">
        <v>1298</v>
      </c>
      <c r="D138" s="149" t="s">
        <v>2137</v>
      </c>
      <c r="E138" s="150" t="s">
        <v>435</v>
      </c>
      <c r="F138" s="151"/>
      <c r="G138" s="65" t="s">
        <v>681</v>
      </c>
    </row>
    <row r="139" spans="2:7" ht="14.45" customHeight="1" x14ac:dyDescent="0.2">
      <c r="B139" s="147" t="s">
        <v>1274</v>
      </c>
      <c r="C139" s="148" t="s">
        <v>1298</v>
      </c>
      <c r="D139" s="152" t="s">
        <v>2137</v>
      </c>
      <c r="E139" s="153" t="s">
        <v>436</v>
      </c>
      <c r="F139" s="154"/>
      <c r="G139" s="155" t="s">
        <v>682</v>
      </c>
    </row>
    <row r="140" spans="2:7" ht="14.45" customHeight="1" x14ac:dyDescent="0.2">
      <c r="B140" s="147" t="s">
        <v>1274</v>
      </c>
      <c r="C140" s="148" t="s">
        <v>1298</v>
      </c>
      <c r="D140" s="156" t="s">
        <v>2151</v>
      </c>
      <c r="E140" s="157" t="s">
        <v>439</v>
      </c>
      <c r="F140" s="158"/>
      <c r="G140" s="159" t="s">
        <v>683</v>
      </c>
    </row>
    <row r="141" spans="2:7" ht="14.45" customHeight="1" x14ac:dyDescent="0.2">
      <c r="B141" s="147" t="s">
        <v>1274</v>
      </c>
      <c r="C141" s="148" t="s">
        <v>1298</v>
      </c>
      <c r="D141" s="149" t="s">
        <v>2151</v>
      </c>
      <c r="E141" s="150" t="s">
        <v>440</v>
      </c>
      <c r="F141" s="151"/>
      <c r="G141" s="65" t="s">
        <v>684</v>
      </c>
    </row>
    <row r="142" spans="2:7" ht="14.45" customHeight="1" x14ac:dyDescent="0.2">
      <c r="B142" s="147" t="s">
        <v>1274</v>
      </c>
      <c r="C142" s="148" t="s">
        <v>1298</v>
      </c>
      <c r="D142" s="149" t="s">
        <v>2151</v>
      </c>
      <c r="E142" s="150" t="s">
        <v>441</v>
      </c>
      <c r="F142" s="151"/>
      <c r="G142" s="65" t="s">
        <v>685</v>
      </c>
    </row>
    <row r="143" spans="2:7" ht="14.45" customHeight="1" x14ac:dyDescent="0.2">
      <c r="B143" s="147" t="s">
        <v>1274</v>
      </c>
      <c r="C143" s="148" t="s">
        <v>1298</v>
      </c>
      <c r="D143" s="149" t="s">
        <v>2151</v>
      </c>
      <c r="E143" s="150" t="s">
        <v>444</v>
      </c>
      <c r="F143" s="151"/>
      <c r="G143" s="65" t="s">
        <v>686</v>
      </c>
    </row>
    <row r="144" spans="2:7" ht="14.45" customHeight="1" x14ac:dyDescent="0.2">
      <c r="B144" s="147" t="s">
        <v>1274</v>
      </c>
      <c r="C144" s="148" t="s">
        <v>1298</v>
      </c>
      <c r="D144" s="149" t="s">
        <v>2151</v>
      </c>
      <c r="E144" s="150" t="s">
        <v>442</v>
      </c>
      <c r="F144" s="151"/>
      <c r="G144" s="65" t="s">
        <v>687</v>
      </c>
    </row>
    <row r="145" spans="2:7" ht="14.45" customHeight="1" x14ac:dyDescent="0.2">
      <c r="B145" s="147" t="s">
        <v>1274</v>
      </c>
      <c r="C145" s="148" t="s">
        <v>1298</v>
      </c>
      <c r="D145" s="152" t="s">
        <v>2151</v>
      </c>
      <c r="E145" s="153" t="s">
        <v>443</v>
      </c>
      <c r="F145" s="154"/>
      <c r="G145" s="155" t="s">
        <v>688</v>
      </c>
    </row>
    <row r="146" spans="2:7" ht="14.45" customHeight="1" x14ac:dyDescent="0.2">
      <c r="B146" s="147" t="s">
        <v>1274</v>
      </c>
      <c r="C146" s="148" t="s">
        <v>1298</v>
      </c>
      <c r="D146" s="156" t="s">
        <v>2152</v>
      </c>
      <c r="E146" s="157" t="s">
        <v>445</v>
      </c>
      <c r="F146" s="158"/>
      <c r="G146" s="159" t="s">
        <v>446</v>
      </c>
    </row>
    <row r="147" spans="2:7" ht="14.45" customHeight="1" x14ac:dyDescent="0.2">
      <c r="B147" s="147" t="s">
        <v>1274</v>
      </c>
      <c r="C147" s="148" t="s">
        <v>1298</v>
      </c>
      <c r="D147" s="149" t="s">
        <v>2152</v>
      </c>
      <c r="E147" s="150" t="s">
        <v>447</v>
      </c>
      <c r="F147" s="151"/>
      <c r="G147" s="65" t="s">
        <v>689</v>
      </c>
    </row>
    <row r="148" spans="2:7" ht="14.45" customHeight="1" x14ac:dyDescent="0.2">
      <c r="B148" s="147" t="s">
        <v>1274</v>
      </c>
      <c r="C148" s="148" t="s">
        <v>1298</v>
      </c>
      <c r="D148" s="149" t="s">
        <v>2152</v>
      </c>
      <c r="E148" s="150" t="s">
        <v>448</v>
      </c>
      <c r="F148" s="151"/>
      <c r="G148" s="65" t="s">
        <v>449</v>
      </c>
    </row>
    <row r="149" spans="2:7" ht="14.45" customHeight="1" x14ac:dyDescent="0.2">
      <c r="B149" s="147" t="s">
        <v>1274</v>
      </c>
      <c r="C149" s="148" t="s">
        <v>1298</v>
      </c>
      <c r="D149" s="149" t="s">
        <v>2152</v>
      </c>
      <c r="E149" s="150" t="s">
        <v>450</v>
      </c>
      <c r="F149" s="151"/>
      <c r="G149" s="65" t="s">
        <v>966</v>
      </c>
    </row>
    <row r="150" spans="2:7" ht="14.45" customHeight="1" x14ac:dyDescent="0.2">
      <c r="B150" s="147" t="s">
        <v>1274</v>
      </c>
      <c r="C150" s="148" t="s">
        <v>1298</v>
      </c>
      <c r="D150" s="149" t="s">
        <v>2152</v>
      </c>
      <c r="E150" s="150" t="s">
        <v>451</v>
      </c>
      <c r="F150" s="151"/>
      <c r="G150" s="65" t="s">
        <v>967</v>
      </c>
    </row>
    <row r="151" spans="2:7" ht="14.45" customHeight="1" x14ac:dyDescent="0.2">
      <c r="B151" s="147" t="s">
        <v>1274</v>
      </c>
      <c r="C151" s="148" t="s">
        <v>1298</v>
      </c>
      <c r="D151" s="149" t="s">
        <v>2152</v>
      </c>
      <c r="E151" s="150" t="s">
        <v>452</v>
      </c>
      <c r="F151" s="151"/>
      <c r="G151" s="65" t="s">
        <v>690</v>
      </c>
    </row>
    <row r="152" spans="2:7" ht="14.45" customHeight="1" x14ac:dyDescent="0.2">
      <c r="B152" s="147" t="s">
        <v>1274</v>
      </c>
      <c r="C152" s="148" t="s">
        <v>1298</v>
      </c>
      <c r="D152" s="149" t="s">
        <v>2152</v>
      </c>
      <c r="E152" s="150" t="s">
        <v>453</v>
      </c>
      <c r="F152" s="151"/>
      <c r="G152" s="65" t="s">
        <v>691</v>
      </c>
    </row>
    <row r="153" spans="2:7" ht="14.45" customHeight="1" x14ac:dyDescent="0.2">
      <c r="B153" s="147" t="s">
        <v>1274</v>
      </c>
      <c r="C153" s="148" t="s">
        <v>1298</v>
      </c>
      <c r="D153" s="149" t="s">
        <v>2152</v>
      </c>
      <c r="E153" s="150" t="s">
        <v>454</v>
      </c>
      <c r="F153" s="151"/>
      <c r="G153" s="65" t="s">
        <v>692</v>
      </c>
    </row>
    <row r="154" spans="2:7" ht="14.45" customHeight="1" x14ac:dyDescent="0.2">
      <c r="B154" s="147" t="s">
        <v>1274</v>
      </c>
      <c r="C154" s="148" t="s">
        <v>1298</v>
      </c>
      <c r="D154" s="152" t="s">
        <v>2152</v>
      </c>
      <c r="E154" s="153" t="s">
        <v>455</v>
      </c>
      <c r="F154" s="154"/>
      <c r="G154" s="155" t="s">
        <v>693</v>
      </c>
    </row>
    <row r="155" spans="2:7" ht="14.45" customHeight="1" x14ac:dyDescent="0.2">
      <c r="B155" s="147" t="s">
        <v>1274</v>
      </c>
      <c r="C155" s="148" t="s">
        <v>1298</v>
      </c>
      <c r="D155" s="156" t="s">
        <v>2153</v>
      </c>
      <c r="E155" s="157" t="s">
        <v>456</v>
      </c>
      <c r="F155" s="158"/>
      <c r="G155" s="159" t="s">
        <v>694</v>
      </c>
    </row>
    <row r="156" spans="2:7" ht="14.45" customHeight="1" x14ac:dyDescent="0.2">
      <c r="B156" s="147" t="s">
        <v>1274</v>
      </c>
      <c r="C156" s="148" t="s">
        <v>1298</v>
      </c>
      <c r="D156" s="152" t="s">
        <v>2153</v>
      </c>
      <c r="E156" s="153" t="s">
        <v>457</v>
      </c>
      <c r="F156" s="154"/>
      <c r="G156" s="155" t="s">
        <v>695</v>
      </c>
    </row>
    <row r="157" spans="2:7" ht="14.45" customHeight="1" x14ac:dyDescent="0.2">
      <c r="B157" s="147" t="s">
        <v>1274</v>
      </c>
      <c r="C157" s="148" t="s">
        <v>1298</v>
      </c>
      <c r="D157" s="156" t="s">
        <v>2141</v>
      </c>
      <c r="E157" s="157" t="s">
        <v>458</v>
      </c>
      <c r="F157" s="158"/>
      <c r="G157" s="159" t="s">
        <v>696</v>
      </c>
    </row>
    <row r="158" spans="2:7" ht="14.45" customHeight="1" x14ac:dyDescent="0.2">
      <c r="B158" s="147" t="s">
        <v>1274</v>
      </c>
      <c r="C158" s="148" t="s">
        <v>1298</v>
      </c>
      <c r="D158" s="149" t="s">
        <v>2141</v>
      </c>
      <c r="E158" s="150" t="s">
        <v>459</v>
      </c>
      <c r="F158" s="151"/>
      <c r="G158" s="65" t="s">
        <v>697</v>
      </c>
    </row>
    <row r="159" spans="2:7" ht="14.45" customHeight="1" x14ac:dyDescent="0.2">
      <c r="B159" s="147" t="s">
        <v>1274</v>
      </c>
      <c r="C159" s="148" t="s">
        <v>1298</v>
      </c>
      <c r="D159" s="152" t="s">
        <v>2141</v>
      </c>
      <c r="E159" s="153" t="s">
        <v>460</v>
      </c>
      <c r="F159" s="154"/>
      <c r="G159" s="155" t="s">
        <v>992</v>
      </c>
    </row>
    <row r="160" spans="2:7" ht="14.45" customHeight="1" thickBot="1" x14ac:dyDescent="0.25">
      <c r="B160" s="147" t="s">
        <v>1274</v>
      </c>
      <c r="C160" s="148" t="s">
        <v>1298</v>
      </c>
      <c r="D160" s="170" t="s">
        <v>2147</v>
      </c>
      <c r="E160" s="171" t="s">
        <v>438</v>
      </c>
      <c r="F160" s="172"/>
      <c r="G160" s="173" t="s">
        <v>698</v>
      </c>
    </row>
    <row r="161" spans="2:7" ht="14.45" customHeight="1" x14ac:dyDescent="0.2">
      <c r="B161" s="147" t="s">
        <v>1274</v>
      </c>
      <c r="C161" s="142" t="s">
        <v>1262</v>
      </c>
      <c r="D161" s="143" t="s">
        <v>2190</v>
      </c>
      <c r="E161" s="144" t="s">
        <v>461</v>
      </c>
      <c r="F161" s="145"/>
      <c r="G161" s="146" t="s">
        <v>699</v>
      </c>
    </row>
    <row r="162" spans="2:7" ht="14.45" customHeight="1" x14ac:dyDescent="0.2">
      <c r="B162" s="147" t="s">
        <v>1274</v>
      </c>
      <c r="C162" s="148" t="s">
        <v>1261</v>
      </c>
      <c r="D162" s="149" t="s">
        <v>2190</v>
      </c>
      <c r="E162" s="150" t="s">
        <v>700</v>
      </c>
      <c r="F162" s="151"/>
      <c r="G162" s="65" t="s">
        <v>968</v>
      </c>
    </row>
    <row r="163" spans="2:7" ht="14.45" customHeight="1" x14ac:dyDescent="0.2">
      <c r="B163" s="147" t="s">
        <v>1274</v>
      </c>
      <c r="C163" s="148" t="s">
        <v>1261</v>
      </c>
      <c r="D163" s="152" t="s">
        <v>2190</v>
      </c>
      <c r="E163" s="153" t="s">
        <v>701</v>
      </c>
      <c r="F163" s="154"/>
      <c r="G163" s="155" t="s">
        <v>969</v>
      </c>
    </row>
    <row r="164" spans="2:7" ht="14.45" customHeight="1" x14ac:dyDescent="0.2">
      <c r="B164" s="147" t="s">
        <v>1274</v>
      </c>
      <c r="C164" s="148" t="s">
        <v>1261</v>
      </c>
      <c r="D164" s="156" t="s">
        <v>2144</v>
      </c>
      <c r="E164" s="157" t="s">
        <v>462</v>
      </c>
      <c r="F164" s="158"/>
      <c r="G164" s="159" t="s">
        <v>970</v>
      </c>
    </row>
    <row r="165" spans="2:7" ht="14.45" customHeight="1" x14ac:dyDescent="0.2">
      <c r="B165" s="147" t="s">
        <v>1274</v>
      </c>
      <c r="C165" s="148" t="s">
        <v>1261</v>
      </c>
      <c r="D165" s="149" t="s">
        <v>2144</v>
      </c>
      <c r="E165" s="150" t="s">
        <v>235</v>
      </c>
      <c r="F165" s="151" t="s">
        <v>1325</v>
      </c>
      <c r="G165" s="65" t="s">
        <v>1087</v>
      </c>
    </row>
    <row r="166" spans="2:7" ht="14.45" customHeight="1" x14ac:dyDescent="0.2">
      <c r="B166" s="147" t="s">
        <v>1274</v>
      </c>
      <c r="C166" s="148" t="s">
        <v>1261</v>
      </c>
      <c r="D166" s="149" t="s">
        <v>2144</v>
      </c>
      <c r="E166" s="150" t="s">
        <v>236</v>
      </c>
      <c r="F166" s="151" t="s">
        <v>1325</v>
      </c>
      <c r="G166" s="65" t="s">
        <v>466</v>
      </c>
    </row>
    <row r="167" spans="2:7" ht="14.45" customHeight="1" x14ac:dyDescent="0.2">
      <c r="B167" s="147" t="s">
        <v>1274</v>
      </c>
      <c r="C167" s="148" t="s">
        <v>1261</v>
      </c>
      <c r="D167" s="149" t="s">
        <v>2144</v>
      </c>
      <c r="E167" s="150" t="s">
        <v>463</v>
      </c>
      <c r="F167" s="151"/>
      <c r="G167" s="65" t="s">
        <v>971</v>
      </c>
    </row>
    <row r="168" spans="2:7" ht="14.45" customHeight="1" x14ac:dyDescent="0.2">
      <c r="B168" s="147" t="s">
        <v>1274</v>
      </c>
      <c r="C168" s="148" t="s">
        <v>1261</v>
      </c>
      <c r="D168" s="149" t="s">
        <v>2144</v>
      </c>
      <c r="E168" s="150" t="s">
        <v>464</v>
      </c>
      <c r="F168" s="151"/>
      <c r="G168" s="65" t="s">
        <v>702</v>
      </c>
    </row>
    <row r="169" spans="2:7" ht="14.45" customHeight="1" x14ac:dyDescent="0.2">
      <c r="B169" s="147" t="s">
        <v>1274</v>
      </c>
      <c r="C169" s="148" t="s">
        <v>1261</v>
      </c>
      <c r="D169" s="152" t="s">
        <v>2144</v>
      </c>
      <c r="E169" s="153" t="s">
        <v>465</v>
      </c>
      <c r="F169" s="154"/>
      <c r="G169" s="155" t="s">
        <v>972</v>
      </c>
    </row>
    <row r="170" spans="2:7" ht="14.45" customHeight="1" x14ac:dyDescent="0.2">
      <c r="B170" s="147" t="s">
        <v>1274</v>
      </c>
      <c r="C170" s="148" t="s">
        <v>1261</v>
      </c>
      <c r="D170" s="156" t="s">
        <v>2148</v>
      </c>
      <c r="E170" s="157" t="s">
        <v>467</v>
      </c>
      <c r="F170" s="158"/>
      <c r="G170" s="159" t="s">
        <v>703</v>
      </c>
    </row>
    <row r="171" spans="2:7" ht="14.45" customHeight="1" x14ac:dyDescent="0.2">
      <c r="B171" s="147" t="s">
        <v>1274</v>
      </c>
      <c r="C171" s="148" t="s">
        <v>1261</v>
      </c>
      <c r="D171" s="152" t="s">
        <v>2148</v>
      </c>
      <c r="E171" s="153" t="s">
        <v>468</v>
      </c>
      <c r="F171" s="154"/>
      <c r="G171" s="155" t="s">
        <v>704</v>
      </c>
    </row>
    <row r="172" spans="2:7" ht="14.45" customHeight="1" x14ac:dyDescent="0.2">
      <c r="B172" s="147" t="s">
        <v>1274</v>
      </c>
      <c r="C172" s="148" t="s">
        <v>1261</v>
      </c>
      <c r="D172" s="156" t="s">
        <v>2142</v>
      </c>
      <c r="E172" s="157" t="s">
        <v>469</v>
      </c>
      <c r="F172" s="158"/>
      <c r="G172" s="159" t="s">
        <v>705</v>
      </c>
    </row>
    <row r="173" spans="2:7" ht="14.45" customHeight="1" x14ac:dyDescent="0.2">
      <c r="B173" s="147" t="s">
        <v>1274</v>
      </c>
      <c r="C173" s="148" t="s">
        <v>1261</v>
      </c>
      <c r="D173" s="149" t="s">
        <v>2142</v>
      </c>
      <c r="E173" s="150" t="s">
        <v>470</v>
      </c>
      <c r="F173" s="151"/>
      <c r="G173" s="65" t="s">
        <v>706</v>
      </c>
    </row>
    <row r="174" spans="2:7" ht="14.45" customHeight="1" x14ac:dyDescent="0.2">
      <c r="B174" s="147" t="s">
        <v>1274</v>
      </c>
      <c r="C174" s="148" t="s">
        <v>1261</v>
      </c>
      <c r="D174" s="149" t="s">
        <v>2142</v>
      </c>
      <c r="E174" s="150" t="s">
        <v>471</v>
      </c>
      <c r="F174" s="151"/>
      <c r="G174" s="65" t="s">
        <v>707</v>
      </c>
    </row>
    <row r="175" spans="2:7" ht="14.45" customHeight="1" x14ac:dyDescent="0.2">
      <c r="B175" s="147" t="s">
        <v>1274</v>
      </c>
      <c r="C175" s="148" t="s">
        <v>1261</v>
      </c>
      <c r="D175" s="149" t="s">
        <v>2142</v>
      </c>
      <c r="E175" s="150" t="s">
        <v>472</v>
      </c>
      <c r="F175" s="151"/>
      <c r="G175" s="65" t="s">
        <v>708</v>
      </c>
    </row>
    <row r="176" spans="2:7" ht="14.45" customHeight="1" x14ac:dyDescent="0.2">
      <c r="B176" s="147" t="s">
        <v>1274</v>
      </c>
      <c r="C176" s="148" t="s">
        <v>1261</v>
      </c>
      <c r="D176" s="149" t="s">
        <v>2142</v>
      </c>
      <c r="E176" s="150" t="s">
        <v>473</v>
      </c>
      <c r="F176" s="151"/>
      <c r="G176" s="65" t="s">
        <v>709</v>
      </c>
    </row>
    <row r="177" spans="2:7" ht="14.45" customHeight="1" x14ac:dyDescent="0.2">
      <c r="B177" s="147" t="s">
        <v>1274</v>
      </c>
      <c r="C177" s="148" t="s">
        <v>1261</v>
      </c>
      <c r="D177" s="149" t="s">
        <v>2142</v>
      </c>
      <c r="E177" s="150" t="s">
        <v>474</v>
      </c>
      <c r="F177" s="151"/>
      <c r="G177" s="65" t="s">
        <v>710</v>
      </c>
    </row>
    <row r="178" spans="2:7" ht="14.45" customHeight="1" x14ac:dyDescent="0.2">
      <c r="B178" s="147" t="s">
        <v>1274</v>
      </c>
      <c r="C178" s="148" t="s">
        <v>1261</v>
      </c>
      <c r="D178" s="149" t="s">
        <v>2142</v>
      </c>
      <c r="E178" s="150" t="s">
        <v>475</v>
      </c>
      <c r="F178" s="151"/>
      <c r="G178" s="65" t="s">
        <v>711</v>
      </c>
    </row>
    <row r="179" spans="2:7" ht="14.45" customHeight="1" x14ac:dyDescent="0.2">
      <c r="B179" s="147" t="s">
        <v>1274</v>
      </c>
      <c r="C179" s="148" t="s">
        <v>1261</v>
      </c>
      <c r="D179" s="149" t="s">
        <v>2142</v>
      </c>
      <c r="E179" s="150" t="s">
        <v>476</v>
      </c>
      <c r="F179" s="151"/>
      <c r="G179" s="65" t="s">
        <v>712</v>
      </c>
    </row>
    <row r="180" spans="2:7" ht="14.45" customHeight="1" x14ac:dyDescent="0.2">
      <c r="B180" s="147" t="s">
        <v>1274</v>
      </c>
      <c r="C180" s="148" t="s">
        <v>1261</v>
      </c>
      <c r="D180" s="149" t="s">
        <v>2142</v>
      </c>
      <c r="E180" s="150" t="s">
        <v>477</v>
      </c>
      <c r="F180" s="151"/>
      <c r="G180" s="65" t="s">
        <v>478</v>
      </c>
    </row>
    <row r="181" spans="2:7" ht="14.45" customHeight="1" x14ac:dyDescent="0.2">
      <c r="B181" s="147" t="s">
        <v>1274</v>
      </c>
      <c r="C181" s="148" t="s">
        <v>1261</v>
      </c>
      <c r="D181" s="149" t="s">
        <v>2142</v>
      </c>
      <c r="E181" s="150" t="s">
        <v>479</v>
      </c>
      <c r="F181" s="151"/>
      <c r="G181" s="65" t="s">
        <v>713</v>
      </c>
    </row>
    <row r="182" spans="2:7" ht="14.45" customHeight="1" x14ac:dyDescent="0.2">
      <c r="B182" s="147" t="s">
        <v>1274</v>
      </c>
      <c r="C182" s="148" t="s">
        <v>1261</v>
      </c>
      <c r="D182" s="152" t="s">
        <v>2142</v>
      </c>
      <c r="E182" s="153" t="s">
        <v>480</v>
      </c>
      <c r="F182" s="154"/>
      <c r="G182" s="155" t="s">
        <v>714</v>
      </c>
    </row>
    <row r="183" spans="2:7" ht="14.45" customHeight="1" x14ac:dyDescent="0.2">
      <c r="B183" s="147" t="s">
        <v>1274</v>
      </c>
      <c r="C183" s="148" t="s">
        <v>1261</v>
      </c>
      <c r="D183" s="156" t="s">
        <v>2208</v>
      </c>
      <c r="E183" s="157" t="s">
        <v>481</v>
      </c>
      <c r="F183" s="158"/>
      <c r="G183" s="159" t="s">
        <v>715</v>
      </c>
    </row>
    <row r="184" spans="2:7" ht="14.45" customHeight="1" x14ac:dyDescent="0.2">
      <c r="B184" s="147" t="s">
        <v>1274</v>
      </c>
      <c r="C184" s="148" t="s">
        <v>1261</v>
      </c>
      <c r="D184" s="152" t="s">
        <v>2208</v>
      </c>
      <c r="E184" s="153" t="s">
        <v>482</v>
      </c>
      <c r="F184" s="154"/>
      <c r="G184" s="155" t="s">
        <v>483</v>
      </c>
    </row>
    <row r="185" spans="2:7" ht="14.45" customHeight="1" x14ac:dyDescent="0.2">
      <c r="B185" s="147" t="s">
        <v>1274</v>
      </c>
      <c r="C185" s="148" t="s">
        <v>1261</v>
      </c>
      <c r="D185" s="50" t="s">
        <v>2146</v>
      </c>
      <c r="E185" s="157" t="s">
        <v>484</v>
      </c>
      <c r="F185" s="158"/>
      <c r="G185" s="159" t="s">
        <v>716</v>
      </c>
    </row>
    <row r="186" spans="2:7" ht="14.45" customHeight="1" x14ac:dyDescent="0.2">
      <c r="B186" s="147" t="s">
        <v>1274</v>
      </c>
      <c r="C186" s="148" t="s">
        <v>1261</v>
      </c>
      <c r="D186" s="167" t="s">
        <v>2146</v>
      </c>
      <c r="E186" s="150" t="s">
        <v>718</v>
      </c>
      <c r="F186" s="151"/>
      <c r="G186" s="65" t="s">
        <v>722</v>
      </c>
    </row>
    <row r="187" spans="2:7" ht="14.45" customHeight="1" x14ac:dyDescent="0.2">
      <c r="B187" s="147" t="s">
        <v>1274</v>
      </c>
      <c r="C187" s="148" t="s">
        <v>1261</v>
      </c>
      <c r="D187" s="167" t="s">
        <v>2146</v>
      </c>
      <c r="E187" s="150" t="s">
        <v>719</v>
      </c>
      <c r="F187" s="151"/>
      <c r="G187" s="65" t="s">
        <v>717</v>
      </c>
    </row>
    <row r="188" spans="2:7" ht="14.45" customHeight="1" x14ac:dyDescent="0.2">
      <c r="B188" s="147" t="s">
        <v>1274</v>
      </c>
      <c r="C188" s="148" t="s">
        <v>1261</v>
      </c>
      <c r="D188" s="167" t="s">
        <v>2146</v>
      </c>
      <c r="E188" s="150" t="s">
        <v>720</v>
      </c>
      <c r="F188" s="151"/>
      <c r="G188" s="65" t="s">
        <v>723</v>
      </c>
    </row>
    <row r="189" spans="2:7" ht="14.45" customHeight="1" x14ac:dyDescent="0.2">
      <c r="B189" s="147" t="s">
        <v>1274</v>
      </c>
      <c r="C189" s="148" t="s">
        <v>1261</v>
      </c>
      <c r="D189" s="167" t="s">
        <v>2146</v>
      </c>
      <c r="E189" s="153" t="s">
        <v>721</v>
      </c>
      <c r="F189" s="154"/>
      <c r="G189" s="155" t="s">
        <v>724</v>
      </c>
    </row>
    <row r="190" spans="2:7" ht="14.45" customHeight="1" x14ac:dyDescent="0.2">
      <c r="B190" s="147" t="s">
        <v>1274</v>
      </c>
      <c r="C190" s="148" t="s">
        <v>1261</v>
      </c>
      <c r="D190" s="156" t="s">
        <v>2140</v>
      </c>
      <c r="E190" s="157" t="s">
        <v>486</v>
      </c>
      <c r="F190" s="158"/>
      <c r="G190" s="159" t="s">
        <v>725</v>
      </c>
    </row>
    <row r="191" spans="2:7" ht="14.45" customHeight="1" x14ac:dyDescent="0.2">
      <c r="B191" s="147" t="s">
        <v>1274</v>
      </c>
      <c r="C191" s="148" t="s">
        <v>1261</v>
      </c>
      <c r="D191" s="149" t="s">
        <v>2140</v>
      </c>
      <c r="E191" s="150" t="s">
        <v>487</v>
      </c>
      <c r="F191" s="151"/>
      <c r="G191" s="65" t="s">
        <v>726</v>
      </c>
    </row>
    <row r="192" spans="2:7" ht="14.45" customHeight="1" x14ac:dyDescent="0.2">
      <c r="B192" s="147" t="s">
        <v>1274</v>
      </c>
      <c r="C192" s="148" t="s">
        <v>1261</v>
      </c>
      <c r="D192" s="149" t="s">
        <v>2140</v>
      </c>
      <c r="E192" s="150" t="s">
        <v>488</v>
      </c>
      <c r="F192" s="151"/>
      <c r="G192" s="65" t="s">
        <v>727</v>
      </c>
    </row>
    <row r="193" spans="2:7" ht="14.45" customHeight="1" x14ac:dyDescent="0.2">
      <c r="B193" s="147" t="s">
        <v>1274</v>
      </c>
      <c r="C193" s="148" t="s">
        <v>1261</v>
      </c>
      <c r="D193" s="149" t="s">
        <v>2140</v>
      </c>
      <c r="E193" s="150" t="s">
        <v>489</v>
      </c>
      <c r="F193" s="151"/>
      <c r="G193" s="65" t="s">
        <v>728</v>
      </c>
    </row>
    <row r="194" spans="2:7" ht="14.45" customHeight="1" x14ac:dyDescent="0.2">
      <c r="B194" s="147" t="s">
        <v>1274</v>
      </c>
      <c r="C194" s="148" t="s">
        <v>1261</v>
      </c>
      <c r="D194" s="149" t="s">
        <v>2140</v>
      </c>
      <c r="E194" s="150" t="s">
        <v>490</v>
      </c>
      <c r="F194" s="151"/>
      <c r="G194" s="65" t="s">
        <v>729</v>
      </c>
    </row>
    <row r="195" spans="2:7" ht="14.45" customHeight="1" x14ac:dyDescent="0.2">
      <c r="B195" s="147" t="s">
        <v>1274</v>
      </c>
      <c r="C195" s="148" t="s">
        <v>1261</v>
      </c>
      <c r="D195" s="149" t="s">
        <v>2140</v>
      </c>
      <c r="E195" s="150" t="s">
        <v>491</v>
      </c>
      <c r="F195" s="151"/>
      <c r="G195" s="65" t="s">
        <v>730</v>
      </c>
    </row>
    <row r="196" spans="2:7" ht="14.45" customHeight="1" x14ac:dyDescent="0.2">
      <c r="B196" s="147" t="s">
        <v>1274</v>
      </c>
      <c r="C196" s="148" t="s">
        <v>1261</v>
      </c>
      <c r="D196" s="149" t="s">
        <v>2140</v>
      </c>
      <c r="E196" s="150" t="s">
        <v>492</v>
      </c>
      <c r="F196" s="151"/>
      <c r="G196" s="65" t="s">
        <v>731</v>
      </c>
    </row>
    <row r="197" spans="2:7" ht="14.45" customHeight="1" x14ac:dyDescent="0.2">
      <c r="B197" s="147" t="s">
        <v>1274</v>
      </c>
      <c r="C197" s="148" t="s">
        <v>1261</v>
      </c>
      <c r="D197" s="149" t="s">
        <v>2140</v>
      </c>
      <c r="E197" s="150" t="s">
        <v>493</v>
      </c>
      <c r="F197" s="151"/>
      <c r="G197" s="65" t="s">
        <v>732</v>
      </c>
    </row>
    <row r="198" spans="2:7" ht="14.45" customHeight="1" x14ac:dyDescent="0.2">
      <c r="B198" s="147" t="s">
        <v>1274</v>
      </c>
      <c r="C198" s="148" t="s">
        <v>1261</v>
      </c>
      <c r="D198" s="149" t="s">
        <v>2140</v>
      </c>
      <c r="E198" s="150" t="s">
        <v>494</v>
      </c>
      <c r="F198" s="151"/>
      <c r="G198" s="65" t="s">
        <v>733</v>
      </c>
    </row>
    <row r="199" spans="2:7" ht="14.45" customHeight="1" x14ac:dyDescent="0.2">
      <c r="B199" s="147" t="s">
        <v>1274</v>
      </c>
      <c r="C199" s="148" t="s">
        <v>1261</v>
      </c>
      <c r="D199" s="149" t="s">
        <v>2140</v>
      </c>
      <c r="E199" s="150" t="s">
        <v>495</v>
      </c>
      <c r="F199" s="151"/>
      <c r="G199" s="65" t="s">
        <v>734</v>
      </c>
    </row>
    <row r="200" spans="2:7" ht="14.45" customHeight="1" x14ac:dyDescent="0.2">
      <c r="B200" s="147" t="s">
        <v>1274</v>
      </c>
      <c r="C200" s="148" t="s">
        <v>1261</v>
      </c>
      <c r="D200" s="149" t="s">
        <v>2140</v>
      </c>
      <c r="E200" s="150" t="s">
        <v>496</v>
      </c>
      <c r="F200" s="151"/>
      <c r="G200" s="65" t="s">
        <v>735</v>
      </c>
    </row>
    <row r="201" spans="2:7" ht="14.45" customHeight="1" x14ac:dyDescent="0.2">
      <c r="B201" s="147" t="s">
        <v>1274</v>
      </c>
      <c r="C201" s="148" t="s">
        <v>1261</v>
      </c>
      <c r="D201" s="149" t="s">
        <v>2140</v>
      </c>
      <c r="E201" s="150" t="s">
        <v>497</v>
      </c>
      <c r="F201" s="151"/>
      <c r="G201" s="65" t="s">
        <v>736</v>
      </c>
    </row>
    <row r="202" spans="2:7" ht="14.45" customHeight="1" x14ac:dyDescent="0.2">
      <c r="B202" s="147" t="s">
        <v>1274</v>
      </c>
      <c r="C202" s="148" t="s">
        <v>1261</v>
      </c>
      <c r="D202" s="152" t="s">
        <v>2140</v>
      </c>
      <c r="E202" s="153" t="s">
        <v>498</v>
      </c>
      <c r="F202" s="154"/>
      <c r="G202" s="155" t="s">
        <v>993</v>
      </c>
    </row>
    <row r="203" spans="2:7" ht="14.45" customHeight="1" x14ac:dyDescent="0.2">
      <c r="B203" s="147" t="s">
        <v>1274</v>
      </c>
      <c r="C203" s="148" t="s">
        <v>1261</v>
      </c>
      <c r="D203" s="156" t="s">
        <v>2154</v>
      </c>
      <c r="E203" s="157" t="s">
        <v>499</v>
      </c>
      <c r="F203" s="158"/>
      <c r="G203" s="159" t="s">
        <v>737</v>
      </c>
    </row>
    <row r="204" spans="2:7" ht="14.45" customHeight="1" x14ac:dyDescent="0.2">
      <c r="B204" s="147" t="s">
        <v>1274</v>
      </c>
      <c r="C204" s="148" t="s">
        <v>1261</v>
      </c>
      <c r="D204" s="149" t="s">
        <v>2154</v>
      </c>
      <c r="E204" s="150" t="s">
        <v>500</v>
      </c>
      <c r="F204" s="151"/>
      <c r="G204" s="65" t="s">
        <v>740</v>
      </c>
    </row>
    <row r="205" spans="2:7" ht="14.45" customHeight="1" x14ac:dyDescent="0.2">
      <c r="B205" s="147" t="s">
        <v>1274</v>
      </c>
      <c r="C205" s="148" t="s">
        <v>1261</v>
      </c>
      <c r="D205" s="149" t="s">
        <v>2154</v>
      </c>
      <c r="E205" s="150" t="s">
        <v>501</v>
      </c>
      <c r="F205" s="151"/>
      <c r="G205" s="65" t="s">
        <v>741</v>
      </c>
    </row>
    <row r="206" spans="2:7" ht="14.45" customHeight="1" x14ac:dyDescent="0.2">
      <c r="B206" s="147" t="s">
        <v>1274</v>
      </c>
      <c r="C206" s="148" t="s">
        <v>1261</v>
      </c>
      <c r="D206" s="149" t="s">
        <v>2154</v>
      </c>
      <c r="E206" s="150" t="s">
        <v>502</v>
      </c>
      <c r="F206" s="151"/>
      <c r="G206" s="65" t="s">
        <v>738</v>
      </c>
    </row>
    <row r="207" spans="2:7" ht="14.45" customHeight="1" x14ac:dyDescent="0.2">
      <c r="B207" s="147" t="s">
        <v>1274</v>
      </c>
      <c r="C207" s="148" t="s">
        <v>1261</v>
      </c>
      <c r="D207" s="149" t="s">
        <v>2154</v>
      </c>
      <c r="E207" s="150" t="s">
        <v>503</v>
      </c>
      <c r="F207" s="151"/>
      <c r="G207" s="65" t="s">
        <v>742</v>
      </c>
    </row>
    <row r="208" spans="2:7" ht="14.45" customHeight="1" x14ac:dyDescent="0.2">
      <c r="B208" s="147" t="s">
        <v>1274</v>
      </c>
      <c r="C208" s="148" t="s">
        <v>1261</v>
      </c>
      <c r="D208" s="149" t="s">
        <v>2154</v>
      </c>
      <c r="E208" s="150" t="s">
        <v>504</v>
      </c>
      <c r="F208" s="151"/>
      <c r="G208" s="65" t="s">
        <v>743</v>
      </c>
    </row>
    <row r="209" spans="2:7" ht="14.45" customHeight="1" x14ac:dyDescent="0.2">
      <c r="B209" s="147" t="s">
        <v>1274</v>
      </c>
      <c r="C209" s="148" t="s">
        <v>1261</v>
      </c>
      <c r="D209" s="149" t="s">
        <v>2154</v>
      </c>
      <c r="E209" s="150" t="s">
        <v>505</v>
      </c>
      <c r="F209" s="151"/>
      <c r="G209" s="65" t="s">
        <v>739</v>
      </c>
    </row>
    <row r="210" spans="2:7" ht="14.45" customHeight="1" x14ac:dyDescent="0.2">
      <c r="B210" s="147" t="s">
        <v>1274</v>
      </c>
      <c r="C210" s="148" t="s">
        <v>1261</v>
      </c>
      <c r="D210" s="149" t="s">
        <v>2154</v>
      </c>
      <c r="E210" s="150" t="s">
        <v>506</v>
      </c>
      <c r="F210" s="151"/>
      <c r="G210" s="65" t="s">
        <v>744</v>
      </c>
    </row>
    <row r="211" spans="2:7" ht="14.45" customHeight="1" thickBot="1" x14ac:dyDescent="0.25">
      <c r="B211" s="147" t="s">
        <v>1274</v>
      </c>
      <c r="C211" s="160" t="s">
        <v>1261</v>
      </c>
      <c r="D211" s="161" t="s">
        <v>2154</v>
      </c>
      <c r="E211" s="153" t="s">
        <v>507</v>
      </c>
      <c r="F211" s="154"/>
      <c r="G211" s="155" t="s">
        <v>994</v>
      </c>
    </row>
    <row r="212" spans="2:7" ht="14.45" customHeight="1" x14ac:dyDescent="0.2">
      <c r="B212" s="147" t="s">
        <v>1274</v>
      </c>
      <c r="C212" s="142" t="s">
        <v>1264</v>
      </c>
      <c r="D212" s="143" t="s">
        <v>2138</v>
      </c>
      <c r="E212" s="144" t="s">
        <v>509</v>
      </c>
      <c r="F212" s="145"/>
      <c r="G212" s="146" t="s">
        <v>995</v>
      </c>
    </row>
    <row r="213" spans="2:7" ht="14.45" customHeight="1" x14ac:dyDescent="0.2">
      <c r="B213" s="147" t="s">
        <v>1274</v>
      </c>
      <c r="C213" s="148" t="s">
        <v>1263</v>
      </c>
      <c r="D213" s="149" t="s">
        <v>2138</v>
      </c>
      <c r="E213" s="150" t="s">
        <v>453</v>
      </c>
      <c r="F213" s="151"/>
      <c r="G213" s="65" t="s">
        <v>745</v>
      </c>
    </row>
    <row r="214" spans="2:7" ht="14.45" customHeight="1" x14ac:dyDescent="0.2">
      <c r="B214" s="147" t="s">
        <v>1274</v>
      </c>
      <c r="C214" s="148" t="s">
        <v>1263</v>
      </c>
      <c r="D214" s="149" t="s">
        <v>2138</v>
      </c>
      <c r="E214" s="150" t="s">
        <v>510</v>
      </c>
      <c r="F214" s="151"/>
      <c r="G214" s="65" t="s">
        <v>746</v>
      </c>
    </row>
    <row r="215" spans="2:7" ht="14.45" customHeight="1" x14ac:dyDescent="0.2">
      <c r="B215" s="147" t="s">
        <v>1274</v>
      </c>
      <c r="C215" s="148" t="s">
        <v>1263</v>
      </c>
      <c r="D215" s="149" t="s">
        <v>2138</v>
      </c>
      <c r="E215" s="150" t="s">
        <v>511</v>
      </c>
      <c r="F215" s="151"/>
      <c r="G215" s="65" t="s">
        <v>553</v>
      </c>
    </row>
    <row r="216" spans="2:7" ht="14.45" customHeight="1" x14ac:dyDescent="0.2">
      <c r="B216" s="147" t="s">
        <v>1274</v>
      </c>
      <c r="C216" s="148" t="s">
        <v>1263</v>
      </c>
      <c r="D216" s="149" t="s">
        <v>2138</v>
      </c>
      <c r="E216" s="150" t="s">
        <v>512</v>
      </c>
      <c r="F216" s="151"/>
      <c r="G216" s="65" t="s">
        <v>747</v>
      </c>
    </row>
    <row r="217" spans="2:7" ht="14.45" customHeight="1" x14ac:dyDescent="0.2">
      <c r="B217" s="147" t="s">
        <v>1274</v>
      </c>
      <c r="C217" s="148" t="s">
        <v>1263</v>
      </c>
      <c r="D217" s="149" t="s">
        <v>2138</v>
      </c>
      <c r="E217" s="150" t="s">
        <v>513</v>
      </c>
      <c r="F217" s="151"/>
      <c r="G217" s="65" t="s">
        <v>973</v>
      </c>
    </row>
    <row r="218" spans="2:7" ht="14.45" customHeight="1" x14ac:dyDescent="0.2">
      <c r="B218" s="147" t="s">
        <v>1274</v>
      </c>
      <c r="C218" s="148" t="s">
        <v>1263</v>
      </c>
      <c r="D218" s="149" t="s">
        <v>2138</v>
      </c>
      <c r="E218" s="150" t="s">
        <v>514</v>
      </c>
      <c r="F218" s="151"/>
      <c r="G218" s="65" t="s">
        <v>748</v>
      </c>
    </row>
    <row r="219" spans="2:7" ht="14.45" customHeight="1" x14ac:dyDescent="0.2">
      <c r="B219" s="147" t="s">
        <v>1274</v>
      </c>
      <c r="C219" s="148" t="s">
        <v>1263</v>
      </c>
      <c r="D219" s="149" t="s">
        <v>2138</v>
      </c>
      <c r="E219" s="150" t="s">
        <v>515</v>
      </c>
      <c r="F219" s="151"/>
      <c r="G219" s="65" t="s">
        <v>749</v>
      </c>
    </row>
    <row r="220" spans="2:7" ht="14.45" customHeight="1" x14ac:dyDescent="0.2">
      <c r="B220" s="147" t="s">
        <v>1274</v>
      </c>
      <c r="C220" s="148" t="s">
        <v>1263</v>
      </c>
      <c r="D220" s="149" t="s">
        <v>2138</v>
      </c>
      <c r="E220" s="150" t="s">
        <v>516</v>
      </c>
      <c r="F220" s="151"/>
      <c r="G220" s="65" t="s">
        <v>750</v>
      </c>
    </row>
    <row r="221" spans="2:7" ht="14.45" customHeight="1" x14ac:dyDescent="0.2">
      <c r="B221" s="147" t="s">
        <v>1274</v>
      </c>
      <c r="C221" s="148" t="s">
        <v>1263</v>
      </c>
      <c r="D221" s="149" t="s">
        <v>2138</v>
      </c>
      <c r="E221" s="150" t="s">
        <v>517</v>
      </c>
      <c r="F221" s="151"/>
      <c r="G221" s="65" t="s">
        <v>751</v>
      </c>
    </row>
    <row r="222" spans="2:7" ht="14.45" customHeight="1" x14ac:dyDescent="0.2">
      <c r="B222" s="147" t="s">
        <v>1274</v>
      </c>
      <c r="C222" s="148" t="s">
        <v>1263</v>
      </c>
      <c r="D222" s="149" t="s">
        <v>2138</v>
      </c>
      <c r="E222" s="150" t="s">
        <v>518</v>
      </c>
      <c r="F222" s="151"/>
      <c r="G222" s="65" t="s">
        <v>752</v>
      </c>
    </row>
    <row r="223" spans="2:7" ht="14.45" customHeight="1" x14ac:dyDescent="0.2">
      <c r="B223" s="147" t="s">
        <v>1274</v>
      </c>
      <c r="C223" s="148" t="s">
        <v>1263</v>
      </c>
      <c r="D223" s="149" t="s">
        <v>2138</v>
      </c>
      <c r="E223" s="150" t="s">
        <v>519</v>
      </c>
      <c r="F223" s="151"/>
      <c r="G223" s="65" t="s">
        <v>753</v>
      </c>
    </row>
    <row r="224" spans="2:7" ht="14.45" customHeight="1" x14ac:dyDescent="0.2">
      <c r="B224" s="147" t="s">
        <v>1274</v>
      </c>
      <c r="C224" s="148" t="s">
        <v>1263</v>
      </c>
      <c r="D224" s="152" t="s">
        <v>2138</v>
      </c>
      <c r="E224" s="153" t="s">
        <v>520</v>
      </c>
      <c r="F224" s="154"/>
      <c r="G224" s="155" t="s">
        <v>974</v>
      </c>
    </row>
    <row r="225" spans="2:7" ht="14.45" customHeight="1" x14ac:dyDescent="0.2">
      <c r="B225" s="147" t="s">
        <v>1274</v>
      </c>
      <c r="C225" s="148" t="s">
        <v>1263</v>
      </c>
      <c r="D225" s="156" t="s">
        <v>2155</v>
      </c>
      <c r="E225" s="157" t="s">
        <v>521</v>
      </c>
      <c r="F225" s="158"/>
      <c r="G225" s="159" t="s">
        <v>975</v>
      </c>
    </row>
    <row r="226" spans="2:7" ht="14.45" customHeight="1" x14ac:dyDescent="0.2">
      <c r="B226" s="147" t="s">
        <v>1274</v>
      </c>
      <c r="C226" s="148" t="s">
        <v>1263</v>
      </c>
      <c r="D226" s="149" t="s">
        <v>2155</v>
      </c>
      <c r="E226" s="150" t="s">
        <v>522</v>
      </c>
      <c r="F226" s="151"/>
      <c r="G226" s="65" t="s">
        <v>754</v>
      </c>
    </row>
    <row r="227" spans="2:7" ht="14.45" customHeight="1" x14ac:dyDescent="0.2">
      <c r="B227" s="147" t="s">
        <v>1274</v>
      </c>
      <c r="C227" s="148" t="s">
        <v>1263</v>
      </c>
      <c r="D227" s="149" t="s">
        <v>2155</v>
      </c>
      <c r="E227" s="150" t="s">
        <v>523</v>
      </c>
      <c r="F227" s="151"/>
      <c r="G227" s="65" t="s">
        <v>755</v>
      </c>
    </row>
    <row r="228" spans="2:7" ht="14.45" customHeight="1" x14ac:dyDescent="0.2">
      <c r="B228" s="147" t="s">
        <v>1274</v>
      </c>
      <c r="C228" s="148" t="s">
        <v>1263</v>
      </c>
      <c r="D228" s="149" t="s">
        <v>2155</v>
      </c>
      <c r="E228" s="150" t="s">
        <v>524</v>
      </c>
      <c r="F228" s="151"/>
      <c r="G228" s="65" t="s">
        <v>756</v>
      </c>
    </row>
    <row r="229" spans="2:7" ht="14.45" customHeight="1" x14ac:dyDescent="0.2">
      <c r="B229" s="147" t="s">
        <v>1274</v>
      </c>
      <c r="C229" s="148" t="s">
        <v>1263</v>
      </c>
      <c r="D229" s="149" t="s">
        <v>2155</v>
      </c>
      <c r="E229" s="150" t="s">
        <v>525</v>
      </c>
      <c r="F229" s="151"/>
      <c r="G229" s="65" t="s">
        <v>757</v>
      </c>
    </row>
    <row r="230" spans="2:7" ht="14.45" customHeight="1" x14ac:dyDescent="0.2">
      <c r="B230" s="147" t="s">
        <v>1274</v>
      </c>
      <c r="C230" s="148" t="s">
        <v>1263</v>
      </c>
      <c r="D230" s="149" t="s">
        <v>2155</v>
      </c>
      <c r="E230" s="150" t="s">
        <v>526</v>
      </c>
      <c r="F230" s="151"/>
      <c r="G230" s="65" t="s">
        <v>758</v>
      </c>
    </row>
    <row r="231" spans="2:7" ht="14.45" customHeight="1" x14ac:dyDescent="0.2">
      <c r="B231" s="147" t="s">
        <v>1274</v>
      </c>
      <c r="C231" s="148" t="s">
        <v>1263</v>
      </c>
      <c r="D231" s="152" t="s">
        <v>2155</v>
      </c>
      <c r="E231" s="153" t="s">
        <v>527</v>
      </c>
      <c r="F231" s="154"/>
      <c r="G231" s="155" t="s">
        <v>759</v>
      </c>
    </row>
    <row r="232" spans="2:7" ht="14.45" customHeight="1" x14ac:dyDescent="0.2">
      <c r="B232" s="147" t="s">
        <v>1274</v>
      </c>
      <c r="C232" s="148" t="s">
        <v>1263</v>
      </c>
      <c r="D232" s="156" t="s">
        <v>2143</v>
      </c>
      <c r="E232" s="157" t="s">
        <v>528</v>
      </c>
      <c r="F232" s="158"/>
      <c r="G232" s="159" t="s">
        <v>760</v>
      </c>
    </row>
    <row r="233" spans="2:7" ht="14.45" customHeight="1" x14ac:dyDescent="0.2">
      <c r="B233" s="147" t="s">
        <v>1274</v>
      </c>
      <c r="C233" s="148" t="s">
        <v>1263</v>
      </c>
      <c r="D233" s="149" t="s">
        <v>2143</v>
      </c>
      <c r="E233" s="150" t="s">
        <v>529</v>
      </c>
      <c r="F233" s="151"/>
      <c r="G233" s="65" t="s">
        <v>761</v>
      </c>
    </row>
    <row r="234" spans="2:7" ht="14.45" customHeight="1" x14ac:dyDescent="0.2">
      <c r="B234" s="147" t="s">
        <v>1274</v>
      </c>
      <c r="C234" s="148" t="s">
        <v>1263</v>
      </c>
      <c r="D234" s="149" t="s">
        <v>2143</v>
      </c>
      <c r="E234" s="150" t="s">
        <v>530</v>
      </c>
      <c r="F234" s="151"/>
      <c r="G234" s="65" t="s">
        <v>762</v>
      </c>
    </row>
    <row r="235" spans="2:7" ht="14.45" customHeight="1" x14ac:dyDescent="0.2">
      <c r="B235" s="147" t="s">
        <v>1274</v>
      </c>
      <c r="C235" s="148" t="s">
        <v>1263</v>
      </c>
      <c r="D235" s="149" t="s">
        <v>2143</v>
      </c>
      <c r="E235" s="150" t="s">
        <v>531</v>
      </c>
      <c r="F235" s="151"/>
      <c r="G235" s="65" t="s">
        <v>763</v>
      </c>
    </row>
    <row r="236" spans="2:7" ht="14.45" customHeight="1" x14ac:dyDescent="0.2">
      <c r="B236" s="147" t="s">
        <v>1274</v>
      </c>
      <c r="C236" s="148" t="s">
        <v>1263</v>
      </c>
      <c r="D236" s="149" t="s">
        <v>2143</v>
      </c>
      <c r="E236" s="150" t="s">
        <v>2124</v>
      </c>
      <c r="F236" s="151"/>
      <c r="G236" s="65" t="s">
        <v>2125</v>
      </c>
    </row>
    <row r="237" spans="2:7" ht="14.45" customHeight="1" x14ac:dyDescent="0.2">
      <c r="B237" s="147" t="s">
        <v>1274</v>
      </c>
      <c r="C237" s="148" t="s">
        <v>1263</v>
      </c>
      <c r="D237" s="149" t="s">
        <v>2143</v>
      </c>
      <c r="E237" s="150" t="s">
        <v>485</v>
      </c>
      <c r="F237" s="151"/>
      <c r="G237" s="65" t="s">
        <v>764</v>
      </c>
    </row>
    <row r="238" spans="2:7" ht="14.45" customHeight="1" x14ac:dyDescent="0.2">
      <c r="B238" s="147" t="s">
        <v>1274</v>
      </c>
      <c r="C238" s="148" t="s">
        <v>1263</v>
      </c>
      <c r="D238" s="149" t="s">
        <v>2143</v>
      </c>
      <c r="E238" s="150" t="s">
        <v>532</v>
      </c>
      <c r="F238" s="151"/>
      <c r="G238" s="65" t="s">
        <v>765</v>
      </c>
    </row>
    <row r="239" spans="2:7" ht="14.45" customHeight="1" x14ac:dyDescent="0.2">
      <c r="B239" s="147" t="s">
        <v>1274</v>
      </c>
      <c r="C239" s="148" t="s">
        <v>1263</v>
      </c>
      <c r="D239" s="149" t="s">
        <v>2143</v>
      </c>
      <c r="E239" s="150" t="s">
        <v>533</v>
      </c>
      <c r="F239" s="151"/>
      <c r="G239" s="65" t="s">
        <v>766</v>
      </c>
    </row>
    <row r="240" spans="2:7" ht="14.45" customHeight="1" x14ac:dyDescent="0.2">
      <c r="B240" s="147" t="s">
        <v>1274</v>
      </c>
      <c r="C240" s="148" t="s">
        <v>1263</v>
      </c>
      <c r="D240" s="152" t="s">
        <v>2143</v>
      </c>
      <c r="E240" s="153" t="s">
        <v>534</v>
      </c>
      <c r="F240" s="154"/>
      <c r="G240" s="155" t="s">
        <v>767</v>
      </c>
    </row>
    <row r="241" spans="2:7" ht="14.45" customHeight="1" x14ac:dyDescent="0.2">
      <c r="B241" s="147" t="s">
        <v>1274</v>
      </c>
      <c r="C241" s="148" t="s">
        <v>1263</v>
      </c>
      <c r="D241" s="156" t="s">
        <v>2145</v>
      </c>
      <c r="E241" s="157" t="s">
        <v>473</v>
      </c>
      <c r="F241" s="158"/>
      <c r="G241" s="159" t="s">
        <v>769</v>
      </c>
    </row>
    <row r="242" spans="2:7" ht="14.45" customHeight="1" x14ac:dyDescent="0.2">
      <c r="B242" s="147" t="s">
        <v>1274</v>
      </c>
      <c r="C242" s="148" t="s">
        <v>1263</v>
      </c>
      <c r="D242" s="149" t="s">
        <v>2145</v>
      </c>
      <c r="E242" s="150" t="s">
        <v>535</v>
      </c>
      <c r="F242" s="151"/>
      <c r="G242" s="65" t="s">
        <v>770</v>
      </c>
    </row>
    <row r="243" spans="2:7" ht="14.45" customHeight="1" x14ac:dyDescent="0.2">
      <c r="B243" s="147" t="s">
        <v>1274</v>
      </c>
      <c r="C243" s="148" t="s">
        <v>1263</v>
      </c>
      <c r="D243" s="149" t="s">
        <v>2145</v>
      </c>
      <c r="E243" s="150" t="s">
        <v>773</v>
      </c>
      <c r="F243" s="151"/>
      <c r="G243" s="65" t="s">
        <v>771</v>
      </c>
    </row>
    <row r="244" spans="2:7" ht="14.45" customHeight="1" x14ac:dyDescent="0.2">
      <c r="B244" s="147" t="s">
        <v>1274</v>
      </c>
      <c r="C244" s="148" t="s">
        <v>1263</v>
      </c>
      <c r="D244" s="149" t="s">
        <v>2145</v>
      </c>
      <c r="E244" s="150" t="s">
        <v>774</v>
      </c>
      <c r="F244" s="151"/>
      <c r="G244" s="65" t="s">
        <v>772</v>
      </c>
    </row>
    <row r="245" spans="2:7" ht="14.45" customHeight="1" x14ac:dyDescent="0.2">
      <c r="B245" s="147" t="s">
        <v>1274</v>
      </c>
      <c r="C245" s="148" t="s">
        <v>1263</v>
      </c>
      <c r="D245" s="149" t="s">
        <v>2145</v>
      </c>
      <c r="E245" s="150" t="s">
        <v>775</v>
      </c>
      <c r="F245" s="151"/>
      <c r="G245" s="65" t="s">
        <v>779</v>
      </c>
    </row>
    <row r="246" spans="2:7" ht="14.45" customHeight="1" x14ac:dyDescent="0.2">
      <c r="B246" s="147" t="s">
        <v>1274</v>
      </c>
      <c r="C246" s="148" t="s">
        <v>1263</v>
      </c>
      <c r="D246" s="149" t="s">
        <v>2145</v>
      </c>
      <c r="E246" s="150" t="s">
        <v>776</v>
      </c>
      <c r="F246" s="151"/>
      <c r="G246" s="65" t="s">
        <v>780</v>
      </c>
    </row>
    <row r="247" spans="2:7" ht="14.45" customHeight="1" x14ac:dyDescent="0.2">
      <c r="B247" s="147" t="s">
        <v>1274</v>
      </c>
      <c r="C247" s="148" t="s">
        <v>1263</v>
      </c>
      <c r="D247" s="149" t="s">
        <v>2145</v>
      </c>
      <c r="E247" s="150" t="s">
        <v>777</v>
      </c>
      <c r="F247" s="151"/>
      <c r="G247" s="65" t="s">
        <v>781</v>
      </c>
    </row>
    <row r="248" spans="2:7" ht="14.45" customHeight="1" x14ac:dyDescent="0.2">
      <c r="B248" s="147" t="s">
        <v>1274</v>
      </c>
      <c r="C248" s="148" t="s">
        <v>1263</v>
      </c>
      <c r="D248" s="152" t="s">
        <v>2145</v>
      </c>
      <c r="E248" s="153" t="s">
        <v>778</v>
      </c>
      <c r="F248" s="154"/>
      <c r="G248" s="155" t="s">
        <v>782</v>
      </c>
    </row>
    <row r="249" spans="2:7" ht="14.45" customHeight="1" x14ac:dyDescent="0.2">
      <c r="B249" s="147" t="s">
        <v>1274</v>
      </c>
      <c r="C249" s="148" t="s">
        <v>1263</v>
      </c>
      <c r="D249" s="156" t="s">
        <v>2149</v>
      </c>
      <c r="E249" s="157" t="s">
        <v>514</v>
      </c>
      <c r="F249" s="158"/>
      <c r="G249" s="159" t="s">
        <v>768</v>
      </c>
    </row>
    <row r="250" spans="2:7" ht="14.45" customHeight="1" x14ac:dyDescent="0.2">
      <c r="B250" s="147" t="s">
        <v>1274</v>
      </c>
      <c r="C250" s="148" t="s">
        <v>1263</v>
      </c>
      <c r="D250" s="149" t="s">
        <v>2149</v>
      </c>
      <c r="E250" s="150" t="s">
        <v>536</v>
      </c>
      <c r="F250" s="151"/>
      <c r="G250" s="65" t="s">
        <v>552</v>
      </c>
    </row>
    <row r="251" spans="2:7" ht="14.45" customHeight="1" x14ac:dyDescent="0.2">
      <c r="B251" s="147" t="s">
        <v>1274</v>
      </c>
      <c r="C251" s="148" t="s">
        <v>1263</v>
      </c>
      <c r="D251" s="149" t="s">
        <v>2149</v>
      </c>
      <c r="E251" s="150" t="s">
        <v>784</v>
      </c>
      <c r="F251" s="151"/>
      <c r="G251" s="65" t="s">
        <v>783</v>
      </c>
    </row>
    <row r="252" spans="2:7" ht="14.45" customHeight="1" x14ac:dyDescent="0.2">
      <c r="B252" s="147" t="s">
        <v>1274</v>
      </c>
      <c r="C252" s="148" t="s">
        <v>1263</v>
      </c>
      <c r="D252" s="149" t="s">
        <v>2149</v>
      </c>
      <c r="E252" s="150" t="s">
        <v>537</v>
      </c>
      <c r="F252" s="151"/>
      <c r="G252" s="65" t="s">
        <v>785</v>
      </c>
    </row>
    <row r="253" spans="2:7" ht="14.45" customHeight="1" x14ac:dyDescent="0.2">
      <c r="B253" s="147" t="s">
        <v>1274</v>
      </c>
      <c r="C253" s="148" t="s">
        <v>1263</v>
      </c>
      <c r="D253" s="149" t="s">
        <v>2149</v>
      </c>
      <c r="E253" s="150" t="s">
        <v>538</v>
      </c>
      <c r="F253" s="151"/>
      <c r="G253" s="65" t="s">
        <v>786</v>
      </c>
    </row>
    <row r="254" spans="2:7" ht="14.45" customHeight="1" x14ac:dyDescent="0.2">
      <c r="B254" s="147" t="s">
        <v>1274</v>
      </c>
      <c r="C254" s="148" t="s">
        <v>1263</v>
      </c>
      <c r="D254" s="149" t="s">
        <v>2149</v>
      </c>
      <c r="E254" s="150" t="s">
        <v>526</v>
      </c>
      <c r="F254" s="151"/>
      <c r="G254" s="65" t="s">
        <v>787</v>
      </c>
    </row>
    <row r="255" spans="2:7" ht="14.45" customHeight="1" x14ac:dyDescent="0.2">
      <c r="B255" s="147" t="s">
        <v>1274</v>
      </c>
      <c r="C255" s="148" t="s">
        <v>1263</v>
      </c>
      <c r="D255" s="149" t="s">
        <v>2149</v>
      </c>
      <c r="E255" s="150" t="s">
        <v>2123</v>
      </c>
      <c r="F255" s="151"/>
      <c r="G255" s="65" t="s">
        <v>2122</v>
      </c>
    </row>
    <row r="256" spans="2:7" ht="14.45" customHeight="1" x14ac:dyDescent="0.2">
      <c r="B256" s="147" t="s">
        <v>1274</v>
      </c>
      <c r="C256" s="148" t="s">
        <v>1263</v>
      </c>
      <c r="D256" s="149" t="s">
        <v>2149</v>
      </c>
      <c r="E256" s="150" t="s">
        <v>539</v>
      </c>
      <c r="F256" s="151"/>
      <c r="G256" s="65" t="s">
        <v>788</v>
      </c>
    </row>
    <row r="257" spans="2:7" ht="14.45" customHeight="1" x14ac:dyDescent="0.2">
      <c r="B257" s="147" t="s">
        <v>1274</v>
      </c>
      <c r="C257" s="148" t="s">
        <v>1263</v>
      </c>
      <c r="D257" s="149" t="s">
        <v>2149</v>
      </c>
      <c r="E257" s="150" t="s">
        <v>540</v>
      </c>
      <c r="F257" s="151"/>
      <c r="G257" s="65" t="s">
        <v>789</v>
      </c>
    </row>
    <row r="258" spans="2:7" ht="14.45" customHeight="1" x14ac:dyDescent="0.2">
      <c r="B258" s="147" t="s">
        <v>1274</v>
      </c>
      <c r="C258" s="148" t="s">
        <v>1263</v>
      </c>
      <c r="D258" s="152" t="s">
        <v>2149</v>
      </c>
      <c r="E258" s="153" t="s">
        <v>541</v>
      </c>
      <c r="F258" s="154"/>
      <c r="G258" s="155" t="s">
        <v>790</v>
      </c>
    </row>
    <row r="259" spans="2:7" ht="14.45" customHeight="1" x14ac:dyDescent="0.2">
      <c r="B259" s="147" t="s">
        <v>1274</v>
      </c>
      <c r="C259" s="148" t="s">
        <v>1263</v>
      </c>
      <c r="D259" s="50" t="s">
        <v>2139</v>
      </c>
      <c r="E259" s="157" t="s">
        <v>542</v>
      </c>
      <c r="F259" s="158"/>
      <c r="G259" s="159" t="s">
        <v>976</v>
      </c>
    </row>
    <row r="260" spans="2:7" ht="14.45" customHeight="1" x14ac:dyDescent="0.2">
      <c r="B260" s="147" t="s">
        <v>1274</v>
      </c>
      <c r="C260" s="148" t="s">
        <v>1263</v>
      </c>
      <c r="D260" s="167" t="s">
        <v>2139</v>
      </c>
      <c r="E260" s="150" t="s">
        <v>543</v>
      </c>
      <c r="F260" s="151"/>
      <c r="G260" s="65" t="s">
        <v>791</v>
      </c>
    </row>
    <row r="261" spans="2:7" ht="14.45" customHeight="1" x14ac:dyDescent="0.2">
      <c r="B261" s="147" t="s">
        <v>1274</v>
      </c>
      <c r="C261" s="148" t="s">
        <v>1263</v>
      </c>
      <c r="D261" s="167" t="s">
        <v>2139</v>
      </c>
      <c r="E261" s="150" t="s">
        <v>794</v>
      </c>
      <c r="F261" s="151"/>
      <c r="G261" s="65" t="s">
        <v>793</v>
      </c>
    </row>
    <row r="262" spans="2:7" ht="14.45" customHeight="1" x14ac:dyDescent="0.2">
      <c r="B262" s="147" t="s">
        <v>1274</v>
      </c>
      <c r="C262" s="148" t="s">
        <v>1263</v>
      </c>
      <c r="D262" s="167" t="s">
        <v>2139</v>
      </c>
      <c r="E262" s="150" t="s">
        <v>515</v>
      </c>
      <c r="F262" s="151"/>
      <c r="G262" s="65" t="s">
        <v>795</v>
      </c>
    </row>
    <row r="263" spans="2:7" ht="14.45" customHeight="1" x14ac:dyDescent="0.2">
      <c r="B263" s="147" t="s">
        <v>1274</v>
      </c>
      <c r="C263" s="148" t="s">
        <v>1263</v>
      </c>
      <c r="D263" s="167" t="s">
        <v>2139</v>
      </c>
      <c r="E263" s="150" t="s">
        <v>516</v>
      </c>
      <c r="F263" s="151"/>
      <c r="G263" s="65" t="s">
        <v>796</v>
      </c>
    </row>
    <row r="264" spans="2:7" ht="14.45" customHeight="1" x14ac:dyDescent="0.2">
      <c r="B264" s="147" t="s">
        <v>1274</v>
      </c>
      <c r="C264" s="148" t="s">
        <v>1263</v>
      </c>
      <c r="D264" s="167" t="s">
        <v>2139</v>
      </c>
      <c r="E264" s="150" t="s">
        <v>544</v>
      </c>
      <c r="F264" s="151"/>
      <c r="G264" s="65" t="s">
        <v>792</v>
      </c>
    </row>
    <row r="265" spans="2:7" ht="14.45" customHeight="1" x14ac:dyDescent="0.2">
      <c r="B265" s="147" t="s">
        <v>1274</v>
      </c>
      <c r="C265" s="148" t="s">
        <v>1263</v>
      </c>
      <c r="D265" s="167" t="s">
        <v>2139</v>
      </c>
      <c r="E265" s="150" t="s">
        <v>545</v>
      </c>
      <c r="F265" s="151"/>
      <c r="G265" s="65" t="s">
        <v>797</v>
      </c>
    </row>
    <row r="266" spans="2:7" ht="14.45" customHeight="1" x14ac:dyDescent="0.2">
      <c r="B266" s="147" t="s">
        <v>1274</v>
      </c>
      <c r="C266" s="148" t="s">
        <v>1263</v>
      </c>
      <c r="D266" s="167" t="s">
        <v>2139</v>
      </c>
      <c r="E266" s="150" t="s">
        <v>546</v>
      </c>
      <c r="F266" s="151"/>
      <c r="G266" s="65" t="s">
        <v>977</v>
      </c>
    </row>
    <row r="267" spans="2:7" ht="14.45" customHeight="1" x14ac:dyDescent="0.2">
      <c r="B267" s="147" t="s">
        <v>1274</v>
      </c>
      <c r="C267" s="148" t="s">
        <v>1263</v>
      </c>
      <c r="D267" s="167" t="s">
        <v>2139</v>
      </c>
      <c r="E267" s="150" t="s">
        <v>799</v>
      </c>
      <c r="F267" s="151"/>
      <c r="G267" s="65" t="s">
        <v>798</v>
      </c>
    </row>
    <row r="268" spans="2:7" ht="14.45" customHeight="1" x14ac:dyDescent="0.2">
      <c r="B268" s="147" t="s">
        <v>1274</v>
      </c>
      <c r="C268" s="148" t="s">
        <v>1263</v>
      </c>
      <c r="D268" s="167" t="s">
        <v>2139</v>
      </c>
      <c r="E268" s="150" t="s">
        <v>547</v>
      </c>
      <c r="F268" s="151"/>
      <c r="G268" s="65" t="s">
        <v>800</v>
      </c>
    </row>
    <row r="269" spans="2:7" ht="14.45" customHeight="1" x14ac:dyDescent="0.2">
      <c r="B269" s="147" t="s">
        <v>1274</v>
      </c>
      <c r="C269" s="148" t="s">
        <v>1263</v>
      </c>
      <c r="D269" s="167" t="s">
        <v>2139</v>
      </c>
      <c r="E269" s="150" t="s">
        <v>548</v>
      </c>
      <c r="F269" s="151"/>
      <c r="G269" s="65" t="s">
        <v>801</v>
      </c>
    </row>
    <row r="270" spans="2:7" ht="14.45" customHeight="1" x14ac:dyDescent="0.2">
      <c r="B270" s="147" t="s">
        <v>1274</v>
      </c>
      <c r="C270" s="148" t="s">
        <v>1263</v>
      </c>
      <c r="D270" s="167" t="s">
        <v>2139</v>
      </c>
      <c r="E270" s="150" t="s">
        <v>549</v>
      </c>
      <c r="F270" s="151"/>
      <c r="G270" s="65" t="s">
        <v>998</v>
      </c>
    </row>
    <row r="271" spans="2:7" ht="14.45" customHeight="1" x14ac:dyDescent="0.2">
      <c r="B271" s="147" t="s">
        <v>1274</v>
      </c>
      <c r="C271" s="148" t="s">
        <v>1263</v>
      </c>
      <c r="D271" s="167" t="s">
        <v>2139</v>
      </c>
      <c r="E271" s="150" t="s">
        <v>550</v>
      </c>
      <c r="F271" s="151"/>
      <c r="G271" s="65" t="s">
        <v>802</v>
      </c>
    </row>
    <row r="272" spans="2:7" ht="14.45" customHeight="1" x14ac:dyDescent="0.2">
      <c r="B272" s="147" t="s">
        <v>1274</v>
      </c>
      <c r="C272" s="148" t="s">
        <v>1263</v>
      </c>
      <c r="D272" s="167" t="s">
        <v>2139</v>
      </c>
      <c r="E272" s="150" t="s">
        <v>551</v>
      </c>
      <c r="F272" s="151"/>
      <c r="G272" s="65" t="s">
        <v>803</v>
      </c>
    </row>
    <row r="273" spans="2:7" ht="14.45" customHeight="1" thickBot="1" x14ac:dyDescent="0.25">
      <c r="B273" s="166" t="s">
        <v>1274</v>
      </c>
      <c r="C273" s="160" t="s">
        <v>1263</v>
      </c>
      <c r="D273" s="168" t="s">
        <v>2139</v>
      </c>
      <c r="E273" s="153" t="s">
        <v>804</v>
      </c>
      <c r="F273" s="154"/>
      <c r="G273" s="155" t="s">
        <v>805</v>
      </c>
    </row>
    <row r="274" spans="2:7" ht="14.45" customHeight="1" x14ac:dyDescent="0.2">
      <c r="B274" s="141" t="s">
        <v>1333</v>
      </c>
      <c r="C274" s="142" t="s">
        <v>1266</v>
      </c>
      <c r="D274" s="143" t="s">
        <v>2206</v>
      </c>
      <c r="E274" s="144" t="s">
        <v>554</v>
      </c>
      <c r="F274" s="145"/>
      <c r="G274" s="146" t="s">
        <v>806</v>
      </c>
    </row>
    <row r="275" spans="2:7" ht="14.45" customHeight="1" x14ac:dyDescent="0.2">
      <c r="B275" s="147" t="s">
        <v>1275</v>
      </c>
      <c r="C275" s="148" t="s">
        <v>1265</v>
      </c>
      <c r="D275" s="149" t="s">
        <v>2206</v>
      </c>
      <c r="E275" s="150" t="s">
        <v>555</v>
      </c>
      <c r="F275" s="151"/>
      <c r="G275" s="65" t="s">
        <v>807</v>
      </c>
    </row>
    <row r="276" spans="2:7" ht="14.45" customHeight="1" x14ac:dyDescent="0.2">
      <c r="B276" s="147" t="s">
        <v>1275</v>
      </c>
      <c r="C276" s="148" t="s">
        <v>1265</v>
      </c>
      <c r="D276" s="149" t="s">
        <v>2206</v>
      </c>
      <c r="E276" s="150" t="s">
        <v>556</v>
      </c>
      <c r="F276" s="151"/>
      <c r="G276" s="65" t="s">
        <v>808</v>
      </c>
    </row>
    <row r="277" spans="2:7" ht="14.45" customHeight="1" x14ac:dyDescent="0.2">
      <c r="B277" s="147" t="s">
        <v>1275</v>
      </c>
      <c r="C277" s="148" t="s">
        <v>1265</v>
      </c>
      <c r="D277" s="149" t="s">
        <v>2206</v>
      </c>
      <c r="E277" s="150" t="s">
        <v>557</v>
      </c>
      <c r="F277" s="151"/>
      <c r="G277" s="65" t="s">
        <v>809</v>
      </c>
    </row>
    <row r="278" spans="2:7" ht="14.45" customHeight="1" x14ac:dyDescent="0.2">
      <c r="B278" s="147" t="s">
        <v>1275</v>
      </c>
      <c r="C278" s="148" t="s">
        <v>1265</v>
      </c>
      <c r="D278" s="149" t="s">
        <v>2206</v>
      </c>
      <c r="E278" s="150" t="s">
        <v>558</v>
      </c>
      <c r="F278" s="151"/>
      <c r="G278" s="65" t="s">
        <v>810</v>
      </c>
    </row>
    <row r="279" spans="2:7" ht="14.45" customHeight="1" x14ac:dyDescent="0.2">
      <c r="B279" s="147" t="s">
        <v>1275</v>
      </c>
      <c r="C279" s="148" t="s">
        <v>1265</v>
      </c>
      <c r="D279" s="149" t="s">
        <v>2206</v>
      </c>
      <c r="E279" s="150" t="s">
        <v>559</v>
      </c>
      <c r="F279" s="151"/>
      <c r="G279" s="65" t="s">
        <v>811</v>
      </c>
    </row>
    <row r="280" spans="2:7" ht="14.45" customHeight="1" x14ac:dyDescent="0.2">
      <c r="B280" s="147" t="s">
        <v>1275</v>
      </c>
      <c r="C280" s="148" t="s">
        <v>1265</v>
      </c>
      <c r="D280" s="149" t="s">
        <v>2206</v>
      </c>
      <c r="E280" s="150" t="s">
        <v>560</v>
      </c>
      <c r="F280" s="151"/>
      <c r="G280" s="65" t="s">
        <v>812</v>
      </c>
    </row>
    <row r="281" spans="2:7" ht="14.45" customHeight="1" x14ac:dyDescent="0.2">
      <c r="B281" s="147" t="s">
        <v>1275</v>
      </c>
      <c r="C281" s="148" t="s">
        <v>1265</v>
      </c>
      <c r="D281" s="152" t="s">
        <v>2206</v>
      </c>
      <c r="E281" s="153" t="s">
        <v>561</v>
      </c>
      <c r="F281" s="154"/>
      <c r="G281" s="155" t="s">
        <v>813</v>
      </c>
    </row>
    <row r="282" spans="2:7" ht="14.45" customHeight="1" x14ac:dyDescent="0.2">
      <c r="B282" s="147" t="s">
        <v>1275</v>
      </c>
      <c r="C282" s="148" t="s">
        <v>1265</v>
      </c>
      <c r="D282" s="156" t="s">
        <v>2207</v>
      </c>
      <c r="E282" s="157" t="s">
        <v>562</v>
      </c>
      <c r="F282" s="158"/>
      <c r="G282" s="159" t="s">
        <v>814</v>
      </c>
    </row>
    <row r="283" spans="2:7" ht="14.45" customHeight="1" thickBot="1" x14ac:dyDescent="0.25">
      <c r="B283" s="147" t="s">
        <v>1275</v>
      </c>
      <c r="C283" s="160" t="s">
        <v>1265</v>
      </c>
      <c r="D283" s="149" t="s">
        <v>2207</v>
      </c>
      <c r="E283" s="153" t="s">
        <v>563</v>
      </c>
      <c r="F283" s="154"/>
      <c r="G283" s="155" t="s">
        <v>815</v>
      </c>
    </row>
    <row r="284" spans="2:7" ht="14.45" customHeight="1" x14ac:dyDescent="0.2">
      <c r="B284" s="147" t="s">
        <v>1275</v>
      </c>
      <c r="C284" s="142" t="s">
        <v>1280</v>
      </c>
      <c r="D284" s="143" t="s">
        <v>2156</v>
      </c>
      <c r="E284" s="144" t="s">
        <v>555</v>
      </c>
      <c r="F284" s="145"/>
      <c r="G284" s="146" t="s">
        <v>816</v>
      </c>
    </row>
    <row r="285" spans="2:7" ht="14.45" customHeight="1" x14ac:dyDescent="0.2">
      <c r="B285" s="147" t="s">
        <v>1275</v>
      </c>
      <c r="C285" s="148" t="s">
        <v>1279</v>
      </c>
      <c r="D285" s="149" t="s">
        <v>2156</v>
      </c>
      <c r="E285" s="150" t="s">
        <v>564</v>
      </c>
      <c r="F285" s="151"/>
      <c r="G285" s="65" t="s">
        <v>817</v>
      </c>
    </row>
    <row r="286" spans="2:7" ht="14.45" customHeight="1" x14ac:dyDescent="0.2">
      <c r="B286" s="147" t="s">
        <v>1275</v>
      </c>
      <c r="C286" s="148" t="s">
        <v>1279</v>
      </c>
      <c r="D286" s="152" t="s">
        <v>2156</v>
      </c>
      <c r="E286" s="153" t="s">
        <v>565</v>
      </c>
      <c r="F286" s="154"/>
      <c r="G286" s="155" t="s">
        <v>818</v>
      </c>
    </row>
    <row r="287" spans="2:7" ht="14.45" customHeight="1" x14ac:dyDescent="0.2">
      <c r="B287" s="147" t="s">
        <v>1275</v>
      </c>
      <c r="C287" s="148" t="s">
        <v>1279</v>
      </c>
      <c r="D287" s="156" t="s">
        <v>2159</v>
      </c>
      <c r="E287" s="157" t="s">
        <v>556</v>
      </c>
      <c r="F287" s="158"/>
      <c r="G287" s="159" t="s">
        <v>819</v>
      </c>
    </row>
    <row r="288" spans="2:7" ht="14.45" customHeight="1" x14ac:dyDescent="0.2">
      <c r="B288" s="147" t="s">
        <v>1275</v>
      </c>
      <c r="C288" s="148" t="s">
        <v>1279</v>
      </c>
      <c r="D288" s="152" t="s">
        <v>2159</v>
      </c>
      <c r="E288" s="153" t="s">
        <v>557</v>
      </c>
      <c r="F288" s="154"/>
      <c r="G288" s="155" t="s">
        <v>820</v>
      </c>
    </row>
    <row r="289" spans="2:7" ht="14.45" customHeight="1" x14ac:dyDescent="0.2">
      <c r="B289" s="147" t="s">
        <v>1275</v>
      </c>
      <c r="C289" s="148" t="s">
        <v>1279</v>
      </c>
      <c r="D289" s="156" t="s">
        <v>2158</v>
      </c>
      <c r="E289" s="157" t="s">
        <v>566</v>
      </c>
      <c r="F289" s="158"/>
      <c r="G289" s="159" t="s">
        <v>821</v>
      </c>
    </row>
    <row r="290" spans="2:7" ht="14.45" customHeight="1" x14ac:dyDescent="0.2">
      <c r="B290" s="147" t="s">
        <v>1275</v>
      </c>
      <c r="C290" s="148" t="s">
        <v>1279</v>
      </c>
      <c r="D290" s="149" t="s">
        <v>2158</v>
      </c>
      <c r="E290" s="150" t="s">
        <v>567</v>
      </c>
      <c r="F290" s="151"/>
      <c r="G290" s="65" t="s">
        <v>822</v>
      </c>
    </row>
    <row r="291" spans="2:7" ht="14.45" customHeight="1" thickBot="1" x14ac:dyDescent="0.25">
      <c r="B291" s="147" t="s">
        <v>1275</v>
      </c>
      <c r="C291" s="148" t="s">
        <v>1279</v>
      </c>
      <c r="D291" s="149" t="s">
        <v>2158</v>
      </c>
      <c r="E291" s="153" t="s">
        <v>571</v>
      </c>
      <c r="F291" s="154"/>
      <c r="G291" s="155" t="s">
        <v>823</v>
      </c>
    </row>
    <row r="292" spans="2:7" ht="14.45" customHeight="1" x14ac:dyDescent="0.2">
      <c r="B292" s="147" t="s">
        <v>1275</v>
      </c>
      <c r="C292" s="142" t="s">
        <v>1282</v>
      </c>
      <c r="D292" s="143" t="s">
        <v>2192</v>
      </c>
      <c r="E292" s="144" t="s">
        <v>178</v>
      </c>
      <c r="F292" s="145"/>
      <c r="G292" s="146" t="s">
        <v>824</v>
      </c>
    </row>
    <row r="293" spans="2:7" ht="14.45" customHeight="1" x14ac:dyDescent="0.2">
      <c r="B293" s="147" t="s">
        <v>1275</v>
      </c>
      <c r="C293" s="148" t="s">
        <v>1281</v>
      </c>
      <c r="D293" s="149" t="s">
        <v>2192</v>
      </c>
      <c r="E293" s="150" t="s">
        <v>826</v>
      </c>
      <c r="F293" s="151"/>
      <c r="G293" s="65" t="s">
        <v>825</v>
      </c>
    </row>
    <row r="294" spans="2:7" ht="14.45" customHeight="1" x14ac:dyDescent="0.2">
      <c r="B294" s="147" t="s">
        <v>1275</v>
      </c>
      <c r="C294" s="148" t="s">
        <v>1281</v>
      </c>
      <c r="D294" s="149" t="s">
        <v>2192</v>
      </c>
      <c r="E294" s="150" t="s">
        <v>827</v>
      </c>
      <c r="F294" s="151"/>
      <c r="G294" s="65" t="s">
        <v>828</v>
      </c>
    </row>
    <row r="295" spans="2:7" ht="14.45" customHeight="1" x14ac:dyDescent="0.2">
      <c r="B295" s="147" t="s">
        <v>1275</v>
      </c>
      <c r="C295" s="148" t="s">
        <v>1281</v>
      </c>
      <c r="D295" s="149" t="s">
        <v>2192</v>
      </c>
      <c r="E295" s="150" t="s">
        <v>831</v>
      </c>
      <c r="F295" s="151"/>
      <c r="G295" s="65" t="s">
        <v>829</v>
      </c>
    </row>
    <row r="296" spans="2:7" ht="14.45" customHeight="1" x14ac:dyDescent="0.2">
      <c r="B296" s="147" t="s">
        <v>1275</v>
      </c>
      <c r="C296" s="148" t="s">
        <v>1281</v>
      </c>
      <c r="D296" s="149" t="s">
        <v>2192</v>
      </c>
      <c r="E296" s="150" t="s">
        <v>832</v>
      </c>
      <c r="F296" s="151"/>
      <c r="G296" s="65" t="s">
        <v>830</v>
      </c>
    </row>
    <row r="297" spans="2:7" ht="14.45" customHeight="1" x14ac:dyDescent="0.2">
      <c r="B297" s="147" t="s">
        <v>1275</v>
      </c>
      <c r="C297" s="148" t="s">
        <v>1281</v>
      </c>
      <c r="D297" s="149" t="s">
        <v>2192</v>
      </c>
      <c r="E297" s="150" t="s">
        <v>573</v>
      </c>
      <c r="F297" s="151"/>
      <c r="G297" s="65" t="s">
        <v>833</v>
      </c>
    </row>
    <row r="298" spans="2:7" ht="14.45" customHeight="1" x14ac:dyDescent="0.2">
      <c r="B298" s="147" t="s">
        <v>1275</v>
      </c>
      <c r="C298" s="148" t="s">
        <v>1281</v>
      </c>
      <c r="D298" s="149" t="s">
        <v>2192</v>
      </c>
      <c r="E298" s="150" t="s">
        <v>572</v>
      </c>
      <c r="F298" s="151"/>
      <c r="G298" s="65" t="s">
        <v>834</v>
      </c>
    </row>
    <row r="299" spans="2:7" ht="14.45" customHeight="1" x14ac:dyDescent="0.2">
      <c r="B299" s="147" t="s">
        <v>1275</v>
      </c>
      <c r="C299" s="148" t="s">
        <v>1281</v>
      </c>
      <c r="D299" s="149" t="s">
        <v>2192</v>
      </c>
      <c r="E299" s="150" t="s">
        <v>574</v>
      </c>
      <c r="F299" s="151"/>
      <c r="G299" s="65" t="s">
        <v>835</v>
      </c>
    </row>
    <row r="300" spans="2:7" ht="14.45" customHeight="1" x14ac:dyDescent="0.2">
      <c r="B300" s="147" t="s">
        <v>1275</v>
      </c>
      <c r="C300" s="148" t="s">
        <v>1281</v>
      </c>
      <c r="D300" s="149" t="s">
        <v>2192</v>
      </c>
      <c r="E300" s="150" t="s">
        <v>575</v>
      </c>
      <c r="F300" s="151"/>
      <c r="G300" s="65" t="s">
        <v>836</v>
      </c>
    </row>
    <row r="301" spans="2:7" ht="14.45" customHeight="1" x14ac:dyDescent="0.2">
      <c r="B301" s="147" t="s">
        <v>1275</v>
      </c>
      <c r="C301" s="148" t="s">
        <v>1281</v>
      </c>
      <c r="D301" s="149" t="s">
        <v>2192</v>
      </c>
      <c r="E301" s="150" t="s">
        <v>576</v>
      </c>
      <c r="F301" s="151"/>
      <c r="G301" s="65" t="s">
        <v>837</v>
      </c>
    </row>
    <row r="302" spans="2:7" ht="14.45" customHeight="1" x14ac:dyDescent="0.2">
      <c r="B302" s="147" t="s">
        <v>1275</v>
      </c>
      <c r="C302" s="148" t="s">
        <v>1281</v>
      </c>
      <c r="D302" s="149" t="s">
        <v>2192</v>
      </c>
      <c r="E302" s="150" t="s">
        <v>559</v>
      </c>
      <c r="F302" s="151" t="s">
        <v>1325</v>
      </c>
      <c r="G302" s="65" t="s">
        <v>838</v>
      </c>
    </row>
    <row r="303" spans="2:7" ht="14.45" customHeight="1" x14ac:dyDescent="0.2">
      <c r="B303" s="147" t="s">
        <v>1275</v>
      </c>
      <c r="C303" s="148" t="s">
        <v>1281</v>
      </c>
      <c r="D303" s="149" t="s">
        <v>2192</v>
      </c>
      <c r="E303" s="150" t="s">
        <v>577</v>
      </c>
      <c r="F303" s="151"/>
      <c r="G303" s="65" t="s">
        <v>839</v>
      </c>
    </row>
    <row r="304" spans="2:7" ht="14.45" customHeight="1" x14ac:dyDescent="0.2">
      <c r="B304" s="147" t="s">
        <v>1275</v>
      </c>
      <c r="C304" s="148" t="s">
        <v>1281</v>
      </c>
      <c r="D304" s="149" t="s">
        <v>2192</v>
      </c>
      <c r="E304" s="150" t="s">
        <v>578</v>
      </c>
      <c r="F304" s="151"/>
      <c r="G304" s="65" t="s">
        <v>840</v>
      </c>
    </row>
    <row r="305" spans="2:7" ht="14.45" customHeight="1" x14ac:dyDescent="0.2">
      <c r="B305" s="147" t="s">
        <v>1275</v>
      </c>
      <c r="C305" s="148" t="s">
        <v>1281</v>
      </c>
      <c r="D305" s="152" t="s">
        <v>2192</v>
      </c>
      <c r="E305" s="153" t="s">
        <v>579</v>
      </c>
      <c r="F305" s="154"/>
      <c r="G305" s="155" t="s">
        <v>841</v>
      </c>
    </row>
    <row r="306" spans="2:7" ht="14.45" customHeight="1" x14ac:dyDescent="0.2">
      <c r="B306" s="147" t="s">
        <v>1275</v>
      </c>
      <c r="C306" s="148" t="s">
        <v>1281</v>
      </c>
      <c r="D306" s="156" t="s">
        <v>2157</v>
      </c>
      <c r="E306" s="157" t="s">
        <v>577</v>
      </c>
      <c r="F306" s="158"/>
      <c r="G306" s="159" t="s">
        <v>842</v>
      </c>
    </row>
    <row r="307" spans="2:7" ht="14.45" customHeight="1" x14ac:dyDescent="0.2">
      <c r="B307" s="147" t="s">
        <v>1275</v>
      </c>
      <c r="C307" s="148" t="s">
        <v>1281</v>
      </c>
      <c r="D307" s="149" t="s">
        <v>2157</v>
      </c>
      <c r="E307" s="150" t="s">
        <v>559</v>
      </c>
      <c r="F307" s="151" t="s">
        <v>1325</v>
      </c>
      <c r="G307" s="65" t="s">
        <v>843</v>
      </c>
    </row>
    <row r="308" spans="2:7" ht="14.45" customHeight="1" x14ac:dyDescent="0.2">
      <c r="B308" s="147"/>
      <c r="C308" s="148"/>
      <c r="D308" s="149"/>
      <c r="E308" s="150" t="s">
        <v>2879</v>
      </c>
      <c r="F308" s="151" t="s">
        <v>2880</v>
      </c>
      <c r="G308" s="65" t="s">
        <v>2881</v>
      </c>
    </row>
    <row r="309" spans="2:7" ht="14.45" customHeight="1" x14ac:dyDescent="0.2">
      <c r="B309" s="147" t="s">
        <v>1275</v>
      </c>
      <c r="C309" s="148" t="s">
        <v>1281</v>
      </c>
      <c r="D309" s="149" t="s">
        <v>2157</v>
      </c>
      <c r="E309" s="150" t="s">
        <v>244</v>
      </c>
      <c r="F309" s="151"/>
      <c r="G309" s="65" t="s">
        <v>581</v>
      </c>
    </row>
    <row r="310" spans="2:7" ht="14.45" customHeight="1" thickBot="1" x14ac:dyDescent="0.25">
      <c r="B310" s="166" t="s">
        <v>1275</v>
      </c>
      <c r="C310" s="160" t="s">
        <v>1281</v>
      </c>
      <c r="D310" s="161" t="s">
        <v>2157</v>
      </c>
      <c r="E310" s="153" t="s">
        <v>580</v>
      </c>
      <c r="F310" s="154"/>
      <c r="G310" s="155" t="s">
        <v>844</v>
      </c>
    </row>
    <row r="311" spans="2:7" ht="14.45" customHeight="1" x14ac:dyDescent="0.2">
      <c r="B311" s="141" t="s">
        <v>1334</v>
      </c>
      <c r="C311" s="142" t="s">
        <v>1284</v>
      </c>
      <c r="D311" s="143" t="s">
        <v>2160</v>
      </c>
      <c r="E311" s="144" t="s">
        <v>597</v>
      </c>
      <c r="F311" s="145"/>
      <c r="G311" s="146" t="s">
        <v>845</v>
      </c>
    </row>
    <row r="312" spans="2:7" ht="14.45" customHeight="1" x14ac:dyDescent="0.2">
      <c r="B312" s="147" t="s">
        <v>1276</v>
      </c>
      <c r="C312" s="148" t="s">
        <v>1283</v>
      </c>
      <c r="D312" s="149" t="s">
        <v>2160</v>
      </c>
      <c r="E312" s="150" t="s">
        <v>3120</v>
      </c>
      <c r="F312" s="151"/>
      <c r="G312" s="65" t="s">
        <v>846</v>
      </c>
    </row>
    <row r="313" spans="2:7" ht="14.45" customHeight="1" x14ac:dyDescent="0.2">
      <c r="B313" s="147" t="s">
        <v>1276</v>
      </c>
      <c r="C313" s="148" t="s">
        <v>1283</v>
      </c>
      <c r="D313" s="149" t="s">
        <v>2160</v>
      </c>
      <c r="E313" s="150" t="s">
        <v>3121</v>
      </c>
      <c r="F313" s="151"/>
      <c r="G313" s="65" t="s">
        <v>847</v>
      </c>
    </row>
    <row r="314" spans="2:7" ht="14.45" customHeight="1" x14ac:dyDescent="0.2">
      <c r="B314" s="147" t="s">
        <v>1276</v>
      </c>
      <c r="C314" s="148" t="s">
        <v>1283</v>
      </c>
      <c r="D314" s="149" t="s">
        <v>2160</v>
      </c>
      <c r="E314" s="150" t="s">
        <v>582</v>
      </c>
      <c r="F314" s="151"/>
      <c r="G314" s="65" t="s">
        <v>848</v>
      </c>
    </row>
    <row r="315" spans="2:7" ht="14.45" customHeight="1" x14ac:dyDescent="0.2">
      <c r="B315" s="147" t="s">
        <v>1276</v>
      </c>
      <c r="C315" s="148" t="s">
        <v>1283</v>
      </c>
      <c r="D315" s="149" t="s">
        <v>2160</v>
      </c>
      <c r="E315" s="150" t="s">
        <v>583</v>
      </c>
      <c r="F315" s="151"/>
      <c r="G315" s="65" t="s">
        <v>849</v>
      </c>
    </row>
    <row r="316" spans="2:7" ht="14.45" customHeight="1" x14ac:dyDescent="0.2">
      <c r="B316" s="147" t="s">
        <v>1276</v>
      </c>
      <c r="C316" s="148" t="s">
        <v>1283</v>
      </c>
      <c r="D316" s="149" t="s">
        <v>2160</v>
      </c>
      <c r="E316" s="150" t="s">
        <v>584</v>
      </c>
      <c r="F316" s="151"/>
      <c r="G316" s="65" t="s">
        <v>850</v>
      </c>
    </row>
    <row r="317" spans="2:7" ht="14.45" customHeight="1" x14ac:dyDescent="0.2">
      <c r="B317" s="147" t="s">
        <v>1276</v>
      </c>
      <c r="C317" s="148" t="s">
        <v>1283</v>
      </c>
      <c r="D317" s="152" t="s">
        <v>2160</v>
      </c>
      <c r="E317" s="153" t="s">
        <v>585</v>
      </c>
      <c r="F317" s="154"/>
      <c r="G317" s="155" t="s">
        <v>851</v>
      </c>
    </row>
    <row r="318" spans="2:7" ht="14.45" customHeight="1" x14ac:dyDescent="0.2">
      <c r="B318" s="147" t="s">
        <v>1276</v>
      </c>
      <c r="C318" s="148" t="s">
        <v>1283</v>
      </c>
      <c r="D318" s="156" t="s">
        <v>2162</v>
      </c>
      <c r="E318" s="157" t="s">
        <v>3117</v>
      </c>
      <c r="F318" s="158"/>
      <c r="G318" s="159" t="s">
        <v>852</v>
      </c>
    </row>
    <row r="319" spans="2:7" ht="14.45" customHeight="1" x14ac:dyDescent="0.2">
      <c r="B319" s="147" t="s">
        <v>1276</v>
      </c>
      <c r="C319" s="148" t="s">
        <v>1283</v>
      </c>
      <c r="D319" s="149" t="s">
        <v>2162</v>
      </c>
      <c r="E319" s="150" t="s">
        <v>586</v>
      </c>
      <c r="F319" s="151"/>
      <c r="G319" s="65" t="s">
        <v>978</v>
      </c>
    </row>
    <row r="320" spans="2:7" ht="14.45" customHeight="1" x14ac:dyDescent="0.2">
      <c r="B320" s="147" t="s">
        <v>1276</v>
      </c>
      <c r="C320" s="148" t="s">
        <v>1283</v>
      </c>
      <c r="D320" s="149" t="s">
        <v>2162</v>
      </c>
      <c r="E320" s="150" t="s">
        <v>587</v>
      </c>
      <c r="F320" s="151"/>
      <c r="G320" s="65" t="s">
        <v>979</v>
      </c>
    </row>
    <row r="321" spans="2:7" ht="14.45" customHeight="1" x14ac:dyDescent="0.2">
      <c r="B321" s="147" t="s">
        <v>1276</v>
      </c>
      <c r="C321" s="148" t="s">
        <v>1283</v>
      </c>
      <c r="D321" s="149" t="s">
        <v>2162</v>
      </c>
      <c r="E321" s="150" t="s">
        <v>588</v>
      </c>
      <c r="F321" s="151"/>
      <c r="G321" s="65" t="s">
        <v>853</v>
      </c>
    </row>
    <row r="322" spans="2:7" ht="14.45" customHeight="1" x14ac:dyDescent="0.2">
      <c r="B322" s="147" t="s">
        <v>1276</v>
      </c>
      <c r="C322" s="148" t="s">
        <v>1283</v>
      </c>
      <c r="D322" s="149" t="s">
        <v>2162</v>
      </c>
      <c r="E322" s="150" t="s">
        <v>589</v>
      </c>
      <c r="F322" s="151"/>
      <c r="G322" s="65" t="s">
        <v>854</v>
      </c>
    </row>
    <row r="323" spans="2:7" ht="14.45" customHeight="1" x14ac:dyDescent="0.2">
      <c r="B323" s="147" t="s">
        <v>1276</v>
      </c>
      <c r="C323" s="148" t="s">
        <v>1283</v>
      </c>
      <c r="D323" s="149" t="s">
        <v>2162</v>
      </c>
      <c r="E323" s="150" t="s">
        <v>590</v>
      </c>
      <c r="F323" s="151"/>
      <c r="G323" s="65" t="s">
        <v>855</v>
      </c>
    </row>
    <row r="324" spans="2:7" ht="14.45" customHeight="1" x14ac:dyDescent="0.2">
      <c r="B324" s="147" t="s">
        <v>1276</v>
      </c>
      <c r="C324" s="148" t="s">
        <v>1283</v>
      </c>
      <c r="D324" s="149" t="s">
        <v>2162</v>
      </c>
      <c r="E324" s="150" t="s">
        <v>427</v>
      </c>
      <c r="F324" s="151"/>
      <c r="G324" s="65" t="s">
        <v>856</v>
      </c>
    </row>
    <row r="325" spans="2:7" ht="14.45" customHeight="1" x14ac:dyDescent="0.2">
      <c r="B325" s="147" t="s">
        <v>1276</v>
      </c>
      <c r="C325" s="148" t="s">
        <v>1283</v>
      </c>
      <c r="D325" s="149" t="s">
        <v>2162</v>
      </c>
      <c r="E325" s="150" t="s">
        <v>591</v>
      </c>
      <c r="F325" s="151"/>
      <c r="G325" s="65" t="s">
        <v>857</v>
      </c>
    </row>
    <row r="326" spans="2:7" ht="14.45" customHeight="1" thickBot="1" x14ac:dyDescent="0.25">
      <c r="B326" s="147" t="s">
        <v>1276</v>
      </c>
      <c r="C326" s="148" t="s">
        <v>1283</v>
      </c>
      <c r="D326" s="149" t="s">
        <v>2162</v>
      </c>
      <c r="E326" s="153" t="s">
        <v>592</v>
      </c>
      <c r="F326" s="154"/>
      <c r="G326" s="155" t="s">
        <v>858</v>
      </c>
    </row>
    <row r="327" spans="2:7" ht="14.45" customHeight="1" x14ac:dyDescent="0.2">
      <c r="B327" s="147" t="s">
        <v>1276</v>
      </c>
      <c r="C327" s="142" t="s">
        <v>2295</v>
      </c>
      <c r="D327" s="143" t="s">
        <v>2161</v>
      </c>
      <c r="E327" s="144" t="s">
        <v>596</v>
      </c>
      <c r="F327" s="145"/>
      <c r="G327" s="146" t="s">
        <v>859</v>
      </c>
    </row>
    <row r="328" spans="2:7" ht="14.45" customHeight="1" x14ac:dyDescent="0.2">
      <c r="B328" s="147" t="s">
        <v>1276</v>
      </c>
      <c r="C328" s="148" t="s">
        <v>2294</v>
      </c>
      <c r="D328" s="149" t="s">
        <v>2161</v>
      </c>
      <c r="E328" s="150" t="s">
        <v>3122</v>
      </c>
      <c r="F328" s="151" t="s">
        <v>1325</v>
      </c>
      <c r="G328" s="65" t="s">
        <v>598</v>
      </c>
    </row>
    <row r="329" spans="2:7" ht="14.45" customHeight="1" x14ac:dyDescent="0.2">
      <c r="B329" s="147" t="s">
        <v>1276</v>
      </c>
      <c r="C329" s="148" t="s">
        <v>2294</v>
      </c>
      <c r="D329" s="149" t="s">
        <v>2161</v>
      </c>
      <c r="E329" s="150" t="s">
        <v>599</v>
      </c>
      <c r="F329" s="151"/>
      <c r="G329" s="65" t="s">
        <v>980</v>
      </c>
    </row>
    <row r="330" spans="2:7" ht="14.45" customHeight="1" x14ac:dyDescent="0.2">
      <c r="B330" s="147" t="s">
        <v>1276</v>
      </c>
      <c r="C330" s="148" t="s">
        <v>2294</v>
      </c>
      <c r="D330" s="149" t="s">
        <v>2161</v>
      </c>
      <c r="E330" s="150" t="s">
        <v>600</v>
      </c>
      <c r="F330" s="151"/>
      <c r="G330" s="65" t="s">
        <v>860</v>
      </c>
    </row>
    <row r="331" spans="2:7" ht="14.45" customHeight="1" x14ac:dyDescent="0.2">
      <c r="B331" s="147" t="s">
        <v>1276</v>
      </c>
      <c r="C331" s="148" t="s">
        <v>2294</v>
      </c>
      <c r="D331" s="149" t="s">
        <v>2161</v>
      </c>
      <c r="E331" s="150" t="s">
        <v>601</v>
      </c>
      <c r="F331" s="151"/>
      <c r="G331" s="65" t="s">
        <v>861</v>
      </c>
    </row>
    <row r="332" spans="2:7" ht="14.45" customHeight="1" x14ac:dyDescent="0.2">
      <c r="B332" s="147" t="s">
        <v>1276</v>
      </c>
      <c r="C332" s="148" t="s">
        <v>2294</v>
      </c>
      <c r="D332" s="149" t="s">
        <v>2161</v>
      </c>
      <c r="E332" s="150" t="s">
        <v>602</v>
      </c>
      <c r="F332" s="151"/>
      <c r="G332" s="65" t="s">
        <v>862</v>
      </c>
    </row>
    <row r="333" spans="2:7" ht="14.45" customHeight="1" x14ac:dyDescent="0.2">
      <c r="B333" s="147" t="s">
        <v>1276</v>
      </c>
      <c r="C333" s="148" t="s">
        <v>2294</v>
      </c>
      <c r="D333" s="149" t="s">
        <v>2161</v>
      </c>
      <c r="E333" s="150" t="s">
        <v>250</v>
      </c>
      <c r="F333" s="151"/>
      <c r="G333" s="65" t="s">
        <v>981</v>
      </c>
    </row>
    <row r="334" spans="2:7" ht="14.45" customHeight="1" x14ac:dyDescent="0.2">
      <c r="B334" s="147" t="s">
        <v>1276</v>
      </c>
      <c r="C334" s="148" t="s">
        <v>2294</v>
      </c>
      <c r="D334" s="149" t="s">
        <v>2161</v>
      </c>
      <c r="E334" s="150" t="s">
        <v>603</v>
      </c>
      <c r="F334" s="151"/>
      <c r="G334" s="65" t="s">
        <v>863</v>
      </c>
    </row>
    <row r="335" spans="2:7" ht="14.45" customHeight="1" x14ac:dyDescent="0.2">
      <c r="B335" s="147" t="s">
        <v>1276</v>
      </c>
      <c r="C335" s="148" t="s">
        <v>2294</v>
      </c>
      <c r="D335" s="149" t="s">
        <v>2161</v>
      </c>
      <c r="E335" s="150" t="s">
        <v>604</v>
      </c>
      <c r="F335" s="151"/>
      <c r="G335" s="65" t="s">
        <v>864</v>
      </c>
    </row>
    <row r="336" spans="2:7" ht="14.45" customHeight="1" x14ac:dyDescent="0.2">
      <c r="B336" s="147" t="s">
        <v>1276</v>
      </c>
      <c r="C336" s="148" t="s">
        <v>2294</v>
      </c>
      <c r="D336" s="149" t="s">
        <v>2161</v>
      </c>
      <c r="E336" s="150" t="s">
        <v>605</v>
      </c>
      <c r="F336" s="151"/>
      <c r="G336" s="65" t="s">
        <v>865</v>
      </c>
    </row>
    <row r="337" spans="2:7" ht="14.45" customHeight="1" x14ac:dyDescent="0.2">
      <c r="B337" s="147" t="s">
        <v>1276</v>
      </c>
      <c r="C337" s="148" t="s">
        <v>2294</v>
      </c>
      <c r="D337" s="149" t="s">
        <v>2161</v>
      </c>
      <c r="E337" s="150" t="s">
        <v>606</v>
      </c>
      <c r="F337" s="151"/>
      <c r="G337" s="65" t="s">
        <v>866</v>
      </c>
    </row>
    <row r="338" spans="2:7" ht="14.45" customHeight="1" x14ac:dyDescent="0.2">
      <c r="B338" s="147" t="s">
        <v>1276</v>
      </c>
      <c r="C338" s="148" t="s">
        <v>2294</v>
      </c>
      <c r="D338" s="149" t="s">
        <v>2161</v>
      </c>
      <c r="E338" s="150" t="s">
        <v>607</v>
      </c>
      <c r="F338" s="151"/>
      <c r="G338" s="65" t="s">
        <v>867</v>
      </c>
    </row>
    <row r="339" spans="2:7" ht="14.45" customHeight="1" x14ac:dyDescent="0.2">
      <c r="B339" s="147" t="s">
        <v>1276</v>
      </c>
      <c r="C339" s="148" t="s">
        <v>2294</v>
      </c>
      <c r="D339" s="149" t="s">
        <v>2161</v>
      </c>
      <c r="E339" s="150" t="s">
        <v>608</v>
      </c>
      <c r="F339" s="151"/>
      <c r="G339" s="65" t="s">
        <v>868</v>
      </c>
    </row>
    <row r="340" spans="2:7" ht="14.45" customHeight="1" x14ac:dyDescent="0.2">
      <c r="B340" s="147" t="s">
        <v>1276</v>
      </c>
      <c r="C340" s="148" t="s">
        <v>2294</v>
      </c>
      <c r="D340" s="149" t="s">
        <v>2161</v>
      </c>
      <c r="E340" s="150" t="s">
        <v>609</v>
      </c>
      <c r="F340" s="151"/>
      <c r="G340" s="65" t="s">
        <v>869</v>
      </c>
    </row>
    <row r="341" spans="2:7" ht="14.45" customHeight="1" x14ac:dyDescent="0.2">
      <c r="B341" s="147" t="s">
        <v>1276</v>
      </c>
      <c r="C341" s="148" t="s">
        <v>2294</v>
      </c>
      <c r="D341" s="149" t="s">
        <v>2161</v>
      </c>
      <c r="E341" s="150" t="s">
        <v>610</v>
      </c>
      <c r="F341" s="151"/>
      <c r="G341" s="65" t="s">
        <v>871</v>
      </c>
    </row>
    <row r="342" spans="2:7" ht="14.45" customHeight="1" x14ac:dyDescent="0.2">
      <c r="B342" s="147" t="s">
        <v>1276</v>
      </c>
      <c r="C342" s="148" t="s">
        <v>2294</v>
      </c>
      <c r="D342" s="149" t="s">
        <v>2161</v>
      </c>
      <c r="E342" s="150" t="s">
        <v>611</v>
      </c>
      <c r="F342" s="151"/>
      <c r="G342" s="65" t="s">
        <v>870</v>
      </c>
    </row>
    <row r="343" spans="2:7" ht="14.45" customHeight="1" x14ac:dyDescent="0.2">
      <c r="B343" s="147" t="s">
        <v>1276</v>
      </c>
      <c r="C343" s="148" t="s">
        <v>2294</v>
      </c>
      <c r="D343" s="149" t="s">
        <v>2161</v>
      </c>
      <c r="E343" s="150" t="s">
        <v>612</v>
      </c>
      <c r="F343" s="151"/>
      <c r="G343" s="65" t="s">
        <v>872</v>
      </c>
    </row>
    <row r="344" spans="2:7" ht="14.45" customHeight="1" x14ac:dyDescent="0.2">
      <c r="B344" s="147" t="s">
        <v>1276</v>
      </c>
      <c r="C344" s="148" t="s">
        <v>2294</v>
      </c>
      <c r="D344" s="149" t="s">
        <v>2161</v>
      </c>
      <c r="E344" s="150" t="s">
        <v>613</v>
      </c>
      <c r="F344" s="151"/>
      <c r="G344" s="65" t="s">
        <v>873</v>
      </c>
    </row>
    <row r="345" spans="2:7" ht="14.45" customHeight="1" x14ac:dyDescent="0.2">
      <c r="B345" s="147" t="s">
        <v>1276</v>
      </c>
      <c r="C345" s="148" t="s">
        <v>2294</v>
      </c>
      <c r="D345" s="152" t="s">
        <v>2161</v>
      </c>
      <c r="E345" s="153" t="s">
        <v>3123</v>
      </c>
      <c r="F345" s="154"/>
      <c r="G345" s="155" t="s">
        <v>874</v>
      </c>
    </row>
    <row r="346" spans="2:7" ht="14.45" customHeight="1" x14ac:dyDescent="0.2">
      <c r="B346" s="147" t="s">
        <v>1276</v>
      </c>
      <c r="C346" s="148" t="s">
        <v>2294</v>
      </c>
      <c r="D346" s="156" t="s">
        <v>2163</v>
      </c>
      <c r="E346" s="157" t="s">
        <v>3118</v>
      </c>
      <c r="F346" s="158"/>
      <c r="G346" s="159" t="s">
        <v>875</v>
      </c>
    </row>
    <row r="347" spans="2:7" ht="14.45" customHeight="1" x14ac:dyDescent="0.2">
      <c r="B347" s="147" t="s">
        <v>1276</v>
      </c>
      <c r="C347" s="148" t="s">
        <v>2294</v>
      </c>
      <c r="D347" s="149" t="s">
        <v>2163</v>
      </c>
      <c r="E347" s="150" t="s">
        <v>614</v>
      </c>
      <c r="F347" s="151"/>
      <c r="G347" s="65" t="s">
        <v>876</v>
      </c>
    </row>
    <row r="348" spans="2:7" ht="14.45" customHeight="1" x14ac:dyDescent="0.2">
      <c r="B348" s="147" t="s">
        <v>1276</v>
      </c>
      <c r="C348" s="148" t="s">
        <v>2294</v>
      </c>
      <c r="D348" s="149" t="s">
        <v>2163</v>
      </c>
      <c r="E348" s="150" t="s">
        <v>615</v>
      </c>
      <c r="F348" s="151"/>
      <c r="G348" s="65" t="s">
        <v>877</v>
      </c>
    </row>
    <row r="349" spans="2:7" ht="14.45" customHeight="1" x14ac:dyDescent="0.2">
      <c r="B349" s="147" t="s">
        <v>1276</v>
      </c>
      <c r="C349" s="148" t="s">
        <v>2294</v>
      </c>
      <c r="D349" s="149" t="s">
        <v>2163</v>
      </c>
      <c r="E349" s="150" t="s">
        <v>616</v>
      </c>
      <c r="F349" s="151"/>
      <c r="G349" s="65" t="s">
        <v>878</v>
      </c>
    </row>
    <row r="350" spans="2:7" ht="14.45" customHeight="1" x14ac:dyDescent="0.2">
      <c r="B350" s="147" t="s">
        <v>1276</v>
      </c>
      <c r="C350" s="148" t="s">
        <v>2294</v>
      </c>
      <c r="D350" s="149" t="s">
        <v>2163</v>
      </c>
      <c r="E350" s="150" t="s">
        <v>617</v>
      </c>
      <c r="F350" s="151"/>
      <c r="G350" s="65" t="s">
        <v>879</v>
      </c>
    </row>
    <row r="351" spans="2:7" ht="14.45" customHeight="1" x14ac:dyDescent="0.2">
      <c r="B351" s="147" t="s">
        <v>1276</v>
      </c>
      <c r="C351" s="148" t="s">
        <v>2294</v>
      </c>
      <c r="D351" s="149" t="s">
        <v>2163</v>
      </c>
      <c r="E351" s="150" t="s">
        <v>618</v>
      </c>
      <c r="F351" s="151"/>
      <c r="G351" s="65" t="s">
        <v>881</v>
      </c>
    </row>
    <row r="352" spans="2:7" ht="14.45" customHeight="1" x14ac:dyDescent="0.2">
      <c r="B352" s="147" t="s">
        <v>1276</v>
      </c>
      <c r="C352" s="148" t="s">
        <v>2294</v>
      </c>
      <c r="D352" s="152" t="s">
        <v>2163</v>
      </c>
      <c r="E352" s="153" t="s">
        <v>619</v>
      </c>
      <c r="F352" s="154"/>
      <c r="G352" s="155" t="s">
        <v>880</v>
      </c>
    </row>
    <row r="353" spans="2:7" ht="14.45" customHeight="1" x14ac:dyDescent="0.2">
      <c r="B353" s="147" t="s">
        <v>1276</v>
      </c>
      <c r="C353" s="148" t="s">
        <v>2294</v>
      </c>
      <c r="D353" s="156" t="s">
        <v>2164</v>
      </c>
      <c r="E353" s="157" t="s">
        <v>620</v>
      </c>
      <c r="F353" s="158"/>
      <c r="G353" s="159" t="s">
        <v>882</v>
      </c>
    </row>
    <row r="354" spans="2:7" ht="14.45" customHeight="1" x14ac:dyDescent="0.2">
      <c r="B354" s="147" t="s">
        <v>1276</v>
      </c>
      <c r="C354" s="148" t="s">
        <v>2294</v>
      </c>
      <c r="D354" s="149" t="s">
        <v>2164</v>
      </c>
      <c r="E354" s="150" t="s">
        <v>621</v>
      </c>
      <c r="F354" s="151"/>
      <c r="G354" s="65" t="s">
        <v>883</v>
      </c>
    </row>
    <row r="355" spans="2:7" ht="14.45" customHeight="1" x14ac:dyDescent="0.2">
      <c r="B355" s="147" t="s">
        <v>1276</v>
      </c>
      <c r="C355" s="148" t="s">
        <v>2294</v>
      </c>
      <c r="D355" s="149" t="s">
        <v>2164</v>
      </c>
      <c r="E355" s="150" t="s">
        <v>622</v>
      </c>
      <c r="F355" s="151"/>
      <c r="G355" s="65" t="s">
        <v>884</v>
      </c>
    </row>
    <row r="356" spans="2:7" ht="14.45" customHeight="1" x14ac:dyDescent="0.2">
      <c r="B356" s="147" t="s">
        <v>1276</v>
      </c>
      <c r="C356" s="148" t="s">
        <v>2294</v>
      </c>
      <c r="D356" s="149" t="s">
        <v>2164</v>
      </c>
      <c r="E356" s="150" t="s">
        <v>623</v>
      </c>
      <c r="F356" s="151"/>
      <c r="G356" s="65" t="s">
        <v>885</v>
      </c>
    </row>
    <row r="357" spans="2:7" ht="14.45" customHeight="1" x14ac:dyDescent="0.2">
      <c r="B357" s="147" t="s">
        <v>1276</v>
      </c>
      <c r="C357" s="148" t="s">
        <v>2294</v>
      </c>
      <c r="D357" s="149" t="s">
        <v>2164</v>
      </c>
      <c r="E357" s="150" t="s">
        <v>624</v>
      </c>
      <c r="F357" s="151"/>
      <c r="G357" s="65" t="s">
        <v>886</v>
      </c>
    </row>
    <row r="358" spans="2:7" ht="14.45" customHeight="1" thickBot="1" x14ac:dyDescent="0.25">
      <c r="B358" s="166" t="s">
        <v>1276</v>
      </c>
      <c r="C358" s="160" t="s">
        <v>2294</v>
      </c>
      <c r="D358" s="161" t="s">
        <v>2164</v>
      </c>
      <c r="E358" s="153" t="s">
        <v>625</v>
      </c>
      <c r="F358" s="154"/>
      <c r="G358" s="155" t="s">
        <v>887</v>
      </c>
    </row>
    <row r="359" spans="2:7" ht="14.45" customHeight="1" x14ac:dyDescent="0.2">
      <c r="B359" s="141" t="s">
        <v>2121</v>
      </c>
      <c r="C359" s="142" t="s">
        <v>1288</v>
      </c>
      <c r="D359" s="143" t="s">
        <v>2194</v>
      </c>
      <c r="E359" s="144" t="s">
        <v>626</v>
      </c>
      <c r="F359" s="145"/>
      <c r="G359" s="146" t="s">
        <v>888</v>
      </c>
    </row>
    <row r="360" spans="2:7" ht="14.45" customHeight="1" x14ac:dyDescent="0.2">
      <c r="B360" s="147" t="s">
        <v>1277</v>
      </c>
      <c r="C360" s="148" t="s">
        <v>1287</v>
      </c>
      <c r="D360" s="149" t="s">
        <v>2194</v>
      </c>
      <c r="E360" s="150" t="s">
        <v>627</v>
      </c>
      <c r="F360" s="151"/>
      <c r="G360" s="65" t="s">
        <v>889</v>
      </c>
    </row>
    <row r="361" spans="2:7" ht="14.45" customHeight="1" x14ac:dyDescent="0.2">
      <c r="B361" s="147" t="s">
        <v>1277</v>
      </c>
      <c r="C361" s="148" t="s">
        <v>1287</v>
      </c>
      <c r="D361" s="149" t="s">
        <v>2194</v>
      </c>
      <c r="E361" s="150" t="s">
        <v>628</v>
      </c>
      <c r="F361" s="151"/>
      <c r="G361" s="65" t="s">
        <v>890</v>
      </c>
    </row>
    <row r="362" spans="2:7" ht="14.45" customHeight="1" x14ac:dyDescent="0.2">
      <c r="B362" s="147" t="s">
        <v>1277</v>
      </c>
      <c r="C362" s="148" t="s">
        <v>1287</v>
      </c>
      <c r="D362" s="149" t="s">
        <v>2194</v>
      </c>
      <c r="E362" s="150" t="s">
        <v>629</v>
      </c>
      <c r="F362" s="151"/>
      <c r="G362" s="65" t="s">
        <v>891</v>
      </c>
    </row>
    <row r="363" spans="2:7" ht="14.45" customHeight="1" x14ac:dyDescent="0.2">
      <c r="B363" s="147" t="s">
        <v>1277</v>
      </c>
      <c r="C363" s="148" t="s">
        <v>1287</v>
      </c>
      <c r="D363" s="149" t="s">
        <v>2194</v>
      </c>
      <c r="E363" s="150" t="s">
        <v>415</v>
      </c>
      <c r="F363" s="151"/>
      <c r="G363" s="65" t="s">
        <v>982</v>
      </c>
    </row>
    <row r="364" spans="2:7" ht="14.45" customHeight="1" x14ac:dyDescent="0.2">
      <c r="B364" s="147" t="s">
        <v>1277</v>
      </c>
      <c r="C364" s="148" t="s">
        <v>1287</v>
      </c>
      <c r="D364" s="149" t="s">
        <v>2194</v>
      </c>
      <c r="E364" s="150" t="s">
        <v>630</v>
      </c>
      <c r="F364" s="151"/>
      <c r="G364" s="65" t="s">
        <v>892</v>
      </c>
    </row>
    <row r="365" spans="2:7" ht="14.45" customHeight="1" x14ac:dyDescent="0.2">
      <c r="B365" s="147" t="s">
        <v>1277</v>
      </c>
      <c r="C365" s="148" t="s">
        <v>1287</v>
      </c>
      <c r="D365" s="152" t="s">
        <v>2194</v>
      </c>
      <c r="E365" s="153" t="s">
        <v>631</v>
      </c>
      <c r="F365" s="154"/>
      <c r="G365" s="155" t="s">
        <v>983</v>
      </c>
    </row>
    <row r="366" spans="2:7" ht="14.45" customHeight="1" x14ac:dyDescent="0.2">
      <c r="B366" s="147" t="s">
        <v>1277</v>
      </c>
      <c r="C366" s="148" t="s">
        <v>1287</v>
      </c>
      <c r="D366" s="156" t="s">
        <v>2167</v>
      </c>
      <c r="E366" s="157" t="s">
        <v>632</v>
      </c>
      <c r="F366" s="158"/>
      <c r="G366" s="159" t="s">
        <v>893</v>
      </c>
    </row>
    <row r="367" spans="2:7" ht="14.45" customHeight="1" x14ac:dyDescent="0.2">
      <c r="B367" s="147" t="s">
        <v>1277</v>
      </c>
      <c r="C367" s="148" t="s">
        <v>1287</v>
      </c>
      <c r="D367" s="149" t="s">
        <v>2167</v>
      </c>
      <c r="E367" s="150" t="s">
        <v>633</v>
      </c>
      <c r="F367" s="151"/>
      <c r="G367" s="65" t="s">
        <v>894</v>
      </c>
    </row>
    <row r="368" spans="2:7" ht="14.45" customHeight="1" x14ac:dyDescent="0.2">
      <c r="B368" s="147" t="s">
        <v>1277</v>
      </c>
      <c r="C368" s="148" t="s">
        <v>1287</v>
      </c>
      <c r="D368" s="149" t="s">
        <v>2167</v>
      </c>
      <c r="E368" s="150" t="s">
        <v>634</v>
      </c>
      <c r="F368" s="151"/>
      <c r="G368" s="65" t="s">
        <v>895</v>
      </c>
    </row>
    <row r="369" spans="2:7" ht="14.45" customHeight="1" x14ac:dyDescent="0.2">
      <c r="B369" s="147" t="s">
        <v>1277</v>
      </c>
      <c r="C369" s="148" t="s">
        <v>1287</v>
      </c>
      <c r="D369" s="152" t="s">
        <v>2167</v>
      </c>
      <c r="E369" s="153" t="s">
        <v>635</v>
      </c>
      <c r="F369" s="154"/>
      <c r="G369" s="155" t="s">
        <v>896</v>
      </c>
    </row>
    <row r="370" spans="2:7" ht="14.45" customHeight="1" x14ac:dyDescent="0.2">
      <c r="B370" s="147" t="s">
        <v>1277</v>
      </c>
      <c r="C370" s="148" t="s">
        <v>1287</v>
      </c>
      <c r="D370" s="156" t="s">
        <v>2165</v>
      </c>
      <c r="E370" s="157" t="s">
        <v>364</v>
      </c>
      <c r="F370" s="158"/>
      <c r="G370" s="159" t="s">
        <v>636</v>
      </c>
    </row>
    <row r="371" spans="2:7" ht="14.45" customHeight="1" x14ac:dyDescent="0.2">
      <c r="B371" s="147" t="s">
        <v>1277</v>
      </c>
      <c r="C371" s="148" t="s">
        <v>1287</v>
      </c>
      <c r="D371" s="149" t="s">
        <v>2165</v>
      </c>
      <c r="E371" s="150" t="s">
        <v>363</v>
      </c>
      <c r="F371" s="151"/>
      <c r="G371" s="65" t="s">
        <v>897</v>
      </c>
    </row>
    <row r="372" spans="2:7" ht="14.45" customHeight="1" x14ac:dyDescent="0.2">
      <c r="B372" s="147" t="s">
        <v>1277</v>
      </c>
      <c r="C372" s="148" t="s">
        <v>1287</v>
      </c>
      <c r="D372" s="149" t="s">
        <v>2165</v>
      </c>
      <c r="E372" s="150" t="s">
        <v>370</v>
      </c>
      <c r="F372" s="151"/>
      <c r="G372" s="65" t="s">
        <v>898</v>
      </c>
    </row>
    <row r="373" spans="2:7" ht="14.45" customHeight="1" thickBot="1" x14ac:dyDescent="0.25">
      <c r="B373" s="147" t="s">
        <v>1277</v>
      </c>
      <c r="C373" s="160" t="s">
        <v>1287</v>
      </c>
      <c r="D373" s="161" t="s">
        <v>2165</v>
      </c>
      <c r="E373" s="153" t="s">
        <v>371</v>
      </c>
      <c r="F373" s="154"/>
      <c r="G373" s="155" t="s">
        <v>899</v>
      </c>
    </row>
    <row r="374" spans="2:7" ht="14.45" customHeight="1" x14ac:dyDescent="0.2">
      <c r="B374" s="147" t="s">
        <v>1277</v>
      </c>
      <c r="C374" s="142" t="s">
        <v>1290</v>
      </c>
      <c r="D374" s="143" t="s">
        <v>2196</v>
      </c>
      <c r="E374" s="144" t="s">
        <v>362</v>
      </c>
      <c r="F374" s="145"/>
      <c r="G374" s="146" t="s">
        <v>900</v>
      </c>
    </row>
    <row r="375" spans="2:7" ht="14.45" customHeight="1" x14ac:dyDescent="0.2">
      <c r="B375" s="147" t="s">
        <v>1277</v>
      </c>
      <c r="C375" s="148" t="s">
        <v>1289</v>
      </c>
      <c r="D375" s="149" t="s">
        <v>2196</v>
      </c>
      <c r="E375" s="150" t="s">
        <v>363</v>
      </c>
      <c r="F375" s="151"/>
      <c r="G375" s="65" t="s">
        <v>901</v>
      </c>
    </row>
    <row r="376" spans="2:7" ht="14.45" customHeight="1" x14ac:dyDescent="0.2">
      <c r="B376" s="147" t="s">
        <v>1277</v>
      </c>
      <c r="C376" s="148" t="s">
        <v>1289</v>
      </c>
      <c r="D376" s="149" t="s">
        <v>2196</v>
      </c>
      <c r="E376" s="150" t="s">
        <v>364</v>
      </c>
      <c r="F376" s="151"/>
      <c r="G376" s="65" t="s">
        <v>902</v>
      </c>
    </row>
    <row r="377" spans="2:7" ht="14.45" customHeight="1" x14ac:dyDescent="0.2">
      <c r="B377" s="147" t="s">
        <v>1277</v>
      </c>
      <c r="C377" s="148" t="s">
        <v>1289</v>
      </c>
      <c r="D377" s="149" t="s">
        <v>2196</v>
      </c>
      <c r="E377" s="150" t="s">
        <v>365</v>
      </c>
      <c r="F377" s="151"/>
      <c r="G377" s="65" t="s">
        <v>984</v>
      </c>
    </row>
    <row r="378" spans="2:7" ht="14.45" customHeight="1" x14ac:dyDescent="0.2">
      <c r="B378" s="147" t="s">
        <v>1277</v>
      </c>
      <c r="C378" s="148" t="s">
        <v>1289</v>
      </c>
      <c r="D378" s="149" t="s">
        <v>2196</v>
      </c>
      <c r="E378" s="150" t="s">
        <v>366</v>
      </c>
      <c r="F378" s="151"/>
      <c r="G378" s="65" t="s">
        <v>985</v>
      </c>
    </row>
    <row r="379" spans="2:7" ht="14.45" customHeight="1" x14ac:dyDescent="0.2">
      <c r="B379" s="147" t="s">
        <v>1277</v>
      </c>
      <c r="C379" s="148" t="s">
        <v>1289</v>
      </c>
      <c r="D379" s="152" t="s">
        <v>2196</v>
      </c>
      <c r="E379" s="153" t="s">
        <v>367</v>
      </c>
      <c r="F379" s="154"/>
      <c r="G379" s="155" t="s">
        <v>903</v>
      </c>
    </row>
    <row r="380" spans="2:7" ht="14.45" customHeight="1" x14ac:dyDescent="0.2">
      <c r="B380" s="147" t="s">
        <v>1277</v>
      </c>
      <c r="C380" s="148" t="s">
        <v>1289</v>
      </c>
      <c r="D380" s="156" t="s">
        <v>2166</v>
      </c>
      <c r="E380" s="157" t="s">
        <v>368</v>
      </c>
      <c r="F380" s="158"/>
      <c r="G380" s="159" t="s">
        <v>996</v>
      </c>
    </row>
    <row r="381" spans="2:7" ht="14.45" customHeight="1" x14ac:dyDescent="0.2">
      <c r="B381" s="147" t="s">
        <v>1277</v>
      </c>
      <c r="C381" s="148" t="s">
        <v>1289</v>
      </c>
      <c r="D381" s="149" t="s">
        <v>2166</v>
      </c>
      <c r="E381" s="150" t="s">
        <v>906</v>
      </c>
      <c r="F381" s="151"/>
      <c r="G381" s="174" t="s">
        <v>904</v>
      </c>
    </row>
    <row r="382" spans="2:7" ht="14.45" customHeight="1" x14ac:dyDescent="0.2">
      <c r="B382" s="147" t="s">
        <v>1277</v>
      </c>
      <c r="C382" s="148" t="s">
        <v>1289</v>
      </c>
      <c r="D382" s="152" t="s">
        <v>2166</v>
      </c>
      <c r="E382" s="153" t="s">
        <v>253</v>
      </c>
      <c r="F382" s="154"/>
      <c r="G382" s="155" t="s">
        <v>905</v>
      </c>
    </row>
    <row r="383" spans="2:7" ht="14.45" customHeight="1" x14ac:dyDescent="0.2">
      <c r="B383" s="147" t="s">
        <v>1277</v>
      </c>
      <c r="C383" s="148" t="s">
        <v>1289</v>
      </c>
      <c r="D383" s="156" t="s">
        <v>2168</v>
      </c>
      <c r="E383" s="157" t="s">
        <v>369</v>
      </c>
      <c r="F383" s="158"/>
      <c r="G383" s="159" t="s">
        <v>908</v>
      </c>
    </row>
    <row r="384" spans="2:7" ht="14.45" customHeight="1" x14ac:dyDescent="0.2">
      <c r="B384" s="147" t="s">
        <v>1277</v>
      </c>
      <c r="C384" s="148" t="s">
        <v>1289</v>
      </c>
      <c r="D384" s="149" t="s">
        <v>2168</v>
      </c>
      <c r="E384" s="150" t="s">
        <v>370</v>
      </c>
      <c r="F384" s="151"/>
      <c r="G384" s="65" t="s">
        <v>909</v>
      </c>
    </row>
    <row r="385" spans="2:7" ht="14.45" customHeight="1" x14ac:dyDescent="0.2">
      <c r="B385" s="147" t="s">
        <v>1277</v>
      </c>
      <c r="C385" s="148" t="s">
        <v>1289</v>
      </c>
      <c r="D385" s="152" t="s">
        <v>2168</v>
      </c>
      <c r="E385" s="153" t="s">
        <v>371</v>
      </c>
      <c r="F385" s="154"/>
      <c r="G385" s="155" t="s">
        <v>910</v>
      </c>
    </row>
    <row r="386" spans="2:7" ht="14.45" customHeight="1" x14ac:dyDescent="0.2">
      <c r="B386" s="147" t="s">
        <v>1277</v>
      </c>
      <c r="C386" s="148" t="s">
        <v>1289</v>
      </c>
      <c r="D386" s="156" t="s">
        <v>2169</v>
      </c>
      <c r="E386" s="157" t="s">
        <v>380</v>
      </c>
      <c r="F386" s="158"/>
      <c r="G386" s="159" t="s">
        <v>911</v>
      </c>
    </row>
    <row r="387" spans="2:7" ht="14.45" customHeight="1" x14ac:dyDescent="0.2">
      <c r="B387" s="147" t="s">
        <v>1277</v>
      </c>
      <c r="C387" s="148" t="s">
        <v>1289</v>
      </c>
      <c r="D387" s="149" t="s">
        <v>2169</v>
      </c>
      <c r="E387" s="150" t="s">
        <v>372</v>
      </c>
      <c r="F387" s="151"/>
      <c r="G387" s="65" t="s">
        <v>915</v>
      </c>
    </row>
    <row r="388" spans="2:7" ht="14.45" customHeight="1" x14ac:dyDescent="0.2">
      <c r="B388" s="147" t="s">
        <v>1277</v>
      </c>
      <c r="C388" s="148" t="s">
        <v>1289</v>
      </c>
      <c r="D388" s="149" t="s">
        <v>2169</v>
      </c>
      <c r="E388" s="150" t="s">
        <v>912</v>
      </c>
      <c r="F388" s="151"/>
      <c r="G388" s="65" t="s">
        <v>914</v>
      </c>
    </row>
    <row r="389" spans="2:7" ht="14.45" customHeight="1" x14ac:dyDescent="0.2">
      <c r="B389" s="147" t="s">
        <v>1277</v>
      </c>
      <c r="C389" s="148" t="s">
        <v>1289</v>
      </c>
      <c r="D389" s="149" t="s">
        <v>2169</v>
      </c>
      <c r="E389" s="150" t="s">
        <v>913</v>
      </c>
      <c r="F389" s="151"/>
      <c r="G389" s="65" t="s">
        <v>916</v>
      </c>
    </row>
    <row r="390" spans="2:7" ht="14.45" customHeight="1" x14ac:dyDescent="0.2">
      <c r="B390" s="147" t="s">
        <v>1277</v>
      </c>
      <c r="C390" s="148" t="s">
        <v>1289</v>
      </c>
      <c r="D390" s="149" t="s">
        <v>2169</v>
      </c>
      <c r="E390" s="150" t="s">
        <v>918</v>
      </c>
      <c r="F390" s="151"/>
      <c r="G390" s="65" t="s">
        <v>917</v>
      </c>
    </row>
    <row r="391" spans="2:7" ht="14.45" customHeight="1" thickBot="1" x14ac:dyDescent="0.25">
      <c r="B391" s="147" t="s">
        <v>1277</v>
      </c>
      <c r="C391" s="160" t="s">
        <v>1289</v>
      </c>
      <c r="D391" s="161" t="s">
        <v>2169</v>
      </c>
      <c r="E391" s="153" t="s">
        <v>373</v>
      </c>
      <c r="F391" s="154"/>
      <c r="G391" s="155" t="s">
        <v>919</v>
      </c>
    </row>
    <row r="392" spans="2:7" ht="14.45" customHeight="1" x14ac:dyDescent="0.2">
      <c r="B392" s="147" t="s">
        <v>1277</v>
      </c>
      <c r="C392" s="142" t="s">
        <v>1292</v>
      </c>
      <c r="D392" s="143" t="s">
        <v>2198</v>
      </c>
      <c r="E392" s="144" t="s">
        <v>374</v>
      </c>
      <c r="F392" s="145"/>
      <c r="G392" s="146" t="s">
        <v>920</v>
      </c>
    </row>
    <row r="393" spans="2:7" ht="14.45" customHeight="1" x14ac:dyDescent="0.2">
      <c r="B393" s="147" t="s">
        <v>1277</v>
      </c>
      <c r="C393" s="148" t="s">
        <v>1291</v>
      </c>
      <c r="D393" s="149" t="s">
        <v>2198</v>
      </c>
      <c r="E393" s="150" t="s">
        <v>375</v>
      </c>
      <c r="F393" s="151"/>
      <c r="G393" s="65" t="s">
        <v>376</v>
      </c>
    </row>
    <row r="394" spans="2:7" ht="14.45" customHeight="1" x14ac:dyDescent="0.2">
      <c r="B394" s="147" t="s">
        <v>1277</v>
      </c>
      <c r="C394" s="148" t="s">
        <v>1291</v>
      </c>
      <c r="D394" s="152" t="s">
        <v>2198</v>
      </c>
      <c r="E394" s="153" t="s">
        <v>377</v>
      </c>
      <c r="F394" s="154"/>
      <c r="G394" s="155" t="s">
        <v>933</v>
      </c>
    </row>
    <row r="395" spans="2:7" ht="14.45" customHeight="1" x14ac:dyDescent="0.2">
      <c r="B395" s="147" t="s">
        <v>1277</v>
      </c>
      <c r="C395" s="148" t="s">
        <v>1291</v>
      </c>
      <c r="D395" s="156" t="s">
        <v>2170</v>
      </c>
      <c r="E395" s="157" t="s">
        <v>378</v>
      </c>
      <c r="F395" s="158"/>
      <c r="G395" s="159" t="s">
        <v>921</v>
      </c>
    </row>
    <row r="396" spans="2:7" ht="14.45" customHeight="1" x14ac:dyDescent="0.2">
      <c r="B396" s="147" t="s">
        <v>1277</v>
      </c>
      <c r="C396" s="148" t="s">
        <v>1291</v>
      </c>
      <c r="D396" s="149" t="s">
        <v>2170</v>
      </c>
      <c r="E396" s="150" t="s">
        <v>922</v>
      </c>
      <c r="F396" s="151"/>
      <c r="G396" s="65" t="s">
        <v>924</v>
      </c>
    </row>
    <row r="397" spans="2:7" ht="14.45" customHeight="1" x14ac:dyDescent="0.2">
      <c r="B397" s="147" t="s">
        <v>1277</v>
      </c>
      <c r="C397" s="148" t="s">
        <v>1291</v>
      </c>
      <c r="D397" s="149" t="s">
        <v>2170</v>
      </c>
      <c r="E397" s="150" t="s">
        <v>923</v>
      </c>
      <c r="F397" s="151"/>
      <c r="G397" s="65" t="s">
        <v>925</v>
      </c>
    </row>
    <row r="398" spans="2:7" ht="14.45" customHeight="1" x14ac:dyDescent="0.2">
      <c r="B398" s="147" t="s">
        <v>1277</v>
      </c>
      <c r="C398" s="148" t="s">
        <v>1291</v>
      </c>
      <c r="D398" s="152" t="s">
        <v>2170</v>
      </c>
      <c r="E398" s="153" t="s">
        <v>379</v>
      </c>
      <c r="F398" s="154"/>
      <c r="G398" s="155" t="s">
        <v>926</v>
      </c>
    </row>
    <row r="399" spans="2:7" ht="14.45" customHeight="1" x14ac:dyDescent="0.2">
      <c r="B399" s="147" t="s">
        <v>1277</v>
      </c>
      <c r="C399" s="148" t="s">
        <v>1291</v>
      </c>
      <c r="D399" s="50" t="s">
        <v>2171</v>
      </c>
      <c r="E399" s="157" t="s">
        <v>375</v>
      </c>
      <c r="F399" s="158"/>
      <c r="G399" s="159" t="s">
        <v>986</v>
      </c>
    </row>
    <row r="400" spans="2:7" ht="14.45" customHeight="1" x14ac:dyDescent="0.2">
      <c r="B400" s="147" t="s">
        <v>1277</v>
      </c>
      <c r="C400" s="148" t="s">
        <v>1291</v>
      </c>
      <c r="D400" s="167" t="s">
        <v>2171</v>
      </c>
      <c r="E400" s="150" t="s">
        <v>928</v>
      </c>
      <c r="F400" s="151"/>
      <c r="G400" s="65" t="s">
        <v>927</v>
      </c>
    </row>
    <row r="401" spans="2:7" ht="14.45" customHeight="1" x14ac:dyDescent="0.2">
      <c r="B401" s="147" t="s">
        <v>1277</v>
      </c>
      <c r="C401" s="148" t="s">
        <v>1291</v>
      </c>
      <c r="D401" s="167" t="s">
        <v>2171</v>
      </c>
      <c r="E401" s="150" t="s">
        <v>929</v>
      </c>
      <c r="F401" s="151"/>
      <c r="G401" s="65" t="s">
        <v>987</v>
      </c>
    </row>
    <row r="402" spans="2:7" ht="14.45" customHeight="1" x14ac:dyDescent="0.2">
      <c r="B402" s="147" t="s">
        <v>1277</v>
      </c>
      <c r="C402" s="148" t="s">
        <v>1291</v>
      </c>
      <c r="D402" s="167" t="s">
        <v>2171</v>
      </c>
      <c r="E402" s="150" t="s">
        <v>930</v>
      </c>
      <c r="F402" s="151"/>
      <c r="G402" s="65" t="s">
        <v>931</v>
      </c>
    </row>
    <row r="403" spans="2:7" ht="14.45" customHeight="1" x14ac:dyDescent="0.2">
      <c r="B403" s="147" t="s">
        <v>1277</v>
      </c>
      <c r="C403" s="148" t="s">
        <v>1291</v>
      </c>
      <c r="D403" s="175" t="s">
        <v>2171</v>
      </c>
      <c r="E403" s="153" t="s">
        <v>377</v>
      </c>
      <c r="F403" s="154"/>
      <c r="G403" s="155" t="s">
        <v>932</v>
      </c>
    </row>
    <row r="404" spans="2:7" ht="14.45" customHeight="1" x14ac:dyDescent="0.2">
      <c r="B404" s="147" t="s">
        <v>1277</v>
      </c>
      <c r="C404" s="148" t="s">
        <v>1291</v>
      </c>
      <c r="D404" s="156" t="s">
        <v>2172</v>
      </c>
      <c r="E404" s="157" t="s">
        <v>934</v>
      </c>
      <c r="F404" s="158"/>
      <c r="G404" s="159" t="s">
        <v>936</v>
      </c>
    </row>
    <row r="405" spans="2:7" ht="14.45" customHeight="1" x14ac:dyDescent="0.2">
      <c r="B405" s="147" t="s">
        <v>1277</v>
      </c>
      <c r="C405" s="148" t="s">
        <v>1291</v>
      </c>
      <c r="D405" s="149" t="s">
        <v>2172</v>
      </c>
      <c r="E405" s="150" t="s">
        <v>935</v>
      </c>
      <c r="F405" s="151"/>
      <c r="G405" s="65" t="s">
        <v>937</v>
      </c>
    </row>
    <row r="406" spans="2:7" ht="14.45" customHeight="1" x14ac:dyDescent="0.2">
      <c r="B406" s="147" t="s">
        <v>1277</v>
      </c>
      <c r="C406" s="148" t="s">
        <v>1291</v>
      </c>
      <c r="D406" s="149" t="s">
        <v>2172</v>
      </c>
      <c r="E406" s="150" t="s">
        <v>381</v>
      </c>
      <c r="F406" s="151"/>
      <c r="G406" s="65" t="s">
        <v>938</v>
      </c>
    </row>
    <row r="407" spans="2:7" ht="14.45" customHeight="1" x14ac:dyDescent="0.2">
      <c r="B407" s="147" t="s">
        <v>1277</v>
      </c>
      <c r="C407" s="148" t="s">
        <v>1291</v>
      </c>
      <c r="D407" s="149" t="s">
        <v>2172</v>
      </c>
      <c r="E407" s="150" t="s">
        <v>382</v>
      </c>
      <c r="F407" s="151"/>
      <c r="G407" s="65" t="s">
        <v>939</v>
      </c>
    </row>
    <row r="408" spans="2:7" ht="14.45" customHeight="1" x14ac:dyDescent="0.2">
      <c r="B408" s="147" t="s">
        <v>1277</v>
      </c>
      <c r="C408" s="148" t="s">
        <v>1291</v>
      </c>
      <c r="D408" s="149" t="s">
        <v>2172</v>
      </c>
      <c r="E408" s="150" t="s">
        <v>383</v>
      </c>
      <c r="F408" s="151"/>
      <c r="G408" s="65" t="s">
        <v>940</v>
      </c>
    </row>
    <row r="409" spans="2:7" ht="14.45" customHeight="1" x14ac:dyDescent="0.2">
      <c r="B409" s="147" t="s">
        <v>1277</v>
      </c>
      <c r="C409" s="148" t="s">
        <v>1291</v>
      </c>
      <c r="D409" s="149" t="s">
        <v>2172</v>
      </c>
      <c r="E409" s="150" t="s">
        <v>384</v>
      </c>
      <c r="F409" s="151"/>
      <c r="G409" s="65" t="s">
        <v>942</v>
      </c>
    </row>
    <row r="410" spans="2:7" ht="14.45" customHeight="1" x14ac:dyDescent="0.2">
      <c r="B410" s="147" t="s">
        <v>1277</v>
      </c>
      <c r="C410" s="148" t="s">
        <v>1291</v>
      </c>
      <c r="D410" s="149" t="s">
        <v>2172</v>
      </c>
      <c r="E410" s="150" t="s">
        <v>385</v>
      </c>
      <c r="F410" s="151"/>
      <c r="G410" s="65" t="s">
        <v>941</v>
      </c>
    </row>
    <row r="411" spans="2:7" ht="14.45" customHeight="1" x14ac:dyDescent="0.2">
      <c r="B411" s="147" t="s">
        <v>1277</v>
      </c>
      <c r="C411" s="148" t="s">
        <v>1291</v>
      </c>
      <c r="D411" s="149" t="s">
        <v>2172</v>
      </c>
      <c r="E411" s="150" t="s">
        <v>386</v>
      </c>
      <c r="F411" s="151"/>
      <c r="G411" s="65" t="s">
        <v>943</v>
      </c>
    </row>
    <row r="412" spans="2:7" ht="14.45" customHeight="1" thickBot="1" x14ac:dyDescent="0.25">
      <c r="B412" s="147" t="s">
        <v>1277</v>
      </c>
      <c r="C412" s="160" t="s">
        <v>1291</v>
      </c>
      <c r="D412" s="161" t="s">
        <v>2172</v>
      </c>
      <c r="E412" s="153" t="s">
        <v>387</v>
      </c>
      <c r="F412" s="154"/>
      <c r="G412" s="155" t="s">
        <v>944</v>
      </c>
    </row>
    <row r="413" spans="2:7" ht="14.45" customHeight="1" x14ac:dyDescent="0.2">
      <c r="B413" s="147" t="s">
        <v>1277</v>
      </c>
      <c r="C413" s="142" t="s">
        <v>1294</v>
      </c>
      <c r="D413" s="143" t="s">
        <v>2200</v>
      </c>
      <c r="E413" s="144" t="s">
        <v>414</v>
      </c>
      <c r="F413" s="145"/>
      <c r="G413" s="146" t="s">
        <v>988</v>
      </c>
    </row>
    <row r="414" spans="2:7" ht="14.45" customHeight="1" x14ac:dyDescent="0.2">
      <c r="B414" s="147" t="s">
        <v>1277</v>
      </c>
      <c r="C414" s="148" t="s">
        <v>1293</v>
      </c>
      <c r="D414" s="149" t="s">
        <v>2200</v>
      </c>
      <c r="E414" s="150" t="s">
        <v>946</v>
      </c>
      <c r="F414" s="151"/>
      <c r="G414" s="65" t="s">
        <v>945</v>
      </c>
    </row>
    <row r="415" spans="2:7" ht="14.45" customHeight="1" x14ac:dyDescent="0.2">
      <c r="B415" s="147" t="s">
        <v>1277</v>
      </c>
      <c r="C415" s="148" t="s">
        <v>1293</v>
      </c>
      <c r="D415" s="149" t="s">
        <v>2200</v>
      </c>
      <c r="E415" s="150" t="s">
        <v>947</v>
      </c>
      <c r="F415" s="151"/>
      <c r="G415" s="65" t="s">
        <v>950</v>
      </c>
    </row>
    <row r="416" spans="2:7" ht="14.45" customHeight="1" x14ac:dyDescent="0.2">
      <c r="B416" s="147" t="s">
        <v>1277</v>
      </c>
      <c r="C416" s="148" t="s">
        <v>1293</v>
      </c>
      <c r="D416" s="149" t="s">
        <v>2200</v>
      </c>
      <c r="E416" s="150" t="s">
        <v>948</v>
      </c>
      <c r="F416" s="151"/>
      <c r="G416" s="65" t="s">
        <v>951</v>
      </c>
    </row>
    <row r="417" spans="2:7" ht="14.45" customHeight="1" x14ac:dyDescent="0.2">
      <c r="B417" s="147" t="s">
        <v>1277</v>
      </c>
      <c r="C417" s="148" t="s">
        <v>1293</v>
      </c>
      <c r="D417" s="152" t="s">
        <v>2200</v>
      </c>
      <c r="E417" s="153" t="s">
        <v>949</v>
      </c>
      <c r="F417" s="154"/>
      <c r="G417" s="155" t="s">
        <v>952</v>
      </c>
    </row>
    <row r="418" spans="2:7" ht="14.45" customHeight="1" x14ac:dyDescent="0.2">
      <c r="B418" s="147" t="s">
        <v>1277</v>
      </c>
      <c r="C418" s="148" t="s">
        <v>1293</v>
      </c>
      <c r="D418" s="156" t="s">
        <v>2173</v>
      </c>
      <c r="E418" s="157" t="s">
        <v>391</v>
      </c>
      <c r="F418" s="158"/>
      <c r="G418" s="159" t="s">
        <v>392</v>
      </c>
    </row>
    <row r="419" spans="2:7" ht="14.45" customHeight="1" thickBot="1" x14ac:dyDescent="0.25">
      <c r="B419" s="166" t="s">
        <v>1277</v>
      </c>
      <c r="C419" s="160" t="s">
        <v>1293</v>
      </c>
      <c r="D419" s="161" t="s">
        <v>2173</v>
      </c>
      <c r="E419" s="153" t="s">
        <v>390</v>
      </c>
      <c r="F419" s="154"/>
      <c r="G419" s="155" t="s">
        <v>393</v>
      </c>
    </row>
    <row r="420" spans="2:7" ht="14.45" customHeight="1" x14ac:dyDescent="0.2">
      <c r="B420" s="141" t="s">
        <v>1329</v>
      </c>
      <c r="C420" s="142" t="s">
        <v>1296</v>
      </c>
      <c r="D420" s="162" t="s">
        <v>2202</v>
      </c>
      <c r="E420" s="163" t="s">
        <v>415</v>
      </c>
      <c r="F420" s="164"/>
      <c r="G420" s="165" t="s">
        <v>953</v>
      </c>
    </row>
    <row r="421" spans="2:7" ht="14.45" customHeight="1" x14ac:dyDescent="0.2">
      <c r="B421" s="147" t="s">
        <v>1278</v>
      </c>
      <c r="C421" s="148" t="s">
        <v>1295</v>
      </c>
      <c r="D421" s="50" t="s">
        <v>2174</v>
      </c>
      <c r="E421" s="157" t="s">
        <v>958</v>
      </c>
      <c r="F421" s="158"/>
      <c r="G421" s="159" t="s">
        <v>957</v>
      </c>
    </row>
    <row r="422" spans="2:7" ht="14.45" customHeight="1" x14ac:dyDescent="0.2">
      <c r="B422" s="147" t="s">
        <v>1278</v>
      </c>
      <c r="C422" s="148" t="s">
        <v>1295</v>
      </c>
      <c r="D422" s="167" t="s">
        <v>2174</v>
      </c>
      <c r="E422" s="150" t="s">
        <v>959</v>
      </c>
      <c r="F422" s="151"/>
      <c r="G422" s="65" t="s">
        <v>960</v>
      </c>
    </row>
    <row r="423" spans="2:7" ht="14.45" customHeight="1" x14ac:dyDescent="0.2">
      <c r="B423" s="147" t="s">
        <v>1278</v>
      </c>
      <c r="C423" s="148" t="s">
        <v>1295</v>
      </c>
      <c r="D423" s="167" t="s">
        <v>2174</v>
      </c>
      <c r="E423" s="150" t="s">
        <v>417</v>
      </c>
      <c r="F423" s="151"/>
      <c r="G423" s="65" t="s">
        <v>954</v>
      </c>
    </row>
    <row r="424" spans="2:7" ht="14.45" customHeight="1" x14ac:dyDescent="0.2">
      <c r="B424" s="147" t="s">
        <v>1278</v>
      </c>
      <c r="C424" s="148" t="s">
        <v>1295</v>
      </c>
      <c r="D424" s="167" t="s">
        <v>2174</v>
      </c>
      <c r="E424" s="150" t="s">
        <v>416</v>
      </c>
      <c r="F424" s="151"/>
      <c r="G424" s="65" t="s">
        <v>955</v>
      </c>
    </row>
    <row r="425" spans="2:7" ht="14.45" customHeight="1" x14ac:dyDescent="0.2">
      <c r="B425" s="147" t="s">
        <v>1278</v>
      </c>
      <c r="C425" s="148" t="s">
        <v>1295</v>
      </c>
      <c r="D425" s="167" t="s">
        <v>2174</v>
      </c>
      <c r="E425" s="150" t="s">
        <v>418</v>
      </c>
      <c r="F425" s="151"/>
      <c r="G425" s="65" t="s">
        <v>956</v>
      </c>
    </row>
    <row r="426" spans="2:7" ht="14.45" customHeight="1" x14ac:dyDescent="0.2">
      <c r="B426" s="147" t="s">
        <v>1278</v>
      </c>
      <c r="C426" s="148" t="s">
        <v>1295</v>
      </c>
      <c r="D426" s="175" t="s">
        <v>2174</v>
      </c>
      <c r="E426" s="153" t="s">
        <v>961</v>
      </c>
      <c r="F426" s="154"/>
      <c r="G426" s="155" t="s">
        <v>989</v>
      </c>
    </row>
    <row r="427" spans="2:7" ht="14.45" customHeight="1" x14ac:dyDescent="0.2">
      <c r="B427" s="147" t="s">
        <v>1278</v>
      </c>
      <c r="C427" s="148" t="s">
        <v>1295</v>
      </c>
      <c r="D427" s="156" t="s">
        <v>2175</v>
      </c>
      <c r="E427" s="157" t="s">
        <v>419</v>
      </c>
      <c r="F427" s="158"/>
      <c r="G427" s="159" t="s">
        <v>990</v>
      </c>
    </row>
    <row r="428" spans="2:7" ht="14.45" customHeight="1" x14ac:dyDescent="0.2">
      <c r="B428" s="147" t="s">
        <v>1278</v>
      </c>
      <c r="C428" s="148" t="s">
        <v>1295</v>
      </c>
      <c r="D428" s="152" t="s">
        <v>2175</v>
      </c>
      <c r="E428" s="153" t="s">
        <v>420</v>
      </c>
      <c r="F428" s="154"/>
      <c r="G428" s="155" t="s">
        <v>997</v>
      </c>
    </row>
    <row r="429" spans="2:7" ht="14.45" customHeight="1" x14ac:dyDescent="0.2">
      <c r="B429" s="147" t="s">
        <v>1278</v>
      </c>
      <c r="C429" s="148" t="s">
        <v>1295</v>
      </c>
      <c r="D429" s="176" t="s">
        <v>2176</v>
      </c>
      <c r="E429" s="171"/>
      <c r="F429" s="172"/>
      <c r="G429" s="173"/>
    </row>
    <row r="430" spans="2:7" ht="14.45" customHeight="1" thickBot="1" x14ac:dyDescent="0.25">
      <c r="B430" s="166" t="s">
        <v>1278</v>
      </c>
      <c r="C430" s="160" t="s">
        <v>1295</v>
      </c>
      <c r="D430" s="177" t="s">
        <v>2177</v>
      </c>
      <c r="E430" s="178" t="s">
        <v>421</v>
      </c>
      <c r="F430" s="179"/>
      <c r="G430" s="180" t="s">
        <v>991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95" t="s">
        <v>222</v>
      </c>
      <c r="C2" s="396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2287</v>
      </c>
    </row>
    <row r="4" spans="2:12" ht="14.45" customHeight="1" thickBot="1" x14ac:dyDescent="0.25">
      <c r="B4" s="281" t="s">
        <v>2289</v>
      </c>
      <c r="C4" s="282" t="s">
        <v>2290</v>
      </c>
      <c r="D4" s="286" t="s">
        <v>2288</v>
      </c>
    </row>
    <row r="5" spans="2:12" ht="14.45" customHeight="1" x14ac:dyDescent="0.2">
      <c r="B5" s="14" t="s">
        <v>388</v>
      </c>
      <c r="C5" s="283" t="s">
        <v>224</v>
      </c>
      <c r="D5" s="287" t="s">
        <v>2292</v>
      </c>
    </row>
    <row r="6" spans="2:12" ht="14.45" customHeight="1" thickBot="1" x14ac:dyDescent="0.25">
      <c r="B6" s="72" t="s">
        <v>388</v>
      </c>
      <c r="C6" s="284" t="s">
        <v>389</v>
      </c>
      <c r="D6" s="288" t="s">
        <v>2291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5" activePane="bottomLeft" state="frozen"/>
      <selection pane="bottomLeft" activeCell="B29" sqref="B29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2130</v>
      </c>
    </row>
    <row r="3" spans="2:10" ht="14.45" customHeight="1" x14ac:dyDescent="0.2">
      <c r="B3" s="5" t="s">
        <v>360</v>
      </c>
      <c r="C3" s="131" t="s">
        <v>0</v>
      </c>
      <c r="D3" s="186" t="s">
        <v>1</v>
      </c>
      <c r="E3" s="382" t="s">
        <v>2222</v>
      </c>
      <c r="F3" s="381"/>
      <c r="G3" s="382" t="s">
        <v>2219</v>
      </c>
      <c r="H3" s="381"/>
      <c r="I3" s="187" t="s">
        <v>186</v>
      </c>
      <c r="J3" s="5" t="s">
        <v>2226</v>
      </c>
    </row>
    <row r="4" spans="2:10" ht="14.45" customHeight="1" thickBot="1" x14ac:dyDescent="0.25">
      <c r="B4" s="12"/>
      <c r="C4" s="188"/>
      <c r="D4" s="189"/>
      <c r="E4" s="190" t="s">
        <v>2220</v>
      </c>
      <c r="F4" s="190" t="s">
        <v>2221</v>
      </c>
      <c r="G4" s="190" t="s">
        <v>2220</v>
      </c>
      <c r="H4" s="190" t="s">
        <v>2221</v>
      </c>
      <c r="I4" s="191"/>
      <c r="J4" s="12"/>
    </row>
    <row r="5" spans="2:10" ht="14.45" customHeight="1" x14ac:dyDescent="0.2">
      <c r="B5" s="192" t="s">
        <v>2131</v>
      </c>
      <c r="C5" s="142" t="s">
        <v>1253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1022</v>
      </c>
    </row>
    <row r="6" spans="2:10" ht="14.45" customHeight="1" x14ac:dyDescent="0.2">
      <c r="B6" s="198" t="s">
        <v>2131</v>
      </c>
      <c r="C6" s="199" t="s">
        <v>1253</v>
      </c>
      <c r="D6" s="200" t="s">
        <v>2181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1023</v>
      </c>
    </row>
    <row r="7" spans="2:10" ht="14.45" customHeight="1" x14ac:dyDescent="0.2">
      <c r="B7" s="198" t="s">
        <v>2131</v>
      </c>
      <c r="C7" s="199" t="s">
        <v>1253</v>
      </c>
      <c r="D7" s="200" t="s">
        <v>2132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1024</v>
      </c>
    </row>
    <row r="8" spans="2:10" ht="14.45" customHeight="1" thickBot="1" x14ac:dyDescent="0.25">
      <c r="B8" s="198" t="s">
        <v>2131</v>
      </c>
      <c r="C8" s="208" t="s">
        <v>1253</v>
      </c>
      <c r="D8" s="209" t="s">
        <v>2204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2131</v>
      </c>
      <c r="C9" s="142" t="s">
        <v>1256</v>
      </c>
      <c r="D9" s="193" t="s">
        <v>2183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1025</v>
      </c>
    </row>
    <row r="10" spans="2:10" ht="14.45" customHeight="1" x14ac:dyDescent="0.2">
      <c r="B10" s="198" t="s">
        <v>2131</v>
      </c>
      <c r="C10" s="199" t="s">
        <v>1256</v>
      </c>
      <c r="D10" s="200" t="s">
        <v>2185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1026</v>
      </c>
    </row>
    <row r="11" spans="2:10" ht="14.45" customHeight="1" thickBot="1" x14ac:dyDescent="0.25">
      <c r="B11" s="198" t="s">
        <v>2131</v>
      </c>
      <c r="C11" s="208" t="s">
        <v>1256</v>
      </c>
      <c r="D11" s="209" t="s">
        <v>2204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2131</v>
      </c>
      <c r="C12" s="215" t="s">
        <v>2204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1267</v>
      </c>
      <c r="C13" s="142" t="s">
        <v>1257</v>
      </c>
      <c r="D13" s="193" t="s">
        <v>2187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1027</v>
      </c>
    </row>
    <row r="14" spans="2:10" ht="14.45" customHeight="1" x14ac:dyDescent="0.2">
      <c r="B14" s="198" t="s">
        <v>1267</v>
      </c>
      <c r="C14" s="199" t="s">
        <v>1257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1028</v>
      </c>
    </row>
    <row r="15" spans="2:10" ht="14.45" customHeight="1" x14ac:dyDescent="0.2">
      <c r="B15" s="198" t="s">
        <v>1267</v>
      </c>
      <c r="C15" s="199" t="s">
        <v>1257</v>
      </c>
      <c r="D15" s="200" t="s">
        <v>2134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3023</v>
      </c>
      <c r="J15" s="207" t="s">
        <v>1029</v>
      </c>
    </row>
    <row r="16" spans="2:10" ht="14.45" customHeight="1" thickBot="1" x14ac:dyDescent="0.25">
      <c r="B16" s="198" t="s">
        <v>1267</v>
      </c>
      <c r="C16" s="208" t="s">
        <v>1257</v>
      </c>
      <c r="D16" s="209" t="s">
        <v>2204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1267</v>
      </c>
      <c r="C17" s="142" t="s">
        <v>1259</v>
      </c>
      <c r="D17" s="193" t="s">
        <v>2135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1030</v>
      </c>
    </row>
    <row r="18" spans="2:10" ht="14.45" customHeight="1" x14ac:dyDescent="0.2">
      <c r="B18" s="198" t="s">
        <v>1267</v>
      </c>
      <c r="C18" s="199" t="s">
        <v>1259</v>
      </c>
      <c r="D18" s="200" t="s">
        <v>2133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3024</v>
      </c>
      <c r="J18" s="204" t="s">
        <v>1031</v>
      </c>
    </row>
    <row r="19" spans="2:10" ht="14.45" customHeight="1" x14ac:dyDescent="0.2">
      <c r="B19" s="198" t="s">
        <v>1267</v>
      </c>
      <c r="C19" s="199" t="s">
        <v>1259</v>
      </c>
      <c r="D19" s="200" t="s">
        <v>2136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1032</v>
      </c>
    </row>
    <row r="20" spans="2:10" ht="14.45" customHeight="1" thickBot="1" x14ac:dyDescent="0.25">
      <c r="B20" s="198" t="s">
        <v>1267</v>
      </c>
      <c r="C20" s="208" t="s">
        <v>1259</v>
      </c>
      <c r="D20" s="209" t="s">
        <v>2204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1267</v>
      </c>
      <c r="C21" s="215" t="s">
        <v>2204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1313</v>
      </c>
      <c r="C22" s="142" t="s">
        <v>1298</v>
      </c>
      <c r="D22" s="193" t="s">
        <v>2189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1065</v>
      </c>
    </row>
    <row r="23" spans="2:10" ht="14.45" customHeight="1" x14ac:dyDescent="0.2">
      <c r="B23" s="198" t="s">
        <v>1313</v>
      </c>
      <c r="C23" s="199" t="s">
        <v>1298</v>
      </c>
      <c r="D23" s="200" t="s">
        <v>2150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2228</v>
      </c>
    </row>
    <row r="24" spans="2:10" ht="14.45" customHeight="1" x14ac:dyDescent="0.2">
      <c r="B24" s="198" t="s">
        <v>1313</v>
      </c>
      <c r="C24" s="199" t="s">
        <v>1298</v>
      </c>
      <c r="D24" s="200" t="s">
        <v>2137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3025</v>
      </c>
      <c r="J24" s="204" t="s">
        <v>1066</v>
      </c>
    </row>
    <row r="25" spans="2:10" ht="14.45" customHeight="1" x14ac:dyDescent="0.2">
      <c r="B25" s="198" t="s">
        <v>1313</v>
      </c>
      <c r="C25" s="199" t="s">
        <v>1298</v>
      </c>
      <c r="D25" s="200" t="s">
        <v>2151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1067</v>
      </c>
    </row>
    <row r="26" spans="2:10" ht="14.45" customHeight="1" x14ac:dyDescent="0.2">
      <c r="B26" s="198" t="s">
        <v>1313</v>
      </c>
      <c r="C26" s="199" t="s">
        <v>1298</v>
      </c>
      <c r="D26" s="200" t="s">
        <v>2152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1068</v>
      </c>
    </row>
    <row r="27" spans="2:10" ht="14.45" customHeight="1" x14ac:dyDescent="0.2">
      <c r="B27" s="198" t="s">
        <v>1313</v>
      </c>
      <c r="C27" s="199" t="s">
        <v>1298</v>
      </c>
      <c r="D27" s="200" t="s">
        <v>2153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1069</v>
      </c>
    </row>
    <row r="28" spans="2:10" ht="14.45" customHeight="1" x14ac:dyDescent="0.2">
      <c r="B28" s="198" t="s">
        <v>1313</v>
      </c>
      <c r="C28" s="199" t="s">
        <v>1298</v>
      </c>
      <c r="D28" s="200" t="s">
        <v>2141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3026</v>
      </c>
      <c r="J28" s="204" t="s">
        <v>1070</v>
      </c>
    </row>
    <row r="29" spans="2:10" ht="14.45" customHeight="1" x14ac:dyDescent="0.2">
      <c r="B29" s="198" t="s">
        <v>1313</v>
      </c>
      <c r="C29" s="199" t="s">
        <v>1298</v>
      </c>
      <c r="D29" s="200" t="s">
        <v>2147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1071</v>
      </c>
    </row>
    <row r="30" spans="2:10" ht="14.45" customHeight="1" thickBot="1" x14ac:dyDescent="0.25">
      <c r="B30" s="198" t="s">
        <v>1313</v>
      </c>
      <c r="C30" s="208" t="s">
        <v>1298</v>
      </c>
      <c r="D30" s="209" t="s">
        <v>2204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1313</v>
      </c>
      <c r="C31" s="142" t="s">
        <v>1261</v>
      </c>
      <c r="D31" s="193" t="s">
        <v>2191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1072</v>
      </c>
    </row>
    <row r="32" spans="2:10" ht="14.45" customHeight="1" x14ac:dyDescent="0.2">
      <c r="B32" s="198" t="s">
        <v>1313</v>
      </c>
      <c r="C32" s="199" t="s">
        <v>1261</v>
      </c>
      <c r="D32" s="200" t="s">
        <v>2144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3027</v>
      </c>
      <c r="J32" s="204" t="s">
        <v>1073</v>
      </c>
    </row>
    <row r="33" spans="2:10" ht="14.45" customHeight="1" x14ac:dyDescent="0.2">
      <c r="B33" s="198" t="s">
        <v>1313</v>
      </c>
      <c r="C33" s="199" t="s">
        <v>1261</v>
      </c>
      <c r="D33" s="200" t="s">
        <v>2148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3028</v>
      </c>
      <c r="J33" s="204" t="s">
        <v>1074</v>
      </c>
    </row>
    <row r="34" spans="2:10" ht="14.45" customHeight="1" x14ac:dyDescent="0.2">
      <c r="B34" s="198" t="s">
        <v>1313</v>
      </c>
      <c r="C34" s="199" t="s">
        <v>1261</v>
      </c>
      <c r="D34" s="200" t="s">
        <v>2142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3029</v>
      </c>
      <c r="J34" s="204" t="s">
        <v>1075</v>
      </c>
    </row>
    <row r="35" spans="2:10" ht="14.45" customHeight="1" x14ac:dyDescent="0.2">
      <c r="B35" s="198"/>
      <c r="C35" s="199" t="s">
        <v>2229</v>
      </c>
      <c r="D35" s="200" t="s">
        <v>2227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1076</v>
      </c>
    </row>
    <row r="36" spans="2:10" ht="14.45" customHeight="1" x14ac:dyDescent="0.2">
      <c r="B36" s="198" t="s">
        <v>1313</v>
      </c>
      <c r="C36" s="199" t="s">
        <v>1261</v>
      </c>
      <c r="D36" s="200" t="s">
        <v>2146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3030</v>
      </c>
      <c r="J36" s="204" t="s">
        <v>1077</v>
      </c>
    </row>
    <row r="37" spans="2:10" ht="14.45" customHeight="1" x14ac:dyDescent="0.2">
      <c r="B37" s="198" t="s">
        <v>1313</v>
      </c>
      <c r="C37" s="199" t="s">
        <v>1261</v>
      </c>
      <c r="D37" s="200" t="s">
        <v>2140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3031</v>
      </c>
      <c r="J37" s="204" t="s">
        <v>1078</v>
      </c>
    </row>
    <row r="38" spans="2:10" ht="14.45" customHeight="1" x14ac:dyDescent="0.2">
      <c r="B38" s="198" t="s">
        <v>1313</v>
      </c>
      <c r="C38" s="199" t="s">
        <v>1261</v>
      </c>
      <c r="D38" s="200" t="s">
        <v>2154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1079</v>
      </c>
    </row>
    <row r="39" spans="2:10" ht="14.45" customHeight="1" thickBot="1" x14ac:dyDescent="0.25">
      <c r="B39" s="198" t="s">
        <v>1313</v>
      </c>
      <c r="C39" s="208" t="s">
        <v>1261</v>
      </c>
      <c r="D39" s="209" t="s">
        <v>2204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1313</v>
      </c>
      <c r="C40" s="142" t="s">
        <v>1263</v>
      </c>
      <c r="D40" s="193" t="s">
        <v>2138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1080</v>
      </c>
    </row>
    <row r="41" spans="2:10" ht="14.45" customHeight="1" x14ac:dyDescent="0.2">
      <c r="B41" s="198" t="s">
        <v>1313</v>
      </c>
      <c r="C41" s="199" t="s">
        <v>1263</v>
      </c>
      <c r="D41" s="200" t="s">
        <v>2155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1081</v>
      </c>
    </row>
    <row r="42" spans="2:10" ht="14.45" customHeight="1" x14ac:dyDescent="0.2">
      <c r="B42" s="198" t="s">
        <v>1313</v>
      </c>
      <c r="C42" s="199" t="s">
        <v>1263</v>
      </c>
      <c r="D42" s="200" t="s">
        <v>2143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3032</v>
      </c>
      <c r="J42" s="204" t="s">
        <v>1082</v>
      </c>
    </row>
    <row r="43" spans="2:10" ht="14.45" customHeight="1" x14ac:dyDescent="0.2">
      <c r="B43" s="198" t="s">
        <v>1313</v>
      </c>
      <c r="C43" s="199" t="s">
        <v>1263</v>
      </c>
      <c r="D43" s="200" t="s">
        <v>2145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3033</v>
      </c>
      <c r="J43" s="204" t="s">
        <v>1083</v>
      </c>
    </row>
    <row r="44" spans="2:10" ht="14.45" customHeight="1" x14ac:dyDescent="0.2">
      <c r="B44" s="198" t="s">
        <v>1313</v>
      </c>
      <c r="C44" s="199" t="s">
        <v>1263</v>
      </c>
      <c r="D44" s="200" t="s">
        <v>2149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1084</v>
      </c>
    </row>
    <row r="45" spans="2:10" ht="14.45" customHeight="1" x14ac:dyDescent="0.2">
      <c r="B45" s="198" t="s">
        <v>1313</v>
      </c>
      <c r="C45" s="199" t="s">
        <v>1263</v>
      </c>
      <c r="D45" s="200" t="s">
        <v>2139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1085</v>
      </c>
    </row>
    <row r="46" spans="2:10" ht="14.45" customHeight="1" thickBot="1" x14ac:dyDescent="0.25">
      <c r="B46" s="198" t="s">
        <v>1313</v>
      </c>
      <c r="C46" s="208" t="s">
        <v>1263</v>
      </c>
      <c r="D46" s="209" t="s">
        <v>2204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1313</v>
      </c>
      <c r="C47" s="215" t="s">
        <v>2204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2223</v>
      </c>
      <c r="C48" s="223" t="s">
        <v>2224</v>
      </c>
      <c r="D48" s="193" t="s">
        <v>2206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1033</v>
      </c>
    </row>
    <row r="49" spans="2:10" ht="14.45" customHeight="1" x14ac:dyDescent="0.2">
      <c r="B49" s="198" t="s">
        <v>2223</v>
      </c>
      <c r="C49" s="226" t="s">
        <v>2224</v>
      </c>
      <c r="D49" s="200" t="s">
        <v>2207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1034</v>
      </c>
    </row>
    <row r="50" spans="2:10" ht="14.45" customHeight="1" thickBot="1" x14ac:dyDescent="0.25">
      <c r="B50" s="198" t="s">
        <v>2223</v>
      </c>
      <c r="C50" s="227"/>
      <c r="D50" s="228" t="s">
        <v>2225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2223</v>
      </c>
      <c r="C51" s="233" t="s">
        <v>1279</v>
      </c>
      <c r="D51" s="193" t="s">
        <v>2156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3034</v>
      </c>
      <c r="J51" s="197" t="s">
        <v>1035</v>
      </c>
    </row>
    <row r="52" spans="2:10" ht="14.45" customHeight="1" x14ac:dyDescent="0.2">
      <c r="B52" s="198" t="s">
        <v>1268</v>
      </c>
      <c r="C52" s="234" t="s">
        <v>1279</v>
      </c>
      <c r="D52" s="200" t="s">
        <v>2159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1036</v>
      </c>
    </row>
    <row r="53" spans="2:10" ht="14.45" customHeight="1" x14ac:dyDescent="0.2">
      <c r="B53" s="198" t="s">
        <v>1268</v>
      </c>
      <c r="C53" s="234" t="s">
        <v>1279</v>
      </c>
      <c r="D53" s="200" t="s">
        <v>2158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3035</v>
      </c>
      <c r="J53" s="207" t="s">
        <v>1037</v>
      </c>
    </row>
    <row r="54" spans="2:10" ht="14.45" customHeight="1" thickBot="1" x14ac:dyDescent="0.25">
      <c r="B54" s="198" t="s">
        <v>1268</v>
      </c>
      <c r="C54" s="235" t="s">
        <v>1279</v>
      </c>
      <c r="D54" s="209" t="s">
        <v>2204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1268</v>
      </c>
      <c r="C55" s="233" t="s">
        <v>1281</v>
      </c>
      <c r="D55" s="193" t="s">
        <v>2193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1038</v>
      </c>
    </row>
    <row r="56" spans="2:10" ht="14.45" customHeight="1" x14ac:dyDescent="0.2">
      <c r="B56" s="198" t="s">
        <v>1268</v>
      </c>
      <c r="C56" s="234" t="s">
        <v>1281</v>
      </c>
      <c r="D56" s="200" t="s">
        <v>2157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3036</v>
      </c>
      <c r="J56" s="204" t="s">
        <v>1039</v>
      </c>
    </row>
    <row r="57" spans="2:10" ht="14.45" customHeight="1" thickBot="1" x14ac:dyDescent="0.25">
      <c r="B57" s="198" t="s">
        <v>1268</v>
      </c>
      <c r="C57" s="235" t="s">
        <v>1281</v>
      </c>
      <c r="D57" s="209" t="s">
        <v>2204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1268</v>
      </c>
      <c r="C58" s="215" t="s">
        <v>2204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1269</v>
      </c>
      <c r="C59" s="142" t="s">
        <v>1283</v>
      </c>
      <c r="D59" s="193" t="s">
        <v>2160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3037</v>
      </c>
      <c r="J59" s="197" t="s">
        <v>1040</v>
      </c>
    </row>
    <row r="60" spans="2:10" ht="14.45" customHeight="1" x14ac:dyDescent="0.2">
      <c r="B60" s="198" t="s">
        <v>1269</v>
      </c>
      <c r="C60" s="199" t="s">
        <v>1283</v>
      </c>
      <c r="D60" s="200" t="s">
        <v>2162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3038</v>
      </c>
      <c r="J60" s="204" t="s">
        <v>1041</v>
      </c>
    </row>
    <row r="61" spans="2:10" ht="14.45" customHeight="1" thickBot="1" x14ac:dyDescent="0.25">
      <c r="B61" s="198" t="s">
        <v>1269</v>
      </c>
      <c r="C61" s="208" t="s">
        <v>1283</v>
      </c>
      <c r="D61" s="209" t="s">
        <v>2204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1269</v>
      </c>
      <c r="C62" s="142" t="s">
        <v>1285</v>
      </c>
      <c r="D62" s="193" t="s">
        <v>2161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3039</v>
      </c>
      <c r="J62" s="197" t="s">
        <v>1042</v>
      </c>
    </row>
    <row r="63" spans="2:10" ht="14.45" customHeight="1" x14ac:dyDescent="0.2">
      <c r="B63" s="198" t="s">
        <v>1269</v>
      </c>
      <c r="C63" s="199" t="s">
        <v>1285</v>
      </c>
      <c r="D63" s="200" t="s">
        <v>2163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3040</v>
      </c>
      <c r="J63" s="204" t="s">
        <v>1043</v>
      </c>
    </row>
    <row r="64" spans="2:10" ht="14.45" customHeight="1" x14ac:dyDescent="0.2">
      <c r="B64" s="198" t="s">
        <v>1269</v>
      </c>
      <c r="C64" s="199" t="s">
        <v>1285</v>
      </c>
      <c r="D64" s="200" t="s">
        <v>2164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1044</v>
      </c>
    </row>
    <row r="65" spans="2:10" ht="14.45" customHeight="1" thickBot="1" x14ac:dyDescent="0.25">
      <c r="B65" s="198" t="s">
        <v>1269</v>
      </c>
      <c r="C65" s="208" t="s">
        <v>1285</v>
      </c>
      <c r="D65" s="209" t="s">
        <v>2204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1269</v>
      </c>
      <c r="C66" s="215" t="s">
        <v>2204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1270</v>
      </c>
      <c r="C67" s="142" t="s">
        <v>1287</v>
      </c>
      <c r="D67" s="193" t="s">
        <v>2195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1045</v>
      </c>
    </row>
    <row r="68" spans="2:10" ht="14.45" customHeight="1" x14ac:dyDescent="0.2">
      <c r="B68" s="198" t="s">
        <v>1270</v>
      </c>
      <c r="C68" s="199" t="s">
        <v>1287</v>
      </c>
      <c r="D68" s="200" t="s">
        <v>2167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1046</v>
      </c>
    </row>
    <row r="69" spans="2:10" ht="14.45" customHeight="1" x14ac:dyDescent="0.2">
      <c r="B69" s="198" t="s">
        <v>1270</v>
      </c>
      <c r="C69" s="199" t="s">
        <v>1287</v>
      </c>
      <c r="D69" s="200" t="s">
        <v>2165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1047</v>
      </c>
    </row>
    <row r="70" spans="2:10" ht="14.45" customHeight="1" thickBot="1" x14ac:dyDescent="0.25">
      <c r="B70" s="198" t="s">
        <v>1270</v>
      </c>
      <c r="C70" s="208" t="s">
        <v>1287</v>
      </c>
      <c r="D70" s="209" t="s">
        <v>2204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1270</v>
      </c>
      <c r="C71" s="142" t="s">
        <v>1289</v>
      </c>
      <c r="D71" s="193" t="s">
        <v>2197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1048</v>
      </c>
    </row>
    <row r="72" spans="2:10" ht="14.45" customHeight="1" x14ac:dyDescent="0.2">
      <c r="B72" s="198" t="s">
        <v>1270</v>
      </c>
      <c r="C72" s="199" t="s">
        <v>1289</v>
      </c>
      <c r="D72" s="200" t="s">
        <v>2166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3041</v>
      </c>
      <c r="J72" s="204" t="s">
        <v>1049</v>
      </c>
    </row>
    <row r="73" spans="2:10" ht="14.45" customHeight="1" x14ac:dyDescent="0.2">
      <c r="B73" s="198" t="s">
        <v>1270</v>
      </c>
      <c r="C73" s="199" t="s">
        <v>1289</v>
      </c>
      <c r="D73" s="200" t="s">
        <v>2168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1050</v>
      </c>
    </row>
    <row r="74" spans="2:10" ht="14.45" customHeight="1" x14ac:dyDescent="0.2">
      <c r="B74" s="198" t="s">
        <v>1270</v>
      </c>
      <c r="C74" s="199" t="s">
        <v>1289</v>
      </c>
      <c r="D74" s="200" t="s">
        <v>2169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1051</v>
      </c>
    </row>
    <row r="75" spans="2:10" ht="14.45" customHeight="1" thickBot="1" x14ac:dyDescent="0.25">
      <c r="B75" s="198" t="s">
        <v>1270</v>
      </c>
      <c r="C75" s="208" t="s">
        <v>1289</v>
      </c>
      <c r="D75" s="209" t="s">
        <v>2204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1270</v>
      </c>
      <c r="C76" s="142" t="s">
        <v>1291</v>
      </c>
      <c r="D76" s="193" t="s">
        <v>2199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1052</v>
      </c>
    </row>
    <row r="77" spans="2:10" ht="14.45" customHeight="1" x14ac:dyDescent="0.2">
      <c r="B77" s="198" t="s">
        <v>1270</v>
      </c>
      <c r="C77" s="199" t="s">
        <v>1291</v>
      </c>
      <c r="D77" s="200" t="s">
        <v>2170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1053</v>
      </c>
    </row>
    <row r="78" spans="2:10" ht="14.45" customHeight="1" x14ac:dyDescent="0.2">
      <c r="B78" s="198" t="s">
        <v>1270</v>
      </c>
      <c r="C78" s="199" t="s">
        <v>1291</v>
      </c>
      <c r="D78" s="200" t="s">
        <v>2171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1054</v>
      </c>
    </row>
    <row r="79" spans="2:10" ht="14.45" customHeight="1" x14ac:dyDescent="0.2">
      <c r="B79" s="198" t="s">
        <v>1270</v>
      </c>
      <c r="C79" s="199" t="s">
        <v>1291</v>
      </c>
      <c r="D79" s="200" t="s">
        <v>2172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1055</v>
      </c>
    </row>
    <row r="80" spans="2:10" ht="14.45" customHeight="1" thickBot="1" x14ac:dyDescent="0.25">
      <c r="B80" s="198" t="s">
        <v>1270</v>
      </c>
      <c r="C80" s="208" t="s">
        <v>1291</v>
      </c>
      <c r="D80" s="209" t="s">
        <v>2204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1270</v>
      </c>
      <c r="C81" s="142" t="s">
        <v>1293</v>
      </c>
      <c r="D81" s="193" t="s">
        <v>2201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1056</v>
      </c>
    </row>
    <row r="82" spans="2:10" ht="14.45" customHeight="1" x14ac:dyDescent="0.2">
      <c r="B82" s="198" t="s">
        <v>1270</v>
      </c>
      <c r="C82" s="199" t="s">
        <v>1293</v>
      </c>
      <c r="D82" s="200" t="s">
        <v>2173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1057</v>
      </c>
    </row>
    <row r="83" spans="2:10" ht="14.45" customHeight="1" thickBot="1" x14ac:dyDescent="0.25">
      <c r="B83" s="198" t="s">
        <v>1270</v>
      </c>
      <c r="C83" s="208" t="s">
        <v>1293</v>
      </c>
      <c r="D83" s="209" t="s">
        <v>2204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1270</v>
      </c>
      <c r="C84" s="215" t="s">
        <v>2204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1271</v>
      </c>
      <c r="C85" s="142" t="s">
        <v>1295</v>
      </c>
      <c r="D85" s="193" t="s">
        <v>2203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1058</v>
      </c>
    </row>
    <row r="86" spans="2:10" ht="14.45" customHeight="1" x14ac:dyDescent="0.2">
      <c r="B86" s="198" t="s">
        <v>1271</v>
      </c>
      <c r="C86" s="199" t="s">
        <v>1295</v>
      </c>
      <c r="D86" s="200" t="s">
        <v>2174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1059</v>
      </c>
    </row>
    <row r="87" spans="2:10" ht="14.45" customHeight="1" x14ac:dyDescent="0.2">
      <c r="B87" s="198" t="s">
        <v>1271</v>
      </c>
      <c r="C87" s="199" t="s">
        <v>1295</v>
      </c>
      <c r="D87" s="200" t="s">
        <v>2175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1060</v>
      </c>
    </row>
    <row r="88" spans="2:10" ht="14.45" customHeight="1" x14ac:dyDescent="0.2">
      <c r="B88" s="198" t="s">
        <v>1271</v>
      </c>
      <c r="C88" s="199" t="s">
        <v>1295</v>
      </c>
      <c r="D88" s="200" t="s">
        <v>2176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1061</v>
      </c>
    </row>
    <row r="89" spans="2:10" ht="14.45" customHeight="1" x14ac:dyDescent="0.2">
      <c r="B89" s="198" t="s">
        <v>1271</v>
      </c>
      <c r="C89" s="199" t="s">
        <v>1295</v>
      </c>
      <c r="D89" s="200" t="s">
        <v>2177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1062</v>
      </c>
    </row>
    <row r="90" spans="2:10" ht="14.45" customHeight="1" thickBot="1" x14ac:dyDescent="0.25">
      <c r="B90" s="198" t="s">
        <v>1271</v>
      </c>
      <c r="C90" s="208" t="s">
        <v>1295</v>
      </c>
      <c r="D90" s="209" t="s">
        <v>2204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1271</v>
      </c>
      <c r="C91" s="236" t="s">
        <v>2204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4" topLeftCell="A5" activePane="bottomLeft" state="frozen"/>
      <selection pane="bottomLeft" activeCell="E6" sqref="E6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8" t="s">
        <v>183</v>
      </c>
      <c r="C2" s="348" t="s">
        <v>2966</v>
      </c>
      <c r="D2" s="348" t="s">
        <v>2967</v>
      </c>
      <c r="E2" s="348" t="s">
        <v>2965</v>
      </c>
      <c r="F2" s="348" t="s">
        <v>554</v>
      </c>
      <c r="G2" s="348" t="s">
        <v>2968</v>
      </c>
      <c r="H2" s="348" t="s">
        <v>2969</v>
      </c>
      <c r="I2" s="348" t="s">
        <v>415</v>
      </c>
    </row>
    <row r="3" spans="2:9" ht="14.45" customHeight="1" x14ac:dyDescent="0.2">
      <c r="B3" s="349"/>
      <c r="C3" s="349"/>
      <c r="D3" s="349"/>
      <c r="E3" s="349"/>
      <c r="F3" s="349"/>
      <c r="G3" s="349"/>
      <c r="H3" s="349"/>
      <c r="I3" s="349"/>
    </row>
    <row r="4" spans="2:9" ht="13.5" x14ac:dyDescent="0.2">
      <c r="B4" s="344" t="s">
        <v>2970</v>
      </c>
      <c r="C4" s="345"/>
      <c r="D4" s="345"/>
      <c r="E4" s="345"/>
      <c r="F4" s="345"/>
      <c r="G4" s="345"/>
      <c r="H4" s="345"/>
      <c r="I4" s="345"/>
    </row>
    <row r="5" spans="2:9" ht="164.1" customHeight="1" x14ac:dyDescent="0.2">
      <c r="B5" s="346" t="s">
        <v>2949</v>
      </c>
      <c r="C5" s="347"/>
      <c r="D5" s="347"/>
      <c r="E5" s="347" t="s">
        <v>2992</v>
      </c>
      <c r="F5" s="351" t="s">
        <v>2991</v>
      </c>
      <c r="G5" s="347"/>
      <c r="H5" s="347"/>
      <c r="I5" s="347"/>
    </row>
    <row r="6" spans="2:9" ht="164.1" customHeight="1" x14ac:dyDescent="0.2">
      <c r="B6" s="346" t="s">
        <v>2950</v>
      </c>
      <c r="C6" s="347"/>
      <c r="D6" s="347"/>
      <c r="E6" s="351" t="s">
        <v>2993</v>
      </c>
      <c r="F6" s="351" t="s">
        <v>2995</v>
      </c>
      <c r="G6" s="347" t="s">
        <v>2989</v>
      </c>
      <c r="H6" s="347" t="s">
        <v>2971</v>
      </c>
      <c r="I6" s="347"/>
    </row>
    <row r="7" spans="2:9" ht="164.1" customHeight="1" x14ac:dyDescent="0.2">
      <c r="B7" s="346" t="s">
        <v>2951</v>
      </c>
      <c r="C7" s="347"/>
      <c r="D7" s="347"/>
      <c r="E7" s="347" t="s">
        <v>2994</v>
      </c>
      <c r="F7" s="347" t="s">
        <v>2972</v>
      </c>
      <c r="G7" s="347"/>
      <c r="H7" s="351" t="s">
        <v>2996</v>
      </c>
      <c r="I7" s="347"/>
    </row>
    <row r="8" spans="2:9" ht="164.1" customHeight="1" x14ac:dyDescent="0.2">
      <c r="B8" s="346" t="s">
        <v>2952</v>
      </c>
      <c r="C8" s="347"/>
      <c r="D8" s="347"/>
      <c r="E8" s="347" t="s">
        <v>2997</v>
      </c>
      <c r="F8" s="347" t="s">
        <v>2998</v>
      </c>
      <c r="G8" s="347" t="s">
        <v>2988</v>
      </c>
      <c r="H8" s="347"/>
      <c r="I8" s="347"/>
    </row>
    <row r="9" spans="2:9" ht="164.1" customHeight="1" x14ac:dyDescent="0.2">
      <c r="B9" s="346" t="s">
        <v>2953</v>
      </c>
      <c r="C9" s="347"/>
      <c r="D9" s="347" t="s">
        <v>2999</v>
      </c>
      <c r="E9" s="347" t="s">
        <v>2984</v>
      </c>
      <c r="F9" s="347"/>
      <c r="G9" s="347" t="s">
        <v>3000</v>
      </c>
      <c r="H9" s="347"/>
      <c r="I9" s="347"/>
    </row>
    <row r="10" spans="2:9" ht="164.1" customHeight="1" x14ac:dyDescent="0.2">
      <c r="B10" s="346" t="s">
        <v>2954</v>
      </c>
      <c r="C10" s="347"/>
      <c r="D10" s="347" t="s">
        <v>2977</v>
      </c>
      <c r="E10" s="347" t="s">
        <v>3001</v>
      </c>
      <c r="F10" s="347"/>
      <c r="G10" s="347" t="s">
        <v>3002</v>
      </c>
      <c r="H10" s="347"/>
      <c r="I10" s="347"/>
    </row>
    <row r="11" spans="2:9" ht="164.1" customHeight="1" x14ac:dyDescent="0.2">
      <c r="B11" s="346" t="s">
        <v>2955</v>
      </c>
      <c r="C11" s="347"/>
      <c r="D11" s="347" t="s">
        <v>3003</v>
      </c>
      <c r="E11" s="347" t="s">
        <v>2982</v>
      </c>
      <c r="F11" s="347" t="s">
        <v>2985</v>
      </c>
      <c r="G11" s="347" t="s">
        <v>3004</v>
      </c>
      <c r="H11" s="347"/>
      <c r="I11" s="347"/>
    </row>
    <row r="12" spans="2:9" ht="164.1" customHeight="1" x14ac:dyDescent="0.2">
      <c r="B12" s="346" t="s">
        <v>2956</v>
      </c>
      <c r="C12" s="347"/>
      <c r="D12" s="347" t="s">
        <v>2981</v>
      </c>
      <c r="E12" s="347" t="s">
        <v>3006</v>
      </c>
      <c r="F12" s="347"/>
      <c r="G12" s="347" t="s">
        <v>3005</v>
      </c>
      <c r="H12" s="347"/>
      <c r="I12" s="347"/>
    </row>
    <row r="13" spans="2:9" ht="164.1" customHeight="1" x14ac:dyDescent="0.2">
      <c r="B13" s="346" t="s">
        <v>2957</v>
      </c>
      <c r="C13" s="347"/>
      <c r="D13" s="347" t="s">
        <v>2974</v>
      </c>
      <c r="E13" s="347" t="s">
        <v>3007</v>
      </c>
      <c r="F13" s="347" t="s">
        <v>3008</v>
      </c>
      <c r="G13" s="347" t="s">
        <v>2990</v>
      </c>
      <c r="H13" s="347"/>
      <c r="I13" s="347"/>
    </row>
    <row r="14" spans="2:9" ht="164.1" customHeight="1" x14ac:dyDescent="0.2">
      <c r="B14" s="346" t="s">
        <v>2958</v>
      </c>
      <c r="C14" s="347"/>
      <c r="D14" s="347" t="s">
        <v>2980</v>
      </c>
      <c r="E14" s="351" t="s">
        <v>3009</v>
      </c>
      <c r="F14" s="347"/>
      <c r="G14" s="347" t="s">
        <v>3010</v>
      </c>
      <c r="H14" s="347"/>
      <c r="I14" s="347"/>
    </row>
    <row r="15" spans="2:9" ht="164.1" customHeight="1" x14ac:dyDescent="0.2">
      <c r="B15" s="346" t="s">
        <v>2959</v>
      </c>
      <c r="C15" s="347"/>
      <c r="D15" s="347" t="s">
        <v>3011</v>
      </c>
      <c r="E15" s="347" t="s">
        <v>2983</v>
      </c>
      <c r="F15" s="351" t="s">
        <v>3021</v>
      </c>
      <c r="G15" s="347" t="s">
        <v>2987</v>
      </c>
      <c r="H15" s="347"/>
      <c r="I15" s="347"/>
    </row>
    <row r="16" spans="2:9" ht="164.1" customHeight="1" x14ac:dyDescent="0.2">
      <c r="B16" s="346" t="s">
        <v>2960</v>
      </c>
      <c r="C16" s="347" t="s">
        <v>3012</v>
      </c>
      <c r="D16" s="347" t="s">
        <v>2978</v>
      </c>
      <c r="E16" s="347" t="s">
        <v>3013</v>
      </c>
      <c r="F16" s="347"/>
      <c r="G16" s="347"/>
      <c r="H16" s="347"/>
      <c r="I16" s="347"/>
    </row>
    <row r="17" spans="2:9" ht="164.1" customHeight="1" x14ac:dyDescent="0.2">
      <c r="B17" s="346" t="s">
        <v>2961</v>
      </c>
      <c r="C17" s="347"/>
      <c r="D17" s="347" t="s">
        <v>2979</v>
      </c>
      <c r="E17" s="347" t="s">
        <v>2975</v>
      </c>
      <c r="F17" s="347" t="s">
        <v>3014</v>
      </c>
      <c r="G17" s="347" t="s">
        <v>2986</v>
      </c>
      <c r="H17" s="347"/>
      <c r="I17" s="347"/>
    </row>
    <row r="18" spans="2:9" ht="164.1" customHeight="1" x14ac:dyDescent="0.2">
      <c r="B18" s="346" t="s">
        <v>2962</v>
      </c>
      <c r="C18" s="347"/>
      <c r="D18" s="347" t="s">
        <v>3015</v>
      </c>
      <c r="E18" s="347"/>
      <c r="F18" s="347"/>
      <c r="G18" s="347" t="s">
        <v>3016</v>
      </c>
      <c r="H18" s="347"/>
      <c r="I18" s="347"/>
    </row>
    <row r="19" spans="2:9" ht="164.1" customHeight="1" x14ac:dyDescent="0.2">
      <c r="B19" s="346" t="s">
        <v>2963</v>
      </c>
      <c r="C19" s="347"/>
      <c r="D19" s="347"/>
      <c r="E19" s="347" t="s">
        <v>3018</v>
      </c>
      <c r="F19" s="347"/>
      <c r="G19" s="347" t="s">
        <v>3017</v>
      </c>
      <c r="H19" s="347"/>
      <c r="I19" s="347"/>
    </row>
    <row r="20" spans="2:9" ht="164.1" customHeight="1" x14ac:dyDescent="0.2">
      <c r="B20" s="346" t="s">
        <v>2964</v>
      </c>
      <c r="C20" s="347"/>
      <c r="D20" s="347" t="s">
        <v>3019</v>
      </c>
      <c r="E20" s="347" t="s">
        <v>2976</v>
      </c>
      <c r="F20" s="347"/>
      <c r="G20" s="347" t="s">
        <v>3020</v>
      </c>
      <c r="H20" s="347"/>
      <c r="I20" s="347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11" activePane="bottomRight" state="frozen"/>
      <selection pane="topRight" activeCell="G1" sqref="G1"/>
      <selection pane="bottomLeft" activeCell="A4" sqref="A4"/>
      <selection pane="bottomRight" activeCell="G14" sqref="G14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97" t="s">
        <v>5</v>
      </c>
      <c r="D2" s="398"/>
      <c r="E2" s="398"/>
      <c r="F2" s="398"/>
      <c r="G2" s="398"/>
      <c r="H2" s="398"/>
      <c r="I2" s="398"/>
      <c r="J2" s="398"/>
      <c r="K2" s="399"/>
      <c r="L2" s="267" t="s">
        <v>1122</v>
      </c>
      <c r="M2" s="269" t="s">
        <v>1247</v>
      </c>
      <c r="N2" s="269" t="s">
        <v>2308</v>
      </c>
    </row>
    <row r="3" spans="2:14" ht="14.45" customHeight="1" thickBot="1" x14ac:dyDescent="0.25">
      <c r="B3" s="270" t="s">
        <v>2921</v>
      </c>
      <c r="C3" s="322" t="s">
        <v>6</v>
      </c>
      <c r="D3" s="323" t="s">
        <v>2899</v>
      </c>
      <c r="E3" s="323"/>
      <c r="F3" s="323" t="s">
        <v>2922</v>
      </c>
      <c r="G3" s="323" t="s">
        <v>2923</v>
      </c>
      <c r="H3" s="323" t="s">
        <v>2924</v>
      </c>
      <c r="I3" s="323" t="s">
        <v>2925</v>
      </c>
      <c r="J3" s="323" t="s">
        <v>2926</v>
      </c>
      <c r="K3" s="324" t="s">
        <v>2927</v>
      </c>
      <c r="L3" s="277"/>
      <c r="M3" s="278"/>
      <c r="N3" s="278"/>
    </row>
    <row r="4" spans="2:14" ht="189" customHeight="1" x14ac:dyDescent="0.2">
      <c r="B4" s="276" t="s">
        <v>2884</v>
      </c>
      <c r="C4" s="290" t="s">
        <v>2771</v>
      </c>
      <c r="D4" s="291" t="s">
        <v>2237</v>
      </c>
      <c r="E4" s="292" t="s">
        <v>192</v>
      </c>
      <c r="F4" s="293" t="str">
        <f>VLOOKUP(D4,통합목록!F4:H586,3,0)</f>
        <v>민사소송법의 법적 성격</v>
      </c>
      <c r="G4" s="293" t="s">
        <v>2917</v>
      </c>
      <c r="H4" s="293" t="s">
        <v>2902</v>
      </c>
      <c r="I4" s="293"/>
      <c r="J4" s="293"/>
      <c r="K4" s="294"/>
      <c r="L4" s="325" t="str">
        <f>VLOOKUP(D4,통합목록!$F$4:$K$586,4,0)</f>
        <v>열기2-04.민사소송법\02.문제\[모의][01.01-1]민사소송법의 법적 성격.txt</v>
      </c>
      <c r="M4" s="326" t="str">
        <f>VLOOKUP(D4,통합목록!$F$4:$K$586,6,0)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2884</v>
      </c>
      <c r="C5" s="295" t="s">
        <v>1193</v>
      </c>
      <c r="D5" s="296" t="s">
        <v>1097</v>
      </c>
      <c r="E5" s="297" t="s">
        <v>198</v>
      </c>
      <c r="F5" s="298" t="str">
        <f>VLOOKUP(D5,통합목록!F5:H599,3,0)</f>
        <v>해고 후 임금 등을 수령하고 3년이 경과하여 제기한 소송의 실효 여부</v>
      </c>
      <c r="G5" s="298" t="s">
        <v>2918</v>
      </c>
      <c r="H5" s="298" t="s">
        <v>2904</v>
      </c>
      <c r="I5" s="298" t="s">
        <v>2903</v>
      </c>
      <c r="J5" s="298"/>
      <c r="K5" s="299"/>
      <c r="L5" s="327" t="str">
        <f>VLOOKUP(D5,통합목록!$F$4:$K$586,4,0)</f>
        <v>열기2-04.민사소송법\02.문제\[기출][2014-2]해고 후 임금 등을 수령하고 3년이 경과하여 제기한 소송의 실효 여부.txt</v>
      </c>
      <c r="M5" s="328" t="str">
        <f>VLOOKUP(D5,통합목록!$F$4:$K$586,6,0)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2884</v>
      </c>
      <c r="C6" s="300" t="s">
        <v>2771</v>
      </c>
      <c r="D6" s="301" t="s">
        <v>2230</v>
      </c>
      <c r="E6" s="302" t="s">
        <v>199</v>
      </c>
      <c r="F6" s="303" t="str">
        <f>VLOOKUP(D6,통합목록!F6:H600,3,0)</f>
        <v>소송법상 실효의 원칙의 의의, 신의칙과의 관계, 성립 요건, 적용 범위 및 소송법상 효과</v>
      </c>
      <c r="G6" s="303" t="s">
        <v>2268</v>
      </c>
      <c r="H6" s="303" t="s">
        <v>2901</v>
      </c>
      <c r="I6" s="303" t="s">
        <v>2928</v>
      </c>
      <c r="J6" s="303" t="s">
        <v>2914</v>
      </c>
      <c r="K6" s="304"/>
      <c r="L6" s="329" t="str">
        <f>VLOOKUP(D6,통합목록!$F$4:$K$586,4,0)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VLOOKUP(D6,통합목록!$F$4:$K$586,6,0)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2885</v>
      </c>
      <c r="C7" s="315" t="s">
        <v>2771</v>
      </c>
      <c r="D7" s="316" t="s">
        <v>2232</v>
      </c>
      <c r="E7" s="317" t="s">
        <v>192</v>
      </c>
      <c r="F7" s="318" t="str">
        <f>VLOOKUP(D7,통합목록!F7:H601,3,0)</f>
        <v>법관이 제1심 판결 후 항소심 재판부 구성원으로 참여하는 것이 전심관여 제척사유에 해당하는지 여부</v>
      </c>
      <c r="G7" s="318" t="s">
        <v>2919</v>
      </c>
      <c r="H7" s="318" t="s">
        <v>2906</v>
      </c>
      <c r="I7" s="318" t="s">
        <v>2905</v>
      </c>
      <c r="J7" s="318" t="s">
        <v>2915</v>
      </c>
      <c r="K7" s="319"/>
      <c r="L7" s="331" t="str">
        <f>VLOOKUP(D7,통합목록!$F$4:$K$586,4,0)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VLOOKUP(D7,통합목록!$F$4:$K$586,6,0)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2885</v>
      </c>
      <c r="C8" s="295" t="s">
        <v>2771</v>
      </c>
      <c r="D8" s="296" t="s">
        <v>2233</v>
      </c>
      <c r="E8" s="297" t="s">
        <v>198</v>
      </c>
      <c r="F8" s="298" t="str">
        <f>VLOOKUP(D8,통합목록!F8:H602,3,0)</f>
        <v>기피원인인 재판의 공정성을 기대하기 어려운 사정의 객관적 기준과 기피신청 시 소송절차의 정지 여부</v>
      </c>
      <c r="G8" s="298" t="s">
        <v>2908</v>
      </c>
      <c r="H8" s="298" t="s">
        <v>2907</v>
      </c>
      <c r="I8" s="298" t="s">
        <v>2916</v>
      </c>
      <c r="J8" s="298" t="s">
        <v>2913</v>
      </c>
      <c r="K8" s="299"/>
      <c r="L8" s="327" t="str">
        <f>VLOOKUP(D8,통합목록!$F$4:$K$586,4,0)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VLOOKUP(D8,통합목록!$F$4:$K$586,6,0)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2885</v>
      </c>
      <c r="C9" s="295" t="s">
        <v>2771</v>
      </c>
      <c r="D9" s="296" t="s">
        <v>2234</v>
      </c>
      <c r="E9" s="297" t="s">
        <v>199</v>
      </c>
      <c r="F9" s="298" t="str">
        <f>VLOOKUP(D9,통합목록!F9:H603,3,0)</f>
        <v>제척사유가 있는 법관이 스스로 직무집행을 피하는 회피의 절차와 효과</v>
      </c>
      <c r="G9" s="298" t="s">
        <v>2911</v>
      </c>
      <c r="H9" s="298" t="s">
        <v>2909</v>
      </c>
      <c r="I9" s="298"/>
      <c r="J9" s="298" t="s">
        <v>2912</v>
      </c>
      <c r="K9" s="299"/>
      <c r="L9" s="327" t="str">
        <f>VLOOKUP(D9,통합목록!$F$4:$K$586,4,0)</f>
        <v>열기2-04.민사소송법\02.문제\[모의][03.02-3]제척사유가 있는 법관이 스스로 직무집행을 피하는 회피의 절차와 효과.txt</v>
      </c>
      <c r="M9" s="328" t="str">
        <f>VLOOKUP(D9,통합목록!$F$4:$K$586,6,0)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2885</v>
      </c>
      <c r="C10" s="295" t="s">
        <v>2771</v>
      </c>
      <c r="D10" s="296" t="s">
        <v>2231</v>
      </c>
      <c r="E10" s="297" t="s">
        <v>201</v>
      </c>
      <c r="F10" s="298" t="str">
        <f>VLOOKUP(D10,통합목록!F10:H604,3,0)</f>
        <v>법관의 기피제도의 의의 및 제척제도와의 구별, 기피사유, 절차 및 원칙, 남용과 간이각하결정</v>
      </c>
      <c r="G10" s="298" t="s">
        <v>2910</v>
      </c>
      <c r="H10" s="298" t="s">
        <v>2907</v>
      </c>
      <c r="I10" s="298" t="s">
        <v>2929</v>
      </c>
      <c r="J10" s="298" t="s">
        <v>2920</v>
      </c>
      <c r="K10" s="299"/>
      <c r="L10" s="327" t="str">
        <f>VLOOKUP(D10,통합목록!$F$4:$K$586,4,0)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VLOOKUP(D10,통합목록!$F$4:$K$586,6,0)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2885</v>
      </c>
      <c r="C11" s="295" t="s">
        <v>1193</v>
      </c>
      <c r="D11" s="296" t="s">
        <v>90</v>
      </c>
      <c r="E11" s="297" t="s">
        <v>204</v>
      </c>
      <c r="F11" s="298" t="str">
        <f>VLOOKUP(D11,통합목록!F11:H605,3,0)</f>
        <v>사물관할의 의의, 결정 기준, 구체적 범위</v>
      </c>
      <c r="G11" s="298"/>
      <c r="H11" s="298"/>
      <c r="I11" s="298" t="s">
        <v>2935</v>
      </c>
      <c r="J11" s="298" t="s">
        <v>2930</v>
      </c>
      <c r="K11" s="299"/>
      <c r="L11" s="327" t="str">
        <f>VLOOKUP(D11,통합목록!$F$4:$K$586,4,0)</f>
        <v>열기2-04.민사소송법\02.문제\[기출][2015-2]사물관할의 의의, 결정 기준, 구체적 범위.txt</v>
      </c>
      <c r="M11" s="328" t="str">
        <f>VLOOKUP(D11,통합목록!$F$4:$K$586,6,0)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2885</v>
      </c>
      <c r="C12" s="295" t="s">
        <v>1193</v>
      </c>
      <c r="D12" s="296" t="s">
        <v>1098</v>
      </c>
      <c r="E12" s="297" t="s">
        <v>208</v>
      </c>
      <c r="F12" s="298" t="str">
        <f>VLOOKUP(D12,통합목록!F12:H606,3,0)</f>
        <v>합의관할의 의의, 성립요건, 종류, 효력</v>
      </c>
      <c r="G12" s="298"/>
      <c r="H12" s="298"/>
      <c r="I12" s="298" t="s">
        <v>2931</v>
      </c>
      <c r="J12" s="298" t="s">
        <v>2932</v>
      </c>
      <c r="K12" s="299"/>
      <c r="L12" s="327" t="str">
        <f>VLOOKUP(D12,통합목록!$F$4:$K$586,4,0)</f>
        <v>열기2-04.민사소송법\02.문제\[기출][2019-2]합의관할의 의의, 성립요건, 종류, 효력.txt</v>
      </c>
      <c r="M12" s="328" t="str">
        <f>VLOOKUP(D12,통합목록!$F$4:$K$586,6,0)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2885</v>
      </c>
      <c r="C13" s="353" t="s">
        <v>1193</v>
      </c>
      <c r="D13" s="354" t="s">
        <v>89</v>
      </c>
      <c r="E13" s="355" t="s">
        <v>209</v>
      </c>
      <c r="F13" s="356" t="str">
        <f>VLOOKUP(D13,통합목록!F13:H607,3,0)</f>
        <v>당사자표시정정 후의 관할권 인정 여부와 변론관할의 성립</v>
      </c>
      <c r="G13" s="356" t="s">
        <v>2933</v>
      </c>
      <c r="H13" s="356"/>
      <c r="I13" s="356"/>
      <c r="J13" s="356" t="s">
        <v>2934</v>
      </c>
      <c r="K13" s="357"/>
      <c r="L13" s="358" t="str">
        <f>VLOOKUP(D13,통합목록!$F$4:$K$586,4,0)</f>
        <v>열기2-04.민사소송법\02.문제\[기출][2020-1-1]당사자표시정정 후의 관할권 인정 여부와 변론관할의 성립.txt</v>
      </c>
      <c r="M13" s="359" t="str">
        <f>VLOOKUP(D13,통합목록!$F$4:$K$586,6,0)</f>
        <v>B</v>
      </c>
      <c r="N13" s="359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2771</v>
      </c>
      <c r="D14" s="301" t="s">
        <v>3140</v>
      </c>
      <c r="E14" s="302" t="s">
        <v>3141</v>
      </c>
      <c r="F14" s="303" t="str">
        <f>VLOOKUP(D14,통합목록!F14:H608,3,0)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VLOOKUP(D14,통합목록!$F$4:$K$586,4,0)</f>
        <v>열기2-04.민사소송법\02.문제\[모의][03.03-1]토지관할의 의의, 재판적의 구체적 내용, 관할의 경합과 관련 재판적.txt</v>
      </c>
      <c r="M14" s="330" t="str">
        <f>VLOOKUP(D14,통합목록!$F$4:$K$586,6,0)</f>
        <v>B</v>
      </c>
      <c r="N14" s="330">
        <v>46255</v>
      </c>
    </row>
    <row r="15" spans="2:14" ht="189" customHeight="1" x14ac:dyDescent="0.2">
      <c r="B15" s="360" t="s">
        <v>2886</v>
      </c>
      <c r="C15" s="315" t="s">
        <v>1193</v>
      </c>
      <c r="D15" s="316" t="s">
        <v>1099</v>
      </c>
      <c r="E15" s="317" t="s">
        <v>192</v>
      </c>
      <c r="F15" s="318" t="str">
        <f>VLOOKUP(D15,통합목록!F14:H608,3,0)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VLOOKUP(D15,통합목록!$F$4:$K$586,4,0)</f>
        <v>열기2-04.민사소송법\02.문제\[기출][2020-1-2]소제기 전 사망자를 피고로 한 경우 당사자표시정정의 적법성 여부.txt</v>
      </c>
      <c r="M15" s="332" t="str">
        <f>VLOOKUP(D15,통합목록!$F$4:$K$586,6,0)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2886</v>
      </c>
      <c r="C16" s="295" t="s">
        <v>2771</v>
      </c>
      <c r="D16" s="296" t="s">
        <v>2238</v>
      </c>
      <c r="E16" s="297" t="s">
        <v>198</v>
      </c>
      <c r="F16" s="298" t="str">
        <f>VLOOKUP(D16,통합목록!F15:H609,3,0)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VLOOKUP(D16,통합목록!$F$4:$K$586,4,0)</f>
        <v>열기2-04.민사소송법\02.문제\[모의][04.01-1]성명모용소송에서 당사자 확정 기준 및 피모용자의 구제 수단.txt</v>
      </c>
      <c r="M16" s="328" t="str">
        <f>VLOOKUP(D16,통합목록!$F$4:$K$586,6,0)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2886</v>
      </c>
      <c r="C17" s="295" t="s">
        <v>1193</v>
      </c>
      <c r="D17" s="296" t="s">
        <v>97</v>
      </c>
      <c r="E17" s="297" t="s">
        <v>1302</v>
      </c>
      <c r="F17" s="298" t="str">
        <f>VLOOKUP(D17,통합목록!F16:H610,3,0)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VLOOKUP(D17,통합목록!$F$4:$K$586,4,0)</f>
        <v>열기2-04.민사소송법\02.문제\[기출][2010-2-1]임의적 소송담당의 의의 및 유형, 허용 요건, 소송법적 효과.txt</v>
      </c>
      <c r="M17" s="328" t="str">
        <f>VLOOKUP(D17,통합목록!$F$4:$K$586,6,0)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2886</v>
      </c>
      <c r="C18" s="295" t="s">
        <v>1193</v>
      </c>
      <c r="D18" s="296" t="s">
        <v>144</v>
      </c>
      <c r="E18" s="297" t="s">
        <v>1303</v>
      </c>
      <c r="F18" s="298" t="str">
        <f>VLOOKUP(D18,통합목록!F17:H611,3,0)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VLOOKUP(D18,통합목록!$F$4:$K$586,4,0)</f>
        <v>열기2-04.민사소송법\02.문제\[기출][2014-1-1]민법상 조합인 회사를 상대로 한 해고무효 확인의 소 제기 가능성.txt</v>
      </c>
      <c r="M18" s="328" t="str">
        <f>VLOOKUP(D18,통합목록!$F$4:$K$586,6,0)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2886</v>
      </c>
      <c r="C19" s="295" t="s">
        <v>1193</v>
      </c>
      <c r="D19" s="296" t="s">
        <v>94</v>
      </c>
      <c r="E19" s="297" t="s">
        <v>2310</v>
      </c>
      <c r="F19" s="298" t="str">
        <f>VLOOKUP(D19,통합목록!F18:H612,3,0)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VLOOKUP(D19,통합목록!$F$4:$K$586,4,0)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VLOOKUP(D19,통합목록!$F$4:$K$586,6,0)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2886</v>
      </c>
      <c r="C20" s="295" t="s">
        <v>1193</v>
      </c>
      <c r="D20" s="296" t="s">
        <v>95</v>
      </c>
      <c r="E20" s="297" t="s">
        <v>2311</v>
      </c>
      <c r="F20" s="298" t="str">
        <f>VLOOKUP(D20,통합목록!F19:H613,3,0)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VLOOKUP(D20,통합목록!$F$4:$K$586,4,0)</f>
        <v>열기2-04.민사소송법\02.문제\[기출][2017-1-2]소송계속 중 당사자 사망을 간과한 판결의 효력과 상속인에 대한 승계 여부.txt</v>
      </c>
      <c r="M20" s="328" t="str">
        <f>VLOOKUP(D20,통합목록!$F$4:$K$586,6,0)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2886</v>
      </c>
      <c r="C21" s="295" t="s">
        <v>1193</v>
      </c>
      <c r="D21" s="296" t="s">
        <v>1100</v>
      </c>
      <c r="E21" s="297" t="s">
        <v>2312</v>
      </c>
      <c r="F21" s="298" t="str">
        <f>VLOOKUP(D21,통합목록!F20:H614,3,0)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VLOOKUP(D21,통합목록!$F$4:$K$586,4,0)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VLOOKUP(D21,통합목록!$F$4:$K$586,6,0)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2886</v>
      </c>
      <c r="C22" s="295" t="s">
        <v>2771</v>
      </c>
      <c r="D22" s="296" t="s">
        <v>2235</v>
      </c>
      <c r="E22" s="297" t="s">
        <v>2313</v>
      </c>
      <c r="F22" s="298" t="str">
        <f>VLOOKUP(D22,통합목록!F21:H615,3,0)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VLOOKUP(D22,통합목록!$F$4:$K$586,4,0)</f>
        <v>열기2-04.민사소송법\02.문제\[모의][04.02-1]당사자능력과 당사자적격의 비교.txt</v>
      </c>
      <c r="M22" s="328" t="str">
        <f>VLOOKUP(D22,통합목록!$F$4:$K$586,6,0)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2886</v>
      </c>
      <c r="C23" s="295" t="s">
        <v>2771</v>
      </c>
      <c r="D23" s="296" t="s">
        <v>2236</v>
      </c>
      <c r="E23" s="297" t="s">
        <v>2314</v>
      </c>
      <c r="F23" s="298" t="str">
        <f>VLOOKUP(D23,통합목록!F22:H616,3,0)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VLOOKUP(D23,통합목록!$F$4:$K$586,4,0)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VLOOKUP(D23,통합목록!$F$4:$K$586,6,0)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2886</v>
      </c>
      <c r="C24" s="295" t="s">
        <v>1193</v>
      </c>
      <c r="D24" s="296" t="s">
        <v>100</v>
      </c>
      <c r="E24" s="297" t="s">
        <v>2315</v>
      </c>
      <c r="F24" s="298" t="str">
        <f>VLOOKUP(D24,통합목록!F23:H617,3,0)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VLOOKUP(D24,통합목록!$F$4:$K$586,4,0)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VLOOKUP(D24,통합목록!$F$4:$K$586,6,0)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2886</v>
      </c>
      <c r="C25" s="295" t="s">
        <v>1193</v>
      </c>
      <c r="D25" s="296" t="s">
        <v>1101</v>
      </c>
      <c r="E25" s="297" t="s">
        <v>2316</v>
      </c>
      <c r="F25" s="298" t="str">
        <f>VLOOKUP(D25,통합목록!F24:H618,3,0)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VLOOKUP(D25,통합목록!$F$4:$K$586,4,0)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VLOOKUP(D25,통합목록!$F$4:$K$586,6,0)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2886</v>
      </c>
      <c r="C26" s="295" t="s">
        <v>1193</v>
      </c>
      <c r="D26" s="296" t="s">
        <v>99</v>
      </c>
      <c r="E26" s="297" t="s">
        <v>2317</v>
      </c>
      <c r="F26" s="298" t="str">
        <f>VLOOKUP(D26,통합목록!F25:H619,3,0)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VLOOKUP(D26,통합목록!$F$4:$K$586,4,0)</f>
        <v>열기2-04.민사소송법\02.문제\[기출][2018-1-2]배우자 및 공인노무사의 소송대리권 인정 여부.txt</v>
      </c>
      <c r="M26" s="328" t="str">
        <f>VLOOKUP(D26,통합목록!$F$4:$K$586,6,0)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2886</v>
      </c>
      <c r="C27" s="300" t="s">
        <v>2771</v>
      </c>
      <c r="D27" s="301" t="s">
        <v>2253</v>
      </c>
      <c r="E27" s="302" t="s">
        <v>2318</v>
      </c>
      <c r="F27" s="303" t="str">
        <f>VLOOKUP(D27,통합목록!F26:H620,3,0)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VLOOKUP(D27,통합목록!$F$4:$K$586,4,0)</f>
        <v>열기2-04.민사소송법\02.문제\[모의][04.03-1]특별수권사항의 의의, 구체적 범위, 특별수권없는 대리의 효력.txt</v>
      </c>
      <c r="M27" s="330" t="str">
        <f>VLOOKUP(D27,통합목록!$F$4:$K$586,6,0)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2887</v>
      </c>
      <c r="C28" s="315" t="s">
        <v>2771</v>
      </c>
      <c r="D28" s="316" t="s">
        <v>2239</v>
      </c>
      <c r="E28" s="317" t="s">
        <v>192</v>
      </c>
      <c r="F28" s="318" t="str">
        <f>VLOOKUP(D28,통합목록!F27:H621,3,0)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VLOOKUP(D28,통합목록!$F$4:$K$586,4,0)</f>
        <v>열기2-04.민사소송법\02.문제\[모의][05.02-1]부제소특약의 간과와 본안기각판결 선고의 적법성 및 그 효력.txt</v>
      </c>
      <c r="M28" s="332" t="str">
        <f>VLOOKUP(D28,통합목록!$F$4:$K$586,6,0)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2887</v>
      </c>
      <c r="C29" s="295" t="s">
        <v>2771</v>
      </c>
      <c r="D29" s="296" t="s">
        <v>2240</v>
      </c>
      <c r="E29" s="297" t="s">
        <v>198</v>
      </c>
      <c r="F29" s="298" t="str">
        <f>VLOOKUP(D29,통합목록!F28:H622,3,0)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VLOOKUP(D29,통합목록!$F$4:$K$586,4,0)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VLOOKUP(D29,통합목록!$F$4:$K$586,6,0)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2887</v>
      </c>
      <c r="C30" s="295" t="s">
        <v>2771</v>
      </c>
      <c r="D30" s="296" t="s">
        <v>2299</v>
      </c>
      <c r="E30" s="297" t="s">
        <v>1302</v>
      </c>
      <c r="F30" s="298" t="str">
        <f>VLOOKUP(D30,통합목록!F29:H623,3,0)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VLOOKUP(D30,통합목록!$F$4:$K$586,4,0)</f>
        <v>열기2-04.민사소송법\02.문제\[모의][05.02-3]소송요건의 의의, 구체적 분류, 조사 심리 절차, 요건 흠결 시 소송법상 효과.txt</v>
      </c>
      <c r="M30" s="328" t="str">
        <f>VLOOKUP(D30,통합목록!$F$4:$K$586,6,0)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2887</v>
      </c>
      <c r="C31" s="295" t="s">
        <v>1193</v>
      </c>
      <c r="D31" s="296" t="s">
        <v>102</v>
      </c>
      <c r="E31" s="297" t="s">
        <v>1303</v>
      </c>
      <c r="F31" s="298" t="str">
        <f>VLOOKUP(D31,통합목록!F30:H624,3,0)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VLOOKUP(D31,통합목록!$F$4:$K$586,4,0)</f>
        <v>열기2-04.민사소송법\02.문제\[기출][2018-1-1]조합규약상 소제기 금지규정의 유효성과 이를 위반한 소의 적법성.txt</v>
      </c>
      <c r="M31" s="328" t="str">
        <f>VLOOKUP(D31,통합목록!$F$4:$K$586,6,0)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2887</v>
      </c>
      <c r="C32" s="295" t="s">
        <v>1193</v>
      </c>
      <c r="D32" s="296" t="s">
        <v>1102</v>
      </c>
      <c r="E32" s="297" t="s">
        <v>2310</v>
      </c>
      <c r="F32" s="298" t="str">
        <f>VLOOKUP(D32,통합목록!F31:H625,3,0)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VLOOKUP(D32,통합목록!$F$4:$K$586,4,0)</f>
        <v>열기2-04.민사소송법\02.문제\[기출][2023-2]장래의 이행의 소의 의의, 법리, 구체적 양태.txt</v>
      </c>
      <c r="M32" s="328" t="str">
        <f>VLOOKUP(D32,통합목록!$F$4:$K$586,6,0)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2887</v>
      </c>
      <c r="C33" s="295" t="s">
        <v>1193</v>
      </c>
      <c r="D33" s="296" t="s">
        <v>101</v>
      </c>
      <c r="E33" s="297" t="s">
        <v>2311</v>
      </c>
      <c r="F33" s="298" t="str">
        <f>VLOOKUP(D33,통합목록!F32:H626,3,0)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VLOOKUP(D33,통합목록!$F$4:$K$586,4,0)</f>
        <v>열기2-04.민사소송법\02.문제\[기출][2025-2]확인의 이익의 의의, 일반 원칙, 요건, 구체적 양태.txt</v>
      </c>
      <c r="M33" s="328" t="str">
        <f>VLOOKUP(D33,통합목록!$F$4:$K$586,6,0)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2887</v>
      </c>
      <c r="C34" s="295" t="s">
        <v>2771</v>
      </c>
      <c r="D34" s="296" t="s">
        <v>2241</v>
      </c>
      <c r="E34" s="297" t="s">
        <v>2312</v>
      </c>
      <c r="F34" s="298" t="str">
        <f>VLOOKUP(D34,통합목록!F33:H627,3,0)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VLOOKUP(D34,통합목록!$F$4:$K$586,4,0)</f>
        <v>열기2-04.민사소송법\02.문제\[모의][05.04-1]구실체법설에 따른 전후소 소송물의 동일성 여부 및 후소의 적법성 판단.txt</v>
      </c>
      <c r="M34" s="328" t="str">
        <f>VLOOKUP(D34,통합목록!$F$4:$K$586,6,0)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2887</v>
      </c>
      <c r="C35" s="295" t="s">
        <v>2771</v>
      </c>
      <c r="D35" s="296" t="s">
        <v>2242</v>
      </c>
      <c r="E35" s="297" t="s">
        <v>2313</v>
      </c>
      <c r="F35" s="298" t="str">
        <f>VLOOKUP(D35,통합목록!F34:H628,3,0)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VLOOKUP(D35,통합목록!$F$4:$K$586,4,0)</f>
        <v>열기2-04.민사소송법\02.문제\[모의][05.04-2]불법행위책임과 자배법상 책임의 소송물 관계 및 법원의 법적 근거 선택 권한.txt</v>
      </c>
      <c r="M35" s="328" t="str">
        <f>VLOOKUP(D35,통합목록!$F$4:$K$586,6,0)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2887</v>
      </c>
      <c r="C36" s="295" t="s">
        <v>2771</v>
      </c>
      <c r="D36" s="296" t="s">
        <v>2243</v>
      </c>
      <c r="E36" s="297" t="s">
        <v>2314</v>
      </c>
      <c r="F36" s="298" t="str">
        <f>VLOOKUP(D36,통합목록!F35:H629,3,0)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VLOOKUP(D36,통합목록!$F$4:$K$586,4,0)</f>
        <v>열기2-04.민사소송법\02.문제\[모의][05.05-1]채무부존재확인의 소의 중복소제기 금지 위반 여부 및 판결의 형식.txt</v>
      </c>
      <c r="M36" s="328" t="str">
        <f>VLOOKUP(D36,통합목록!$F$4:$K$586,6,0)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2887</v>
      </c>
      <c r="C37" s="295" t="s">
        <v>2771</v>
      </c>
      <c r="D37" s="296" t="s">
        <v>2244</v>
      </c>
      <c r="E37" s="297" t="s">
        <v>2315</v>
      </c>
      <c r="F37" s="298" t="str">
        <f>VLOOKUP(D37,통합목록!F36:H630,3,0)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VLOOKUP(D37,통합목록!$F$4:$K$586,4,0)</f>
        <v>열기2-04.민사소송법\02.문제\[모의][05.05-2]일부청구임을 명시하지 않은 별소 제기의 중복소제기 해당 여부 및 효과.txt</v>
      </c>
      <c r="M37" s="328" t="str">
        <f>VLOOKUP(D37,통합목록!$F$4:$K$586,6,0)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2887</v>
      </c>
      <c r="C38" s="295" t="s">
        <v>2771</v>
      </c>
      <c r="D38" s="296" t="s">
        <v>2245</v>
      </c>
      <c r="E38" s="297" t="s">
        <v>2316</v>
      </c>
      <c r="F38" s="298" t="str">
        <f>VLOOKUP(D38,통합목록!F38:H631,3,0)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VLOOKUP(D38,통합목록!$F$4:$K$586,4,0)</f>
        <v>열기2-04.민사소송법\02.문제\[모의][05.06-1]보정기한 도과 후 각하명령 송달 전 흠결 보정 시 소장각하명령의 효력.txt</v>
      </c>
      <c r="M38" s="328" t="str">
        <f>VLOOKUP(D38,통합목록!$F$4:$K$586,6,0)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2887</v>
      </c>
      <c r="C39" s="295" t="s">
        <v>2771</v>
      </c>
      <c r="D39" s="296" t="s">
        <v>2246</v>
      </c>
      <c r="E39" s="297" t="s">
        <v>2317</v>
      </c>
      <c r="F39" s="298" t="str">
        <f>VLOOKUP(D39,통합목록!F39:H632,3,0)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VLOOKUP(D39,통합목록!$F$4:$K$586,4,0)</f>
        <v>열기2-04.민사소송법\02.문제\[모의][05.06-2]소장 부본 송달불능 시 재판장의 조치인 소장각하명령과 소각하판결의 차이점.txt</v>
      </c>
      <c r="M39" s="328" t="str">
        <f>VLOOKUP(D39,통합목록!$F$4:$K$586,6,0)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2887</v>
      </c>
      <c r="C40" s="295" t="s">
        <v>1193</v>
      </c>
      <c r="D40" s="296" t="s">
        <v>103</v>
      </c>
      <c r="E40" s="297" t="s">
        <v>2318</v>
      </c>
      <c r="F40" s="298" t="str">
        <f>VLOOKUP(D40,통합목록!F40:H633,3,0)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VLOOKUP(D40,통합목록!$F$4:$K$586,4,0)</f>
        <v>열기2-04.민사소송법\02.문제\[기출][2014-3]중복된 소제기 금지의 의의, 요건, 형태, 법원의 조치 및 간과 판결의 효력.txt</v>
      </c>
      <c r="M40" s="328" t="str">
        <f>VLOOKUP(D40,통합목록!$F$4:$K$586,6,0)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2887</v>
      </c>
      <c r="C41" s="295" t="s">
        <v>1193</v>
      </c>
      <c r="D41" s="296" t="s">
        <v>1103</v>
      </c>
      <c r="E41" s="297" t="s">
        <v>2319</v>
      </c>
      <c r="F41" s="298" t="str">
        <f>VLOOKUP(D41,통합목록!F41:H634,3,0)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VLOOKUP(D41,통합목록!$F$4:$K$586,4,0)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VLOOKUP(D41,통합목록!$F$4:$K$586,6,0)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2887</v>
      </c>
      <c r="C42" s="300" t="s">
        <v>1193</v>
      </c>
      <c r="D42" s="301" t="s">
        <v>1104</v>
      </c>
      <c r="E42" s="302" t="s">
        <v>2320</v>
      </c>
      <c r="F42" s="303" t="str">
        <f>VLOOKUP(D42,통합목록!F42:H635,3,0)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VLOOKUP(D42,통합목록!$F$4:$K$586,4,0)</f>
        <v>열기2-04.민사소송법\02.문제\[기출][2012-1]채권자대위소송의 판결이 확정된 경우 그 기판력이 채무자에게 미치는지 여부.txt</v>
      </c>
      <c r="M42" s="330" t="str">
        <f>VLOOKUP(D42,통합목록!$F$4:$K$586,6,0)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2888</v>
      </c>
      <c r="C43" s="315" t="s">
        <v>1193</v>
      </c>
      <c r="D43" s="316" t="s">
        <v>107</v>
      </c>
      <c r="E43" s="317" t="s">
        <v>192</v>
      </c>
      <c r="F43" s="318" t="str">
        <f>VLOOKUP(D43,통합목록!F43:H636,3,0)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VLOOKUP(D43,통합목록!$F$4:$K$586,4,0)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VLOOKUP(D43,통합목록!$F$4:$K$586,6,0)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2888</v>
      </c>
      <c r="C44" s="295" t="s">
        <v>1193</v>
      </c>
      <c r="D44" s="296" t="s">
        <v>96</v>
      </c>
      <c r="E44" s="297" t="s">
        <v>198</v>
      </c>
      <c r="F44" s="298" t="str">
        <f>VLOOKUP(D44,통합목록!F44:H637,3,0)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VLOOKUP(D44,통합목록!$F$4:$K$586,4,0)</f>
        <v>열기2-04.민사소송법\02.문제\[기출][2014-1-2]근로자가 청구하지 않은 임금지급을 명한 판결의 적법성 여부.txt</v>
      </c>
      <c r="M44" s="328" t="str">
        <f>VLOOKUP(D44,통합목록!$F$4:$K$586,6,0)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2888</v>
      </c>
      <c r="C45" s="295" t="s">
        <v>1193</v>
      </c>
      <c r="D45" s="296" t="s">
        <v>1105</v>
      </c>
      <c r="E45" s="297" t="s">
        <v>1302</v>
      </c>
      <c r="F45" s="298" t="str">
        <f>VLOOKUP(D45,통합목록!F45:H638,3,0)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VLOOKUP(D45,통합목록!$F$4:$K$586,4,0)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VLOOKUP(D45,통합목록!$F$4:$K$586,6,0)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2888</v>
      </c>
      <c r="C46" s="295" t="s">
        <v>1193</v>
      </c>
      <c r="D46" s="296" t="s">
        <v>106</v>
      </c>
      <c r="E46" s="297" t="s">
        <v>1303</v>
      </c>
      <c r="F46" s="298" t="str">
        <f>VLOOKUP(D46,통합목록!F46:H639,3,0)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VLOOKUP(D46,통합목록!$F$4:$K$586,4,0)</f>
        <v>열기2-04.민사소송법\02.문제\[기출][2020-2]석명의무의 의의, 내용과 대상, 범위, 한계, 위반의 효과.txt</v>
      </c>
      <c r="M46" s="328" t="str">
        <f>VLOOKUP(D46,통합목록!$F$4:$K$586,6,0)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2888</v>
      </c>
      <c r="C47" s="295" t="s">
        <v>2771</v>
      </c>
      <c r="D47" s="296" t="s">
        <v>2254</v>
      </c>
      <c r="E47" s="297" t="s">
        <v>2310</v>
      </c>
      <c r="F47" s="298" t="str">
        <f>VLOOKUP(D47,통합목록!F47:H640,3,0)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VLOOKUP(D47,통합목록!$F$4:$K$586,4,0)</f>
        <v>열기2-04.민사소송법\02.문제\[모의][06.02-1]처분권주의의 의의 및 적용 영역, 제한 및 예외, 위반의 효과.txt</v>
      </c>
      <c r="M47" s="328" t="str">
        <f>VLOOKUP(D47,통합목록!$F$4:$K$586,6,0)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2888</v>
      </c>
      <c r="C48" s="295" t="s">
        <v>2771</v>
      </c>
      <c r="D48" s="296" t="s">
        <v>2259</v>
      </c>
      <c r="E48" s="297" t="s">
        <v>2311</v>
      </c>
      <c r="F48" s="298" t="str">
        <f>VLOOKUP(D48,통합목록!F48:H641,3,0)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VLOOKUP(D48,통합목록!$F$4:$K$586,4,0)</f>
        <v>열기2-04.민사소송법\02.문제\[모의][06.02-2]주요사실과 간접사실의 개념, 구별기준, 소송법상 실익.txt</v>
      </c>
      <c r="M48" s="328" t="str">
        <f>VLOOKUP(D48,통합목록!$F$4:$K$586,6,0)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2888</v>
      </c>
      <c r="C49" s="295" t="s">
        <v>1193</v>
      </c>
      <c r="D49" s="296" t="s">
        <v>1106</v>
      </c>
      <c r="E49" s="297" t="s">
        <v>2312</v>
      </c>
      <c r="F49" s="298" t="str">
        <f>VLOOKUP(D49,통합목록!F49:H642,3,0)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VLOOKUP(D49,통합목록!$F$4:$K$586,4,0)</f>
        <v>열기2-04.민사소송법\02.문제\[기출][2012-2]준비서면을 제출하지 않았을 때의 효과.txt</v>
      </c>
      <c r="M49" s="328" t="str">
        <f>VLOOKUP(D49,통합목록!$F$4:$K$586,6,0)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2888</v>
      </c>
      <c r="C50" s="295" t="s">
        <v>1193</v>
      </c>
      <c r="D50" s="296" t="s">
        <v>1107</v>
      </c>
      <c r="E50" s="297" t="s">
        <v>2313</v>
      </c>
      <c r="F50" s="298" t="str">
        <f>VLOOKUP(D50,통합목록!F50:H643,3,0)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VLOOKUP(D50,통합목록!$F$4:$K$586,4,0)</f>
        <v>열기2-04.민사소송법\02.문제\[기출][2022-2]소송상 항변의 의의, 부인과의 구별, 항변의 종류, 제출요건과 시기.txt</v>
      </c>
      <c r="M50" s="328" t="str">
        <f>VLOOKUP(D50,통합목록!$F$4:$K$586,6,0)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2888</v>
      </c>
      <c r="C51" s="295" t="s">
        <v>1193</v>
      </c>
      <c r="D51" s="296" t="s">
        <v>1108</v>
      </c>
      <c r="E51" s="297" t="s">
        <v>2314</v>
      </c>
      <c r="F51" s="298" t="str">
        <f>VLOOKUP(D51,통합목록!F51:H644,3,0)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VLOOKUP(D51,통합목록!$F$4:$K$586,4,0)</f>
        <v>열기2-04.민사소송법\02.문제\[기출][2017-2]자백간주의 의의, 성립 요건, 효력, 적용 범위 및 제한.txt</v>
      </c>
      <c r="M51" s="328" t="str">
        <f>VLOOKUP(D51,통합목록!$F$4:$K$586,6,0)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2888</v>
      </c>
      <c r="C52" s="295" t="s">
        <v>1193</v>
      </c>
      <c r="D52" s="296" t="s">
        <v>111</v>
      </c>
      <c r="E52" s="297" t="s">
        <v>2315</v>
      </c>
      <c r="F52" s="298" t="str">
        <f>VLOOKUP(D52,통합목록!F52:H645,3,0)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VLOOKUP(D52,통합목록!$F$4:$K$586,4,0)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VLOOKUP(D52,통합목록!$F$4:$K$586,6,0)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2888</v>
      </c>
      <c r="C53" s="295" t="s">
        <v>1193</v>
      </c>
      <c r="D53" s="296" t="s">
        <v>1109</v>
      </c>
      <c r="E53" s="297" t="s">
        <v>2316</v>
      </c>
      <c r="F53" s="298" t="str">
        <f>VLOOKUP(D53,통합목록!F53:H646,3,0)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VLOOKUP(D53,통합목록!$F$4:$K$586,4,0)</f>
        <v>열기2-04.민사소송법\02.문제\[기출][2016-2]공시송달의 의의, 요건, 절차 및 효력.txt</v>
      </c>
      <c r="M53" s="328" t="str">
        <f>VLOOKUP(D53,통합목록!$F$4:$K$586,6,0)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2888</v>
      </c>
      <c r="C54" s="295" t="s">
        <v>1193</v>
      </c>
      <c r="D54" s="296" t="s">
        <v>110</v>
      </c>
      <c r="E54" s="297" t="s">
        <v>2317</v>
      </c>
      <c r="F54" s="298" t="str">
        <f>VLOOKUP(D54,통합목록!F54:H647,3,0)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VLOOKUP(D54,통합목록!$F$4:$K$586,4,0)</f>
        <v>열기2-04.민사소송법\02.문제\[기출][2024-3]보충송달의 의의, 요건, 제한과 예외, 효력 발생, 불능 시 조치.txt</v>
      </c>
      <c r="M54" s="328" t="str">
        <f>VLOOKUP(D54,통합목록!$F$4:$K$586,6,0)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2888</v>
      </c>
      <c r="C55" s="295" t="s">
        <v>2771</v>
      </c>
      <c r="D55" s="296" t="s">
        <v>2247</v>
      </c>
      <c r="E55" s="297" t="s">
        <v>2318</v>
      </c>
      <c r="F55" s="298" t="str">
        <f>VLOOKUP(D55,통합목록!F55:H648,3,0)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VLOOKUP(D55,통합목록!$F$4:$K$586,4,0)</f>
        <v>열기2-04.민사소송법\02.문제\[모의][06.08-1]소송대리인이 있는 경우의 소송절차 중단 예외와 판결의 효력 및 수계절차.txt</v>
      </c>
      <c r="M55" s="328" t="str">
        <f>VLOOKUP(D55,통합목록!$F$4:$K$586,6,0)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2888</v>
      </c>
      <c r="C56" s="300" t="s">
        <v>2771</v>
      </c>
      <c r="D56" s="301" t="s">
        <v>2248</v>
      </c>
      <c r="E56" s="302" t="s">
        <v>2319</v>
      </c>
      <c r="F56" s="303" t="str">
        <f>VLOOKUP(D56,통합목록!F56:H649,3,0)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VLOOKUP(D56,통합목록!$F$4:$K$586,4,0)</f>
        <v>열기2-04.민사소송법\02.문제\[모의][06.08-2]원고의 파산선고에 따른 소송절차 중단과 수계 및 판결의 효력.txt</v>
      </c>
      <c r="M56" s="330" t="str">
        <f>VLOOKUP(D56,통합목록!$F$4:$K$586,6,0)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2889</v>
      </c>
      <c r="C57" s="315" t="s">
        <v>1193</v>
      </c>
      <c r="D57" s="316" t="s">
        <v>2836</v>
      </c>
      <c r="E57" s="317" t="s">
        <v>192</v>
      </c>
      <c r="F57" s="318" t="str">
        <f>VLOOKUP(D57,통합목록!F57:H650,3,0)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VLOOKUP(D57,통합목록!$F$4:$K$586,4,0)</f>
        <v>열기2-04.민사소송법\02.문제\[기출][2025-1-1]대여금 청구 소송에서 당사자 간 주장 및 증거 제출에 따른 법원의 판결 방향.txt</v>
      </c>
      <c r="M57" s="332" t="str">
        <f>VLOOKUP(D57,통합목록!$F$4:$K$586,6,0)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2889</v>
      </c>
      <c r="C58" s="295" t="s">
        <v>2771</v>
      </c>
      <c r="D58" s="296" t="s">
        <v>2249</v>
      </c>
      <c r="E58" s="297" t="s">
        <v>198</v>
      </c>
      <c r="F58" s="298" t="str">
        <f>VLOOKUP(D58,통합목록!F58:H651,3,0)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VLOOKUP(D58,통합목록!$F$4:$K$586,4,0)</f>
        <v>열기2-04.민사소송법\02.문제\[모의][07.02-1]재판상 자백의 성립 요건과 자백 취소의 허용 여부 및 요건.txt</v>
      </c>
      <c r="M58" s="328" t="str">
        <f>VLOOKUP(D58,통합목록!$F$4:$K$586,6,0)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2889</v>
      </c>
      <c r="C59" s="295" t="s">
        <v>2771</v>
      </c>
      <c r="D59" s="296" t="s">
        <v>2250</v>
      </c>
      <c r="E59" s="297" t="s">
        <v>1302</v>
      </c>
      <c r="F59" s="298" t="str">
        <f>VLOOKUP(D59,통합목록!F59:H652,3,0)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VLOOKUP(D59,통합목록!$F$4:$K$586,4,0)</f>
        <v>열기2-04.민사소송법\02.문제\[모의][07.02-2]현저한 사실의 의의와 범위 및 이를 근거로 한 판결의 절차적 요건.txt</v>
      </c>
      <c r="M59" s="328" t="str">
        <f>VLOOKUP(D59,통합목록!$F$4:$K$586,6,0)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2889</v>
      </c>
      <c r="C60" s="295" t="s">
        <v>1193</v>
      </c>
      <c r="D60" s="296" t="s">
        <v>115</v>
      </c>
      <c r="E60" s="297" t="s">
        <v>1303</v>
      </c>
      <c r="F60" s="298" t="str">
        <f>VLOOKUP(D60,통합목록!F60:H653,3,0)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VLOOKUP(D60,통합목록!$F$4:$K$586,4,0)</f>
        <v>열기2-04.민사소송법\02.문제\[기출][2011-2-2]재판상 자백의 의의, 성립요건, 자백의 구속력, 철회와 실효.txt</v>
      </c>
      <c r="M60" s="328" t="str">
        <f>VLOOKUP(D60,통합목록!$F$4:$K$586,6,0)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2889</v>
      </c>
      <c r="C61" s="295" t="s">
        <v>1193</v>
      </c>
      <c r="D61" s="296" t="s">
        <v>1108</v>
      </c>
      <c r="E61" s="297" t="s">
        <v>2310</v>
      </c>
      <c r="F61" s="298" t="str">
        <f>VLOOKUP(D61,통합목록!F61:H654,3,0)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VLOOKUP(D61,통합목록!$F$4:$K$586,4,0)</f>
        <v>열기2-04.민사소송법\02.문제\[기출][2017-2]자백간주의 의의, 성립 요건, 효력, 적용 범위 및 제한.txt</v>
      </c>
      <c r="M61" s="328" t="str">
        <f>VLOOKUP(D61,통합목록!$F$4:$K$586,6,0)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2889</v>
      </c>
      <c r="C62" s="295" t="s">
        <v>1193</v>
      </c>
      <c r="D62" s="296" t="s">
        <v>112</v>
      </c>
      <c r="E62" s="297" t="s">
        <v>2311</v>
      </c>
      <c r="F62" s="298" t="str">
        <f>VLOOKUP(D62,통합목록!F62:H655,3,0)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VLOOKUP(D62,통합목록!$F$4:$K$586,4,0)</f>
        <v>열기2-04.민사소송법\02.문제\[기출][2021-1-1]재판상 자백의 성립과 취소 및 공동소송인 독립의 원칙에 따른 판결의 가부.txt</v>
      </c>
      <c r="M62" s="328" t="str">
        <f>VLOOKUP(D62,통합목록!$F$4:$K$586,6,0)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2889</v>
      </c>
      <c r="C63" s="295" t="s">
        <v>1193</v>
      </c>
      <c r="D63" s="296" t="s">
        <v>2836</v>
      </c>
      <c r="E63" s="297" t="s">
        <v>2312</v>
      </c>
      <c r="F63" s="298" t="str">
        <f>VLOOKUP(D63,통합목록!F63:H656,3,0)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VLOOKUP(D63,통합목록!$F$4:$K$586,4,0)</f>
        <v>열기2-04.민사소송법\02.문제\[기출][2025-1-1]대여금 청구 소송에서 당사자 간 주장 및 증거 제출에 따른 법원의 판결 방향.txt</v>
      </c>
      <c r="M63" s="328" t="str">
        <f>VLOOKUP(D63,통합목록!$F$4:$K$586,6,0)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2889</v>
      </c>
      <c r="C64" s="295" t="s">
        <v>1193</v>
      </c>
      <c r="D64" s="296" t="s">
        <v>1111</v>
      </c>
      <c r="E64" s="297" t="s">
        <v>2313</v>
      </c>
      <c r="F64" s="298" t="str">
        <f>VLOOKUP(D64,통합목록!F64:H657,3,0)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VLOOKUP(D64,통합목록!$F$4:$K$586,4,0)</f>
        <v>열기2-04.민사소송법\02.문제\[기출][2013-3]문서제출명령의 의의, 대상과 범위, 신청과 심리, 불이행 효과.txt</v>
      </c>
      <c r="M64" s="328" t="str">
        <f>VLOOKUP(D64,통합목록!$F$4:$K$586,6,0)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2889</v>
      </c>
      <c r="C65" s="295" t="s">
        <v>1193</v>
      </c>
      <c r="D65" s="296" t="s">
        <v>116</v>
      </c>
      <c r="E65" s="297" t="s">
        <v>2314</v>
      </c>
      <c r="F65" s="298" t="str">
        <f>VLOOKUP(D65,통합목록!F65:H658,3,0)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VLOOKUP(D65,통합목록!$F$4:$K$586,4,0)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VLOOKUP(D65,통합목록!$F$4:$K$586,6,0)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2889</v>
      </c>
      <c r="C66" s="295" t="s">
        <v>1193</v>
      </c>
      <c r="D66" s="296" t="s">
        <v>2856</v>
      </c>
      <c r="E66" s="297" t="s">
        <v>2315</v>
      </c>
      <c r="F66" s="298" t="str">
        <f>VLOOKUP(D66,통합목록!F66:H659,3,0)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VLOOKUP(D66,통합목록!$F$4:$K$586,4,0)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VLOOKUP(D66,통합목록!$F$4:$K$586,6,0)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2889</v>
      </c>
      <c r="C67" s="295" t="s">
        <v>1193</v>
      </c>
      <c r="D67" s="296" t="s">
        <v>1112</v>
      </c>
      <c r="E67" s="297" t="s">
        <v>2316</v>
      </c>
      <c r="F67" s="298" t="str">
        <f>VLOOKUP(D67,통합목록!F67:H660,3,0)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VLOOKUP(D67,통합목록!$F$4:$K$586,4,0)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VLOOKUP(D67,통합목록!$F$4:$K$586,6,0)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2889</v>
      </c>
      <c r="C68" s="295" t="s">
        <v>1193</v>
      </c>
      <c r="D68" s="296" t="s">
        <v>1110</v>
      </c>
      <c r="E68" s="297" t="s">
        <v>2317</v>
      </c>
      <c r="F68" s="298" t="str">
        <f>VLOOKUP(D68,통합목록!F68:H661,3,0)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VLOOKUP(D68,통합목록!$F$4:$K$586,4,0)</f>
        <v>열기2-04.민사소송법\02.문제\[기출][2025-1-1]대여금 청구 소송에서 당사자 간 주장 및 증거 제출에 따른 법원의 판결 방향.txt</v>
      </c>
      <c r="M68" s="328" t="str">
        <f>VLOOKUP(D68,통합목록!$F$4:$K$586,6,0)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2889</v>
      </c>
      <c r="C69" s="300" t="s">
        <v>2771</v>
      </c>
      <c r="D69" s="301" t="s">
        <v>2258</v>
      </c>
      <c r="E69" s="302" t="s">
        <v>2318</v>
      </c>
      <c r="F69" s="303" t="str">
        <f>VLOOKUP(D69,통합목록!F69:H662,3,0)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VLOOKUP(D69,통합목록!$F$4:$K$586,4,0)</f>
        <v>열기2-04.민사소송법\02.문제\[모의][07.06-1]법률상 추정의 의의 및 사실상 추정과의 구별, 분류, 효과.txt</v>
      </c>
      <c r="M69" s="330" t="str">
        <f>VLOOKUP(D69,통합목록!$F$4:$K$586,6,0)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2890</v>
      </c>
      <c r="C70" s="315" t="s">
        <v>1193</v>
      </c>
      <c r="D70" s="316" t="s">
        <v>119</v>
      </c>
      <c r="E70" s="317" t="s">
        <v>192</v>
      </c>
      <c r="F70" s="318" t="str">
        <f>VLOOKUP(D70,통합목록!F70:H663,3,0)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VLOOKUP(D70,통합목록!$F$4:$K$586,4,0)</f>
        <v>열기2-04.민사소송법\02.문제\[기출][2015-3]재소의 금지의 의의, 요건, 적용 범위, 효과.txt</v>
      </c>
      <c r="M70" s="332" t="str">
        <f>VLOOKUP(D70,통합목록!$F$4:$K$586,6,0)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2890</v>
      </c>
      <c r="C71" s="295" t="s">
        <v>1193</v>
      </c>
      <c r="D71" s="296" t="s">
        <v>1113</v>
      </c>
      <c r="E71" s="297" t="s">
        <v>198</v>
      </c>
      <c r="F71" s="298" t="str">
        <f>VLOOKUP(D71,통합목록!F71:H664,3,0)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VLOOKUP(D71,통합목록!$F$4:$K$586,4,0)</f>
        <v>열기2-04.민사소송법\02.문제\[기출][2024-2]당사자가 변론기일의 지정을 신청할 수 있는 구체적인 경우.txt</v>
      </c>
      <c r="M71" s="328" t="str">
        <f>VLOOKUP(D71,통합목록!$F$4:$K$586,6,0)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2890</v>
      </c>
      <c r="C72" s="295" t="s">
        <v>1193</v>
      </c>
      <c r="D72" s="296" t="s">
        <v>118</v>
      </c>
      <c r="E72" s="297" t="s">
        <v>1302</v>
      </c>
      <c r="F72" s="298" t="str">
        <f>VLOOKUP(D72,통합목록!F72:H665,3,0)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VLOOKUP(D72,통합목록!$F$4:$K$586,4,0)</f>
        <v>열기2-04.민사소송법\02.문제\[기출][2025-3]재소의 금지의 의의, 요건, 예외, 효과, 특수한 경우의 재소금지.txt</v>
      </c>
      <c r="M72" s="328" t="str">
        <f>VLOOKUP(D72,통합목록!$F$4:$K$586,6,0)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2890</v>
      </c>
      <c r="C73" s="295" t="s">
        <v>2771</v>
      </c>
      <c r="D73" s="296" t="s">
        <v>2251</v>
      </c>
      <c r="E73" s="297" t="s">
        <v>1303</v>
      </c>
      <c r="F73" s="298" t="str">
        <f>VLOOKUP(D73,통합목록!F73:H666,3,0)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VLOOKUP(D73,통합목록!$F$4:$K$586,4,0)</f>
        <v>열기2-04.민사소송법\02.문제\[모의][09.02-1]강박에 의한 청구인낙에 대한 불복 방법 및 그 요건.txt</v>
      </c>
      <c r="M73" s="328" t="str">
        <f>VLOOKUP(D73,통합목록!$F$4:$K$586,6,0)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2890</v>
      </c>
      <c r="C74" s="295" t="s">
        <v>2771</v>
      </c>
      <c r="D74" s="296" t="s">
        <v>2252</v>
      </c>
      <c r="E74" s="297" t="s">
        <v>2310</v>
      </c>
      <c r="F74" s="298" t="str">
        <f>VLOOKUP(D74,통합목록!F74:H667,3,0)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VLOOKUP(D74,통합목록!$F$4:$K$586,4,0)</f>
        <v>열기2-04.민사소송법\02.문제\[모의][09.02-2]서면에 의한 청구인낙의 성립 요건 및 기판력의 범위와 효력 부인.txt</v>
      </c>
      <c r="M74" s="328" t="str">
        <f>VLOOKUP(D74,통합목록!$F$4:$K$586,6,0)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2890</v>
      </c>
      <c r="C75" s="300" t="s">
        <v>1193</v>
      </c>
      <c r="D75" s="301" t="s">
        <v>1114</v>
      </c>
      <c r="E75" s="302" t="s">
        <v>2311</v>
      </c>
      <c r="F75" s="303" t="str">
        <f>VLOOKUP(D75,통합목록!F75:H668,3,0)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VLOOKUP(D75,통합목록!$F$4:$K$586,4,0)</f>
        <v>열기2-04.민사소송법\02.문제\[기출][2013-2]소송상 화해의 의의, 요건, 효력, 하자 구제수단.txt</v>
      </c>
      <c r="M75" s="330" t="str">
        <f>VLOOKUP(D75,통합목록!$F$4:$K$586,6,0)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2891</v>
      </c>
      <c r="C76" s="315" t="s">
        <v>1193</v>
      </c>
      <c r="D76" s="316" t="s">
        <v>123</v>
      </c>
      <c r="E76" s="317" t="s">
        <v>192</v>
      </c>
      <c r="F76" s="318" t="str">
        <f>VLOOKUP(D76,통합목록!F76:H669,3,0)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VLOOKUP(D76,통합목록!$F$4:$K$586,4,0)</f>
        <v>열기2-04.민사소송법\02.문제\[기출][2017-3]변론종결 뒤의 승계인의 의의 및 요건, 학설 및 판례, 기판력의 범위와 한계.txt</v>
      </c>
      <c r="M76" s="332" t="str">
        <f>VLOOKUP(D76,통합목록!$F$4:$K$586,6,0)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2891</v>
      </c>
      <c r="C77" s="295" t="s">
        <v>1193</v>
      </c>
      <c r="D77" s="296" t="s">
        <v>122</v>
      </c>
      <c r="E77" s="297" t="s">
        <v>198</v>
      </c>
      <c r="F77" s="298" t="str">
        <f>VLOOKUP(D77,통합목록!F77:H670,3,0)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VLOOKUP(D77,통합목록!$F$4:$K$586,4,0)</f>
        <v>열기2-04.민사소송법\02.문제\[기출][2019-1-2]확정판결의 기판력과 표준시 이후의 상계권 행사 가능성.txt</v>
      </c>
      <c r="M77" s="328" t="str">
        <f>VLOOKUP(D77,통합목록!$F$4:$K$586,6,0)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2891</v>
      </c>
      <c r="C78" s="295" t="s">
        <v>1193</v>
      </c>
      <c r="D78" s="296" t="s">
        <v>1115</v>
      </c>
      <c r="E78" s="297" t="s">
        <v>1302</v>
      </c>
      <c r="F78" s="298" t="str">
        <f>VLOOKUP(D78,통합목록!F78:H671,3,0)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VLOOKUP(D78,통합목록!$F$4:$K$586,4,0)</f>
        <v>열기2-04.민사소송법\02.문제\[기출][2022-3]판결의 편취의 의의, 유형, 확정 전・후 구제수단.txt</v>
      </c>
      <c r="M78" s="328" t="str">
        <f>VLOOKUP(D78,통합목록!$F$4:$K$586,6,0)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2891</v>
      </c>
      <c r="C79" s="295" t="s">
        <v>1193</v>
      </c>
      <c r="D79" s="296" t="s">
        <v>121</v>
      </c>
      <c r="E79" s="297" t="s">
        <v>1303</v>
      </c>
      <c r="F79" s="298" t="str">
        <f>VLOOKUP(D79,통합목록!F79:H672,3,0)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VLOOKUP(D79,통합목록!$F$4:$K$586,4,0)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VLOOKUP(D79,통합목록!$F$4:$K$586,6,0)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2891</v>
      </c>
      <c r="C80" s="300" t="s">
        <v>2771</v>
      </c>
      <c r="D80" s="301" t="s">
        <v>2869</v>
      </c>
      <c r="E80" s="302" t="s">
        <v>2310</v>
      </c>
      <c r="F80" s="303" t="str">
        <f>VLOOKUP(D80,통합목록!F80:H673,3,0)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VLOOKUP(D80,통합목록!$F$4:$K$586,4,0)</f>
        <v>열기2-04.민사소송법\02.문제\[모의][10.02-1]기판력의 의의 및 본질, 작용요건, 범위.txt</v>
      </c>
      <c r="M80" s="330" t="str">
        <f>VLOOKUP(D80,통합목록!$F$4:$K$586,6,0)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2892</v>
      </c>
      <c r="C81" s="315" t="s">
        <v>1193</v>
      </c>
      <c r="D81" s="316" t="s">
        <v>126</v>
      </c>
      <c r="E81" s="317" t="s">
        <v>192</v>
      </c>
      <c r="F81" s="318" t="str">
        <f>VLOOKUP(D81,통합목록!F81:H674,3,0)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VLOOKUP(D81,통합목록!$F$4:$K$586,4,0)</f>
        <v>열기2-04.민사소송법\02.문제\[기출][2016-3]청구의 선택적 병합의 의의, 요건, 심리, 판결과 상소.txt</v>
      </c>
      <c r="M81" s="332" t="str">
        <f>VLOOKUP(D81,통합목록!$F$4:$K$586,6,0)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2892</v>
      </c>
      <c r="C82" s="295" t="s">
        <v>1193</v>
      </c>
      <c r="D82" s="296" t="s">
        <v>1116</v>
      </c>
      <c r="E82" s="297" t="s">
        <v>198</v>
      </c>
      <c r="F82" s="298" t="str">
        <f>VLOOKUP(D82,통합목록!F82:H675,3,0)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VLOOKUP(D82,통합목록!$F$4:$K$586,4,0)</f>
        <v>열기2-04.민사소송법\02.문제\[기출][2022-1-1]예비적 병합에서 일부 판결의 적법성 및 누락된 청구에 대한 불복방법.txt</v>
      </c>
      <c r="M82" s="328" t="str">
        <f>VLOOKUP(D82,통합목록!$F$4:$K$586,6,0)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2892</v>
      </c>
      <c r="C83" s="295" t="s">
        <v>1193</v>
      </c>
      <c r="D83" s="296" t="s">
        <v>125</v>
      </c>
      <c r="E83" s="297" t="s">
        <v>1302</v>
      </c>
      <c r="F83" s="298" t="str">
        <f>VLOOKUP(D83,통합목록!F83:H676,3,0)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VLOOKUP(D83,통합목록!$F$4:$K$586,4,0)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VLOOKUP(D83,통합목록!$F$4:$K$586,6,0)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2892</v>
      </c>
      <c r="C84" s="295" t="s">
        <v>1193</v>
      </c>
      <c r="D84" s="296" t="s">
        <v>1117</v>
      </c>
      <c r="E84" s="297" t="s">
        <v>1303</v>
      </c>
      <c r="F84" s="298" t="str">
        <f>VLOOKUP(D84,통합목록!F84:H677,3,0)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VLOOKUP(D84,통합목록!$F$4:$K$586,4,0)</f>
        <v>열기2-04.민사소송법\02.문제\[기출][2012-3]반소의 의의, 요건, 제기 및 절차, 효과.txt</v>
      </c>
      <c r="M84" s="328" t="str">
        <f>VLOOKUP(D84,통합목록!$F$4:$K$586,6,0)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2892</v>
      </c>
      <c r="C85" s="295" t="s">
        <v>1193</v>
      </c>
      <c r="D85" s="296" t="s">
        <v>127</v>
      </c>
      <c r="E85" s="297" t="s">
        <v>2310</v>
      </c>
      <c r="F85" s="298" t="str">
        <f>VLOOKUP(D85,통합목록!F85:H678,3,0)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VLOOKUP(D85,통합목록!$F$4:$K$586,4,0)</f>
        <v>열기2-04.민사소송법\02.문제\[기출][2021-3]중간확인의 소의 의의, 요건, 절차, 효력.txt</v>
      </c>
      <c r="M85" s="328" t="str">
        <f>VLOOKUP(D85,통합목록!$F$4:$K$586,6,0)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2892</v>
      </c>
      <c r="C86" s="300" t="s">
        <v>2771</v>
      </c>
      <c r="D86" s="301" t="s">
        <v>2255</v>
      </c>
      <c r="E86" s="302" t="s">
        <v>2311</v>
      </c>
      <c r="F86" s="303" t="str">
        <f>VLOOKUP(D86,통합목록!F86:H679,3,0)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VLOOKUP(D86,통합목록!$F$4:$K$586,4,0)</f>
        <v>열기2-04.민사소송법\02.문제\[모의][11.02-1]청구의 변경의 의의 및 허용 필요성, 적법요건, 소송절차 및 관할, 위반 시 조치.txt</v>
      </c>
      <c r="M86" s="330" t="str">
        <f>VLOOKUP(D86,통합목록!$F$4:$K$586,6,0)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2893</v>
      </c>
      <c r="C87" s="315" t="s">
        <v>1193</v>
      </c>
      <c r="D87" s="316" t="s">
        <v>138</v>
      </c>
      <c r="E87" s="317" t="s">
        <v>192</v>
      </c>
      <c r="F87" s="318" t="str">
        <f>VLOOKUP(D87,통합목록!F87:H680,3,0)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VLOOKUP(D87,통합목록!$F$4:$K$586,4,0)</f>
        <v>열기2-04.민사소송법\02.문제\[기출][2010-2-2]공동소송인 독립의 원칙의 의의, 내용, 보완 및 한계, 예외.txt</v>
      </c>
      <c r="M87" s="332" t="str">
        <f>VLOOKUP(D87,통합목록!$F$4:$K$586,6,0)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2893</v>
      </c>
      <c r="C88" s="295" t="s">
        <v>1193</v>
      </c>
      <c r="D88" s="296" t="s">
        <v>100</v>
      </c>
      <c r="E88" s="297" t="s">
        <v>198</v>
      </c>
      <c r="F88" s="298" t="str">
        <f>VLOOKUP(D88,통합목록!F88:H681,3,0)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VLOOKUP(D88,통합목록!$F$4:$K$586,4,0)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VLOOKUP(D88,통합목록!$F$4:$K$586,6,0)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2893</v>
      </c>
      <c r="C89" s="295" t="s">
        <v>1193</v>
      </c>
      <c r="D89" s="296" t="s">
        <v>137</v>
      </c>
      <c r="E89" s="297" t="s">
        <v>1302</v>
      </c>
      <c r="F89" s="298" t="str">
        <f>VLOOKUP(D89,통합목록!F89:H682,3,0)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VLOOKUP(D89,통합목록!$F$4:$K$586,4,0)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VLOOKUP(D89,통합목록!$F$4:$K$586,6,0)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2893</v>
      </c>
      <c r="C90" s="295" t="s">
        <v>1193</v>
      </c>
      <c r="D90" s="296" t="s">
        <v>136</v>
      </c>
      <c r="E90" s="297" t="s">
        <v>1303</v>
      </c>
      <c r="F90" s="298" t="str">
        <f>VLOOKUP(D90,통합목록!F90:H683,3,0)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VLOOKUP(D90,통합목록!$F$4:$K$586,4,0)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VLOOKUP(D90,통합목록!$F$4:$K$586,6,0)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2893</v>
      </c>
      <c r="C91" s="295" t="s">
        <v>1193</v>
      </c>
      <c r="D91" s="296" t="s">
        <v>135</v>
      </c>
      <c r="E91" s="297" t="s">
        <v>2310</v>
      </c>
      <c r="F91" s="298" t="str">
        <f>VLOOKUP(D91,통합목록!F91:H684,3,0)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VLOOKUP(D91,통합목록!$F$4:$K$586,4,0)</f>
        <v>열기2-04.민사소송법\02.문제\[기출][2020-3]유사필수적 공동소송의 의의, 성립요건 및 소송수행상의 특징.txt</v>
      </c>
      <c r="M91" s="328" t="str">
        <f>VLOOKUP(D91,통합목록!$F$4:$K$586,6,0)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2893</v>
      </c>
      <c r="C92" s="295" t="s">
        <v>1193</v>
      </c>
      <c r="D92" s="296" t="s">
        <v>134</v>
      </c>
      <c r="E92" s="297" t="s">
        <v>2311</v>
      </c>
      <c r="F92" s="298" t="str">
        <f>VLOOKUP(D92,통합목록!F92:H685,3,0)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VLOOKUP(D92,통합목록!$F$4:$K$586,4,0)</f>
        <v>열기2-04.민사소송법\02.문제\[기출][2021-1-2]공동소송인 독립의 원칙과 증거공통의 원칙에 따른 청구기각 판결의 적법성.txt</v>
      </c>
      <c r="M92" s="328" t="str">
        <f>VLOOKUP(D92,통합목록!$F$4:$K$586,6,0)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2893</v>
      </c>
      <c r="C93" s="295" t="s">
        <v>1193</v>
      </c>
      <c r="D93" s="296" t="s">
        <v>1118</v>
      </c>
      <c r="E93" s="297" t="s">
        <v>2312</v>
      </c>
      <c r="F93" s="298" t="str">
        <f>VLOOKUP(D93,통합목록!F93:H686,3,0)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VLOOKUP(D93,통합목록!$F$4:$K$586,4,0)</f>
        <v>열기2-04.민사소송법\02.문제\[기출][2022-1-2]공동선정당사자 중 1인의 진술이 가지는 소송상 효력.txt</v>
      </c>
      <c r="M93" s="328" t="str">
        <f>VLOOKUP(D93,통합목록!$F$4:$K$586,6,0)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2893</v>
      </c>
      <c r="C94" s="295" t="s">
        <v>1193</v>
      </c>
      <c r="D94" s="296" t="s">
        <v>133</v>
      </c>
      <c r="E94" s="297" t="s">
        <v>2313</v>
      </c>
      <c r="F94" s="298" t="str">
        <f>VLOOKUP(D94,통합목록!F94:H687,3,0)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VLOOKUP(D94,통합목록!$F$4:$K$586,4,0)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VLOOKUP(D94,통합목록!$F$4:$K$586,6,0)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2893</v>
      </c>
      <c r="C95" s="295" t="s">
        <v>2771</v>
      </c>
      <c r="D95" s="296" t="s">
        <v>1126</v>
      </c>
      <c r="E95" s="297" t="s">
        <v>2314</v>
      </c>
      <c r="F95" s="298" t="str">
        <f>VLOOKUP(D95,통합목록!F95:H688,3,0)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VLOOKUP(D95,통합목록!$F$4:$K$586,4,0)</f>
        <v>열기2-04.민사소송법\02.문제\[모의][12.01-1]민법상 조합의 당사자능력 및 선정당사자 제도의 요건과 효과.txt</v>
      </c>
      <c r="M95" s="328" t="str">
        <f>VLOOKUP(D95,통합목록!$F$4:$K$586,6,0)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2893</v>
      </c>
      <c r="C96" s="295" t="s">
        <v>2771</v>
      </c>
      <c r="D96" s="296" t="s">
        <v>2256</v>
      </c>
      <c r="E96" s="297" t="s">
        <v>2315</v>
      </c>
      <c r="F96" s="298" t="str">
        <f>VLOOKUP(D96,통합목록!F96:H689,3,0)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VLOOKUP(D96,통합목록!$F$4:$K$586,4,0)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VLOOKUP(D96,통합목록!$F$4:$K$586,6,0)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2893</v>
      </c>
      <c r="C97" s="295" t="s">
        <v>1193</v>
      </c>
      <c r="D97" s="296" t="s">
        <v>142</v>
      </c>
      <c r="E97" s="297" t="s">
        <v>2316</v>
      </c>
      <c r="F97" s="298" t="str">
        <f>VLOOKUP(D97,통합목록!F97:H690,3,0)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VLOOKUP(D97,통합목록!$F$4:$K$586,4,0)</f>
        <v>열기2-04.민사소송법\02.문제\[기출][2011-2-1]보조참가인에 대한 재판의 효력의 의의 및 성질과 범위.txt</v>
      </c>
      <c r="M97" s="328" t="str">
        <f>VLOOKUP(D97,통합목록!$F$4:$K$586,6,0)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2893</v>
      </c>
      <c r="C98" s="295" t="s">
        <v>1193</v>
      </c>
      <c r="D98" s="296" t="s">
        <v>93</v>
      </c>
      <c r="E98" s="297" t="s">
        <v>2317</v>
      </c>
      <c r="F98" s="298" t="str">
        <f>VLOOKUP(D98,통합목록!F98:H691,3,0)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VLOOKUP(D98,통합목록!$F$4:$K$586,4,0)</f>
        <v>열기2-04.민사소송법\02.문제\[기출][2017-1-1]보조참가인에 대한 전소 판결의 참가적 효력 인정 여부.txt</v>
      </c>
      <c r="M98" s="328" t="str">
        <f>VLOOKUP(D98,통합목록!$F$4:$K$586,6,0)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2893</v>
      </c>
      <c r="C99" s="295" t="s">
        <v>1193</v>
      </c>
      <c r="D99" s="296" t="s">
        <v>1119</v>
      </c>
      <c r="E99" s="297" t="s">
        <v>2318</v>
      </c>
      <c r="F99" s="298" t="str">
        <f>VLOOKUP(D99,통합목록!F99:H692,3,0)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VLOOKUP(D99,통합목록!$F$4:$K$586,4,0)</f>
        <v>열기2-04.민사소송법\02.문제\[기출][2018-2]소송고지의 의의, 요건, 절차 및 방식, 효력.txt</v>
      </c>
      <c r="M99" s="328" t="str">
        <f>VLOOKUP(D99,통합목록!$F$4:$K$586,6,0)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2893</v>
      </c>
      <c r="C100" s="295" t="s">
        <v>1193</v>
      </c>
      <c r="D100" s="296" t="s">
        <v>141</v>
      </c>
      <c r="E100" s="297" t="s">
        <v>2319</v>
      </c>
      <c r="F100" s="298" t="str">
        <f>VLOOKUP(D100,통합목록!F100:H693,3,0)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VLOOKUP(D100,통합목록!$F$4:$K$586,4,0)</f>
        <v>열기2-04.민사소송법\02.문제\[기출][2019-3]공동소송참가의 의의, 성립요건 및 소송수행상의 효력.txt</v>
      </c>
      <c r="M100" s="328" t="str">
        <f>VLOOKUP(D100,통합목록!$F$4:$K$586,6,0)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2893</v>
      </c>
      <c r="C101" s="300" t="s">
        <v>1193</v>
      </c>
      <c r="D101" s="301" t="s">
        <v>95</v>
      </c>
      <c r="E101" s="302" t="s">
        <v>2320</v>
      </c>
      <c r="F101" s="303" t="str">
        <f>VLOOKUP(D101,통합목록!F101:H694,3,0)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VLOOKUP(D101,통합목록!$F$4:$K$586,4,0)</f>
        <v>열기2-04.민사소송법\02.문제\[기출][2017-1-2]소송계속 중 당사자 사망을 간과한 판결의 효력과 상속인에 대한 승계 여부.txt</v>
      </c>
      <c r="M101" s="330" t="str">
        <f>VLOOKUP(D101,통합목록!$F$4:$K$586,6,0)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2894</v>
      </c>
      <c r="C102" s="315" t="s">
        <v>2771</v>
      </c>
      <c r="D102" s="316" t="s">
        <v>1127</v>
      </c>
      <c r="E102" s="317" t="s">
        <v>192</v>
      </c>
      <c r="F102" s="318" t="str">
        <f>VLOOKUP(D102,통합목록!F102:H695,3,0)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VLOOKUP(D102,통합목록!$F$4:$K$586,4,0)</f>
        <v>열기2-04.민사소송법\02.문제\[모의][13.02-1]항소기간 도과와 소송행위의 추후보완 요건 및 절차.txt</v>
      </c>
      <c r="M102" s="332" t="str">
        <f>VLOOKUP(D102,통합목록!$F$4:$K$586,6,0)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2894</v>
      </c>
      <c r="C103" s="295" t="s">
        <v>2771</v>
      </c>
      <c r="D103" s="296" t="s">
        <v>1128</v>
      </c>
      <c r="E103" s="297" t="s">
        <v>198</v>
      </c>
      <c r="F103" s="298" t="str">
        <f>VLOOKUP(D103,통합목록!F103:H696,3,0)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VLOOKUP(D103,통합목록!$F$4:$K$586,4,0)</f>
        <v>열기2-04.민사소송법\02.문제\[모의][13.02-2]상소권 포기의 효력 및 형식적 불복설에 따른 상소의 이익 인정 여부.txt</v>
      </c>
      <c r="M103" s="328" t="str">
        <f>VLOOKUP(D103,통합목록!$F$4:$K$586,6,0)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2894</v>
      </c>
      <c r="C104" s="300" t="s">
        <v>1193</v>
      </c>
      <c r="D104" s="301" t="s">
        <v>1120</v>
      </c>
      <c r="E104" s="302" t="s">
        <v>199</v>
      </c>
      <c r="F104" s="303" t="str">
        <f>VLOOKUP(D104,통합목록!F104:H697,3,0)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VLOOKUP(D104,통합목록!$F$4:$K$586,4,0)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VLOOKUP(D104,통합목록!$F$4:$K$586,6,0)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2895</v>
      </c>
      <c r="C105" s="310" t="s">
        <v>1193</v>
      </c>
      <c r="D105" s="311" t="s">
        <v>1121</v>
      </c>
      <c r="E105" s="312" t="s">
        <v>192</v>
      </c>
      <c r="F105" s="313" t="str">
        <f>VLOOKUP(D105,통합목록!F105:H698,3,0)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VLOOKUP(D105,통합목록!$F$4:$K$586,4,0)</f>
        <v>열기2-04.민사소송법\02.문제\[기출][2023-3]부대항소의 의의, 요건, 절차와 방식, 효력, 특수한 경우의 부대항소.txt</v>
      </c>
      <c r="M105" s="334" t="str">
        <f>VLOOKUP(D105,통합목록!$F$4:$K$586,6,0)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2895</v>
      </c>
      <c r="C106" s="271" t="s">
        <v>2771</v>
      </c>
      <c r="D106" s="272" t="s">
        <v>1129</v>
      </c>
      <c r="E106" s="273" t="s">
        <v>198</v>
      </c>
      <c r="F106" s="289" t="str">
        <f>VLOOKUP(D106,통합목록!F106:H699,3,0)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VLOOKUP(D106,통합목록!$F$4:$K$586,4,0)</f>
        <v>열기2-04.민사소송법\02.문제\[모의][14.03-1]항소심의 속심제 구조와 소멸시효 항변의 적시제출의무 위반 여부.txt</v>
      </c>
      <c r="M106" s="336" t="str">
        <f>VLOOKUP(D106,통합목록!$F$4:$K$586,6,0)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2895</v>
      </c>
      <c r="C107" s="271" t="s">
        <v>2771</v>
      </c>
      <c r="D107" s="272" t="s">
        <v>1130</v>
      </c>
      <c r="E107" s="273" t="s">
        <v>199</v>
      </c>
      <c r="F107" s="289" t="str">
        <f>VLOOKUP(D107,통합목록!F107:H700,3,0)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VLOOKUP(D107,통합목록!$F$4:$K$586,4,0)</f>
        <v>열기2-04.민사소송법\02.문제\[모의][14.03-2]항소심 변론의 범위와 상계항변의 적시제출주의 위반 여부 및 판례의 태도.txt</v>
      </c>
      <c r="M107" s="336" t="str">
        <f>VLOOKUP(D107,통합목록!$F$4:$K$586,6,0)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2895</v>
      </c>
      <c r="C108" s="271" t="s">
        <v>2771</v>
      </c>
      <c r="D108" s="272" t="s">
        <v>1131</v>
      </c>
      <c r="E108" s="273" t="s">
        <v>201</v>
      </c>
      <c r="F108" s="289" t="str">
        <f>VLOOKUP(D108,통합목록!F108:H701,3,0)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VLOOKUP(D108,통합목록!$F$4:$K$586,4,0)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VLOOKUP(D108,통합목록!$F$4:$K$586,6,0)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2895</v>
      </c>
      <c r="C109" s="305" t="s">
        <v>2771</v>
      </c>
      <c r="D109" s="306" t="s">
        <v>1132</v>
      </c>
      <c r="E109" s="307" t="s">
        <v>204</v>
      </c>
      <c r="F109" s="308" t="str">
        <f>VLOOKUP(D109,통합목록!F109:H702,3,0)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VLOOKUP(D109,통합목록!$F$4:$K$586,4,0)</f>
        <v>열기2-04.민사소송법\02.문제\[모의][14.04-2]제1심의 소각하판결이 부당한 경우 항소심 법원의 환송 및 자판 여부.txt</v>
      </c>
      <c r="M109" s="338" t="str">
        <f>VLOOKUP(D109,통합목록!$F$4:$K$586,6,0)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2896</v>
      </c>
      <c r="C110" s="315" t="s">
        <v>2771</v>
      </c>
      <c r="D110" s="316" t="s">
        <v>1133</v>
      </c>
      <c r="E110" s="317" t="s">
        <v>192</v>
      </c>
      <c r="F110" s="318" t="str">
        <f>VLOOKUP(D110,통합목록!F110:H703,3,0)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VLOOKUP(D110,통합목록!$F$4:$K$586,4,0)</f>
        <v>열기2-04.민사소송법\02.문제\[모의][15.02-1]상고이유서 제출기한 도과 후 제출된 절대적 상고이유의 심리 가능성 여부.txt</v>
      </c>
      <c r="M110" s="332" t="str">
        <f>VLOOKUP(D110,통합목록!$F$4:$K$586,6,0)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2896</v>
      </c>
      <c r="C111" s="295" t="s">
        <v>2771</v>
      </c>
      <c r="D111" s="296" t="s">
        <v>1134</v>
      </c>
      <c r="E111" s="297" t="s">
        <v>198</v>
      </c>
      <c r="F111" s="298" t="str">
        <f>VLOOKUP(D111,통합목록!F111:H704,3,0)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VLOOKUP(D111,통합목록!$F$4:$K$586,4,0)</f>
        <v>열기2-04.민사소송법\02.문제\[모의][15.02-2]상고심의 직권조사사항의 근거와 한계.txt</v>
      </c>
      <c r="M111" s="328" t="str">
        <f>VLOOKUP(D111,통합목록!$F$4:$K$586,6,0)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2896</v>
      </c>
      <c r="C112" s="295" t="s">
        <v>2771</v>
      </c>
      <c r="D112" s="296" t="s">
        <v>1135</v>
      </c>
      <c r="E112" s="297" t="s">
        <v>199</v>
      </c>
      <c r="F112" s="298" t="str">
        <f>VLOOKUP(D112,통합목록!F112:H705,3,0)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VLOOKUP(D112,통합목록!$F$4:$K$586,4,0)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VLOOKUP(D112,통합목록!$F$4:$K$586,6,0)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2896</v>
      </c>
      <c r="C113" s="295" t="s">
        <v>2771</v>
      </c>
      <c r="D113" s="296" t="s">
        <v>1136</v>
      </c>
      <c r="E113" s="297" t="s">
        <v>201</v>
      </c>
      <c r="F113" s="298" t="str">
        <f>VLOOKUP(D113,통합목록!F113:H706,3,0)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VLOOKUP(D113,통합목록!$F$4:$K$586,4,0)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VLOOKUP(D113,통합목록!$F$4:$K$586,6,0)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2896</v>
      </c>
      <c r="C114" s="295" t="s">
        <v>2771</v>
      </c>
      <c r="D114" s="296" t="s">
        <v>1137</v>
      </c>
      <c r="E114" s="297" t="s">
        <v>204</v>
      </c>
      <c r="F114" s="298" t="str">
        <f>VLOOKUP(D114,통합목록!F114:H707,3,0)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VLOOKUP(D114,통합목록!$F$4:$K$586,4,0)</f>
        <v>열기2-04.민사소송법\02.문제\[모의][15.04-1]파기환송 판결의 기속력 및 범위와 사실관계 변동 시 기속력의 한계.txt</v>
      </c>
      <c r="M114" s="328" t="str">
        <f>VLOOKUP(D114,통합목록!$F$4:$K$586,6,0)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2896</v>
      </c>
      <c r="C115" s="300" t="s">
        <v>2771</v>
      </c>
      <c r="D115" s="301" t="s">
        <v>1138</v>
      </c>
      <c r="E115" s="302" t="s">
        <v>208</v>
      </c>
      <c r="F115" s="303" t="str">
        <f>VLOOKUP(D115,통합목록!F115:H708,3,0)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VLOOKUP(D115,통합목록!$F$4:$K$586,4,0)</f>
        <v>열기2-04.민사소송법\02.문제\[모의][15.04-2]파기자판의 요건 및 상고기각 판결 확정 후의 불복 방법.txt</v>
      </c>
      <c r="M115" s="330" t="str">
        <f>VLOOKUP(D115,통합목록!$F$4:$K$586,6,0)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2897</v>
      </c>
      <c r="C116" s="315" t="s">
        <v>2771</v>
      </c>
      <c r="D116" s="316" t="s">
        <v>1139</v>
      </c>
      <c r="E116" s="317" t="s">
        <v>192</v>
      </c>
      <c r="F116" s="318" t="str">
        <f>VLOOKUP(D116,통합목록!F116:H709,3,0)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VLOOKUP(D116,통합목록!$F$4:$K$586,4,0)</f>
        <v>열기2-04.민사소송법\02.문제\[모의][16.02-1]소장각하명령에 대한 항고절차 및 항고법원의 조치.txt</v>
      </c>
      <c r="M116" s="332" t="str">
        <f>VLOOKUP(D116,통합목록!$F$4:$K$586,6,0)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2897</v>
      </c>
      <c r="C117" s="300" t="s">
        <v>2771</v>
      </c>
      <c r="D117" s="301" t="s">
        <v>1140</v>
      </c>
      <c r="E117" s="302" t="s">
        <v>198</v>
      </c>
      <c r="F117" s="303" t="str">
        <f>VLOOKUP(D117,통합목록!F117:H710,3,0)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VLOOKUP(D117,통합목록!$F$4:$K$586,4,0)</f>
        <v>열기2-04.민사소송법\02.문제\[모의][16.02-2]즉시항고의 항고이유서 제출 기한의 성질과 효과 및 각하 가능성.txt</v>
      </c>
      <c r="M117" s="330" t="str">
        <f>VLOOKUP(D117,통합목록!$F$4:$K$586,6,0)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2898</v>
      </c>
      <c r="C118" s="310" t="s">
        <v>2771</v>
      </c>
      <c r="D118" s="311" t="s">
        <v>1141</v>
      </c>
      <c r="E118" s="312" t="s">
        <v>192</v>
      </c>
      <c r="F118" s="313" t="str">
        <f>VLOOKUP(D118,통합목록!F118:H711,3,0)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VLOOKUP(D118,통합목록!$F$4:$K$586,4,0)</f>
        <v>열기2-04.민사소송법\02.문제\[모의][17.02-1]재심의 소송물 이론에 따른 재심사유의 관계 및 본안 심리 절차의 구조.txt</v>
      </c>
      <c r="M118" s="334" t="str">
        <f>VLOOKUP(D118,통합목록!$F$4:$K$586,6,0)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2898</v>
      </c>
      <c r="C119" s="271" t="s">
        <v>2771</v>
      </c>
      <c r="D119" s="272" t="s">
        <v>1142</v>
      </c>
      <c r="E119" s="273" t="s">
        <v>198</v>
      </c>
      <c r="F119" s="289" t="str">
        <f>VLOOKUP(D119,통합목록!F119:H712,3,0)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VLOOKUP(D119,통합목록!$F$4:$K$586,4,0)</f>
        <v>열기2-04.민사소송법\02.문제\[모의][17.02-2]재심제기기간의 기산점 판단 및 재심판결에 대한 재심의 소송물 확정.txt</v>
      </c>
      <c r="M119" s="336" t="str">
        <f>VLOOKUP(D119,통합목록!$F$4:$K$586,6,0)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2898</v>
      </c>
      <c r="C120" s="271" t="s">
        <v>2771</v>
      </c>
      <c r="D120" s="272" t="s">
        <v>1143</v>
      </c>
      <c r="E120" s="273" t="s">
        <v>199</v>
      </c>
      <c r="F120" s="289" t="str">
        <f>VLOOKUP(D120,통합목록!F120:H713,3,0)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VLOOKUP(D120,통합목록!$F$4:$K$586,4,0)</f>
        <v>열기2-04.민사소송법\02.문제\[모의][17.03-1]재심사유의 보충성 원칙 위배 여부 및 재심대상의 확정 원칙.txt</v>
      </c>
      <c r="M120" s="336" t="str">
        <f>VLOOKUP(D120,통합목록!$F$4:$K$586,6,0)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2898</v>
      </c>
      <c r="C121" s="271" t="s">
        <v>2771</v>
      </c>
      <c r="D121" s="272" t="s">
        <v>1144</v>
      </c>
      <c r="E121" s="273" t="s">
        <v>201</v>
      </c>
      <c r="F121" s="289" t="str">
        <f>VLOOKUP(D121,통합목록!F121:H714,3,0)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VLOOKUP(D121,통합목록!$F$4:$K$586,4,0)</f>
        <v>열기2-04.민사소송법\02.문제\[모의][17.03-2]재심제기기간의 적법성 판단 및 준재심의 요건과 절차.txt</v>
      </c>
      <c r="M121" s="336" t="str">
        <f>VLOOKUP(D121,통합목록!$F$4:$K$586,6,0)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2898</v>
      </c>
      <c r="C122" s="271" t="s">
        <v>2771</v>
      </c>
      <c r="D122" s="272" t="s">
        <v>2257</v>
      </c>
      <c r="E122" s="273" t="s">
        <v>204</v>
      </c>
      <c r="F122" s="289" t="str">
        <f>VLOOKUP(D122,통합목록!F122:H715,3,0)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VLOOKUP(D122,통합목록!$F$4:$K$586,4,0)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VLOOKUP(D122,통합목록!$F$4:$K$586,6,0)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2898</v>
      </c>
      <c r="C123" s="271" t="s">
        <v>2771</v>
      </c>
      <c r="D123" s="272" t="s">
        <v>1145</v>
      </c>
      <c r="E123" s="273" t="s">
        <v>208</v>
      </c>
      <c r="F123" s="289" t="str">
        <f>VLOOKUP(D123,통합목록!F123:H716,3,0)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VLOOKUP(D123,통합목록!$F$4:$K$586,4,0)</f>
        <v>열기2-04.민사소송법\02.문제\[모의][17.04-1]재심절차의 본안심리에서 새로운 공격방어방법 제출 가능성 및 심판 범위.txt</v>
      </c>
      <c r="M123" s="336" t="str">
        <f>VLOOKUP(D123,통합목록!$F$4:$K$586,6,0)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2898</v>
      </c>
      <c r="C124" s="271" t="s">
        <v>2771</v>
      </c>
      <c r="D124" s="272" t="s">
        <v>1146</v>
      </c>
      <c r="E124" s="273" t="s">
        <v>209</v>
      </c>
      <c r="F124" s="289" t="str">
        <f>VLOOKUP(D124,통합목록!F124:H717,3,0)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VLOOKUP(D124,통합목록!$F$4:$K$586,4,0)</f>
        <v>열기2-04.민사소송법\02.문제\[모의][17.04-2]재심대상판결의 취소에 따른 강제집행 결과의 원상회복청구 방법 및 요건.txt</v>
      </c>
      <c r="M124" s="336" t="str">
        <f>VLOOKUP(D124,통합목록!$F$4:$K$586,6,0)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2898</v>
      </c>
      <c r="C125" s="271" t="s">
        <v>2771</v>
      </c>
      <c r="D125" s="272" t="s">
        <v>2126</v>
      </c>
      <c r="E125" s="273" t="s">
        <v>212</v>
      </c>
      <c r="F125" s="289" t="str">
        <f>VLOOKUP(D125,통합목록!F125:H718,3,0)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VLOOKUP(D125,통합목록!$F$4:$K$586,4,0)</f>
        <v>열기2-04.민사소송법\02.문제\[모의][17.05-1]확정된 화해권고결정에 대한 준재심의 소의 요건과 재심 규정의 준용 범위.txt</v>
      </c>
      <c r="M125" s="336" t="str">
        <f>VLOOKUP(D125,통합목록!$F$4:$K$586,6,0)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2898</v>
      </c>
      <c r="C126" s="305" t="s">
        <v>2771</v>
      </c>
      <c r="D126" s="306" t="s">
        <v>2128</v>
      </c>
      <c r="E126" s="307" t="s">
        <v>216</v>
      </c>
      <c r="F126" s="308" t="str">
        <f>VLOOKUP(D126,통합목록!F126:H719,3,0)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VLOOKUP(D126,통합목록!$F$4:$K$586,4,0)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VLOOKUP(D126,통합목록!$F$4:$K$586,6,0)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11" activePane="bottomLeft" state="frozen"/>
      <selection pane="bottomLeft" activeCell="K18" sqref="K18"/>
    </sheetView>
  </sheetViews>
  <sheetFormatPr defaultRowHeight="13.5" x14ac:dyDescent="0.2"/>
  <cols>
    <col min="1" max="1" width="0.85546875" style="352" customWidth="1"/>
    <col min="2" max="2" width="14.7109375" style="352" customWidth="1"/>
    <col min="3" max="3" width="16.7109375" style="352" customWidth="1"/>
    <col min="4" max="4" width="21.7109375" style="352" customWidth="1"/>
    <col min="5" max="5" width="5.140625" style="352" bestFit="1" customWidth="1"/>
    <col min="6" max="11" width="34.5703125" style="352" customWidth="1"/>
    <col min="12" max="16384" width="9.140625" style="352"/>
  </cols>
  <sheetData>
    <row r="2" spans="2:11" x14ac:dyDescent="0.2">
      <c r="B2" s="361" t="s">
        <v>3222</v>
      </c>
      <c r="C2" s="361" t="s">
        <v>3223</v>
      </c>
      <c r="D2" s="361" t="s">
        <v>3224</v>
      </c>
      <c r="E2" s="361" t="s">
        <v>3239</v>
      </c>
      <c r="F2" s="361" t="s">
        <v>3113</v>
      </c>
      <c r="G2" s="361" t="s">
        <v>3114</v>
      </c>
      <c r="H2" s="361" t="s">
        <v>3142</v>
      </c>
      <c r="I2" s="361" t="s">
        <v>626</v>
      </c>
      <c r="J2" s="361" t="s">
        <v>3144</v>
      </c>
      <c r="K2" s="361" t="s">
        <v>3143</v>
      </c>
    </row>
    <row r="3" spans="2:11" ht="54.75" customHeight="1" x14ac:dyDescent="0.2">
      <c r="B3" s="362" t="s">
        <v>3106</v>
      </c>
      <c r="C3" s="363" t="s">
        <v>3108</v>
      </c>
      <c r="D3" s="368" t="s">
        <v>3115</v>
      </c>
      <c r="E3" s="369"/>
      <c r="F3" s="374" t="s">
        <v>3145</v>
      </c>
      <c r="G3" s="374" t="s">
        <v>3146</v>
      </c>
      <c r="H3" s="374" t="s">
        <v>3147</v>
      </c>
      <c r="I3" s="374" t="s">
        <v>3148</v>
      </c>
      <c r="J3" s="374" t="s">
        <v>3149</v>
      </c>
      <c r="K3" s="374" t="s">
        <v>3150</v>
      </c>
    </row>
    <row r="4" spans="2:11" ht="54.75" customHeight="1" x14ac:dyDescent="0.2">
      <c r="B4" s="364" t="s">
        <v>3106</v>
      </c>
      <c r="C4" s="365" t="s">
        <v>3108</v>
      </c>
      <c r="D4" s="370" t="s">
        <v>3116</v>
      </c>
      <c r="E4" s="371"/>
      <c r="F4" s="375" t="s">
        <v>3151</v>
      </c>
      <c r="G4" s="375" t="s">
        <v>3152</v>
      </c>
      <c r="H4" s="375" t="s">
        <v>3153</v>
      </c>
      <c r="I4" s="375" t="s">
        <v>3154</v>
      </c>
      <c r="J4" s="375" t="s">
        <v>3155</v>
      </c>
      <c r="K4" s="375" t="s">
        <v>3156</v>
      </c>
    </row>
    <row r="5" spans="2:11" ht="54.75" customHeight="1" x14ac:dyDescent="0.2">
      <c r="B5" s="364" t="s">
        <v>3106</v>
      </c>
      <c r="C5" s="365" t="s">
        <v>3108</v>
      </c>
      <c r="D5" s="370" t="s">
        <v>248</v>
      </c>
      <c r="E5" s="371"/>
      <c r="F5" s="375" t="s">
        <v>3157</v>
      </c>
      <c r="G5" s="375" t="s">
        <v>3220</v>
      </c>
      <c r="H5" s="375" t="s">
        <v>3158</v>
      </c>
      <c r="I5" s="375" t="s">
        <v>3159</v>
      </c>
      <c r="J5" s="375" t="s">
        <v>3160</v>
      </c>
      <c r="K5" s="375" t="s">
        <v>3161</v>
      </c>
    </row>
    <row r="6" spans="2:11" ht="54.75" customHeight="1" x14ac:dyDescent="0.2">
      <c r="B6" s="364" t="s">
        <v>3106</v>
      </c>
      <c r="C6" s="366" t="s">
        <v>3108</v>
      </c>
      <c r="D6" s="372" t="s">
        <v>585</v>
      </c>
      <c r="E6" s="373"/>
      <c r="F6" s="376" t="s">
        <v>3162</v>
      </c>
      <c r="G6" s="376" t="s">
        <v>3163</v>
      </c>
      <c r="H6" s="376" t="s">
        <v>3153</v>
      </c>
      <c r="I6" s="376" t="s">
        <v>3164</v>
      </c>
      <c r="J6" s="376" t="s">
        <v>3165</v>
      </c>
      <c r="K6" s="376" t="s">
        <v>3166</v>
      </c>
    </row>
    <row r="7" spans="2:11" ht="54.75" customHeight="1" x14ac:dyDescent="0.2">
      <c r="B7" s="364" t="s">
        <v>3106</v>
      </c>
      <c r="C7" s="363" t="s">
        <v>3109</v>
      </c>
      <c r="D7" s="368" t="s">
        <v>3117</v>
      </c>
      <c r="E7" s="369" t="s">
        <v>1249</v>
      </c>
      <c r="F7" s="374" t="s">
        <v>3167</v>
      </c>
      <c r="G7" s="374" t="s">
        <v>3225</v>
      </c>
      <c r="H7" s="374" t="s">
        <v>3168</v>
      </c>
      <c r="I7" s="374" t="s">
        <v>3164</v>
      </c>
      <c r="J7" s="374" t="s">
        <v>3169</v>
      </c>
      <c r="K7" s="374" t="s">
        <v>3170</v>
      </c>
    </row>
    <row r="8" spans="2:11" ht="54.75" customHeight="1" x14ac:dyDescent="0.2">
      <c r="B8" s="364" t="s">
        <v>3106</v>
      </c>
      <c r="C8" s="365" t="s">
        <v>3109</v>
      </c>
      <c r="D8" s="370" t="s">
        <v>590</v>
      </c>
      <c r="E8" s="371"/>
      <c r="F8" s="375" t="s">
        <v>3171</v>
      </c>
      <c r="G8" s="375" t="s">
        <v>3172</v>
      </c>
      <c r="H8" s="375" t="s">
        <v>3173</v>
      </c>
      <c r="I8" s="375" t="s">
        <v>3164</v>
      </c>
      <c r="J8" s="375" t="s">
        <v>3174</v>
      </c>
      <c r="K8" s="375" t="s">
        <v>3230</v>
      </c>
    </row>
    <row r="9" spans="2:11" ht="54.75" customHeight="1" x14ac:dyDescent="0.2">
      <c r="B9" s="367" t="s">
        <v>3106</v>
      </c>
      <c r="C9" s="366" t="s">
        <v>3109</v>
      </c>
      <c r="D9" s="372" t="s">
        <v>427</v>
      </c>
      <c r="E9" s="373"/>
      <c r="F9" s="376" t="s">
        <v>3175</v>
      </c>
      <c r="G9" s="376" t="s">
        <v>3176</v>
      </c>
      <c r="H9" s="376" t="s">
        <v>3173</v>
      </c>
      <c r="I9" s="376" t="s">
        <v>3177</v>
      </c>
      <c r="J9" s="376" t="s">
        <v>3178</v>
      </c>
      <c r="K9" s="376" t="s">
        <v>3179</v>
      </c>
    </row>
    <row r="10" spans="2:11" ht="54.75" customHeight="1" x14ac:dyDescent="0.2">
      <c r="B10" s="362" t="s">
        <v>3107</v>
      </c>
      <c r="C10" s="363" t="s">
        <v>3110</v>
      </c>
      <c r="D10" s="368" t="s">
        <v>599</v>
      </c>
      <c r="E10" s="369"/>
      <c r="F10" s="374" t="s">
        <v>3226</v>
      </c>
      <c r="G10" s="374" t="s">
        <v>3180</v>
      </c>
      <c r="H10" s="374" t="s">
        <v>3181</v>
      </c>
      <c r="I10" s="374" t="s">
        <v>3182</v>
      </c>
      <c r="J10" s="374" t="s">
        <v>3183</v>
      </c>
      <c r="K10" s="374" t="s">
        <v>3229</v>
      </c>
    </row>
    <row r="11" spans="2:11" ht="54.75" customHeight="1" x14ac:dyDescent="0.2">
      <c r="B11" s="364" t="s">
        <v>3107</v>
      </c>
      <c r="C11" s="365" t="s">
        <v>3110</v>
      </c>
      <c r="D11" s="370" t="s">
        <v>250</v>
      </c>
      <c r="E11" s="371"/>
      <c r="F11" s="375" t="s">
        <v>3238</v>
      </c>
      <c r="G11" s="375" t="s">
        <v>3184</v>
      </c>
      <c r="H11" s="375" t="s">
        <v>3185</v>
      </c>
      <c r="I11" s="375" t="s">
        <v>3186</v>
      </c>
      <c r="J11" s="375" t="s">
        <v>3227</v>
      </c>
      <c r="K11" s="375" t="s">
        <v>3228</v>
      </c>
    </row>
    <row r="12" spans="2:11" ht="54.75" customHeight="1" x14ac:dyDescent="0.2">
      <c r="B12" s="364" t="s">
        <v>3107</v>
      </c>
      <c r="C12" s="365" t="s">
        <v>3110</v>
      </c>
      <c r="D12" s="370" t="s">
        <v>605</v>
      </c>
      <c r="E12" s="371" t="s">
        <v>1249</v>
      </c>
      <c r="F12" s="375" t="s">
        <v>3221</v>
      </c>
      <c r="G12" s="375" t="s">
        <v>3187</v>
      </c>
      <c r="H12" s="375" t="s">
        <v>3188</v>
      </c>
      <c r="I12" s="375" t="s">
        <v>3164</v>
      </c>
      <c r="J12" s="375" t="s">
        <v>3189</v>
      </c>
      <c r="K12" s="375" t="s">
        <v>3237</v>
      </c>
    </row>
    <row r="13" spans="2:11" ht="54.75" customHeight="1" x14ac:dyDescent="0.2">
      <c r="B13" s="364" t="s">
        <v>3107</v>
      </c>
      <c r="C13" s="366" t="s">
        <v>3110</v>
      </c>
      <c r="D13" s="372" t="s">
        <v>612</v>
      </c>
      <c r="E13" s="373"/>
      <c r="F13" s="376" t="s">
        <v>3190</v>
      </c>
      <c r="G13" s="376" t="s">
        <v>3176</v>
      </c>
      <c r="H13" s="376" t="s">
        <v>3191</v>
      </c>
      <c r="I13" s="376" t="s">
        <v>3164</v>
      </c>
      <c r="J13" s="376" t="s">
        <v>3192</v>
      </c>
      <c r="K13" s="376" t="s">
        <v>3231</v>
      </c>
    </row>
    <row r="14" spans="2:11" ht="54.75" customHeight="1" x14ac:dyDescent="0.2">
      <c r="B14" s="364" t="s">
        <v>3107</v>
      </c>
      <c r="C14" s="363" t="s">
        <v>3111</v>
      </c>
      <c r="D14" s="368" t="s">
        <v>3118</v>
      </c>
      <c r="E14" s="369" t="s">
        <v>1249</v>
      </c>
      <c r="F14" s="374" t="s">
        <v>3241</v>
      </c>
      <c r="G14" s="374" t="s">
        <v>3244</v>
      </c>
      <c r="H14" s="374" t="s">
        <v>3193</v>
      </c>
      <c r="I14" s="374" t="s">
        <v>3194</v>
      </c>
      <c r="J14" s="374" t="s">
        <v>3195</v>
      </c>
      <c r="K14" s="374" t="s">
        <v>3232</v>
      </c>
    </row>
    <row r="15" spans="2:11" ht="54.75" customHeight="1" x14ac:dyDescent="0.2">
      <c r="B15" s="364" t="s">
        <v>3107</v>
      </c>
      <c r="C15" s="365" t="s">
        <v>3111</v>
      </c>
      <c r="D15" s="370" t="s">
        <v>614</v>
      </c>
      <c r="E15" s="371"/>
      <c r="F15" s="375" t="s">
        <v>3196</v>
      </c>
      <c r="G15" s="375" t="s">
        <v>3197</v>
      </c>
      <c r="H15" s="375" t="s">
        <v>3198</v>
      </c>
      <c r="I15" s="375" t="s">
        <v>3199</v>
      </c>
      <c r="J15" s="375" t="s">
        <v>3200</v>
      </c>
      <c r="K15" s="375" t="s">
        <v>3201</v>
      </c>
    </row>
    <row r="16" spans="2:11" ht="54.75" customHeight="1" x14ac:dyDescent="0.2">
      <c r="B16" s="364" t="s">
        <v>3107</v>
      </c>
      <c r="C16" s="365" t="s">
        <v>3111</v>
      </c>
      <c r="D16" s="370" t="s">
        <v>615</v>
      </c>
      <c r="E16" s="371"/>
      <c r="F16" s="375" t="s">
        <v>3202</v>
      </c>
      <c r="G16" s="375" t="s">
        <v>3203</v>
      </c>
      <c r="H16" s="375" t="s">
        <v>3204</v>
      </c>
      <c r="I16" s="375" t="s">
        <v>3205</v>
      </c>
      <c r="J16" s="375" t="s">
        <v>3206</v>
      </c>
      <c r="K16" s="375" t="s">
        <v>3245</v>
      </c>
    </row>
    <row r="17" spans="2:11" ht="54.75" customHeight="1" x14ac:dyDescent="0.2">
      <c r="B17" s="364" t="s">
        <v>3107</v>
      </c>
      <c r="C17" s="365" t="s">
        <v>3111</v>
      </c>
      <c r="D17" s="370" t="s">
        <v>616</v>
      </c>
      <c r="E17" s="371"/>
      <c r="F17" s="375" t="s">
        <v>3207</v>
      </c>
      <c r="G17" s="375" t="s">
        <v>3208</v>
      </c>
      <c r="H17" s="375" t="s">
        <v>3209</v>
      </c>
      <c r="I17" s="375" t="s">
        <v>3210</v>
      </c>
      <c r="J17" s="375" t="s">
        <v>3233</v>
      </c>
      <c r="K17" s="375" t="s">
        <v>3246</v>
      </c>
    </row>
    <row r="18" spans="2:11" ht="54.75" customHeight="1" x14ac:dyDescent="0.2">
      <c r="B18" s="364" t="s">
        <v>3107</v>
      </c>
      <c r="C18" s="366" t="s">
        <v>3111</v>
      </c>
      <c r="D18" s="372" t="s">
        <v>252</v>
      </c>
      <c r="E18" s="373" t="s">
        <v>1249</v>
      </c>
      <c r="F18" s="376" t="s">
        <v>3243</v>
      </c>
      <c r="G18" s="376" t="s">
        <v>3242</v>
      </c>
      <c r="H18" s="376" t="s">
        <v>3211</v>
      </c>
      <c r="I18" s="376" t="s">
        <v>3240</v>
      </c>
      <c r="J18" s="376" t="s">
        <v>3235</v>
      </c>
      <c r="K18" s="376" t="s">
        <v>3234</v>
      </c>
    </row>
    <row r="19" spans="2:11" ht="54.75" customHeight="1" x14ac:dyDescent="0.2">
      <c r="B19" s="364" t="s">
        <v>3107</v>
      </c>
      <c r="C19" s="363" t="s">
        <v>3112</v>
      </c>
      <c r="D19" s="368" t="s">
        <v>3119</v>
      </c>
      <c r="E19" s="369"/>
      <c r="F19" s="374" t="s">
        <v>3212</v>
      </c>
      <c r="G19" s="374" t="s">
        <v>3213</v>
      </c>
      <c r="H19" s="374" t="s">
        <v>3214</v>
      </c>
      <c r="I19" s="374" t="s">
        <v>3164</v>
      </c>
      <c r="J19" s="374" t="s">
        <v>3215</v>
      </c>
      <c r="K19" s="374" t="s">
        <v>399</v>
      </c>
    </row>
    <row r="20" spans="2:11" ht="54.75" customHeight="1" x14ac:dyDescent="0.2">
      <c r="B20" s="367" t="s">
        <v>3107</v>
      </c>
      <c r="C20" s="366" t="s">
        <v>3112</v>
      </c>
      <c r="D20" s="372" t="s">
        <v>621</v>
      </c>
      <c r="E20" s="373"/>
      <c r="F20" s="376" t="s">
        <v>3216</v>
      </c>
      <c r="G20" s="376" t="s">
        <v>3217</v>
      </c>
      <c r="H20" s="376" t="s">
        <v>3218</v>
      </c>
      <c r="I20" s="376" t="s">
        <v>3164</v>
      </c>
      <c r="J20" s="376" t="s">
        <v>3219</v>
      </c>
      <c r="K20" s="376" t="s">
        <v>3236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2026-08-23T00:12:53Z</dcterms:modified>
  <cp:category/>
  <cp:contentStatus/>
</cp:coreProperties>
</file>