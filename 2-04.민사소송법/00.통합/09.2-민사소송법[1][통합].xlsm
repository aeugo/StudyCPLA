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3A3C4E73-11E9-4EA2-8C40-BB9C63B9ECE3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기출빈도!$B$3:$F$86</definedName>
    <definedName name="_xlnm._FilterDatabase" localSheetId="6" hidden="1">문제목록!$B$3:$T$111</definedName>
    <definedName name="_xlnm._FilterDatabase" localSheetId="3" hidden="1">용어・개념!$B$3:$G$3</definedName>
    <definedName name="_xlnm._FilterDatabase" localSheetId="7" hidden="1">통합목록!$B$3:$P$573</definedName>
    <definedName name="_xlnm._FilterDatabase" localSheetId="5" hidden="1">판례목록!$B$3:$O$400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3" l="1"/>
  <c r="E6" i="83"/>
  <c r="E8" i="83"/>
  <c r="E9" i="83"/>
  <c r="E12" i="83"/>
  <c r="E13" i="83"/>
  <c r="E14" i="83"/>
  <c r="E16" i="83"/>
  <c r="E17" i="83"/>
  <c r="E18" i="83"/>
  <c r="E21" i="83"/>
  <c r="E22" i="83"/>
  <c r="E23" i="83"/>
  <c r="E24" i="83"/>
  <c r="E25" i="83"/>
  <c r="E26" i="83"/>
  <c r="E27" i="83"/>
  <c r="E28" i="83"/>
  <c r="E30" i="83"/>
  <c r="E31" i="83"/>
  <c r="E32" i="83"/>
  <c r="E33" i="83"/>
  <c r="E34" i="83"/>
  <c r="E35" i="83"/>
  <c r="E36" i="83"/>
  <c r="E38" i="83"/>
  <c r="E39" i="83"/>
  <c r="E40" i="83"/>
  <c r="E41" i="83"/>
  <c r="E42" i="83"/>
  <c r="E43" i="83"/>
  <c r="E46" i="83"/>
  <c r="E47" i="83"/>
  <c r="E48" i="83"/>
  <c r="E50" i="83"/>
  <c r="E51" i="83"/>
  <c r="E54" i="83"/>
  <c r="E55" i="83"/>
  <c r="E57" i="83"/>
  <c r="E58" i="83"/>
  <c r="E59" i="83"/>
  <c r="E62" i="83"/>
  <c r="E63" i="83"/>
  <c r="E64" i="83"/>
  <c r="E66" i="83"/>
  <c r="E67" i="83"/>
  <c r="E68" i="83"/>
  <c r="E69" i="83"/>
  <c r="E71" i="83"/>
  <c r="E72" i="83"/>
  <c r="E73" i="83"/>
  <c r="E74" i="83"/>
  <c r="E76" i="83"/>
  <c r="E77" i="83"/>
  <c r="E80" i="83"/>
  <c r="E81" i="83"/>
  <c r="E82" i="83"/>
  <c r="E83" i="83"/>
  <c r="E84" i="83"/>
  <c r="E4" i="83"/>
  <c r="E7" i="83" s="1"/>
  <c r="Q4" i="80"/>
  <c r="Q9" i="80"/>
  <c r="Q12" i="80"/>
  <c r="Q14" i="80"/>
  <c r="Q10" i="80"/>
  <c r="Q15" i="80"/>
  <c r="Q11" i="80"/>
  <c r="Q6" i="80"/>
  <c r="Q16" i="80"/>
  <c r="Q17" i="80"/>
  <c r="Q7" i="80"/>
  <c r="Q18" i="80"/>
  <c r="Q8" i="80"/>
  <c r="Q20" i="80"/>
  <c r="Q21" i="80"/>
  <c r="Q22" i="80"/>
  <c r="Q13" i="80"/>
  <c r="Q19" i="80"/>
  <c r="Q49" i="80"/>
  <c r="Q25" i="80"/>
  <c r="Q37" i="80"/>
  <c r="Q26" i="80"/>
  <c r="Q52" i="80"/>
  <c r="Q38" i="80"/>
  <c r="Q53" i="80"/>
  <c r="Q27" i="80"/>
  <c r="Q39" i="80"/>
  <c r="Q34" i="80"/>
  <c r="Q40" i="80"/>
  <c r="Q54" i="80"/>
  <c r="Q41" i="80"/>
  <c r="Q55" i="80"/>
  <c r="Q35" i="80"/>
  <c r="Q36" i="80"/>
  <c r="Q42" i="80"/>
  <c r="Q56" i="80"/>
  <c r="Q23" i="80"/>
  <c r="Q43" i="80"/>
  <c r="Q57" i="80"/>
  <c r="Q58" i="80"/>
  <c r="Q44" i="80"/>
  <c r="Q24" i="80"/>
  <c r="Q28" i="80"/>
  <c r="Q50" i="80"/>
  <c r="Q45" i="80"/>
  <c r="Q46" i="80"/>
  <c r="Q29" i="80"/>
  <c r="Q51" i="80"/>
  <c r="Q30" i="80"/>
  <c r="Q47" i="80"/>
  <c r="Q31" i="80"/>
  <c r="Q48" i="80"/>
  <c r="Q32" i="80"/>
  <c r="Q33" i="80"/>
  <c r="Q65" i="80"/>
  <c r="Q59" i="80"/>
  <c r="Q60" i="80"/>
  <c r="Q66" i="80"/>
  <c r="Q67" i="80"/>
  <c r="Q61" i="80"/>
  <c r="Q64" i="80"/>
  <c r="Q68" i="80"/>
  <c r="Q62" i="80"/>
  <c r="Q63" i="80"/>
  <c r="Q74" i="80"/>
  <c r="Q69" i="80"/>
  <c r="Q70" i="80"/>
  <c r="Q75" i="80"/>
  <c r="Q76" i="80"/>
  <c r="Q71" i="80"/>
  <c r="Q72" i="80"/>
  <c r="Q77" i="80"/>
  <c r="Q73" i="80"/>
  <c r="Q78" i="80"/>
  <c r="Q79" i="80"/>
  <c r="Q80" i="80"/>
  <c r="Q81" i="80"/>
  <c r="Q83" i="80"/>
  <c r="Q84" i="80"/>
  <c r="Q85" i="80"/>
  <c r="Q86" i="80"/>
  <c r="Q87" i="80"/>
  <c r="Q82" i="80"/>
  <c r="Q96" i="80"/>
  <c r="Q102" i="80"/>
  <c r="Q90" i="80"/>
  <c r="Q91" i="80"/>
  <c r="Q88" i="80"/>
  <c r="Q92" i="80"/>
  <c r="Q97" i="80"/>
  <c r="Q103" i="80"/>
  <c r="Q98" i="80"/>
  <c r="Q89" i="80"/>
  <c r="Q93" i="80"/>
  <c r="Q94" i="80"/>
  <c r="Q99" i="80"/>
  <c r="Q100" i="80"/>
  <c r="Q95" i="80"/>
  <c r="Q101" i="80"/>
  <c r="Q104" i="80"/>
  <c r="Q105" i="80"/>
  <c r="Q106" i="80"/>
  <c r="Q107" i="80"/>
  <c r="Q108" i="80"/>
  <c r="Q109" i="80"/>
  <c r="Q110" i="80"/>
  <c r="Q111" i="80"/>
  <c r="Q5" i="80"/>
  <c r="P5" i="80"/>
  <c r="R4" i="80"/>
  <c r="R9" i="80"/>
  <c r="R12" i="80"/>
  <c r="R14" i="80"/>
  <c r="R10" i="80"/>
  <c r="R15" i="80"/>
  <c r="R11" i="80"/>
  <c r="R6" i="80"/>
  <c r="R16" i="80"/>
  <c r="R17" i="80"/>
  <c r="R7" i="80"/>
  <c r="R18" i="80"/>
  <c r="R8" i="80"/>
  <c r="R20" i="80"/>
  <c r="R21" i="80"/>
  <c r="R22" i="80"/>
  <c r="R13" i="80"/>
  <c r="R19" i="80"/>
  <c r="R49" i="80"/>
  <c r="R25" i="80"/>
  <c r="R37" i="80"/>
  <c r="R26" i="80"/>
  <c r="R52" i="80"/>
  <c r="R38" i="80"/>
  <c r="R53" i="80"/>
  <c r="R27" i="80"/>
  <c r="R39" i="80"/>
  <c r="R34" i="80"/>
  <c r="R40" i="80"/>
  <c r="R54" i="80"/>
  <c r="R41" i="80"/>
  <c r="R55" i="80"/>
  <c r="R35" i="80"/>
  <c r="R36" i="80"/>
  <c r="R42" i="80"/>
  <c r="R56" i="80"/>
  <c r="R23" i="80"/>
  <c r="R43" i="80"/>
  <c r="R57" i="80"/>
  <c r="R58" i="80"/>
  <c r="R44" i="80"/>
  <c r="R24" i="80"/>
  <c r="R28" i="80"/>
  <c r="R50" i="80"/>
  <c r="R45" i="80"/>
  <c r="R46" i="80"/>
  <c r="R29" i="80"/>
  <c r="R51" i="80"/>
  <c r="R30" i="80"/>
  <c r="R47" i="80"/>
  <c r="R31" i="80"/>
  <c r="R48" i="80"/>
  <c r="R32" i="80"/>
  <c r="R33" i="80"/>
  <c r="R65" i="80"/>
  <c r="R59" i="80"/>
  <c r="R60" i="80"/>
  <c r="R66" i="80"/>
  <c r="R67" i="80"/>
  <c r="R61" i="80"/>
  <c r="R64" i="80"/>
  <c r="R68" i="80"/>
  <c r="R62" i="80"/>
  <c r="R63" i="80"/>
  <c r="R74" i="80"/>
  <c r="R69" i="80"/>
  <c r="R70" i="80"/>
  <c r="R75" i="80"/>
  <c r="R76" i="80"/>
  <c r="R71" i="80"/>
  <c r="R72" i="80"/>
  <c r="R77" i="80"/>
  <c r="R73" i="80"/>
  <c r="R78" i="80"/>
  <c r="R79" i="80"/>
  <c r="R80" i="80"/>
  <c r="R81" i="80"/>
  <c r="R83" i="80"/>
  <c r="R84" i="80"/>
  <c r="R85" i="80"/>
  <c r="R86" i="80"/>
  <c r="R87" i="80"/>
  <c r="R82" i="80"/>
  <c r="R96" i="80"/>
  <c r="R102" i="80"/>
  <c r="R90" i="80"/>
  <c r="R91" i="80"/>
  <c r="R88" i="80"/>
  <c r="R92" i="80"/>
  <c r="R97" i="80"/>
  <c r="R103" i="80"/>
  <c r="R98" i="80"/>
  <c r="R89" i="80"/>
  <c r="R93" i="80"/>
  <c r="R94" i="80"/>
  <c r="R99" i="80"/>
  <c r="R100" i="80"/>
  <c r="R95" i="80"/>
  <c r="R101" i="80"/>
  <c r="R104" i="80"/>
  <c r="R105" i="80"/>
  <c r="R106" i="80"/>
  <c r="R107" i="80"/>
  <c r="R108" i="80"/>
  <c r="R109" i="80"/>
  <c r="R110" i="80"/>
  <c r="R111" i="80"/>
  <c r="R5" i="80"/>
  <c r="P4" i="80"/>
  <c r="P9" i="80"/>
  <c r="P12" i="80"/>
  <c r="P14" i="80"/>
  <c r="P10" i="80"/>
  <c r="P15" i="80"/>
  <c r="P11" i="80"/>
  <c r="P6" i="80"/>
  <c r="P16" i="80"/>
  <c r="P17" i="80"/>
  <c r="P7" i="80"/>
  <c r="P18" i="80"/>
  <c r="P8" i="80"/>
  <c r="P20" i="80"/>
  <c r="P21" i="80"/>
  <c r="P22" i="80"/>
  <c r="P13" i="80"/>
  <c r="P19" i="80"/>
  <c r="P49" i="80"/>
  <c r="P25" i="80"/>
  <c r="P37" i="80"/>
  <c r="P26" i="80"/>
  <c r="P52" i="80"/>
  <c r="P38" i="80"/>
  <c r="P53" i="80"/>
  <c r="P27" i="80"/>
  <c r="P39" i="80"/>
  <c r="P34" i="80"/>
  <c r="P40" i="80"/>
  <c r="P54" i="80"/>
  <c r="P41" i="80"/>
  <c r="P55" i="80"/>
  <c r="P35" i="80"/>
  <c r="P36" i="80"/>
  <c r="P42" i="80"/>
  <c r="P56" i="80"/>
  <c r="P23" i="80"/>
  <c r="P43" i="80"/>
  <c r="P57" i="80"/>
  <c r="P58" i="80"/>
  <c r="P44" i="80"/>
  <c r="P24" i="80"/>
  <c r="P28" i="80"/>
  <c r="P50" i="80"/>
  <c r="P45" i="80"/>
  <c r="P46" i="80"/>
  <c r="P29" i="80"/>
  <c r="P51" i="80"/>
  <c r="P30" i="80"/>
  <c r="P47" i="80"/>
  <c r="P31" i="80"/>
  <c r="P48" i="80"/>
  <c r="P32" i="80"/>
  <c r="P33" i="80"/>
  <c r="P65" i="80"/>
  <c r="P59" i="80"/>
  <c r="P60" i="80"/>
  <c r="P66" i="80"/>
  <c r="P67" i="80"/>
  <c r="P61" i="80"/>
  <c r="P64" i="80"/>
  <c r="P68" i="80"/>
  <c r="P62" i="80"/>
  <c r="P63" i="80"/>
  <c r="P74" i="80"/>
  <c r="P69" i="80"/>
  <c r="P70" i="80"/>
  <c r="P75" i="80"/>
  <c r="P76" i="80"/>
  <c r="P71" i="80"/>
  <c r="P72" i="80"/>
  <c r="P77" i="80"/>
  <c r="P73" i="80"/>
  <c r="P78" i="80"/>
  <c r="P79" i="80"/>
  <c r="P80" i="80"/>
  <c r="P81" i="80"/>
  <c r="P83" i="80"/>
  <c r="P84" i="80"/>
  <c r="P85" i="80"/>
  <c r="P86" i="80"/>
  <c r="P87" i="80"/>
  <c r="P82" i="80"/>
  <c r="P96" i="80"/>
  <c r="P102" i="80"/>
  <c r="P90" i="80"/>
  <c r="P91" i="80"/>
  <c r="P88" i="80"/>
  <c r="P92" i="80"/>
  <c r="P97" i="80"/>
  <c r="P103" i="80"/>
  <c r="P98" i="80"/>
  <c r="P89" i="80"/>
  <c r="P93" i="80"/>
  <c r="P94" i="80"/>
  <c r="P99" i="80"/>
  <c r="P100" i="80"/>
  <c r="P95" i="80"/>
  <c r="P101" i="80"/>
  <c r="P104" i="80"/>
  <c r="P105" i="80"/>
  <c r="P106" i="80"/>
  <c r="P107" i="80"/>
  <c r="P108" i="80"/>
  <c r="P109" i="80"/>
  <c r="P110" i="80"/>
  <c r="P111" i="80"/>
  <c r="T82" i="80"/>
  <c r="S82" i="80"/>
  <c r="B82" i="80"/>
  <c r="B78" i="80"/>
  <c r="B79" i="80"/>
  <c r="S13" i="80"/>
  <c r="T13" i="80"/>
  <c r="B13" i="80"/>
  <c r="B19" i="80"/>
  <c r="S19" i="80"/>
  <c r="T19" i="80"/>
  <c r="S22" i="80"/>
  <c r="T22" i="80"/>
  <c r="S87" i="80"/>
  <c r="T87" i="80"/>
  <c r="S46" i="80"/>
  <c r="T46" i="80"/>
  <c r="S86" i="80"/>
  <c r="T86" i="80"/>
  <c r="S57" i="80"/>
  <c r="T57" i="80"/>
  <c r="S36" i="80"/>
  <c r="T36" i="80"/>
  <c r="S45" i="80"/>
  <c r="T45" i="80"/>
  <c r="S73" i="80"/>
  <c r="T73" i="80"/>
  <c r="S21" i="80"/>
  <c r="T21" i="80"/>
  <c r="S84" i="80"/>
  <c r="T84" i="80"/>
  <c r="S85" i="80"/>
  <c r="T85" i="80"/>
  <c r="S64" i="80"/>
  <c r="T64" i="80"/>
  <c r="S56" i="80"/>
  <c r="T56" i="80"/>
  <c r="S20" i="80"/>
  <c r="T20" i="80"/>
  <c r="S44" i="80"/>
  <c r="T44" i="80"/>
  <c r="S5" i="80"/>
  <c r="T5" i="80"/>
  <c r="S35" i="80"/>
  <c r="T35" i="80"/>
  <c r="S83" i="80"/>
  <c r="T83" i="80"/>
  <c r="S43" i="80"/>
  <c r="T43" i="80"/>
  <c r="S11" i="80"/>
  <c r="T11" i="80"/>
  <c r="S61" i="80"/>
  <c r="T61" i="80"/>
  <c r="S17" i="80"/>
  <c r="T17" i="80"/>
  <c r="S18" i="80"/>
  <c r="T18" i="80"/>
  <c r="S42" i="80"/>
  <c r="T42" i="80"/>
  <c r="S72" i="80"/>
  <c r="T72" i="80"/>
  <c r="S80" i="80"/>
  <c r="T80" i="80"/>
  <c r="S16" i="80"/>
  <c r="T16" i="80"/>
  <c r="S81" i="80"/>
  <c r="T81" i="80"/>
  <c r="S41" i="80"/>
  <c r="T41" i="80"/>
  <c r="S55" i="80"/>
  <c r="T55" i="80"/>
  <c r="S68" i="80"/>
  <c r="T68" i="80"/>
  <c r="S34" i="80"/>
  <c r="T34" i="80"/>
  <c r="S15" i="80"/>
  <c r="T15" i="80"/>
  <c r="S79" i="80"/>
  <c r="T79" i="80"/>
  <c r="S54" i="80"/>
  <c r="T54" i="80"/>
  <c r="S40" i="80"/>
  <c r="T40" i="80"/>
  <c r="S67" i="80"/>
  <c r="T67" i="80"/>
  <c r="S10" i="80"/>
  <c r="T10" i="80"/>
  <c r="S78" i="80"/>
  <c r="T78" i="80"/>
  <c r="S9" i="80"/>
  <c r="T9" i="80"/>
  <c r="S14" i="80"/>
  <c r="T14" i="80"/>
  <c r="S39" i="80"/>
  <c r="T39" i="80"/>
  <c r="S77" i="80"/>
  <c r="T77" i="80"/>
  <c r="S53" i="80"/>
  <c r="T53" i="80"/>
  <c r="S76" i="80"/>
  <c r="T76" i="80"/>
  <c r="S12" i="80"/>
  <c r="T12" i="80"/>
  <c r="S71" i="80"/>
  <c r="T71" i="80"/>
  <c r="S70" i="80"/>
  <c r="T70" i="80"/>
  <c r="S75" i="80"/>
  <c r="T75" i="80"/>
  <c r="S38" i="80"/>
  <c r="T38" i="80"/>
  <c r="S66" i="80"/>
  <c r="T66" i="80"/>
  <c r="S26" i="80"/>
  <c r="T26" i="80"/>
  <c r="S65" i="80"/>
  <c r="T65" i="80"/>
  <c r="S27" i="80"/>
  <c r="T27" i="80"/>
  <c r="S91" i="80"/>
  <c r="T91" i="80"/>
  <c r="S74" i="80"/>
  <c r="T74" i="80"/>
  <c r="S90" i="80"/>
  <c r="T90" i="80"/>
  <c r="S60" i="80"/>
  <c r="T60" i="80"/>
  <c r="S37" i="80"/>
  <c r="T37" i="80"/>
  <c r="S49" i="80"/>
  <c r="T49" i="80"/>
  <c r="S52" i="80"/>
  <c r="T52" i="80"/>
  <c r="S69" i="80"/>
  <c r="T69" i="80"/>
  <c r="S25" i="80"/>
  <c r="T25" i="80"/>
  <c r="S59" i="80"/>
  <c r="T59" i="80"/>
  <c r="T6" i="80"/>
  <c r="T7" i="80"/>
  <c r="T8" i="80"/>
  <c r="T23" i="80"/>
  <c r="T24" i="80"/>
  <c r="T28" i="80"/>
  <c r="T29" i="80"/>
  <c r="T30" i="80"/>
  <c r="T31" i="80"/>
  <c r="T32" i="80"/>
  <c r="T33" i="80"/>
  <c r="T47" i="80"/>
  <c r="T48" i="80"/>
  <c r="T50" i="80"/>
  <c r="T51" i="80"/>
  <c r="T62" i="80"/>
  <c r="T63" i="80"/>
  <c r="T88" i="80"/>
  <c r="T89" i="80"/>
  <c r="T92" i="80"/>
  <c r="T93" i="80"/>
  <c r="T94" i="80"/>
  <c r="T95" i="80"/>
  <c r="T96" i="80"/>
  <c r="T97" i="80"/>
  <c r="T98" i="80"/>
  <c r="T99" i="80"/>
  <c r="T100" i="80"/>
  <c r="T101" i="80"/>
  <c r="T102" i="80"/>
  <c r="T103" i="80"/>
  <c r="T104" i="80"/>
  <c r="T105" i="80"/>
  <c r="T106" i="80"/>
  <c r="T107" i="80"/>
  <c r="T108" i="80"/>
  <c r="T109" i="80"/>
  <c r="T110" i="80"/>
  <c r="T111" i="80"/>
  <c r="T58" i="80"/>
  <c r="T4" i="80"/>
  <c r="S6" i="80"/>
  <c r="S7" i="80"/>
  <c r="S8" i="80"/>
  <c r="S23" i="80"/>
  <c r="S24" i="80"/>
  <c r="S28" i="80"/>
  <c r="S29" i="80"/>
  <c r="S30" i="80"/>
  <c r="S31" i="80"/>
  <c r="S32" i="80"/>
  <c r="S33" i="80"/>
  <c r="S47" i="80"/>
  <c r="S48" i="80"/>
  <c r="S50" i="80"/>
  <c r="S51" i="80"/>
  <c r="S62" i="80"/>
  <c r="S63" i="80"/>
  <c r="S88" i="80"/>
  <c r="S89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58" i="80"/>
  <c r="S4" i="80"/>
  <c r="E10" i="83" l="1"/>
  <c r="E11" i="83" s="1"/>
  <c r="E60" i="83"/>
  <c r="E44" i="83"/>
  <c r="E52" i="83"/>
  <c r="E29" i="83"/>
  <c r="E70" i="83"/>
  <c r="E49" i="83"/>
  <c r="E19" i="83"/>
  <c r="E85" i="83"/>
  <c r="E86" i="83" s="1"/>
  <c r="E37" i="83"/>
  <c r="E45" i="83" s="1"/>
  <c r="E65" i="83"/>
  <c r="E78" i="83"/>
  <c r="E15" i="83"/>
  <c r="E75" i="83"/>
  <c r="E56" i="83"/>
  <c r="E61" i="83" s="1"/>
  <c r="B6" i="80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7" i="80"/>
  <c r="E79" i="83" l="1"/>
  <c r="E20" i="83"/>
  <c r="E53" i="83"/>
  <c r="B22" i="80"/>
  <c r="B58" i="80"/>
  <c r="B57" i="80"/>
  <c r="B86" i="80"/>
  <c r="B46" i="80"/>
  <c r="B73" i="80"/>
  <c r="B45" i="80"/>
  <c r="B36" i="80"/>
  <c r="B56" i="80"/>
  <c r="B64" i="80"/>
  <c r="B85" i="80"/>
  <c r="B84" i="80"/>
  <c r="B21" i="80"/>
  <c r="B35" i="80"/>
  <c r="B5" i="80"/>
  <c r="B44" i="80"/>
  <c r="B20" i="80"/>
  <c r="B61" i="80"/>
  <c r="B11" i="80"/>
  <c r="B43" i="80"/>
  <c r="B83" i="80"/>
  <c r="B72" i="80"/>
  <c r="B42" i="80"/>
  <c r="B18" i="80"/>
  <c r="B17" i="80"/>
  <c r="B68" i="80"/>
  <c r="B55" i="80"/>
  <c r="B41" i="80"/>
  <c r="B81" i="80"/>
  <c r="B16" i="80"/>
  <c r="B80" i="80"/>
  <c r="B54" i="80"/>
  <c r="B15" i="80"/>
  <c r="B34" i="80"/>
  <c r="B10" i="80"/>
  <c r="B67" i="80"/>
  <c r="B40" i="80"/>
  <c r="B77" i="80"/>
  <c r="B39" i="80"/>
  <c r="B14" i="80"/>
  <c r="B9" i="80"/>
  <c r="B71" i="80"/>
  <c r="B12" i="80"/>
  <c r="B76" i="80"/>
  <c r="B53" i="80"/>
  <c r="B66" i="80"/>
  <c r="B38" i="80"/>
  <c r="B75" i="80"/>
  <c r="B70" i="80"/>
  <c r="B91" i="80"/>
  <c r="B27" i="80"/>
  <c r="B65" i="80"/>
  <c r="B26" i="80"/>
  <c r="B37" i="80"/>
  <c r="B60" i="80"/>
  <c r="B90" i="80"/>
  <c r="B74" i="80"/>
  <c r="B59" i="80"/>
  <c r="B25" i="80"/>
  <c r="B69" i="80"/>
  <c r="B52" i="80"/>
  <c r="B49" i="80"/>
</calcChain>
</file>

<file path=xl/sharedStrings.xml><?xml version="1.0" encoding="utf-8"?>
<sst xmlns="http://schemas.openxmlformats.org/spreadsheetml/2006/main" count="10881" uniqueCount="4283">
  <si>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</si>
  <si>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</si>
  <si>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</si>
  <si>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</si>
  <si>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</si>
  <si>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</si>
  <si>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</si>
  <si>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</si>
  <si>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</si>
  <si>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</si>
  <si>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</si>
  <si>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</si>
  <si>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</si>
  <si>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</si>
  <si>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</si>
  <si>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</si>
  <si>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</si>
  <si>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</si>
  <si>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</si>
  <si>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</si>
  <si>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</si>
  <si>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</si>
  <si>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</si>
  <si>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</si>
  <si>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</si>
  <si>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</si>
  <si>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</si>
  <si>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</si>
  <si>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</si>
  <si>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</si>
  <si>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</si>
  <si>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</si>
  <si>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</si>
  <si>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</si>
  <si>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</si>
  <si>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</si>
  <si>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</si>
  <si>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</si>
  <si>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</si>
  <si>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</si>
  <si>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</si>
  <si>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</si>
  <si>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</si>
  <si>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</si>
  <si>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</si>
  <si>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</si>
  <si>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</si>
  <si>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</si>
  <si>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</si>
  <si>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</si>
  <si>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</si>
  <si>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</si>
  <si>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</si>
  <si>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</si>
  <si>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</si>
  <si>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</si>
  <si>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</si>
  <si>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</si>
  <si>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</si>
  <si>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</si>
  <si>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</si>
  <si>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</si>
  <si>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</si>
  <si>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</si>
  <si>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</si>
  <si>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</si>
  <si>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</si>
  <si>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</si>
  <si>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</si>
  <si>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</si>
  <si>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</si>
  <si>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</si>
  <si>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</si>
  <si>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</si>
  <si>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</si>
  <si>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</si>
  <si>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</si>
  <si>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</si>
  <si>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</si>
  <si>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</si>
  <si>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</si>
  <si>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</si>
  <si>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</si>
  <si>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</si>
  <si>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</si>
  <si>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</si>
  <si>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</si>
  <si>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</si>
  <si>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</si>
  <si>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</si>
  <si>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</si>
  <si>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</si>
  <si>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</si>
  <si>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</si>
  <si>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</si>
  <si>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</si>
  <si>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</si>
  <si>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</si>
  <si>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</si>
  <si>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</si>
  <si>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</si>
  <si>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</si>
  <si>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</si>
  <si>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</si>
  <si>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</si>
  <si>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</si>
  <si>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</si>
  <si>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</si>
  <si>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</si>
  <si>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</si>
  <si>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</si>
  <si>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</si>
  <si>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</si>
  <si>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</si>
  <si>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</si>
  <si>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</si>
  <si>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</si>
  <si>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</si>
  <si>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</si>
  <si>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</si>
  <si>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</si>
  <si>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</si>
  <si>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</si>
  <si>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</si>
  <si>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</si>
  <si>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</si>
  <si>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</si>
  <si>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</si>
  <si>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</si>
  <si>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</si>
  <si>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</si>
  <si>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</si>
  <si>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</si>
  <si>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</si>
  <si>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</si>
  <si>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</si>
  <si>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</si>
  <si>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</si>
  <si>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</si>
  <si>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</si>
  <si>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</si>
  <si>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</si>
  <si>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</si>
  <si>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</si>
  <si>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</si>
  <si>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</si>
  <si>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</si>
  <si>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</si>
  <si>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</si>
  <si>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</si>
  <si>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</si>
  <si>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</si>
  <si>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</si>
  <si>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</si>
  <si>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</si>
  <si>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</si>
  <si>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</si>
  <si>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</si>
  <si>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</si>
  <si>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</si>
  <si>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</si>
  <si>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</si>
  <si>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</si>
  <si>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</si>
  <si>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</si>
  <si>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</si>
  <si>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</si>
  <si>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</si>
  <si>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</si>
  <si>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</si>
  <si>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</si>
  <si>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</si>
  <si>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</si>
  <si>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</si>
  <si>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</si>
  <si>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</si>
  <si>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</si>
  <si>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</si>
  <si>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</si>
  <si>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</si>
  <si>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</si>
  <si>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</si>
  <si>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</si>
  <si>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</si>
  <si>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</si>
  <si>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</si>
  <si>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</si>
  <si>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</si>
  <si>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</si>
  <si>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</si>
  <si>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</si>
  <si>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</si>
  <si>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</si>
  <si>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</si>
  <si>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</si>
  <si>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</si>
  <si>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</si>
  <si>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</si>
  <si>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</si>
  <si>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</si>
  <si>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</si>
  <si>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</si>
  <si>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</si>
  <si>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</si>
  <si>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</si>
  <si>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</si>
  <si>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</si>
  <si>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</si>
  <si>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</si>
  <si>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</si>
  <si>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</si>
  <si>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</si>
  <si>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</si>
  <si>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</si>
  <si>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</si>
  <si>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</si>
  <si>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</si>
  <si>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</si>
  <si>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</si>
  <si>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</si>
  <si>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</si>
  <si>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</si>
  <si>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</si>
  <si>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</si>
  <si>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</si>
  <si>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</si>
  <si>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</si>
  <si>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</si>
  <si>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</si>
  <si>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</si>
  <si>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</si>
  <si>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</si>
  <si>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</si>
  <si>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</si>
  <si>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</si>
  <si>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</si>
  <si>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</si>
  <si>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</si>
  <si>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</si>
  <si>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</si>
  <si>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</si>
  <si>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</si>
  <si>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</si>
  <si>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</si>
  <si>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</si>
  <si>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</si>
  <si>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</si>
  <si>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</si>
  <si>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</si>
  <si>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</si>
  <si>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</si>
  <si>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</si>
  <si>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</si>
  <si>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</si>
  <si>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</si>
  <si>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</si>
  <si>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</si>
  <si>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</si>
  <si>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</si>
  <si>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</si>
  <si>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</si>
  <si>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</si>
  <si>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</si>
  <si>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</si>
  <si>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</si>
  <si>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</si>
  <si>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</si>
  <si>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</si>
  <si>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</si>
  <si>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</si>
  <si>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</si>
  <si>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</si>
  <si>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</si>
  <si>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</si>
  <si>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</si>
  <si>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</si>
  <si>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</si>
  <si>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</si>
  <si>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</si>
  <si>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</si>
  <si>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</si>
  <si>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</si>
  <si>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</si>
  <si>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</si>
  <si>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</si>
  <si>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</si>
  <si>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</si>
  <si>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</si>
  <si>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</si>
  <si>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</si>
  <si>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</si>
  <si>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</si>
  <si>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</si>
  <si>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</si>
  <si>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</si>
  <si>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</si>
  <si>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</si>
  <si>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</si>
  <si>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</si>
  <si>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</si>
  <si>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</si>
  <si>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</si>
  <si>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</si>
  <si>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</si>
  <si>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</si>
  <si>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</si>
  <si>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</si>
  <si>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</si>
  <si>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</si>
  <si>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</si>
  <si>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</si>
  <si>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</si>
  <si>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</si>
  <si>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</si>
  <si>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</si>
  <si>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</si>
  <si>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</si>
  <si>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</si>
  <si>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</si>
  <si>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</si>
  <si>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</si>
  <si>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</si>
  <si>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</si>
  <si>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</si>
  <si>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</si>
  <si>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</si>
  <si>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</si>
  <si>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</si>
  <si>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</si>
  <si>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</si>
  <si>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</si>
  <si>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</si>
  <si>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</si>
  <si>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</si>
  <si>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</si>
  <si>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</si>
  <si>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</si>
  <si>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</si>
  <si>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</si>
  <si>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</si>
  <si>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</si>
  <si>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</si>
  <si>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</si>
  <si>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</si>
  <si>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</si>
  <si>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</si>
  <si>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</si>
  <si>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</si>
  <si>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</si>
  <si>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</si>
  <si>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</si>
  <si>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</si>
  <si>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</si>
  <si>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</si>
  <si>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</si>
  <si>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</si>
  <si>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</si>
  <si>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</si>
  <si>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</si>
  <si>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</si>
  <si>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</si>
  <si>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</si>
  <si>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</si>
  <si>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</si>
  <si>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</si>
  <si>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</si>
  <si>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</si>
  <si>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</si>
  <si>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</si>
  <si>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</si>
  <si>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</si>
  <si>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</si>
  <si>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</si>
  <si>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</si>
  <si>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</si>
  <si>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</si>
  <si>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</si>
  <si>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</si>
  <si>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</si>
  <si>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</si>
  <si>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</si>
  <si>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</si>
  <si>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</si>
  <si>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</si>
  <si>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</si>
  <si>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</si>
  <si>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</si>
  <si>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</si>
  <si>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</si>
  <si>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</si>
  <si>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</si>
  <si>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</si>
  <si>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</si>
  <si>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</si>
  <si>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</si>
  <si>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</si>
  <si>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</si>
  <si>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</si>
  <si>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</si>
  <si>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</si>
  <si>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</si>
  <si>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</si>
  <si>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</si>
  <si>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</si>
  <si>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</si>
  <si>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</si>
  <si>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</si>
  <si>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</si>
  <si>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</si>
  <si>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</si>
  <si>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</si>
  <si>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</si>
  <si>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</si>
  <si>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</si>
  <si>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</si>
  <si>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</si>
  <si>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</si>
  <si>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</si>
  <si>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</si>
  <si>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</si>
  <si>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</si>
  <si>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</si>
  <si>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</si>
  <si>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</si>
  <si>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</si>
  <si>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</si>
  <si>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</si>
  <si>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</si>
  <si>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</si>
  <si>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</si>
  <si>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</si>
  <si>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</si>
  <si>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</si>
  <si>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</si>
  <si>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</si>
  <si>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</si>
  <si>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</si>
  <si>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</si>
  <si>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</si>
  <si>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</si>
  <si>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</si>
  <si>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</si>
  <si>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</si>
  <si>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</si>
  <si>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</si>
  <si>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</si>
  <si>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</si>
  <si>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</si>
  <si>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</si>
  <si>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</si>
  <si>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</si>
  <si>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</si>
  <si>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</si>
  <si>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</si>
  <si>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</si>
  <si>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</si>
  <si>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</si>
  <si>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</si>
  <si>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</si>
  <si>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</si>
  <si>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</si>
  <si>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</si>
  <si>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</si>
  <si>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</si>
  <si>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</si>
  <si>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</si>
  <si>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</si>
  <si>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</si>
  <si>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</si>
  <si>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</si>
  <si>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</si>
  <si>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</si>
  <si>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</si>
  <si>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</si>
  <si>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</si>
  <si>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</si>
  <si>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</si>
  <si>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</si>
  <si>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</si>
  <si>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</si>
  <si>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</si>
  <si>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</si>
  <si>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</si>
  <si>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</si>
  <si>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</si>
  <si>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</si>
  <si>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</si>
  <si>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</si>
  <si>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</si>
  <si>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</si>
  <si>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</si>
  <si>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</si>
  <si>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</si>
  <si>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</si>
  <si>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</si>
  <si>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</si>
  <si>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</si>
  <si>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</si>
  <si>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</si>
  <si>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</si>
  <si>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</si>
  <si>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</si>
  <si>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</si>
  <si>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</si>
  <si>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</si>
  <si>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</si>
  <si>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</si>
  <si>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</si>
  <si>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</si>
  <si>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</si>
  <si>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</si>
  <si>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</si>
  <si>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</si>
  <si>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</si>
  <si>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</si>
  <si>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</si>
  <si>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</si>
  <si>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</si>
  <si>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</si>
  <si>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</si>
  <si>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</si>
  <si>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</si>
  <si>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</si>
  <si>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</si>
  <si>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</si>
  <si>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</si>
  <si>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</si>
  <si>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</si>
  <si>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</si>
  <si>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</si>
  <si>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</si>
  <si>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</si>
  <si>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</si>
  <si>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</si>
  <si>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</si>
  <si>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</si>
  <si>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</si>
  <si>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</si>
  <si>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</si>
  <si>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</si>
  <si>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</si>
  <si>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</si>
  <si>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</si>
  <si>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</si>
  <si>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</si>
  <si>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</si>
  <si>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</si>
  <si>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</si>
  <si>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</si>
  <si>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</si>
  <si>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</si>
  <si>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</si>
  <si>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</si>
  <si>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</si>
  <si>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</si>
  <si>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</si>
  <si>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</si>
  <si>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</si>
  <si>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</si>
  <si>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</si>
  <si>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</si>
  <si>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</si>
  <si>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</si>
  <si>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</si>
  <si>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</si>
  <si>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</si>
  <si>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</si>
  <si>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</si>
  <si>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</si>
  <si>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</si>
  <si>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</si>
  <si>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</si>
  <si>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</si>
  <si>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</si>
  <si>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</si>
  <si>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</si>
  <si>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</si>
  <si>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</si>
  <si>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</si>
  <si>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</si>
  <si>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</si>
  <si>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</si>
  <si>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</si>
  <si>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</si>
  <si>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</si>
  <si>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</si>
  <si>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</si>
  <si>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</si>
  <si>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</si>
  <si>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</si>
  <si>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</si>
  <si>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</si>
  <si>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</si>
  <si>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</si>
  <si>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</si>
  <si>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</si>
  <si>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</si>
  <si>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</si>
  <si>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</si>
  <si>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</si>
  <si>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</si>
  <si>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</si>
  <si>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</si>
  <si>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</si>
  <si>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</si>
  <si>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</si>
  <si>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</si>
  <si>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</si>
  <si>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</si>
  <si>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</si>
  <si>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</si>
  <si>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</si>
  <si>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</si>
  <si>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</si>
  <si>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</si>
  <si>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</si>
  <si>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</si>
  <si>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</si>
  <si>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</si>
  <si>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</si>
  <si>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</si>
  <si>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</si>
  <si>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</si>
  <si>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</si>
  <si>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</si>
  <si>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</si>
  <si>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</si>
  <si>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</si>
  <si>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</si>
  <si>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</si>
  <si>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</si>
  <si>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</si>
  <si>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</si>
  <si>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</si>
  <si>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</si>
  <si>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</si>
  <si>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</si>
  <si>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</si>
  <si>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</si>
  <si>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</si>
  <si>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</si>
  <si>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</si>
  <si>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</si>
  <si>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</si>
  <si>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</si>
  <si>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</si>
  <si>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</si>
  <si>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</si>
  <si>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</si>
  <si>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</si>
  <si>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</si>
  <si>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</si>
  <si>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</si>
  <si>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</si>
  <si>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</si>
  <si>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</si>
  <si>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</si>
  <si>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</si>
  <si>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</si>
  <si>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</si>
  <si>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</si>
  <si>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</si>
  <si>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</si>
  <si>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</si>
  <si>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</si>
  <si>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</si>
  <si>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</si>
  <si>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</si>
  <si>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</si>
  <si>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</si>
  <si>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</si>
  <si>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</si>
  <si>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</si>
  <si>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</si>
  <si>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</si>
  <si>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</si>
  <si>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</si>
  <si>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</si>
  <si>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</si>
  <si>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</si>
  <si>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</si>
  <si>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</si>
  <si>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</si>
  <si>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</si>
  <si>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</si>
  <si>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</si>
  <si>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</si>
  <si>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</si>
  <si>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</si>
  <si>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</si>
  <si>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</si>
  <si>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</si>
  <si>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</si>
  <si>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</si>
  <si>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</si>
  <si>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</si>
  <si>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</si>
  <si>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</si>
  <si>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</si>
  <si>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</si>
  <si>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</si>
  <si>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</si>
  <si>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</si>
  <si>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</si>
  <si>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</si>
  <si>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</si>
  <si>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</si>
  <si>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</si>
  <si>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</si>
  <si>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</si>
  <si>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</si>
  <si>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</si>
  <si>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</si>
  <si>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</si>
  <si>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</si>
  <si>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</si>
  <si>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</si>
  <si>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</si>
  <si>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</si>
  <si>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</si>
  <si>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</si>
  <si>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</si>
  <si>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</si>
  <si>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</si>
  <si>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</si>
  <si>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</si>
  <si>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</si>
  <si>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</si>
  <si>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</si>
  <si>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</si>
  <si>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</si>
  <si>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</si>
  <si>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</si>
  <si>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</si>
  <si>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</si>
  <si>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</si>
  <si>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</si>
  <si>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</si>
  <si>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</si>
  <si>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</si>
  <si>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</si>
  <si>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</si>
  <si>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</si>
  <si>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</si>
  <si>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</si>
  <si>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</si>
  <si>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</si>
  <si>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</si>
  <si>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</si>
  <si>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</si>
  <si>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</si>
  <si>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</si>
  <si>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</si>
  <si>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</si>
  <si>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</si>
  <si>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</si>
  <si>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</si>
  <si>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</si>
  <si>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</si>
  <si>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</si>
  <si>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</si>
  <si>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</si>
  <si>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</si>
  <si>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</si>
  <si>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</si>
  <si>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</si>
  <si>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</si>
  <si>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</si>
  <si>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</si>
  <si>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</si>
  <si>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</si>
  <si>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</si>
  <si>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</si>
  <si>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</si>
  <si>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</si>
  <si>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</si>
  <si>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</si>
  <si>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</si>
  <si>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</si>
  <si>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</si>
  <si>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</si>
  <si>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</si>
  <si>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</si>
  <si>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</si>
  <si>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</si>
  <si>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</si>
  <si>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</si>
  <si>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</si>
  <si>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</si>
  <si>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</si>
  <si>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</si>
  <si>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</si>
  <si>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</si>
  <si>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</si>
  <si>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</si>
  <si>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</si>
  <si>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</si>
  <si>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</si>
  <si>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</si>
  <si>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</si>
  <si>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</si>
  <si>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</si>
  <si>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</si>
  <si>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</si>
  <si>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</si>
  <si>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</si>
  <si>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</si>
  <si>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</si>
  <si>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</si>
  <si>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</si>
  <si>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</si>
  <si>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</si>
  <si>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</si>
  <si>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</si>
  <si>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</si>
  <si>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</si>
  <si>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</si>
  <si>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</si>
  <si>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</si>
  <si>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</si>
  <si>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</si>
  <si>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</si>
  <si>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</si>
  <si>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</si>
  <si>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</si>
  <si>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</si>
  <si>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</si>
  <si>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</si>
  <si>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</si>
  <si>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</si>
  <si>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</si>
  <si>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</si>
  <si>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</si>
  <si>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</si>
  <si>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</si>
  <si>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</si>
  <si>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</si>
  <si>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</si>
  <si>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</si>
  <si>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</si>
  <si>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</si>
  <si>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</si>
  <si>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</si>
  <si>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</si>
  <si>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</si>
  <si>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</si>
  <si>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</si>
  <si>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</si>
  <si>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</si>
  <si>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</si>
  <si>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</si>
  <si>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</si>
  <si>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</si>
  <si>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</si>
  <si>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</si>
  <si>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</si>
  <si>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</si>
  <si>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</si>
  <si>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</si>
  <si>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</si>
  <si>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</si>
  <si>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</si>
  <si>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</si>
  <si>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</si>
  <si>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</si>
  <si>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</si>
  <si>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</si>
  <si>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</si>
  <si>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</si>
  <si>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</si>
  <si>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</si>
  <si>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</si>
  <si>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</si>
  <si>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</si>
  <si>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</si>
  <si>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</si>
  <si>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</si>
  <si>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</si>
  <si>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</si>
  <si>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</si>
  <si>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</si>
  <si>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</si>
  <si>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</si>
  <si>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</si>
  <si>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</si>
  <si>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</si>
  <si>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</si>
  <si>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</si>
  <si>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</si>
  <si>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</si>
  <si>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</si>
  <si>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</si>
  <si>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</si>
  <si>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</si>
  <si>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</si>
  <si>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</si>
  <si>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</si>
  <si>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</si>
  <si>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</si>
  <si>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</si>
  <si>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</si>
  <si>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</si>
  <si>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</si>
  <si>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</si>
  <si>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</si>
  <si>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</si>
  <si>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</si>
  <si>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</si>
  <si>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</si>
  <si>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</si>
  <si>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</si>
  <si>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</si>
  <si>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</si>
  <si>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</si>
  <si>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</si>
  <si>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</si>
  <si>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</si>
  <si>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</si>
  <si>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</si>
  <si>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</si>
  <si>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</si>
  <si>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</si>
  <si>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</si>
  <si>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</si>
  <si>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</si>
  <si>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</si>
  <si>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</si>
  <si>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</si>
  <si>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</si>
  <si>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</si>
  <si>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</si>
  <si>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</si>
  <si>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</si>
  <si>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</si>
  <si>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</si>
  <si>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</si>
  <si>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</si>
  <si>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</si>
  <si>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</si>
  <si>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</si>
  <si>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</si>
  <si>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</si>
  <si>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</si>
  <si>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</si>
  <si>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</si>
  <si>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</si>
  <si>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</si>
  <si>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</si>
  <si>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</si>
  <si>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</si>
  <si>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</si>
  <si>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</si>
  <si>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</si>
  <si>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</si>
  <si>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</si>
  <si>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</si>
  <si>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</si>
  <si>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</si>
  <si>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</si>
  <si>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</si>
  <si>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</si>
  <si>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</si>
  <si>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</si>
  <si>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</si>
  <si>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</si>
  <si>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</si>
  <si>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</si>
  <si>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</si>
  <si>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</si>
  <si>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</si>
  <si>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</si>
  <si>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</si>
  <si>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</si>
  <si>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</si>
  <si>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</si>
  <si>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</si>
  <si>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</si>
  <si>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</si>
  <si>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</si>
  <si>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</si>
  <si>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</si>
  <si>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</si>
  <si>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</si>
  <si>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</si>
  <si>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</si>
  <si>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</si>
  <si>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</si>
  <si>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</si>
  <si>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</si>
  <si>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</si>
  <si>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</si>
  <si>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</si>
  <si>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</si>
  <si>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</si>
  <si>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</si>
  <si>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</si>
  <si>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</si>
  <si>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</si>
  <si>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</si>
  <si>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</si>
  <si>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</si>
  <si>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</si>
  <si>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</si>
  <si>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</si>
  <si>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</si>
  <si>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</si>
  <si>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</si>
  <si>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</si>
  <si>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</si>
  <si>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</si>
  <si>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</si>
  <si>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</si>
  <si>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</si>
  <si>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</si>
  <si>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</si>
  <si>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</si>
  <si>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</si>
  <si>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</si>
  <si>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</si>
  <si>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</si>
  <si>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</si>
  <si>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</si>
  <si>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</si>
  <si>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</si>
  <si>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</si>
  <si>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</si>
  <si>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</si>
  <si>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</si>
  <si>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</si>
  <si>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</si>
  <si>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</si>
  <si>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</si>
  <si>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</si>
  <si>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</si>
  <si>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</si>
  <si>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</si>
  <si>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</si>
  <si>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</si>
  <si>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</si>
  <si>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</si>
  <si>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</si>
  <si>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</si>
  <si>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</si>
  <si>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</si>
  <si>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</si>
  <si>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</si>
  <si>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</si>
  <si>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</si>
  <si>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</si>
  <si>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</si>
  <si>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</si>
  <si>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</si>
  <si>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</si>
  <si>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</si>
  <si>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</si>
  <si>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</si>
  <si>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</si>
  <si>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</si>
  <si>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</si>
  <si>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</si>
  <si>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</si>
  <si>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</si>
  <si>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</si>
  <si>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</si>
  <si>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</si>
  <si>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</si>
  <si>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</si>
  <si>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</si>
  <si>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</si>
  <si>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</si>
  <si>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</si>
  <si>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</si>
  <si>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</si>
  <si>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</si>
  <si>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</si>
  <si>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</si>
  <si>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</si>
  <si>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</si>
  <si>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</si>
  <si>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</si>
  <si>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</si>
  <si>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</si>
  <si>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</si>
  <si>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</si>
  <si>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</si>
  <si>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</si>
  <si>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</si>
  <si>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</si>
  <si>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</si>
  <si>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</si>
  <si>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</si>
  <si>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</si>
  <si>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</si>
  <si>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</si>
  <si>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</si>
  <si>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</si>
  <si>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</si>
  <si>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</si>
  <si>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</si>
  <si>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</si>
  <si>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</si>
  <si>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</si>
  <si>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</si>
  <si>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</si>
  <si>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</si>
  <si>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</si>
  <si>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</si>
  <si>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</si>
  <si>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</si>
  <si>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</si>
  <si>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</si>
  <si>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</si>
  <si>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</si>
  <si>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</si>
  <si>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</si>
  <si>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</si>
  <si>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</si>
  <si>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</si>
  <si>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</si>
  <si>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</si>
  <si>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</si>
  <si>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</si>
  <si>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</si>
  <si>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</si>
  <si>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</si>
  <si>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</si>
  <si>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</si>
  <si>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</si>
  <si>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</si>
  <si>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</si>
  <si>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</si>
  <si>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</si>
  <si>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</si>
  <si>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</si>
  <si>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</si>
  <si>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</si>
  <si>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</si>
  <si>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</si>
  <si>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</si>
  <si>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</si>
  <si>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</si>
  <si>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</si>
  <si>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</si>
  <si>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</si>
  <si>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</si>
  <si>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</si>
  <si>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</si>
  <si>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</si>
  <si>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</si>
  <si>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</si>
  <si>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</si>
  <si>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</si>
  <si>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</si>
  <si>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</si>
  <si>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</si>
  <si>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</si>
  <si>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</si>
  <si>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</si>
  <si>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</si>
  <si>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</si>
  <si>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</si>
  <si>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</si>
  <si>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</si>
  <si>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</si>
  <si>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</si>
  <si>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</si>
  <si>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</si>
  <si>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</si>
  <si>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</si>
  <si>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</si>
  <si>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</si>
  <si>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</si>
  <si>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</si>
  <si>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</si>
  <si>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</si>
  <si>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</si>
  <si>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</si>
  <si>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</si>
  <si>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</si>
  <si>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</si>
  <si>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</si>
  <si>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</si>
  <si>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</si>
  <si>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</si>
  <si>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</si>
  <si>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</si>
  <si>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</si>
  <si>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</si>
  <si>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</si>
  <si>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</si>
  <si>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</si>
  <si>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</si>
  <si>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</si>
  <si>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</si>
  <si>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</si>
  <si>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</si>
  <si>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</si>
  <si>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</si>
  <si>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</si>
  <si>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</si>
  <si>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</si>
  <si>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</si>
  <si>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</si>
  <si>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</si>
  <si>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</si>
  <si>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</si>
  <si>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</si>
  <si>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</si>
  <si>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</si>
  <si>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</si>
  <si>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</si>
  <si>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</si>
  <si>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</si>
  <si>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</si>
  <si>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</si>
  <si>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</si>
  <si>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</si>
  <si>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</si>
  <si>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</si>
  <si>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</si>
  <si>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</si>
  <si>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</si>
  <si>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</si>
  <si>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</si>
  <si>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</si>
  <si>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</si>
  <si>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</si>
  <si>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</si>
  <si>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</si>
  <si>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</si>
  <si>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</si>
  <si>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</si>
  <si>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</si>
  <si>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</si>
  <si>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</si>
  <si>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</si>
  <si>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</si>
  <si>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</si>
  <si>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</si>
  <si>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</si>
  <si>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</si>
  <si>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</si>
  <si>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</si>
  <si>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</si>
  <si>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</si>
  <si>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</si>
  <si>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</si>
  <si>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</si>
  <si>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</si>
  <si>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</si>
  <si>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</si>
  <si>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</si>
  <si>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</si>
  <si>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</si>
  <si>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</si>
  <si>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</si>
  <si>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</si>
  <si>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</si>
  <si>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</si>
  <si>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</si>
  <si>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</si>
  <si>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</si>
  <si>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</si>
  <si>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</si>
  <si>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</si>
  <si>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</si>
  <si>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</si>
  <si>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</si>
  <si>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</si>
  <si>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</si>
  <si>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</si>
  <si>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</si>
  <si>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</si>
  <si>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</si>
  <si>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</si>
  <si>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</si>
  <si>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</si>
  <si>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</si>
  <si>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</si>
  <si>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</si>
  <si>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</si>
  <si>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</si>
  <si>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</si>
  <si>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</si>
  <si>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</si>
  <si>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</si>
  <si>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</si>
  <si>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</si>
  <si>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</si>
  <si>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</si>
  <si>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</si>
  <si>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</si>
  <si>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</si>
  <si>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</si>
  <si>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</si>
  <si>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</si>
  <si>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</si>
  <si>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</si>
  <si>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</si>
  <si>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</si>
  <si>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</si>
  <si>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</si>
  <si>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</si>
  <si>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</si>
  <si>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</si>
  <si>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</si>
  <si>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</si>
  <si>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</si>
  <si>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</si>
  <si>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</si>
  <si>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</si>
  <si>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</si>
  <si>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</si>
  <si>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</si>
  <si>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</si>
  <si>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</si>
  <si>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</si>
  <si>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</si>
  <si>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</si>
  <si>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</si>
  <si>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</si>
  <si>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</si>
  <si>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</si>
  <si>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</si>
  <si>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</si>
  <si>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</si>
  <si>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</si>
  <si>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</si>
  <si>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</si>
  <si>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</si>
  <si>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</si>
  <si>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</si>
  <si>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</si>
  <si>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</si>
  <si>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</si>
  <si>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</si>
  <si>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</si>
  <si>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</si>
  <si>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</si>
  <si>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</si>
  <si>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</si>
  <si>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</si>
  <si>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</si>
  <si>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</si>
  <si>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</si>
  <si>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</si>
  <si>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</si>
  <si>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</si>
  <si>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</si>
  <si>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</si>
  <si>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</si>
  <si>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</si>
  <si>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</si>
  <si>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</si>
  <si>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</si>
  <si>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</si>
  <si>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</si>
  <si>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</si>
  <si>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</si>
  <si>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</si>
  <si>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</si>
  <si>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</si>
  <si>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</si>
  <si>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</si>
  <si>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</si>
  <si>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</si>
  <si>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</si>
  <si>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</si>
  <si>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</si>
  <si>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</si>
  <si>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</si>
  <si>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</si>
  <si>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</si>
  <si>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</si>
  <si>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</si>
  <si>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</si>
  <si>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</si>
  <si>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</si>
  <si>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</si>
  <si>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</si>
  <si>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</si>
  <si>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</si>
  <si>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</si>
  <si>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</si>
  <si>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</si>
  <si>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</si>
  <si>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</si>
  <si>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</si>
  <si>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</si>
  <si>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</si>
  <si>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</si>
  <si>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</si>
  <si>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</si>
  <si>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</si>
  <si>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</si>
  <si>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</si>
  <si>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</si>
  <si>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</si>
  <si>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</si>
  <si>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</si>
  <si>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</si>
  <si>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</si>
  <si>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</si>
  <si>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</si>
  <si>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</si>
  <si>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</si>
  <si>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</si>
  <si>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</si>
  <si>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</si>
  <si>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</si>
  <si>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</si>
  <si>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</si>
  <si>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</si>
  <si>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</si>
  <si>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</si>
  <si>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</si>
  <si>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</si>
  <si>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</si>
  <si>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</si>
  <si>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</si>
  <si>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</si>
  <si>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</si>
  <si>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</si>
  <si>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</si>
  <si>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</si>
  <si>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</si>
  <si>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</si>
  <si>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</si>
  <si>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</si>
  <si>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</si>
  <si>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</si>
  <si>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</si>
  <si>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</si>
  <si>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</si>
  <si>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</si>
  <si>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</si>
  <si>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</si>
  <si>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</si>
  <si>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</si>
  <si>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</si>
  <si>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</si>
  <si>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</si>
  <si>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</si>
  <si>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</si>
  <si>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</si>
  <si>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</si>
  <si>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</si>
  <si>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</si>
  <si>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</si>
  <si>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</si>
  <si>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</si>
  <si>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</si>
  <si>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</si>
  <si>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</si>
  <si>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</si>
  <si>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</si>
  <si>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</si>
  <si>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</si>
  <si>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</si>
  <si>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</si>
  <si>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</si>
  <si>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</si>
  <si>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</si>
  <si>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</si>
  <si>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</si>
  <si>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</si>
  <si>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</si>
  <si>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</si>
  <si>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</si>
  <si>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</si>
  <si>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</si>
  <si>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</si>
  <si>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</si>
  <si>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</si>
  <si>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</si>
  <si>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</si>
  <si>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</si>
  <si>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</si>
  <si>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</si>
  <si>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</si>
  <si>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</si>
  <si>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</si>
  <si>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</si>
  <si>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</si>
  <si>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</si>
  <si>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</si>
  <si>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</si>
  <si>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</si>
  <si>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</si>
  <si>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</si>
  <si>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</si>
  <si>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</si>
  <si>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</si>
  <si>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</si>
  <si>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</si>
  <si>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</si>
  <si>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</si>
  <si>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</si>
  <si>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</si>
  <si>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</si>
  <si>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</si>
  <si>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</si>
  <si>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</si>
  <si>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</si>
  <si>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</si>
  <si>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</si>
  <si>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</si>
  <si>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</si>
  <si>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</si>
  <si>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</si>
  <si>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</si>
  <si>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</si>
  <si>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</si>
  <si>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</si>
  <si>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</si>
  <si>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</si>
  <si>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</si>
  <si>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</si>
  <si>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</si>
  <si>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</si>
  <si>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</si>
  <si>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</si>
  <si>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</si>
  <si>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</si>
  <si>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</si>
  <si>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</si>
  <si>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</si>
  <si>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</si>
  <si>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</si>
  <si>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</si>
  <si>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</si>
  <si>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</si>
  <si>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</si>
  <si>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</si>
  <si>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</si>
  <si>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</si>
  <si>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</si>
  <si>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</si>
  <si>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</si>
  <si>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</si>
  <si>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</si>
  <si>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</si>
  <si>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</si>
  <si>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</si>
  <si>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</si>
  <si>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</si>
  <si>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</si>
  <si>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</si>
  <si>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</si>
  <si>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</si>
  <si>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</si>
  <si>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</si>
  <si>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</si>
  <si>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</si>
  <si>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</si>
  <si>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</si>
  <si>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</si>
  <si>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</si>
  <si>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</si>
  <si>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</si>
  <si>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</si>
  <si>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</si>
  <si>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</si>
  <si>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</si>
  <si>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</si>
  <si>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</si>
  <si>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</si>
  <si>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</si>
  <si>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</si>
  <si>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</si>
  <si>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</si>
  <si>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</si>
  <si>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</si>
  <si>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</si>
  <si>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</si>
  <si>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</si>
  <si>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</si>
  <si>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</si>
  <si>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</si>
  <si>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</si>
  <si>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</si>
  <si>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</si>
  <si>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</si>
  <si>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</si>
  <si>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</si>
  <si>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</si>
  <si>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</si>
  <si>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</si>
  <si>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</si>
  <si>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</si>
  <si>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</si>
  <si>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</si>
  <si>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</si>
  <si>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</si>
  <si>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</si>
  <si>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</si>
  <si>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</si>
  <si>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</si>
  <si>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</si>
  <si>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</si>
  <si>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</si>
  <si>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</si>
  <si>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</si>
  <si>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</si>
  <si>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</si>
  <si>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</si>
  <si>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</si>
  <si>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</si>
  <si>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</si>
  <si>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</si>
  <si>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</si>
  <si>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</si>
  <si>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</si>
  <si>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</si>
  <si>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</si>
  <si>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</si>
  <si>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</si>
  <si>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</si>
  <si>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</si>
  <si>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</si>
  <si>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</si>
  <si>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</si>
  <si>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</si>
  <si>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</si>
  <si>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</si>
  <si>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</si>
  <si>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</si>
  <si>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</si>
  <si>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</si>
  <si>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</si>
  <si>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</si>
  <si>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</si>
  <si>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</si>
  <si>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</si>
  <si>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</si>
  <si>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</si>
  <si>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</si>
  <si>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</si>
  <si>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</si>
  <si>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</si>
  <si>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</si>
  <si>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</si>
  <si>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</si>
  <si>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</si>
  <si>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</si>
  <si>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</si>
  <si>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</si>
  <si>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</si>
  <si>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</si>
  <si>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</si>
  <si>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</si>
  <si>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</si>
  <si>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</si>
  <si>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</si>
  <si>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</si>
  <si>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</si>
  <si>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</si>
  <si>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</si>
  <si>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</si>
  <si>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</si>
  <si>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</si>
  <si>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</si>
  <si>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</si>
  <si>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</si>
  <si>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</si>
  <si>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</si>
  <si>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</si>
  <si>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</si>
  <si>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</si>
  <si>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</si>
  <si>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</si>
  <si>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</si>
  <si>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</si>
  <si>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</si>
  <si>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</si>
  <si>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</si>
  <si>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</si>
  <si>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</si>
  <si>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</si>
  <si>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</si>
  <si>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</si>
  <si>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</si>
  <si>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</si>
  <si>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</si>
  <si>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</si>
  <si>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</si>
  <si>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</si>
  <si>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</si>
  <si>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</si>
  <si>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</si>
  <si>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</si>
  <si>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</si>
  <si>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</si>
  <si>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</si>
  <si>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</si>
  <si>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</si>
  <si>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</si>
  <si>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</si>
  <si>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</si>
  <si>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</si>
  <si>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</si>
  <si>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</si>
  <si>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</si>
  <si>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</si>
  <si>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</si>
  <si>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</si>
  <si>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</si>
  <si>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</si>
  <si>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</si>
  <si>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</si>
  <si>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</si>
  <si>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</si>
  <si>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</si>
  <si>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</si>
  <si>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</si>
  <si>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</si>
  <si>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</si>
  <si>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</si>
  <si>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</si>
  <si>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</si>
  <si>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</si>
  <si>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</si>
  <si>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</si>
  <si>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</si>
  <si>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</si>
  <si>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</si>
  <si>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</si>
  <si>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</si>
  <si>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</si>
  <si>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</si>
  <si>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</si>
  <si>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</si>
  <si>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</si>
  <si>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</si>
  <si>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</si>
  <si>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</si>
  <si>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</si>
  <si>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</si>
  <si>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</si>
  <si>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</si>
  <si>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</si>
  <si>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</si>
  <si>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</si>
  <si>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</si>
  <si>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</si>
  <si>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</si>
  <si>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</si>
  <si>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</si>
  <si>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</si>
  <si>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</si>
  <si>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</si>
  <si>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</si>
  <si>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</si>
  <si>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</si>
  <si>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</si>
  <si>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</si>
  <si>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</si>
  <si>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</si>
  <si>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</si>
  <si>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</si>
  <si>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</si>
  <si>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</si>
  <si>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</si>
  <si>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</si>
  <si>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</si>
  <si>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</si>
  <si>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</si>
  <si>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</si>
  <si>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</si>
  <si>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</si>
  <si>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</si>
  <si>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</si>
  <si>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</si>
  <si>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</si>
  <si>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</si>
  <si>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</si>
  <si>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</si>
  <si>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</si>
  <si>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</si>
  <si>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</si>
  <si>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</si>
  <si>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</si>
  <si>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</si>
  <si>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</si>
  <si>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</si>
  <si>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</si>
  <si>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</si>
  <si>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</si>
  <si>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</si>
  <si>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</si>
  <si>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</si>
  <si>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</si>
  <si>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</si>
  <si>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</si>
  <si>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</si>
  <si>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</si>
  <si>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</si>
  <si>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</si>
  <si>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</si>
  <si>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</si>
  <si>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</si>
  <si>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</si>
  <si>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</si>
  <si>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</si>
  <si>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</si>
  <si>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</si>
  <si>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</si>
  <si>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</si>
  <si>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</si>
  <si>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</si>
  <si>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</si>
  <si>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</si>
  <si>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</si>
  <si>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</si>
  <si>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</si>
  <si>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</si>
  <si>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</si>
  <si>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</si>
  <si>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</si>
  <si>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</si>
  <si>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</si>
  <si>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</si>
  <si>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</si>
  <si>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</si>
  <si>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</si>
  <si>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</si>
  <si>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</si>
  <si>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</si>
  <si>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</si>
  <si>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</si>
  <si>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</si>
  <si>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</si>
  <si>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</si>
  <si>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</si>
  <si>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</si>
  <si>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</si>
  <si>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</si>
  <si>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</si>
  <si>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</si>
  <si>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</si>
  <si>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</si>
  <si>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</si>
  <si>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</si>
  <si>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</si>
  <si>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</si>
  <si>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</si>
  <si>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</si>
  <si>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</si>
  <si>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</si>
  <si>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</si>
  <si>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</si>
  <si>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</si>
  <si>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</si>
  <si>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</si>
  <si>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</si>
  <si>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</si>
  <si>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</si>
  <si>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</si>
  <si>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</si>
  <si>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</si>
  <si>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</si>
  <si>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</si>
  <si>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</si>
  <si>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</si>
  <si>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</si>
  <si>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</si>
  <si>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</si>
  <si>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</si>
  <si>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</si>
  <si>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</si>
  <si>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</si>
  <si>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</si>
  <si>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</si>
  <si>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</si>
  <si>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</si>
  <si>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</si>
  <si>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</si>
  <si>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</si>
  <si>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</si>
  <si>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</si>
  <si>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</si>
  <si>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</si>
  <si>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</si>
  <si>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</si>
  <si>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</si>
  <si>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</si>
  <si>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</si>
  <si>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</si>
  <si>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</si>
  <si>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</si>
  <si>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</si>
  <si>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</si>
  <si>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</si>
  <si>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</si>
  <si>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</si>
  <si>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</si>
  <si>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</si>
  <si>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</si>
  <si>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</si>
  <si>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</si>
  <si>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</si>
  <si>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</si>
  <si>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</si>
  <si>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</si>
  <si>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</si>
  <si>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</si>
  <si>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</si>
  <si>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</si>
  <si>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</si>
  <si>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</si>
  <si>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</si>
  <si>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</si>
  <si>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</si>
  <si>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</si>
  <si>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</si>
  <si>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</si>
  <si>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</si>
  <si>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</si>
  <si>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</si>
  <si>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</si>
  <si>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</si>
  <si>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</si>
  <si>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</si>
  <si>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</si>
  <si>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</si>
  <si>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</si>
  <si>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</si>
  <si>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</si>
  <si>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</si>
  <si>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</si>
  <si>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</si>
  <si>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</si>
  <si>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</si>
  <si>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</si>
  <si>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</si>
  <si>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</si>
  <si>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</si>
  <si>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</si>
  <si>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</si>
  <si>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</si>
  <si>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</si>
  <si>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</si>
  <si>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</si>
  <si>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</si>
  <si>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</si>
  <si>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</si>
  <si>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</si>
  <si>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</si>
  <si>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</si>
  <si>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</si>
  <si>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</si>
  <si>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</si>
  <si>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</si>
  <si>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</si>
  <si>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</si>
  <si>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</si>
  <si>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</si>
  <si>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</si>
  <si>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</si>
  <si>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</si>
  <si>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</si>
  <si>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</si>
  <si>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</si>
  <si>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</si>
  <si>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</si>
  <si>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</si>
  <si>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</si>
  <si>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</si>
  <si>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</si>
  <si>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</si>
  <si>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</si>
  <si>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</si>
  <si>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</si>
  <si>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</si>
  <si>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</si>
  <si>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</si>
  <si>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</si>
  <si>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</si>
  <si>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</si>
  <si>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</si>
  <si>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</si>
  <si>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</si>
  <si>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</si>
  <si>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</si>
  <si>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</si>
  <si>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</si>
  <si>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</si>
  <si>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</si>
  <si>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</si>
  <si>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</si>
  <si>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</si>
  <si>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</si>
  <si>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</si>
  <si>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</si>
  <si>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</si>
  <si>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</si>
  <si>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</si>
  <si>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</si>
  <si>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</si>
  <si>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</si>
  <si>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</si>
  <si>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</si>
  <si>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</si>
  <si>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</si>
  <si>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</si>
  <si>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</si>
  <si>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</si>
  <si>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</si>
  <si>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</si>
  <si>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</si>
  <si>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</si>
  <si>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</si>
  <si>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</si>
  <si>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</si>
  <si>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</si>
  <si>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</si>
  <si>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</si>
  <si>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</si>
  <si>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</si>
  <si>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</si>
  <si>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</si>
  <si>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</si>
  <si>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</si>
  <si>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</si>
  <si>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</si>
  <si>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</si>
  <si>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</si>
  <si>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</si>
  <si>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</si>
  <si>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</si>
  <si>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</si>
  <si>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</si>
  <si>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</si>
  <si>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</si>
  <si>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</si>
  <si>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</si>
  <si>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</si>
  <si>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</si>
  <si>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</si>
  <si>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</si>
  <si>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</si>
  <si>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</si>
  <si>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</si>
  <si>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</si>
  <si>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</si>
  <si>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</si>
  <si>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</si>
  <si>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</si>
  <si>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</si>
  <si>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</si>
  <si>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</si>
  <si>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</si>
  <si>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</si>
  <si>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</si>
  <si>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</si>
  <si>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</si>
  <si>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</si>
  <si>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</si>
  <si>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</si>
  <si>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</si>
  <si>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</si>
  <si>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</si>
  <si>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</si>
  <si>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</si>
  <si>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</si>
  <si>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</si>
  <si>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</si>
  <si>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</si>
  <si>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</si>
  <si>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</si>
  <si>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</si>
  <si>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</si>
  <si>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</si>
  <si>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</si>
  <si>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</si>
  <si>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</si>
  <si>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</si>
  <si>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</si>
  <si>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</si>
  <si>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</si>
  <si>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</si>
  <si>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</si>
  <si>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</si>
  <si>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</si>
  <si>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</si>
  <si>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</si>
  <si>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</si>
  <si>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</si>
  <si>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</si>
  <si>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</si>
  <si>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</si>
  <si>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</si>
  <si>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</si>
  <si>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</si>
  <si>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</si>
  <si>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</si>
  <si>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</si>
  <si>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</si>
  <si>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</si>
  <si>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</si>
  <si>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</si>
  <si>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</si>
  <si>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</si>
  <si>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</si>
  <si>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</si>
  <si>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</si>
  <si>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</si>
  <si>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</si>
  <si>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</si>
  <si>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</si>
  <si>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</si>
  <si>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</si>
  <si>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</si>
  <si>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</si>
  <si>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</si>
  <si>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</si>
  <si>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</si>
  <si>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</si>
  <si>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</si>
  <si>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</si>
  <si>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</si>
  <si>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</si>
  <si>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</si>
  <si>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</si>
  <si>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</si>
  <si>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</si>
  <si>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</si>
  <si>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</si>
  <si>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</si>
  <si>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</si>
  <si>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</si>
  <si>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</si>
  <si>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</si>
  <si>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</si>
  <si>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</si>
  <si>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</si>
  <si>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</si>
  <si>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</si>
  <si>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</si>
  <si>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</si>
  <si>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</si>
  <si>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</si>
  <si>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</si>
  <si>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</si>
  <si>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</si>
  <si>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</si>
  <si>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</si>
  <si>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</si>
  <si>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</si>
  <si>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</si>
  <si>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</si>
  <si>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</si>
  <si>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</si>
  <si>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</si>
  <si>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</si>
  <si>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</si>
  <si>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</si>
  <si>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</si>
  <si>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</si>
  <si>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</si>
  <si>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</si>
  <si>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</si>
  <si>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</si>
  <si>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</si>
  <si>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</si>
  <si>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</si>
  <si>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</si>
  <si>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</si>
  <si>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</si>
  <si>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</si>
  <si>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</si>
  <si>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</si>
  <si>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</si>
  <si>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</si>
  <si>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</si>
  <si>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</si>
  <si>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</si>
  <si>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</si>
  <si>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</si>
  <si>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</si>
  <si>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</si>
  <si>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</si>
  <si>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</si>
  <si>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</si>
  <si>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</si>
  <si>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</si>
  <si>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</si>
  <si>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</si>
  <si>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</si>
  <si>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</si>
  <si>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</si>
  <si>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</si>
  <si>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</si>
  <si>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</si>
  <si>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</si>
  <si>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</si>
  <si>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</si>
  <si>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</si>
  <si>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</si>
  <si>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</si>
  <si>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</si>
  <si>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</si>
  <si>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</si>
  <si>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</si>
  <si>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</si>
  <si>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</si>
  <si>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</si>
  <si>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</si>
  <si>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</si>
  <si>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</si>
  <si>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</si>
  <si>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</si>
  <si>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</si>
  <si>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</si>
  <si>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</si>
  <si>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</si>
  <si>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</si>
  <si>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</si>
  <si>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</si>
  <si>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</si>
  <si>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</si>
  <si>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</si>
  <si>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</si>
  <si>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</si>
  <si>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</si>
  <si>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</si>
  <si>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</si>
  <si>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</si>
  <si>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</si>
  <si>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</si>
  <si>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</si>
  <si>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</si>
  <si>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</si>
  <si>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</si>
  <si>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</si>
  <si>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</si>
  <si>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</si>
  <si>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</si>
  <si>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</si>
  <si>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</si>
  <si>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</si>
  <si>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</si>
  <si>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</si>
  <si>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</si>
  <si>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</si>
  <si>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</si>
  <si>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</si>
  <si>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</si>
  <si>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</si>
  <si>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</si>
  <si>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</si>
  <si>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</si>
  <si>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</si>
  <si>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</si>
  <si>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</si>
  <si>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</si>
  <si>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</si>
  <si>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</si>
  <si>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</si>
  <si>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</si>
  <si>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</si>
  <si>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</si>
  <si>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</si>
  <si>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</si>
  <si>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</si>
  <si>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</si>
  <si>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</si>
  <si>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</si>
  <si>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</si>
  <si>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</si>
  <si>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</si>
  <si>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</si>
  <si>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</si>
  <si>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</si>
  <si>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</si>
  <si>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</si>
  <si>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</si>
  <si>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</si>
  <si>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</si>
  <si>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</si>
  <si>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</si>
  <si>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</si>
  <si>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</si>
  <si>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</si>
  <si>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</si>
  <si>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</si>
  <si>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</si>
  <si>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</si>
  <si>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</si>
  <si>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</si>
  <si>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</si>
  <si>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</si>
  <si>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</si>
  <si>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</si>
  <si>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</si>
  <si>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</si>
  <si>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</si>
  <si>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</si>
  <si>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</si>
  <si>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</si>
  <si>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</si>
  <si>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</si>
  <si>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</si>
  <si>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</si>
  <si>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</si>
  <si>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</si>
  <si>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</si>
  <si>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</si>
  <si>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</si>
  <si>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</si>
  <si>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</si>
  <si>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</si>
  <si>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</si>
  <si>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</si>
  <si>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</si>
  <si>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</si>
  <si>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</si>
  <si>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</si>
  <si>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</si>
  <si>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</si>
  <si>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</si>
  <si>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</si>
  <si>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</si>
  <si>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</si>
  <si>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</si>
  <si>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</si>
  <si>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</si>
  <si>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</si>
  <si>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</si>
  <si>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</si>
  <si>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</si>
  <si>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</si>
  <si>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</si>
  <si>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</si>
  <si>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</si>
  <si>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</si>
  <si>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</si>
  <si>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</si>
  <si>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</si>
  <si>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</si>
  <si>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</si>
  <si>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</si>
  <si>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</si>
  <si>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</si>
  <si>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</si>
  <si>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</si>
  <si>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</si>
  <si>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</si>
  <si>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</si>
  <si>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</si>
  <si>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</si>
  <si>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</si>
  <si>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</si>
  <si>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</si>
  <si>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</si>
  <si>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</si>
  <si>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</si>
  <si>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</si>
  <si>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</si>
  <si>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</si>
  <si>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</si>
  <si>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</si>
  <si>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</si>
  <si>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</si>
  <si>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</si>
  <si>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</si>
  <si>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</si>
  <si>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</si>
  <si>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</si>
  <si>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</si>
  <si>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</si>
  <si>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</si>
  <si>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</si>
  <si>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</si>
  <si>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</si>
  <si>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</si>
  <si>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</si>
  <si>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</si>
  <si>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</si>
  <si>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</si>
  <si>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</si>
  <si>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</si>
  <si>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</si>
  <si>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</si>
  <si>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</si>
  <si>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</si>
  <si>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</si>
  <si>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</si>
  <si>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</si>
  <si>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</si>
  <si>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</si>
  <si>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</si>
  <si>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</si>
  <si>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</si>
  <si>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</si>
  <si>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</si>
  <si>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</si>
  <si>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</si>
  <si>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</si>
  <si>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</si>
  <si>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</si>
  <si>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</si>
  <si>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</si>
  <si>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</si>
  <si>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</si>
  <si>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</si>
  <si>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</si>
  <si>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</si>
  <si>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</si>
  <si>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</si>
  <si>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</si>
  <si>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</si>
  <si>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</si>
  <si>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</si>
  <si>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</si>
  <si>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</si>
  <si>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</si>
  <si>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</si>
  <si>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</si>
  <si>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</si>
  <si>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</si>
  <si>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</si>
  <si>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</si>
  <si>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</si>
  <si>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</si>
  <si>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</si>
  <si>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</si>
  <si>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</si>
  <si>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</si>
  <si>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</si>
  <si>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</si>
  <si>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</si>
  <si>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</si>
  <si>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</si>
  <si>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</si>
  <si>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</si>
  <si>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</si>
  <si>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</si>
  <si>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</si>
  <si>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</si>
  <si>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</si>
  <si>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</si>
  <si>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</si>
  <si>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</si>
  <si>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</si>
  <si>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</si>
  <si>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</si>
  <si>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</si>
  <si>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</si>
  <si>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</si>
  <si>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</si>
  <si>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</si>
  <si>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</si>
  <si>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</si>
  <si>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</si>
  <si>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</si>
  <si>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</si>
  <si>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</si>
  <si>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</si>
  <si>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</si>
  <si>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</si>
  <si>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</si>
  <si>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</si>
  <si>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</si>
  <si>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</si>
  <si>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</si>
  <si>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</si>
  <si>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</si>
  <si>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</si>
  <si>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</si>
  <si>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</si>
  <si>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</si>
  <si>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</si>
  <si>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</si>
  <si>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</si>
  <si>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</si>
  <si>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</si>
  <si>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</si>
  <si>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</si>
  <si>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</si>
  <si>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</si>
  <si>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</si>
  <si>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</si>
  <si>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</si>
  <si>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</si>
  <si>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</si>
  <si>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</si>
  <si>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</si>
  <si>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</si>
  <si>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</si>
  <si>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</si>
  <si>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</si>
  <si>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</si>
  <si>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</si>
  <si>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</si>
  <si>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</si>
  <si>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</si>
  <si>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</si>
  <si>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</si>
  <si>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</si>
  <si>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</si>
  <si>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</si>
  <si>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</si>
  <si>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</si>
  <si>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</si>
  <si>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</si>
  <si>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</si>
  <si>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</si>
  <si>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</si>
  <si>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</si>
  <si>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</si>
  <si>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</si>
  <si>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</si>
  <si>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</si>
  <si>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</si>
  <si>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</si>
  <si>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</si>
  <si>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</si>
  <si>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</si>
  <si>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</si>
  <si>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</si>
  <si>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</si>
  <si>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</si>
  <si>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</si>
  <si>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</si>
  <si>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</si>
  <si>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</si>
  <si>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</si>
  <si>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</si>
  <si>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</si>
  <si>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</si>
  <si>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</si>
  <si>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</si>
  <si>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</si>
  <si>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</si>
  <si>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</si>
  <si>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</si>
  <si>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</si>
  <si>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</si>
  <si>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</si>
  <si>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</si>
  <si>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</si>
  <si>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</si>
  <si>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</si>
  <si>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</si>
  <si>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</si>
  <si>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</si>
  <si>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</si>
  <si>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</si>
  <si>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</si>
  <si>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</si>
  <si>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</si>
  <si>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</si>
  <si>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</si>
  <si>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</si>
  <si>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</si>
  <si>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</si>
  <si>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</si>
  <si>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</si>
  <si>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</si>
  <si>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</si>
  <si>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</si>
  <si>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</si>
  <si>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</si>
  <si>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</si>
  <si>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</si>
  <si>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</si>
  <si>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</si>
  <si>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</si>
  <si>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</si>
  <si>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</si>
  <si>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</si>
  <si>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</si>
  <si>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</si>
  <si>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</si>
  <si>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</si>
  <si>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</si>
  <si>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</si>
  <si>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</si>
  <si>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</si>
  <si>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</si>
  <si>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</si>
  <si>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</si>
  <si>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</si>
  <si>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</si>
  <si>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</si>
  <si>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</si>
  <si>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</si>
  <si>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</si>
  <si>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</si>
  <si>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</si>
  <si>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</si>
  <si>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</si>
  <si>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</si>
  <si>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</si>
  <si>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</si>
  <si>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</si>
  <si>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</si>
  <si>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</si>
  <si>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</si>
  <si>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</si>
  <si>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</si>
  <si>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</si>
  <si>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</si>
  <si>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</si>
  <si>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</si>
  <si>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</si>
  <si>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</si>
  <si>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</si>
  <si>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</si>
  <si>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</si>
  <si>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</si>
  <si>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</si>
  <si>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</si>
  <si>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</si>
  <si>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</si>
  <si>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</si>
  <si>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</si>
  <si>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</si>
  <si>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</si>
  <si>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</si>
  <si>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</si>
  <si>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</si>
  <si>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</si>
  <si>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</si>
  <si>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</si>
  <si>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</si>
  <si>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</si>
  <si>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</si>
  <si>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</si>
  <si>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</si>
  <si>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</si>
  <si>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</si>
  <si>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</si>
  <si>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</si>
  <si>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</si>
  <si>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</si>
  <si>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</si>
  <si>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</si>
  <si>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</si>
  <si>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</si>
  <si>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</si>
  <si>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</si>
  <si>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</si>
  <si>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</si>
  <si>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</si>
  <si>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</si>
  <si>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</si>
  <si>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</si>
  <si>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</si>
  <si>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</si>
  <si>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</si>
  <si>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</si>
  <si>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</si>
  <si>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</si>
  <si>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</si>
  <si>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</si>
  <si>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</si>
  <si>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</si>
  <si>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</si>
  <si>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</si>
  <si>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</si>
  <si>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</si>
  <si>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</si>
  <si>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</si>
  <si>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</si>
  <si>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</si>
  <si>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</si>
  <si>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</si>
  <si>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</si>
  <si>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</si>
  <si>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</si>
  <si>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</si>
  <si>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</si>
  <si>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</si>
  <si>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</si>
  <si>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</si>
  <si>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</si>
  <si>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</si>
  <si>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</si>
  <si>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</si>
  <si>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</si>
  <si>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</si>
  <si>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</si>
  <si>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</si>
  <si>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</si>
  <si>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</si>
  <si>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</si>
  <si>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</si>
  <si>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</si>
  <si>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</si>
  <si>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</si>
  <si>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</si>
  <si>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</si>
  <si>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</si>
  <si>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</si>
  <si>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</si>
  <si>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</si>
  <si>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</si>
  <si>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</si>
  <si>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</si>
  <si>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</si>
  <si>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</si>
  <si>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</si>
  <si>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</si>
  <si>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</si>
  <si>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</si>
  <si>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</si>
  <si>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</si>
  <si>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</si>
  <si>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</si>
  <si>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</si>
  <si>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</si>
  <si>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</si>
  <si>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</si>
  <si>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</si>
  <si>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</si>
  <si>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</si>
  <si>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</si>
  <si>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</si>
  <si>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</si>
  <si>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</si>
  <si>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</si>
  <si>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</si>
  <si>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</si>
  <si>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</si>
  <si>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</si>
  <si>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</si>
  <si>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</si>
  <si>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</si>
  <si>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</si>
  <si>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</si>
  <si>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</si>
  <si>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</si>
  <si>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</si>
  <si>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</si>
  <si>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</si>
  <si>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</si>
  <si>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</si>
  <si>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</si>
  <si>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</si>
  <si>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</si>
  <si>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</si>
  <si>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</si>
  <si>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</si>
  <si>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</si>
  <si>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</si>
  <si>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</si>
  <si>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</si>
  <si>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</si>
  <si>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</si>
  <si>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</si>
  <si>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</si>
  <si>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</si>
  <si>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</si>
  <si>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</si>
  <si>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</si>
  <si>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</si>
  <si>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</si>
  <si>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</si>
  <si>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</si>
  <si>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</si>
  <si>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</si>
  <si>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</si>
  <si>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</si>
  <si>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</si>
  <si>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</si>
  <si>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</si>
  <si>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</si>
  <si>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</si>
  <si>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</si>
  <si>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</si>
  <si>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</si>
  <si>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</si>
  <si>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</si>
  <si>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</si>
  <si>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</si>
  <si>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</si>
  <si>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</si>
  <si>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</si>
  <si>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</si>
  <si>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</si>
  <si>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</si>
  <si>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</si>
  <si>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</si>
  <si>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</si>
  <si>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</si>
  <si>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</si>
  <si>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</si>
  <si>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</si>
  <si>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</si>
  <si>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</si>
  <si>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</si>
  <si>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</si>
  <si>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</si>
  <si>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</si>
  <si>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</si>
  <si>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</si>
  <si>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</si>
  <si>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</si>
  <si>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</si>
  <si>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</si>
  <si>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</si>
  <si>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</si>
  <si>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</si>
  <si>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</si>
  <si>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</si>
  <si>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</si>
  <si>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</si>
  <si>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</si>
  <si>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</si>
  <si>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</si>
  <si>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</si>
  <si>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</si>
  <si>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</si>
  <si>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</si>
  <si>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</si>
  <si>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</si>
  <si>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</si>
  <si>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</si>
  <si>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</si>
  <si>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</si>
  <si>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</si>
  <si>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</si>
  <si>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</si>
  <si>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</si>
  <si>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</si>
  <si>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</si>
  <si>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</si>
  <si>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</si>
  <si>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</si>
  <si>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</si>
  <si>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</si>
  <si>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</si>
  <si>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</si>
  <si>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</si>
  <si>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</si>
  <si>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</si>
  <si>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</si>
  <si>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</si>
  <si>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</si>
  <si>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</si>
  <si>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</si>
  <si>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</si>
  <si>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</si>
  <si>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</si>
  <si>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</si>
  <si>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</si>
  <si>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</si>
  <si>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</si>
  <si>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</si>
  <si>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</si>
  <si>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</si>
  <si>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</si>
  <si>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</si>
  <si>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</si>
  <si>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</si>
  <si>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</si>
  <si>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</si>
  <si>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</si>
  <si>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</si>
  <si>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</si>
  <si>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</si>
  <si>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</si>
  <si>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</si>
  <si>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</si>
  <si>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</si>
  <si>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</si>
  <si>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제05장 소송개시와 심리 대상</t>
  </si>
  <si>
    <t>제05장 소송개시와 심리 대상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</si>
  <si>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</si>
  <si>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</si>
  <si>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</si>
  <si>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</si>
  <si>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</si>
  <si>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</si>
  <si>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회독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</si>
  <si>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</si>
  <si>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</si>
  <si>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</si>
  <si>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</si>
  <si>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</si>
  <si>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</si>
  <si>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</si>
  <si>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</si>
  <si>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</si>
  <si>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</si>
  <si>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</si>
  <si>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</si>
  <si>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</si>
  <si>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필터</t>
    <phoneticPr fontId="3" type="noConversion"/>
  </si>
  <si>
    <t>(장)</t>
    <phoneticPr fontId="3" type="noConversion"/>
  </si>
  <si>
    <t>(편)</t>
    <phoneticPr fontId="3" type="noConversion"/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</si>
  <si>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</si>
  <si>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</si>
  <si>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</si>
  <si>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</si>
  <si>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</si>
  <si>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</si>
  <si>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</si>
  <si>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</si>
  <si>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</si>
  <si>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</si>
  <si>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</si>
  <si>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</si>
  <si>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</si>
  <si>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</si>
  <si>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</si>
  <si>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</si>
  <si>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</si>
  <si>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</si>
  <si>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</si>
  <si>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</si>
  <si>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</si>
  <si>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</si>
  <si>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</si>
  <si>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</si>
  <si>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</si>
  <si>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</si>
  <si>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</si>
  <si>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</si>
  <si>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</si>
  <si>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</si>
  <si>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</si>
  <si>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</si>
  <si>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</si>
  <si>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</si>
  <si>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</si>
  <si>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</si>
  <si>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</si>
  <si>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</si>
  <si>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</si>
  <si>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</si>
  <si>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</si>
  <si>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</si>
  <si>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</si>
  <si>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</si>
  <si>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</si>
  <si>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</si>
  <si>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</si>
  <si>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</si>
  <si>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</si>
  <si>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</si>
  <si>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</si>
  <si>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</si>
  <si>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</si>
  <si>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</si>
  <si>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</si>
  <si>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</si>
  <si>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</si>
  <si>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</si>
  <si>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</si>
  <si>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</si>
  <si>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</si>
  <si>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</si>
  <si>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</si>
  <si>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</si>
  <si>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</si>
  <si>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</si>
  <si>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</si>
  <si>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</si>
  <si>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</si>
  <si>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</si>
  <si>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</si>
  <si>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</si>
  <si>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</si>
  <si>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</si>
  <si>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</si>
  <si>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</si>
  <si>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</si>
  <si>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</si>
  <si>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</si>
  <si>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</si>
  <si>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</si>
  <si>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</si>
  <si>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</si>
  <si>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</si>
  <si>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</si>
  <si>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</si>
  <si>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</si>
  <si>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</si>
  <si>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</si>
  <si>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</si>
  <si>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</si>
  <si>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</si>
  <si>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</si>
  <si>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</si>
  <si>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</si>
  <si>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</si>
  <si>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</si>
  <si>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</si>
  <si>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</si>
  <si>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</si>
  <si>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</si>
  <si>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</si>
  <si>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</si>
  <si>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</si>
  <si>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</si>
  <si>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</si>
  <si>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</si>
  <si>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</si>
  <si>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</si>
  <si>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</si>
  <si>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</si>
  <si>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</si>
  <si>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</si>
  <si>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</si>
  <si>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</si>
  <si>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</si>
  <si>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</si>
  <si>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</si>
  <si>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</si>
  <si>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</si>
  <si>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</si>
  <si>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</si>
  <si>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</si>
  <si>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</si>
  <si>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</si>
  <si>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</si>
  <si>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</si>
  <si>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</si>
  <si>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</si>
  <si>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</si>
  <si>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</si>
  <si>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</si>
  <si>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</si>
  <si>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</si>
  <si>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</si>
  <si>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</si>
  <si>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</si>
  <si>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</si>
  <si>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</si>
  <si>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</si>
  <si>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</si>
  <si>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</si>
  <si>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</si>
  <si>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</si>
  <si>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</si>
  <si>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</si>
  <si>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</si>
  <si>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</si>
  <si>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</si>
  <si>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</si>
  <si>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</si>
  <si>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</si>
  <si>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</si>
  <si>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</si>
  <si>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</si>
  <si>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</si>
  <si>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</si>
  <si>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</si>
  <si>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</si>
  <si>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</si>
  <si>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</si>
  <si>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</si>
  <si>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</si>
  <si>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</si>
  <si>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</si>
  <si>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</si>
  <si>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</si>
  <si>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</si>
  <si>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</si>
  <si>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</si>
  <si>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</si>
  <si>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</si>
  <si>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</si>
  <si>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</si>
  <si>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</si>
  <si>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</si>
  <si>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</si>
  <si>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</si>
  <si>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</si>
  <si>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</si>
  <si>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</si>
  <si>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</si>
  <si>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</si>
  <si>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</si>
  <si>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</si>
  <si>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</si>
  <si>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</si>
  <si>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</si>
  <si>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</si>
  <si>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</si>
  <si>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</si>
  <si>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</si>
  <si>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</si>
  <si>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</si>
  <si>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</si>
  <si>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</si>
  <si>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</si>
  <si>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</si>
  <si>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</si>
  <si>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</si>
  <si>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</si>
  <si>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</si>
  <si>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</si>
  <si>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</si>
  <si>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</si>
  <si>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</si>
  <si>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</si>
  <si>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</si>
  <si>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</si>
  <si>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</si>
  <si>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</si>
  <si>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</si>
  <si>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</si>
  <si>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</si>
  <si>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</si>
  <si>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</si>
  <si>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</si>
  <si>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</si>
  <si>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</si>
  <si>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</si>
  <si>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</si>
  <si>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</si>
  <si>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</si>
  <si>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</si>
  <si>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</si>
  <si>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</si>
  <si>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</si>
  <si>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</si>
  <si>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</si>
  <si>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</si>
  <si>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</si>
  <si>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</si>
  <si>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</si>
  <si>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</si>
  <si>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</si>
  <si>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</si>
  <si>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</si>
  <si>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</si>
  <si>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</si>
  <si>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</si>
  <si>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</si>
  <si>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</si>
  <si>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</si>
  <si>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</si>
  <si>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</si>
  <si>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</si>
  <si>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</si>
  <si>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</si>
  <si>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</si>
  <si>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</si>
  <si>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</si>
  <si>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</si>
  <si>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</si>
  <si>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</si>
  <si>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</si>
  <si>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</si>
  <si>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</si>
  <si>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</si>
  <si>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</si>
  <si>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</si>
  <si>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</si>
  <si>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</si>
  <si>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</si>
  <si>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</si>
  <si>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</si>
  <si>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</si>
  <si>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</si>
  <si>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</si>
  <si>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</si>
  <si>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</si>
  <si>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</si>
  <si>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</si>
  <si>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</si>
  <si>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</si>
  <si>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</si>
  <si>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</si>
  <si>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</si>
  <si>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</si>
  <si>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</si>
  <si>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</si>
  <si>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</si>
  <si>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</si>
  <si>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</si>
  <si>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</si>
  <si>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</si>
  <si>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</si>
  <si>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</si>
  <si>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</si>
  <si>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</si>
  <si>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</si>
  <si>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</si>
  <si>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</si>
  <si>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</si>
  <si>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</si>
  <si>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</si>
  <si>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</si>
  <si>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</si>
  <si>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</si>
  <si>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</si>
  <si>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</si>
  <si>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</si>
  <si>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</si>
  <si>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</si>
  <si>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</si>
  <si>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</si>
  <si>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</si>
  <si>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</si>
  <si>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</si>
  <si>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</si>
  <si>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</si>
  <si>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</si>
  <si>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</si>
  <si>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</si>
  <si>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</si>
  <si>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</si>
  <si>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</si>
  <si>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</si>
  <si>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</si>
  <si>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</si>
  <si>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</si>
  <si>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</si>
  <si>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</si>
  <si>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</si>
  <si>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</si>
  <si>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</si>
  <si>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</si>
  <si>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</si>
  <si>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</si>
  <si>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</si>
  <si>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</si>
  <si>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</si>
  <si>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</si>
  <si>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</si>
  <si>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</si>
  <si>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</si>
  <si>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</si>
  <si>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</si>
  <si>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</si>
  <si>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</si>
  <si>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</si>
  <si>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</si>
  <si>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</si>
  <si>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</si>
  <si>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</si>
  <si>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</si>
  <si>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</si>
  <si>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</si>
  <si>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</si>
  <si>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</si>
  <si>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</si>
  <si>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</si>
  <si>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</si>
  <si>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</si>
  <si>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</si>
  <si>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</si>
  <si>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</si>
  <si>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</si>
  <si>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</si>
  <si>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</si>
  <si>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</si>
  <si>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</si>
  <si>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</si>
  <si>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</si>
  <si>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</si>
  <si>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</si>
  <si>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</si>
  <si>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</si>
  <si>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</si>
  <si>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</si>
  <si>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</si>
  <si>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</si>
  <si>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</si>
  <si>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</si>
  <si>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</si>
  <si>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</si>
  <si>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</si>
  <si>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</si>
  <si>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</si>
  <si>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</si>
  <si>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</si>
  <si>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</si>
  <si>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</si>
  <si>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</si>
  <si>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</si>
  <si>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</si>
  <si>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</si>
  <si>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</si>
  <si>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</si>
  <si>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</si>
  <si>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</si>
  <si>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</si>
  <si>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</si>
  <si>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</si>
  <si>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</si>
  <si>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</si>
  <si>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</si>
  <si>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</si>
  <si>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</si>
  <si>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</si>
  <si>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</si>
  <si>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</si>
  <si>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</si>
  <si>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</si>
  <si>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</si>
  <si>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</si>
  <si>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</si>
  <si>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</si>
  <si>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</si>
  <si>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</si>
  <si>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</si>
  <si>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</si>
  <si>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</si>
  <si>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</si>
  <si>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</si>
  <si>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</si>
  <si>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</si>
  <si>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</si>
  <si>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</si>
  <si>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</si>
  <si>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</si>
  <si>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</si>
  <si>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</si>
  <si>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</si>
  <si>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</si>
  <si>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</si>
  <si>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</si>
  <si>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</si>
  <si>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</si>
  <si>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</si>
  <si>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</si>
  <si>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</si>
  <si>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</si>
  <si>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</si>
  <si>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</si>
  <si>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</si>
  <si>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</si>
  <si>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</si>
  <si>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</si>
  <si>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</si>
  <si>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</si>
  <si>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</si>
  <si>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</si>
  <si>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</si>
  <si>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</si>
  <si>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</si>
  <si>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</si>
  <si>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</si>
  <si>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</si>
  <si>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</si>
  <si>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</si>
  <si>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</si>
  <si>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</si>
  <si>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</si>
  <si>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</si>
  <si>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</si>
  <si>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</si>
  <si>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</si>
  <si>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</si>
  <si>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</si>
  <si>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</si>
  <si>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</si>
  <si>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</si>
  <si>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</si>
  <si>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</si>
  <si>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</si>
  <si>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</si>
  <si>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</si>
  <si>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</si>
  <si>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</si>
  <si>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</si>
  <si>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</si>
  <si>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</si>
  <si>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</si>
  <si>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</si>
  <si>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</si>
  <si>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</si>
  <si>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</si>
  <si>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</si>
  <si>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</si>
  <si>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</si>
  <si>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</si>
  <si>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</si>
  <si>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</si>
  <si>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</si>
  <si>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</si>
  <si>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</si>
  <si>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</si>
  <si>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</si>
  <si>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</si>
  <si>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</si>
  <si>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</si>
  <si>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</si>
  <si>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</si>
  <si>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</si>
  <si>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</si>
  <si>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</si>
  <si>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</si>
  <si>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</si>
  <si>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</si>
  <si>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</si>
  <si>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</si>
  <si>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</si>
  <si>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</si>
  <si>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</si>
  <si>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</si>
  <si>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</si>
  <si>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</si>
  <si>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</si>
  <si>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</si>
  <si>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</si>
  <si>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</si>
  <si>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</si>
  <si>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</si>
  <si>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</si>
  <si>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</si>
  <si>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</si>
  <si>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</si>
  <si>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</si>
  <si>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</si>
  <si>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</si>
  <si>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</si>
  <si>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</si>
  <si>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</si>
  <si>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</si>
  <si>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</si>
  <si>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</si>
  <si>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</si>
  <si>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</si>
  <si>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</si>
  <si>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</si>
  <si>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</si>
  <si>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</si>
  <si>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</si>
  <si>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</si>
  <si>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</si>
  <si>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</si>
  <si>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</si>
  <si>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</si>
  <si>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</si>
  <si>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</si>
  <si>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</si>
  <si>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</si>
  <si>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</si>
  <si>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</si>
  <si>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</si>
  <si>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</si>
  <si>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</si>
  <si>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</si>
  <si>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</si>
  <si>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</si>
  <si>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</si>
  <si>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</si>
  <si>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</si>
  <si>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</si>
  <si>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</si>
  <si>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</si>
  <si>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</si>
  <si>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</si>
  <si>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</si>
  <si>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</si>
  <si>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</si>
  <si>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</si>
  <si>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</si>
  <si>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</si>
  <si>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</si>
  <si>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</si>
  <si>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</si>
  <si>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</si>
  <si>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</si>
  <si>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</si>
  <si>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</si>
  <si>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</si>
  <si>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</si>
  <si>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</si>
  <si>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</si>
  <si>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</si>
  <si>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</si>
  <si>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</si>
  <si>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</si>
  <si>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</si>
  <si>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</si>
  <si>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</si>
  <si>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</si>
  <si>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</si>
  <si>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</si>
  <si>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</si>
  <si>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</si>
  <si>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</si>
  <si>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</si>
  <si>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</si>
  <si>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</si>
  <si>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</si>
  <si>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</si>
  <si>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</si>
  <si>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</si>
  <si>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</si>
  <si>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</si>
  <si>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</si>
  <si>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</si>
  <si>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</si>
  <si>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</si>
  <si>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</si>
  <si>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</si>
  <si>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</si>
  <si>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</si>
  <si>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</si>
  <si>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</si>
  <si>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</si>
  <si>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</si>
  <si>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</si>
  <si>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</si>
  <si>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</si>
  <si>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</si>
  <si>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</si>
  <si>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</si>
  <si>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</si>
  <si>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</si>
  <si>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</si>
  <si>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</si>
  <si>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</si>
  <si>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</si>
  <si>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</si>
  <si>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</si>
  <si>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</si>
  <si>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</si>
  <si>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</si>
  <si>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</si>
  <si>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</si>
  <si>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</si>
  <si>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</si>
  <si>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</si>
  <si>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</si>
  <si>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</si>
  <si>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</si>
  <si>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</si>
  <si>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</si>
  <si>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</si>
  <si>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</si>
  <si>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</si>
  <si>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</si>
  <si>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</si>
  <si>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</si>
  <si>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</si>
  <si>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</si>
  <si>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</si>
  <si>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</si>
  <si>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</si>
  <si>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</si>
  <si>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</si>
  <si>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</si>
  <si>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</si>
  <si>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</si>
  <si>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</si>
  <si>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</si>
  <si>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</si>
  <si>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</si>
  <si>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</si>
  <si>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</si>
  <si>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</si>
  <si>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</si>
  <si>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</si>
  <si>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</si>
  <si>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</si>
  <si>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</si>
  <si>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</si>
  <si>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</si>
  <si>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</si>
  <si>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</si>
  <si>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</si>
  <si>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</si>
  <si>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</si>
  <si>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</si>
  <si>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</si>
  <si>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</si>
  <si>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</si>
  <si>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</si>
  <si>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</si>
  <si>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</si>
  <si>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</si>
  <si>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</si>
  <si>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</si>
  <si>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</si>
  <si>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</si>
  <si>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</si>
  <si>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</si>
  <si>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</si>
  <si>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</si>
  <si>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</si>
  <si>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</si>
  <si>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</si>
  <si>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</si>
  <si>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</si>
  <si>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</si>
  <si>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</si>
  <si>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</si>
  <si>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</si>
  <si>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</si>
  <si>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</si>
  <si>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</si>
  <si>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</si>
  <si>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</si>
  <si>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열기2-04.민사소송법\03.판례\251. 기판력의 시적 범위： 표준시 후에 발생한 사정변경(1).txt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</si>
  <si>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</si>
  <si>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</si>
  <si>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</si>
  <si>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</si>
  <si>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</si>
  <si>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</si>
  <si>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</si>
  <si>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</si>
  <si>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</si>
  <si>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</si>
  <si>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</si>
  <si>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</si>
  <si>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</si>
  <si>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</si>
  <si>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</si>
  <si>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</si>
  <si>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</si>
  <si>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</si>
  <si>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</si>
  <si>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</si>
  <si>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</si>
  <si>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</si>
  <si>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</si>
  <si>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</si>
  <si>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</si>
  <si>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</si>
  <si>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</si>
  <si>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</si>
  <si>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</si>
  <si>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</si>
  <si>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</si>
  <si>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</si>
  <si>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</si>
  <si>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</si>
  <si>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</si>
  <si>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</si>
  <si>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</si>
  <si>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</si>
  <si>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</si>
  <si>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</si>
  <si>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</si>
  <si>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</si>
  <si>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</si>
  <si>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</si>
  <si>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</si>
  <si>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</si>
  <si>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</si>
  <si>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</si>
  <si>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</si>
  <si>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</si>
  <si>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</si>
  <si>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</si>
  <si>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</si>
  <si>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</si>
  <si>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</si>
  <si>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</si>
  <si>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</si>
  <si>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</si>
  <si>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</si>
  <si>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</si>
  <si>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</si>
  <si>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</si>
  <si>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</si>
  <si>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</si>
  <si>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</si>
  <si>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</si>
  <si>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</si>
  <si>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</si>
  <si>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</si>
  <si>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</si>
  <si>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</si>
  <si>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</si>
  <si>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</si>
  <si>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</si>
  <si>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</si>
  <si>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</si>
  <si>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</si>
  <si>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</si>
  <si>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</si>
  <si>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</si>
  <si>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</si>
  <si>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</si>
  <si>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</si>
  <si>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</si>
  <si>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</si>
  <si>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</si>
  <si>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</si>
  <si>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</si>
  <si>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</si>
  <si>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</si>
  <si>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</si>
  <si>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</si>
  <si>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</si>
  <si>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</si>
  <si>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</si>
  <si>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</si>
  <si>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</si>
  <si>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</si>
  <si>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</si>
  <si>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</si>
  <si>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</si>
  <si>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</si>
  <si>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</si>
  <si>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</si>
  <si>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</si>
  <si>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</si>
  <si>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</si>
  <si>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</si>
  <si>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</si>
  <si>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</si>
  <si>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</si>
  <si>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</si>
  <si>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</si>
  <si>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</si>
  <si>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</si>
  <si>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</si>
  <si>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</si>
  <si>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</si>
  <si>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</si>
  <si>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</si>
  <si>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</si>
  <si>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</si>
  <si>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</si>
  <si>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</si>
  <si>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</si>
  <si>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</si>
  <si>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</si>
  <si>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</si>
  <si>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</si>
  <si>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</si>
  <si>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</si>
  <si>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</si>
  <si>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</si>
  <si>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</si>
  <si>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</si>
  <si>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</si>
  <si>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</si>
  <si>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</si>
  <si>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</si>
  <si>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</si>
  <si>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</si>
  <si>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</si>
  <si>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</si>
  <si>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</si>
  <si>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</si>
  <si>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</si>
  <si>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</si>
  <si>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</si>
  <si>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</si>
  <si>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</si>
  <si>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</si>
  <si>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</si>
  <si>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</si>
  <si>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</si>
  <si>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</si>
  <si>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</si>
  <si>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</si>
  <si>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</si>
  <si>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</si>
  <si>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</si>
  <si>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</si>
  <si>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</si>
  <si>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</si>
  <si>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</si>
  <si>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</si>
  <si>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</si>
  <si>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</si>
  <si>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</si>
  <si>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</si>
  <si>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</si>
  <si>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</si>
  <si>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</si>
  <si>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</si>
  <si>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</si>
  <si>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</si>
  <si>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</si>
  <si>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</si>
  <si>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</si>
  <si>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</si>
  <si>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</si>
  <si>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</si>
  <si>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</si>
  <si>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</si>
  <si>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</si>
  <si>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</si>
  <si>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</si>
  <si>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</si>
  <si>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</si>
  <si>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</si>
  <si>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</si>
  <si>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</si>
  <si>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</si>
  <si>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</si>
  <si>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</si>
  <si>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</si>
  <si>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</si>
  <si>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</si>
  <si>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</si>
  <si>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</si>
  <si>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</si>
  <si>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</si>
  <si>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</si>
  <si>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</si>
  <si>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</si>
  <si>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</si>
  <si>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</si>
  <si>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</si>
  <si>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</si>
  <si>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</si>
  <si>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</si>
  <si>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</si>
  <si>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</si>
  <si>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</si>
  <si>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</si>
  <si>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</si>
  <si>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</si>
  <si>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</si>
  <si>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</si>
  <si>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</si>
  <si>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</si>
  <si>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</si>
  <si>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</si>
  <si>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</si>
  <si>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</si>
  <si>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</si>
  <si>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</si>
  <si>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</si>
  <si>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</si>
  <si>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</si>
  <si>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</si>
  <si>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</si>
  <si>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</si>
  <si>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</si>
  <si>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</si>
  <si>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</si>
  <si>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</si>
  <si>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</si>
  <si>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</si>
  <si>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</si>
  <si>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</si>
  <si>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</si>
  <si>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</si>
  <si>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</si>
  <si>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</si>
  <si>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</si>
  <si>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</si>
  <si>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</si>
  <si>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</si>
  <si>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</si>
  <si>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</si>
  <si>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</si>
  <si>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</si>
  <si>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</si>
  <si>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</si>
  <si>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</si>
  <si>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</si>
  <si>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</si>
  <si>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</si>
  <si>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</si>
  <si>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</si>
  <si>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</si>
  <si>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</si>
  <si>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</si>
  <si>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</si>
  <si>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</si>
  <si>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</si>
  <si>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</si>
  <si>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</si>
  <si>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</si>
  <si>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</si>
  <si>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</si>
  <si>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</si>
  <si>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</si>
  <si>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</si>
  <si>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</si>
  <si>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</si>
  <si>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</si>
  <si>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</si>
  <si>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</si>
  <si>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</si>
  <si>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</si>
  <si>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</si>
  <si>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</si>
  <si>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</si>
  <si>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</si>
  <si>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</si>
  <si>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</si>
  <si>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</si>
  <si>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</si>
  <si>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</si>
  <si>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</si>
  <si>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</si>
  <si>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</si>
  <si>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</si>
  <si>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</si>
  <si>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</si>
  <si>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</si>
  <si>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</si>
  <si>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</si>
  <si>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</si>
  <si>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</si>
  <si>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</si>
  <si>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</si>
  <si>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</si>
  <si>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</si>
  <si>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</si>
  <si>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</si>
  <si>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</si>
  <si>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</si>
  <si>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</si>
  <si>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</si>
  <si>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</si>
  <si>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</si>
  <si>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</si>
  <si>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</si>
  <si>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</si>
  <si>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</si>
  <si>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</si>
  <si>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</si>
  <si>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</si>
  <si>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</si>
  <si>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</si>
  <si>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</si>
  <si>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</si>
  <si>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</si>
  <si>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</si>
  <si>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</si>
  <si>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</si>
  <si>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</si>
  <si>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</si>
  <si>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</si>
  <si>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</si>
  <si>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</si>
  <si>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</si>
  <si>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</si>
  <si>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</si>
  <si>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</si>
  <si>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</si>
  <si>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</si>
  <si>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</si>
  <si>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</si>
  <si>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</si>
  <si>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</si>
  <si>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</si>
  <si>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</si>
  <si>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</si>
  <si>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</si>
  <si>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</si>
  <si>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</si>
  <si>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</si>
  <si>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</si>
  <si>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</si>
  <si>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</si>
  <si>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</si>
  <si>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</si>
  <si>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</si>
  <si>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</si>
  <si>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</si>
  <si>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</si>
  <si>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</si>
  <si>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</si>
  <si>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</si>
  <si>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</si>
  <si>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</si>
  <si>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</si>
  <si>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</si>
  <si>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</si>
  <si>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</si>
  <si>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</si>
  <si>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</si>
  <si>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</si>
  <si>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</si>
  <si>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</si>
  <si>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</si>
  <si>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</si>
  <si>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</si>
  <si>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</si>
  <si>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</si>
  <si>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</si>
  <si>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</si>
  <si>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</si>
  <si>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</si>
  <si>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</si>
  <si>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</si>
  <si>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</si>
  <si>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</si>
  <si>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</si>
  <si>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</si>
  <si>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</si>
  <si>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</si>
  <si>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</si>
  <si>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</si>
  <si>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</si>
  <si>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</si>
  <si>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</si>
  <si>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</si>
  <si>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251. 기판력의 시적 범위： 표준시 후에 발생한 사정변경(1)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</si>
  <si>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</si>
  <si>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</si>
  <si>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</si>
  <si>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</si>
  <si>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</si>
  <si>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</si>
  <si>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</si>
  <si>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</si>
  <si>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</si>
  <si>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</si>
  <si>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</si>
  <si>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</si>
  <si>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</si>
  <si>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</si>
  <si>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</si>
  <si>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</si>
  <si>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</si>
  <si>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</si>
  <si>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</si>
  <si>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</si>
  <si>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</si>
  <si>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</si>
  <si>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</si>
  <si>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</si>
  <si>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</si>
  <si>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</si>
  <si>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</si>
  <si>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</si>
  <si>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</si>
  <si>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</si>
  <si>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</si>
  <si>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</si>
  <si>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</si>
  <si>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</si>
  <si>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</si>
  <si>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</si>
  <si>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</si>
  <si>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</si>
  <si>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</si>
  <si>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</si>
  <si>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</si>
  <si>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</si>
  <si>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</si>
  <si>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</si>
  <si>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</si>
  <si>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</si>
  <si>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</si>
  <si>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</si>
  <si>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</si>
  <si>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</si>
  <si>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</si>
  <si>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</si>
  <si>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</si>
  <si>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</si>
  <si>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</si>
  <si>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</si>
  <si>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</si>
  <si>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</si>
  <si>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</si>
  <si>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</si>
  <si>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</si>
  <si>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</si>
  <si>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</si>
  <si>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</si>
  <si>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</si>
  <si>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</si>
  <si>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</si>
  <si>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</si>
  <si>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</si>
  <si>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</si>
  <si>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</si>
  <si>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</si>
  <si>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</si>
  <si>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</si>
  <si>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</si>
  <si>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</si>
  <si>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</si>
  <si>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</si>
  <si>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</si>
  <si>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</si>
  <si>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</si>
  <si>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</si>
  <si>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</si>
  <si>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</si>
  <si>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</si>
  <si>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</si>
  <si>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</si>
  <si>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</si>
  <si>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</si>
  <si>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</si>
  <si>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</si>
  <si>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</si>
  <si>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</si>
  <si>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</si>
  <si>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</si>
  <si>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</si>
  <si>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</si>
  <si>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</si>
  <si>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</si>
  <si>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</si>
  <si>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</si>
  <si>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</si>
  <si>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</si>
  <si>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</si>
  <si>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</si>
  <si>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</si>
  <si>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</si>
  <si>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</si>
  <si>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</si>
  <si>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</si>
  <si>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</si>
  <si>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</si>
  <si>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</si>
  <si>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</si>
  <si>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</si>
  <si>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</si>
  <si>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</si>
  <si>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</si>
  <si>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</si>
  <si>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</si>
  <si>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</si>
  <si>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</si>
  <si>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</si>
  <si>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</si>
  <si>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</si>
  <si>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</si>
  <si>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</si>
  <si>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</si>
  <si>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</si>
  <si>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</si>
  <si>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</si>
  <si>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</si>
  <si>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</si>
  <si>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</si>
  <si>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</si>
  <si>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</si>
  <si>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</si>
  <si>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</si>
  <si>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</si>
  <si>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</si>
  <si>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</si>
  <si>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</si>
  <si>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</si>
  <si>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</si>
  <si>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</si>
  <si>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</si>
  <si>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</si>
  <si>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</si>
  <si>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</si>
  <si>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</si>
  <si>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</si>
  <si>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</si>
  <si>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</si>
  <si>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</si>
  <si>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</si>
  <si>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</si>
  <si>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</si>
  <si>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</si>
  <si>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</si>
  <si>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</si>
  <si>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</si>
  <si>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</si>
  <si>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</si>
  <si>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</si>
  <si>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</si>
  <si>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</si>
  <si>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</si>
  <si>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</si>
  <si>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제7편 제심절차</t>
  </si>
  <si>
    <t>제7편 제심절차</t>
    <phoneticPr fontId="3" type="noConversion"/>
  </si>
  <si>
    <t>제01장 법원</t>
  </si>
  <si>
    <t>제01장 법원</t>
    <phoneticPr fontId="3" type="noConversion"/>
  </si>
  <si>
    <t>제02장 당사자</t>
  </si>
  <si>
    <t>제02장 당사자</t>
    <phoneticPr fontId="3" type="noConversion"/>
  </si>
  <si>
    <t>제01장 소송의 개시-소 제기와 피고 답변</t>
  </si>
  <si>
    <t>제01장 소송의 개시-소 제기와 피고 답변</t>
    <phoneticPr fontId="3" type="noConversion"/>
  </si>
  <si>
    <t>제02장 변론(심리)</t>
  </si>
  <si>
    <t>제02장 변론(심리)</t>
    <phoneticPr fontId="3" type="noConversion"/>
  </si>
  <si>
    <t>제03장 증거</t>
  </si>
  <si>
    <t>제03장 증거</t>
    <phoneticPr fontId="3" type="noConversion"/>
  </si>
  <si>
    <t>제01장 소송종료선언</t>
  </si>
  <si>
    <t>제01장 소송종료선언</t>
    <phoneticPr fontId="3" type="noConversion"/>
  </si>
  <si>
    <t>제02장 당사자의 행위에 의한 종료</t>
  </si>
  <si>
    <t>제02장 당사자의 행위에 의한 종료</t>
    <phoneticPr fontId="3" type="noConversion"/>
  </si>
  <si>
    <t>제03장 종국판결에 의한 종료</t>
  </si>
  <si>
    <t>제03장 종국판결에 의한 종료</t>
    <phoneticPr fontId="3" type="noConversion"/>
  </si>
  <si>
    <t>제01장 병합청구소송(청구의 복수)</t>
  </si>
  <si>
    <t>제01장 병합청구소송(청구의 복수)</t>
    <phoneticPr fontId="3" type="noConversion"/>
  </si>
  <si>
    <t>제02장 다수당사자소송(당사자의 복수)</t>
  </si>
  <si>
    <t>제02장 다수당사자소송(당사자의 복수)</t>
    <phoneticPr fontId="3" type="noConversion"/>
  </si>
  <si>
    <t>제01장 총설</t>
  </si>
  <si>
    <t>제01장 총설</t>
    <phoneticPr fontId="3" type="noConversion"/>
  </si>
  <si>
    <t>제02장 항소</t>
  </si>
  <si>
    <t>제02장 항소</t>
    <phoneticPr fontId="3" type="noConversion"/>
  </si>
  <si>
    <t>제03장 상고</t>
  </si>
  <si>
    <t>제03장 상고</t>
    <phoneticPr fontId="3" type="noConversion"/>
  </si>
  <si>
    <t>제04장 항고</t>
  </si>
  <si>
    <t>제04장 항고</t>
    <phoneticPr fontId="3" type="noConversion"/>
  </si>
  <si>
    <t>－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</si>
  <si>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</si>
  <si>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</si>
  <si>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</si>
  <si>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</si>
  <si>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</si>
  <si>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</si>
  <si>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</si>
  <si>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</si>
  <si>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</si>
  <si>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</si>
  <si>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</si>
  <si>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</si>
  <si>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</si>
  <si>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</si>
  <si>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</si>
  <si>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</si>
  <si>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</si>
  <si>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</si>
  <si>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</si>
  <si>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</si>
  <si>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</si>
  <si>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</si>
  <si>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</si>
  <si>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</si>
  <si>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</si>
  <si>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</si>
  <si>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</si>
  <si>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</si>
  <si>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</si>
  <si>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</si>
  <si>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</si>
  <si>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</si>
  <si>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</si>
  <si>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</si>
  <si>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</si>
  <si>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</si>
  <si>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</si>
  <si>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</si>
  <si>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</si>
  <si>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</si>
  <si>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</si>
  <si>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</si>
  <si>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</si>
  <si>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</si>
  <si>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</si>
  <si>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</si>
  <si>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</si>
  <si>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</si>
  <si>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</si>
  <si>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</si>
  <si>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</si>
  <si>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</si>
  <si>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</si>
  <si>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</si>
  <si>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</si>
  <si>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</si>
  <si>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</si>
  <si>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</si>
  <si>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</si>
  <si>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</si>
  <si>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</si>
  <si>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</si>
  <si>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</si>
  <si>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</si>
  <si>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</si>
  <si>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</si>
  <si>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</si>
  <si>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</si>
  <si>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</si>
  <si>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</si>
  <si>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</si>
  <si>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</si>
  <si>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</si>
  <si>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</si>
  <si>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</si>
  <si>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</si>
  <si>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</si>
  <si>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빈도</t>
    <phoneticPr fontId="3" type="noConversion"/>
  </si>
  <si>
    <t>민사소송의 의의와 목적</t>
    <phoneticPr fontId="3" type="noConversion"/>
  </si>
  <si>
    <t>제02절 민사소송의 의의와 목적</t>
    <phoneticPr fontId="3" type="noConversion"/>
  </si>
  <si>
    <t>제01절 민사소송법의 의의와 성격</t>
    <phoneticPr fontId="3" type="noConversion"/>
  </si>
  <si>
    <t>제02절 민사소송법규의 종류</t>
    <phoneticPr fontId="3" type="noConversion"/>
  </si>
  <si>
    <t>제01절 민사재판권</t>
    <phoneticPr fontId="3" type="noConversion"/>
  </si>
  <si>
    <t>제01절 소송의 개시</t>
    <phoneticPr fontId="3" type="noConversion"/>
  </si>
  <si>
    <t>제01절 변론의 의의와 종류</t>
    <phoneticPr fontId="3" type="noConversion"/>
  </si>
  <si>
    <t>제01절 재판</t>
    <phoneticPr fontId="3" type="noConversion"/>
  </si>
  <si>
    <t>제01절 상소의 의의</t>
    <phoneticPr fontId="3" type="noConversion"/>
  </si>
  <si>
    <t>제01절 항소의 개관</t>
    <phoneticPr fontId="3" type="noConversion"/>
  </si>
  <si>
    <t>제01절 상고의 의의</t>
    <phoneticPr fontId="3" type="noConversion"/>
  </si>
  <si>
    <t>제01절 항고의 의의</t>
    <phoneticPr fontId="3" type="noConversion"/>
  </si>
  <si>
    <t>제01절 재심의 개념</t>
    <phoneticPr fontId="3" type="noConversion"/>
  </si>
  <si>
    <t>소계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</si>
</sst>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/>
      <diagonal/>
    </border>
    <border>
      <left/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/>
      <top style="dotted">
        <color theme="0" tint="-0.14993743705557422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3743705557422"/>
      </bottom>
      <diagonal/>
    </border>
    <border>
      <left/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/>
      <top/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6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6" xfId="0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3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88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89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3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90" xfId="0" applyFont="1" applyFill="1" applyBorder="1" applyAlignment="1">
      <alignment horizontal="center" vertical="center"/>
    </xf>
    <xf numFmtId="0" fontId="5" fillId="2" borderId="96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5" xfId="0" applyFont="1" applyBorder="1">
      <alignment vertical="center"/>
    </xf>
    <xf numFmtId="0" fontId="5" fillId="0" borderId="75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79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left" vertical="top"/>
    </xf>
    <xf numFmtId="0" fontId="7" fillId="3" borderId="67" xfId="0" applyFont="1" applyFill="1" applyBorder="1" applyAlignment="1">
      <alignment horizontal="center" vertical="center"/>
    </xf>
    <xf numFmtId="0" fontId="7" fillId="3" borderId="97" xfId="0" applyFont="1" applyFill="1" applyBorder="1">
      <alignment vertical="center"/>
    </xf>
    <xf numFmtId="49" fontId="7" fillId="3" borderId="97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78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3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84" xfId="3" applyNumberFormat="1" applyFont="1" applyFill="1" applyBorder="1" applyAlignment="1">
      <alignment horizontal="left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0" fontId="4" fillId="0" borderId="1" xfId="0" quotePrefix="1" applyFont="1" applyBorder="1" applyAlignment="1">
      <alignment horizontal="center" vertical="center"/>
    </xf>
    <xf numFmtId="177" fontId="6" fillId="0" borderId="78" xfId="3" applyNumberFormat="1" applyFont="1" applyFill="1" applyBorder="1" applyAlignment="1">
      <alignment horizontal="center" vertical="center" wrapText="1"/>
    </xf>
    <xf numFmtId="177" fontId="6" fillId="0" borderId="79" xfId="3" applyNumberFormat="1" applyFont="1" applyFill="1" applyBorder="1" applyAlignment="1">
      <alignment horizontal="center" vertical="center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top" wrapText="1"/>
    </xf>
    <xf numFmtId="0" fontId="6" fillId="0" borderId="72" xfId="0" applyFont="1" applyBorder="1" applyAlignment="1">
      <alignment horizontal="center" vertical="top" wrapText="1"/>
    </xf>
    <xf numFmtId="176" fontId="6" fillId="0" borderId="72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center" vertical="center" wrapText="1"/>
    </xf>
    <xf numFmtId="177" fontId="6" fillId="0" borderId="67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center" vertical="top" wrapText="1"/>
    </xf>
    <xf numFmtId="176" fontId="6" fillId="0" borderId="69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0" xfId="3" applyNumberFormat="1" applyFont="1" applyFill="1" applyBorder="1" applyAlignment="1">
      <alignment horizontal="center" vertical="center" wrapText="1"/>
    </xf>
    <xf numFmtId="177" fontId="6" fillId="0" borderId="100" xfId="3" applyNumberFormat="1" applyFont="1" applyFill="1" applyBorder="1" applyAlignment="1">
      <alignment horizontal="center" vertical="top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49" fontId="6" fillId="0" borderId="101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177" fontId="6" fillId="0" borderId="66" xfId="3" applyNumberFormat="1" applyFont="1" applyFill="1" applyBorder="1" applyAlignment="1">
      <alignment horizontal="center" vertical="top" wrapText="1"/>
    </xf>
    <xf numFmtId="0" fontId="7" fillId="3" borderId="98" xfId="0" applyFont="1" applyFill="1" applyBorder="1" applyAlignment="1">
      <alignment horizontal="center" vertical="center"/>
    </xf>
    <xf numFmtId="0" fontId="6" fillId="0" borderId="102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177" fontId="6" fillId="0" borderId="103" xfId="3" applyNumberFormat="1" applyFont="1" applyFill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6" fillId="0" borderId="86" xfId="0" applyFont="1" applyBorder="1" applyAlignment="1">
      <alignment horizontal="center" vertical="top" wrapText="1"/>
    </xf>
    <xf numFmtId="0" fontId="6" fillId="0" borderId="105" xfId="0" applyFont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177" fontId="6" fillId="0" borderId="103" xfId="3" applyNumberFormat="1" applyFont="1" applyFill="1" applyBorder="1" applyAlignment="1">
      <alignment horizontal="center" vertical="top" wrapText="1"/>
    </xf>
    <xf numFmtId="0" fontId="5" fillId="2" borderId="10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left" vertical="top"/>
    </xf>
    <xf numFmtId="0" fontId="6" fillId="0" borderId="106" xfId="0" applyFont="1" applyBorder="1" applyAlignment="1">
      <alignment horizontal="center" vertical="top"/>
    </xf>
    <xf numFmtId="49" fontId="8" fillId="0" borderId="107" xfId="0" applyNumberFormat="1" applyFont="1" applyBorder="1" applyAlignment="1">
      <alignment horizontal="left" vertical="top"/>
    </xf>
    <xf numFmtId="0" fontId="5" fillId="0" borderId="108" xfId="0" applyFont="1" applyBorder="1" applyAlignment="1">
      <alignment horizontal="left" vertical="top"/>
    </xf>
    <xf numFmtId="0" fontId="6" fillId="0" borderId="109" xfId="0" applyFont="1" applyBorder="1" applyAlignment="1">
      <alignment horizontal="center" vertical="top" wrapText="1"/>
    </xf>
    <xf numFmtId="0" fontId="6" fillId="0" borderId="110" xfId="0" applyFont="1" applyBorder="1" applyAlignment="1">
      <alignment horizontal="center" vertical="top" wrapText="1"/>
    </xf>
    <xf numFmtId="176" fontId="6" fillId="0" borderId="110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7" fontId="6" fillId="0" borderId="107" xfId="3" applyNumberFormat="1" applyFont="1" applyFill="1" applyBorder="1" applyAlignment="1">
      <alignment horizontal="center" vertical="top"/>
    </xf>
    <xf numFmtId="177" fontId="6" fillId="0" borderId="111" xfId="3" applyNumberFormat="1" applyFont="1" applyFill="1" applyBorder="1" applyAlignment="1">
      <alignment horizontal="center" vertical="center" wrapText="1"/>
    </xf>
    <xf numFmtId="177" fontId="6" fillId="0" borderId="111" xfId="3" applyNumberFormat="1" applyFont="1" applyFill="1" applyBorder="1" applyAlignment="1">
      <alignment horizontal="left" vertical="top"/>
    </xf>
    <xf numFmtId="177" fontId="6" fillId="0" borderId="111" xfId="3" applyNumberFormat="1" applyFont="1" applyFill="1" applyBorder="1" applyAlignment="1">
      <alignment horizontal="center" vertical="top" wrapText="1"/>
    </xf>
    <xf numFmtId="0" fontId="6" fillId="0" borderId="112" xfId="0" applyFont="1" applyBorder="1" applyAlignment="1">
      <alignment horizontal="center" vertical="top"/>
    </xf>
    <xf numFmtId="49" fontId="6" fillId="0" borderId="113" xfId="0" applyNumberFormat="1" applyFont="1" applyBorder="1" applyAlignment="1">
      <alignment horizontal="left" vertical="top"/>
    </xf>
    <xf numFmtId="0" fontId="4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0" fontId="6" fillId="0" borderId="116" xfId="0" applyFont="1" applyBorder="1" applyAlignment="1">
      <alignment horizontal="center" vertical="top" wrapText="1"/>
    </xf>
    <xf numFmtId="176" fontId="6" fillId="0" borderId="116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7" fontId="6" fillId="0" borderId="113" xfId="3" applyNumberFormat="1" applyFont="1" applyFill="1" applyBorder="1" applyAlignment="1">
      <alignment horizontal="center" vertical="top"/>
    </xf>
    <xf numFmtId="177" fontId="6" fillId="0" borderId="117" xfId="3" applyNumberFormat="1" applyFont="1" applyFill="1" applyBorder="1" applyAlignment="1">
      <alignment horizontal="center" vertical="center" wrapText="1"/>
    </xf>
    <xf numFmtId="177" fontId="6" fillId="0" borderId="117" xfId="3" applyNumberFormat="1" applyFont="1" applyFill="1" applyBorder="1" applyAlignment="1">
      <alignment horizontal="left" vertical="top" wrapText="1"/>
    </xf>
    <xf numFmtId="177" fontId="6" fillId="0" borderId="117" xfId="3" applyNumberFormat="1" applyFont="1" applyFill="1" applyBorder="1" applyAlignment="1">
      <alignment horizontal="center" vertical="top" wrapText="1"/>
    </xf>
    <xf numFmtId="177" fontId="6" fillId="0" borderId="117" xfId="3" applyNumberFormat="1" applyFont="1" applyFill="1" applyBorder="1" applyAlignment="1">
      <alignment horizontal="left" vertical="top"/>
    </xf>
    <xf numFmtId="0" fontId="6" fillId="0" borderId="118" xfId="0" applyFont="1" applyBorder="1" applyAlignment="1">
      <alignment horizontal="center" vertical="top"/>
    </xf>
    <xf numFmtId="49" fontId="6" fillId="0" borderId="119" xfId="0" applyNumberFormat="1" applyFont="1" applyBorder="1" applyAlignment="1">
      <alignment horizontal="left" vertical="top"/>
    </xf>
    <xf numFmtId="0" fontId="4" fillId="0" borderId="120" xfId="0" applyFont="1" applyBorder="1" applyAlignment="1">
      <alignment horizontal="left" vertical="top"/>
    </xf>
    <xf numFmtId="0" fontId="6" fillId="0" borderId="121" xfId="0" applyFont="1" applyBorder="1" applyAlignment="1">
      <alignment horizontal="center" vertical="top" wrapText="1"/>
    </xf>
    <xf numFmtId="0" fontId="6" fillId="0" borderId="122" xfId="0" applyFont="1" applyBorder="1" applyAlignment="1">
      <alignment horizontal="center" vertical="top" wrapText="1"/>
    </xf>
    <xf numFmtId="176" fontId="6" fillId="0" borderId="122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7" fontId="6" fillId="0" borderId="119" xfId="3" applyNumberFormat="1" applyFont="1" applyFill="1" applyBorder="1" applyAlignment="1">
      <alignment horizontal="center" vertical="top"/>
    </xf>
    <xf numFmtId="177" fontId="6" fillId="0" borderId="123" xfId="3" applyNumberFormat="1" applyFont="1" applyFill="1" applyBorder="1" applyAlignment="1">
      <alignment horizontal="center" vertical="center" wrapText="1"/>
    </xf>
    <xf numFmtId="177" fontId="6" fillId="0" borderId="123" xfId="3" applyNumberFormat="1" applyFont="1" applyFill="1" applyBorder="1" applyAlignment="1">
      <alignment horizontal="left" vertical="top"/>
    </xf>
    <xf numFmtId="177" fontId="6" fillId="0" borderId="123" xfId="3" applyNumberFormat="1" applyFont="1" applyFill="1" applyBorder="1" applyAlignment="1">
      <alignment horizontal="center" vertical="top" wrapText="1"/>
    </xf>
    <xf numFmtId="0" fontId="6" fillId="0" borderId="124" xfId="0" applyFont="1" applyBorder="1" applyAlignment="1">
      <alignment horizontal="center" vertical="top"/>
    </xf>
    <xf numFmtId="49" fontId="8" fillId="0" borderId="125" xfId="0" applyNumberFormat="1" applyFont="1" applyBorder="1" applyAlignment="1">
      <alignment horizontal="left" vertical="top"/>
    </xf>
    <xf numFmtId="0" fontId="5" fillId="0" borderId="126" xfId="0" applyFont="1" applyBorder="1" applyAlignment="1">
      <alignment horizontal="left" vertical="top"/>
    </xf>
    <xf numFmtId="0" fontId="6" fillId="0" borderId="127" xfId="0" applyFont="1" applyBorder="1" applyAlignment="1">
      <alignment horizontal="center" vertical="top" wrapText="1"/>
    </xf>
    <xf numFmtId="0" fontId="6" fillId="0" borderId="128" xfId="0" applyFont="1" applyBorder="1" applyAlignment="1">
      <alignment horizontal="center" vertical="top" wrapText="1"/>
    </xf>
    <xf numFmtId="176" fontId="6" fillId="0" borderId="128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7" fontId="6" fillId="0" borderId="125" xfId="3" applyNumberFormat="1" applyFont="1" applyFill="1" applyBorder="1" applyAlignment="1">
      <alignment horizontal="center" vertical="top"/>
    </xf>
    <xf numFmtId="177" fontId="6" fillId="0" borderId="129" xfId="3" applyNumberFormat="1" applyFont="1" applyFill="1" applyBorder="1" applyAlignment="1">
      <alignment horizontal="center" vertical="center" wrapText="1"/>
    </xf>
    <xf numFmtId="177" fontId="6" fillId="0" borderId="129" xfId="3" applyNumberFormat="1" applyFont="1" applyFill="1" applyBorder="1" applyAlignment="1">
      <alignment horizontal="left" vertical="top"/>
    </xf>
    <xf numFmtId="177" fontId="6" fillId="0" borderId="129" xfId="3" applyNumberFormat="1" applyFont="1" applyFill="1" applyBorder="1" applyAlignment="1">
      <alignment horizontal="center" vertical="top" wrapText="1"/>
    </xf>
    <xf numFmtId="0" fontId="6" fillId="0" borderId="130" xfId="0" applyFont="1" applyBorder="1" applyAlignment="1">
      <alignment horizontal="center" vertical="top"/>
    </xf>
    <xf numFmtId="49" fontId="6" fillId="0" borderId="131" xfId="0" applyNumberFormat="1" applyFont="1" applyBorder="1" applyAlignment="1">
      <alignment horizontal="left" vertical="top"/>
    </xf>
    <xf numFmtId="0" fontId="4" fillId="0" borderId="132" xfId="0" applyFont="1" applyBorder="1" applyAlignment="1">
      <alignment horizontal="left" vertical="top"/>
    </xf>
    <xf numFmtId="0" fontId="6" fillId="0" borderId="133" xfId="0" applyFont="1" applyBorder="1" applyAlignment="1">
      <alignment horizontal="center" vertical="top" wrapText="1"/>
    </xf>
    <xf numFmtId="0" fontId="6" fillId="0" borderId="134" xfId="0" applyFont="1" applyBorder="1" applyAlignment="1">
      <alignment horizontal="center" vertical="top" wrapText="1"/>
    </xf>
    <xf numFmtId="176" fontId="6" fillId="0" borderId="134" xfId="3" applyNumberFormat="1" applyFont="1" applyFill="1" applyBorder="1" applyAlignment="1">
      <alignment horizontal="right" vertical="top"/>
    </xf>
    <xf numFmtId="177" fontId="6" fillId="0" borderId="130" xfId="3" applyNumberFormat="1" applyFont="1" applyFill="1" applyBorder="1" applyAlignment="1">
      <alignment horizontal="center" vertical="top"/>
    </xf>
    <xf numFmtId="177" fontId="6" fillId="0" borderId="131" xfId="3" applyNumberFormat="1" applyFont="1" applyFill="1" applyBorder="1" applyAlignment="1">
      <alignment horizontal="center" vertical="top"/>
    </xf>
    <xf numFmtId="177" fontId="6" fillId="0" borderId="135" xfId="3" applyNumberFormat="1" applyFont="1" applyFill="1" applyBorder="1" applyAlignment="1">
      <alignment horizontal="center" vertical="center" wrapText="1"/>
    </xf>
    <xf numFmtId="177" fontId="6" fillId="0" borderId="135" xfId="3" applyNumberFormat="1" applyFont="1" applyFill="1" applyBorder="1" applyAlignment="1">
      <alignment horizontal="center" vertical="top" wrapText="1"/>
    </xf>
    <xf numFmtId="0" fontId="6" fillId="0" borderId="136" xfId="0" applyFont="1" applyBorder="1" applyAlignment="1">
      <alignment horizontal="center" vertical="top"/>
    </xf>
    <xf numFmtId="49" fontId="8" fillId="0" borderId="137" xfId="0" applyNumberFormat="1" applyFont="1" applyBorder="1" applyAlignment="1">
      <alignment horizontal="left" vertical="top"/>
    </xf>
    <xf numFmtId="0" fontId="5" fillId="0" borderId="138" xfId="0" applyFont="1" applyBorder="1" applyAlignment="1">
      <alignment horizontal="left" vertical="top"/>
    </xf>
    <xf numFmtId="0" fontId="6" fillId="0" borderId="139" xfId="0" applyFont="1" applyBorder="1" applyAlignment="1">
      <alignment horizontal="center" vertical="top" wrapText="1"/>
    </xf>
    <xf numFmtId="0" fontId="6" fillId="0" borderId="140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36" xfId="3" applyNumberFormat="1" applyFont="1" applyFill="1" applyBorder="1" applyAlignment="1">
      <alignment horizontal="center" vertical="top"/>
    </xf>
    <xf numFmtId="177" fontId="6" fillId="0" borderId="137" xfId="3" applyNumberFormat="1" applyFont="1" applyFill="1" applyBorder="1" applyAlignment="1">
      <alignment horizontal="center" vertical="top"/>
    </xf>
    <xf numFmtId="177" fontId="6" fillId="0" borderId="141" xfId="3" applyNumberFormat="1" applyFont="1" applyFill="1" applyBorder="1" applyAlignment="1">
      <alignment horizontal="center" vertical="center" wrapText="1"/>
    </xf>
    <xf numFmtId="177" fontId="6" fillId="0" borderId="141" xfId="3" applyNumberFormat="1" applyFont="1" applyFill="1" applyBorder="1" applyAlignment="1">
      <alignment horizontal="left" vertical="top"/>
    </xf>
    <xf numFmtId="177" fontId="6" fillId="0" borderId="141" xfId="3" applyNumberFormat="1" applyFont="1" applyFill="1" applyBorder="1" applyAlignment="1">
      <alignment horizontal="center" vertical="top" wrapText="1"/>
    </xf>
    <xf numFmtId="177" fontId="6" fillId="0" borderId="135" xfId="3" applyNumberFormat="1" applyFont="1" applyFill="1" applyBorder="1" applyAlignment="1">
      <alignment horizontal="left" vertical="top"/>
    </xf>
    <xf numFmtId="0" fontId="6" fillId="0" borderId="142" xfId="0" applyFont="1" applyBorder="1" applyAlignment="1">
      <alignment horizontal="center" vertical="top"/>
    </xf>
    <xf numFmtId="49" fontId="6" fillId="0" borderId="143" xfId="0" applyNumberFormat="1" applyFont="1" applyBorder="1" applyAlignment="1">
      <alignment horizontal="left" vertical="top"/>
    </xf>
    <xf numFmtId="0" fontId="4" fillId="0" borderId="144" xfId="0" applyFont="1" applyBorder="1" applyAlignment="1">
      <alignment horizontal="left" vertical="top"/>
    </xf>
    <xf numFmtId="0" fontId="6" fillId="0" borderId="145" xfId="0" applyFont="1" applyBorder="1" applyAlignment="1">
      <alignment horizontal="center" vertical="top" wrapText="1"/>
    </xf>
    <xf numFmtId="0" fontId="6" fillId="0" borderId="146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2" xfId="3" applyNumberFormat="1" applyFont="1" applyFill="1" applyBorder="1" applyAlignment="1">
      <alignment horizontal="center" vertical="top"/>
    </xf>
    <xf numFmtId="177" fontId="6" fillId="0" borderId="143" xfId="3" applyNumberFormat="1" applyFont="1" applyFill="1" applyBorder="1" applyAlignment="1">
      <alignment horizontal="center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177" fontId="6" fillId="0" borderId="147" xfId="3" applyNumberFormat="1" applyFont="1" applyFill="1" applyBorder="1" applyAlignment="1">
      <alignment horizontal="left" vertical="top"/>
    </xf>
    <xf numFmtId="177" fontId="6" fillId="0" borderId="147" xfId="3" applyNumberFormat="1" applyFont="1" applyFill="1" applyBorder="1" applyAlignment="1">
      <alignment horizontal="center" vertical="top" wrapText="1"/>
    </xf>
    <xf numFmtId="49" fontId="8" fillId="0" borderId="6" xfId="0" applyNumberFormat="1" applyFont="1" applyBorder="1" applyAlignment="1">
      <alignment horizontal="left" vertical="top"/>
    </xf>
    <xf numFmtId="0" fontId="5" fillId="0" borderId="29" xfId="0" applyFont="1" applyBorder="1" applyAlignment="1">
      <alignment horizontal="left" vertical="top"/>
    </xf>
    <xf numFmtId="49" fontId="8" fillId="0" borderId="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49" fontId="6" fillId="0" borderId="4" xfId="0" applyNumberFormat="1" applyFont="1" applyBorder="1" applyAlignment="1">
      <alignment horizontal="lef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27" xfId="3" applyNumberFormat="1" applyFont="1" applyFill="1" applyBorder="1" applyAlignment="1">
      <alignment horizontal="center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center" vertical="top"/>
    </xf>
    <xf numFmtId="177" fontId="6" fillId="0" borderId="109" xfId="3" applyNumberFormat="1" applyFont="1" applyFill="1" applyBorder="1" applyAlignment="1">
      <alignment horizontal="center" vertical="top"/>
    </xf>
    <xf numFmtId="176" fontId="6" fillId="0" borderId="126" xfId="3" applyNumberFormat="1" applyFont="1" applyFill="1" applyBorder="1" applyAlignment="1">
      <alignment horizontal="right" vertical="top"/>
    </xf>
    <xf numFmtId="176" fontId="6" fillId="0" borderId="114" xfId="3" applyNumberFormat="1" applyFont="1" applyFill="1" applyBorder="1" applyAlignment="1">
      <alignment horizontal="right" vertical="top"/>
    </xf>
    <xf numFmtId="176" fontId="6" fillId="0" borderId="120" xfId="3" applyNumberFormat="1" applyFont="1" applyFill="1" applyBorder="1" applyAlignment="1">
      <alignment horizontal="right" vertical="top"/>
    </xf>
    <xf numFmtId="176" fontId="6" fillId="0" borderId="40" xfId="3" applyNumberFormat="1" applyFont="1" applyFill="1" applyBorder="1" applyAlignment="1">
      <alignment horizontal="right" vertical="top"/>
    </xf>
    <xf numFmtId="176" fontId="6" fillId="0" borderId="108" xfId="3" applyNumberFormat="1" applyFont="1" applyFill="1" applyBorder="1" applyAlignment="1">
      <alignment horizontal="right" vertical="top"/>
    </xf>
    <xf numFmtId="176" fontId="6" fillId="0" borderId="138" xfId="3" applyNumberFormat="1" applyFont="1" applyFill="1" applyBorder="1" applyAlignment="1">
      <alignment horizontal="right" vertical="top"/>
    </xf>
    <xf numFmtId="177" fontId="6" fillId="0" borderId="139" xfId="3" applyNumberFormat="1" applyFont="1" applyFill="1" applyBorder="1" applyAlignment="1">
      <alignment horizontal="center" vertical="top"/>
    </xf>
    <xf numFmtId="49" fontId="6" fillId="0" borderId="137" xfId="0" applyNumberFormat="1" applyFont="1" applyBorder="1" applyAlignment="1">
      <alignment horizontal="left" vertical="top"/>
    </xf>
    <xf numFmtId="0" fontId="4" fillId="0" borderId="138" xfId="0" applyFont="1" applyBorder="1" applyAlignment="1">
      <alignment horizontal="left" vertical="top"/>
    </xf>
    <xf numFmtId="0" fontId="6" fillId="0" borderId="27" xfId="0" applyFont="1" applyBorder="1" applyAlignment="1">
      <alignment horizontal="center" vertical="top"/>
    </xf>
    <xf numFmtId="49" fontId="6" fillId="0" borderId="149" xfId="0" applyNumberFormat="1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71" xfId="0" applyFont="1" applyBorder="1" applyAlignment="1">
      <alignment horizontal="center" vertical="top" wrapText="1"/>
    </xf>
    <xf numFmtId="176" fontId="6" fillId="0" borderId="88" xfId="3" applyNumberFormat="1" applyFont="1" applyFill="1" applyBorder="1" applyAlignment="1">
      <alignment horizontal="right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49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177" fontId="6" fillId="0" borderId="68" xfId="3" applyNumberFormat="1" applyFont="1" applyFill="1" applyBorder="1" applyAlignment="1">
      <alignment horizontal="left" vertical="top"/>
    </xf>
    <xf numFmtId="177" fontId="6" fillId="0" borderId="68" xfId="3" applyNumberFormat="1" applyFont="1" applyFill="1" applyBorder="1" applyAlignment="1">
      <alignment horizontal="center" vertical="top" wrapText="1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8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3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88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 wrapText="1"/>
    </xf>
    <xf numFmtId="0" fontId="7" fillId="3" borderId="91" xfId="0" applyFont="1" applyFill="1" applyBorder="1" applyAlignment="1">
      <alignment horizontal="center" vertical="center" wrapText="1"/>
    </xf>
    <xf numFmtId="0" fontId="5" fillId="4" borderId="100" xfId="0" applyFont="1" applyFill="1" applyBorder="1" applyAlignment="1">
      <alignment vertical="top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0" fontId="5" fillId="4" borderId="104" xfId="0" applyFont="1" applyFill="1" applyBorder="1" applyAlignment="1">
      <alignment vertical="top" wrapText="1"/>
    </xf>
    <xf numFmtId="0" fontId="7" fillId="3" borderId="11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7" fillId="3" borderId="69" xfId="0" applyNumberFormat="1" applyFont="1" applyFill="1" applyBorder="1" applyAlignment="1">
      <alignment horizontal="center" vertical="center"/>
    </xf>
    <xf numFmtId="49" fontId="7" fillId="3" borderId="98" xfId="0" applyNumberFormat="1" applyFont="1" applyFill="1" applyBorder="1" applyAlignment="1">
      <alignment horizontal="center" vertical="center"/>
    </xf>
    <xf numFmtId="49" fontId="7" fillId="3" borderId="70" xfId="0" applyNumberFormat="1" applyFont="1" applyFill="1" applyBorder="1">
      <alignment vertical="center"/>
    </xf>
    <xf numFmtId="49" fontId="7" fillId="3" borderId="99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4" xfId="0" applyFont="1" applyFill="1" applyBorder="1" applyAlignment="1">
      <alignment horizontal="center" vertical="center"/>
    </xf>
    <xf numFmtId="0" fontId="5" fillId="2" borderId="69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22" xfId="0" applyFont="1" applyFill="1" applyBorder="1" applyAlignment="1">
      <alignment horizontal="left" vertical="top"/>
    </xf>
    <xf numFmtId="0" fontId="5" fillId="2" borderId="70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7" fillId="3" borderId="1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4" borderId="56" xfId="0" applyFont="1" applyFill="1" applyBorder="1" applyAlignment="1">
      <alignment horizontal="left" vertical="top" wrapText="1"/>
    </xf>
    <xf numFmtId="0" fontId="5" fillId="4" borderId="148" xfId="0" applyFont="1" applyFill="1" applyBorder="1" applyAlignment="1">
      <alignment horizontal="left" vertical="top" wrapText="1"/>
    </xf>
    <xf numFmtId="0" fontId="5" fillId="4" borderId="89" xfId="0" applyFont="1" applyFill="1" applyBorder="1" applyAlignment="1">
      <alignment horizontal="left" vertical="top" wrapText="1"/>
    </xf>
    <xf numFmtId="0" fontId="5" fillId="2" borderId="24" xfId="0" applyFont="1" applyFill="1" applyBorder="1" applyAlignment="1">
      <alignment horizontal="left" vertical="top"/>
    </xf>
    <xf numFmtId="178" fontId="4" fillId="0" borderId="1" xfId="0" applyNumberFormat="1" applyFont="1" applyBorder="1">
      <alignment vertical="center"/>
    </xf>
    <xf numFmtId="0" fontId="4" fillId="0" borderId="97" xfId="0" applyFont="1" applyBorder="1">
      <alignment vertical="center"/>
    </xf>
    <xf numFmtId="178" fontId="4" fillId="0" borderId="97" xfId="0" applyNumberFormat="1" applyFont="1" applyBorder="1">
      <alignment vertical="center"/>
    </xf>
    <xf numFmtId="0" fontId="4" fillId="0" borderId="16" xfId="0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87" xfId="0" applyFont="1" applyBorder="1">
      <alignment vertical="center"/>
    </xf>
    <xf numFmtId="178" fontId="5" fillId="4" borderId="19" xfId="0" applyNumberFormat="1" applyFont="1" applyFill="1" applyBorder="1">
      <alignment vertical="center"/>
    </xf>
    <xf numFmtId="0" fontId="4" fillId="4" borderId="20" xfId="0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5" fillId="4" borderId="64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64" xfId="0" applyFont="1" applyFill="1" applyBorder="1">
      <alignment vertical="center"/>
    </xf>
    <xf numFmtId="0" fontId="17" fillId="4" borderId="89" xfId="0" applyFont="1" applyFill="1" applyBorder="1">
      <alignment vertical="center"/>
    </xf>
    <xf numFmtId="0" fontId="5" fillId="4" borderId="73" xfId="0" applyFont="1" applyFill="1" applyBorder="1" applyAlignment="1">
      <alignment horizontal="center" vertical="center"/>
    </xf>
    <xf numFmtId="0" fontId="5" fillId="10" borderId="66" xfId="0" applyFont="1" applyFill="1" applyBorder="1">
      <alignment vertical="center"/>
    </xf>
    <xf numFmtId="0" fontId="18" fillId="10" borderId="67" xfId="0" applyFont="1" applyFill="1" applyBorder="1">
      <alignment vertical="center"/>
    </xf>
    <xf numFmtId="0" fontId="18" fillId="10" borderId="89" xfId="0" applyFont="1" applyFill="1" applyBorder="1">
      <alignment vertical="center"/>
    </xf>
    <xf numFmtId="0" fontId="5" fillId="10" borderId="150" xfId="0" applyFont="1" applyFill="1" applyBorder="1" applyAlignment="1">
      <alignment horizontal="right" vertical="center"/>
    </xf>
    <xf numFmtId="0" fontId="5" fillId="10" borderId="65" xfId="0" applyFont="1" applyFill="1" applyBorder="1" applyAlignment="1">
      <alignment vertical="center"/>
    </xf>
    <xf numFmtId="178" fontId="5" fillId="10" borderId="149" xfId="0" applyNumberFormat="1" applyFont="1" applyFill="1" applyBorder="1">
      <alignment vertical="center"/>
    </xf>
    <xf numFmtId="0" fontId="4" fillId="10" borderId="88" xfId="0" applyFont="1" applyFill="1" applyBorder="1">
      <alignment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1" sqref="E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8" t="s">
        <v>10</v>
      </c>
      <c r="C2" s="28" t="s">
        <v>11</v>
      </c>
    </row>
    <row r="3" spans="2:3" ht="14.45" customHeight="1" x14ac:dyDescent="0.2">
      <c r="B3" s="176" t="s">
        <v>12</v>
      </c>
      <c r="C3" s="176" t="s">
        <v>4203</v>
      </c>
    </row>
    <row r="5" spans="2:3" ht="14.45" customHeight="1" x14ac:dyDescent="0.2">
      <c r="B5" s="28" t="s">
        <v>6</v>
      </c>
    </row>
    <row r="6" spans="2:3" ht="14.45" customHeight="1" x14ac:dyDescent="0.2">
      <c r="B6" s="176" t="s">
        <v>233</v>
      </c>
    </row>
    <row r="7" spans="2:3" ht="14.45" customHeight="1" x14ac:dyDescent="0.2">
      <c r="B7" s="176" t="s">
        <v>2642</v>
      </c>
    </row>
    <row r="8" spans="2:3" ht="14.45" customHeight="1" x14ac:dyDescent="0.2">
      <c r="B8" s="176" t="s">
        <v>2641</v>
      </c>
    </row>
    <row r="9" spans="2:3" ht="14.45" customHeight="1" x14ac:dyDescent="0.2">
      <c r="B9" s="176" t="s">
        <v>2761</v>
      </c>
    </row>
    <row r="10" spans="2:3" ht="14.45" customHeight="1" x14ac:dyDescent="0.2">
      <c r="B10" s="176" t="s">
        <v>2762</v>
      </c>
    </row>
    <row r="11" spans="2:3" ht="14.45" customHeight="1" x14ac:dyDescent="0.2">
      <c r="B11" s="176" t="s">
        <v>1636</v>
      </c>
    </row>
    <row r="13" spans="2:3" ht="14.45" customHeight="1" x14ac:dyDescent="0.2">
      <c r="B13" s="28" t="s">
        <v>2855</v>
      </c>
    </row>
    <row r="14" spans="2:3" ht="14.45" customHeight="1" x14ac:dyDescent="0.2">
      <c r="B14" s="176" t="s">
        <v>2856</v>
      </c>
    </row>
    <row r="15" spans="2:3" ht="14.45" customHeight="1" x14ac:dyDescent="0.2">
      <c r="B15" s="176" t="s">
        <v>2857</v>
      </c>
    </row>
    <row r="16" spans="2:3" ht="14.45" customHeight="1" x14ac:dyDescent="0.2">
      <c r="B16" s="176" t="s">
        <v>2858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03" activePane="bottomLeft" state="frozen"/>
      <selection activeCell="X579" sqref="X579"/>
      <selection pane="bottomLeft" activeCell="AW1430" sqref="AW1430"/>
    </sheetView>
  </sheetViews>
  <sheetFormatPr defaultColWidth="2.5703125" defaultRowHeight="14.45" customHeight="1" thickBottom="1" outlineLevelRow="4" x14ac:dyDescent="0.3"/>
  <cols>
    <col min="1" max="1" width="4.28515625" style="19" customWidth="1"/>
    <col min="2" max="2" width="2.7109375" style="20" customWidth="1"/>
    <col min="3" max="52" width="2.5703125" style="17"/>
    <col min="53" max="53" width="2.5703125" style="21"/>
    <col min="54" max="54" width="0.5703125" style="22" customWidth="1"/>
    <col min="55" max="55" width="2.5703125" style="23" customWidth="1"/>
    <col min="56" max="58" width="2.5703125" style="23"/>
    <col min="59" max="59" width="2.5703125" style="23" customWidth="1"/>
    <col min="60" max="98" width="2.5703125" style="23"/>
    <col min="99" max="99" width="2.5703125" style="24"/>
    <col min="100" max="100" width="2.5703125" style="25"/>
    <col min="101" max="16384" width="2.5703125" style="17"/>
  </cols>
  <sheetData>
    <row r="1" spans="3:5" ht="19.5" customHeight="1" thickBot="1" x14ac:dyDescent="0.3"/>
    <row r="3" spans="3:5" ht="14.45" customHeight="1" thickBot="1" x14ac:dyDescent="0.3">
      <c r="C3" s="36" t="s">
        <v>464</v>
      </c>
      <c r="D3" s="36"/>
    </row>
    <row r="4" spans="3:5" ht="14.45" customHeight="1" outlineLevel="1" thickBot="1" x14ac:dyDescent="0.3">
      <c r="D4" s="37" t="s">
        <v>465</v>
      </c>
      <c r="E4" s="37"/>
    </row>
    <row r="5" spans="3:5" ht="14.45" customHeight="1" outlineLevel="2" thickBot="1" x14ac:dyDescent="0.3">
      <c r="E5" s="38" t="s">
        <v>466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8" t="s">
        <v>467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7" t="s">
        <v>468</v>
      </c>
      <c r="E12" s="37"/>
    </row>
    <row r="13" spans="3:5" ht="14.45" customHeight="1" outlineLevel="2" thickBot="1" x14ac:dyDescent="0.3">
      <c r="E13" s="38" t="s">
        <v>469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8" t="s">
        <v>470</v>
      </c>
    </row>
    <row r="17" spans="5:6" ht="14.45" customHeight="1" outlineLevel="3" thickBot="1" x14ac:dyDescent="0.3">
      <c r="F17" s="39" t="s">
        <v>471</v>
      </c>
    </row>
    <row r="18" spans="5:6" ht="14.45" customHeight="1" outlineLevel="4" thickBot="1" x14ac:dyDescent="0.3"/>
    <row r="19" spans="5:6" ht="14.45" customHeight="1" outlineLevel="3" thickBot="1" x14ac:dyDescent="0.3">
      <c r="F19" s="39" t="s">
        <v>472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8" t="s">
        <v>473</v>
      </c>
    </row>
    <row r="23" spans="5:6" ht="14.45" customHeight="1" outlineLevel="3" thickBot="1" x14ac:dyDescent="0.3">
      <c r="F23" s="39" t="s">
        <v>474</v>
      </c>
    </row>
    <row r="24" spans="5:6" ht="14.45" customHeight="1" outlineLevel="4" thickBot="1" x14ac:dyDescent="0.3"/>
    <row r="25" spans="5:6" ht="14.45" customHeight="1" outlineLevel="3" thickBot="1" x14ac:dyDescent="0.3">
      <c r="F25" s="39" t="s">
        <v>475</v>
      </c>
    </row>
    <row r="26" spans="5:6" ht="14.45" customHeight="1" outlineLevel="4" thickBot="1" x14ac:dyDescent="0.3"/>
    <row r="27" spans="5:6" ht="14.45" customHeight="1" outlineLevel="3" thickBot="1" x14ac:dyDescent="0.3">
      <c r="F27" s="39" t="s">
        <v>476</v>
      </c>
    </row>
    <row r="28" spans="5:6" ht="14.45" customHeight="1" outlineLevel="4" thickBot="1" x14ac:dyDescent="0.3"/>
    <row r="29" spans="5:6" ht="14.45" customHeight="1" outlineLevel="3" thickBot="1" x14ac:dyDescent="0.3">
      <c r="F29" s="39" t="s">
        <v>477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8" t="s">
        <v>478</v>
      </c>
    </row>
    <row r="33" spans="3:6" ht="14.45" customHeight="1" outlineLevel="3" thickBot="1" x14ac:dyDescent="0.3">
      <c r="F33" s="39" t="s">
        <v>479</v>
      </c>
    </row>
    <row r="34" spans="3:6" ht="14.45" customHeight="1" outlineLevel="4" thickBot="1" x14ac:dyDescent="0.3"/>
    <row r="35" spans="3:6" ht="14.45" customHeight="1" outlineLevel="3" thickBot="1" x14ac:dyDescent="0.3">
      <c r="F35" s="39" t="s">
        <v>480</v>
      </c>
    </row>
    <row r="36" spans="3:6" ht="14.45" customHeight="1" outlineLevel="4" thickBot="1" x14ac:dyDescent="0.3"/>
    <row r="37" spans="3:6" ht="14.45" customHeight="1" outlineLevel="3" thickBot="1" x14ac:dyDescent="0.3">
      <c r="F37" s="39" t="s">
        <v>481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6" t="s">
        <v>482</v>
      </c>
      <c r="D42" s="36"/>
    </row>
    <row r="43" spans="3:6" ht="14.45" customHeight="1" outlineLevel="1" thickBot="1" x14ac:dyDescent="0.3">
      <c r="D43" s="37" t="s">
        <v>13</v>
      </c>
      <c r="E43" s="37"/>
    </row>
    <row r="44" spans="3:6" ht="14.45" customHeight="1" outlineLevel="2" thickBot="1" x14ac:dyDescent="0.3"/>
    <row r="45" spans="3:6" ht="14.45" customHeight="1" outlineLevel="1" thickBot="1" x14ac:dyDescent="0.3">
      <c r="D45" s="37" t="s">
        <v>15</v>
      </c>
      <c r="E45" s="37"/>
    </row>
    <row r="46" spans="3:6" ht="14.45" customHeight="1" outlineLevel="2" thickBot="1" x14ac:dyDescent="0.3">
      <c r="E46" s="38" t="s">
        <v>483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8" t="s">
        <v>484</v>
      </c>
    </row>
    <row r="50" spans="3:6" ht="14.45" customHeight="1" outlineLevel="3" thickBot="1" x14ac:dyDescent="0.3">
      <c r="F50" s="39" t="s">
        <v>485</v>
      </c>
    </row>
    <row r="51" spans="3:6" ht="14.45" customHeight="1" outlineLevel="4" thickBot="1" x14ac:dyDescent="0.3"/>
    <row r="52" spans="3:6" ht="14.45" customHeight="1" outlineLevel="3" thickBot="1" x14ac:dyDescent="0.3">
      <c r="F52" s="39" t="s">
        <v>486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6" t="s">
        <v>487</v>
      </c>
      <c r="D57" s="36"/>
    </row>
    <row r="58" spans="3:6" ht="14.45" customHeight="1" outlineLevel="1" thickBot="1" x14ac:dyDescent="0.3">
      <c r="D58" s="37" t="s">
        <v>17</v>
      </c>
      <c r="E58" s="37"/>
    </row>
    <row r="59" spans="3:6" ht="14.45" customHeight="1" outlineLevel="2" thickBot="1" x14ac:dyDescent="0.3">
      <c r="E59" s="38" t="s">
        <v>488</v>
      </c>
    </row>
    <row r="60" spans="3:6" ht="14.45" customHeight="1" outlineLevel="3" thickBot="1" x14ac:dyDescent="0.3">
      <c r="F60" s="39" t="s">
        <v>489</v>
      </c>
    </row>
    <row r="61" spans="3:6" ht="14.45" customHeight="1" outlineLevel="4" thickBot="1" x14ac:dyDescent="0.3"/>
    <row r="62" spans="3:6" ht="14.45" customHeight="1" outlineLevel="3" thickBot="1" x14ac:dyDescent="0.3">
      <c r="F62" s="39" t="s">
        <v>490</v>
      </c>
    </row>
    <row r="63" spans="3:6" ht="14.45" customHeight="1" outlineLevel="4" thickBot="1" x14ac:dyDescent="0.3"/>
    <row r="64" spans="3:6" ht="14.45" customHeight="1" outlineLevel="3" thickBot="1" x14ac:dyDescent="0.3">
      <c r="F64" s="39" t="s">
        <v>491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8" t="s">
        <v>492</v>
      </c>
    </row>
    <row r="68" spans="5:6" ht="14.45" customHeight="1" outlineLevel="3" thickBot="1" x14ac:dyDescent="0.3">
      <c r="F68" s="39" t="s">
        <v>489</v>
      </c>
    </row>
    <row r="69" spans="5:6" ht="14.45" customHeight="1" outlineLevel="4" thickBot="1" x14ac:dyDescent="0.3"/>
    <row r="70" spans="5:6" ht="14.45" customHeight="1" outlineLevel="3" thickBot="1" x14ac:dyDescent="0.3">
      <c r="F70" s="39" t="s">
        <v>493</v>
      </c>
    </row>
    <row r="71" spans="5:6" ht="14.45" customHeight="1" outlineLevel="4" thickBot="1" x14ac:dyDescent="0.3"/>
    <row r="72" spans="5:6" ht="14.45" customHeight="1" outlineLevel="3" thickBot="1" x14ac:dyDescent="0.3">
      <c r="F72" s="39" t="s">
        <v>494</v>
      </c>
    </row>
    <row r="73" spans="5:6" ht="14.45" customHeight="1" outlineLevel="4" thickBot="1" x14ac:dyDescent="0.3"/>
    <row r="74" spans="5:6" ht="14.45" customHeight="1" outlineLevel="3" thickBot="1" x14ac:dyDescent="0.3">
      <c r="F74" s="39" t="s">
        <v>495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8" t="s">
        <v>496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8" t="s">
        <v>497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7" t="s">
        <v>19</v>
      </c>
      <c r="E84" s="37"/>
    </row>
    <row r="85" spans="4:6" ht="14.45" customHeight="1" outlineLevel="2" thickBot="1" x14ac:dyDescent="0.3">
      <c r="E85" s="38" t="s">
        <v>498</v>
      </c>
    </row>
    <row r="86" spans="4:6" ht="14.45" customHeight="1" outlineLevel="3" thickBot="1" x14ac:dyDescent="0.3">
      <c r="F86" s="39" t="s">
        <v>489</v>
      </c>
    </row>
    <row r="87" spans="4:6" ht="14.45" customHeight="1" outlineLevel="4" thickBot="1" x14ac:dyDescent="0.3"/>
    <row r="88" spans="4:6" ht="14.45" customHeight="1" outlineLevel="3" thickBot="1" x14ac:dyDescent="0.3">
      <c r="F88" s="39" t="s">
        <v>499</v>
      </c>
    </row>
    <row r="89" spans="4:6" ht="14.45" customHeight="1" outlineLevel="4" thickBot="1" x14ac:dyDescent="0.3"/>
    <row r="90" spans="4:6" ht="14.45" customHeight="1" outlineLevel="3" thickBot="1" x14ac:dyDescent="0.3">
      <c r="F90" s="39" t="s">
        <v>500</v>
      </c>
    </row>
    <row r="91" spans="4:6" ht="14.45" customHeight="1" outlineLevel="4" thickBot="1" x14ac:dyDescent="0.3"/>
    <row r="92" spans="4:6" ht="14.45" customHeight="1" outlineLevel="3" thickBot="1" x14ac:dyDescent="0.3">
      <c r="F92" s="39" t="s">
        <v>501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8" t="s">
        <v>502</v>
      </c>
    </row>
    <row r="96" spans="4:6" ht="14.45" customHeight="1" outlineLevel="3" thickBot="1" x14ac:dyDescent="0.3">
      <c r="F96" s="39" t="s">
        <v>489</v>
      </c>
    </row>
    <row r="97" spans="4:6" ht="14.45" customHeight="1" outlineLevel="4" thickBot="1" x14ac:dyDescent="0.3"/>
    <row r="98" spans="4:6" ht="14.45" customHeight="1" outlineLevel="3" thickBot="1" x14ac:dyDescent="0.3">
      <c r="F98" s="39" t="s">
        <v>503</v>
      </c>
    </row>
    <row r="99" spans="4:6" ht="14.45" customHeight="1" outlineLevel="4" thickBot="1" x14ac:dyDescent="0.3"/>
    <row r="100" spans="4:6" ht="14.45" customHeight="1" outlineLevel="3" thickBot="1" x14ac:dyDescent="0.3">
      <c r="F100" s="39" t="s">
        <v>504</v>
      </c>
    </row>
    <row r="101" spans="4:6" ht="14.45" customHeight="1" outlineLevel="4" thickBot="1" x14ac:dyDescent="0.3"/>
    <row r="102" spans="4:6" ht="14.45" customHeight="1" outlineLevel="3" thickBot="1" x14ac:dyDescent="0.3">
      <c r="F102" s="39" t="s">
        <v>505</v>
      </c>
    </row>
    <row r="103" spans="4:6" ht="14.45" customHeight="1" outlineLevel="4" thickBot="1" x14ac:dyDescent="0.3"/>
    <row r="104" spans="4:6" ht="14.45" customHeight="1" outlineLevel="3" thickBot="1" x14ac:dyDescent="0.3">
      <c r="F104" s="39" t="s">
        <v>506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8" t="s">
        <v>507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7" t="s">
        <v>21</v>
      </c>
      <c r="E111" s="37"/>
    </row>
    <row r="112" spans="4:6" ht="14.45" customHeight="1" outlineLevel="2" thickBot="1" x14ac:dyDescent="0.3">
      <c r="E112" s="38" t="s">
        <v>508</v>
      </c>
    </row>
    <row r="113" spans="5:7" ht="14.45" customHeight="1" outlineLevel="3" thickBot="1" x14ac:dyDescent="0.3">
      <c r="F113" s="39" t="s">
        <v>509</v>
      </c>
    </row>
    <row r="114" spans="5:7" ht="14.45" customHeight="1" outlineLevel="4" thickBot="1" x14ac:dyDescent="0.3"/>
    <row r="115" spans="5:7" ht="14.45" customHeight="1" outlineLevel="3" thickBot="1" x14ac:dyDescent="0.3">
      <c r="F115" s="39" t="s">
        <v>510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8" t="s">
        <v>511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8" t="s">
        <v>512</v>
      </c>
    </row>
    <row r="122" spans="5:7" ht="14.45" customHeight="1" outlineLevel="3" thickBot="1" x14ac:dyDescent="0.3">
      <c r="F122" s="39" t="s">
        <v>513</v>
      </c>
    </row>
    <row r="123" spans="5:7" ht="14.45" customHeight="1" outlineLevel="4" thickBot="1" x14ac:dyDescent="0.3"/>
    <row r="124" spans="5:7" ht="14.45" customHeight="1" outlineLevel="3" thickBot="1" x14ac:dyDescent="0.3">
      <c r="F124" s="39" t="s">
        <v>514</v>
      </c>
    </row>
    <row r="125" spans="5:7" ht="14.45" customHeight="1" outlineLevel="4" thickBot="1" x14ac:dyDescent="0.3">
      <c r="G125" s="18" t="s">
        <v>515</v>
      </c>
    </row>
    <row r="126" spans="5:7" ht="14.45" customHeight="1" outlineLevel="4" thickBot="1" x14ac:dyDescent="0.3">
      <c r="G126" s="18" t="s">
        <v>516</v>
      </c>
    </row>
    <row r="127" spans="5:7" ht="14.45" customHeight="1" outlineLevel="4" thickBot="1" x14ac:dyDescent="0.3">
      <c r="G127" s="18" t="s">
        <v>517</v>
      </c>
    </row>
    <row r="128" spans="5:7" ht="14.45" customHeight="1" outlineLevel="4" thickBot="1" x14ac:dyDescent="0.3">
      <c r="G128" s="18" t="s">
        <v>518</v>
      </c>
    </row>
    <row r="129" spans="5:7" ht="14.45" customHeight="1" outlineLevel="4" thickBot="1" x14ac:dyDescent="0.3">
      <c r="G129" s="18" t="s">
        <v>519</v>
      </c>
    </row>
    <row r="130" spans="5:7" ht="14.45" customHeight="1" outlineLevel="3" thickBot="1" x14ac:dyDescent="0.3">
      <c r="F130" s="39" t="s">
        <v>520</v>
      </c>
    </row>
    <row r="131" spans="5:7" ht="14.45" customHeight="1" outlineLevel="4" thickBot="1" x14ac:dyDescent="0.3">
      <c r="G131" s="18" t="s">
        <v>521</v>
      </c>
    </row>
    <row r="132" spans="5:7" ht="14.45" customHeight="1" outlineLevel="4" thickBot="1" x14ac:dyDescent="0.3">
      <c r="G132" s="18" t="s">
        <v>522</v>
      </c>
    </row>
    <row r="133" spans="5:7" ht="14.45" customHeight="1" outlineLevel="4" thickBot="1" x14ac:dyDescent="0.3">
      <c r="G133" s="18" t="s">
        <v>523</v>
      </c>
    </row>
    <row r="134" spans="5:7" ht="14.45" customHeight="1" outlineLevel="4" thickBot="1" x14ac:dyDescent="0.3">
      <c r="G134" s="18" t="s">
        <v>518</v>
      </c>
    </row>
    <row r="135" spans="5:7" ht="14.45" customHeight="1" outlineLevel="3" thickBot="1" x14ac:dyDescent="0.3">
      <c r="F135" s="39" t="s">
        <v>524</v>
      </c>
    </row>
    <row r="136" spans="5:7" ht="14.45" customHeight="1" outlineLevel="4" thickBot="1" x14ac:dyDescent="0.3">
      <c r="G136" s="18" t="s">
        <v>525</v>
      </c>
    </row>
    <row r="137" spans="5:7" ht="14.45" customHeight="1" outlineLevel="4" thickBot="1" x14ac:dyDescent="0.3">
      <c r="G137" s="18" t="s">
        <v>526</v>
      </c>
    </row>
    <row r="138" spans="5:7" ht="14.45" customHeight="1" outlineLevel="4" thickBot="1" x14ac:dyDescent="0.3">
      <c r="G138" s="18" t="s">
        <v>527</v>
      </c>
    </row>
    <row r="139" spans="5:7" ht="14.45" customHeight="1" outlineLevel="3" thickBot="1" x14ac:dyDescent="0.3"/>
    <row r="140" spans="5:7" ht="14.45" customHeight="1" outlineLevel="2" thickBot="1" x14ac:dyDescent="0.3">
      <c r="E140" s="38" t="s">
        <v>528</v>
      </c>
    </row>
    <row r="141" spans="5:7" ht="14.45" customHeight="1" outlineLevel="3" thickBot="1" x14ac:dyDescent="0.3">
      <c r="F141" s="39" t="s">
        <v>513</v>
      </c>
    </row>
    <row r="142" spans="5:7" ht="14.45" customHeight="1" outlineLevel="4" thickBot="1" x14ac:dyDescent="0.3"/>
    <row r="143" spans="5:7" ht="14.45" customHeight="1" outlineLevel="3" thickBot="1" x14ac:dyDescent="0.3">
      <c r="F143" s="39" t="s">
        <v>529</v>
      </c>
    </row>
    <row r="144" spans="5:7" ht="14.45" customHeight="1" outlineLevel="4" thickBot="1" x14ac:dyDescent="0.3">
      <c r="G144" s="18" t="s">
        <v>530</v>
      </c>
    </row>
    <row r="145" spans="5:7" ht="14.45" customHeight="1" outlineLevel="4" thickBot="1" x14ac:dyDescent="0.3">
      <c r="G145" s="18" t="s">
        <v>531</v>
      </c>
    </row>
    <row r="146" spans="5:7" ht="14.45" customHeight="1" outlineLevel="4" thickBot="1" x14ac:dyDescent="0.3">
      <c r="G146" s="18" t="s">
        <v>532</v>
      </c>
    </row>
    <row r="147" spans="5:7" ht="14.45" customHeight="1" outlineLevel="3" thickBot="1" x14ac:dyDescent="0.3"/>
    <row r="148" spans="5:7" ht="14.45" customHeight="1" outlineLevel="2" thickBot="1" x14ac:dyDescent="0.3">
      <c r="E148" s="38" t="s">
        <v>533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8" t="s">
        <v>534</v>
      </c>
    </row>
    <row r="152" spans="5:7" ht="14.45" customHeight="1" outlineLevel="3" thickBot="1" x14ac:dyDescent="0.3">
      <c r="F152" s="39" t="s">
        <v>535</v>
      </c>
    </row>
    <row r="153" spans="5:7" ht="14.45" customHeight="1" outlineLevel="4" thickBot="1" x14ac:dyDescent="0.3"/>
    <row r="154" spans="5:7" ht="14.45" customHeight="1" outlineLevel="3" thickBot="1" x14ac:dyDescent="0.3">
      <c r="F154" s="39" t="s">
        <v>536</v>
      </c>
    </row>
    <row r="155" spans="5:7" ht="14.45" customHeight="1" outlineLevel="4" thickBot="1" x14ac:dyDescent="0.3"/>
    <row r="156" spans="5:7" ht="14.45" customHeight="1" outlineLevel="3" thickBot="1" x14ac:dyDescent="0.3">
      <c r="F156" s="39" t="s">
        <v>537</v>
      </c>
    </row>
    <row r="157" spans="5:7" ht="14.45" customHeight="1" outlineLevel="4" thickBot="1" x14ac:dyDescent="0.3">
      <c r="G157" s="18" t="s">
        <v>538</v>
      </c>
    </row>
    <row r="158" spans="5:7" ht="14.45" customHeight="1" outlineLevel="4" thickBot="1" x14ac:dyDescent="0.3">
      <c r="G158" s="18" t="s">
        <v>539</v>
      </c>
    </row>
    <row r="159" spans="5:7" ht="14.45" customHeight="1" outlineLevel="4" thickBot="1" x14ac:dyDescent="0.3">
      <c r="G159" s="18" t="s">
        <v>540</v>
      </c>
    </row>
    <row r="160" spans="5:7" ht="14.45" customHeight="1" outlineLevel="4" thickBot="1" x14ac:dyDescent="0.3">
      <c r="G160" s="18" t="s">
        <v>541</v>
      </c>
    </row>
    <row r="161" spans="5:7" ht="14.45" customHeight="1" outlineLevel="4" thickBot="1" x14ac:dyDescent="0.3">
      <c r="G161" s="18" t="s">
        <v>542</v>
      </c>
    </row>
    <row r="162" spans="5:7" ht="14.45" customHeight="1" outlineLevel="3" thickBot="1" x14ac:dyDescent="0.3">
      <c r="F162" s="39" t="s">
        <v>543</v>
      </c>
    </row>
    <row r="163" spans="5:7" ht="14.45" customHeight="1" outlineLevel="4" thickBot="1" x14ac:dyDescent="0.3">
      <c r="G163" s="18" t="s">
        <v>544</v>
      </c>
    </row>
    <row r="164" spans="5:7" ht="14.45" customHeight="1" outlineLevel="4" thickBot="1" x14ac:dyDescent="0.3">
      <c r="G164" s="18" t="s">
        <v>545</v>
      </c>
    </row>
    <row r="165" spans="5:7" ht="14.45" customHeight="1" outlineLevel="4" thickBot="1" x14ac:dyDescent="0.3">
      <c r="G165" s="18" t="s">
        <v>546</v>
      </c>
    </row>
    <row r="166" spans="5:7" ht="14.45" customHeight="1" outlineLevel="4" thickBot="1" x14ac:dyDescent="0.3">
      <c r="G166" s="18" t="s">
        <v>547</v>
      </c>
    </row>
    <row r="167" spans="5:7" ht="14.45" customHeight="1" outlineLevel="3" thickBot="1" x14ac:dyDescent="0.3">
      <c r="F167" s="39" t="s">
        <v>548</v>
      </c>
    </row>
    <row r="168" spans="5:7" ht="14.45" customHeight="1" outlineLevel="4" thickBot="1" x14ac:dyDescent="0.3">
      <c r="G168" s="18" t="s">
        <v>549</v>
      </c>
    </row>
    <row r="169" spans="5:7" ht="14.45" customHeight="1" outlineLevel="4" thickBot="1" x14ac:dyDescent="0.3">
      <c r="G169" s="18" t="s">
        <v>550</v>
      </c>
    </row>
    <row r="170" spans="5:7" ht="14.45" customHeight="1" outlineLevel="3" thickBot="1" x14ac:dyDescent="0.3"/>
    <row r="171" spans="5:7" ht="14.45" customHeight="1" outlineLevel="2" thickBot="1" x14ac:dyDescent="0.3">
      <c r="E171" s="38" t="s">
        <v>551</v>
      </c>
    </row>
    <row r="172" spans="5:7" ht="14.45" customHeight="1" outlineLevel="3" thickBot="1" x14ac:dyDescent="0.3">
      <c r="F172" s="39" t="s">
        <v>552</v>
      </c>
    </row>
    <row r="173" spans="5:7" ht="14.45" customHeight="1" outlineLevel="4" thickBot="1" x14ac:dyDescent="0.3"/>
    <row r="174" spans="5:7" ht="14.45" customHeight="1" outlineLevel="3" thickBot="1" x14ac:dyDescent="0.3">
      <c r="F174" s="39" t="s">
        <v>553</v>
      </c>
    </row>
    <row r="175" spans="5:7" ht="14.45" customHeight="1" outlineLevel="4" thickBot="1" x14ac:dyDescent="0.3">
      <c r="G175" s="18" t="s">
        <v>554</v>
      </c>
    </row>
    <row r="176" spans="5:7" ht="14.45" customHeight="1" outlineLevel="4" thickBot="1" x14ac:dyDescent="0.3">
      <c r="G176" s="18" t="s">
        <v>555</v>
      </c>
    </row>
    <row r="177" spans="5:7" ht="14.45" customHeight="1" outlineLevel="4" thickBot="1" x14ac:dyDescent="0.3">
      <c r="G177" s="18" t="s">
        <v>556</v>
      </c>
    </row>
    <row r="178" spans="5:7" ht="14.45" customHeight="1" outlineLevel="3" thickBot="1" x14ac:dyDescent="0.3">
      <c r="F178" s="39" t="s">
        <v>557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8" t="s">
        <v>558</v>
      </c>
    </row>
    <row r="182" spans="5:7" ht="14.45" customHeight="1" outlineLevel="3" thickBot="1" x14ac:dyDescent="0.3">
      <c r="F182" s="39" t="s">
        <v>559</v>
      </c>
    </row>
    <row r="183" spans="5:7" ht="14.45" customHeight="1" outlineLevel="4" thickBot="1" x14ac:dyDescent="0.3">
      <c r="G183" s="18" t="s">
        <v>560</v>
      </c>
    </row>
    <row r="184" spans="5:7" ht="14.45" customHeight="1" outlineLevel="4" thickBot="1" x14ac:dyDescent="0.3">
      <c r="G184" s="18" t="s">
        <v>561</v>
      </c>
    </row>
    <row r="185" spans="5:7" ht="14.45" customHeight="1" outlineLevel="3" thickBot="1" x14ac:dyDescent="0.3">
      <c r="F185" s="39" t="s">
        <v>562</v>
      </c>
    </row>
    <row r="186" spans="5:7" ht="14.45" customHeight="1" outlineLevel="4" thickBot="1" x14ac:dyDescent="0.3">
      <c r="G186" s="18" t="s">
        <v>563</v>
      </c>
    </row>
    <row r="187" spans="5:7" ht="14.45" customHeight="1" outlineLevel="4" thickBot="1" x14ac:dyDescent="0.3">
      <c r="G187" s="18" t="s">
        <v>564</v>
      </c>
    </row>
    <row r="188" spans="5:7" ht="14.45" customHeight="1" outlineLevel="4" thickBot="1" x14ac:dyDescent="0.3">
      <c r="G188" s="18" t="s">
        <v>565</v>
      </c>
    </row>
    <row r="189" spans="5:7" ht="14.45" customHeight="1" outlineLevel="3" thickBot="1" x14ac:dyDescent="0.3">
      <c r="F189" s="39" t="s">
        <v>566</v>
      </c>
    </row>
    <row r="190" spans="5:7" ht="14.45" customHeight="1" outlineLevel="4" thickBot="1" x14ac:dyDescent="0.3"/>
    <row r="191" spans="5:7" ht="14.45" customHeight="1" outlineLevel="3" thickBot="1" x14ac:dyDescent="0.3">
      <c r="F191" s="39" t="s">
        <v>567</v>
      </c>
    </row>
    <row r="192" spans="5:7" ht="14.45" customHeight="1" outlineLevel="4" thickBot="1" x14ac:dyDescent="0.3">
      <c r="G192" s="18" t="s">
        <v>568</v>
      </c>
    </row>
    <row r="193" spans="3:7" ht="14.45" customHeight="1" outlineLevel="4" thickBot="1" x14ac:dyDescent="0.3">
      <c r="G193" s="18" t="s">
        <v>569</v>
      </c>
    </row>
    <row r="194" spans="3:7" ht="14.45" customHeight="1" outlineLevel="4" thickBot="1" x14ac:dyDescent="0.3">
      <c r="G194" s="18" t="s">
        <v>570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6" t="s">
        <v>571</v>
      </c>
      <c r="D198" s="36"/>
    </row>
    <row r="199" spans="3:7" ht="14.45" customHeight="1" outlineLevel="1" thickBot="1" x14ac:dyDescent="0.3">
      <c r="D199" s="37" t="s">
        <v>23</v>
      </c>
      <c r="E199" s="37"/>
    </row>
    <row r="200" spans="3:7" ht="14.45" customHeight="1" outlineLevel="2" thickBot="1" x14ac:dyDescent="0.3">
      <c r="E200" s="38" t="s">
        <v>572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8" t="s">
        <v>573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8" t="s">
        <v>574</v>
      </c>
    </row>
    <row r="207" spans="3:7" ht="14.45" customHeight="1" outlineLevel="3" thickBot="1" x14ac:dyDescent="0.3">
      <c r="F207" s="39" t="s">
        <v>575</v>
      </c>
    </row>
    <row r="208" spans="3:7" ht="14.45" customHeight="1" outlineLevel="4" thickBot="1" x14ac:dyDescent="0.3"/>
    <row r="209" spans="5:6" ht="14.45" customHeight="1" outlineLevel="3" thickBot="1" x14ac:dyDescent="0.3">
      <c r="F209" s="39" t="s">
        <v>576</v>
      </c>
    </row>
    <row r="210" spans="5:6" ht="14.45" customHeight="1" outlineLevel="4" thickBot="1" x14ac:dyDescent="0.3"/>
    <row r="211" spans="5:6" ht="14.45" customHeight="1" outlineLevel="3" thickBot="1" x14ac:dyDescent="0.3">
      <c r="F211" s="39" t="s">
        <v>577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8" t="s">
        <v>578</v>
      </c>
    </row>
    <row r="215" spans="5:6" ht="14.45" customHeight="1" outlineLevel="3" thickBot="1" x14ac:dyDescent="0.3">
      <c r="F215" s="39" t="s">
        <v>579</v>
      </c>
    </row>
    <row r="216" spans="5:6" ht="14.45" customHeight="1" outlineLevel="4" thickBot="1" x14ac:dyDescent="0.3"/>
    <row r="217" spans="5:6" ht="14.45" customHeight="1" outlineLevel="3" thickBot="1" x14ac:dyDescent="0.3">
      <c r="F217" s="39" t="s">
        <v>580</v>
      </c>
    </row>
    <row r="218" spans="5:6" ht="14.45" customHeight="1" outlineLevel="4" thickBot="1" x14ac:dyDescent="0.3"/>
    <row r="219" spans="5:6" ht="14.45" customHeight="1" outlineLevel="3" thickBot="1" x14ac:dyDescent="0.3">
      <c r="F219" s="39" t="s">
        <v>581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8" t="s">
        <v>582</v>
      </c>
    </row>
    <row r="223" spans="5:6" ht="14.45" customHeight="1" outlineLevel="3" thickBot="1" x14ac:dyDescent="0.3">
      <c r="F223" s="39" t="s">
        <v>513</v>
      </c>
    </row>
    <row r="224" spans="5:6" ht="14.45" customHeight="1" outlineLevel="4" thickBot="1" x14ac:dyDescent="0.3"/>
    <row r="225" spans="5:6" ht="14.45" customHeight="1" outlineLevel="3" thickBot="1" x14ac:dyDescent="0.3">
      <c r="F225" s="39" t="s">
        <v>583</v>
      </c>
    </row>
    <row r="226" spans="5:6" ht="14.45" customHeight="1" outlineLevel="4" thickBot="1" x14ac:dyDescent="0.3"/>
    <row r="227" spans="5:6" ht="14.45" customHeight="1" outlineLevel="3" thickBot="1" x14ac:dyDescent="0.3">
      <c r="F227" s="39" t="s">
        <v>584</v>
      </c>
    </row>
    <row r="228" spans="5:6" ht="14.45" customHeight="1" outlineLevel="4" thickBot="1" x14ac:dyDescent="0.3"/>
    <row r="229" spans="5:6" ht="14.45" customHeight="1" outlineLevel="3" thickBot="1" x14ac:dyDescent="0.3">
      <c r="F229" s="39" t="s">
        <v>585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8" t="s">
        <v>586</v>
      </c>
    </row>
    <row r="233" spans="5:6" ht="14.45" customHeight="1" outlineLevel="3" thickBot="1" x14ac:dyDescent="0.3">
      <c r="F233" s="39" t="s">
        <v>513</v>
      </c>
    </row>
    <row r="234" spans="5:6" ht="14.45" customHeight="1" outlineLevel="4" thickBot="1" x14ac:dyDescent="0.3"/>
    <row r="235" spans="5:6" ht="14.45" customHeight="1" outlineLevel="3" thickBot="1" x14ac:dyDescent="0.3">
      <c r="F235" s="39" t="s">
        <v>587</v>
      </c>
    </row>
    <row r="236" spans="5:6" ht="14.45" customHeight="1" outlineLevel="4" thickBot="1" x14ac:dyDescent="0.3"/>
    <row r="237" spans="5:6" ht="14.45" customHeight="1" outlineLevel="3" thickBot="1" x14ac:dyDescent="0.3">
      <c r="F237" s="39" t="s">
        <v>588</v>
      </c>
    </row>
    <row r="238" spans="5:6" ht="14.45" customHeight="1" outlineLevel="4" thickBot="1" x14ac:dyDescent="0.3"/>
    <row r="239" spans="5:6" ht="14.45" customHeight="1" outlineLevel="3" thickBot="1" x14ac:dyDescent="0.3">
      <c r="F239" s="39" t="s">
        <v>589</v>
      </c>
    </row>
    <row r="240" spans="5:6" ht="14.45" customHeight="1" outlineLevel="4" thickBot="1" x14ac:dyDescent="0.3"/>
    <row r="241" spans="5:6" ht="14.45" customHeight="1" outlineLevel="3" thickBot="1" x14ac:dyDescent="0.3">
      <c r="F241" s="39" t="s">
        <v>590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8" t="s">
        <v>591</v>
      </c>
    </row>
    <row r="245" spans="5:6" ht="14.45" customHeight="1" outlineLevel="3" thickBot="1" x14ac:dyDescent="0.3">
      <c r="F245" s="39" t="s">
        <v>592</v>
      </c>
    </row>
    <row r="246" spans="5:6" ht="14.45" customHeight="1" outlineLevel="4" thickBot="1" x14ac:dyDescent="0.3"/>
    <row r="247" spans="5:6" ht="14.45" customHeight="1" outlineLevel="3" thickBot="1" x14ac:dyDescent="0.3">
      <c r="F247" s="39" t="s">
        <v>593</v>
      </c>
    </row>
    <row r="248" spans="5:6" ht="14.45" customHeight="1" outlineLevel="4" thickBot="1" x14ac:dyDescent="0.3"/>
    <row r="249" spans="5:6" ht="14.45" customHeight="1" outlineLevel="3" thickBot="1" x14ac:dyDescent="0.3">
      <c r="F249" s="39" t="s">
        <v>594</v>
      </c>
    </row>
    <row r="250" spans="5:6" ht="14.45" customHeight="1" outlineLevel="4" thickBot="1" x14ac:dyDescent="0.3"/>
    <row r="251" spans="5:6" ht="14.45" customHeight="1" outlineLevel="3" thickBot="1" x14ac:dyDescent="0.3">
      <c r="F251" s="39" t="s">
        <v>595</v>
      </c>
    </row>
    <row r="252" spans="5:6" ht="14.45" customHeight="1" outlineLevel="4" thickBot="1" x14ac:dyDescent="0.3"/>
    <row r="253" spans="5:6" ht="14.45" customHeight="1" outlineLevel="3" thickBot="1" x14ac:dyDescent="0.3">
      <c r="F253" s="39" t="s">
        <v>596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8" t="s">
        <v>597</v>
      </c>
    </row>
    <row r="257" spans="4:7" ht="14.45" customHeight="1" outlineLevel="3" thickBot="1" x14ac:dyDescent="0.3">
      <c r="F257" s="39" t="s">
        <v>598</v>
      </c>
    </row>
    <row r="258" spans="4:7" ht="14.45" customHeight="1" outlineLevel="4" thickBot="1" x14ac:dyDescent="0.3"/>
    <row r="259" spans="4:7" ht="14.45" customHeight="1" outlineLevel="3" thickBot="1" x14ac:dyDescent="0.3">
      <c r="F259" s="39" t="s">
        <v>599</v>
      </c>
    </row>
    <row r="260" spans="4:7" ht="14.45" customHeight="1" outlineLevel="4" thickBot="1" x14ac:dyDescent="0.3"/>
    <row r="261" spans="4:7" ht="14.45" customHeight="1" outlineLevel="3" thickBot="1" x14ac:dyDescent="0.3">
      <c r="F261" s="39" t="s">
        <v>600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7" t="s">
        <v>25</v>
      </c>
      <c r="E265" s="37"/>
    </row>
    <row r="266" spans="4:7" ht="14.45" customHeight="1" outlineLevel="2" thickBot="1" x14ac:dyDescent="0.3">
      <c r="E266" s="38" t="s">
        <v>601</v>
      </c>
    </row>
    <row r="267" spans="4:7" ht="14.45" customHeight="1" outlineLevel="3" thickBot="1" x14ac:dyDescent="0.3">
      <c r="F267" s="39" t="s">
        <v>559</v>
      </c>
    </row>
    <row r="268" spans="4:7" ht="14.45" customHeight="1" outlineLevel="4" thickBot="1" x14ac:dyDescent="0.3">
      <c r="G268" s="18" t="s">
        <v>560</v>
      </c>
    </row>
    <row r="269" spans="4:7" ht="14.45" customHeight="1" outlineLevel="4" thickBot="1" x14ac:dyDescent="0.3">
      <c r="G269" s="18" t="s">
        <v>561</v>
      </c>
    </row>
    <row r="270" spans="4:7" ht="14.45" customHeight="1" outlineLevel="3" thickBot="1" x14ac:dyDescent="0.3">
      <c r="F270" s="39" t="s">
        <v>602</v>
      </c>
    </row>
    <row r="271" spans="4:7" ht="14.45" customHeight="1" outlineLevel="4" thickBot="1" x14ac:dyDescent="0.3"/>
    <row r="272" spans="4:7" ht="14.45" customHeight="1" outlineLevel="3" thickBot="1" x14ac:dyDescent="0.3">
      <c r="F272" s="39" t="s">
        <v>603</v>
      </c>
    </row>
    <row r="273" spans="5:7" ht="14.45" customHeight="1" outlineLevel="4" thickBot="1" x14ac:dyDescent="0.3">
      <c r="G273" s="18" t="s">
        <v>604</v>
      </c>
    </row>
    <row r="274" spans="5:7" ht="14.45" customHeight="1" outlineLevel="4" thickBot="1" x14ac:dyDescent="0.3">
      <c r="G274" s="18" t="s">
        <v>605</v>
      </c>
    </row>
    <row r="275" spans="5:7" ht="14.45" customHeight="1" outlineLevel="3" thickBot="1" x14ac:dyDescent="0.3">
      <c r="F275" s="39" t="s">
        <v>606</v>
      </c>
    </row>
    <row r="276" spans="5:7" ht="14.45" customHeight="1" outlineLevel="4" thickBot="1" x14ac:dyDescent="0.3">
      <c r="G276" s="18" t="s">
        <v>607</v>
      </c>
    </row>
    <row r="277" spans="5:7" ht="14.45" customHeight="1" outlineLevel="4" thickBot="1" x14ac:dyDescent="0.3">
      <c r="G277" s="18" t="s">
        <v>608</v>
      </c>
    </row>
    <row r="278" spans="5:7" ht="14.45" customHeight="1" outlineLevel="4" thickBot="1" x14ac:dyDescent="0.3">
      <c r="G278" s="18" t="s">
        <v>609</v>
      </c>
    </row>
    <row r="279" spans="5:7" ht="14.45" customHeight="1" outlineLevel="4" thickBot="1" x14ac:dyDescent="0.3">
      <c r="G279" s="18" t="s">
        <v>610</v>
      </c>
    </row>
    <row r="280" spans="5:7" ht="14.45" customHeight="1" outlineLevel="3" thickBot="1" x14ac:dyDescent="0.3"/>
    <row r="281" spans="5:7" ht="14.45" customHeight="1" outlineLevel="2" thickBot="1" x14ac:dyDescent="0.3">
      <c r="E281" s="38" t="s">
        <v>611</v>
      </c>
    </row>
    <row r="282" spans="5:7" ht="14.45" customHeight="1" outlineLevel="3" thickBot="1" x14ac:dyDescent="0.3">
      <c r="F282" s="39" t="s">
        <v>513</v>
      </c>
    </row>
    <row r="283" spans="5:7" ht="14.45" customHeight="1" outlineLevel="4" thickBot="1" x14ac:dyDescent="0.3"/>
    <row r="284" spans="5:7" ht="14.45" customHeight="1" outlineLevel="3" thickBot="1" x14ac:dyDescent="0.3">
      <c r="F284" s="39" t="s">
        <v>612</v>
      </c>
    </row>
    <row r="285" spans="5:7" ht="14.45" customHeight="1" outlineLevel="4" thickBot="1" x14ac:dyDescent="0.3">
      <c r="G285" s="18" t="s">
        <v>613</v>
      </c>
    </row>
    <row r="286" spans="5:7" ht="14.45" customHeight="1" outlineLevel="4" thickBot="1" x14ac:dyDescent="0.3">
      <c r="G286" s="18" t="s">
        <v>614</v>
      </c>
    </row>
    <row r="287" spans="5:7" ht="14.45" customHeight="1" outlineLevel="4" thickBot="1" x14ac:dyDescent="0.3">
      <c r="G287" s="18" t="s">
        <v>615</v>
      </c>
    </row>
    <row r="288" spans="5:7" ht="14.45" customHeight="1" outlineLevel="4" thickBot="1" x14ac:dyDescent="0.3">
      <c r="G288" s="18" t="s">
        <v>616</v>
      </c>
    </row>
    <row r="289" spans="5:7" ht="14.45" customHeight="1" outlineLevel="3" thickBot="1" x14ac:dyDescent="0.3">
      <c r="F289" s="39" t="s">
        <v>617</v>
      </c>
    </row>
    <row r="290" spans="5:7" ht="14.45" customHeight="1" outlineLevel="4" thickBot="1" x14ac:dyDescent="0.3">
      <c r="G290" s="18" t="s">
        <v>560</v>
      </c>
    </row>
    <row r="291" spans="5:7" ht="14.45" customHeight="1" outlineLevel="4" thickBot="1" x14ac:dyDescent="0.3">
      <c r="G291" s="18" t="s">
        <v>618</v>
      </c>
    </row>
    <row r="292" spans="5:7" ht="14.45" customHeight="1" outlineLevel="4" thickBot="1" x14ac:dyDescent="0.3">
      <c r="G292" s="18" t="s">
        <v>619</v>
      </c>
    </row>
    <row r="293" spans="5:7" ht="14.45" customHeight="1" outlineLevel="4" thickBot="1" x14ac:dyDescent="0.3">
      <c r="G293" s="18" t="s">
        <v>620</v>
      </c>
    </row>
    <row r="294" spans="5:7" ht="14.45" customHeight="1" outlineLevel="3" thickBot="1" x14ac:dyDescent="0.3">
      <c r="F294" s="39" t="s">
        <v>621</v>
      </c>
    </row>
    <row r="295" spans="5:7" ht="14.45" customHeight="1" outlineLevel="4" thickBot="1" x14ac:dyDescent="0.3">
      <c r="G295" s="18" t="s">
        <v>622</v>
      </c>
    </row>
    <row r="296" spans="5:7" ht="14.45" customHeight="1" outlineLevel="4" thickBot="1" x14ac:dyDescent="0.3">
      <c r="G296" s="18" t="s">
        <v>608</v>
      </c>
    </row>
    <row r="297" spans="5:7" ht="14.45" customHeight="1" outlineLevel="4" thickBot="1" x14ac:dyDescent="0.3">
      <c r="G297" s="18" t="s">
        <v>623</v>
      </c>
    </row>
    <row r="298" spans="5:7" ht="14.45" customHeight="1" outlineLevel="4" thickBot="1" x14ac:dyDescent="0.3">
      <c r="G298" s="18" t="s">
        <v>610</v>
      </c>
    </row>
    <row r="299" spans="5:7" ht="14.45" customHeight="1" outlineLevel="3" thickBot="1" x14ac:dyDescent="0.3"/>
    <row r="300" spans="5:7" ht="14.45" customHeight="1" outlineLevel="2" thickBot="1" x14ac:dyDescent="0.3">
      <c r="E300" s="38" t="s">
        <v>624</v>
      </c>
    </row>
    <row r="301" spans="5:7" ht="14.45" customHeight="1" outlineLevel="3" thickBot="1" x14ac:dyDescent="0.3">
      <c r="F301" s="39" t="s">
        <v>559</v>
      </c>
    </row>
    <row r="302" spans="5:7" ht="14.45" customHeight="1" outlineLevel="4" thickBot="1" x14ac:dyDescent="0.3">
      <c r="G302" s="18" t="s">
        <v>560</v>
      </c>
    </row>
    <row r="303" spans="5:7" ht="14.45" customHeight="1" outlineLevel="4" thickBot="1" x14ac:dyDescent="0.3">
      <c r="G303" s="18" t="s">
        <v>625</v>
      </c>
    </row>
    <row r="304" spans="5:7" ht="14.45" customHeight="1" outlineLevel="3" thickBot="1" x14ac:dyDescent="0.3">
      <c r="F304" s="39" t="s">
        <v>626</v>
      </c>
    </row>
    <row r="305" spans="5:7" ht="14.45" customHeight="1" outlineLevel="4" thickBot="1" x14ac:dyDescent="0.3">
      <c r="G305" s="18" t="s">
        <v>627</v>
      </c>
    </row>
    <row r="306" spans="5:7" ht="14.45" customHeight="1" outlineLevel="4" thickBot="1" x14ac:dyDescent="0.3">
      <c r="G306" s="18" t="s">
        <v>628</v>
      </c>
    </row>
    <row r="307" spans="5:7" ht="14.45" customHeight="1" outlineLevel="3" thickBot="1" x14ac:dyDescent="0.3">
      <c r="F307" s="39" t="s">
        <v>629</v>
      </c>
    </row>
    <row r="308" spans="5:7" ht="14.45" customHeight="1" outlineLevel="4" thickBot="1" x14ac:dyDescent="0.3">
      <c r="G308" s="18" t="s">
        <v>630</v>
      </c>
    </row>
    <row r="309" spans="5:7" ht="14.45" customHeight="1" outlineLevel="4" thickBot="1" x14ac:dyDescent="0.3">
      <c r="G309" s="18" t="s">
        <v>631</v>
      </c>
    </row>
    <row r="310" spans="5:7" ht="14.45" customHeight="1" outlineLevel="3" thickBot="1" x14ac:dyDescent="0.3"/>
    <row r="311" spans="5:7" ht="14.45" customHeight="1" outlineLevel="2" thickBot="1" x14ac:dyDescent="0.3">
      <c r="E311" s="38" t="s">
        <v>632</v>
      </c>
    </row>
    <row r="312" spans="5:7" ht="14.45" customHeight="1" outlineLevel="3" thickBot="1" x14ac:dyDescent="0.3">
      <c r="F312" s="39" t="s">
        <v>513</v>
      </c>
    </row>
    <row r="313" spans="5:7" ht="14.45" customHeight="1" outlineLevel="4" thickBot="1" x14ac:dyDescent="0.3"/>
    <row r="314" spans="5:7" ht="14.45" customHeight="1" outlineLevel="3" thickBot="1" x14ac:dyDescent="0.3">
      <c r="F314" s="39" t="s">
        <v>633</v>
      </c>
    </row>
    <row r="315" spans="5:7" ht="14.45" customHeight="1" outlineLevel="4" thickBot="1" x14ac:dyDescent="0.3"/>
    <row r="316" spans="5:7" ht="14.45" customHeight="1" outlineLevel="3" thickBot="1" x14ac:dyDescent="0.3">
      <c r="F316" s="39" t="s">
        <v>634</v>
      </c>
    </row>
    <row r="317" spans="5:7" ht="14.45" customHeight="1" outlineLevel="4" thickBot="1" x14ac:dyDescent="0.3">
      <c r="G317" s="18" t="s">
        <v>630</v>
      </c>
    </row>
    <row r="318" spans="5:7" ht="14.45" customHeight="1" outlineLevel="4" thickBot="1" x14ac:dyDescent="0.3">
      <c r="G318" s="18" t="s">
        <v>635</v>
      </c>
    </row>
    <row r="319" spans="5:7" ht="14.45" customHeight="1" outlineLevel="4" thickBot="1" x14ac:dyDescent="0.3">
      <c r="G319" s="18" t="s">
        <v>636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7" t="s">
        <v>27</v>
      </c>
      <c r="E322" s="37"/>
    </row>
    <row r="323" spans="4:7" ht="14.45" customHeight="1" outlineLevel="2" thickBot="1" x14ac:dyDescent="0.3">
      <c r="E323" s="38" t="s">
        <v>637</v>
      </c>
    </row>
    <row r="324" spans="4:7" ht="14.45" customHeight="1" outlineLevel="3" thickBot="1" x14ac:dyDescent="0.3">
      <c r="F324" s="39" t="s">
        <v>638</v>
      </c>
    </row>
    <row r="325" spans="4:7" ht="14.45" customHeight="1" outlineLevel="4" thickBot="1" x14ac:dyDescent="0.3"/>
    <row r="326" spans="4:7" ht="14.45" customHeight="1" outlineLevel="3" thickBot="1" x14ac:dyDescent="0.3">
      <c r="F326" s="39" t="s">
        <v>639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8" t="s">
        <v>640</v>
      </c>
    </row>
    <row r="330" spans="4:7" ht="14.45" customHeight="1" outlineLevel="3" thickBot="1" x14ac:dyDescent="0.3">
      <c r="F330" s="39" t="s">
        <v>513</v>
      </c>
    </row>
    <row r="331" spans="4:7" ht="14.45" customHeight="1" outlineLevel="4" thickBot="1" x14ac:dyDescent="0.3"/>
    <row r="332" spans="4:7" ht="14.45" customHeight="1" outlineLevel="3" thickBot="1" x14ac:dyDescent="0.3">
      <c r="F332" s="39" t="s">
        <v>641</v>
      </c>
    </row>
    <row r="333" spans="4:7" ht="14.45" customHeight="1" outlineLevel="4" thickBot="1" x14ac:dyDescent="0.3">
      <c r="G333" s="18" t="s">
        <v>642</v>
      </c>
    </row>
    <row r="334" spans="4:7" ht="14.45" customHeight="1" outlineLevel="4" thickBot="1" x14ac:dyDescent="0.3">
      <c r="G334" s="18" t="s">
        <v>643</v>
      </c>
    </row>
    <row r="335" spans="4:7" ht="14.45" customHeight="1" outlineLevel="4" thickBot="1" x14ac:dyDescent="0.3">
      <c r="G335" s="18" t="s">
        <v>644</v>
      </c>
    </row>
    <row r="336" spans="4:7" ht="14.45" customHeight="1" outlineLevel="3" thickBot="1" x14ac:dyDescent="0.3">
      <c r="F336" s="39" t="s">
        <v>645</v>
      </c>
    </row>
    <row r="337" spans="5:7" ht="14.45" customHeight="1" outlineLevel="4" thickBot="1" x14ac:dyDescent="0.3">
      <c r="G337" s="18" t="s">
        <v>642</v>
      </c>
    </row>
    <row r="338" spans="5:7" ht="14.45" customHeight="1" outlineLevel="4" thickBot="1" x14ac:dyDescent="0.3">
      <c r="G338" s="18" t="s">
        <v>643</v>
      </c>
    </row>
    <row r="339" spans="5:7" ht="14.45" customHeight="1" outlineLevel="4" thickBot="1" x14ac:dyDescent="0.3">
      <c r="G339" s="18" t="s">
        <v>646</v>
      </c>
    </row>
    <row r="340" spans="5:7" ht="14.45" customHeight="1" outlineLevel="4" thickBot="1" x14ac:dyDescent="0.3">
      <c r="G340" s="18" t="s">
        <v>647</v>
      </c>
    </row>
    <row r="341" spans="5:7" ht="14.45" customHeight="1" outlineLevel="3" thickBot="1" x14ac:dyDescent="0.3">
      <c r="F341" s="39" t="s">
        <v>648</v>
      </c>
    </row>
    <row r="342" spans="5:7" ht="14.45" customHeight="1" outlineLevel="4" thickBot="1" x14ac:dyDescent="0.3">
      <c r="G342" s="18" t="s">
        <v>649</v>
      </c>
    </row>
    <row r="343" spans="5:7" ht="14.45" customHeight="1" outlineLevel="4" thickBot="1" x14ac:dyDescent="0.3">
      <c r="G343" s="18" t="s">
        <v>650</v>
      </c>
    </row>
    <row r="344" spans="5:7" ht="14.45" customHeight="1" outlineLevel="3" thickBot="1" x14ac:dyDescent="0.3">
      <c r="F344" s="39" t="s">
        <v>651</v>
      </c>
    </row>
    <row r="345" spans="5:7" ht="14.45" customHeight="1" outlineLevel="4" thickBot="1" x14ac:dyDescent="0.3">
      <c r="G345" s="18" t="s">
        <v>652</v>
      </c>
    </row>
    <row r="346" spans="5:7" ht="14.45" customHeight="1" outlineLevel="4" thickBot="1" x14ac:dyDescent="0.3">
      <c r="G346" s="18" t="s">
        <v>653</v>
      </c>
    </row>
    <row r="347" spans="5:7" ht="14.45" customHeight="1" outlineLevel="3" thickBot="1" x14ac:dyDescent="0.3"/>
    <row r="348" spans="5:7" ht="14.45" customHeight="1" outlineLevel="2" thickBot="1" x14ac:dyDescent="0.3">
      <c r="E348" s="38" t="s">
        <v>654</v>
      </c>
    </row>
    <row r="349" spans="5:7" ht="14.45" customHeight="1" outlineLevel="3" thickBot="1" x14ac:dyDescent="0.3">
      <c r="F349" s="39" t="s">
        <v>513</v>
      </c>
    </row>
    <row r="350" spans="5:7" ht="14.45" customHeight="1" outlineLevel="4" thickBot="1" x14ac:dyDescent="0.3"/>
    <row r="351" spans="5:7" ht="14.45" customHeight="1" outlineLevel="3" thickBot="1" x14ac:dyDescent="0.3">
      <c r="F351" s="39" t="s">
        <v>655</v>
      </c>
    </row>
    <row r="352" spans="5:7" ht="14.45" customHeight="1" outlineLevel="4" thickBot="1" x14ac:dyDescent="0.3"/>
    <row r="353" spans="5:7" ht="14.45" customHeight="1" outlineLevel="3" thickBot="1" x14ac:dyDescent="0.3">
      <c r="F353" s="39" t="s">
        <v>656</v>
      </c>
    </row>
    <row r="354" spans="5:7" ht="14.45" customHeight="1" outlineLevel="4" thickBot="1" x14ac:dyDescent="0.3">
      <c r="G354" s="18" t="s">
        <v>560</v>
      </c>
    </row>
    <row r="355" spans="5:7" ht="14.45" customHeight="1" outlineLevel="4" thickBot="1" x14ac:dyDescent="0.3">
      <c r="G355" s="18" t="s">
        <v>657</v>
      </c>
    </row>
    <row r="356" spans="5:7" ht="14.45" customHeight="1" outlineLevel="4" thickBot="1" x14ac:dyDescent="0.3">
      <c r="G356" s="18" t="s">
        <v>658</v>
      </c>
    </row>
    <row r="357" spans="5:7" ht="14.45" customHeight="1" outlineLevel="4" thickBot="1" x14ac:dyDescent="0.3">
      <c r="G357" s="18" t="s">
        <v>659</v>
      </c>
    </row>
    <row r="358" spans="5:7" ht="14.45" customHeight="1" outlineLevel="4" thickBot="1" x14ac:dyDescent="0.3">
      <c r="G358" s="18" t="s">
        <v>660</v>
      </c>
    </row>
    <row r="359" spans="5:7" ht="14.45" customHeight="1" outlineLevel="4" thickBot="1" x14ac:dyDescent="0.3">
      <c r="G359" s="18" t="s">
        <v>661</v>
      </c>
    </row>
    <row r="360" spans="5:7" ht="14.45" customHeight="1" outlineLevel="3" thickBot="1" x14ac:dyDescent="0.3"/>
    <row r="361" spans="5:7" ht="14.45" customHeight="1" outlineLevel="2" thickBot="1" x14ac:dyDescent="0.3">
      <c r="E361" s="38" t="s">
        <v>662</v>
      </c>
    </row>
    <row r="362" spans="5:7" ht="14.45" customHeight="1" outlineLevel="3" thickBot="1" x14ac:dyDescent="0.3">
      <c r="F362" s="39" t="s">
        <v>513</v>
      </c>
    </row>
    <row r="363" spans="5:7" ht="14.45" customHeight="1" outlineLevel="4" thickBot="1" x14ac:dyDescent="0.3"/>
    <row r="364" spans="5:7" ht="14.45" customHeight="1" outlineLevel="3" thickBot="1" x14ac:dyDescent="0.3">
      <c r="F364" s="39" t="s">
        <v>663</v>
      </c>
    </row>
    <row r="365" spans="5:7" ht="14.45" customHeight="1" outlineLevel="4" thickBot="1" x14ac:dyDescent="0.3">
      <c r="G365" s="18" t="s">
        <v>664</v>
      </c>
    </row>
    <row r="366" spans="5:7" ht="14.45" customHeight="1" outlineLevel="4" thickBot="1" x14ac:dyDescent="0.3">
      <c r="G366" s="18" t="s">
        <v>665</v>
      </c>
    </row>
    <row r="367" spans="5:7" ht="14.45" customHeight="1" outlineLevel="3" thickBot="1" x14ac:dyDescent="0.3">
      <c r="F367" s="39" t="s">
        <v>666</v>
      </c>
    </row>
    <row r="368" spans="5:7" ht="14.45" customHeight="1" outlineLevel="4" thickBot="1" x14ac:dyDescent="0.3">
      <c r="G368" s="18" t="s">
        <v>667</v>
      </c>
    </row>
    <row r="369" spans="3:7" ht="14.45" customHeight="1" outlineLevel="4" thickBot="1" x14ac:dyDescent="0.3">
      <c r="G369" s="18" t="s">
        <v>668</v>
      </c>
    </row>
    <row r="370" spans="3:7" ht="14.45" customHeight="1" outlineLevel="3" thickBot="1" x14ac:dyDescent="0.3">
      <c r="F370" s="39" t="s">
        <v>669</v>
      </c>
    </row>
    <row r="371" spans="3:7" ht="14.45" customHeight="1" outlineLevel="4" thickBot="1" x14ac:dyDescent="0.3">
      <c r="G371" s="18" t="s">
        <v>670</v>
      </c>
    </row>
    <row r="372" spans="3:7" ht="14.45" customHeight="1" outlineLevel="4" thickBot="1" x14ac:dyDescent="0.3">
      <c r="G372" s="18" t="s">
        <v>671</v>
      </c>
    </row>
    <row r="373" spans="3:7" ht="14.45" customHeight="1" outlineLevel="4" thickBot="1" x14ac:dyDescent="0.3">
      <c r="G373" s="18" t="s">
        <v>672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6" t="s">
        <v>673</v>
      </c>
      <c r="D377" s="36"/>
    </row>
    <row r="378" spans="3:7" ht="14.45" customHeight="1" outlineLevel="1" thickBot="1" x14ac:dyDescent="0.3">
      <c r="D378" s="37" t="s">
        <v>28</v>
      </c>
      <c r="E378" s="37"/>
    </row>
    <row r="379" spans="3:7" ht="14.45" customHeight="1" outlineLevel="2" thickBot="1" x14ac:dyDescent="0.3">
      <c r="E379" s="38" t="s">
        <v>674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8" t="s">
        <v>675</v>
      </c>
    </row>
    <row r="383" spans="3:7" ht="14.45" customHeight="1" outlineLevel="3" thickBot="1" x14ac:dyDescent="0.3">
      <c r="F383" s="39" t="s">
        <v>676</v>
      </c>
    </row>
    <row r="384" spans="3:7" ht="14.45" customHeight="1" outlineLevel="4" thickBot="1" x14ac:dyDescent="0.3"/>
    <row r="385" spans="4:6" ht="14.45" customHeight="1" outlineLevel="3" thickBot="1" x14ac:dyDescent="0.3">
      <c r="F385" s="39" t="s">
        <v>677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7" t="s">
        <v>30</v>
      </c>
      <c r="E389" s="37"/>
    </row>
    <row r="390" spans="4:6" ht="14.45" customHeight="1" outlineLevel="2" thickBot="1" x14ac:dyDescent="0.3">
      <c r="E390" s="38" t="s">
        <v>678</v>
      </c>
    </row>
    <row r="391" spans="4:6" ht="14.45" customHeight="1" outlineLevel="3" thickBot="1" x14ac:dyDescent="0.3">
      <c r="F391" s="39" t="s">
        <v>679</v>
      </c>
    </row>
    <row r="392" spans="4:6" ht="14.45" customHeight="1" outlineLevel="4" thickBot="1" x14ac:dyDescent="0.3"/>
    <row r="393" spans="4:6" ht="14.45" customHeight="1" outlineLevel="3" thickBot="1" x14ac:dyDescent="0.3">
      <c r="F393" s="39" t="s">
        <v>680</v>
      </c>
    </row>
    <row r="394" spans="4:6" ht="14.45" customHeight="1" outlineLevel="4" thickBot="1" x14ac:dyDescent="0.3"/>
    <row r="395" spans="4:6" ht="14.45" customHeight="1" outlineLevel="3" thickBot="1" x14ac:dyDescent="0.3">
      <c r="F395" s="39" t="s">
        <v>681</v>
      </c>
    </row>
    <row r="396" spans="4:6" ht="14.45" customHeight="1" outlineLevel="4" thickBot="1" x14ac:dyDescent="0.3"/>
    <row r="397" spans="4:6" ht="14.45" customHeight="1" outlineLevel="3" thickBot="1" x14ac:dyDescent="0.3">
      <c r="F397" s="39" t="s">
        <v>682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8" t="s">
        <v>683</v>
      </c>
    </row>
    <row r="401" spans="6:7" ht="14.45" customHeight="1" outlineLevel="3" thickBot="1" x14ac:dyDescent="0.3">
      <c r="F401" s="39" t="s">
        <v>684</v>
      </c>
    </row>
    <row r="402" spans="6:7" ht="14.45" customHeight="1" outlineLevel="4" thickBot="1" x14ac:dyDescent="0.3"/>
    <row r="403" spans="6:7" ht="14.45" customHeight="1" outlineLevel="3" thickBot="1" x14ac:dyDescent="0.3">
      <c r="F403" s="39" t="s">
        <v>685</v>
      </c>
    </row>
    <row r="404" spans="6:7" ht="14.45" customHeight="1" outlineLevel="4" thickBot="1" x14ac:dyDescent="0.3">
      <c r="G404" s="18" t="s">
        <v>686</v>
      </c>
    </row>
    <row r="405" spans="6:7" ht="14.45" customHeight="1" outlineLevel="4" thickBot="1" x14ac:dyDescent="0.3">
      <c r="G405" s="18" t="s">
        <v>687</v>
      </c>
    </row>
    <row r="406" spans="6:7" ht="14.45" customHeight="1" outlineLevel="4" thickBot="1" x14ac:dyDescent="0.3">
      <c r="G406" s="18" t="s">
        <v>688</v>
      </c>
    </row>
    <row r="407" spans="6:7" ht="14.45" customHeight="1" outlineLevel="4" thickBot="1" x14ac:dyDescent="0.3">
      <c r="G407" s="18" t="s">
        <v>689</v>
      </c>
    </row>
    <row r="408" spans="6:7" ht="14.45" customHeight="1" outlineLevel="3" thickBot="1" x14ac:dyDescent="0.3">
      <c r="F408" s="39" t="s">
        <v>690</v>
      </c>
    </row>
    <row r="409" spans="6:7" ht="14.45" customHeight="1" outlineLevel="4" thickBot="1" x14ac:dyDescent="0.3">
      <c r="G409" s="18" t="s">
        <v>691</v>
      </c>
    </row>
    <row r="410" spans="6:7" ht="14.45" customHeight="1" outlineLevel="4" thickBot="1" x14ac:dyDescent="0.3">
      <c r="G410" s="18" t="s">
        <v>692</v>
      </c>
    </row>
    <row r="411" spans="6:7" ht="14.45" customHeight="1" outlineLevel="3" thickBot="1" x14ac:dyDescent="0.3">
      <c r="F411" s="39" t="s">
        <v>693</v>
      </c>
    </row>
    <row r="412" spans="6:7" ht="14.45" customHeight="1" outlineLevel="4" thickBot="1" x14ac:dyDescent="0.3">
      <c r="G412" s="18" t="s">
        <v>694</v>
      </c>
    </row>
    <row r="413" spans="6:7" ht="14.45" customHeight="1" outlineLevel="4" thickBot="1" x14ac:dyDescent="0.3">
      <c r="G413" s="18" t="s">
        <v>695</v>
      </c>
    </row>
    <row r="414" spans="6:7" ht="14.45" customHeight="1" outlineLevel="3" thickBot="1" x14ac:dyDescent="0.3">
      <c r="F414" s="39" t="s">
        <v>696</v>
      </c>
    </row>
    <row r="415" spans="6:7" ht="14.45" customHeight="1" outlineLevel="4" thickBot="1" x14ac:dyDescent="0.3">
      <c r="G415" s="18" t="s">
        <v>697</v>
      </c>
    </row>
    <row r="416" spans="6:7" ht="14.45" customHeight="1" outlineLevel="4" thickBot="1" x14ac:dyDescent="0.3">
      <c r="G416" s="18" t="s">
        <v>698</v>
      </c>
    </row>
    <row r="417" spans="4:7" ht="14.45" customHeight="1" outlineLevel="4" thickBot="1" x14ac:dyDescent="0.3">
      <c r="G417" s="18" t="s">
        <v>699</v>
      </c>
    </row>
    <row r="418" spans="4:7" ht="14.45" customHeight="1" outlineLevel="3" thickBot="1" x14ac:dyDescent="0.3">
      <c r="F418" s="39" t="s">
        <v>700</v>
      </c>
    </row>
    <row r="419" spans="4:7" ht="14.45" customHeight="1" outlineLevel="4" thickBot="1" x14ac:dyDescent="0.3">
      <c r="G419" s="18" t="s">
        <v>544</v>
      </c>
    </row>
    <row r="420" spans="4:7" ht="14.45" customHeight="1" outlineLevel="4" thickBot="1" x14ac:dyDescent="0.3">
      <c r="G420" s="18" t="s">
        <v>545</v>
      </c>
    </row>
    <row r="421" spans="4:7" ht="14.45" customHeight="1" outlineLevel="4" thickBot="1" x14ac:dyDescent="0.3">
      <c r="G421" s="18" t="s">
        <v>701</v>
      </c>
    </row>
    <row r="422" spans="4:7" ht="14.45" customHeight="1" outlineLevel="4" thickBot="1" x14ac:dyDescent="0.3">
      <c r="G422" s="18" t="s">
        <v>547</v>
      </c>
    </row>
    <row r="423" spans="4:7" ht="14.45" customHeight="1" outlineLevel="3" thickBot="1" x14ac:dyDescent="0.3">
      <c r="F423" s="39" t="s">
        <v>702</v>
      </c>
    </row>
    <row r="424" spans="4:7" ht="14.45" customHeight="1" outlineLevel="4" thickBot="1" x14ac:dyDescent="0.3">
      <c r="G424" s="18" t="s">
        <v>703</v>
      </c>
    </row>
    <row r="425" spans="4:7" ht="14.45" customHeight="1" outlineLevel="4" thickBot="1" x14ac:dyDescent="0.3">
      <c r="G425" s="18" t="s">
        <v>704</v>
      </c>
    </row>
    <row r="426" spans="4:7" ht="14.45" customHeight="1" outlineLevel="4" thickBot="1" x14ac:dyDescent="0.3">
      <c r="G426" s="18" t="s">
        <v>705</v>
      </c>
    </row>
    <row r="427" spans="4:7" ht="14.45" customHeight="1" outlineLevel="4" thickBot="1" x14ac:dyDescent="0.3">
      <c r="G427" s="18" t="s">
        <v>706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7" t="s">
        <v>33</v>
      </c>
      <c r="E430" s="37"/>
    </row>
    <row r="431" spans="4:7" ht="14.45" customHeight="1" outlineLevel="2" thickBot="1" x14ac:dyDescent="0.3">
      <c r="E431" s="38" t="s">
        <v>707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8" t="s">
        <v>708</v>
      </c>
    </row>
    <row r="435" spans="5:7" ht="14.45" customHeight="1" outlineLevel="3" thickBot="1" x14ac:dyDescent="0.3">
      <c r="F435" s="39" t="s">
        <v>709</v>
      </c>
    </row>
    <row r="436" spans="5:7" ht="14.45" customHeight="1" outlineLevel="4" thickBot="1" x14ac:dyDescent="0.3">
      <c r="G436" s="18" t="s">
        <v>710</v>
      </c>
    </row>
    <row r="437" spans="5:7" ht="14.45" customHeight="1" outlineLevel="4" thickBot="1" x14ac:dyDescent="0.3">
      <c r="G437" s="18" t="s">
        <v>711</v>
      </c>
    </row>
    <row r="438" spans="5:7" ht="14.45" customHeight="1" outlineLevel="4" thickBot="1" x14ac:dyDescent="0.3">
      <c r="G438" s="18" t="s">
        <v>712</v>
      </c>
    </row>
    <row r="439" spans="5:7" ht="14.45" customHeight="1" outlineLevel="3" thickBot="1" x14ac:dyDescent="0.3">
      <c r="F439" s="39" t="s">
        <v>713</v>
      </c>
    </row>
    <row r="440" spans="5:7" ht="14.45" customHeight="1" outlineLevel="4" thickBot="1" x14ac:dyDescent="0.3">
      <c r="G440" s="18" t="s">
        <v>714</v>
      </c>
    </row>
    <row r="441" spans="5:7" ht="14.45" customHeight="1" outlineLevel="4" thickBot="1" x14ac:dyDescent="0.3">
      <c r="G441" s="18" t="s">
        <v>715</v>
      </c>
    </row>
    <row r="442" spans="5:7" ht="14.45" customHeight="1" outlineLevel="3" thickBot="1" x14ac:dyDescent="0.3">
      <c r="F442" s="39" t="s">
        <v>716</v>
      </c>
    </row>
    <row r="443" spans="5:7" ht="14.45" customHeight="1" outlineLevel="4" thickBot="1" x14ac:dyDescent="0.3">
      <c r="G443" s="18" t="s">
        <v>717</v>
      </c>
    </row>
    <row r="444" spans="5:7" ht="14.45" customHeight="1" outlineLevel="4" thickBot="1" x14ac:dyDescent="0.3">
      <c r="G444" s="18" t="s">
        <v>718</v>
      </c>
    </row>
    <row r="445" spans="5:7" ht="14.45" customHeight="1" outlineLevel="3" thickBot="1" x14ac:dyDescent="0.3">
      <c r="F445" s="39" t="s">
        <v>719</v>
      </c>
    </row>
    <row r="446" spans="5:7" ht="14.45" customHeight="1" outlineLevel="4" thickBot="1" x14ac:dyDescent="0.3">
      <c r="G446" s="18" t="s">
        <v>720</v>
      </c>
    </row>
    <row r="447" spans="5:7" ht="14.45" customHeight="1" outlineLevel="4" thickBot="1" x14ac:dyDescent="0.3">
      <c r="G447" s="18" t="s">
        <v>721</v>
      </c>
    </row>
    <row r="448" spans="5:7" ht="14.45" customHeight="1" outlineLevel="3" thickBot="1" x14ac:dyDescent="0.3">
      <c r="F448" s="39" t="s">
        <v>722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8" t="s">
        <v>723</v>
      </c>
    </row>
    <row r="452" spans="4:7" ht="14.45" customHeight="1" outlineLevel="3" thickBot="1" x14ac:dyDescent="0.3">
      <c r="F452" s="39" t="s">
        <v>724</v>
      </c>
    </row>
    <row r="453" spans="4:7" ht="14.45" customHeight="1" outlineLevel="4" thickBot="1" x14ac:dyDescent="0.3">
      <c r="G453" s="18" t="s">
        <v>725</v>
      </c>
    </row>
    <row r="454" spans="4:7" ht="14.45" customHeight="1" outlineLevel="4" thickBot="1" x14ac:dyDescent="0.3">
      <c r="G454" s="18" t="s">
        <v>726</v>
      </c>
    </row>
    <row r="455" spans="4:7" ht="14.45" customHeight="1" outlineLevel="3" thickBot="1" x14ac:dyDescent="0.3">
      <c r="F455" s="39" t="s">
        <v>727</v>
      </c>
    </row>
    <row r="456" spans="4:7" ht="14.45" customHeight="1" outlineLevel="4" thickBot="1" x14ac:dyDescent="0.3">
      <c r="G456" s="18" t="s">
        <v>728</v>
      </c>
    </row>
    <row r="457" spans="4:7" ht="14.45" customHeight="1" outlineLevel="4" thickBot="1" x14ac:dyDescent="0.3">
      <c r="G457" s="18" t="s">
        <v>729</v>
      </c>
    </row>
    <row r="458" spans="4:7" ht="14.45" customHeight="1" outlineLevel="4" thickBot="1" x14ac:dyDescent="0.3">
      <c r="G458" s="18" t="s">
        <v>730</v>
      </c>
    </row>
    <row r="459" spans="4:7" ht="14.45" customHeight="1" outlineLevel="4" thickBot="1" x14ac:dyDescent="0.3">
      <c r="G459" s="18" t="s">
        <v>731</v>
      </c>
    </row>
    <row r="460" spans="4:7" ht="14.45" customHeight="1" outlineLevel="3" thickBot="1" x14ac:dyDescent="0.3">
      <c r="F460" s="39" t="s">
        <v>732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7" t="s">
        <v>34</v>
      </c>
      <c r="E464" s="37"/>
    </row>
    <row r="465" spans="5:7" ht="14.45" customHeight="1" outlineLevel="2" thickBot="1" x14ac:dyDescent="0.3">
      <c r="E465" s="38" t="s">
        <v>733</v>
      </c>
    </row>
    <row r="466" spans="5:7" ht="14.45" customHeight="1" outlineLevel="3" thickBot="1" x14ac:dyDescent="0.3">
      <c r="F466" s="39" t="s">
        <v>559</v>
      </c>
    </row>
    <row r="467" spans="5:7" ht="14.45" customHeight="1" outlineLevel="4" thickBot="1" x14ac:dyDescent="0.3">
      <c r="G467" s="18" t="s">
        <v>734</v>
      </c>
    </row>
    <row r="468" spans="5:7" ht="14.45" customHeight="1" outlineLevel="4" thickBot="1" x14ac:dyDescent="0.3">
      <c r="G468" s="18" t="s">
        <v>735</v>
      </c>
    </row>
    <row r="469" spans="5:7" ht="14.45" customHeight="1" outlineLevel="3" thickBot="1" x14ac:dyDescent="0.3">
      <c r="F469" s="39" t="s">
        <v>736</v>
      </c>
    </row>
    <row r="470" spans="5:7" ht="14.45" customHeight="1" outlineLevel="4" thickBot="1" x14ac:dyDescent="0.3">
      <c r="G470" s="18" t="s">
        <v>613</v>
      </c>
    </row>
    <row r="471" spans="5:7" ht="14.45" customHeight="1" outlineLevel="4" thickBot="1" x14ac:dyDescent="0.3">
      <c r="G471" s="18" t="s">
        <v>614</v>
      </c>
    </row>
    <row r="472" spans="5:7" ht="14.45" customHeight="1" outlineLevel="4" thickBot="1" x14ac:dyDescent="0.3">
      <c r="G472" s="18" t="s">
        <v>615</v>
      </c>
    </row>
    <row r="473" spans="5:7" ht="14.45" customHeight="1" outlineLevel="3" thickBot="1" x14ac:dyDescent="0.3"/>
    <row r="474" spans="5:7" ht="14.45" customHeight="1" outlineLevel="2" thickBot="1" x14ac:dyDescent="0.3">
      <c r="E474" s="38" t="s">
        <v>737</v>
      </c>
    </row>
    <row r="475" spans="5:7" ht="14.45" customHeight="1" outlineLevel="3" thickBot="1" x14ac:dyDescent="0.3">
      <c r="F475" s="39" t="s">
        <v>738</v>
      </c>
    </row>
    <row r="476" spans="5:7" ht="14.45" customHeight="1" outlineLevel="4" thickBot="1" x14ac:dyDescent="0.3"/>
    <row r="477" spans="5:7" ht="14.45" customHeight="1" outlineLevel="3" thickBot="1" x14ac:dyDescent="0.3">
      <c r="F477" s="39" t="s">
        <v>739</v>
      </c>
    </row>
    <row r="478" spans="5:7" ht="14.45" customHeight="1" outlineLevel="4" thickBot="1" x14ac:dyDescent="0.3">
      <c r="G478" s="18" t="s">
        <v>670</v>
      </c>
    </row>
    <row r="479" spans="5:7" ht="14.45" customHeight="1" outlineLevel="4" thickBot="1" x14ac:dyDescent="0.3">
      <c r="G479" s="18" t="s">
        <v>671</v>
      </c>
    </row>
    <row r="480" spans="5:7" ht="14.45" customHeight="1" outlineLevel="4" thickBot="1" x14ac:dyDescent="0.3">
      <c r="G480" s="18" t="s">
        <v>672</v>
      </c>
    </row>
    <row r="481" spans="6:7" ht="14.45" customHeight="1" outlineLevel="3" thickBot="1" x14ac:dyDescent="0.3">
      <c r="F481" s="39" t="s">
        <v>740</v>
      </c>
    </row>
    <row r="482" spans="6:7" ht="14.45" customHeight="1" outlineLevel="4" thickBot="1" x14ac:dyDescent="0.3"/>
    <row r="483" spans="6:7" ht="14.45" customHeight="1" outlineLevel="3" thickBot="1" x14ac:dyDescent="0.3">
      <c r="F483" s="39" t="s">
        <v>741</v>
      </c>
    </row>
    <row r="484" spans="6:7" ht="14.45" customHeight="1" outlineLevel="4" thickBot="1" x14ac:dyDescent="0.3">
      <c r="G484" s="18" t="s">
        <v>544</v>
      </c>
    </row>
    <row r="485" spans="6:7" ht="14.45" customHeight="1" outlineLevel="4" thickBot="1" x14ac:dyDescent="0.3">
      <c r="G485" s="18" t="s">
        <v>545</v>
      </c>
    </row>
    <row r="486" spans="6:7" ht="14.45" customHeight="1" outlineLevel="4" thickBot="1" x14ac:dyDescent="0.3">
      <c r="G486" s="18" t="s">
        <v>546</v>
      </c>
    </row>
    <row r="487" spans="6:7" ht="14.45" customHeight="1" outlineLevel="4" thickBot="1" x14ac:dyDescent="0.3">
      <c r="G487" s="18" t="s">
        <v>547</v>
      </c>
    </row>
    <row r="488" spans="6:7" ht="14.45" customHeight="1" outlineLevel="3" thickBot="1" x14ac:dyDescent="0.3">
      <c r="F488" s="39" t="s">
        <v>742</v>
      </c>
    </row>
    <row r="489" spans="6:7" ht="14.45" customHeight="1" outlineLevel="4" thickBot="1" x14ac:dyDescent="0.3">
      <c r="G489" s="18" t="s">
        <v>544</v>
      </c>
    </row>
    <row r="490" spans="6:7" ht="14.45" customHeight="1" outlineLevel="4" thickBot="1" x14ac:dyDescent="0.3">
      <c r="G490" s="18" t="s">
        <v>545</v>
      </c>
    </row>
    <row r="491" spans="6:7" ht="14.45" customHeight="1" outlineLevel="4" thickBot="1" x14ac:dyDescent="0.3">
      <c r="G491" s="18" t="s">
        <v>546</v>
      </c>
    </row>
    <row r="492" spans="6:7" ht="14.45" customHeight="1" outlineLevel="4" thickBot="1" x14ac:dyDescent="0.3">
      <c r="G492" s="18" t="s">
        <v>547</v>
      </c>
    </row>
    <row r="493" spans="6:7" ht="14.45" customHeight="1" outlineLevel="3" thickBot="1" x14ac:dyDescent="0.3">
      <c r="F493" s="39" t="s">
        <v>743</v>
      </c>
    </row>
    <row r="494" spans="6:7" ht="14.45" customHeight="1" outlineLevel="4" thickBot="1" x14ac:dyDescent="0.3">
      <c r="G494" s="18" t="s">
        <v>544</v>
      </c>
    </row>
    <row r="495" spans="6:7" ht="14.45" customHeight="1" outlineLevel="4" thickBot="1" x14ac:dyDescent="0.3">
      <c r="G495" s="18" t="s">
        <v>545</v>
      </c>
    </row>
    <row r="496" spans="6:7" ht="14.45" customHeight="1" outlineLevel="4" thickBot="1" x14ac:dyDescent="0.3">
      <c r="G496" s="18" t="s">
        <v>546</v>
      </c>
    </row>
    <row r="497" spans="4:7" ht="14.45" customHeight="1" outlineLevel="4" thickBot="1" x14ac:dyDescent="0.3">
      <c r="G497" s="18" t="s">
        <v>547</v>
      </c>
    </row>
    <row r="498" spans="4:7" ht="14.45" customHeight="1" outlineLevel="3" thickBot="1" x14ac:dyDescent="0.3">
      <c r="F498" s="39" t="s">
        <v>744</v>
      </c>
    </row>
    <row r="499" spans="4:7" ht="14.45" customHeight="1" outlineLevel="4" thickBot="1" x14ac:dyDescent="0.3">
      <c r="G499" s="18" t="s">
        <v>544</v>
      </c>
    </row>
    <row r="500" spans="4:7" ht="14.45" customHeight="1" outlineLevel="4" thickBot="1" x14ac:dyDescent="0.3">
      <c r="G500" s="18" t="s">
        <v>545</v>
      </c>
    </row>
    <row r="501" spans="4:7" ht="14.45" customHeight="1" outlineLevel="4" thickBot="1" x14ac:dyDescent="0.3">
      <c r="G501" s="18" t="s">
        <v>546</v>
      </c>
    </row>
    <row r="502" spans="4:7" ht="14.45" customHeight="1" outlineLevel="4" thickBot="1" x14ac:dyDescent="0.3">
      <c r="G502" s="18" t="s">
        <v>547</v>
      </c>
    </row>
    <row r="503" spans="4:7" ht="14.45" customHeight="1" outlineLevel="3" thickBot="1" x14ac:dyDescent="0.3">
      <c r="F503" s="39" t="s">
        <v>745</v>
      </c>
    </row>
    <row r="504" spans="4:7" ht="14.45" customHeight="1" outlineLevel="4" thickBot="1" x14ac:dyDescent="0.3"/>
    <row r="505" spans="4:7" ht="14.45" customHeight="1" outlineLevel="3" thickBot="1" x14ac:dyDescent="0.3">
      <c r="F505" s="39" t="s">
        <v>746</v>
      </c>
    </row>
    <row r="506" spans="4:7" ht="14.45" customHeight="1" outlineLevel="4" thickBot="1" x14ac:dyDescent="0.3">
      <c r="G506" s="18" t="s">
        <v>544</v>
      </c>
    </row>
    <row r="507" spans="4:7" ht="14.45" customHeight="1" outlineLevel="4" thickBot="1" x14ac:dyDescent="0.3">
      <c r="G507" s="18" t="s">
        <v>545</v>
      </c>
    </row>
    <row r="508" spans="4:7" ht="14.45" customHeight="1" outlineLevel="4" thickBot="1" x14ac:dyDescent="0.3">
      <c r="G508" s="18" t="s">
        <v>546</v>
      </c>
    </row>
    <row r="509" spans="4:7" ht="14.45" customHeight="1" outlineLevel="4" thickBot="1" x14ac:dyDescent="0.3">
      <c r="G509" s="18" t="s">
        <v>547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7" t="s">
        <v>36</v>
      </c>
      <c r="E512" s="37"/>
    </row>
    <row r="513" spans="4:6" ht="14.45" customHeight="1" outlineLevel="2" thickBot="1" x14ac:dyDescent="0.3">
      <c r="E513" s="38" t="s">
        <v>747</v>
      </c>
    </row>
    <row r="514" spans="4:6" ht="14.45" customHeight="1" outlineLevel="3" thickBot="1" x14ac:dyDescent="0.3">
      <c r="F514" s="39" t="s">
        <v>748</v>
      </c>
    </row>
    <row r="515" spans="4:6" ht="14.45" customHeight="1" outlineLevel="4" thickBot="1" x14ac:dyDescent="0.3"/>
    <row r="516" spans="4:6" ht="14.45" customHeight="1" outlineLevel="3" thickBot="1" x14ac:dyDescent="0.3">
      <c r="F516" s="39" t="s">
        <v>749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8" t="s">
        <v>750</v>
      </c>
    </row>
    <row r="520" spans="4:6" ht="14.45" customHeight="1" outlineLevel="3" thickBot="1" x14ac:dyDescent="0.3">
      <c r="F520" s="39" t="s">
        <v>751</v>
      </c>
    </row>
    <row r="521" spans="4:6" ht="14.45" customHeight="1" outlineLevel="4" thickBot="1" x14ac:dyDescent="0.3"/>
    <row r="522" spans="4:6" ht="14.45" customHeight="1" outlineLevel="3" thickBot="1" x14ac:dyDescent="0.3">
      <c r="F522" s="39" t="s">
        <v>752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7" t="s">
        <v>38</v>
      </c>
      <c r="E526" s="37"/>
    </row>
    <row r="527" spans="4:6" ht="14.45" customHeight="1" outlineLevel="2" thickBot="1" x14ac:dyDescent="0.3">
      <c r="E527" s="38" t="s">
        <v>753</v>
      </c>
    </row>
    <row r="528" spans="4:6" ht="14.45" customHeight="1" outlineLevel="3" thickBot="1" x14ac:dyDescent="0.3">
      <c r="F528" s="39" t="s">
        <v>513</v>
      </c>
    </row>
    <row r="529" spans="5:6" ht="14.45" customHeight="1" outlineLevel="4" thickBot="1" x14ac:dyDescent="0.3"/>
    <row r="530" spans="5:6" ht="14.45" customHeight="1" outlineLevel="3" thickBot="1" x14ac:dyDescent="0.3">
      <c r="F530" s="39" t="s">
        <v>754</v>
      </c>
    </row>
    <row r="531" spans="5:6" ht="14.45" customHeight="1" outlineLevel="4" thickBot="1" x14ac:dyDescent="0.3"/>
    <row r="532" spans="5:6" ht="14.45" customHeight="1" outlineLevel="3" thickBot="1" x14ac:dyDescent="0.3">
      <c r="F532" s="39" t="s">
        <v>755</v>
      </c>
    </row>
    <row r="533" spans="5:6" ht="14.45" customHeight="1" outlineLevel="4" thickBot="1" x14ac:dyDescent="0.3"/>
    <row r="534" spans="5:6" ht="14.45" customHeight="1" outlineLevel="3" thickBot="1" x14ac:dyDescent="0.3">
      <c r="F534" s="39" t="s">
        <v>756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8" t="s">
        <v>757</v>
      </c>
    </row>
    <row r="538" spans="5:6" ht="14.45" customHeight="1" outlineLevel="3" thickBot="1" x14ac:dyDescent="0.3">
      <c r="F538" s="39" t="s">
        <v>758</v>
      </c>
    </row>
    <row r="539" spans="5:6" ht="14.45" customHeight="1" outlineLevel="4" thickBot="1" x14ac:dyDescent="0.3"/>
    <row r="540" spans="5:6" ht="14.45" customHeight="1" outlineLevel="3" thickBot="1" x14ac:dyDescent="0.3">
      <c r="F540" s="39" t="s">
        <v>759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8" t="s">
        <v>760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7" t="s">
        <v>41</v>
      </c>
      <c r="E547" s="37"/>
    </row>
    <row r="548" spans="4:7" ht="14.45" customHeight="1" outlineLevel="2" thickBot="1" x14ac:dyDescent="0.3">
      <c r="E548" s="38" t="s">
        <v>761</v>
      </c>
    </row>
    <row r="549" spans="4:7" ht="14.45" customHeight="1" outlineLevel="3" thickBot="1" x14ac:dyDescent="0.3">
      <c r="F549" s="39" t="s">
        <v>513</v>
      </c>
    </row>
    <row r="550" spans="4:7" ht="14.45" customHeight="1" outlineLevel="4" thickBot="1" x14ac:dyDescent="0.3"/>
    <row r="551" spans="4:7" ht="14.45" customHeight="1" outlineLevel="3" thickBot="1" x14ac:dyDescent="0.3">
      <c r="F551" s="39" t="s">
        <v>762</v>
      </c>
    </row>
    <row r="552" spans="4:7" ht="14.45" customHeight="1" outlineLevel="4" thickBot="1" x14ac:dyDescent="0.3"/>
    <row r="553" spans="4:7" ht="14.45" customHeight="1" outlineLevel="3" thickBot="1" x14ac:dyDescent="0.3">
      <c r="F553" s="39" t="s">
        <v>763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8" t="s">
        <v>764</v>
      </c>
    </row>
    <row r="557" spans="4:7" ht="14.45" customHeight="1" outlineLevel="3" thickBot="1" x14ac:dyDescent="0.3">
      <c r="F557" s="39" t="s">
        <v>765</v>
      </c>
    </row>
    <row r="558" spans="4:7" ht="14.45" customHeight="1" outlineLevel="4" thickBot="1" x14ac:dyDescent="0.3"/>
    <row r="559" spans="4:7" ht="14.45" customHeight="1" outlineLevel="3" thickBot="1" x14ac:dyDescent="0.3">
      <c r="F559" s="39" t="s">
        <v>766</v>
      </c>
    </row>
    <row r="560" spans="4:7" ht="14.45" customHeight="1" outlineLevel="4" thickBot="1" x14ac:dyDescent="0.3">
      <c r="G560" s="18" t="s">
        <v>767</v>
      </c>
    </row>
    <row r="561" spans="5:7" ht="14.45" customHeight="1" outlineLevel="4" thickBot="1" x14ac:dyDescent="0.3">
      <c r="G561" s="18" t="s">
        <v>768</v>
      </c>
    </row>
    <row r="562" spans="5:7" ht="14.45" customHeight="1" outlineLevel="4" thickBot="1" x14ac:dyDescent="0.3">
      <c r="G562" s="18" t="s">
        <v>769</v>
      </c>
    </row>
    <row r="563" spans="5:7" ht="14.45" customHeight="1" outlineLevel="3" thickBot="1" x14ac:dyDescent="0.3">
      <c r="F563" s="39" t="s">
        <v>770</v>
      </c>
    </row>
    <row r="564" spans="5:7" ht="14.45" customHeight="1" outlineLevel="4" thickBot="1" x14ac:dyDescent="0.3">
      <c r="G564" s="18" t="s">
        <v>771</v>
      </c>
    </row>
    <row r="565" spans="5:7" ht="14.45" customHeight="1" outlineLevel="4" thickBot="1" x14ac:dyDescent="0.3">
      <c r="G565" s="18" t="s">
        <v>772</v>
      </c>
    </row>
    <row r="566" spans="5:7" ht="14.45" customHeight="1" outlineLevel="3" thickBot="1" x14ac:dyDescent="0.3">
      <c r="F566" s="39" t="s">
        <v>773</v>
      </c>
    </row>
    <row r="567" spans="5:7" ht="14.45" customHeight="1" outlineLevel="4" thickBot="1" x14ac:dyDescent="0.3">
      <c r="G567" s="18" t="s">
        <v>544</v>
      </c>
    </row>
    <row r="568" spans="5:7" ht="14.45" customHeight="1" outlineLevel="4" thickBot="1" x14ac:dyDescent="0.3">
      <c r="G568" s="18" t="s">
        <v>774</v>
      </c>
    </row>
    <row r="569" spans="5:7" ht="14.45" customHeight="1" outlineLevel="4" thickBot="1" x14ac:dyDescent="0.3">
      <c r="G569" s="18" t="s">
        <v>775</v>
      </c>
    </row>
    <row r="570" spans="5:7" ht="14.45" customHeight="1" outlineLevel="3" thickBot="1" x14ac:dyDescent="0.3"/>
    <row r="571" spans="5:7" ht="14.45" customHeight="1" outlineLevel="2" thickBot="1" x14ac:dyDescent="0.3">
      <c r="E571" s="38" t="s">
        <v>776</v>
      </c>
    </row>
    <row r="572" spans="5:7" ht="14.45" customHeight="1" outlineLevel="3" thickBot="1" x14ac:dyDescent="0.3">
      <c r="F572" s="39" t="s">
        <v>513</v>
      </c>
    </row>
    <row r="573" spans="5:7" ht="14.45" customHeight="1" outlineLevel="4" thickBot="1" x14ac:dyDescent="0.3"/>
    <row r="574" spans="5:7" ht="14.45" customHeight="1" outlineLevel="3" thickBot="1" x14ac:dyDescent="0.3">
      <c r="F574" s="39" t="s">
        <v>777</v>
      </c>
    </row>
    <row r="575" spans="5:7" ht="14.45" customHeight="1" outlineLevel="4" thickBot="1" x14ac:dyDescent="0.3">
      <c r="G575" s="18" t="s">
        <v>778</v>
      </c>
    </row>
    <row r="576" spans="5:7" ht="14.45" customHeight="1" outlineLevel="4" thickBot="1" x14ac:dyDescent="0.3">
      <c r="G576" s="18" t="s">
        <v>779</v>
      </c>
    </row>
    <row r="577" spans="4:7" ht="14.45" customHeight="1" outlineLevel="4" thickBot="1" x14ac:dyDescent="0.3">
      <c r="G577" s="18" t="s">
        <v>780</v>
      </c>
    </row>
    <row r="578" spans="4:7" ht="14.45" customHeight="1" outlineLevel="3" thickBot="1" x14ac:dyDescent="0.3">
      <c r="F578" s="39" t="s">
        <v>781</v>
      </c>
    </row>
    <row r="579" spans="4:7" ht="14.45" customHeight="1" outlineLevel="4" thickBot="1" x14ac:dyDescent="0.3">
      <c r="G579" s="18" t="s">
        <v>560</v>
      </c>
    </row>
    <row r="580" spans="4:7" ht="14.45" customHeight="1" outlineLevel="4" thickBot="1" x14ac:dyDescent="0.3">
      <c r="G580" s="18" t="s">
        <v>782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7" t="s">
        <v>43</v>
      </c>
      <c r="E583" s="37"/>
    </row>
    <row r="584" spans="4:7" ht="14.45" customHeight="1" outlineLevel="2" thickBot="1" x14ac:dyDescent="0.3">
      <c r="E584" s="38" t="s">
        <v>469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8" t="s">
        <v>783</v>
      </c>
    </row>
    <row r="588" spans="4:7" ht="14.45" customHeight="1" outlineLevel="3" thickBot="1" x14ac:dyDescent="0.3">
      <c r="F588" s="39" t="s">
        <v>784</v>
      </c>
    </row>
    <row r="589" spans="4:7" ht="14.45" customHeight="1" outlineLevel="4" thickBot="1" x14ac:dyDescent="0.3"/>
    <row r="590" spans="4:7" ht="14.45" customHeight="1" outlineLevel="3" thickBot="1" x14ac:dyDescent="0.3">
      <c r="F590" s="39" t="s">
        <v>785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8" t="s">
        <v>786</v>
      </c>
    </row>
    <row r="594" spans="5:6" ht="14.45" customHeight="1" outlineLevel="3" thickBot="1" x14ac:dyDescent="0.3">
      <c r="F594" s="39" t="s">
        <v>787</v>
      </c>
    </row>
    <row r="595" spans="5:6" ht="14.45" customHeight="1" outlineLevel="4" thickBot="1" x14ac:dyDescent="0.3"/>
    <row r="596" spans="5:6" ht="14.45" customHeight="1" outlineLevel="3" thickBot="1" x14ac:dyDescent="0.3">
      <c r="F596" s="39" t="s">
        <v>788</v>
      </c>
    </row>
    <row r="597" spans="5:6" ht="14.45" customHeight="1" outlineLevel="4" thickBot="1" x14ac:dyDescent="0.3"/>
    <row r="598" spans="5:6" ht="14.45" customHeight="1" outlineLevel="3" thickBot="1" x14ac:dyDescent="0.3">
      <c r="F598" s="39" t="s">
        <v>789</v>
      </c>
    </row>
    <row r="599" spans="5:6" ht="14.45" customHeight="1" outlineLevel="4" thickBot="1" x14ac:dyDescent="0.3"/>
    <row r="600" spans="5:6" ht="14.45" customHeight="1" outlineLevel="3" thickBot="1" x14ac:dyDescent="0.3">
      <c r="F600" s="39" t="s">
        <v>790</v>
      </c>
    </row>
    <row r="601" spans="5:6" ht="14.45" customHeight="1" outlineLevel="4" thickBot="1" x14ac:dyDescent="0.3"/>
    <row r="602" spans="5:6" ht="14.45" customHeight="1" outlineLevel="3" thickBot="1" x14ac:dyDescent="0.3">
      <c r="F602" s="39" t="s">
        <v>791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8" t="s">
        <v>792</v>
      </c>
    </row>
    <row r="606" spans="5:6" ht="14.45" customHeight="1" outlineLevel="3" thickBot="1" x14ac:dyDescent="0.3">
      <c r="F606" s="39" t="s">
        <v>793</v>
      </c>
    </row>
    <row r="607" spans="5:6" ht="14.45" customHeight="1" outlineLevel="4" thickBot="1" x14ac:dyDescent="0.3"/>
    <row r="608" spans="5:6" ht="14.45" customHeight="1" outlineLevel="3" thickBot="1" x14ac:dyDescent="0.3">
      <c r="F608" s="39" t="s">
        <v>794</v>
      </c>
    </row>
    <row r="609" spans="5:6" ht="14.45" customHeight="1" outlineLevel="4" thickBot="1" x14ac:dyDescent="0.3"/>
    <row r="610" spans="5:6" ht="14.45" customHeight="1" outlineLevel="3" thickBot="1" x14ac:dyDescent="0.3">
      <c r="F610" s="39" t="s">
        <v>795</v>
      </c>
    </row>
    <row r="611" spans="5:6" ht="14.45" customHeight="1" outlineLevel="4" thickBot="1" x14ac:dyDescent="0.3"/>
    <row r="612" spans="5:6" ht="14.45" customHeight="1" outlineLevel="3" thickBot="1" x14ac:dyDescent="0.3">
      <c r="F612" s="39" t="s">
        <v>796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8" t="s">
        <v>797</v>
      </c>
    </row>
    <row r="616" spans="5:6" ht="14.45" customHeight="1" outlineLevel="3" thickBot="1" x14ac:dyDescent="0.3">
      <c r="F616" s="39" t="s">
        <v>798</v>
      </c>
    </row>
    <row r="617" spans="5:6" ht="14.45" customHeight="1" outlineLevel="4" thickBot="1" x14ac:dyDescent="0.3"/>
    <row r="618" spans="5:6" ht="14.45" customHeight="1" outlineLevel="3" thickBot="1" x14ac:dyDescent="0.3">
      <c r="F618" s="39" t="s">
        <v>799</v>
      </c>
    </row>
    <row r="619" spans="5:6" ht="14.45" customHeight="1" outlineLevel="4" thickBot="1" x14ac:dyDescent="0.3"/>
    <row r="620" spans="5:6" ht="14.45" customHeight="1" outlineLevel="3" thickBot="1" x14ac:dyDescent="0.3">
      <c r="F620" s="39" t="s">
        <v>800</v>
      </c>
    </row>
    <row r="621" spans="5:6" ht="14.45" customHeight="1" outlineLevel="4" thickBot="1" x14ac:dyDescent="0.3"/>
    <row r="622" spans="5:6" ht="14.45" customHeight="1" outlineLevel="3" thickBot="1" x14ac:dyDescent="0.3">
      <c r="F622" s="39" t="s">
        <v>801</v>
      </c>
    </row>
    <row r="623" spans="5:6" ht="14.45" customHeight="1" outlineLevel="4" thickBot="1" x14ac:dyDescent="0.3"/>
    <row r="624" spans="5:6" ht="14.45" customHeight="1" outlineLevel="3" thickBot="1" x14ac:dyDescent="0.3">
      <c r="F624" s="39" t="s">
        <v>802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8" t="s">
        <v>803</v>
      </c>
    </row>
    <row r="628" spans="5:6" ht="14.45" customHeight="1" outlineLevel="3" thickBot="1" x14ac:dyDescent="0.3">
      <c r="F628" s="39" t="s">
        <v>804</v>
      </c>
    </row>
    <row r="629" spans="5:6" ht="14.45" customHeight="1" outlineLevel="4" thickBot="1" x14ac:dyDescent="0.3"/>
    <row r="630" spans="5:6" ht="14.45" customHeight="1" outlineLevel="3" thickBot="1" x14ac:dyDescent="0.3">
      <c r="F630" s="39" t="s">
        <v>805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8" t="s">
        <v>806</v>
      </c>
    </row>
    <row r="634" spans="5:6" ht="14.45" customHeight="1" outlineLevel="3" thickBot="1" x14ac:dyDescent="0.3">
      <c r="F634" s="39" t="s">
        <v>807</v>
      </c>
    </row>
    <row r="635" spans="5:6" ht="14.45" customHeight="1" outlineLevel="4" thickBot="1" x14ac:dyDescent="0.3"/>
    <row r="636" spans="5:6" ht="14.45" customHeight="1" outlineLevel="3" thickBot="1" x14ac:dyDescent="0.3">
      <c r="F636" s="39" t="s">
        <v>808</v>
      </c>
    </row>
    <row r="637" spans="5:6" ht="14.45" customHeight="1" outlineLevel="4" thickBot="1" x14ac:dyDescent="0.3"/>
    <row r="638" spans="5:6" ht="14.45" customHeight="1" outlineLevel="3" thickBot="1" x14ac:dyDescent="0.3">
      <c r="F638" s="39" t="s">
        <v>809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6" t="s">
        <v>810</v>
      </c>
      <c r="D643" s="36"/>
    </row>
    <row r="644" spans="3:5" ht="14.45" customHeight="1" outlineLevel="1" thickBot="1" x14ac:dyDescent="0.3">
      <c r="D644" s="37" t="s">
        <v>44</v>
      </c>
      <c r="E644" s="37"/>
    </row>
    <row r="645" spans="3:5" ht="14.45" customHeight="1" outlineLevel="2" thickBot="1" x14ac:dyDescent="0.3">
      <c r="E645" s="38" t="s">
        <v>469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8" t="s">
        <v>811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8" t="s">
        <v>812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7" t="s">
        <v>47</v>
      </c>
      <c r="E655" s="37"/>
    </row>
    <row r="656" spans="3:5" ht="14.45" customHeight="1" outlineLevel="2" thickBot="1" x14ac:dyDescent="0.3">
      <c r="E656" s="38" t="s">
        <v>813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8" t="s">
        <v>814</v>
      </c>
    </row>
    <row r="660" spans="5:7" ht="14.45" customHeight="1" outlineLevel="3" thickBot="1" x14ac:dyDescent="0.3">
      <c r="F660" s="39" t="s">
        <v>815</v>
      </c>
    </row>
    <row r="661" spans="5:7" ht="14.45" customHeight="1" outlineLevel="4" thickBot="1" x14ac:dyDescent="0.3"/>
    <row r="662" spans="5:7" ht="14.45" customHeight="1" outlineLevel="3" thickBot="1" x14ac:dyDescent="0.3">
      <c r="F662" s="39" t="s">
        <v>816</v>
      </c>
    </row>
    <row r="663" spans="5:7" ht="14.45" customHeight="1" outlineLevel="4" thickBot="1" x14ac:dyDescent="0.3"/>
    <row r="664" spans="5:7" ht="14.45" customHeight="1" outlineLevel="3" thickBot="1" x14ac:dyDescent="0.3">
      <c r="F664" s="39" t="s">
        <v>817</v>
      </c>
    </row>
    <row r="665" spans="5:7" ht="14.45" customHeight="1" outlineLevel="4" thickBot="1" x14ac:dyDescent="0.3">
      <c r="G665" s="18" t="s">
        <v>818</v>
      </c>
    </row>
    <row r="666" spans="5:7" ht="14.45" customHeight="1" outlineLevel="4" thickBot="1" x14ac:dyDescent="0.3">
      <c r="G666" s="18" t="s">
        <v>819</v>
      </c>
    </row>
    <row r="667" spans="5:7" ht="14.45" customHeight="1" outlineLevel="4" thickBot="1" x14ac:dyDescent="0.3">
      <c r="G667" s="18" t="s">
        <v>820</v>
      </c>
    </row>
    <row r="668" spans="5:7" ht="14.45" customHeight="1" outlineLevel="3" thickBot="1" x14ac:dyDescent="0.3">
      <c r="F668" s="39" t="s">
        <v>821</v>
      </c>
    </row>
    <row r="669" spans="5:7" ht="14.45" customHeight="1" outlineLevel="4" thickBot="1" x14ac:dyDescent="0.3">
      <c r="G669" s="18" t="s">
        <v>818</v>
      </c>
    </row>
    <row r="670" spans="5:7" ht="14.45" customHeight="1" outlineLevel="4" thickBot="1" x14ac:dyDescent="0.3">
      <c r="G670" s="18" t="s">
        <v>822</v>
      </c>
    </row>
    <row r="671" spans="5:7" ht="14.45" customHeight="1" outlineLevel="3" thickBot="1" x14ac:dyDescent="0.3">
      <c r="F671" s="39" t="s">
        <v>823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8" t="s">
        <v>824</v>
      </c>
    </row>
    <row r="675" spans="5:7" ht="14.45" customHeight="1" outlineLevel="3" thickBot="1" x14ac:dyDescent="0.3">
      <c r="F675" s="39" t="s">
        <v>513</v>
      </c>
    </row>
    <row r="676" spans="5:7" ht="14.45" customHeight="1" outlineLevel="4" thickBot="1" x14ac:dyDescent="0.3"/>
    <row r="677" spans="5:7" ht="14.45" customHeight="1" outlineLevel="3" thickBot="1" x14ac:dyDescent="0.3">
      <c r="F677" s="39" t="s">
        <v>825</v>
      </c>
    </row>
    <row r="678" spans="5:7" ht="14.45" customHeight="1" outlineLevel="4" thickBot="1" x14ac:dyDescent="0.3">
      <c r="G678" s="18" t="s">
        <v>826</v>
      </c>
    </row>
    <row r="679" spans="5:7" ht="14.45" customHeight="1" outlineLevel="4" thickBot="1" x14ac:dyDescent="0.3">
      <c r="G679" s="18" t="s">
        <v>827</v>
      </c>
    </row>
    <row r="680" spans="5:7" ht="14.45" customHeight="1" outlineLevel="4" thickBot="1" x14ac:dyDescent="0.3">
      <c r="G680" s="18" t="s">
        <v>828</v>
      </c>
    </row>
    <row r="681" spans="5:7" ht="14.45" customHeight="1" outlineLevel="3" thickBot="1" x14ac:dyDescent="0.3">
      <c r="F681" s="39" t="s">
        <v>829</v>
      </c>
    </row>
    <row r="682" spans="5:7" ht="14.45" customHeight="1" outlineLevel="4" thickBot="1" x14ac:dyDescent="0.3">
      <c r="G682" s="18" t="s">
        <v>830</v>
      </c>
    </row>
    <row r="683" spans="5:7" ht="14.45" customHeight="1" outlineLevel="4" thickBot="1" x14ac:dyDescent="0.3">
      <c r="G683" s="18" t="s">
        <v>831</v>
      </c>
    </row>
    <row r="684" spans="5:7" ht="14.45" customHeight="1" outlineLevel="3" thickBot="1" x14ac:dyDescent="0.3">
      <c r="F684" s="39" t="s">
        <v>832</v>
      </c>
    </row>
    <row r="685" spans="5:7" ht="14.45" customHeight="1" outlineLevel="4" thickBot="1" x14ac:dyDescent="0.3">
      <c r="G685" s="18" t="s">
        <v>833</v>
      </c>
    </row>
    <row r="686" spans="5:7" ht="14.45" customHeight="1" outlineLevel="4" thickBot="1" x14ac:dyDescent="0.3">
      <c r="G686" s="18" t="s">
        <v>834</v>
      </c>
    </row>
    <row r="687" spans="5:7" ht="14.45" customHeight="1" outlineLevel="3" thickBot="1" x14ac:dyDescent="0.3">
      <c r="F687" s="39" t="s">
        <v>835</v>
      </c>
    </row>
    <row r="688" spans="5:7" ht="14.45" customHeight="1" outlineLevel="4" thickBot="1" x14ac:dyDescent="0.3">
      <c r="G688" s="18" t="s">
        <v>836</v>
      </c>
    </row>
    <row r="689" spans="5:7" ht="14.45" customHeight="1" outlineLevel="4" thickBot="1" x14ac:dyDescent="0.3">
      <c r="G689" s="18" t="s">
        <v>837</v>
      </c>
    </row>
    <row r="690" spans="5:7" ht="14.45" customHeight="1" outlineLevel="3" thickBot="1" x14ac:dyDescent="0.3">
      <c r="F690" s="39" t="s">
        <v>838</v>
      </c>
    </row>
    <row r="691" spans="5:7" ht="14.45" customHeight="1" outlineLevel="4" thickBot="1" x14ac:dyDescent="0.3">
      <c r="G691" s="18" t="s">
        <v>839</v>
      </c>
    </row>
    <row r="692" spans="5:7" ht="14.45" customHeight="1" outlineLevel="4" thickBot="1" x14ac:dyDescent="0.3">
      <c r="G692" s="18" t="s">
        <v>840</v>
      </c>
    </row>
    <row r="693" spans="5:7" ht="14.45" customHeight="1" outlineLevel="4" thickBot="1" x14ac:dyDescent="0.3">
      <c r="G693" s="18" t="s">
        <v>841</v>
      </c>
    </row>
    <row r="694" spans="5:7" ht="14.45" customHeight="1" outlineLevel="4" thickBot="1" x14ac:dyDescent="0.3">
      <c r="G694" s="18" t="s">
        <v>842</v>
      </c>
    </row>
    <row r="695" spans="5:7" ht="14.45" customHeight="1" outlineLevel="4" thickBot="1" x14ac:dyDescent="0.3">
      <c r="G695" s="18" t="s">
        <v>843</v>
      </c>
    </row>
    <row r="696" spans="5:7" ht="14.45" customHeight="1" outlineLevel="4" thickBot="1" x14ac:dyDescent="0.3">
      <c r="G696" s="18" t="s">
        <v>844</v>
      </c>
    </row>
    <row r="697" spans="5:7" ht="14.45" customHeight="1" outlineLevel="3" thickBot="1" x14ac:dyDescent="0.3"/>
    <row r="698" spans="5:7" ht="14.45" customHeight="1" outlineLevel="2" thickBot="1" x14ac:dyDescent="0.3">
      <c r="E698" s="38" t="s">
        <v>845</v>
      </c>
    </row>
    <row r="699" spans="5:7" ht="14.45" customHeight="1" outlineLevel="3" thickBot="1" x14ac:dyDescent="0.3">
      <c r="F699" s="39" t="s">
        <v>846</v>
      </c>
    </row>
    <row r="700" spans="5:7" ht="14.45" customHeight="1" outlineLevel="4" thickBot="1" x14ac:dyDescent="0.3"/>
    <row r="701" spans="5:7" ht="14.45" customHeight="1" outlineLevel="3" thickBot="1" x14ac:dyDescent="0.3">
      <c r="F701" s="39" t="s">
        <v>847</v>
      </c>
    </row>
    <row r="702" spans="5:7" ht="14.45" customHeight="1" outlineLevel="4" thickBot="1" x14ac:dyDescent="0.3">
      <c r="G702" s="18" t="s">
        <v>848</v>
      </c>
    </row>
    <row r="703" spans="5:7" ht="14.45" customHeight="1" outlineLevel="4" thickBot="1" x14ac:dyDescent="0.3">
      <c r="G703" s="18" t="s">
        <v>849</v>
      </c>
    </row>
    <row r="704" spans="5:7" ht="14.45" customHeight="1" outlineLevel="4" thickBot="1" x14ac:dyDescent="0.3">
      <c r="G704" s="18" t="s">
        <v>850</v>
      </c>
    </row>
    <row r="705" spans="4:7" ht="14.45" customHeight="1" outlineLevel="3" thickBot="1" x14ac:dyDescent="0.3">
      <c r="F705" s="39" t="s">
        <v>851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7" t="s">
        <v>49</v>
      </c>
      <c r="E709" s="37"/>
    </row>
    <row r="710" spans="4:7" ht="14.45" customHeight="1" outlineLevel="2" thickBot="1" x14ac:dyDescent="0.3">
      <c r="E710" s="38" t="s">
        <v>852</v>
      </c>
    </row>
    <row r="711" spans="4:7" ht="14.45" customHeight="1" outlineLevel="3" thickBot="1" x14ac:dyDescent="0.3">
      <c r="F711" s="39" t="s">
        <v>513</v>
      </c>
    </row>
    <row r="712" spans="4:7" ht="14.45" customHeight="1" outlineLevel="4" thickBot="1" x14ac:dyDescent="0.3"/>
    <row r="713" spans="4:7" ht="14.45" customHeight="1" outlineLevel="3" thickBot="1" x14ac:dyDescent="0.3">
      <c r="F713" s="39" t="s">
        <v>853</v>
      </c>
    </row>
    <row r="714" spans="4:7" ht="14.45" customHeight="1" outlineLevel="4" thickBot="1" x14ac:dyDescent="0.3"/>
    <row r="715" spans="4:7" ht="14.45" customHeight="1" outlineLevel="3" thickBot="1" x14ac:dyDescent="0.3">
      <c r="F715" s="39" t="s">
        <v>854</v>
      </c>
    </row>
    <row r="716" spans="4:7" ht="14.45" customHeight="1" outlineLevel="4" thickBot="1" x14ac:dyDescent="0.3"/>
    <row r="717" spans="4:7" ht="14.45" customHeight="1" outlineLevel="3" thickBot="1" x14ac:dyDescent="0.3">
      <c r="F717" s="39" t="s">
        <v>855</v>
      </c>
    </row>
    <row r="718" spans="4:7" ht="14.45" customHeight="1" outlineLevel="4" thickBot="1" x14ac:dyDescent="0.3"/>
    <row r="719" spans="4:7" ht="14.45" customHeight="1" outlineLevel="3" thickBot="1" x14ac:dyDescent="0.3">
      <c r="F719" s="39" t="s">
        <v>856</v>
      </c>
    </row>
    <row r="720" spans="4:7" ht="14.45" customHeight="1" outlineLevel="4" thickBot="1" x14ac:dyDescent="0.3">
      <c r="G720" s="18" t="s">
        <v>857</v>
      </c>
    </row>
    <row r="721" spans="4:7" ht="14.45" customHeight="1" outlineLevel="4" thickBot="1" x14ac:dyDescent="0.3">
      <c r="G721" s="18" t="s">
        <v>858</v>
      </c>
    </row>
    <row r="722" spans="4:7" ht="14.45" customHeight="1" outlineLevel="3" thickBot="1" x14ac:dyDescent="0.3"/>
    <row r="723" spans="4:7" ht="14.45" customHeight="1" outlineLevel="2" thickBot="1" x14ac:dyDescent="0.3">
      <c r="E723" s="38" t="s">
        <v>859</v>
      </c>
    </row>
    <row r="724" spans="4:7" ht="14.45" customHeight="1" outlineLevel="3" thickBot="1" x14ac:dyDescent="0.3">
      <c r="F724" s="39" t="s">
        <v>513</v>
      </c>
    </row>
    <row r="725" spans="4:7" ht="14.45" customHeight="1" outlineLevel="4" thickBot="1" x14ac:dyDescent="0.3"/>
    <row r="726" spans="4:7" ht="14.45" customHeight="1" outlineLevel="3" thickBot="1" x14ac:dyDescent="0.3">
      <c r="F726" s="39" t="s">
        <v>860</v>
      </c>
    </row>
    <row r="727" spans="4:7" ht="14.45" customHeight="1" outlineLevel="4" thickBot="1" x14ac:dyDescent="0.3"/>
    <row r="728" spans="4:7" ht="14.45" customHeight="1" outlineLevel="3" thickBot="1" x14ac:dyDescent="0.3">
      <c r="F728" s="39" t="s">
        <v>861</v>
      </c>
    </row>
    <row r="729" spans="4:7" ht="14.45" customHeight="1" outlineLevel="4" thickBot="1" x14ac:dyDescent="0.3">
      <c r="G729" s="18" t="s">
        <v>862</v>
      </c>
    </row>
    <row r="730" spans="4:7" ht="14.45" customHeight="1" outlineLevel="4" thickBot="1" x14ac:dyDescent="0.3">
      <c r="G730" s="18" t="s">
        <v>863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7" t="s">
        <v>50</v>
      </c>
      <c r="E733" s="37"/>
    </row>
    <row r="734" spans="4:7" ht="14.45" customHeight="1" outlineLevel="2" thickBot="1" x14ac:dyDescent="0.3">
      <c r="E734" s="38" t="s">
        <v>864</v>
      </c>
    </row>
    <row r="735" spans="4:7" ht="14.45" customHeight="1" outlineLevel="3" thickBot="1" x14ac:dyDescent="0.3">
      <c r="F735" s="39" t="s">
        <v>865</v>
      </c>
    </row>
    <row r="736" spans="4:7" ht="14.45" customHeight="1" outlineLevel="4" thickBot="1" x14ac:dyDescent="0.3">
      <c r="G736" s="18" t="s">
        <v>560</v>
      </c>
    </row>
    <row r="737" spans="6:7" ht="14.45" customHeight="1" outlineLevel="4" thickBot="1" x14ac:dyDescent="0.3">
      <c r="G737" s="18" t="s">
        <v>866</v>
      </c>
    </row>
    <row r="738" spans="6:7" ht="14.45" customHeight="1" outlineLevel="3" thickBot="1" x14ac:dyDescent="0.3">
      <c r="F738" s="39" t="s">
        <v>867</v>
      </c>
    </row>
    <row r="739" spans="6:7" ht="14.45" customHeight="1" outlineLevel="4" thickBot="1" x14ac:dyDescent="0.3">
      <c r="G739" s="18" t="s">
        <v>560</v>
      </c>
    </row>
    <row r="740" spans="6:7" ht="14.45" customHeight="1" outlineLevel="4" thickBot="1" x14ac:dyDescent="0.3">
      <c r="G740" s="18" t="s">
        <v>868</v>
      </c>
    </row>
    <row r="741" spans="6:7" ht="14.45" customHeight="1" outlineLevel="3" thickBot="1" x14ac:dyDescent="0.3">
      <c r="F741" s="39" t="s">
        <v>869</v>
      </c>
    </row>
    <row r="742" spans="6:7" ht="14.45" customHeight="1" outlineLevel="4" thickBot="1" x14ac:dyDescent="0.3">
      <c r="G742" s="18" t="s">
        <v>560</v>
      </c>
    </row>
    <row r="743" spans="6:7" ht="14.45" customHeight="1" outlineLevel="4" thickBot="1" x14ac:dyDescent="0.3">
      <c r="G743" s="18" t="s">
        <v>870</v>
      </c>
    </row>
    <row r="744" spans="6:7" ht="14.45" customHeight="1" outlineLevel="3" thickBot="1" x14ac:dyDescent="0.3">
      <c r="F744" s="39" t="s">
        <v>871</v>
      </c>
    </row>
    <row r="745" spans="6:7" ht="14.45" customHeight="1" outlineLevel="4" thickBot="1" x14ac:dyDescent="0.3">
      <c r="G745" s="18" t="s">
        <v>872</v>
      </c>
    </row>
    <row r="746" spans="6:7" ht="14.45" customHeight="1" outlineLevel="4" thickBot="1" x14ac:dyDescent="0.3">
      <c r="G746" s="18" t="s">
        <v>873</v>
      </c>
    </row>
    <row r="747" spans="6:7" ht="14.45" customHeight="1" outlineLevel="4" thickBot="1" x14ac:dyDescent="0.3">
      <c r="G747" s="18" t="s">
        <v>874</v>
      </c>
    </row>
    <row r="748" spans="6:7" ht="14.45" customHeight="1" outlineLevel="3" thickBot="1" x14ac:dyDescent="0.3">
      <c r="F748" s="39" t="s">
        <v>875</v>
      </c>
    </row>
    <row r="749" spans="6:7" ht="14.45" customHeight="1" outlineLevel="4" thickBot="1" x14ac:dyDescent="0.3">
      <c r="G749" s="18" t="s">
        <v>876</v>
      </c>
    </row>
    <row r="750" spans="6:7" ht="14.45" customHeight="1" outlineLevel="4" thickBot="1" x14ac:dyDescent="0.3">
      <c r="G750" s="18" t="s">
        <v>877</v>
      </c>
    </row>
    <row r="751" spans="6:7" ht="14.45" customHeight="1" outlineLevel="4" thickBot="1" x14ac:dyDescent="0.3">
      <c r="G751" s="18" t="s">
        <v>878</v>
      </c>
    </row>
    <row r="752" spans="6:7" ht="14.45" customHeight="1" outlineLevel="4" thickBot="1" x14ac:dyDescent="0.3">
      <c r="G752" s="18" t="s">
        <v>879</v>
      </c>
    </row>
    <row r="753" spans="5:7" ht="14.45" customHeight="1" outlineLevel="3" thickBot="1" x14ac:dyDescent="0.3">
      <c r="F753" s="39" t="s">
        <v>880</v>
      </c>
    </row>
    <row r="754" spans="5:7" ht="14.45" customHeight="1" outlineLevel="4" thickBot="1" x14ac:dyDescent="0.3">
      <c r="G754" s="18" t="s">
        <v>560</v>
      </c>
    </row>
    <row r="755" spans="5:7" ht="14.45" customHeight="1" outlineLevel="4" thickBot="1" x14ac:dyDescent="0.3">
      <c r="G755" s="18" t="s">
        <v>545</v>
      </c>
    </row>
    <row r="756" spans="5:7" ht="14.45" customHeight="1" outlineLevel="4" thickBot="1" x14ac:dyDescent="0.3">
      <c r="G756" s="18" t="s">
        <v>546</v>
      </c>
    </row>
    <row r="757" spans="5:7" ht="14.45" customHeight="1" outlineLevel="4" thickBot="1" x14ac:dyDescent="0.3">
      <c r="G757" s="18" t="s">
        <v>547</v>
      </c>
    </row>
    <row r="758" spans="5:7" ht="14.45" customHeight="1" outlineLevel="3" thickBot="1" x14ac:dyDescent="0.3">
      <c r="F758" s="39" t="s">
        <v>881</v>
      </c>
    </row>
    <row r="759" spans="5:7" ht="14.45" customHeight="1" outlineLevel="4" thickBot="1" x14ac:dyDescent="0.3">
      <c r="G759" s="18" t="s">
        <v>544</v>
      </c>
    </row>
    <row r="760" spans="5:7" ht="14.45" customHeight="1" outlineLevel="4" thickBot="1" x14ac:dyDescent="0.3">
      <c r="G760" s="18" t="s">
        <v>882</v>
      </c>
    </row>
    <row r="761" spans="5:7" ht="14.45" customHeight="1" outlineLevel="3" thickBot="1" x14ac:dyDescent="0.3"/>
    <row r="762" spans="5:7" ht="14.45" customHeight="1" outlineLevel="2" thickBot="1" x14ac:dyDescent="0.3">
      <c r="E762" s="38" t="s">
        <v>883</v>
      </c>
    </row>
    <row r="763" spans="5:7" ht="14.45" customHeight="1" outlineLevel="3" thickBot="1" x14ac:dyDescent="0.3">
      <c r="F763" s="39" t="s">
        <v>884</v>
      </c>
    </row>
    <row r="764" spans="5:7" ht="14.45" customHeight="1" outlineLevel="4" thickBot="1" x14ac:dyDescent="0.3"/>
    <row r="765" spans="5:7" ht="14.45" customHeight="1" outlineLevel="3" thickBot="1" x14ac:dyDescent="0.3">
      <c r="F765" s="39" t="s">
        <v>885</v>
      </c>
    </row>
    <row r="766" spans="5:7" ht="14.45" customHeight="1" outlineLevel="4" thickBot="1" x14ac:dyDescent="0.3">
      <c r="G766" s="18" t="s">
        <v>886</v>
      </c>
    </row>
    <row r="767" spans="5:7" ht="14.45" customHeight="1" outlineLevel="4" thickBot="1" x14ac:dyDescent="0.3">
      <c r="G767" s="18" t="s">
        <v>887</v>
      </c>
    </row>
    <row r="768" spans="5:7" ht="14.45" customHeight="1" outlineLevel="4" thickBot="1" x14ac:dyDescent="0.3">
      <c r="G768" s="18" t="s">
        <v>888</v>
      </c>
    </row>
    <row r="769" spans="4:7" ht="14.45" customHeight="1" outlineLevel="4" thickBot="1" x14ac:dyDescent="0.3">
      <c r="G769" s="18" t="s">
        <v>889</v>
      </c>
    </row>
    <row r="770" spans="4:7" ht="14.45" customHeight="1" outlineLevel="4" thickBot="1" x14ac:dyDescent="0.3">
      <c r="G770" s="18" t="s">
        <v>890</v>
      </c>
    </row>
    <row r="771" spans="4:7" ht="14.45" customHeight="1" outlineLevel="3" thickBot="1" x14ac:dyDescent="0.3">
      <c r="F771" s="39" t="s">
        <v>891</v>
      </c>
    </row>
    <row r="772" spans="4:7" ht="14.45" customHeight="1" outlineLevel="4" thickBot="1" x14ac:dyDescent="0.3">
      <c r="G772" s="18" t="s">
        <v>892</v>
      </c>
    </row>
    <row r="773" spans="4:7" ht="14.45" customHeight="1" outlineLevel="4" thickBot="1" x14ac:dyDescent="0.3">
      <c r="G773" s="18" t="s">
        <v>893</v>
      </c>
    </row>
    <row r="774" spans="4:7" ht="14.45" customHeight="1" outlineLevel="4" thickBot="1" x14ac:dyDescent="0.3">
      <c r="G774" s="18" t="s">
        <v>894</v>
      </c>
    </row>
    <row r="775" spans="4:7" ht="14.45" customHeight="1" outlineLevel="3" thickBot="1" x14ac:dyDescent="0.3">
      <c r="F775" s="39" t="s">
        <v>895</v>
      </c>
    </row>
    <row r="776" spans="4:7" ht="14.45" customHeight="1" outlineLevel="4" thickBot="1" x14ac:dyDescent="0.3">
      <c r="G776" s="18" t="s">
        <v>896</v>
      </c>
    </row>
    <row r="777" spans="4:7" ht="14.45" customHeight="1" outlineLevel="4" thickBot="1" x14ac:dyDescent="0.3">
      <c r="G777" s="18" t="s">
        <v>897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7" t="s">
        <v>52</v>
      </c>
      <c r="E780" s="37"/>
    </row>
    <row r="781" spans="4:7" ht="14.45" customHeight="1" outlineLevel="2" thickBot="1" x14ac:dyDescent="0.3">
      <c r="E781" s="38" t="s">
        <v>898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8" t="s">
        <v>899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8" t="s">
        <v>900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7" t="s">
        <v>195</v>
      </c>
      <c r="E791" s="37"/>
    </row>
    <row r="792" spans="4:6" ht="14.45" customHeight="1" outlineLevel="2" thickBot="1" x14ac:dyDescent="0.3">
      <c r="E792" s="38" t="s">
        <v>901</v>
      </c>
    </row>
    <row r="793" spans="4:6" ht="14.45" customHeight="1" outlineLevel="3" thickBot="1" x14ac:dyDescent="0.3">
      <c r="F793" s="39" t="s">
        <v>902</v>
      </c>
    </row>
    <row r="794" spans="4:6" ht="14.45" customHeight="1" outlineLevel="4" thickBot="1" x14ac:dyDescent="0.3"/>
    <row r="795" spans="4:6" ht="14.45" customHeight="1" outlineLevel="3" thickBot="1" x14ac:dyDescent="0.3">
      <c r="F795" s="39" t="s">
        <v>903</v>
      </c>
    </row>
    <row r="796" spans="4:6" ht="14.45" customHeight="1" outlineLevel="4" thickBot="1" x14ac:dyDescent="0.3"/>
    <row r="797" spans="4:6" ht="14.45" customHeight="1" outlineLevel="3" thickBot="1" x14ac:dyDescent="0.3">
      <c r="F797" s="39" t="s">
        <v>904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8" t="s">
        <v>905</v>
      </c>
    </row>
    <row r="801" spans="5:6" ht="14.45" customHeight="1" outlineLevel="3" thickBot="1" x14ac:dyDescent="0.3">
      <c r="F801" s="39" t="s">
        <v>906</v>
      </c>
    </row>
    <row r="802" spans="5:6" ht="14.45" customHeight="1" outlineLevel="4" thickBot="1" x14ac:dyDescent="0.3"/>
    <row r="803" spans="5:6" ht="14.45" customHeight="1" outlineLevel="3" thickBot="1" x14ac:dyDescent="0.3">
      <c r="F803" s="39" t="s">
        <v>907</v>
      </c>
    </row>
    <row r="804" spans="5:6" ht="14.45" customHeight="1" outlineLevel="4" thickBot="1" x14ac:dyDescent="0.3"/>
    <row r="805" spans="5:6" ht="14.45" customHeight="1" outlineLevel="3" thickBot="1" x14ac:dyDescent="0.3">
      <c r="F805" s="39" t="s">
        <v>908</v>
      </c>
    </row>
    <row r="806" spans="5:6" ht="14.45" customHeight="1" outlineLevel="4" thickBot="1" x14ac:dyDescent="0.3"/>
    <row r="807" spans="5:6" ht="14.45" customHeight="1" outlineLevel="3" thickBot="1" x14ac:dyDescent="0.3">
      <c r="F807" s="39" t="s">
        <v>909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8" t="s">
        <v>910</v>
      </c>
    </row>
    <row r="811" spans="5:6" ht="14.45" customHeight="1" outlineLevel="3" thickBot="1" x14ac:dyDescent="0.3">
      <c r="F811" s="39" t="s">
        <v>513</v>
      </c>
    </row>
    <row r="812" spans="5:6" ht="14.45" customHeight="1" outlineLevel="4" thickBot="1" x14ac:dyDescent="0.3"/>
    <row r="813" spans="5:6" ht="14.45" customHeight="1" outlineLevel="3" thickBot="1" x14ac:dyDescent="0.3">
      <c r="F813" s="39" t="s">
        <v>911</v>
      </c>
    </row>
    <row r="814" spans="5:6" ht="14.45" customHeight="1" outlineLevel="4" thickBot="1" x14ac:dyDescent="0.3"/>
    <row r="815" spans="5:6" ht="14.45" customHeight="1" outlineLevel="3" thickBot="1" x14ac:dyDescent="0.3">
      <c r="F815" s="39" t="s">
        <v>912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7" t="s">
        <v>54</v>
      </c>
      <c r="E819" s="37"/>
    </row>
    <row r="820" spans="4:7" ht="14.45" customHeight="1" outlineLevel="2" thickBot="1" x14ac:dyDescent="0.3">
      <c r="E820" s="38" t="s">
        <v>913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8" t="s">
        <v>914</v>
      </c>
    </row>
    <row r="824" spans="4:7" ht="14.45" customHeight="1" outlineLevel="3" thickBot="1" x14ac:dyDescent="0.3">
      <c r="F824" s="39" t="s">
        <v>513</v>
      </c>
    </row>
    <row r="825" spans="4:7" ht="14.45" customHeight="1" outlineLevel="4" thickBot="1" x14ac:dyDescent="0.3"/>
    <row r="826" spans="4:7" ht="14.45" customHeight="1" outlineLevel="3" thickBot="1" x14ac:dyDescent="0.3">
      <c r="F826" s="39" t="s">
        <v>915</v>
      </c>
    </row>
    <row r="827" spans="4:7" ht="14.45" customHeight="1" outlineLevel="4" thickBot="1" x14ac:dyDescent="0.3"/>
    <row r="828" spans="4:7" ht="14.45" customHeight="1" outlineLevel="3" thickBot="1" x14ac:dyDescent="0.3">
      <c r="F828" s="39" t="s">
        <v>916</v>
      </c>
    </row>
    <row r="829" spans="4:7" ht="14.45" customHeight="1" outlineLevel="4" thickBot="1" x14ac:dyDescent="0.3">
      <c r="G829" s="18" t="s">
        <v>560</v>
      </c>
    </row>
    <row r="830" spans="4:7" ht="14.45" customHeight="1" outlineLevel="4" thickBot="1" x14ac:dyDescent="0.3">
      <c r="G830" s="18" t="s">
        <v>917</v>
      </c>
    </row>
    <row r="831" spans="4:7" ht="14.45" customHeight="1" outlineLevel="3" thickBot="1" x14ac:dyDescent="0.3"/>
    <row r="832" spans="4:7" ht="14.45" customHeight="1" outlineLevel="2" thickBot="1" x14ac:dyDescent="0.3">
      <c r="E832" s="38" t="s">
        <v>918</v>
      </c>
    </row>
    <row r="833" spans="6:7" ht="14.45" customHeight="1" outlineLevel="3" thickBot="1" x14ac:dyDescent="0.3">
      <c r="F833" s="39" t="s">
        <v>919</v>
      </c>
    </row>
    <row r="834" spans="6:7" ht="14.45" customHeight="1" outlineLevel="4" thickBot="1" x14ac:dyDescent="0.3"/>
    <row r="835" spans="6:7" ht="14.45" customHeight="1" outlineLevel="3" thickBot="1" x14ac:dyDescent="0.3">
      <c r="F835" s="39" t="s">
        <v>920</v>
      </c>
    </row>
    <row r="836" spans="6:7" ht="14.45" customHeight="1" outlineLevel="4" thickBot="1" x14ac:dyDescent="0.3">
      <c r="G836" s="18" t="s">
        <v>921</v>
      </c>
    </row>
    <row r="837" spans="6:7" ht="14.45" customHeight="1" outlineLevel="4" thickBot="1" x14ac:dyDescent="0.3">
      <c r="G837" s="18" t="s">
        <v>922</v>
      </c>
    </row>
    <row r="838" spans="6:7" ht="14.45" customHeight="1" outlineLevel="4" thickBot="1" x14ac:dyDescent="0.3">
      <c r="G838" s="18" t="s">
        <v>923</v>
      </c>
    </row>
    <row r="839" spans="6:7" ht="14.45" customHeight="1" outlineLevel="3" thickBot="1" x14ac:dyDescent="0.3">
      <c r="F839" s="39" t="s">
        <v>924</v>
      </c>
    </row>
    <row r="840" spans="6:7" ht="14.45" customHeight="1" outlineLevel="4" thickBot="1" x14ac:dyDescent="0.3">
      <c r="G840" s="18" t="s">
        <v>925</v>
      </c>
    </row>
    <row r="841" spans="6:7" ht="14.45" customHeight="1" outlineLevel="4" thickBot="1" x14ac:dyDescent="0.3">
      <c r="G841" s="18" t="s">
        <v>926</v>
      </c>
    </row>
    <row r="842" spans="6:7" ht="14.45" customHeight="1" outlineLevel="4" thickBot="1" x14ac:dyDescent="0.3">
      <c r="G842" s="18" t="s">
        <v>927</v>
      </c>
    </row>
    <row r="843" spans="6:7" ht="14.45" customHeight="1" outlineLevel="3" thickBot="1" x14ac:dyDescent="0.3">
      <c r="F843" s="39" t="s">
        <v>928</v>
      </c>
    </row>
    <row r="844" spans="6:7" ht="14.45" customHeight="1" outlineLevel="4" thickBot="1" x14ac:dyDescent="0.3">
      <c r="G844" s="18" t="s">
        <v>929</v>
      </c>
    </row>
    <row r="845" spans="6:7" ht="14.45" customHeight="1" outlineLevel="4" thickBot="1" x14ac:dyDescent="0.3">
      <c r="G845" s="18" t="s">
        <v>930</v>
      </c>
    </row>
    <row r="846" spans="6:7" ht="14.45" customHeight="1" outlineLevel="3" thickBot="1" x14ac:dyDescent="0.3">
      <c r="F846" s="39" t="s">
        <v>931</v>
      </c>
    </row>
    <row r="847" spans="6:7" ht="14.45" customHeight="1" outlineLevel="4" thickBot="1" x14ac:dyDescent="0.3">
      <c r="G847" s="18" t="s">
        <v>932</v>
      </c>
    </row>
    <row r="848" spans="6:7" ht="14.45" customHeight="1" outlineLevel="4" thickBot="1" x14ac:dyDescent="0.3">
      <c r="G848" s="18" t="s">
        <v>933</v>
      </c>
    </row>
    <row r="849" spans="5:7" ht="14.45" customHeight="1" outlineLevel="3" thickBot="1" x14ac:dyDescent="0.3"/>
    <row r="850" spans="5:7" ht="14.45" customHeight="1" outlineLevel="2" thickBot="1" x14ac:dyDescent="0.3">
      <c r="E850" s="38" t="s">
        <v>934</v>
      </c>
    </row>
    <row r="851" spans="5:7" ht="14.45" customHeight="1" outlineLevel="3" thickBot="1" x14ac:dyDescent="0.3">
      <c r="F851" s="39" t="s">
        <v>513</v>
      </c>
    </row>
    <row r="852" spans="5:7" ht="14.45" customHeight="1" outlineLevel="4" thickBot="1" x14ac:dyDescent="0.3"/>
    <row r="853" spans="5:7" ht="14.45" customHeight="1" outlineLevel="3" thickBot="1" x14ac:dyDescent="0.3">
      <c r="F853" s="39" t="s">
        <v>935</v>
      </c>
    </row>
    <row r="854" spans="5:7" ht="14.45" customHeight="1" outlineLevel="4" thickBot="1" x14ac:dyDescent="0.3">
      <c r="G854" s="18" t="s">
        <v>936</v>
      </c>
    </row>
    <row r="855" spans="5:7" ht="14.45" customHeight="1" outlineLevel="4" thickBot="1" x14ac:dyDescent="0.3">
      <c r="G855" s="18" t="s">
        <v>937</v>
      </c>
    </row>
    <row r="856" spans="5:7" ht="14.45" customHeight="1" outlineLevel="4" thickBot="1" x14ac:dyDescent="0.3">
      <c r="G856" s="18" t="s">
        <v>938</v>
      </c>
    </row>
    <row r="857" spans="5:7" ht="14.45" customHeight="1" outlineLevel="3" thickBot="1" x14ac:dyDescent="0.3">
      <c r="F857" s="39" t="s">
        <v>939</v>
      </c>
    </row>
    <row r="858" spans="5:7" ht="14.45" customHeight="1" outlineLevel="4" thickBot="1" x14ac:dyDescent="0.3"/>
    <row r="859" spans="5:7" ht="14.45" customHeight="1" outlineLevel="3" thickBot="1" x14ac:dyDescent="0.3">
      <c r="F859" s="39" t="s">
        <v>940</v>
      </c>
    </row>
    <row r="860" spans="5:7" ht="14.45" customHeight="1" outlineLevel="4" thickBot="1" x14ac:dyDescent="0.3">
      <c r="G860" s="18" t="s">
        <v>941</v>
      </c>
    </row>
    <row r="861" spans="5:7" ht="14.45" customHeight="1" outlineLevel="4" thickBot="1" x14ac:dyDescent="0.3">
      <c r="G861" s="18" t="s">
        <v>942</v>
      </c>
    </row>
    <row r="862" spans="5:7" ht="14.45" customHeight="1" outlineLevel="4" thickBot="1" x14ac:dyDescent="0.3">
      <c r="G862" s="18" t="s">
        <v>943</v>
      </c>
    </row>
    <row r="863" spans="5:7" ht="14.45" customHeight="1" outlineLevel="4" thickBot="1" x14ac:dyDescent="0.3">
      <c r="G863" s="18" t="s">
        <v>944</v>
      </c>
    </row>
    <row r="864" spans="5:7" ht="14.45" customHeight="1" outlineLevel="3" thickBot="1" x14ac:dyDescent="0.3">
      <c r="F864" s="39" t="s">
        <v>945</v>
      </c>
    </row>
    <row r="865" spans="4:7" ht="14.45" customHeight="1" outlineLevel="4" thickBot="1" x14ac:dyDescent="0.3">
      <c r="G865" s="18" t="s">
        <v>946</v>
      </c>
    </row>
    <row r="866" spans="4:7" ht="14.45" customHeight="1" outlineLevel="4" thickBot="1" x14ac:dyDescent="0.3">
      <c r="G866" s="18" t="s">
        <v>947</v>
      </c>
    </row>
    <row r="867" spans="4:7" ht="14.45" customHeight="1" outlineLevel="4" thickBot="1" x14ac:dyDescent="0.3">
      <c r="G867" s="18" t="s">
        <v>948</v>
      </c>
    </row>
    <row r="868" spans="4:7" ht="14.45" customHeight="1" outlineLevel="4" thickBot="1" x14ac:dyDescent="0.3">
      <c r="G868" s="18" t="s">
        <v>949</v>
      </c>
    </row>
    <row r="869" spans="4:7" ht="14.45" customHeight="1" outlineLevel="3" thickBot="1" x14ac:dyDescent="0.3">
      <c r="F869" s="39" t="s">
        <v>950</v>
      </c>
    </row>
    <row r="870" spans="4:7" ht="14.45" customHeight="1" outlineLevel="4" thickBot="1" x14ac:dyDescent="0.3">
      <c r="G870" s="18" t="s">
        <v>951</v>
      </c>
    </row>
    <row r="871" spans="4:7" ht="14.45" customHeight="1" outlineLevel="4" thickBot="1" x14ac:dyDescent="0.3">
      <c r="G871" s="18" t="s">
        <v>897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7" t="s">
        <v>56</v>
      </c>
      <c r="E874" s="37"/>
    </row>
    <row r="875" spans="4:7" ht="14.45" customHeight="1" outlineLevel="2" thickBot="1" x14ac:dyDescent="0.3">
      <c r="E875" s="38" t="s">
        <v>952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8" t="s">
        <v>953</v>
      </c>
    </row>
    <row r="879" spans="4:7" ht="14.45" customHeight="1" outlineLevel="3" thickBot="1" x14ac:dyDescent="0.3">
      <c r="F879" s="39" t="s">
        <v>513</v>
      </c>
    </row>
    <row r="880" spans="4:7" ht="14.45" customHeight="1" outlineLevel="4" thickBot="1" x14ac:dyDescent="0.3"/>
    <row r="881" spans="6:7" ht="14.45" customHeight="1" outlineLevel="3" thickBot="1" x14ac:dyDescent="0.3">
      <c r="F881" s="39" t="s">
        <v>954</v>
      </c>
    </row>
    <row r="882" spans="6:7" ht="14.45" customHeight="1" outlineLevel="4" thickBot="1" x14ac:dyDescent="0.3">
      <c r="G882" s="18" t="s">
        <v>955</v>
      </c>
    </row>
    <row r="883" spans="6:7" ht="14.45" customHeight="1" outlineLevel="4" thickBot="1" x14ac:dyDescent="0.3">
      <c r="G883" s="18" t="s">
        <v>956</v>
      </c>
    </row>
    <row r="884" spans="6:7" ht="14.45" customHeight="1" outlineLevel="4" thickBot="1" x14ac:dyDescent="0.3">
      <c r="G884" s="18" t="s">
        <v>957</v>
      </c>
    </row>
    <row r="885" spans="6:7" ht="14.45" customHeight="1" outlineLevel="4" thickBot="1" x14ac:dyDescent="0.3">
      <c r="G885" s="18" t="s">
        <v>958</v>
      </c>
    </row>
    <row r="886" spans="6:7" ht="14.45" customHeight="1" outlineLevel="3" thickBot="1" x14ac:dyDescent="0.3">
      <c r="F886" s="39" t="s">
        <v>959</v>
      </c>
    </row>
    <row r="887" spans="6:7" ht="14.45" customHeight="1" outlineLevel="4" thickBot="1" x14ac:dyDescent="0.3">
      <c r="G887" s="18" t="s">
        <v>960</v>
      </c>
    </row>
    <row r="888" spans="6:7" ht="14.45" customHeight="1" outlineLevel="4" thickBot="1" x14ac:dyDescent="0.3">
      <c r="G888" s="18" t="s">
        <v>961</v>
      </c>
    </row>
    <row r="889" spans="6:7" ht="14.45" customHeight="1" outlineLevel="4" thickBot="1" x14ac:dyDescent="0.3">
      <c r="G889" s="18" t="s">
        <v>962</v>
      </c>
    </row>
    <row r="890" spans="6:7" ht="14.45" customHeight="1" outlineLevel="3" thickBot="1" x14ac:dyDescent="0.3">
      <c r="F890" s="39" t="s">
        <v>963</v>
      </c>
    </row>
    <row r="891" spans="6:7" ht="14.45" customHeight="1" outlineLevel="4" thickBot="1" x14ac:dyDescent="0.3">
      <c r="G891" s="18" t="s">
        <v>964</v>
      </c>
    </row>
    <row r="892" spans="6:7" ht="14.45" customHeight="1" outlineLevel="4" thickBot="1" x14ac:dyDescent="0.3">
      <c r="G892" s="18" t="s">
        <v>965</v>
      </c>
    </row>
    <row r="893" spans="6:7" ht="14.45" customHeight="1" outlineLevel="3" thickBot="1" x14ac:dyDescent="0.3">
      <c r="F893" s="39" t="s">
        <v>966</v>
      </c>
    </row>
    <row r="894" spans="6:7" ht="14.45" customHeight="1" outlineLevel="4" thickBot="1" x14ac:dyDescent="0.3">
      <c r="G894" s="18" t="s">
        <v>967</v>
      </c>
    </row>
    <row r="895" spans="6:7" ht="14.45" customHeight="1" outlineLevel="4" thickBot="1" x14ac:dyDescent="0.3">
      <c r="G895" s="18" t="s">
        <v>968</v>
      </c>
    </row>
    <row r="896" spans="6:7" ht="14.45" customHeight="1" outlineLevel="3" thickBot="1" x14ac:dyDescent="0.3"/>
    <row r="897" spans="3:6" ht="14.45" customHeight="1" outlineLevel="2" thickBot="1" x14ac:dyDescent="0.3">
      <c r="E897" s="38" t="s">
        <v>969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6" t="s">
        <v>970</v>
      </c>
      <c r="D902" s="36"/>
    </row>
    <row r="903" spans="3:6" ht="14.45" customHeight="1" outlineLevel="1" thickBot="1" x14ac:dyDescent="0.3">
      <c r="D903" s="37" t="s">
        <v>58</v>
      </c>
      <c r="E903" s="37"/>
    </row>
    <row r="904" spans="3:6" ht="14.45" customHeight="1" outlineLevel="2" thickBot="1" x14ac:dyDescent="0.3">
      <c r="E904" s="38" t="s">
        <v>971</v>
      </c>
    </row>
    <row r="905" spans="3:6" ht="14.45" customHeight="1" outlineLevel="3" thickBot="1" x14ac:dyDescent="0.3">
      <c r="F905" s="39" t="s">
        <v>972</v>
      </c>
    </row>
    <row r="906" spans="3:6" ht="14.45" customHeight="1" outlineLevel="4" thickBot="1" x14ac:dyDescent="0.3"/>
    <row r="907" spans="3:6" ht="14.45" customHeight="1" outlineLevel="3" thickBot="1" x14ac:dyDescent="0.3">
      <c r="F907" s="39" t="s">
        <v>973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8" t="s">
        <v>974</v>
      </c>
    </row>
    <row r="911" spans="3:6" ht="14.45" customHeight="1" outlineLevel="3" thickBot="1" x14ac:dyDescent="0.3">
      <c r="F911" s="39" t="s">
        <v>975</v>
      </c>
    </row>
    <row r="912" spans="3:6" ht="14.45" customHeight="1" outlineLevel="4" thickBot="1" x14ac:dyDescent="0.3"/>
    <row r="913" spans="5:6" ht="14.45" customHeight="1" outlineLevel="3" thickBot="1" x14ac:dyDescent="0.3">
      <c r="F913" s="39" t="s">
        <v>976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8" t="s">
        <v>977</v>
      </c>
    </row>
    <row r="917" spans="5:6" ht="14.45" customHeight="1" outlineLevel="3" thickBot="1" x14ac:dyDescent="0.3">
      <c r="F917" s="39" t="s">
        <v>978</v>
      </c>
    </row>
    <row r="918" spans="5:6" ht="14.45" customHeight="1" outlineLevel="4" thickBot="1" x14ac:dyDescent="0.3"/>
    <row r="919" spans="5:6" ht="14.45" customHeight="1" outlineLevel="3" thickBot="1" x14ac:dyDescent="0.3">
      <c r="F919" s="39" t="s">
        <v>979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8" t="s">
        <v>980</v>
      </c>
    </row>
    <row r="923" spans="5:6" ht="14.45" customHeight="1" outlineLevel="3" thickBot="1" x14ac:dyDescent="0.3">
      <c r="F923" s="39" t="s">
        <v>981</v>
      </c>
    </row>
    <row r="924" spans="5:6" ht="14.45" customHeight="1" outlineLevel="4" thickBot="1" x14ac:dyDescent="0.3"/>
    <row r="925" spans="5:6" ht="14.45" customHeight="1" outlineLevel="3" thickBot="1" x14ac:dyDescent="0.3">
      <c r="F925" s="39" t="s">
        <v>982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7" t="s">
        <v>59</v>
      </c>
      <c r="E929" s="37"/>
    </row>
    <row r="930" spans="4:6" ht="14.45" customHeight="1" outlineLevel="2" thickBot="1" x14ac:dyDescent="0.3">
      <c r="E930" s="38" t="s">
        <v>983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8" t="s">
        <v>984</v>
      </c>
    </row>
    <row r="934" spans="4:6" ht="14.45" customHeight="1" outlineLevel="3" thickBot="1" x14ac:dyDescent="0.3">
      <c r="F934" s="39" t="s">
        <v>513</v>
      </c>
    </row>
    <row r="935" spans="4:6" ht="14.45" customHeight="1" outlineLevel="4" thickBot="1" x14ac:dyDescent="0.3"/>
    <row r="936" spans="4:6" ht="14.45" customHeight="1" outlineLevel="3" thickBot="1" x14ac:dyDescent="0.3">
      <c r="F936" s="39" t="s">
        <v>985</v>
      </c>
    </row>
    <row r="937" spans="4:6" ht="14.45" customHeight="1" outlineLevel="4" thickBot="1" x14ac:dyDescent="0.3"/>
    <row r="938" spans="4:6" ht="14.45" customHeight="1" outlineLevel="3" thickBot="1" x14ac:dyDescent="0.3">
      <c r="F938" s="39" t="s">
        <v>986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8" t="s">
        <v>987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7" t="s">
        <v>62</v>
      </c>
      <c r="E945" s="37"/>
    </row>
    <row r="946" spans="4:6" ht="14.45" customHeight="1" outlineLevel="2" thickBot="1" x14ac:dyDescent="0.3">
      <c r="E946" s="38" t="s">
        <v>988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8" t="s">
        <v>989</v>
      </c>
    </row>
    <row r="950" spans="4:6" ht="14.45" customHeight="1" outlineLevel="3" thickBot="1" x14ac:dyDescent="0.3">
      <c r="F950" s="39" t="s">
        <v>990</v>
      </c>
    </row>
    <row r="951" spans="4:6" ht="14.45" customHeight="1" outlineLevel="4" thickBot="1" x14ac:dyDescent="0.3"/>
    <row r="952" spans="4:6" ht="14.45" customHeight="1" outlineLevel="3" thickBot="1" x14ac:dyDescent="0.3">
      <c r="F952" s="39" t="s">
        <v>991</v>
      </c>
    </row>
    <row r="953" spans="4:6" ht="14.45" customHeight="1" outlineLevel="4" thickBot="1" x14ac:dyDescent="0.3"/>
    <row r="954" spans="4:6" ht="14.45" customHeight="1" outlineLevel="3" thickBot="1" x14ac:dyDescent="0.3">
      <c r="F954" s="39" t="s">
        <v>992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8" t="s">
        <v>993</v>
      </c>
    </row>
    <row r="958" spans="4:6" ht="14.45" customHeight="1" outlineLevel="3" thickBot="1" x14ac:dyDescent="0.3">
      <c r="F958" s="39" t="s">
        <v>994</v>
      </c>
    </row>
    <row r="959" spans="4:6" ht="14.45" customHeight="1" outlineLevel="4" thickBot="1" x14ac:dyDescent="0.3"/>
    <row r="960" spans="4:6" ht="14.45" customHeight="1" outlineLevel="3" thickBot="1" x14ac:dyDescent="0.3">
      <c r="F960" s="39" t="s">
        <v>995</v>
      </c>
    </row>
    <row r="961" spans="4:6" ht="14.45" customHeight="1" outlineLevel="4" thickBot="1" x14ac:dyDescent="0.3"/>
    <row r="962" spans="4:6" ht="14.45" customHeight="1" outlineLevel="3" thickBot="1" x14ac:dyDescent="0.3">
      <c r="F962" s="39" t="s">
        <v>996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8" t="s">
        <v>997</v>
      </c>
    </row>
    <row r="966" spans="4:6" ht="14.45" customHeight="1" outlineLevel="3" thickBot="1" x14ac:dyDescent="0.3">
      <c r="F966" s="39" t="s">
        <v>998</v>
      </c>
    </row>
    <row r="967" spans="4:6" ht="14.45" customHeight="1" outlineLevel="4" thickBot="1" x14ac:dyDescent="0.3"/>
    <row r="968" spans="4:6" ht="14.45" customHeight="1" outlineLevel="3" thickBot="1" x14ac:dyDescent="0.3">
      <c r="F968" s="39" t="s">
        <v>999</v>
      </c>
    </row>
    <row r="969" spans="4:6" ht="14.45" customHeight="1" outlineLevel="4" thickBot="1" x14ac:dyDescent="0.3"/>
    <row r="970" spans="4:6" ht="14.45" customHeight="1" outlineLevel="3" thickBot="1" x14ac:dyDescent="0.3">
      <c r="F970" s="39" t="s">
        <v>629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7" t="s">
        <v>64</v>
      </c>
      <c r="E974" s="37"/>
    </row>
    <row r="975" spans="4:6" ht="14.45" customHeight="1" outlineLevel="2" thickBot="1" x14ac:dyDescent="0.3">
      <c r="E975" s="38" t="s">
        <v>1000</v>
      </c>
    </row>
    <row r="976" spans="4:6" ht="14.45" customHeight="1" outlineLevel="3" thickBot="1" x14ac:dyDescent="0.3">
      <c r="F976" s="39" t="s">
        <v>1001</v>
      </c>
    </row>
    <row r="977" spans="5:7" ht="14.45" customHeight="1" outlineLevel="4" thickBot="1" x14ac:dyDescent="0.3">
      <c r="G977" s="18" t="s">
        <v>1002</v>
      </c>
    </row>
    <row r="978" spans="5:7" ht="14.45" customHeight="1" outlineLevel="4" thickBot="1" x14ac:dyDescent="0.3">
      <c r="G978" s="18" t="s">
        <v>1003</v>
      </c>
    </row>
    <row r="979" spans="5:7" ht="14.45" customHeight="1" outlineLevel="4" thickBot="1" x14ac:dyDescent="0.3">
      <c r="G979" s="18" t="s">
        <v>1004</v>
      </c>
    </row>
    <row r="980" spans="5:7" ht="14.45" customHeight="1" outlineLevel="3" thickBot="1" x14ac:dyDescent="0.3">
      <c r="F980" s="39" t="s">
        <v>1005</v>
      </c>
    </row>
    <row r="981" spans="5:7" ht="14.45" customHeight="1" outlineLevel="4" thickBot="1" x14ac:dyDescent="0.3">
      <c r="G981" s="18" t="s">
        <v>1006</v>
      </c>
    </row>
    <row r="982" spans="5:7" ht="14.45" customHeight="1" outlineLevel="4" thickBot="1" x14ac:dyDescent="0.3">
      <c r="G982" s="18" t="s">
        <v>1007</v>
      </c>
    </row>
    <row r="983" spans="5:7" ht="14.45" customHeight="1" outlineLevel="4" thickBot="1" x14ac:dyDescent="0.3">
      <c r="G983" s="18" t="s">
        <v>1008</v>
      </c>
    </row>
    <row r="984" spans="5:7" ht="14.45" customHeight="1" outlineLevel="3" thickBot="1" x14ac:dyDescent="0.3">
      <c r="F984" s="39" t="s">
        <v>1009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8" t="s">
        <v>1010</v>
      </c>
    </row>
    <row r="988" spans="5:7" ht="14.45" customHeight="1" outlineLevel="3" thickBot="1" x14ac:dyDescent="0.3">
      <c r="F988" s="39" t="s">
        <v>513</v>
      </c>
    </row>
    <row r="989" spans="5:7" ht="14.45" customHeight="1" outlineLevel="4" thickBot="1" x14ac:dyDescent="0.3"/>
    <row r="990" spans="5:7" ht="14.45" customHeight="1" outlineLevel="3" thickBot="1" x14ac:dyDescent="0.3">
      <c r="F990" s="39" t="s">
        <v>1011</v>
      </c>
    </row>
    <row r="991" spans="5:7" ht="14.45" customHeight="1" outlineLevel="4" thickBot="1" x14ac:dyDescent="0.3">
      <c r="G991" s="18" t="s">
        <v>560</v>
      </c>
    </row>
    <row r="992" spans="5:7" ht="14.45" customHeight="1" outlineLevel="4" thickBot="1" x14ac:dyDescent="0.3">
      <c r="G992" s="18" t="s">
        <v>1012</v>
      </c>
    </row>
    <row r="993" spans="6:7" ht="14.45" customHeight="1" outlineLevel="4" thickBot="1" x14ac:dyDescent="0.3">
      <c r="G993" s="18" t="s">
        <v>1013</v>
      </c>
    </row>
    <row r="994" spans="6:7" ht="14.45" customHeight="1" outlineLevel="4" thickBot="1" x14ac:dyDescent="0.3">
      <c r="G994" s="18" t="s">
        <v>1014</v>
      </c>
    </row>
    <row r="995" spans="6:7" ht="14.45" customHeight="1" outlineLevel="4" thickBot="1" x14ac:dyDescent="0.3">
      <c r="G995" s="18" t="s">
        <v>2518</v>
      </c>
    </row>
    <row r="996" spans="6:7" ht="14.45" customHeight="1" outlineLevel="4" thickBot="1" x14ac:dyDescent="0.3">
      <c r="G996" s="18" t="s">
        <v>1015</v>
      </c>
    </row>
    <row r="997" spans="6:7" ht="14.45" customHeight="1" outlineLevel="3" thickBot="1" x14ac:dyDescent="0.3">
      <c r="F997" s="39" t="s">
        <v>1016</v>
      </c>
    </row>
    <row r="998" spans="6:7" ht="14.45" customHeight="1" outlineLevel="4" thickBot="1" x14ac:dyDescent="0.3">
      <c r="G998" s="18" t="s">
        <v>560</v>
      </c>
    </row>
    <row r="999" spans="6:7" ht="14.45" customHeight="1" outlineLevel="4" thickBot="1" x14ac:dyDescent="0.3">
      <c r="G999" s="18" t="s">
        <v>1017</v>
      </c>
    </row>
    <row r="1000" spans="6:7" ht="14.45" customHeight="1" outlineLevel="4" thickBot="1" x14ac:dyDescent="0.3">
      <c r="G1000" s="18" t="s">
        <v>1018</v>
      </c>
    </row>
    <row r="1001" spans="6:7" ht="14.45" customHeight="1" outlineLevel="3" thickBot="1" x14ac:dyDescent="0.3">
      <c r="F1001" s="39" t="s">
        <v>1019</v>
      </c>
    </row>
    <row r="1002" spans="6:7" ht="14.45" customHeight="1" outlineLevel="4" thickBot="1" x14ac:dyDescent="0.3">
      <c r="G1002" s="18" t="s">
        <v>560</v>
      </c>
    </row>
    <row r="1003" spans="6:7" ht="14.45" customHeight="1" outlineLevel="4" thickBot="1" x14ac:dyDescent="0.3">
      <c r="G1003" s="18" t="s">
        <v>1020</v>
      </c>
    </row>
    <row r="1004" spans="6:7" ht="14.45" customHeight="1" outlineLevel="4" thickBot="1" x14ac:dyDescent="0.3">
      <c r="G1004" s="18" t="s">
        <v>1021</v>
      </c>
    </row>
    <row r="1005" spans="6:7" ht="14.45" customHeight="1" outlineLevel="4" thickBot="1" x14ac:dyDescent="0.3">
      <c r="G1005" s="18" t="s">
        <v>1022</v>
      </c>
    </row>
    <row r="1006" spans="6:7" ht="14.45" customHeight="1" outlineLevel="4" thickBot="1" x14ac:dyDescent="0.3">
      <c r="G1006" s="18" t="s">
        <v>1023</v>
      </c>
    </row>
    <row r="1007" spans="6:7" ht="14.45" customHeight="1" outlineLevel="3" thickBot="1" x14ac:dyDescent="0.3">
      <c r="F1007" s="39" t="s">
        <v>1024</v>
      </c>
    </row>
    <row r="1008" spans="6:7" ht="14.45" customHeight="1" outlineLevel="4" thickBot="1" x14ac:dyDescent="0.3">
      <c r="G1008" s="18" t="s">
        <v>728</v>
      </c>
    </row>
    <row r="1009" spans="4:7" ht="14.45" customHeight="1" outlineLevel="4" thickBot="1" x14ac:dyDescent="0.3">
      <c r="G1009" s="18" t="s">
        <v>1025</v>
      </c>
    </row>
    <row r="1010" spans="4:7" ht="14.45" customHeight="1" outlineLevel="4" thickBot="1" x14ac:dyDescent="0.3">
      <c r="G1010" s="18" t="s">
        <v>1026</v>
      </c>
    </row>
    <row r="1011" spans="4:7" ht="14.45" customHeight="1" outlineLevel="4" thickBot="1" x14ac:dyDescent="0.3">
      <c r="G1011" s="18" t="s">
        <v>1027</v>
      </c>
    </row>
    <row r="1012" spans="4:7" ht="14.45" customHeight="1" outlineLevel="3" thickBot="1" x14ac:dyDescent="0.3">
      <c r="F1012" s="39" t="s">
        <v>1028</v>
      </c>
    </row>
    <row r="1013" spans="4:7" ht="14.45" customHeight="1" outlineLevel="4" thickBot="1" x14ac:dyDescent="0.3">
      <c r="G1013" s="18" t="s">
        <v>560</v>
      </c>
    </row>
    <row r="1014" spans="4:7" ht="14.45" customHeight="1" outlineLevel="4" thickBot="1" x14ac:dyDescent="0.3">
      <c r="G1014" s="18" t="s">
        <v>1029</v>
      </c>
    </row>
    <row r="1015" spans="4:7" ht="14.45" customHeight="1" outlineLevel="3" thickBot="1" x14ac:dyDescent="0.3">
      <c r="F1015" s="39" t="s">
        <v>1030</v>
      </c>
    </row>
    <row r="1016" spans="4:7" ht="14.45" customHeight="1" outlineLevel="4" thickBot="1" x14ac:dyDescent="0.3">
      <c r="G1016" s="18" t="s">
        <v>1031</v>
      </c>
    </row>
    <row r="1017" spans="4:7" ht="14.45" customHeight="1" outlineLevel="4" thickBot="1" x14ac:dyDescent="0.3">
      <c r="G1017" s="18" t="s">
        <v>1032</v>
      </c>
    </row>
    <row r="1018" spans="4:7" ht="14.45" customHeight="1" outlineLevel="4" thickBot="1" x14ac:dyDescent="0.3">
      <c r="G1018" s="18" t="s">
        <v>1033</v>
      </c>
    </row>
    <row r="1019" spans="4:7" ht="14.45" customHeight="1" outlineLevel="4" thickBot="1" x14ac:dyDescent="0.3">
      <c r="G1019" s="18" t="s">
        <v>1034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7" t="s">
        <v>66</v>
      </c>
      <c r="E1022" s="37"/>
    </row>
    <row r="1023" spans="4:7" ht="14.45" customHeight="1" outlineLevel="2" thickBot="1" x14ac:dyDescent="0.3">
      <c r="E1023" s="38" t="s">
        <v>1035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8" t="s">
        <v>1036</v>
      </c>
    </row>
    <row r="1027" spans="5:6" ht="14.45" customHeight="1" outlineLevel="3" thickBot="1" x14ac:dyDescent="0.3">
      <c r="F1027" s="39" t="s">
        <v>1037</v>
      </c>
    </row>
    <row r="1028" spans="5:6" ht="14.45" customHeight="1" outlineLevel="4" thickBot="1" x14ac:dyDescent="0.3"/>
    <row r="1029" spans="5:6" ht="14.45" customHeight="1" outlineLevel="3" thickBot="1" x14ac:dyDescent="0.3">
      <c r="F1029" s="39" t="s">
        <v>1038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8" t="s">
        <v>1039</v>
      </c>
    </row>
    <row r="1033" spans="5:6" ht="14.45" customHeight="1" outlineLevel="3" thickBot="1" x14ac:dyDescent="0.3">
      <c r="F1033" s="39" t="s">
        <v>1040</v>
      </c>
    </row>
    <row r="1034" spans="5:6" ht="14.45" customHeight="1" outlineLevel="4" thickBot="1" x14ac:dyDescent="0.3"/>
    <row r="1035" spans="5:6" ht="14.45" customHeight="1" outlineLevel="3" thickBot="1" x14ac:dyDescent="0.3">
      <c r="F1035" s="39" t="s">
        <v>1041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8" t="s">
        <v>1042</v>
      </c>
    </row>
    <row r="1039" spans="5:6" ht="14.45" customHeight="1" outlineLevel="3" thickBot="1" x14ac:dyDescent="0.3">
      <c r="F1039" s="39" t="s">
        <v>1043</v>
      </c>
    </row>
    <row r="1040" spans="5:6" ht="14.45" customHeight="1" outlineLevel="4" thickBot="1" x14ac:dyDescent="0.3"/>
    <row r="1041" spans="4:6" ht="14.45" customHeight="1" outlineLevel="3" thickBot="1" x14ac:dyDescent="0.3">
      <c r="F1041" s="39" t="s">
        <v>1044</v>
      </c>
    </row>
    <row r="1042" spans="4:6" ht="14.45" customHeight="1" outlineLevel="4" thickBot="1" x14ac:dyDescent="0.3"/>
    <row r="1043" spans="4:6" ht="14.45" customHeight="1" outlineLevel="3" thickBot="1" x14ac:dyDescent="0.3">
      <c r="F1043" s="39" t="s">
        <v>1045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8" t="s">
        <v>1046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7" t="s">
        <v>67</v>
      </c>
      <c r="E1050" s="37"/>
    </row>
    <row r="1051" spans="4:6" ht="14.45" customHeight="1" outlineLevel="2" thickBot="1" x14ac:dyDescent="0.3">
      <c r="E1051" s="38" t="s">
        <v>1047</v>
      </c>
    </row>
    <row r="1052" spans="4:6" ht="14.45" customHeight="1" outlineLevel="3" thickBot="1" x14ac:dyDescent="0.3">
      <c r="F1052" s="39" t="s">
        <v>972</v>
      </c>
    </row>
    <row r="1053" spans="4:6" ht="14.45" customHeight="1" outlineLevel="4" thickBot="1" x14ac:dyDescent="0.3"/>
    <row r="1054" spans="4:6" ht="14.45" customHeight="1" outlineLevel="3" thickBot="1" x14ac:dyDescent="0.3">
      <c r="F1054" s="39" t="s">
        <v>1048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8" t="s">
        <v>1049</v>
      </c>
    </row>
    <row r="1058" spans="5:6" ht="14.45" customHeight="1" outlineLevel="3" thickBot="1" x14ac:dyDescent="0.3">
      <c r="F1058" s="39" t="s">
        <v>1050</v>
      </c>
    </row>
    <row r="1059" spans="5:6" ht="14.45" customHeight="1" outlineLevel="4" thickBot="1" x14ac:dyDescent="0.3"/>
    <row r="1060" spans="5:6" ht="14.45" customHeight="1" outlineLevel="3" thickBot="1" x14ac:dyDescent="0.3">
      <c r="F1060" s="39" t="s">
        <v>1051</v>
      </c>
    </row>
    <row r="1061" spans="5:6" ht="14.45" customHeight="1" outlineLevel="4" thickBot="1" x14ac:dyDescent="0.3"/>
    <row r="1062" spans="5:6" ht="14.45" customHeight="1" outlineLevel="3" thickBot="1" x14ac:dyDescent="0.3">
      <c r="F1062" s="39" t="s">
        <v>1052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8" t="s">
        <v>1053</v>
      </c>
    </row>
    <row r="1066" spans="5:6" ht="14.45" customHeight="1" outlineLevel="3" thickBot="1" x14ac:dyDescent="0.3">
      <c r="F1066" s="39" t="s">
        <v>1054</v>
      </c>
    </row>
    <row r="1067" spans="5:6" ht="14.45" customHeight="1" outlineLevel="4" thickBot="1" x14ac:dyDescent="0.3"/>
    <row r="1068" spans="5:6" ht="14.45" customHeight="1" outlineLevel="3" thickBot="1" x14ac:dyDescent="0.3">
      <c r="F1068" s="39" t="s">
        <v>1055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8" t="s">
        <v>1056</v>
      </c>
    </row>
    <row r="1072" spans="5:6" ht="14.45" customHeight="1" outlineLevel="3" thickBot="1" x14ac:dyDescent="0.3">
      <c r="F1072" s="39" t="s">
        <v>1057</v>
      </c>
    </row>
    <row r="1073" spans="5:6" ht="14.45" customHeight="1" outlineLevel="4" thickBot="1" x14ac:dyDescent="0.3"/>
    <row r="1074" spans="5:6" ht="14.45" customHeight="1" outlineLevel="3" thickBot="1" x14ac:dyDescent="0.3">
      <c r="F1074" s="39" t="s">
        <v>1058</v>
      </c>
    </row>
    <row r="1075" spans="5:6" ht="14.45" customHeight="1" outlineLevel="4" thickBot="1" x14ac:dyDescent="0.3"/>
    <row r="1076" spans="5:6" ht="14.45" customHeight="1" outlineLevel="3" thickBot="1" x14ac:dyDescent="0.3">
      <c r="F1076" s="39" t="s">
        <v>1059</v>
      </c>
    </row>
    <row r="1077" spans="5:6" ht="14.45" customHeight="1" outlineLevel="4" thickBot="1" x14ac:dyDescent="0.3"/>
    <row r="1078" spans="5:6" ht="14.45" customHeight="1" outlineLevel="3" thickBot="1" x14ac:dyDescent="0.3">
      <c r="F1078" s="39" t="s">
        <v>1060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8" t="s">
        <v>1061</v>
      </c>
    </row>
    <row r="1082" spans="5:6" ht="14.45" customHeight="1" outlineLevel="3" thickBot="1" x14ac:dyDescent="0.3">
      <c r="F1082" s="39" t="s">
        <v>1062</v>
      </c>
    </row>
    <row r="1083" spans="5:6" ht="14.45" customHeight="1" outlineLevel="4" thickBot="1" x14ac:dyDescent="0.3"/>
    <row r="1084" spans="5:6" ht="14.45" customHeight="1" outlineLevel="3" thickBot="1" x14ac:dyDescent="0.3">
      <c r="F1084" s="39" t="s">
        <v>1063</v>
      </c>
    </row>
    <row r="1085" spans="5:6" ht="14.45" customHeight="1" outlineLevel="4" thickBot="1" x14ac:dyDescent="0.3"/>
    <row r="1086" spans="5:6" ht="14.45" customHeight="1" outlineLevel="3" thickBot="1" x14ac:dyDescent="0.3">
      <c r="F1086" s="39" t="s">
        <v>1064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6" t="s">
        <v>1065</v>
      </c>
      <c r="D1091" s="36"/>
    </row>
    <row r="1092" spans="3:6" ht="14.45" customHeight="1" outlineLevel="1" thickBot="1" x14ac:dyDescent="0.3">
      <c r="D1092" s="37" t="s">
        <v>69</v>
      </c>
      <c r="E1092" s="37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7" t="s">
        <v>71</v>
      </c>
      <c r="E1096" s="37"/>
    </row>
    <row r="1097" spans="3:6" ht="14.45" customHeight="1" outlineLevel="2" thickBot="1" x14ac:dyDescent="0.3">
      <c r="E1097" s="38" t="s">
        <v>469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8" t="s">
        <v>1066</v>
      </c>
    </row>
    <row r="1101" spans="3:6" ht="14.45" customHeight="1" outlineLevel="3" thickBot="1" x14ac:dyDescent="0.3">
      <c r="F1101" s="39" t="s">
        <v>1067</v>
      </c>
    </row>
    <row r="1102" spans="3:6" ht="14.45" customHeight="1" outlineLevel="4" thickBot="1" x14ac:dyDescent="0.3"/>
    <row r="1103" spans="3:6" ht="14.45" customHeight="1" outlineLevel="3" thickBot="1" x14ac:dyDescent="0.3">
      <c r="F1103" s="39" t="s">
        <v>1068</v>
      </c>
    </row>
    <row r="1104" spans="3:6" ht="14.45" customHeight="1" outlineLevel="4" thickBot="1" x14ac:dyDescent="0.3"/>
    <row r="1105" spans="3:7" ht="14.45" customHeight="1" outlineLevel="3" thickBot="1" x14ac:dyDescent="0.3">
      <c r="F1105" s="39" t="s">
        <v>1069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8" t="s">
        <v>1070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6" t="s">
        <v>1071</v>
      </c>
      <c r="D1113" s="36"/>
    </row>
    <row r="1114" spans="3:7" ht="14.45" customHeight="1" outlineLevel="1" thickBot="1" x14ac:dyDescent="0.3">
      <c r="D1114" s="37" t="s">
        <v>74</v>
      </c>
      <c r="E1114" s="37"/>
    </row>
    <row r="1115" spans="3:7" ht="14.45" customHeight="1" outlineLevel="2" thickBot="1" x14ac:dyDescent="0.3">
      <c r="E1115" s="38" t="s">
        <v>1072</v>
      </c>
    </row>
    <row r="1116" spans="3:7" ht="14.45" customHeight="1" outlineLevel="3" thickBot="1" x14ac:dyDescent="0.3">
      <c r="F1116" s="39" t="s">
        <v>559</v>
      </c>
    </row>
    <row r="1117" spans="3:7" ht="14.45" customHeight="1" outlineLevel="4" thickBot="1" x14ac:dyDescent="0.3">
      <c r="G1117" s="18" t="s">
        <v>560</v>
      </c>
    </row>
    <row r="1118" spans="3:7" ht="14.45" customHeight="1" outlineLevel="4" thickBot="1" x14ac:dyDescent="0.3">
      <c r="G1118" s="18" t="s">
        <v>561</v>
      </c>
    </row>
    <row r="1119" spans="3:7" ht="14.45" customHeight="1" outlineLevel="3" thickBot="1" x14ac:dyDescent="0.3">
      <c r="F1119" s="39" t="s">
        <v>1634</v>
      </c>
    </row>
    <row r="1120" spans="3:7" ht="14.45" customHeight="1" outlineLevel="4" thickBot="1" x14ac:dyDescent="0.3">
      <c r="G1120" s="18" t="s">
        <v>1073</v>
      </c>
    </row>
    <row r="1121" spans="5:7" ht="14.45" customHeight="1" outlineLevel="4" thickBot="1" x14ac:dyDescent="0.3">
      <c r="G1121" s="18" t="s">
        <v>1074</v>
      </c>
    </row>
    <row r="1122" spans="5:7" ht="14.45" customHeight="1" outlineLevel="4" thickBot="1" x14ac:dyDescent="0.3">
      <c r="G1122" s="18" t="s">
        <v>1075</v>
      </c>
    </row>
    <row r="1123" spans="5:7" ht="14.45" customHeight="1" outlineLevel="4" thickBot="1" x14ac:dyDescent="0.3">
      <c r="G1123" s="18" t="s">
        <v>1076</v>
      </c>
    </row>
    <row r="1124" spans="5:7" ht="14.45" customHeight="1" outlineLevel="4" thickBot="1" x14ac:dyDescent="0.3">
      <c r="G1124" s="18" t="s">
        <v>1077</v>
      </c>
    </row>
    <row r="1125" spans="5:7" ht="14.45" customHeight="1" outlineLevel="3" thickBot="1" x14ac:dyDescent="0.3">
      <c r="F1125" s="39" t="s">
        <v>1078</v>
      </c>
    </row>
    <row r="1126" spans="5:7" ht="14.45" customHeight="1" outlineLevel="4" thickBot="1" x14ac:dyDescent="0.3">
      <c r="G1126" s="18" t="s">
        <v>1079</v>
      </c>
    </row>
    <row r="1127" spans="5:7" ht="14.45" customHeight="1" outlineLevel="4" thickBot="1" x14ac:dyDescent="0.3">
      <c r="G1127" s="18" t="s">
        <v>1080</v>
      </c>
    </row>
    <row r="1128" spans="5:7" ht="14.45" customHeight="1" outlineLevel="3" thickBot="1" x14ac:dyDescent="0.3">
      <c r="F1128" s="39" t="s">
        <v>1081</v>
      </c>
    </row>
    <row r="1129" spans="5:7" ht="14.45" customHeight="1" outlineLevel="4" thickBot="1" x14ac:dyDescent="0.3"/>
    <row r="1130" spans="5:7" ht="14.45" customHeight="1" outlineLevel="3" thickBot="1" x14ac:dyDescent="0.3">
      <c r="F1130" s="39" t="s">
        <v>1082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8" t="s">
        <v>1083</v>
      </c>
    </row>
    <row r="1134" spans="5:7" ht="14.45" customHeight="1" outlineLevel="3" thickBot="1" x14ac:dyDescent="0.3">
      <c r="F1134" s="39" t="s">
        <v>559</v>
      </c>
    </row>
    <row r="1135" spans="5:7" ht="14.45" customHeight="1" outlineLevel="4" thickBot="1" x14ac:dyDescent="0.3">
      <c r="G1135" s="18" t="s">
        <v>560</v>
      </c>
    </row>
    <row r="1136" spans="5:7" ht="14.45" customHeight="1" outlineLevel="4" thickBot="1" x14ac:dyDescent="0.3">
      <c r="G1136" s="18" t="s">
        <v>1084</v>
      </c>
    </row>
    <row r="1137" spans="4:7" ht="14.45" customHeight="1" outlineLevel="3" thickBot="1" x14ac:dyDescent="0.3">
      <c r="F1137" s="39" t="s">
        <v>1085</v>
      </c>
    </row>
    <row r="1138" spans="4:7" ht="14.45" customHeight="1" outlineLevel="4" thickBot="1" x14ac:dyDescent="0.3">
      <c r="G1138" s="18" t="s">
        <v>1086</v>
      </c>
    </row>
    <row r="1139" spans="4:7" ht="14.45" customHeight="1" outlineLevel="4" thickBot="1" x14ac:dyDescent="0.3">
      <c r="G1139" s="18" t="s">
        <v>1087</v>
      </c>
    </row>
    <row r="1140" spans="4:7" ht="14.45" customHeight="1" outlineLevel="4" thickBot="1" x14ac:dyDescent="0.3">
      <c r="G1140" s="18" t="s">
        <v>1088</v>
      </c>
    </row>
    <row r="1141" spans="4:7" ht="14.45" customHeight="1" outlineLevel="4" thickBot="1" x14ac:dyDescent="0.3">
      <c r="G1141" s="18" t="s">
        <v>1089</v>
      </c>
    </row>
    <row r="1142" spans="4:7" ht="14.45" customHeight="1" outlineLevel="3" thickBot="1" x14ac:dyDescent="0.3">
      <c r="F1142" s="39" t="s">
        <v>1090</v>
      </c>
    </row>
    <row r="1143" spans="4:7" ht="14.45" customHeight="1" outlineLevel="4" thickBot="1" x14ac:dyDescent="0.3">
      <c r="G1143" s="18" t="s">
        <v>1079</v>
      </c>
    </row>
    <row r="1144" spans="4:7" ht="14.45" customHeight="1" outlineLevel="4" thickBot="1" x14ac:dyDescent="0.3">
      <c r="G1144" s="18" t="s">
        <v>1091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7" t="s">
        <v>75</v>
      </c>
      <c r="E1147" s="37"/>
    </row>
    <row r="1148" spans="4:7" ht="14.45" customHeight="1" outlineLevel="2" thickBot="1" x14ac:dyDescent="0.3">
      <c r="E1148" s="38" t="s">
        <v>1092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8" t="s">
        <v>1093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8" t="s">
        <v>1094</v>
      </c>
    </row>
    <row r="1155" spans="5:6" ht="14.45" customHeight="1" outlineLevel="3" thickBot="1" x14ac:dyDescent="0.3">
      <c r="F1155" s="39" t="s">
        <v>1095</v>
      </c>
    </row>
    <row r="1156" spans="5:6" ht="14.45" customHeight="1" outlineLevel="4" thickBot="1" x14ac:dyDescent="0.3"/>
    <row r="1157" spans="5:6" ht="14.45" customHeight="1" outlineLevel="3" thickBot="1" x14ac:dyDescent="0.3">
      <c r="F1157" s="39" t="s">
        <v>1096</v>
      </c>
    </row>
    <row r="1158" spans="5:6" ht="14.45" customHeight="1" outlineLevel="4" thickBot="1" x14ac:dyDescent="0.3"/>
    <row r="1159" spans="5:6" ht="14.45" customHeight="1" outlineLevel="3" thickBot="1" x14ac:dyDescent="0.3">
      <c r="F1159" s="39" t="s">
        <v>1097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8" t="s">
        <v>1098</v>
      </c>
    </row>
    <row r="1163" spans="5:6" ht="14.45" customHeight="1" outlineLevel="3" thickBot="1" x14ac:dyDescent="0.3">
      <c r="F1163" s="39" t="s">
        <v>1099</v>
      </c>
    </row>
    <row r="1164" spans="5:6" ht="14.45" customHeight="1" outlineLevel="4" thickBot="1" x14ac:dyDescent="0.3"/>
    <row r="1165" spans="5:6" ht="14.45" customHeight="1" outlineLevel="3" thickBot="1" x14ac:dyDescent="0.3">
      <c r="F1165" s="39" t="s">
        <v>1100</v>
      </c>
    </row>
    <row r="1166" spans="5:6" ht="14.45" customHeight="1" outlineLevel="4" thickBot="1" x14ac:dyDescent="0.3"/>
    <row r="1167" spans="5:6" ht="14.45" customHeight="1" outlineLevel="3" thickBot="1" x14ac:dyDescent="0.3">
      <c r="F1167" s="39" t="s">
        <v>1101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8" t="s">
        <v>1102</v>
      </c>
    </row>
    <row r="1171" spans="4:7" ht="14.45" customHeight="1" outlineLevel="3" thickBot="1" x14ac:dyDescent="0.3">
      <c r="F1171" s="39" t="s">
        <v>1103</v>
      </c>
    </row>
    <row r="1172" spans="4:7" ht="14.45" customHeight="1" outlineLevel="4" thickBot="1" x14ac:dyDescent="0.3"/>
    <row r="1173" spans="4:7" ht="14.45" customHeight="1" outlineLevel="3" thickBot="1" x14ac:dyDescent="0.3">
      <c r="F1173" s="39" t="s">
        <v>1104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7" t="s">
        <v>78</v>
      </c>
      <c r="E1177" s="37"/>
    </row>
    <row r="1178" spans="4:7" ht="14.45" customHeight="1" outlineLevel="2" thickBot="1" x14ac:dyDescent="0.3">
      <c r="E1178" s="38" t="s">
        <v>1105</v>
      </c>
    </row>
    <row r="1179" spans="4:7" ht="14.45" customHeight="1" outlineLevel="3" thickBot="1" x14ac:dyDescent="0.3">
      <c r="F1179" s="39" t="s">
        <v>513</v>
      </c>
    </row>
    <row r="1180" spans="4:7" ht="14.45" customHeight="1" outlineLevel="4" thickBot="1" x14ac:dyDescent="0.3"/>
    <row r="1181" spans="4:7" ht="14.45" customHeight="1" outlineLevel="3" thickBot="1" x14ac:dyDescent="0.3">
      <c r="F1181" s="39" t="s">
        <v>1106</v>
      </c>
    </row>
    <row r="1182" spans="4:7" ht="14.45" customHeight="1" outlineLevel="4" thickBot="1" x14ac:dyDescent="0.3">
      <c r="G1182" s="18" t="s">
        <v>670</v>
      </c>
    </row>
    <row r="1183" spans="4:7" ht="14.45" customHeight="1" outlineLevel="4" thickBot="1" x14ac:dyDescent="0.3">
      <c r="G1183" s="18" t="s">
        <v>671</v>
      </c>
    </row>
    <row r="1184" spans="4:7" ht="14.45" customHeight="1" outlineLevel="4" thickBot="1" x14ac:dyDescent="0.3">
      <c r="G1184" s="18" t="s">
        <v>672</v>
      </c>
    </row>
    <row r="1185" spans="6:7" ht="14.45" customHeight="1" outlineLevel="4" thickBot="1" x14ac:dyDescent="0.3">
      <c r="G1185" s="18" t="s">
        <v>1107</v>
      </c>
    </row>
    <row r="1186" spans="6:7" ht="14.45" customHeight="1" outlineLevel="3" thickBot="1" x14ac:dyDescent="0.3">
      <c r="F1186" s="39" t="s">
        <v>1108</v>
      </c>
    </row>
    <row r="1187" spans="6:7" ht="14.45" customHeight="1" outlineLevel="4" thickBot="1" x14ac:dyDescent="0.3">
      <c r="G1187" s="18" t="s">
        <v>1073</v>
      </c>
    </row>
    <row r="1188" spans="6:7" ht="14.45" customHeight="1" outlineLevel="4" thickBot="1" x14ac:dyDescent="0.3">
      <c r="G1188" s="18" t="s">
        <v>1074</v>
      </c>
    </row>
    <row r="1189" spans="6:7" ht="14.45" customHeight="1" outlineLevel="4" thickBot="1" x14ac:dyDescent="0.3">
      <c r="G1189" s="18" t="s">
        <v>1075</v>
      </c>
    </row>
    <row r="1190" spans="6:7" ht="14.45" customHeight="1" outlineLevel="4" thickBot="1" x14ac:dyDescent="0.3">
      <c r="G1190" s="18" t="s">
        <v>1076</v>
      </c>
    </row>
    <row r="1191" spans="6:7" ht="14.45" customHeight="1" outlineLevel="3" thickBot="1" x14ac:dyDescent="0.3">
      <c r="F1191" s="39" t="s">
        <v>1109</v>
      </c>
    </row>
    <row r="1192" spans="6:7" ht="14.45" customHeight="1" outlineLevel="4" thickBot="1" x14ac:dyDescent="0.3">
      <c r="G1192" s="18" t="s">
        <v>1110</v>
      </c>
    </row>
    <row r="1193" spans="6:7" ht="14.45" customHeight="1" outlineLevel="4" thickBot="1" x14ac:dyDescent="0.3">
      <c r="G1193" s="18" t="s">
        <v>1111</v>
      </c>
    </row>
    <row r="1194" spans="6:7" ht="14.45" customHeight="1" outlineLevel="4" thickBot="1" x14ac:dyDescent="0.3">
      <c r="G1194" s="18" t="s">
        <v>1112</v>
      </c>
    </row>
    <row r="1195" spans="6:7" ht="14.45" customHeight="1" outlineLevel="4" thickBot="1" x14ac:dyDescent="0.3">
      <c r="G1195" s="18" t="s">
        <v>1113</v>
      </c>
    </row>
    <row r="1196" spans="6:7" ht="14.45" customHeight="1" outlineLevel="3" thickBot="1" x14ac:dyDescent="0.3">
      <c r="F1196" s="39" t="s">
        <v>1114</v>
      </c>
    </row>
    <row r="1197" spans="6:7" ht="14.45" customHeight="1" outlineLevel="4" thickBot="1" x14ac:dyDescent="0.3">
      <c r="G1197" s="18" t="s">
        <v>1115</v>
      </c>
    </row>
    <row r="1198" spans="6:7" ht="14.45" customHeight="1" outlineLevel="4" thickBot="1" x14ac:dyDescent="0.3">
      <c r="G1198" s="18" t="s">
        <v>1116</v>
      </c>
    </row>
    <row r="1199" spans="6:7" ht="14.45" customHeight="1" outlineLevel="4" thickBot="1" x14ac:dyDescent="0.3">
      <c r="G1199" s="18" t="s">
        <v>1117</v>
      </c>
    </row>
    <row r="1200" spans="6:7" ht="14.45" customHeight="1" outlineLevel="3" thickBot="1" x14ac:dyDescent="0.3">
      <c r="F1200" s="39" t="s">
        <v>1118</v>
      </c>
    </row>
    <row r="1201" spans="5:7" ht="14.45" customHeight="1" outlineLevel="4" thickBot="1" x14ac:dyDescent="0.3">
      <c r="G1201" s="18" t="s">
        <v>560</v>
      </c>
    </row>
    <row r="1202" spans="5:7" ht="14.45" customHeight="1" outlineLevel="4" thickBot="1" x14ac:dyDescent="0.3">
      <c r="G1202" s="18" t="s">
        <v>1119</v>
      </c>
    </row>
    <row r="1203" spans="5:7" ht="14.45" customHeight="1" outlineLevel="4" thickBot="1" x14ac:dyDescent="0.3">
      <c r="G1203" s="18" t="s">
        <v>1120</v>
      </c>
    </row>
    <row r="1204" spans="5:7" ht="14.45" customHeight="1" outlineLevel="4" thickBot="1" x14ac:dyDescent="0.3">
      <c r="G1204" s="18" t="s">
        <v>1121</v>
      </c>
    </row>
    <row r="1205" spans="5:7" ht="14.45" customHeight="1" outlineLevel="3" thickBot="1" x14ac:dyDescent="0.3"/>
    <row r="1206" spans="5:7" ht="14.45" customHeight="1" outlineLevel="2" thickBot="1" x14ac:dyDescent="0.3">
      <c r="E1206" s="38" t="s">
        <v>1122</v>
      </c>
    </row>
    <row r="1207" spans="5:7" ht="14.45" customHeight="1" outlineLevel="3" thickBot="1" x14ac:dyDescent="0.3">
      <c r="F1207" s="39" t="s">
        <v>513</v>
      </c>
    </row>
    <row r="1208" spans="5:7" ht="14.45" customHeight="1" outlineLevel="4" thickBot="1" x14ac:dyDescent="0.3"/>
    <row r="1209" spans="5:7" ht="14.45" customHeight="1" outlineLevel="3" thickBot="1" x14ac:dyDescent="0.3">
      <c r="F1209" s="39" t="s">
        <v>1106</v>
      </c>
    </row>
    <row r="1210" spans="5:7" ht="14.45" customHeight="1" outlineLevel="4" thickBot="1" x14ac:dyDescent="0.3">
      <c r="G1210" s="18" t="s">
        <v>670</v>
      </c>
    </row>
    <row r="1211" spans="5:7" ht="14.45" customHeight="1" outlineLevel="4" thickBot="1" x14ac:dyDescent="0.3">
      <c r="G1211" s="18" t="s">
        <v>671</v>
      </c>
    </row>
    <row r="1212" spans="5:7" ht="14.45" customHeight="1" outlineLevel="4" thickBot="1" x14ac:dyDescent="0.3">
      <c r="G1212" s="18" t="s">
        <v>672</v>
      </c>
    </row>
    <row r="1213" spans="5:7" ht="14.45" customHeight="1" outlineLevel="3" thickBot="1" x14ac:dyDescent="0.3">
      <c r="F1213" s="39" t="s">
        <v>1108</v>
      </c>
    </row>
    <row r="1214" spans="5:7" ht="14.45" customHeight="1" outlineLevel="4" thickBot="1" x14ac:dyDescent="0.3"/>
    <row r="1215" spans="5:7" ht="14.45" customHeight="1" outlineLevel="3" thickBot="1" x14ac:dyDescent="0.3">
      <c r="F1215" s="39" t="s">
        <v>1123</v>
      </c>
    </row>
    <row r="1216" spans="5:7" ht="14.45" customHeight="1" outlineLevel="4" thickBot="1" x14ac:dyDescent="0.3"/>
    <row r="1217" spans="3:7" ht="14.45" customHeight="1" outlineLevel="3" thickBot="1" x14ac:dyDescent="0.3">
      <c r="F1217" s="39" t="s">
        <v>1124</v>
      </c>
    </row>
    <row r="1218" spans="3:7" ht="14.45" customHeight="1" outlineLevel="4" thickBot="1" x14ac:dyDescent="0.3">
      <c r="G1218" s="18" t="s">
        <v>670</v>
      </c>
    </row>
    <row r="1219" spans="3:7" ht="14.45" customHeight="1" outlineLevel="4" thickBot="1" x14ac:dyDescent="0.3">
      <c r="G1219" s="18" t="s">
        <v>671</v>
      </c>
    </row>
    <row r="1220" spans="3:7" ht="14.45" customHeight="1" outlineLevel="4" thickBot="1" x14ac:dyDescent="0.3">
      <c r="G1220" s="18" t="s">
        <v>672</v>
      </c>
    </row>
    <row r="1221" spans="3:7" ht="14.45" customHeight="1" outlineLevel="3" thickBot="1" x14ac:dyDescent="0.3">
      <c r="F1221" s="39" t="s">
        <v>1125</v>
      </c>
    </row>
    <row r="1222" spans="3:7" ht="14.45" customHeight="1" outlineLevel="4" thickBot="1" x14ac:dyDescent="0.3"/>
    <row r="1223" spans="3:7" ht="14.45" customHeight="1" outlineLevel="3" thickBot="1" x14ac:dyDescent="0.3">
      <c r="F1223" s="39" t="s">
        <v>1126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6" t="s">
        <v>1127</v>
      </c>
      <c r="D1228" s="36"/>
    </row>
    <row r="1229" spans="3:7" ht="14.45" customHeight="1" outlineLevel="1" thickBot="1" x14ac:dyDescent="0.3">
      <c r="D1229" s="37" t="s">
        <v>1128</v>
      </c>
      <c r="E1229" s="37"/>
    </row>
    <row r="1230" spans="3:7" ht="14.45" customHeight="1" outlineLevel="2" thickBot="1" x14ac:dyDescent="0.3">
      <c r="E1230" s="38" t="s">
        <v>1129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8" t="s">
        <v>1130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7" t="s">
        <v>79</v>
      </c>
      <c r="E1237" s="37"/>
    </row>
    <row r="1238" spans="4:7" ht="14.45" customHeight="1" outlineLevel="2" thickBot="1" x14ac:dyDescent="0.3">
      <c r="E1238" s="38" t="s">
        <v>1131</v>
      </c>
    </row>
    <row r="1239" spans="4:7" ht="14.45" customHeight="1" outlineLevel="3" thickBot="1" x14ac:dyDescent="0.3">
      <c r="F1239" s="39" t="s">
        <v>1132</v>
      </c>
    </row>
    <row r="1240" spans="4:7" ht="14.45" customHeight="1" outlineLevel="4" thickBot="1" x14ac:dyDescent="0.3">
      <c r="G1240" s="18" t="s">
        <v>560</v>
      </c>
    </row>
    <row r="1241" spans="4:7" ht="14.45" customHeight="1" outlineLevel="4" thickBot="1" x14ac:dyDescent="0.3">
      <c r="G1241" s="18" t="s">
        <v>1133</v>
      </c>
    </row>
    <row r="1242" spans="4:7" ht="14.45" customHeight="1" outlineLevel="3" thickBot="1" x14ac:dyDescent="0.3">
      <c r="F1242" s="39" t="s">
        <v>1134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8" t="s">
        <v>1135</v>
      </c>
    </row>
    <row r="1246" spans="4:7" ht="14.45" customHeight="1" outlineLevel="3" thickBot="1" x14ac:dyDescent="0.3">
      <c r="F1246" s="39" t="s">
        <v>559</v>
      </c>
    </row>
    <row r="1247" spans="4:7" ht="14.45" customHeight="1" outlineLevel="4" thickBot="1" x14ac:dyDescent="0.3">
      <c r="G1247" s="18" t="s">
        <v>1136</v>
      </c>
    </row>
    <row r="1248" spans="4:7" ht="14.45" customHeight="1" outlineLevel="4" thickBot="1" x14ac:dyDescent="0.3">
      <c r="G1248" s="18" t="s">
        <v>1137</v>
      </c>
    </row>
    <row r="1249" spans="5:7" ht="14.45" customHeight="1" outlineLevel="4" thickBot="1" x14ac:dyDescent="0.3">
      <c r="G1249" s="18" t="s">
        <v>1138</v>
      </c>
    </row>
    <row r="1250" spans="5:7" ht="14.45" customHeight="1" outlineLevel="3" thickBot="1" x14ac:dyDescent="0.3">
      <c r="F1250" s="39" t="s">
        <v>1139</v>
      </c>
    </row>
    <row r="1251" spans="5:7" ht="14.45" customHeight="1" outlineLevel="4" thickBot="1" x14ac:dyDescent="0.3">
      <c r="G1251" s="18" t="s">
        <v>1140</v>
      </c>
    </row>
    <row r="1252" spans="5:7" ht="14.45" customHeight="1" outlineLevel="4" thickBot="1" x14ac:dyDescent="0.3">
      <c r="G1252" s="18" t="s">
        <v>1141</v>
      </c>
    </row>
    <row r="1253" spans="5:7" ht="14.45" customHeight="1" outlineLevel="4" thickBot="1" x14ac:dyDescent="0.3">
      <c r="G1253" s="18" t="s">
        <v>1142</v>
      </c>
    </row>
    <row r="1254" spans="5:7" ht="14.45" customHeight="1" outlineLevel="4" thickBot="1" x14ac:dyDescent="0.3">
      <c r="G1254" s="18" t="s">
        <v>1143</v>
      </c>
    </row>
    <row r="1255" spans="5:7" ht="14.45" customHeight="1" outlineLevel="4" thickBot="1" x14ac:dyDescent="0.3">
      <c r="G1255" s="18" t="s">
        <v>1144</v>
      </c>
    </row>
    <row r="1256" spans="5:7" ht="14.45" customHeight="1" outlineLevel="3" thickBot="1" x14ac:dyDescent="0.3">
      <c r="F1256" s="39" t="s">
        <v>1145</v>
      </c>
    </row>
    <row r="1257" spans="5:7" ht="14.45" customHeight="1" outlineLevel="4" thickBot="1" x14ac:dyDescent="0.3">
      <c r="G1257" s="18" t="s">
        <v>670</v>
      </c>
    </row>
    <row r="1258" spans="5:7" ht="14.45" customHeight="1" outlineLevel="4" thickBot="1" x14ac:dyDescent="0.3">
      <c r="G1258" s="18" t="s">
        <v>671</v>
      </c>
    </row>
    <row r="1259" spans="5:7" ht="14.45" customHeight="1" outlineLevel="4" thickBot="1" x14ac:dyDescent="0.3">
      <c r="G1259" s="18" t="s">
        <v>672</v>
      </c>
    </row>
    <row r="1260" spans="5:7" ht="14.45" customHeight="1" outlineLevel="3" thickBot="1" x14ac:dyDescent="0.3"/>
    <row r="1261" spans="5:7" ht="14.45" customHeight="1" outlineLevel="2" thickBot="1" x14ac:dyDescent="0.3">
      <c r="E1261" s="38" t="s">
        <v>1146</v>
      </c>
    </row>
    <row r="1262" spans="5:7" ht="14.45" customHeight="1" outlineLevel="3" thickBot="1" x14ac:dyDescent="0.3">
      <c r="F1262" s="39" t="s">
        <v>1147</v>
      </c>
    </row>
    <row r="1263" spans="5:7" ht="14.45" customHeight="1" outlineLevel="4" thickBot="1" x14ac:dyDescent="0.3">
      <c r="G1263" s="18" t="s">
        <v>1148</v>
      </c>
    </row>
    <row r="1264" spans="5:7" ht="14.45" customHeight="1" outlineLevel="4" thickBot="1" x14ac:dyDescent="0.3">
      <c r="G1264" s="18" t="s">
        <v>1149</v>
      </c>
    </row>
    <row r="1265" spans="5:7" ht="14.45" customHeight="1" outlineLevel="4" thickBot="1" x14ac:dyDescent="0.3">
      <c r="G1265" s="18" t="s">
        <v>1150</v>
      </c>
    </row>
    <row r="1266" spans="5:7" ht="14.45" customHeight="1" outlineLevel="3" thickBot="1" x14ac:dyDescent="0.3">
      <c r="F1266" s="39" t="s">
        <v>1151</v>
      </c>
    </row>
    <row r="1267" spans="5:7" ht="14.45" customHeight="1" outlineLevel="4" thickBot="1" x14ac:dyDescent="0.3">
      <c r="G1267" s="18" t="s">
        <v>1152</v>
      </c>
    </row>
    <row r="1268" spans="5:7" ht="14.45" customHeight="1" outlineLevel="4" thickBot="1" x14ac:dyDescent="0.3">
      <c r="G1268" s="18" t="s">
        <v>1153</v>
      </c>
    </row>
    <row r="1269" spans="5:7" ht="14.45" customHeight="1" outlineLevel="3" thickBot="1" x14ac:dyDescent="0.3">
      <c r="F1269" s="39" t="s">
        <v>1154</v>
      </c>
    </row>
    <row r="1270" spans="5:7" ht="14.45" customHeight="1" outlineLevel="4" thickBot="1" x14ac:dyDescent="0.3">
      <c r="G1270" s="18" t="s">
        <v>1155</v>
      </c>
    </row>
    <row r="1271" spans="5:7" ht="14.45" customHeight="1" outlineLevel="4" thickBot="1" x14ac:dyDescent="0.3">
      <c r="G1271" s="18" t="s">
        <v>1156</v>
      </c>
    </row>
    <row r="1272" spans="5:7" ht="14.45" customHeight="1" outlineLevel="4" thickBot="1" x14ac:dyDescent="0.3">
      <c r="G1272" s="18" t="s">
        <v>1157</v>
      </c>
    </row>
    <row r="1273" spans="5:7" ht="14.45" customHeight="1" outlineLevel="4" thickBot="1" x14ac:dyDescent="0.3">
      <c r="G1273" s="18" t="s">
        <v>1158</v>
      </c>
    </row>
    <row r="1274" spans="5:7" ht="14.45" customHeight="1" outlineLevel="4" thickBot="1" x14ac:dyDescent="0.3">
      <c r="G1274" s="18" t="s">
        <v>1159</v>
      </c>
    </row>
    <row r="1275" spans="5:7" ht="14.45" customHeight="1" outlineLevel="3" thickBot="1" x14ac:dyDescent="0.3"/>
    <row r="1276" spans="5:7" ht="14.45" customHeight="1" outlineLevel="2" thickBot="1" x14ac:dyDescent="0.3">
      <c r="E1276" s="38" t="s">
        <v>1160</v>
      </c>
    </row>
    <row r="1277" spans="5:7" ht="14.45" customHeight="1" outlineLevel="3" thickBot="1" x14ac:dyDescent="0.3">
      <c r="F1277" s="39" t="s">
        <v>1161</v>
      </c>
    </row>
    <row r="1278" spans="5:7" ht="14.45" customHeight="1" outlineLevel="4" thickBot="1" x14ac:dyDescent="0.3"/>
    <row r="1279" spans="5:7" ht="14.45" customHeight="1" outlineLevel="3" thickBot="1" x14ac:dyDescent="0.3">
      <c r="F1279" s="39" t="s">
        <v>1162</v>
      </c>
    </row>
    <row r="1280" spans="5:7" ht="14.45" customHeight="1" outlineLevel="4" thickBot="1" x14ac:dyDescent="0.3"/>
    <row r="1281" spans="6:7" ht="14.45" customHeight="1" outlineLevel="3" thickBot="1" x14ac:dyDescent="0.3">
      <c r="F1281" s="39" t="s">
        <v>1163</v>
      </c>
    </row>
    <row r="1282" spans="6:7" ht="14.45" customHeight="1" outlineLevel="4" thickBot="1" x14ac:dyDescent="0.3"/>
    <row r="1283" spans="6:7" ht="14.45" customHeight="1" outlineLevel="3" thickBot="1" x14ac:dyDescent="0.3">
      <c r="F1283" s="39" t="s">
        <v>1164</v>
      </c>
    </row>
    <row r="1284" spans="6:7" ht="14.45" customHeight="1" outlineLevel="4" thickBot="1" x14ac:dyDescent="0.3">
      <c r="G1284" s="18" t="s">
        <v>1165</v>
      </c>
    </row>
    <row r="1285" spans="6:7" ht="14.45" customHeight="1" outlineLevel="4" thickBot="1" x14ac:dyDescent="0.3">
      <c r="G1285" s="18" t="s">
        <v>1166</v>
      </c>
    </row>
    <row r="1286" spans="6:7" ht="14.45" customHeight="1" outlineLevel="3" thickBot="1" x14ac:dyDescent="0.3">
      <c r="F1286" s="39" t="s">
        <v>1167</v>
      </c>
    </row>
    <row r="1287" spans="6:7" ht="14.45" customHeight="1" outlineLevel="4" thickBot="1" x14ac:dyDescent="0.3">
      <c r="G1287" s="18" t="s">
        <v>1168</v>
      </c>
    </row>
    <row r="1288" spans="6:7" ht="14.45" customHeight="1" outlineLevel="4" thickBot="1" x14ac:dyDescent="0.3">
      <c r="G1288" s="18" t="s">
        <v>1169</v>
      </c>
    </row>
    <row r="1289" spans="6:7" ht="14.45" customHeight="1" outlineLevel="4" thickBot="1" x14ac:dyDescent="0.3">
      <c r="G1289" s="18" t="s">
        <v>1170</v>
      </c>
    </row>
    <row r="1290" spans="6:7" ht="14.45" customHeight="1" outlineLevel="4" thickBot="1" x14ac:dyDescent="0.3">
      <c r="G1290" s="18" t="s">
        <v>1171</v>
      </c>
    </row>
    <row r="1291" spans="6:7" ht="14.45" customHeight="1" outlineLevel="4" thickBot="1" x14ac:dyDescent="0.3">
      <c r="G1291" s="18" t="s">
        <v>1172</v>
      </c>
    </row>
    <row r="1292" spans="6:7" ht="14.45" customHeight="1" outlineLevel="3" thickBot="1" x14ac:dyDescent="0.3">
      <c r="F1292" s="39" t="s">
        <v>1173</v>
      </c>
    </row>
    <row r="1293" spans="6:7" ht="14.45" customHeight="1" outlineLevel="4" thickBot="1" x14ac:dyDescent="0.3">
      <c r="G1293" s="18" t="s">
        <v>1174</v>
      </c>
    </row>
    <row r="1294" spans="6:7" ht="14.45" customHeight="1" outlineLevel="4" thickBot="1" x14ac:dyDescent="0.3">
      <c r="G1294" s="18" t="s">
        <v>1175</v>
      </c>
    </row>
    <row r="1295" spans="6:7" ht="14.45" customHeight="1" outlineLevel="4" thickBot="1" x14ac:dyDescent="0.3">
      <c r="G1295" s="18" t="s">
        <v>1176</v>
      </c>
    </row>
    <row r="1296" spans="6:7" ht="14.45" customHeight="1" outlineLevel="3" thickBot="1" x14ac:dyDescent="0.3"/>
    <row r="1297" spans="3:7" ht="14.45" customHeight="1" outlineLevel="2" thickBot="1" x14ac:dyDescent="0.3">
      <c r="E1297" s="38" t="s">
        <v>1177</v>
      </c>
    </row>
    <row r="1298" spans="3:7" ht="14.45" customHeight="1" outlineLevel="3" thickBot="1" x14ac:dyDescent="0.3">
      <c r="F1298" s="39" t="s">
        <v>1178</v>
      </c>
    </row>
    <row r="1299" spans="3:7" ht="14.45" customHeight="1" outlineLevel="4" thickBot="1" x14ac:dyDescent="0.3"/>
    <row r="1300" spans="3:7" ht="14.45" customHeight="1" outlineLevel="3" thickBot="1" x14ac:dyDescent="0.3">
      <c r="F1300" s="39" t="s">
        <v>1179</v>
      </c>
    </row>
    <row r="1301" spans="3:7" ht="14.45" customHeight="1" outlineLevel="4" thickBot="1" x14ac:dyDescent="0.3">
      <c r="G1301" s="18" t="s">
        <v>560</v>
      </c>
    </row>
    <row r="1302" spans="3:7" ht="14.45" customHeight="1" outlineLevel="4" thickBot="1" x14ac:dyDescent="0.3">
      <c r="G1302" s="18" t="s">
        <v>1180</v>
      </c>
    </row>
    <row r="1303" spans="3:7" ht="14.45" customHeight="1" outlineLevel="4" thickBot="1" x14ac:dyDescent="0.3">
      <c r="G1303" s="18" t="s">
        <v>1181</v>
      </c>
    </row>
    <row r="1304" spans="3:7" ht="14.45" customHeight="1" outlineLevel="3" thickBot="1" x14ac:dyDescent="0.3">
      <c r="F1304" s="39" t="s">
        <v>1182</v>
      </c>
    </row>
    <row r="1305" spans="3:7" ht="14.45" customHeight="1" outlineLevel="4" thickBot="1" x14ac:dyDescent="0.3">
      <c r="G1305" s="18" t="s">
        <v>1183</v>
      </c>
    </row>
    <row r="1306" spans="3:7" ht="14.45" customHeight="1" outlineLevel="4" thickBot="1" x14ac:dyDescent="0.3">
      <c r="G1306" s="18" t="s">
        <v>1184</v>
      </c>
    </row>
    <row r="1307" spans="3:7" ht="14.45" customHeight="1" outlineLevel="4" thickBot="1" x14ac:dyDescent="0.3">
      <c r="G1307" s="18" t="s">
        <v>1185</v>
      </c>
    </row>
    <row r="1308" spans="3:7" ht="14.45" customHeight="1" outlineLevel="4" thickBot="1" x14ac:dyDescent="0.3">
      <c r="G1308" s="18" t="s">
        <v>1186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6" t="s">
        <v>1187</v>
      </c>
      <c r="D1312" s="36"/>
    </row>
    <row r="1313" spans="4:7" ht="14.45" customHeight="1" outlineLevel="1" thickBot="1" x14ac:dyDescent="0.3">
      <c r="D1313" s="37" t="s">
        <v>81</v>
      </c>
      <c r="E1313" s="37"/>
    </row>
    <row r="1314" spans="4:7" ht="14.45" customHeight="1" outlineLevel="2" thickBot="1" x14ac:dyDescent="0.3">
      <c r="E1314" s="38" t="s">
        <v>1188</v>
      </c>
    </row>
    <row r="1315" spans="4:7" ht="14.45" customHeight="1" outlineLevel="3" thickBot="1" x14ac:dyDescent="0.3">
      <c r="F1315" s="39" t="s">
        <v>559</v>
      </c>
    </row>
    <row r="1316" spans="4:7" ht="14.45" customHeight="1" outlineLevel="4" thickBot="1" x14ac:dyDescent="0.3">
      <c r="G1316" s="18" t="s">
        <v>1189</v>
      </c>
    </row>
    <row r="1317" spans="4:7" ht="14.45" customHeight="1" outlineLevel="4" thickBot="1" x14ac:dyDescent="0.3">
      <c r="G1317" s="18" t="s">
        <v>1190</v>
      </c>
    </row>
    <row r="1318" spans="4:7" ht="14.45" customHeight="1" outlineLevel="3" thickBot="1" x14ac:dyDescent="0.3">
      <c r="F1318" s="39" t="s">
        <v>1191</v>
      </c>
    </row>
    <row r="1319" spans="4:7" ht="14.45" customHeight="1" outlineLevel="4" thickBot="1" x14ac:dyDescent="0.3">
      <c r="G1319" s="18" t="s">
        <v>1192</v>
      </c>
    </row>
    <row r="1320" spans="4:7" ht="14.45" customHeight="1" outlineLevel="4" thickBot="1" x14ac:dyDescent="0.3">
      <c r="G1320" s="18" t="s">
        <v>1193</v>
      </c>
    </row>
    <row r="1321" spans="4:7" ht="14.45" customHeight="1" outlineLevel="4" thickBot="1" x14ac:dyDescent="0.3">
      <c r="G1321" s="18" t="s">
        <v>1194</v>
      </c>
    </row>
    <row r="1322" spans="4:7" ht="14.45" customHeight="1" outlineLevel="3" thickBot="1" x14ac:dyDescent="0.3"/>
    <row r="1323" spans="4:7" ht="14.45" customHeight="1" outlineLevel="2" thickBot="1" x14ac:dyDescent="0.3">
      <c r="E1323" s="38" t="s">
        <v>1195</v>
      </c>
    </row>
    <row r="1324" spans="4:7" ht="14.45" customHeight="1" outlineLevel="3" thickBot="1" x14ac:dyDescent="0.3">
      <c r="F1324" s="39" t="s">
        <v>1196</v>
      </c>
    </row>
    <row r="1325" spans="4:7" ht="14.45" customHeight="1" outlineLevel="4" thickBot="1" x14ac:dyDescent="0.3">
      <c r="G1325" s="18" t="s">
        <v>560</v>
      </c>
    </row>
    <row r="1326" spans="4:7" ht="14.45" customHeight="1" outlineLevel="4" thickBot="1" x14ac:dyDescent="0.3">
      <c r="G1326" s="18" t="s">
        <v>1119</v>
      </c>
    </row>
    <row r="1327" spans="4:7" ht="14.45" customHeight="1" outlineLevel="4" thickBot="1" x14ac:dyDescent="0.3">
      <c r="G1327" s="18" t="s">
        <v>1197</v>
      </c>
    </row>
    <row r="1328" spans="4:7" ht="14.45" customHeight="1" outlineLevel="4" thickBot="1" x14ac:dyDescent="0.3">
      <c r="G1328" s="18" t="s">
        <v>1198</v>
      </c>
    </row>
    <row r="1329" spans="6:7" ht="14.45" customHeight="1" outlineLevel="4" thickBot="1" x14ac:dyDescent="0.3">
      <c r="G1329" s="18" t="s">
        <v>1023</v>
      </c>
    </row>
    <row r="1330" spans="6:7" ht="14.45" customHeight="1" outlineLevel="3" thickBot="1" x14ac:dyDescent="0.3">
      <c r="F1330" s="39" t="s">
        <v>1199</v>
      </c>
    </row>
    <row r="1331" spans="6:7" ht="14.45" customHeight="1" outlineLevel="4" thickBot="1" x14ac:dyDescent="0.3">
      <c r="G1331" s="18" t="s">
        <v>560</v>
      </c>
    </row>
    <row r="1332" spans="6:7" ht="14.45" customHeight="1" outlineLevel="4" thickBot="1" x14ac:dyDescent="0.3">
      <c r="G1332" s="18" t="s">
        <v>1119</v>
      </c>
    </row>
    <row r="1333" spans="6:7" ht="14.45" customHeight="1" outlineLevel="4" thickBot="1" x14ac:dyDescent="0.3">
      <c r="G1333" s="18" t="s">
        <v>1197</v>
      </c>
    </row>
    <row r="1334" spans="6:7" ht="14.45" customHeight="1" outlineLevel="4" thickBot="1" x14ac:dyDescent="0.3">
      <c r="G1334" s="18" t="s">
        <v>1198</v>
      </c>
    </row>
    <row r="1335" spans="6:7" ht="14.45" customHeight="1" outlineLevel="3" thickBot="1" x14ac:dyDescent="0.3">
      <c r="F1335" s="39" t="s">
        <v>1200</v>
      </c>
    </row>
    <row r="1336" spans="6:7" ht="14.45" customHeight="1" outlineLevel="4" thickBot="1" x14ac:dyDescent="0.3">
      <c r="G1336" s="18" t="s">
        <v>560</v>
      </c>
    </row>
    <row r="1337" spans="6:7" ht="14.45" customHeight="1" outlineLevel="4" thickBot="1" x14ac:dyDescent="0.3">
      <c r="G1337" s="18" t="s">
        <v>1119</v>
      </c>
    </row>
    <row r="1338" spans="6:7" ht="14.45" customHeight="1" outlineLevel="4" thickBot="1" x14ac:dyDescent="0.3">
      <c r="G1338" s="18" t="s">
        <v>1197</v>
      </c>
    </row>
    <row r="1339" spans="6:7" ht="14.45" customHeight="1" outlineLevel="4" thickBot="1" x14ac:dyDescent="0.3">
      <c r="G1339" s="18" t="s">
        <v>1198</v>
      </c>
    </row>
    <row r="1340" spans="6:7" ht="14.45" customHeight="1" outlineLevel="3" thickBot="1" x14ac:dyDescent="0.3">
      <c r="F1340" s="39" t="s">
        <v>1201</v>
      </c>
    </row>
    <row r="1341" spans="6:7" ht="14.45" customHeight="1" outlineLevel="4" thickBot="1" x14ac:dyDescent="0.3">
      <c r="G1341" s="18" t="s">
        <v>560</v>
      </c>
    </row>
    <row r="1342" spans="6:7" ht="14.45" customHeight="1" outlineLevel="4" thickBot="1" x14ac:dyDescent="0.3">
      <c r="G1342" s="18" t="s">
        <v>1202</v>
      </c>
    </row>
    <row r="1343" spans="6:7" ht="14.45" customHeight="1" outlineLevel="4" thickBot="1" x14ac:dyDescent="0.3">
      <c r="G1343" s="18" t="s">
        <v>1203</v>
      </c>
    </row>
    <row r="1344" spans="6:7" ht="14.45" customHeight="1" outlineLevel="4" thickBot="1" x14ac:dyDescent="0.3">
      <c r="G1344" s="18" t="s">
        <v>1204</v>
      </c>
    </row>
    <row r="1345" spans="4:7" ht="14.45" customHeight="1" outlineLevel="4" thickBot="1" x14ac:dyDescent="0.3">
      <c r="G1345" s="18" t="s">
        <v>1205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7" t="s">
        <v>84</v>
      </c>
      <c r="E1348" s="37"/>
    </row>
    <row r="1349" spans="4:7" ht="14.45" customHeight="1" outlineLevel="2" thickBot="1" x14ac:dyDescent="0.3">
      <c r="E1349" s="38" t="s">
        <v>1206</v>
      </c>
    </row>
    <row r="1350" spans="4:7" ht="14.45" customHeight="1" outlineLevel="3" thickBot="1" x14ac:dyDescent="0.3">
      <c r="F1350" s="39" t="s">
        <v>1207</v>
      </c>
    </row>
    <row r="1351" spans="4:7" ht="14.45" customHeight="1" outlineLevel="4" thickBot="1" x14ac:dyDescent="0.3"/>
    <row r="1352" spans="4:7" ht="14.45" customHeight="1" outlineLevel="3" thickBot="1" x14ac:dyDescent="0.3">
      <c r="F1352" s="39" t="s">
        <v>1208</v>
      </c>
    </row>
    <row r="1353" spans="4:7" ht="14.45" customHeight="1" outlineLevel="4" thickBot="1" x14ac:dyDescent="0.3">
      <c r="G1353" s="18" t="s">
        <v>1209</v>
      </c>
    </row>
    <row r="1354" spans="4:7" ht="14.45" customHeight="1" outlineLevel="4" thickBot="1" x14ac:dyDescent="0.3">
      <c r="G1354" s="18" t="s">
        <v>1210</v>
      </c>
    </row>
    <row r="1355" spans="4:7" ht="14.45" customHeight="1" outlineLevel="4" thickBot="1" x14ac:dyDescent="0.3">
      <c r="G1355" s="18" t="s">
        <v>1211</v>
      </c>
    </row>
    <row r="1356" spans="4:7" ht="14.45" customHeight="1" outlineLevel="3" thickBot="1" x14ac:dyDescent="0.3">
      <c r="F1356" s="39" t="s">
        <v>1212</v>
      </c>
    </row>
    <row r="1357" spans="4:7" ht="14.45" customHeight="1" outlineLevel="4" thickBot="1" x14ac:dyDescent="0.3">
      <c r="G1357" s="18" t="s">
        <v>1213</v>
      </c>
    </row>
    <row r="1358" spans="4:7" ht="14.45" customHeight="1" outlineLevel="4" thickBot="1" x14ac:dyDescent="0.3">
      <c r="G1358" s="18" t="s">
        <v>1214</v>
      </c>
    </row>
    <row r="1359" spans="4:7" ht="14.45" customHeight="1" outlineLevel="4" thickBot="1" x14ac:dyDescent="0.3">
      <c r="G1359" s="18" t="s">
        <v>1215</v>
      </c>
    </row>
    <row r="1360" spans="4:7" ht="14.45" customHeight="1" outlineLevel="3" thickBot="1" x14ac:dyDescent="0.3">
      <c r="F1360" s="39" t="s">
        <v>1216</v>
      </c>
    </row>
    <row r="1361" spans="5:7" ht="14.45" customHeight="1" outlineLevel="4" thickBot="1" x14ac:dyDescent="0.3">
      <c r="G1361" s="18" t="s">
        <v>1217</v>
      </c>
    </row>
    <row r="1362" spans="5:7" ht="14.45" customHeight="1" outlineLevel="4" thickBot="1" x14ac:dyDescent="0.3">
      <c r="G1362" s="18" t="s">
        <v>1218</v>
      </c>
    </row>
    <row r="1363" spans="5:7" ht="14.45" customHeight="1" outlineLevel="4" thickBot="1" x14ac:dyDescent="0.3">
      <c r="G1363" s="18" t="s">
        <v>1219</v>
      </c>
    </row>
    <row r="1364" spans="5:7" ht="14.45" customHeight="1" outlineLevel="4" thickBot="1" x14ac:dyDescent="0.3">
      <c r="G1364" s="18" t="s">
        <v>1220</v>
      </c>
    </row>
    <row r="1365" spans="5:7" ht="14.45" customHeight="1" outlineLevel="4" thickBot="1" x14ac:dyDescent="0.3">
      <c r="G1365" s="18" t="s">
        <v>1221</v>
      </c>
    </row>
    <row r="1366" spans="5:7" ht="14.45" customHeight="1" outlineLevel="3" thickBot="1" x14ac:dyDescent="0.3">
      <c r="F1366" s="39" t="s">
        <v>1222</v>
      </c>
    </row>
    <row r="1367" spans="5:7" ht="14.45" customHeight="1" outlineLevel="4" thickBot="1" x14ac:dyDescent="0.3"/>
    <row r="1368" spans="5:7" ht="14.45" customHeight="1" outlineLevel="3" thickBot="1" x14ac:dyDescent="0.3">
      <c r="F1368" s="39" t="s">
        <v>1223</v>
      </c>
    </row>
    <row r="1369" spans="5:7" ht="14.45" customHeight="1" outlineLevel="4" thickBot="1" x14ac:dyDescent="0.3">
      <c r="G1369" s="18" t="s">
        <v>1224</v>
      </c>
    </row>
    <row r="1370" spans="5:7" ht="14.45" customHeight="1" outlineLevel="4" thickBot="1" x14ac:dyDescent="0.3">
      <c r="G1370" s="18" t="s">
        <v>1225</v>
      </c>
    </row>
    <row r="1371" spans="5:7" ht="14.45" customHeight="1" outlineLevel="4" thickBot="1" x14ac:dyDescent="0.3">
      <c r="G1371" s="18" t="s">
        <v>1226</v>
      </c>
    </row>
    <row r="1372" spans="5:7" ht="14.45" customHeight="1" outlineLevel="3" thickBot="1" x14ac:dyDescent="0.3"/>
    <row r="1373" spans="5:7" ht="14.45" customHeight="1" outlineLevel="2" thickBot="1" x14ac:dyDescent="0.3">
      <c r="E1373" s="38" t="s">
        <v>1227</v>
      </c>
    </row>
    <row r="1374" spans="5:7" ht="14.45" customHeight="1" outlineLevel="3" thickBot="1" x14ac:dyDescent="0.3">
      <c r="F1374" s="39" t="s">
        <v>1228</v>
      </c>
    </row>
    <row r="1375" spans="5:7" ht="14.45" customHeight="1" outlineLevel="4" thickBot="1" x14ac:dyDescent="0.3"/>
    <row r="1376" spans="5:7" ht="14.45" customHeight="1" outlineLevel="3" thickBot="1" x14ac:dyDescent="0.3">
      <c r="F1376" s="39" t="s">
        <v>583</v>
      </c>
    </row>
    <row r="1377" spans="5:7" ht="14.45" customHeight="1" outlineLevel="4" thickBot="1" x14ac:dyDescent="0.3">
      <c r="G1377" s="18" t="s">
        <v>1217</v>
      </c>
    </row>
    <row r="1378" spans="5:7" ht="14.45" customHeight="1" outlineLevel="4" thickBot="1" x14ac:dyDescent="0.3">
      <c r="G1378" s="18" t="s">
        <v>1218</v>
      </c>
    </row>
    <row r="1379" spans="5:7" ht="14.45" customHeight="1" outlineLevel="4" thickBot="1" x14ac:dyDescent="0.3">
      <c r="G1379" s="18" t="s">
        <v>1229</v>
      </c>
    </row>
    <row r="1380" spans="5:7" ht="14.45" customHeight="1" outlineLevel="4" thickBot="1" x14ac:dyDescent="0.3">
      <c r="G1380" s="18" t="s">
        <v>1230</v>
      </c>
    </row>
    <row r="1381" spans="5:7" ht="14.45" customHeight="1" outlineLevel="4" thickBot="1" x14ac:dyDescent="0.3">
      <c r="G1381" s="18" t="s">
        <v>1231</v>
      </c>
    </row>
    <row r="1382" spans="5:7" ht="14.45" customHeight="1" outlineLevel="3" thickBot="1" x14ac:dyDescent="0.3">
      <c r="F1382" s="39" t="s">
        <v>584</v>
      </c>
    </row>
    <row r="1383" spans="5:7" ht="14.45" customHeight="1" outlineLevel="4" thickBot="1" x14ac:dyDescent="0.3"/>
    <row r="1384" spans="5:7" ht="14.45" customHeight="1" outlineLevel="3" thickBot="1" x14ac:dyDescent="0.3">
      <c r="F1384" s="39" t="s">
        <v>1232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8" t="s">
        <v>1233</v>
      </c>
    </row>
    <row r="1388" spans="5:7" ht="14.45" customHeight="1" outlineLevel="3" thickBot="1" x14ac:dyDescent="0.3">
      <c r="F1388" s="39" t="s">
        <v>1234</v>
      </c>
    </row>
    <row r="1389" spans="5:7" ht="14.45" customHeight="1" outlineLevel="4" thickBot="1" x14ac:dyDescent="0.3">
      <c r="G1389" s="18" t="s">
        <v>1235</v>
      </c>
    </row>
    <row r="1390" spans="5:7" ht="14.45" customHeight="1" outlineLevel="4" thickBot="1" x14ac:dyDescent="0.3">
      <c r="G1390" s="18" t="s">
        <v>1236</v>
      </c>
    </row>
    <row r="1391" spans="5:7" ht="14.45" customHeight="1" outlineLevel="3" thickBot="1" x14ac:dyDescent="0.3">
      <c r="F1391" s="39" t="s">
        <v>1237</v>
      </c>
    </row>
    <row r="1392" spans="5:7" ht="14.45" customHeight="1" outlineLevel="4" thickBot="1" x14ac:dyDescent="0.3">
      <c r="G1392" s="18" t="s">
        <v>1238</v>
      </c>
    </row>
    <row r="1393" spans="6:7" ht="14.45" customHeight="1" outlineLevel="4" thickBot="1" x14ac:dyDescent="0.3">
      <c r="G1393" s="18" t="s">
        <v>1239</v>
      </c>
    </row>
    <row r="1394" spans="6:7" ht="14.45" customHeight="1" outlineLevel="3" thickBot="1" x14ac:dyDescent="0.3">
      <c r="F1394" s="39" t="s">
        <v>1240</v>
      </c>
    </row>
    <row r="1395" spans="6:7" ht="14.45" customHeight="1" outlineLevel="4" thickBot="1" x14ac:dyDescent="0.3">
      <c r="G1395" s="18" t="s">
        <v>1241</v>
      </c>
    </row>
    <row r="1396" spans="6:7" ht="14.45" customHeight="1" outlineLevel="4" thickBot="1" x14ac:dyDescent="0.3">
      <c r="G1396" s="18" t="s">
        <v>1242</v>
      </c>
    </row>
    <row r="1397" spans="6:7" ht="14.45" customHeight="1" outlineLevel="3" thickBot="1" x14ac:dyDescent="0.3">
      <c r="F1397" s="39" t="s">
        <v>1243</v>
      </c>
    </row>
    <row r="1398" spans="6:7" ht="14.45" customHeight="1" outlineLevel="4" thickBot="1" x14ac:dyDescent="0.3">
      <c r="G1398" s="18" t="s">
        <v>1217</v>
      </c>
    </row>
    <row r="1399" spans="6:7" ht="14.45" customHeight="1" outlineLevel="4" thickBot="1" x14ac:dyDescent="0.3">
      <c r="G1399" s="18" t="s">
        <v>1244</v>
      </c>
    </row>
    <row r="1400" spans="6:7" ht="14.45" customHeight="1" outlineLevel="4" thickBot="1" x14ac:dyDescent="0.3">
      <c r="G1400" s="18" t="s">
        <v>1245</v>
      </c>
    </row>
    <row r="1401" spans="6:7" ht="14.45" customHeight="1" outlineLevel="4" thickBot="1" x14ac:dyDescent="0.3">
      <c r="G1401" s="18" t="s">
        <v>1246</v>
      </c>
    </row>
    <row r="1402" spans="6:7" ht="14.45" customHeight="1" outlineLevel="4" thickBot="1" x14ac:dyDescent="0.3">
      <c r="G1402" s="18" t="s">
        <v>1247</v>
      </c>
    </row>
    <row r="1403" spans="6:7" ht="14.45" customHeight="1" outlineLevel="3" thickBot="1" x14ac:dyDescent="0.3">
      <c r="F1403" s="39" t="s">
        <v>1248</v>
      </c>
    </row>
    <row r="1404" spans="6:7" ht="14.45" customHeight="1" outlineLevel="4" thickBot="1" x14ac:dyDescent="0.3">
      <c r="G1404" s="18" t="s">
        <v>1249</v>
      </c>
    </row>
    <row r="1405" spans="6:7" ht="14.45" customHeight="1" outlineLevel="4" thickBot="1" x14ac:dyDescent="0.3">
      <c r="G1405" s="18" t="s">
        <v>1250</v>
      </c>
    </row>
    <row r="1406" spans="6:7" ht="14.45" customHeight="1" outlineLevel="3" thickBot="1" x14ac:dyDescent="0.3">
      <c r="F1406" s="39" t="s">
        <v>1251</v>
      </c>
    </row>
    <row r="1407" spans="6:7" ht="14.45" customHeight="1" outlineLevel="4" thickBot="1" x14ac:dyDescent="0.3">
      <c r="G1407" s="18" t="s">
        <v>1252</v>
      </c>
    </row>
    <row r="1408" spans="6:7" ht="14.45" customHeight="1" outlineLevel="4" thickBot="1" x14ac:dyDescent="0.3">
      <c r="G1408" s="18" t="s">
        <v>1253</v>
      </c>
    </row>
    <row r="1409" spans="3:7" ht="14.45" customHeight="1" outlineLevel="4" thickBot="1" x14ac:dyDescent="0.3">
      <c r="G1409" s="18" t="s">
        <v>1254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6" t="s">
        <v>1255</v>
      </c>
      <c r="D1413" s="36"/>
    </row>
    <row r="1414" spans="3:7" ht="14.45" customHeight="1" outlineLevel="1" thickBot="1" x14ac:dyDescent="0.3">
      <c r="D1414" s="37" t="s">
        <v>86</v>
      </c>
      <c r="E1414" s="37"/>
    </row>
    <row r="1415" spans="3:7" ht="14.45" customHeight="1" outlineLevel="2" thickBot="1" x14ac:dyDescent="0.3">
      <c r="E1415" s="38" t="s">
        <v>1256</v>
      </c>
    </row>
    <row r="1416" spans="3:7" ht="14.45" customHeight="1" outlineLevel="3" thickBot="1" x14ac:dyDescent="0.3">
      <c r="F1416" s="39" t="s">
        <v>513</v>
      </c>
    </row>
    <row r="1417" spans="3:7" ht="14.45" customHeight="1" outlineLevel="4" thickBot="1" x14ac:dyDescent="0.3">
      <c r="G1417" s="18" t="s">
        <v>1257</v>
      </c>
    </row>
    <row r="1418" spans="3:7" ht="14.45" customHeight="1" outlineLevel="4" thickBot="1" x14ac:dyDescent="0.3">
      <c r="G1418" s="18" t="s">
        <v>1236</v>
      </c>
    </row>
    <row r="1419" spans="3:7" ht="14.45" customHeight="1" outlineLevel="4" thickBot="1" x14ac:dyDescent="0.3">
      <c r="G1419" s="18" t="s">
        <v>1258</v>
      </c>
    </row>
    <row r="1420" spans="3:7" ht="14.45" customHeight="1" outlineLevel="3" thickBot="1" x14ac:dyDescent="0.3">
      <c r="F1420" s="39" t="s">
        <v>1259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8" t="s">
        <v>1260</v>
      </c>
    </row>
    <row r="1424" spans="3:7" ht="14.45" customHeight="1" outlineLevel="3" thickBot="1" x14ac:dyDescent="0.3">
      <c r="F1424" s="39" t="s">
        <v>1261</v>
      </c>
    </row>
    <row r="1425" spans="5:7" ht="14.45" customHeight="1" outlineLevel="4" thickBot="1" x14ac:dyDescent="0.3"/>
    <row r="1426" spans="5:7" ht="14.45" customHeight="1" outlineLevel="3" thickBot="1" x14ac:dyDescent="0.3">
      <c r="F1426" s="39" t="s">
        <v>1262</v>
      </c>
    </row>
    <row r="1427" spans="5:7" ht="14.45" customHeight="1" outlineLevel="4" thickBot="1" x14ac:dyDescent="0.3">
      <c r="G1427" s="18" t="s">
        <v>560</v>
      </c>
    </row>
    <row r="1428" spans="5:7" ht="14.45" customHeight="1" outlineLevel="4" thickBot="1" x14ac:dyDescent="0.3">
      <c r="G1428" s="18" t="s">
        <v>1263</v>
      </c>
    </row>
    <row r="1429" spans="5:7" ht="14.45" customHeight="1" outlineLevel="3" thickBot="1" x14ac:dyDescent="0.3">
      <c r="F1429" s="39" t="s">
        <v>1264</v>
      </c>
    </row>
    <row r="1430" spans="5:7" ht="14.45" customHeight="1" outlineLevel="4" thickBot="1" x14ac:dyDescent="0.3">
      <c r="G1430" s="18" t="s">
        <v>1265</v>
      </c>
    </row>
    <row r="1431" spans="5:7" ht="14.45" customHeight="1" outlineLevel="4" thickBot="1" x14ac:dyDescent="0.3">
      <c r="G1431" s="18" t="s">
        <v>1266</v>
      </c>
    </row>
    <row r="1432" spans="5:7" ht="14.45" customHeight="1" outlineLevel="4" thickBot="1" x14ac:dyDescent="0.3">
      <c r="G1432" s="18" t="s">
        <v>1267</v>
      </c>
    </row>
    <row r="1433" spans="5:7" ht="14.45" customHeight="1" outlineLevel="3" thickBot="1" x14ac:dyDescent="0.3"/>
    <row r="1434" spans="5:7" ht="14.45" customHeight="1" outlineLevel="2" thickBot="1" x14ac:dyDescent="0.3">
      <c r="E1434" s="38" t="s">
        <v>1268</v>
      </c>
    </row>
    <row r="1435" spans="5:7" ht="14.45" customHeight="1" outlineLevel="3" thickBot="1" x14ac:dyDescent="0.3">
      <c r="F1435" s="39" t="s">
        <v>513</v>
      </c>
    </row>
    <row r="1436" spans="5:7" ht="14.45" customHeight="1" outlineLevel="4" thickBot="1" x14ac:dyDescent="0.3"/>
    <row r="1437" spans="5:7" ht="14.45" customHeight="1" outlineLevel="3" thickBot="1" x14ac:dyDescent="0.3">
      <c r="F1437" s="39" t="s">
        <v>1269</v>
      </c>
    </row>
    <row r="1438" spans="5:7" ht="14.45" customHeight="1" outlineLevel="4" thickBot="1" x14ac:dyDescent="0.3">
      <c r="G1438" s="18" t="s">
        <v>560</v>
      </c>
    </row>
    <row r="1439" spans="5:7" ht="14.45" customHeight="1" outlineLevel="4" thickBot="1" x14ac:dyDescent="0.3">
      <c r="G1439" s="18" t="s">
        <v>1270</v>
      </c>
    </row>
    <row r="1440" spans="5:7" ht="14.45" customHeight="1" outlineLevel="4" thickBot="1" x14ac:dyDescent="0.3">
      <c r="G1440" s="18" t="s">
        <v>1271</v>
      </c>
    </row>
    <row r="1441" spans="5:7" ht="14.45" customHeight="1" outlineLevel="3" thickBot="1" x14ac:dyDescent="0.3">
      <c r="F1441" s="39" t="s">
        <v>1272</v>
      </c>
    </row>
    <row r="1442" spans="5:7" ht="14.45" customHeight="1" outlineLevel="4" thickBot="1" x14ac:dyDescent="0.3">
      <c r="G1442" s="18" t="s">
        <v>560</v>
      </c>
    </row>
    <row r="1443" spans="5:7" ht="14.45" customHeight="1" outlineLevel="4" thickBot="1" x14ac:dyDescent="0.3">
      <c r="G1443" s="18" t="s">
        <v>1270</v>
      </c>
    </row>
    <row r="1444" spans="5:7" ht="14.45" customHeight="1" outlineLevel="4" thickBot="1" x14ac:dyDescent="0.3">
      <c r="G1444" s="18" t="s">
        <v>1271</v>
      </c>
    </row>
    <row r="1445" spans="5:7" ht="14.45" customHeight="1" outlineLevel="3" thickBot="1" x14ac:dyDescent="0.3"/>
    <row r="1446" spans="5:7" ht="14.45" customHeight="1" outlineLevel="2" thickBot="1" x14ac:dyDescent="0.3">
      <c r="E1446" s="38" t="s">
        <v>1273</v>
      </c>
    </row>
    <row r="1447" spans="5:7" ht="14.45" customHeight="1" outlineLevel="3" thickBot="1" x14ac:dyDescent="0.3">
      <c r="F1447" s="39" t="s">
        <v>513</v>
      </c>
    </row>
    <row r="1448" spans="5:7" ht="14.45" customHeight="1" outlineLevel="4" thickBot="1" x14ac:dyDescent="0.3">
      <c r="G1448" s="18" t="s">
        <v>1274</v>
      </c>
    </row>
    <row r="1449" spans="5:7" ht="14.45" customHeight="1" outlineLevel="4" thickBot="1" x14ac:dyDescent="0.3">
      <c r="G1449" s="18" t="s">
        <v>1236</v>
      </c>
    </row>
    <row r="1450" spans="5:7" ht="14.45" customHeight="1" outlineLevel="3" thickBot="1" x14ac:dyDescent="0.3">
      <c r="F1450" s="39" t="s">
        <v>1275</v>
      </c>
    </row>
    <row r="1451" spans="5:7" ht="14.45" customHeight="1" outlineLevel="4" thickBot="1" x14ac:dyDescent="0.3">
      <c r="G1451" s="18" t="s">
        <v>1276</v>
      </c>
    </row>
    <row r="1452" spans="5:7" ht="14.45" customHeight="1" outlineLevel="4" thickBot="1" x14ac:dyDescent="0.3">
      <c r="G1452" s="18" t="s">
        <v>1277</v>
      </c>
    </row>
    <row r="1453" spans="5:7" ht="14.45" customHeight="1" outlineLevel="4" thickBot="1" x14ac:dyDescent="0.3">
      <c r="G1453" s="18" t="s">
        <v>1278</v>
      </c>
    </row>
    <row r="1454" spans="5:7" ht="14.45" customHeight="1" outlineLevel="3" thickBot="1" x14ac:dyDescent="0.3">
      <c r="F1454" s="39" t="s">
        <v>1279</v>
      </c>
    </row>
    <row r="1455" spans="5:7" ht="14.45" customHeight="1" outlineLevel="4" thickBot="1" x14ac:dyDescent="0.3">
      <c r="G1455" s="18" t="s">
        <v>1280</v>
      </c>
    </row>
    <row r="1456" spans="5:7" ht="14.45" customHeight="1" outlineLevel="4" thickBot="1" x14ac:dyDescent="0.3">
      <c r="G1456" s="18" t="s">
        <v>1281</v>
      </c>
    </row>
    <row r="1457" spans="5:7" ht="14.45" customHeight="1" outlineLevel="3" thickBot="1" x14ac:dyDescent="0.3">
      <c r="F1457" s="39" t="s">
        <v>1282</v>
      </c>
    </row>
    <row r="1458" spans="5:7" ht="14.45" customHeight="1" outlineLevel="4" thickBot="1" x14ac:dyDescent="0.3">
      <c r="G1458" s="18" t="s">
        <v>1283</v>
      </c>
    </row>
    <row r="1459" spans="5:7" ht="14.45" customHeight="1" outlineLevel="4" thickBot="1" x14ac:dyDescent="0.3">
      <c r="G1459" s="18" t="s">
        <v>1284</v>
      </c>
    </row>
    <row r="1460" spans="5:7" ht="14.45" customHeight="1" outlineLevel="4" thickBot="1" x14ac:dyDescent="0.3">
      <c r="G1460" s="18" t="s">
        <v>1285</v>
      </c>
    </row>
    <row r="1461" spans="5:7" ht="14.45" customHeight="1" outlineLevel="4" thickBot="1" x14ac:dyDescent="0.3">
      <c r="G1461" s="18" t="s">
        <v>1286</v>
      </c>
    </row>
    <row r="1462" spans="5:7" ht="14.45" customHeight="1" outlineLevel="4" thickBot="1" x14ac:dyDescent="0.3">
      <c r="G1462" s="18" t="s">
        <v>1287</v>
      </c>
    </row>
    <row r="1463" spans="5:7" ht="14.45" customHeight="1" outlineLevel="3" thickBot="1" x14ac:dyDescent="0.3"/>
    <row r="1464" spans="5:7" ht="14.45" customHeight="1" outlineLevel="2" thickBot="1" x14ac:dyDescent="0.3">
      <c r="E1464" s="38" t="s">
        <v>1288</v>
      </c>
    </row>
    <row r="1465" spans="5:7" ht="14.45" customHeight="1" outlineLevel="3" thickBot="1" x14ac:dyDescent="0.3">
      <c r="F1465" s="39" t="s">
        <v>513</v>
      </c>
    </row>
    <row r="1466" spans="5:7" ht="14.45" customHeight="1" outlineLevel="4" thickBot="1" x14ac:dyDescent="0.3"/>
    <row r="1467" spans="5:7" ht="14.45" customHeight="1" outlineLevel="3" thickBot="1" x14ac:dyDescent="0.3">
      <c r="F1467" s="39" t="s">
        <v>1289</v>
      </c>
    </row>
    <row r="1468" spans="5:7" ht="14.45" customHeight="1" outlineLevel="4" thickBot="1" x14ac:dyDescent="0.3">
      <c r="G1468" s="18" t="s">
        <v>670</v>
      </c>
    </row>
    <row r="1469" spans="5:7" ht="14.45" customHeight="1" outlineLevel="4" thickBot="1" x14ac:dyDescent="0.3">
      <c r="G1469" s="18" t="s">
        <v>671</v>
      </c>
    </row>
    <row r="1470" spans="5:7" ht="14.45" customHeight="1" outlineLevel="4" thickBot="1" x14ac:dyDescent="0.3">
      <c r="G1470" s="18" t="s">
        <v>672</v>
      </c>
    </row>
    <row r="1471" spans="5:7" ht="14.45" customHeight="1" outlineLevel="3" thickBot="1" x14ac:dyDescent="0.3"/>
    <row r="1472" spans="5:7" ht="14.45" customHeight="1" outlineLevel="2" thickBot="1" x14ac:dyDescent="0.3">
      <c r="E1472" s="38" t="s">
        <v>1290</v>
      </c>
    </row>
    <row r="1473" spans="6:7" ht="14.45" customHeight="1" outlineLevel="3" thickBot="1" x14ac:dyDescent="0.3">
      <c r="F1473" s="39" t="s">
        <v>1291</v>
      </c>
    </row>
    <row r="1474" spans="6:7" ht="14.45" customHeight="1" outlineLevel="4" thickBot="1" x14ac:dyDescent="0.3">
      <c r="G1474" s="18" t="s">
        <v>1257</v>
      </c>
    </row>
    <row r="1475" spans="6:7" ht="14.45" customHeight="1" outlineLevel="4" thickBot="1" x14ac:dyDescent="0.3">
      <c r="G1475" s="18" t="s">
        <v>1236</v>
      </c>
    </row>
    <row r="1476" spans="6:7" ht="14.45" customHeight="1" outlineLevel="3" thickBot="1" x14ac:dyDescent="0.3">
      <c r="F1476" s="39" t="s">
        <v>1292</v>
      </c>
    </row>
    <row r="1477" spans="6:7" ht="14.45" customHeight="1" outlineLevel="4" thickBot="1" x14ac:dyDescent="0.3">
      <c r="G1477" s="18" t="s">
        <v>1293</v>
      </c>
    </row>
    <row r="1478" spans="6:7" ht="14.45" customHeight="1" outlineLevel="4" thickBot="1" x14ac:dyDescent="0.3">
      <c r="G1478" s="18" t="s">
        <v>1294</v>
      </c>
    </row>
    <row r="1479" spans="6:7" ht="14.45" customHeight="1" outlineLevel="4" thickBot="1" x14ac:dyDescent="0.3">
      <c r="G1479" s="18" t="s">
        <v>1295</v>
      </c>
    </row>
    <row r="1480" spans="6:7" ht="14.45" customHeight="1" outlineLevel="3" thickBot="1" x14ac:dyDescent="0.3">
      <c r="F1480" s="39" t="s">
        <v>1296</v>
      </c>
    </row>
    <row r="1481" spans="6:7" ht="14.45" customHeight="1" outlineLevel="4" thickBot="1" x14ac:dyDescent="0.3">
      <c r="G1481" s="18" t="s">
        <v>560</v>
      </c>
    </row>
    <row r="1482" spans="6:7" ht="14.45" customHeight="1" outlineLevel="4" thickBot="1" x14ac:dyDescent="0.3">
      <c r="G1482" s="18" t="s">
        <v>1297</v>
      </c>
    </row>
    <row r="1483" spans="6:7" ht="14.45" customHeight="1" outlineLevel="3" thickBot="1" x14ac:dyDescent="0.3">
      <c r="F1483" s="39" t="s">
        <v>1298</v>
      </c>
    </row>
    <row r="1484" spans="6:7" ht="14.45" customHeight="1" outlineLevel="4" thickBot="1" x14ac:dyDescent="0.3">
      <c r="G1484" s="18" t="s">
        <v>1299</v>
      </c>
    </row>
    <row r="1485" spans="6:7" ht="14.45" customHeight="1" outlineLevel="4" thickBot="1" x14ac:dyDescent="0.3">
      <c r="G1485" s="18" t="s">
        <v>1300</v>
      </c>
    </row>
    <row r="1486" spans="6:7" ht="14.45" customHeight="1" outlineLevel="3" thickBot="1" x14ac:dyDescent="0.3">
      <c r="F1486" s="39" t="s">
        <v>1301</v>
      </c>
    </row>
    <row r="1487" spans="6:7" ht="14.45" customHeight="1" outlineLevel="4" thickBot="1" x14ac:dyDescent="0.3">
      <c r="G1487" s="18" t="s">
        <v>664</v>
      </c>
    </row>
    <row r="1488" spans="6:7" ht="14.45" customHeight="1" outlineLevel="4" thickBot="1" x14ac:dyDescent="0.3">
      <c r="G1488" s="18" t="s">
        <v>1302</v>
      </c>
    </row>
    <row r="1489" spans="4:7" ht="14.45" customHeight="1" outlineLevel="3" thickBot="1" x14ac:dyDescent="0.3">
      <c r="F1489" s="39" t="s">
        <v>1303</v>
      </c>
    </row>
    <row r="1490" spans="4:7" ht="14.45" customHeight="1" outlineLevel="4" thickBot="1" x14ac:dyDescent="0.3">
      <c r="G1490" s="18" t="s">
        <v>1304</v>
      </c>
    </row>
    <row r="1491" spans="4:7" ht="14.45" customHeight="1" outlineLevel="4" thickBot="1" x14ac:dyDescent="0.3">
      <c r="G1491" s="18" t="s">
        <v>1305</v>
      </c>
    </row>
    <row r="1492" spans="4:7" ht="14.45" customHeight="1" outlineLevel="4" thickBot="1" x14ac:dyDescent="0.3">
      <c r="G1492" s="18" t="s">
        <v>1306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7" t="s">
        <v>88</v>
      </c>
      <c r="E1495" s="37"/>
    </row>
    <row r="1496" spans="4:7" ht="14.45" customHeight="1" outlineLevel="2" thickBot="1" x14ac:dyDescent="0.3">
      <c r="E1496" s="38" t="s">
        <v>1307</v>
      </c>
    </row>
    <row r="1497" spans="4:7" ht="14.45" customHeight="1" outlineLevel="3" thickBot="1" x14ac:dyDescent="0.3">
      <c r="F1497" s="39" t="s">
        <v>1308</v>
      </c>
    </row>
    <row r="1498" spans="4:7" ht="14.45" customHeight="1" outlineLevel="4" thickBot="1" x14ac:dyDescent="0.3">
      <c r="G1498" s="18" t="s">
        <v>1257</v>
      </c>
    </row>
    <row r="1499" spans="4:7" ht="14.45" customHeight="1" outlineLevel="4" thickBot="1" x14ac:dyDescent="0.3">
      <c r="G1499" s="18" t="s">
        <v>1236</v>
      </c>
    </row>
    <row r="1500" spans="4:7" ht="14.45" customHeight="1" outlineLevel="3" thickBot="1" x14ac:dyDescent="0.3">
      <c r="F1500" s="39" t="s">
        <v>583</v>
      </c>
    </row>
    <row r="1501" spans="4:7" ht="14.45" customHeight="1" outlineLevel="4" thickBot="1" x14ac:dyDescent="0.3">
      <c r="G1501" s="18" t="s">
        <v>1309</v>
      </c>
    </row>
    <row r="1502" spans="4:7" ht="14.45" customHeight="1" outlineLevel="4" thickBot="1" x14ac:dyDescent="0.3">
      <c r="G1502" s="18" t="s">
        <v>1310</v>
      </c>
    </row>
    <row r="1503" spans="4:7" ht="14.45" customHeight="1" outlineLevel="4" thickBot="1" x14ac:dyDescent="0.3">
      <c r="G1503" s="18" t="s">
        <v>1311</v>
      </c>
    </row>
    <row r="1504" spans="4:7" ht="14.45" customHeight="1" outlineLevel="4" thickBot="1" x14ac:dyDescent="0.3">
      <c r="G1504" s="18" t="s">
        <v>1312</v>
      </c>
    </row>
    <row r="1505" spans="5:7" ht="14.45" customHeight="1" outlineLevel="4" thickBot="1" x14ac:dyDescent="0.3">
      <c r="G1505" s="18" t="s">
        <v>1313</v>
      </c>
    </row>
    <row r="1506" spans="5:7" ht="14.45" customHeight="1" outlineLevel="3" thickBot="1" x14ac:dyDescent="0.3">
      <c r="F1506" s="39" t="s">
        <v>1314</v>
      </c>
    </row>
    <row r="1507" spans="5:7" ht="14.45" customHeight="1" outlineLevel="4" thickBot="1" x14ac:dyDescent="0.3">
      <c r="G1507" s="18" t="s">
        <v>1315</v>
      </c>
    </row>
    <row r="1508" spans="5:7" ht="14.45" customHeight="1" outlineLevel="4" thickBot="1" x14ac:dyDescent="0.3">
      <c r="G1508" s="18" t="s">
        <v>1316</v>
      </c>
    </row>
    <row r="1509" spans="5:7" ht="14.45" customHeight="1" outlineLevel="4" thickBot="1" x14ac:dyDescent="0.3">
      <c r="G1509" s="18" t="s">
        <v>1317</v>
      </c>
    </row>
    <row r="1510" spans="5:7" ht="14.45" customHeight="1" outlineLevel="3" thickBot="1" x14ac:dyDescent="0.3">
      <c r="F1510" s="39" t="s">
        <v>1318</v>
      </c>
    </row>
    <row r="1511" spans="5:7" ht="14.45" customHeight="1" outlineLevel="4" thickBot="1" x14ac:dyDescent="0.3">
      <c r="G1511" s="18" t="s">
        <v>1319</v>
      </c>
    </row>
    <row r="1512" spans="5:7" ht="14.45" customHeight="1" outlineLevel="4" thickBot="1" x14ac:dyDescent="0.3">
      <c r="G1512" s="18" t="s">
        <v>1320</v>
      </c>
    </row>
    <row r="1513" spans="5:7" ht="14.45" customHeight="1" outlineLevel="3" thickBot="1" x14ac:dyDescent="0.3">
      <c r="F1513" s="39" t="s">
        <v>1321</v>
      </c>
    </row>
    <row r="1514" spans="5:7" ht="14.45" customHeight="1" outlineLevel="4" thickBot="1" x14ac:dyDescent="0.3">
      <c r="G1514" s="18" t="s">
        <v>560</v>
      </c>
    </row>
    <row r="1515" spans="5:7" ht="14.45" customHeight="1" outlineLevel="4" thickBot="1" x14ac:dyDescent="0.3">
      <c r="G1515" s="18" t="s">
        <v>1322</v>
      </c>
    </row>
    <row r="1516" spans="5:7" ht="14.45" customHeight="1" outlineLevel="4" thickBot="1" x14ac:dyDescent="0.3">
      <c r="G1516" s="18" t="s">
        <v>1323</v>
      </c>
    </row>
    <row r="1517" spans="5:7" ht="14.45" customHeight="1" outlineLevel="4" thickBot="1" x14ac:dyDescent="0.3">
      <c r="G1517" s="18" t="s">
        <v>1324</v>
      </c>
    </row>
    <row r="1518" spans="5:7" ht="14.45" customHeight="1" outlineLevel="3" thickBot="1" x14ac:dyDescent="0.3"/>
    <row r="1519" spans="5:7" ht="14.45" customHeight="1" outlineLevel="2" thickBot="1" x14ac:dyDescent="0.3">
      <c r="E1519" s="38" t="s">
        <v>1325</v>
      </c>
    </row>
    <row r="1520" spans="5:7" ht="14.45" customHeight="1" outlineLevel="3" thickBot="1" x14ac:dyDescent="0.3">
      <c r="F1520" s="39" t="s">
        <v>1326</v>
      </c>
    </row>
    <row r="1521" spans="5:7" ht="14.45" customHeight="1" outlineLevel="4" thickBot="1" x14ac:dyDescent="0.3">
      <c r="G1521" s="18" t="s">
        <v>1257</v>
      </c>
    </row>
    <row r="1522" spans="5:7" ht="14.45" customHeight="1" outlineLevel="4" thickBot="1" x14ac:dyDescent="0.3">
      <c r="G1522" s="18" t="s">
        <v>1236</v>
      </c>
    </row>
    <row r="1523" spans="5:7" ht="14.45" customHeight="1" outlineLevel="3" thickBot="1" x14ac:dyDescent="0.3">
      <c r="F1523" s="39" t="s">
        <v>1327</v>
      </c>
    </row>
    <row r="1524" spans="5:7" ht="14.45" customHeight="1" outlineLevel="4" thickBot="1" x14ac:dyDescent="0.3"/>
    <row r="1525" spans="5:7" ht="14.45" customHeight="1" outlineLevel="3" thickBot="1" x14ac:dyDescent="0.3">
      <c r="F1525" s="39" t="s">
        <v>1328</v>
      </c>
    </row>
    <row r="1526" spans="5:7" ht="14.45" customHeight="1" outlineLevel="4" thickBot="1" x14ac:dyDescent="0.3">
      <c r="G1526" s="18" t="s">
        <v>1329</v>
      </c>
    </row>
    <row r="1527" spans="5:7" ht="14.45" customHeight="1" outlineLevel="4" thickBot="1" x14ac:dyDescent="0.3">
      <c r="G1527" s="18" t="s">
        <v>1091</v>
      </c>
    </row>
    <row r="1528" spans="5:7" ht="14.45" customHeight="1" outlineLevel="3" thickBot="1" x14ac:dyDescent="0.3"/>
    <row r="1529" spans="5:7" ht="14.45" customHeight="1" outlineLevel="2" thickBot="1" x14ac:dyDescent="0.3">
      <c r="E1529" s="38" t="s">
        <v>1330</v>
      </c>
    </row>
    <row r="1530" spans="5:7" ht="14.45" customHeight="1" outlineLevel="3" thickBot="1" x14ac:dyDescent="0.3">
      <c r="F1530" s="39" t="s">
        <v>1331</v>
      </c>
    </row>
    <row r="1531" spans="5:7" ht="14.45" customHeight="1" outlineLevel="4" thickBot="1" x14ac:dyDescent="0.3">
      <c r="G1531" s="18" t="s">
        <v>1257</v>
      </c>
    </row>
    <row r="1532" spans="5:7" ht="14.45" customHeight="1" outlineLevel="4" thickBot="1" x14ac:dyDescent="0.3">
      <c r="G1532" s="18" t="s">
        <v>1236</v>
      </c>
    </row>
    <row r="1533" spans="5:7" ht="14.45" customHeight="1" outlineLevel="3" thickBot="1" x14ac:dyDescent="0.3">
      <c r="F1533" s="39" t="s">
        <v>583</v>
      </c>
    </row>
    <row r="1534" spans="5:7" ht="14.45" customHeight="1" outlineLevel="4" thickBot="1" x14ac:dyDescent="0.3">
      <c r="G1534" s="18" t="s">
        <v>1309</v>
      </c>
    </row>
    <row r="1535" spans="5:7" ht="14.45" customHeight="1" outlineLevel="4" thickBot="1" x14ac:dyDescent="0.3">
      <c r="G1535" s="18" t="s">
        <v>1332</v>
      </c>
    </row>
    <row r="1536" spans="5:7" ht="14.45" customHeight="1" outlineLevel="4" thickBot="1" x14ac:dyDescent="0.3">
      <c r="G1536" s="18" t="s">
        <v>1333</v>
      </c>
    </row>
    <row r="1537" spans="5:7" ht="14.45" customHeight="1" outlineLevel="3" thickBot="1" x14ac:dyDescent="0.3">
      <c r="F1537" s="39" t="s">
        <v>1334</v>
      </c>
    </row>
    <row r="1538" spans="5:7" ht="14.45" customHeight="1" outlineLevel="4" thickBot="1" x14ac:dyDescent="0.3"/>
    <row r="1539" spans="5:7" ht="14.45" customHeight="1" outlineLevel="3" thickBot="1" x14ac:dyDescent="0.3">
      <c r="F1539" s="39" t="s">
        <v>1318</v>
      </c>
    </row>
    <row r="1540" spans="5:7" ht="14.45" customHeight="1" outlineLevel="4" thickBot="1" x14ac:dyDescent="0.3">
      <c r="G1540" s="18" t="s">
        <v>1335</v>
      </c>
    </row>
    <row r="1541" spans="5:7" ht="14.45" customHeight="1" outlineLevel="4" thickBot="1" x14ac:dyDescent="0.3">
      <c r="G1541" s="18" t="s">
        <v>1320</v>
      </c>
    </row>
    <row r="1542" spans="5:7" ht="14.45" customHeight="1" outlineLevel="4" thickBot="1" x14ac:dyDescent="0.3">
      <c r="G1542" s="18" t="s">
        <v>1336</v>
      </c>
    </row>
    <row r="1543" spans="5:7" ht="14.45" customHeight="1" outlineLevel="3" thickBot="1" x14ac:dyDescent="0.3">
      <c r="F1543" s="39" t="s">
        <v>1337</v>
      </c>
    </row>
    <row r="1544" spans="5:7" ht="14.45" customHeight="1" outlineLevel="4" thickBot="1" x14ac:dyDescent="0.3">
      <c r="G1544" s="18" t="s">
        <v>1338</v>
      </c>
    </row>
    <row r="1545" spans="5:7" ht="14.45" customHeight="1" outlineLevel="4" thickBot="1" x14ac:dyDescent="0.3">
      <c r="G1545" s="18" t="s">
        <v>1339</v>
      </c>
    </row>
    <row r="1546" spans="5:7" ht="14.45" customHeight="1" outlineLevel="4" thickBot="1" x14ac:dyDescent="0.3">
      <c r="G1546" s="18" t="s">
        <v>1340</v>
      </c>
    </row>
    <row r="1547" spans="5:7" ht="14.45" customHeight="1" outlineLevel="3" thickBot="1" x14ac:dyDescent="0.3">
      <c r="F1547" s="39" t="s">
        <v>1341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8" t="s">
        <v>1342</v>
      </c>
    </row>
    <row r="1551" spans="5:7" ht="14.45" customHeight="1" outlineLevel="3" thickBot="1" x14ac:dyDescent="0.3">
      <c r="F1551" s="39" t="s">
        <v>1343</v>
      </c>
    </row>
    <row r="1552" spans="5:7" ht="14.45" customHeight="1" outlineLevel="4" thickBot="1" x14ac:dyDescent="0.3">
      <c r="G1552" s="18" t="s">
        <v>1257</v>
      </c>
    </row>
    <row r="1553" spans="5:7" ht="14.45" customHeight="1" outlineLevel="4" thickBot="1" x14ac:dyDescent="0.3">
      <c r="G1553" s="18" t="s">
        <v>1236</v>
      </c>
    </row>
    <row r="1554" spans="5:7" ht="14.45" customHeight="1" outlineLevel="3" thickBot="1" x14ac:dyDescent="0.3">
      <c r="F1554" s="39" t="s">
        <v>583</v>
      </c>
    </row>
    <row r="1555" spans="5:7" ht="14.45" customHeight="1" outlineLevel="4" thickBot="1" x14ac:dyDescent="0.3">
      <c r="G1555" s="18" t="s">
        <v>1309</v>
      </c>
    </row>
    <row r="1556" spans="5:7" ht="14.45" customHeight="1" outlineLevel="4" thickBot="1" x14ac:dyDescent="0.3">
      <c r="G1556" s="18" t="s">
        <v>1344</v>
      </c>
    </row>
    <row r="1557" spans="5:7" ht="14.45" customHeight="1" outlineLevel="4" thickBot="1" x14ac:dyDescent="0.3">
      <c r="G1557" s="18" t="s">
        <v>1345</v>
      </c>
    </row>
    <row r="1558" spans="5:7" ht="14.45" customHeight="1" outlineLevel="3" thickBot="1" x14ac:dyDescent="0.3">
      <c r="F1558" s="39" t="s">
        <v>1334</v>
      </c>
    </row>
    <row r="1559" spans="5:7" ht="14.45" customHeight="1" outlineLevel="4" thickBot="1" x14ac:dyDescent="0.3"/>
    <row r="1560" spans="5:7" ht="14.45" customHeight="1" outlineLevel="3" thickBot="1" x14ac:dyDescent="0.3">
      <c r="F1560" s="39" t="s">
        <v>1318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8" t="s">
        <v>1346</v>
      </c>
    </row>
    <row r="1564" spans="5:7" ht="14.45" customHeight="1" outlineLevel="3" thickBot="1" x14ac:dyDescent="0.3">
      <c r="F1564" s="39" t="s">
        <v>1347</v>
      </c>
    </row>
    <row r="1565" spans="5:7" ht="14.45" customHeight="1" outlineLevel="4" thickBot="1" x14ac:dyDescent="0.3">
      <c r="G1565" s="18" t="s">
        <v>1257</v>
      </c>
    </row>
    <row r="1566" spans="5:7" ht="14.45" customHeight="1" outlineLevel="4" thickBot="1" x14ac:dyDescent="0.3">
      <c r="G1566" s="18" t="s">
        <v>1236</v>
      </c>
    </row>
    <row r="1567" spans="5:7" ht="14.45" customHeight="1" outlineLevel="3" thickBot="1" x14ac:dyDescent="0.3">
      <c r="F1567" s="39" t="s">
        <v>1348</v>
      </c>
    </row>
    <row r="1568" spans="5:7" ht="14.45" customHeight="1" outlineLevel="4" thickBot="1" x14ac:dyDescent="0.3"/>
    <row r="1569" spans="6:7" ht="14.45" customHeight="1" outlineLevel="3" thickBot="1" x14ac:dyDescent="0.3">
      <c r="F1569" s="39" t="s">
        <v>1349</v>
      </c>
    </row>
    <row r="1570" spans="6:7" ht="14.45" customHeight="1" outlineLevel="4" thickBot="1" x14ac:dyDescent="0.3">
      <c r="G1570" s="18" t="s">
        <v>1309</v>
      </c>
    </row>
    <row r="1571" spans="6:7" ht="14.45" customHeight="1" outlineLevel="4" thickBot="1" x14ac:dyDescent="0.3">
      <c r="G1571" s="18" t="s">
        <v>1350</v>
      </c>
    </row>
    <row r="1572" spans="6:7" ht="14.45" customHeight="1" outlineLevel="4" thickBot="1" x14ac:dyDescent="0.3">
      <c r="G1572" s="18" t="s">
        <v>1351</v>
      </c>
    </row>
    <row r="1573" spans="6:7" ht="14.45" customHeight="1" outlineLevel="4" thickBot="1" x14ac:dyDescent="0.3">
      <c r="G1573" s="18" t="s">
        <v>1352</v>
      </c>
    </row>
    <row r="1574" spans="6:7" ht="14.45" customHeight="1" outlineLevel="3" thickBot="1" x14ac:dyDescent="0.3">
      <c r="F1574" s="39" t="s">
        <v>1353</v>
      </c>
    </row>
    <row r="1575" spans="6:7" ht="14.45" customHeight="1" outlineLevel="4" thickBot="1" x14ac:dyDescent="0.3">
      <c r="G1575" s="18" t="s">
        <v>1315</v>
      </c>
    </row>
    <row r="1576" spans="6:7" ht="14.45" customHeight="1" outlineLevel="4" thickBot="1" x14ac:dyDescent="0.3">
      <c r="G1576" s="18" t="s">
        <v>1354</v>
      </c>
    </row>
    <row r="1577" spans="6:7" ht="14.45" customHeight="1" outlineLevel="4" thickBot="1" x14ac:dyDescent="0.3">
      <c r="G1577" s="18" t="s">
        <v>1355</v>
      </c>
    </row>
    <row r="1578" spans="6:7" ht="14.45" customHeight="1" outlineLevel="3" thickBot="1" x14ac:dyDescent="0.3">
      <c r="F1578" s="39" t="s">
        <v>1356</v>
      </c>
    </row>
    <row r="1579" spans="6:7" ht="14.45" customHeight="1" outlineLevel="4" thickBot="1" x14ac:dyDescent="0.3">
      <c r="G1579" s="18" t="s">
        <v>1357</v>
      </c>
    </row>
    <row r="1580" spans="6:7" ht="14.45" customHeight="1" outlineLevel="4" thickBot="1" x14ac:dyDescent="0.3">
      <c r="G1580" s="18" t="s">
        <v>1358</v>
      </c>
    </row>
    <row r="1581" spans="6:7" ht="14.45" customHeight="1" outlineLevel="4" thickBot="1" x14ac:dyDescent="0.3">
      <c r="G1581" s="18" t="s">
        <v>1359</v>
      </c>
    </row>
    <row r="1582" spans="6:7" ht="14.45" customHeight="1" outlineLevel="4" thickBot="1" x14ac:dyDescent="0.3">
      <c r="G1582" s="18" t="s">
        <v>1360</v>
      </c>
    </row>
    <row r="1583" spans="6:7" ht="14.45" customHeight="1" outlineLevel="3" thickBot="1" x14ac:dyDescent="0.3">
      <c r="F1583" s="39" t="s">
        <v>1361</v>
      </c>
    </row>
    <row r="1584" spans="6:7" ht="14.45" customHeight="1" outlineLevel="4" thickBot="1" x14ac:dyDescent="0.3">
      <c r="G1584" s="18" t="s">
        <v>1362</v>
      </c>
    </row>
    <row r="1585" spans="4:7" ht="14.45" customHeight="1" outlineLevel="4" thickBot="1" x14ac:dyDescent="0.3">
      <c r="G1585" s="18" t="s">
        <v>1363</v>
      </c>
    </row>
    <row r="1586" spans="4:7" ht="14.45" customHeight="1" outlineLevel="4" thickBot="1" x14ac:dyDescent="0.3">
      <c r="G1586" s="18" t="s">
        <v>1364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7" t="s">
        <v>89</v>
      </c>
      <c r="E1589" s="37"/>
    </row>
    <row r="1590" spans="4:7" ht="14.45" customHeight="1" outlineLevel="2" thickBot="1" x14ac:dyDescent="0.3">
      <c r="E1590" s="38" t="s">
        <v>1365</v>
      </c>
    </row>
    <row r="1591" spans="4:7" ht="14.45" customHeight="1" outlineLevel="3" thickBot="1" x14ac:dyDescent="0.3">
      <c r="F1591" s="39" t="s">
        <v>559</v>
      </c>
    </row>
    <row r="1592" spans="4:7" ht="14.45" customHeight="1" outlineLevel="4" thickBot="1" x14ac:dyDescent="0.3">
      <c r="G1592" s="18" t="s">
        <v>560</v>
      </c>
    </row>
    <row r="1593" spans="4:7" ht="14.45" customHeight="1" outlineLevel="4" thickBot="1" x14ac:dyDescent="0.3">
      <c r="G1593" s="18" t="s">
        <v>561</v>
      </c>
    </row>
    <row r="1594" spans="4:7" ht="14.45" customHeight="1" outlineLevel="3" thickBot="1" x14ac:dyDescent="0.3">
      <c r="F1594" s="39" t="s">
        <v>1366</v>
      </c>
    </row>
    <row r="1595" spans="4:7" ht="14.45" customHeight="1" outlineLevel="4" thickBot="1" x14ac:dyDescent="0.3">
      <c r="G1595" s="18" t="s">
        <v>670</v>
      </c>
    </row>
    <row r="1596" spans="4:7" ht="14.45" customHeight="1" outlineLevel="4" thickBot="1" x14ac:dyDescent="0.3">
      <c r="G1596" s="18" t="s">
        <v>671</v>
      </c>
    </row>
    <row r="1597" spans="4:7" ht="14.45" customHeight="1" outlineLevel="4" thickBot="1" x14ac:dyDescent="0.3">
      <c r="G1597" s="18" t="s">
        <v>672</v>
      </c>
    </row>
    <row r="1598" spans="4:7" ht="14.45" customHeight="1" outlineLevel="3" thickBot="1" x14ac:dyDescent="0.3">
      <c r="F1598" s="39" t="s">
        <v>1367</v>
      </c>
    </row>
    <row r="1599" spans="4:7" ht="14.45" customHeight="1" outlineLevel="4" thickBot="1" x14ac:dyDescent="0.3"/>
    <row r="1600" spans="4:7" ht="14.45" customHeight="1" outlineLevel="3" thickBot="1" x14ac:dyDescent="0.3">
      <c r="F1600" s="39" t="s">
        <v>1368</v>
      </c>
    </row>
    <row r="1601" spans="5:7" ht="14.45" customHeight="1" outlineLevel="4" thickBot="1" x14ac:dyDescent="0.3">
      <c r="G1601" s="18" t="s">
        <v>1369</v>
      </c>
    </row>
    <row r="1602" spans="5:7" ht="14.45" customHeight="1" outlineLevel="4" thickBot="1" x14ac:dyDescent="0.3">
      <c r="G1602" s="18" t="s">
        <v>1370</v>
      </c>
    </row>
    <row r="1603" spans="5:7" ht="14.45" customHeight="1" outlineLevel="3" thickBot="1" x14ac:dyDescent="0.3"/>
    <row r="1604" spans="5:7" ht="14.45" customHeight="1" outlineLevel="2" thickBot="1" x14ac:dyDescent="0.3">
      <c r="E1604" s="38" t="s">
        <v>1371</v>
      </c>
    </row>
    <row r="1605" spans="5:7" ht="14.45" customHeight="1" outlineLevel="3" thickBot="1" x14ac:dyDescent="0.3">
      <c r="F1605" s="39" t="s">
        <v>559</v>
      </c>
    </row>
    <row r="1606" spans="5:7" ht="14.45" customHeight="1" outlineLevel="4" thickBot="1" x14ac:dyDescent="0.3">
      <c r="G1606" s="18" t="s">
        <v>560</v>
      </c>
    </row>
    <row r="1607" spans="5:7" ht="14.45" customHeight="1" outlineLevel="4" thickBot="1" x14ac:dyDescent="0.3">
      <c r="G1607" s="18" t="s">
        <v>561</v>
      </c>
    </row>
    <row r="1608" spans="5:7" ht="14.45" customHeight="1" outlineLevel="4" thickBot="1" x14ac:dyDescent="0.3">
      <c r="G1608" s="18" t="s">
        <v>1372</v>
      </c>
    </row>
    <row r="1609" spans="5:7" ht="14.45" customHeight="1" outlineLevel="3" thickBot="1" x14ac:dyDescent="0.3">
      <c r="F1609" s="39" t="s">
        <v>1373</v>
      </c>
    </row>
    <row r="1610" spans="5:7" ht="14.45" customHeight="1" outlineLevel="4" thickBot="1" x14ac:dyDescent="0.3">
      <c r="G1610" s="18" t="s">
        <v>560</v>
      </c>
    </row>
    <row r="1611" spans="5:7" ht="14.45" customHeight="1" outlineLevel="4" thickBot="1" x14ac:dyDescent="0.3">
      <c r="G1611" s="18" t="s">
        <v>1270</v>
      </c>
    </row>
    <row r="1612" spans="5:7" ht="14.45" customHeight="1" outlineLevel="4" thickBot="1" x14ac:dyDescent="0.3">
      <c r="G1612" s="18" t="s">
        <v>1374</v>
      </c>
    </row>
    <row r="1613" spans="5:7" ht="14.45" customHeight="1" outlineLevel="4" thickBot="1" x14ac:dyDescent="0.3">
      <c r="G1613" s="18" t="s">
        <v>1375</v>
      </c>
    </row>
    <row r="1614" spans="5:7" ht="14.45" customHeight="1" outlineLevel="3" thickBot="1" x14ac:dyDescent="0.3">
      <c r="F1614" s="39" t="s">
        <v>1376</v>
      </c>
    </row>
    <row r="1615" spans="5:7" ht="14.45" customHeight="1" outlineLevel="4" thickBot="1" x14ac:dyDescent="0.3">
      <c r="G1615" s="18" t="s">
        <v>560</v>
      </c>
    </row>
    <row r="1616" spans="5:7" ht="14.45" customHeight="1" outlineLevel="4" thickBot="1" x14ac:dyDescent="0.3">
      <c r="G1616" s="18" t="s">
        <v>917</v>
      </c>
    </row>
    <row r="1617" spans="3:7" ht="14.45" customHeight="1" outlineLevel="4" thickBot="1" x14ac:dyDescent="0.3">
      <c r="G1617" s="18" t="s">
        <v>1377</v>
      </c>
    </row>
    <row r="1618" spans="3:7" ht="14.45" customHeight="1" outlineLevel="4" thickBot="1" x14ac:dyDescent="0.3">
      <c r="G1618" s="18" t="s">
        <v>1378</v>
      </c>
    </row>
    <row r="1619" spans="3:7" ht="14.45" customHeight="1" outlineLevel="3" thickBot="1" x14ac:dyDescent="0.3">
      <c r="F1619" s="39" t="s">
        <v>1379</v>
      </c>
    </row>
    <row r="1620" spans="3:7" ht="14.45" customHeight="1" outlineLevel="4" thickBot="1" x14ac:dyDescent="0.3">
      <c r="G1620" s="18" t="s">
        <v>1380</v>
      </c>
    </row>
    <row r="1621" spans="3:7" ht="14.45" customHeight="1" outlineLevel="4" thickBot="1" x14ac:dyDescent="0.3">
      <c r="G1621" s="18" t="s">
        <v>1381</v>
      </c>
    </row>
    <row r="1622" spans="3:7" ht="14.45" customHeight="1" outlineLevel="4" thickBot="1" x14ac:dyDescent="0.3">
      <c r="G1622" s="18" t="s">
        <v>1382</v>
      </c>
    </row>
    <row r="1623" spans="3:7" ht="14.45" customHeight="1" outlineLevel="4" thickBot="1" x14ac:dyDescent="0.3">
      <c r="G1623" s="18" t="s">
        <v>1383</v>
      </c>
    </row>
    <row r="1624" spans="3:7" ht="14.45" customHeight="1" outlineLevel="3" thickBot="1" x14ac:dyDescent="0.3">
      <c r="F1624" s="39" t="s">
        <v>1384</v>
      </c>
    </row>
    <row r="1625" spans="3:7" ht="14.45" customHeight="1" outlineLevel="4" thickBot="1" x14ac:dyDescent="0.3">
      <c r="G1625" s="18" t="s">
        <v>1385</v>
      </c>
    </row>
    <row r="1626" spans="3:7" ht="14.45" customHeight="1" outlineLevel="4" thickBot="1" x14ac:dyDescent="0.3">
      <c r="G1626" s="18" t="s">
        <v>1386</v>
      </c>
    </row>
    <row r="1627" spans="3:7" ht="14.45" customHeight="1" outlineLevel="4" thickBot="1" x14ac:dyDescent="0.3">
      <c r="G1627" s="18" t="s">
        <v>1387</v>
      </c>
    </row>
    <row r="1628" spans="3:7" ht="14.45" customHeight="1" outlineLevel="4" thickBot="1" x14ac:dyDescent="0.3">
      <c r="G1628" s="18" t="s">
        <v>1388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6" t="s">
        <v>1389</v>
      </c>
      <c r="D1632" s="36"/>
    </row>
    <row r="1633" spans="4:6" ht="14.45" customHeight="1" outlineLevel="1" thickBot="1" x14ac:dyDescent="0.3">
      <c r="D1633" s="37" t="s">
        <v>91</v>
      </c>
      <c r="E1633" s="37"/>
    </row>
    <row r="1634" spans="4:6" ht="14.45" customHeight="1" outlineLevel="2" thickBot="1" x14ac:dyDescent="0.3">
      <c r="E1634" s="38" t="s">
        <v>1390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8" t="s">
        <v>1391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7" t="s">
        <v>93</v>
      </c>
      <c r="E1641" s="37"/>
    </row>
    <row r="1642" spans="4:6" ht="14.45" customHeight="1" outlineLevel="2" thickBot="1" x14ac:dyDescent="0.3">
      <c r="E1642" s="38" t="s">
        <v>1392</v>
      </c>
    </row>
    <row r="1643" spans="4:6" ht="14.45" customHeight="1" outlineLevel="3" thickBot="1" x14ac:dyDescent="0.3">
      <c r="F1643" s="39" t="s">
        <v>1393</v>
      </c>
    </row>
    <row r="1644" spans="4:6" ht="14.45" customHeight="1" outlineLevel="4" thickBot="1" x14ac:dyDescent="0.3"/>
    <row r="1645" spans="4:6" ht="14.45" customHeight="1" outlineLevel="3" thickBot="1" x14ac:dyDescent="0.3">
      <c r="F1645" s="39" t="s">
        <v>1394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8" t="s">
        <v>1395</v>
      </c>
    </row>
    <row r="1649" spans="5:6" ht="14.45" customHeight="1" outlineLevel="3" thickBot="1" x14ac:dyDescent="0.3">
      <c r="F1649" s="39" t="s">
        <v>1396</v>
      </c>
    </row>
    <row r="1650" spans="5:6" ht="14.45" customHeight="1" outlineLevel="4" thickBot="1" x14ac:dyDescent="0.3"/>
    <row r="1651" spans="5:6" ht="14.45" customHeight="1" outlineLevel="3" thickBot="1" x14ac:dyDescent="0.3">
      <c r="F1651" s="39" t="s">
        <v>1397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8" t="s">
        <v>1398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8" t="s">
        <v>1399</v>
      </c>
    </row>
    <row r="1658" spans="5:6" ht="14.45" customHeight="1" outlineLevel="3" thickBot="1" x14ac:dyDescent="0.3">
      <c r="F1658" s="39" t="s">
        <v>513</v>
      </c>
    </row>
    <row r="1659" spans="5:6" ht="14.45" customHeight="1" outlineLevel="4" thickBot="1" x14ac:dyDescent="0.3"/>
    <row r="1660" spans="5:6" ht="14.45" customHeight="1" outlineLevel="3" thickBot="1" x14ac:dyDescent="0.3">
      <c r="F1660" s="39" t="s">
        <v>1400</v>
      </c>
    </row>
    <row r="1661" spans="5:6" ht="14.45" customHeight="1" outlineLevel="4" thickBot="1" x14ac:dyDescent="0.3"/>
    <row r="1662" spans="5:6" ht="14.45" customHeight="1" outlineLevel="3" thickBot="1" x14ac:dyDescent="0.3">
      <c r="F1662" s="39" t="s">
        <v>1401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8" t="s">
        <v>1402</v>
      </c>
    </row>
    <row r="1666" spans="4:6" ht="14.45" customHeight="1" outlineLevel="3" thickBot="1" x14ac:dyDescent="0.3">
      <c r="F1666" s="39" t="s">
        <v>1403</v>
      </c>
    </row>
    <row r="1667" spans="4:6" ht="14.45" customHeight="1" outlineLevel="4" thickBot="1" x14ac:dyDescent="0.3"/>
    <row r="1668" spans="4:6" ht="14.45" customHeight="1" outlineLevel="3" thickBot="1" x14ac:dyDescent="0.3">
      <c r="F1668" s="39" t="s">
        <v>1404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8" t="s">
        <v>1405</v>
      </c>
    </row>
    <row r="1672" spans="4:6" ht="14.45" customHeight="1" outlineLevel="3" thickBot="1" x14ac:dyDescent="0.3">
      <c r="F1672" s="39" t="s">
        <v>1406</v>
      </c>
    </row>
    <row r="1673" spans="4:6" ht="14.45" customHeight="1" outlineLevel="4" thickBot="1" x14ac:dyDescent="0.3"/>
    <row r="1674" spans="4:6" ht="14.45" customHeight="1" outlineLevel="3" thickBot="1" x14ac:dyDescent="0.3">
      <c r="F1674" s="39" t="s">
        <v>1407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7" t="s">
        <v>96</v>
      </c>
      <c r="E1678" s="37"/>
    </row>
    <row r="1679" spans="4:6" ht="14.45" customHeight="1" outlineLevel="2" thickBot="1" x14ac:dyDescent="0.3">
      <c r="E1679" s="38" t="s">
        <v>1408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8" t="s">
        <v>1409</v>
      </c>
    </row>
    <row r="1683" spans="5:6" ht="14.45" customHeight="1" outlineLevel="3" thickBot="1" x14ac:dyDescent="0.3">
      <c r="F1683" s="39" t="s">
        <v>513</v>
      </c>
    </row>
    <row r="1684" spans="5:6" ht="14.45" customHeight="1" outlineLevel="4" thickBot="1" x14ac:dyDescent="0.3"/>
    <row r="1685" spans="5:6" ht="14.45" customHeight="1" outlineLevel="3" thickBot="1" x14ac:dyDescent="0.3">
      <c r="F1685" s="39" t="s">
        <v>1410</v>
      </c>
    </row>
    <row r="1686" spans="5:6" ht="14.45" customHeight="1" outlineLevel="4" thickBot="1" x14ac:dyDescent="0.3"/>
    <row r="1687" spans="5:6" ht="14.45" customHeight="1" outlineLevel="3" thickBot="1" x14ac:dyDescent="0.3">
      <c r="F1687" s="39" t="s">
        <v>1411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8" t="s">
        <v>1412</v>
      </c>
    </row>
    <row r="1691" spans="5:6" ht="14.45" customHeight="1" outlineLevel="3" thickBot="1" x14ac:dyDescent="0.3">
      <c r="F1691" s="39" t="s">
        <v>513</v>
      </c>
    </row>
    <row r="1692" spans="5:6" ht="14.45" customHeight="1" outlineLevel="4" thickBot="1" x14ac:dyDescent="0.3"/>
    <row r="1693" spans="5:6" ht="14.45" customHeight="1" outlineLevel="3" thickBot="1" x14ac:dyDescent="0.3">
      <c r="F1693" s="39" t="s">
        <v>1413</v>
      </c>
    </row>
    <row r="1694" spans="5:6" ht="14.45" customHeight="1" outlineLevel="4" thickBot="1" x14ac:dyDescent="0.3"/>
    <row r="1695" spans="5:6" ht="14.45" customHeight="1" outlineLevel="3" thickBot="1" x14ac:dyDescent="0.3">
      <c r="F1695" s="39" t="s">
        <v>1414</v>
      </c>
    </row>
    <row r="1696" spans="5:6" ht="14.45" customHeight="1" outlineLevel="4" thickBot="1" x14ac:dyDescent="0.3"/>
    <row r="1697" spans="3:6" ht="14.45" customHeight="1" outlineLevel="3" thickBot="1" x14ac:dyDescent="0.3">
      <c r="F1697" s="39" t="s">
        <v>1415</v>
      </c>
    </row>
    <row r="1698" spans="3:6" ht="14.45" customHeight="1" outlineLevel="4" thickBot="1" x14ac:dyDescent="0.3"/>
    <row r="1699" spans="3:6" ht="14.45" customHeight="1" outlineLevel="3" thickBot="1" x14ac:dyDescent="0.3">
      <c r="F1699" s="39" t="s">
        <v>1416</v>
      </c>
    </row>
    <row r="1700" spans="3:6" ht="14.45" customHeight="1" outlineLevel="4" thickBot="1" x14ac:dyDescent="0.3"/>
    <row r="1701" spans="3:6" ht="14.45" customHeight="1" outlineLevel="3" thickBot="1" x14ac:dyDescent="0.3">
      <c r="F1701" s="39" t="s">
        <v>1417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6" t="s">
        <v>1418</v>
      </c>
      <c r="D1706" s="36"/>
    </row>
    <row r="1707" spans="3:6" ht="14.45" customHeight="1" outlineLevel="1" thickBot="1" x14ac:dyDescent="0.3">
      <c r="D1707" s="37" t="s">
        <v>97</v>
      </c>
      <c r="E1707" s="37"/>
    </row>
    <row r="1708" spans="3:6" ht="14.45" customHeight="1" outlineLevel="2" thickBot="1" x14ac:dyDescent="0.3">
      <c r="E1708" s="38" t="s">
        <v>1419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8" t="s">
        <v>1420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7" t="s">
        <v>99</v>
      </c>
      <c r="E1715" s="37"/>
    </row>
    <row r="1716" spans="4:6" ht="14.45" customHeight="1" outlineLevel="2" thickBot="1" x14ac:dyDescent="0.3">
      <c r="E1716" s="38" t="s">
        <v>1421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8" t="s">
        <v>1422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8" t="s">
        <v>1423</v>
      </c>
    </row>
    <row r="1723" spans="4:6" ht="14.45" customHeight="1" outlineLevel="3" thickBot="1" x14ac:dyDescent="0.3">
      <c r="F1723" s="39" t="s">
        <v>1424</v>
      </c>
    </row>
    <row r="1724" spans="4:6" ht="14.45" customHeight="1" outlineLevel="4" thickBot="1" x14ac:dyDescent="0.3"/>
    <row r="1725" spans="4:6" ht="14.45" customHeight="1" outlineLevel="3" thickBot="1" x14ac:dyDescent="0.3">
      <c r="F1725" s="39" t="s">
        <v>583</v>
      </c>
    </row>
    <row r="1726" spans="4:6" ht="14.45" customHeight="1" outlineLevel="4" thickBot="1" x14ac:dyDescent="0.3"/>
    <row r="1727" spans="4:6" ht="14.45" customHeight="1" outlineLevel="3" thickBot="1" x14ac:dyDescent="0.3">
      <c r="F1727" s="39" t="s">
        <v>763</v>
      </c>
    </row>
    <row r="1728" spans="4:6" ht="14.45" customHeight="1" outlineLevel="4" thickBot="1" x14ac:dyDescent="0.3"/>
    <row r="1729" spans="5:6" ht="14.45" customHeight="1" outlineLevel="3" thickBot="1" x14ac:dyDescent="0.3">
      <c r="F1729" s="39" t="s">
        <v>1425</v>
      </c>
    </row>
    <row r="1730" spans="5:6" ht="14.45" customHeight="1" outlineLevel="4" thickBot="1" x14ac:dyDescent="0.3"/>
    <row r="1731" spans="5:6" ht="14.45" customHeight="1" outlineLevel="3" thickBot="1" x14ac:dyDescent="0.3">
      <c r="F1731" s="39" t="s">
        <v>1426</v>
      </c>
    </row>
    <row r="1732" spans="5:6" ht="14.45" customHeight="1" outlineLevel="4" thickBot="1" x14ac:dyDescent="0.3"/>
    <row r="1733" spans="5:6" ht="14.45" customHeight="1" outlineLevel="3" thickBot="1" x14ac:dyDescent="0.3">
      <c r="F1733" s="39" t="s">
        <v>1427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8" t="s">
        <v>1428</v>
      </c>
    </row>
    <row r="1737" spans="5:6" ht="14.45" customHeight="1" outlineLevel="3" thickBot="1" x14ac:dyDescent="0.3">
      <c r="F1737" s="39" t="s">
        <v>1429</v>
      </c>
    </row>
    <row r="1738" spans="5:6" ht="14.45" customHeight="1" outlineLevel="4" thickBot="1" x14ac:dyDescent="0.3"/>
    <row r="1739" spans="5:6" ht="14.45" customHeight="1" outlineLevel="3" thickBot="1" x14ac:dyDescent="0.3">
      <c r="F1739" s="39" t="s">
        <v>1430</v>
      </c>
    </row>
    <row r="1740" spans="5:6" ht="14.45" customHeight="1" outlineLevel="4" thickBot="1" x14ac:dyDescent="0.3"/>
    <row r="1741" spans="5:6" ht="14.45" customHeight="1" outlineLevel="3" thickBot="1" x14ac:dyDescent="0.3">
      <c r="F1741" s="39" t="s">
        <v>1431</v>
      </c>
    </row>
    <row r="1742" spans="5:6" ht="14.45" customHeight="1" outlineLevel="4" thickBot="1" x14ac:dyDescent="0.3"/>
    <row r="1743" spans="5:6" ht="14.45" customHeight="1" outlineLevel="3" thickBot="1" x14ac:dyDescent="0.3">
      <c r="F1743" s="39" t="s">
        <v>1432</v>
      </c>
    </row>
    <row r="1744" spans="5:6" ht="14.45" customHeight="1" outlineLevel="4" thickBot="1" x14ac:dyDescent="0.3"/>
    <row r="1745" spans="4:6" ht="14.45" customHeight="1" outlineLevel="3" thickBot="1" x14ac:dyDescent="0.3">
      <c r="F1745" s="39" t="s">
        <v>1433</v>
      </c>
    </row>
    <row r="1746" spans="4:6" ht="14.45" customHeight="1" outlineLevel="4" thickBot="1" x14ac:dyDescent="0.3"/>
    <row r="1747" spans="4:6" ht="14.45" customHeight="1" outlineLevel="3" thickBot="1" x14ac:dyDescent="0.3">
      <c r="F1747" s="39" t="s">
        <v>1434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7" t="s">
        <v>101</v>
      </c>
      <c r="E1751" s="37"/>
    </row>
    <row r="1752" spans="4:6" ht="14.45" customHeight="1" outlineLevel="2" thickBot="1" x14ac:dyDescent="0.3">
      <c r="E1752" s="38" t="s">
        <v>1435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8" t="s">
        <v>1436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7" t="s">
        <v>103</v>
      </c>
      <c r="E1759" s="37"/>
    </row>
    <row r="1760" spans="4:6" ht="14.45" customHeight="1" outlineLevel="2" thickBot="1" x14ac:dyDescent="0.3">
      <c r="E1760" s="38" t="s">
        <v>1437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8" t="s">
        <v>1438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8" t="s">
        <v>1439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8" t="s">
        <v>1440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8" t="s">
        <v>1441</v>
      </c>
    </row>
    <row r="1773" spans="5:6" ht="14.45" customHeight="1" outlineLevel="3" thickBot="1" x14ac:dyDescent="0.3">
      <c r="F1773" s="39" t="s">
        <v>1442</v>
      </c>
    </row>
    <row r="1774" spans="5:6" ht="14.45" customHeight="1" outlineLevel="4" thickBot="1" x14ac:dyDescent="0.3"/>
    <row r="1775" spans="5:6" ht="14.45" customHeight="1" outlineLevel="3" thickBot="1" x14ac:dyDescent="0.3">
      <c r="F1775" s="39" t="s">
        <v>1443</v>
      </c>
    </row>
    <row r="1776" spans="5:6" ht="14.45" customHeight="1" outlineLevel="4" thickBot="1" x14ac:dyDescent="0.3"/>
    <row r="1777" spans="3:6" ht="14.45" customHeight="1" outlineLevel="3" thickBot="1" x14ac:dyDescent="0.3">
      <c r="F1777" s="39" t="s">
        <v>1444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6" t="s">
        <v>1445</v>
      </c>
      <c r="D1782" s="36"/>
    </row>
    <row r="1783" spans="3:6" ht="14.45" customHeight="1" outlineLevel="1" thickBot="1" x14ac:dyDescent="0.3">
      <c r="D1783" s="37" t="s">
        <v>105</v>
      </c>
      <c r="E1783" s="37"/>
    </row>
    <row r="1784" spans="3:6" ht="14.45" customHeight="1" outlineLevel="2" thickBot="1" x14ac:dyDescent="0.3">
      <c r="E1784" s="38" t="s">
        <v>1390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8" t="s">
        <v>1446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7" t="s">
        <v>107</v>
      </c>
      <c r="E1791" s="37"/>
    </row>
    <row r="1792" spans="3:6" ht="14.45" customHeight="1" outlineLevel="2" thickBot="1" x14ac:dyDescent="0.3">
      <c r="E1792" s="38" t="s">
        <v>1447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8" t="s">
        <v>1448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8" t="s">
        <v>1449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7" t="s">
        <v>1450</v>
      </c>
      <c r="E1802" s="37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7" t="s">
        <v>109</v>
      </c>
      <c r="E1806" s="37"/>
    </row>
    <row r="1807" spans="4:5" ht="14.45" customHeight="1" outlineLevel="2" thickBot="1" x14ac:dyDescent="0.3">
      <c r="E1807" s="38" t="s">
        <v>1451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8" t="s">
        <v>1452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8" t="s">
        <v>1453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8" t="s">
        <v>1454</v>
      </c>
    </row>
    <row r="1817" spans="5:6" ht="14.45" customHeight="1" outlineLevel="3" thickBot="1" x14ac:dyDescent="0.3">
      <c r="F1817" s="39" t="s">
        <v>1455</v>
      </c>
    </row>
    <row r="1818" spans="5:6" ht="14.45" customHeight="1" outlineLevel="4" thickBot="1" x14ac:dyDescent="0.3"/>
    <row r="1819" spans="5:6" ht="14.45" customHeight="1" outlineLevel="3" thickBot="1" x14ac:dyDescent="0.3">
      <c r="F1819" s="39" t="s">
        <v>1456</v>
      </c>
    </row>
    <row r="1820" spans="5:6" ht="14.45" customHeight="1" outlineLevel="4" thickBot="1" x14ac:dyDescent="0.3"/>
    <row r="1821" spans="5:6" ht="14.45" customHeight="1" outlineLevel="3" thickBot="1" x14ac:dyDescent="0.3">
      <c r="F1821" s="39" t="s">
        <v>1457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6" t="s">
        <v>1458</v>
      </c>
      <c r="D1826" s="36"/>
    </row>
    <row r="1827" spans="3:6" ht="14.45" customHeight="1" outlineLevel="1" thickBot="1" x14ac:dyDescent="0.3">
      <c r="D1827" s="37" t="s">
        <v>111</v>
      </c>
      <c r="E1827" s="37"/>
    </row>
    <row r="1828" spans="3:6" ht="14.45" customHeight="1" outlineLevel="2" thickBot="1" x14ac:dyDescent="0.3">
      <c r="E1828" s="38" t="s">
        <v>1459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8" t="s">
        <v>1460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8" t="s">
        <v>1461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7" t="s">
        <v>113</v>
      </c>
      <c r="E1838" s="37"/>
    </row>
    <row r="1839" spans="3:6" ht="14.45" customHeight="1" outlineLevel="2" thickBot="1" x14ac:dyDescent="0.3">
      <c r="E1839" s="38" t="s">
        <v>1462</v>
      </c>
    </row>
    <row r="1840" spans="3:6" ht="14.45" customHeight="1" outlineLevel="3" thickBot="1" x14ac:dyDescent="0.3">
      <c r="F1840" s="39" t="s">
        <v>1463</v>
      </c>
    </row>
    <row r="1841" spans="3:6" ht="14.45" customHeight="1" outlineLevel="4" thickBot="1" x14ac:dyDescent="0.3"/>
    <row r="1842" spans="3:6" ht="14.45" customHeight="1" outlineLevel="3" thickBot="1" x14ac:dyDescent="0.3">
      <c r="F1842" s="39" t="s">
        <v>1464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8" t="s">
        <v>1465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8" t="s">
        <v>1466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6" t="s">
        <v>1467</v>
      </c>
      <c r="D1853" s="36"/>
    </row>
    <row r="1854" spans="3:6" ht="14.45" customHeight="1" outlineLevel="1" thickBot="1" x14ac:dyDescent="0.3">
      <c r="D1854" s="37" t="s">
        <v>115</v>
      </c>
      <c r="E1854" s="37"/>
    </row>
    <row r="1855" spans="3:6" ht="14.45" customHeight="1" outlineLevel="2" thickBot="1" x14ac:dyDescent="0.3">
      <c r="E1855" s="38" t="s">
        <v>1468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8" t="s">
        <v>1469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7" t="s">
        <v>117</v>
      </c>
      <c r="E1862" s="37"/>
    </row>
    <row r="1863" spans="4:6" ht="14.45" customHeight="1" outlineLevel="2" thickBot="1" x14ac:dyDescent="0.3">
      <c r="E1863" s="38" t="s">
        <v>1470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8" t="s">
        <v>1471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7" t="s">
        <v>119</v>
      </c>
      <c r="E1870" s="37"/>
    </row>
    <row r="1871" spans="4:6" ht="14.45" customHeight="1" outlineLevel="2" thickBot="1" x14ac:dyDescent="0.3">
      <c r="E1871" s="38" t="s">
        <v>1472</v>
      </c>
    </row>
    <row r="1872" spans="4:6" ht="14.45" customHeight="1" outlineLevel="3" thickBot="1" x14ac:dyDescent="0.3">
      <c r="F1872" s="39" t="s">
        <v>1473</v>
      </c>
    </row>
    <row r="1873" spans="5:6" ht="14.45" customHeight="1" outlineLevel="4" thickBot="1" x14ac:dyDescent="0.3"/>
    <row r="1874" spans="5:6" ht="14.45" customHeight="1" outlineLevel="3" thickBot="1" x14ac:dyDescent="0.3">
      <c r="F1874" s="39" t="s">
        <v>1474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8" t="s">
        <v>1475</v>
      </c>
    </row>
    <row r="1878" spans="5:6" ht="14.45" customHeight="1" outlineLevel="3" thickBot="1" x14ac:dyDescent="0.3">
      <c r="F1878" s="39" t="s">
        <v>1476</v>
      </c>
    </row>
    <row r="1879" spans="5:6" ht="14.45" customHeight="1" outlineLevel="4" thickBot="1" x14ac:dyDescent="0.3"/>
    <row r="1880" spans="5:6" ht="14.45" customHeight="1" outlineLevel="3" thickBot="1" x14ac:dyDescent="0.3">
      <c r="F1880" s="39" t="s">
        <v>1477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8" t="s">
        <v>1478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8" t="s">
        <v>1479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8" t="s">
        <v>1480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8" t="s">
        <v>1481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8" t="s">
        <v>1482</v>
      </c>
    </row>
    <row r="1896" spans="4:6" ht="14.45" customHeight="1" outlineLevel="3" thickBot="1" x14ac:dyDescent="0.3">
      <c r="F1896" s="39" t="s">
        <v>489</v>
      </c>
    </row>
    <row r="1897" spans="4:6" ht="14.45" customHeight="1" outlineLevel="4" thickBot="1" x14ac:dyDescent="0.3"/>
    <row r="1898" spans="4:6" ht="14.45" customHeight="1" outlineLevel="3" thickBot="1" x14ac:dyDescent="0.3">
      <c r="F1898" s="39" t="s">
        <v>1483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7" t="s">
        <v>121</v>
      </c>
      <c r="E1902" s="37"/>
    </row>
    <row r="1903" spans="4:6" ht="14.45" customHeight="1" outlineLevel="2" thickBot="1" x14ac:dyDescent="0.3">
      <c r="E1903" s="38" t="s">
        <v>1484</v>
      </c>
    </row>
    <row r="1904" spans="4:6" ht="14.45" customHeight="1" outlineLevel="3" thickBot="1" x14ac:dyDescent="0.3">
      <c r="F1904" s="39" t="s">
        <v>1485</v>
      </c>
    </row>
    <row r="1905" spans="5:6" ht="14.45" customHeight="1" outlineLevel="4" thickBot="1" x14ac:dyDescent="0.3"/>
    <row r="1906" spans="5:6" ht="14.45" customHeight="1" outlineLevel="3" thickBot="1" x14ac:dyDescent="0.3">
      <c r="F1906" s="39" t="s">
        <v>1486</v>
      </c>
    </row>
    <row r="1907" spans="5:6" ht="14.45" customHeight="1" outlineLevel="4" thickBot="1" x14ac:dyDescent="0.3"/>
    <row r="1908" spans="5:6" ht="14.45" customHeight="1" outlineLevel="3" thickBot="1" x14ac:dyDescent="0.3">
      <c r="F1908" s="39" t="s">
        <v>1487</v>
      </c>
    </row>
    <row r="1909" spans="5:6" ht="14.45" customHeight="1" outlineLevel="4" thickBot="1" x14ac:dyDescent="0.3"/>
    <row r="1910" spans="5:6" ht="14.45" customHeight="1" outlineLevel="3" thickBot="1" x14ac:dyDescent="0.3">
      <c r="F1910" s="39" t="s">
        <v>1488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8" t="s">
        <v>1489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8" t="s">
        <v>1490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8" t="s">
        <v>1491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7" t="s">
        <v>123</v>
      </c>
      <c r="E1923" s="37"/>
    </row>
    <row r="1924" spans="4:5" ht="14.45" customHeight="1" outlineLevel="2" thickBot="1" x14ac:dyDescent="0.3">
      <c r="E1924" s="38" t="s">
        <v>1492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8" t="s">
        <v>1493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0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55" t="s">
        <v>1636</v>
      </c>
      <c r="C2" s="356"/>
      <c r="D2" s="41" t="s">
        <v>1637</v>
      </c>
    </row>
    <row r="3" spans="2:12" ht="14.45" customHeight="1" thickBot="1" x14ac:dyDescent="0.3">
      <c r="B3" s="67" t="s">
        <v>1639</v>
      </c>
      <c r="C3" s="68" t="s">
        <v>1638</v>
      </c>
      <c r="D3" s="71" t="s">
        <v>2566</v>
      </c>
    </row>
    <row r="4" spans="2:12" ht="14.45" customHeight="1" x14ac:dyDescent="0.25">
      <c r="B4" s="357" t="s">
        <v>1832</v>
      </c>
      <c r="C4" s="69" t="s">
        <v>1638</v>
      </c>
      <c r="D4" s="72" t="s">
        <v>2567</v>
      </c>
    </row>
    <row r="5" spans="2:12" ht="14.45" customHeight="1" thickBot="1" x14ac:dyDescent="0.3">
      <c r="B5" s="358"/>
      <c r="C5" s="70" t="s">
        <v>1833</v>
      </c>
      <c r="D5" s="73" t="s">
        <v>2568</v>
      </c>
    </row>
    <row r="6" spans="2:12" ht="14.45" customHeight="1" x14ac:dyDescent="0.2">
      <c r="L6" s="82"/>
    </row>
    <row r="7" spans="2:12" ht="14.45" customHeight="1" x14ac:dyDescent="0.2">
      <c r="B7" s="42"/>
    </row>
    <row r="8" spans="2:12" ht="14.45" customHeight="1" x14ac:dyDescent="0.2">
      <c r="B8" s="89"/>
    </row>
    <row r="12" spans="2:12" ht="14.45" customHeight="1" x14ac:dyDescent="0.2">
      <c r="B12" s="4"/>
    </row>
    <row r="26" spans="2:2" ht="14.45" customHeight="1" x14ac:dyDescent="0.2">
      <c r="B26" s="42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8"/>
  <sheetViews>
    <sheetView showGridLines="0" workbookViewId="0">
      <pane ySplit="3" topLeftCell="A46" activePane="bottomLeft" state="frozen"/>
      <selection pane="bottomLeft" activeCell="G24" sqref="G2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77" t="s">
        <v>2</v>
      </c>
      <c r="C2" s="378"/>
      <c r="D2" s="379"/>
      <c r="E2" s="65" t="s">
        <v>3</v>
      </c>
      <c r="F2" s="75"/>
      <c r="G2" s="66" t="s">
        <v>4</v>
      </c>
    </row>
    <row r="3" spans="2:7" ht="14.45" customHeight="1" thickBot="1" x14ac:dyDescent="0.25">
      <c r="B3" s="64" t="s">
        <v>1803</v>
      </c>
      <c r="C3" s="88" t="s">
        <v>0</v>
      </c>
      <c r="D3" s="86" t="s">
        <v>1</v>
      </c>
      <c r="E3" s="76"/>
      <c r="F3" s="77"/>
      <c r="G3" s="74"/>
    </row>
    <row r="4" spans="2:7" ht="14.45" customHeight="1" x14ac:dyDescent="0.2">
      <c r="B4" s="359" t="s">
        <v>1681</v>
      </c>
      <c r="C4" s="365" t="s">
        <v>1682</v>
      </c>
      <c r="D4" s="371" t="s">
        <v>98</v>
      </c>
      <c r="E4" s="51" t="s">
        <v>1640</v>
      </c>
      <c r="F4" s="345"/>
      <c r="G4" s="8" t="s">
        <v>1674</v>
      </c>
    </row>
    <row r="5" spans="2:7" ht="14.45" customHeight="1" x14ac:dyDescent="0.2">
      <c r="B5" s="360"/>
      <c r="C5" s="366"/>
      <c r="D5" s="369"/>
      <c r="E5" s="52" t="s">
        <v>1675</v>
      </c>
      <c r="F5" s="346"/>
      <c r="G5" s="10" t="s">
        <v>1676</v>
      </c>
    </row>
    <row r="6" spans="2:7" ht="14.45" customHeight="1" x14ac:dyDescent="0.2">
      <c r="B6" s="360"/>
      <c r="C6" s="366"/>
      <c r="D6" s="369"/>
      <c r="E6" s="52" t="s">
        <v>1678</v>
      </c>
      <c r="F6" s="346"/>
      <c r="G6" s="10" t="s">
        <v>1677</v>
      </c>
    </row>
    <row r="7" spans="2:7" ht="14.45" customHeight="1" x14ac:dyDescent="0.2">
      <c r="B7" s="360"/>
      <c r="C7" s="366"/>
      <c r="D7" s="369"/>
      <c r="E7" s="53" t="s">
        <v>1641</v>
      </c>
      <c r="F7" s="347"/>
      <c r="G7" s="16" t="s">
        <v>1679</v>
      </c>
    </row>
    <row r="8" spans="2:7" ht="14.45" customHeight="1" x14ac:dyDescent="0.2">
      <c r="B8" s="360"/>
      <c r="C8" s="366"/>
      <c r="D8" s="369"/>
      <c r="E8" s="53" t="s">
        <v>1680</v>
      </c>
      <c r="F8" s="347"/>
      <c r="G8" s="16" t="s">
        <v>1707</v>
      </c>
    </row>
    <row r="9" spans="2:7" ht="14.45" customHeight="1" x14ac:dyDescent="0.2">
      <c r="B9" s="360"/>
      <c r="C9" s="366"/>
      <c r="D9" s="369"/>
      <c r="E9" s="53" t="s">
        <v>1642</v>
      </c>
      <c r="F9" s="347"/>
      <c r="G9" s="16" t="s">
        <v>1708</v>
      </c>
    </row>
    <row r="10" spans="2:7" ht="14.45" customHeight="1" x14ac:dyDescent="0.2">
      <c r="B10" s="360"/>
      <c r="C10" s="366"/>
      <c r="D10" s="369"/>
      <c r="E10" s="53" t="s">
        <v>1643</v>
      </c>
      <c r="F10" s="347"/>
      <c r="G10" s="16" t="s">
        <v>1709</v>
      </c>
    </row>
    <row r="11" spans="2:7" ht="14.45" customHeight="1" x14ac:dyDescent="0.2">
      <c r="B11" s="360"/>
      <c r="C11" s="366"/>
      <c r="D11" s="369"/>
      <c r="E11" s="53" t="s">
        <v>1644</v>
      </c>
      <c r="F11" s="347"/>
      <c r="G11" s="16" t="s">
        <v>1710</v>
      </c>
    </row>
    <row r="12" spans="2:7" ht="14.45" customHeight="1" x14ac:dyDescent="0.2">
      <c r="B12" s="360"/>
      <c r="C12" s="366"/>
      <c r="D12" s="369"/>
      <c r="E12" s="53" t="s">
        <v>1645</v>
      </c>
      <c r="F12" s="347"/>
      <c r="G12" s="16" t="s">
        <v>1711</v>
      </c>
    </row>
    <row r="13" spans="2:7" ht="14.45" customHeight="1" x14ac:dyDescent="0.2">
      <c r="B13" s="360"/>
      <c r="C13" s="366"/>
      <c r="D13" s="369"/>
      <c r="E13" s="53" t="s">
        <v>1646</v>
      </c>
      <c r="F13" s="347"/>
      <c r="G13" s="16" t="s">
        <v>1712</v>
      </c>
    </row>
    <row r="14" spans="2:7" ht="14.45" customHeight="1" x14ac:dyDescent="0.2">
      <c r="B14" s="360"/>
      <c r="C14" s="366"/>
      <c r="D14" s="369"/>
      <c r="E14" s="53" t="s">
        <v>1647</v>
      </c>
      <c r="F14" s="347"/>
      <c r="G14" s="16" t="s">
        <v>1718</v>
      </c>
    </row>
    <row r="15" spans="2:7" ht="14.45" customHeight="1" x14ac:dyDescent="0.2">
      <c r="B15" s="360"/>
      <c r="C15" s="366"/>
      <c r="D15" s="369"/>
      <c r="E15" s="53" t="s">
        <v>1648</v>
      </c>
      <c r="F15" s="347"/>
      <c r="G15" s="16" t="s">
        <v>1719</v>
      </c>
    </row>
    <row r="16" spans="2:7" ht="14.45" customHeight="1" x14ac:dyDescent="0.2">
      <c r="B16" s="360"/>
      <c r="C16" s="366"/>
      <c r="D16" s="369"/>
      <c r="E16" s="53" t="s">
        <v>1649</v>
      </c>
      <c r="F16" s="347"/>
      <c r="G16" s="16" t="s">
        <v>1720</v>
      </c>
    </row>
    <row r="17" spans="2:7" ht="14.45" customHeight="1" x14ac:dyDescent="0.2">
      <c r="B17" s="360"/>
      <c r="C17" s="366"/>
      <c r="D17" s="369"/>
      <c r="E17" s="53" t="s">
        <v>1791</v>
      </c>
      <c r="F17" s="347"/>
      <c r="G17" s="16" t="s">
        <v>1869</v>
      </c>
    </row>
    <row r="18" spans="2:7" ht="14.45" customHeight="1" x14ac:dyDescent="0.2">
      <c r="B18" s="360"/>
      <c r="C18" s="366"/>
      <c r="D18" s="369"/>
      <c r="E18" s="53" t="s">
        <v>1793</v>
      </c>
      <c r="F18" s="347"/>
      <c r="G18" s="16" t="s">
        <v>1792</v>
      </c>
    </row>
    <row r="19" spans="2:7" ht="14.45" customHeight="1" x14ac:dyDescent="0.2">
      <c r="B19" s="360"/>
      <c r="C19" s="366"/>
      <c r="D19" s="369"/>
      <c r="E19" s="53" t="s">
        <v>1794</v>
      </c>
      <c r="F19" s="347"/>
      <c r="G19" s="16" t="s">
        <v>1870</v>
      </c>
    </row>
    <row r="20" spans="2:7" ht="14.45" customHeight="1" x14ac:dyDescent="0.2">
      <c r="B20" s="360"/>
      <c r="C20" s="366"/>
      <c r="D20" s="369"/>
      <c r="E20" s="53" t="s">
        <v>1795</v>
      </c>
      <c r="F20" s="347"/>
      <c r="G20" s="16" t="s">
        <v>1796</v>
      </c>
    </row>
    <row r="21" spans="2:7" ht="14.45" customHeight="1" x14ac:dyDescent="0.2">
      <c r="B21" s="360"/>
      <c r="C21" s="366"/>
      <c r="D21" s="369"/>
      <c r="E21" s="53" t="s">
        <v>1797</v>
      </c>
      <c r="F21" s="347"/>
      <c r="G21" s="16" t="s">
        <v>1798</v>
      </c>
    </row>
    <row r="22" spans="2:7" ht="14.45" customHeight="1" x14ac:dyDescent="0.2">
      <c r="B22" s="360"/>
      <c r="C22" s="366"/>
      <c r="D22" s="369"/>
      <c r="E22" s="53" t="s">
        <v>1799</v>
      </c>
      <c r="F22" s="347"/>
      <c r="G22" s="16" t="s">
        <v>1801</v>
      </c>
    </row>
    <row r="23" spans="2:7" ht="14.45" customHeight="1" x14ac:dyDescent="0.2">
      <c r="B23" s="360"/>
      <c r="C23" s="366"/>
      <c r="D23" s="369"/>
      <c r="E23" s="53" t="s">
        <v>1800</v>
      </c>
      <c r="F23" s="347"/>
      <c r="G23" s="16" t="s">
        <v>1802</v>
      </c>
    </row>
    <row r="24" spans="2:7" ht="14.45" customHeight="1" x14ac:dyDescent="0.2">
      <c r="B24" s="360"/>
      <c r="C24" s="366"/>
      <c r="D24" s="369"/>
      <c r="E24" s="53" t="s">
        <v>1650</v>
      </c>
      <c r="F24" s="347"/>
      <c r="G24" s="16" t="s">
        <v>1721</v>
      </c>
    </row>
    <row r="25" spans="2:7" ht="14.45" customHeight="1" x14ac:dyDescent="0.2">
      <c r="B25" s="360"/>
      <c r="C25" s="366"/>
      <c r="D25" s="369"/>
      <c r="E25" s="53" t="s">
        <v>1651</v>
      </c>
      <c r="F25" s="347"/>
      <c r="G25" s="16" t="s">
        <v>1722</v>
      </c>
    </row>
    <row r="26" spans="2:7" ht="14.45" customHeight="1" x14ac:dyDescent="0.2">
      <c r="B26" s="360"/>
      <c r="C26" s="366"/>
      <c r="D26" s="369"/>
      <c r="E26" s="53" t="s">
        <v>1652</v>
      </c>
      <c r="F26" s="347"/>
      <c r="G26" s="16" t="s">
        <v>1723</v>
      </c>
    </row>
    <row r="27" spans="2:7" ht="14.45" customHeight="1" x14ac:dyDescent="0.2">
      <c r="B27" s="360"/>
      <c r="C27" s="366"/>
      <c r="D27" s="369"/>
      <c r="E27" s="53" t="s">
        <v>1653</v>
      </c>
      <c r="F27" s="347"/>
      <c r="G27" s="16" t="s">
        <v>1724</v>
      </c>
    </row>
    <row r="28" spans="2:7" ht="14.45" customHeight="1" x14ac:dyDescent="0.2">
      <c r="B28" s="360"/>
      <c r="C28" s="366"/>
      <c r="D28" s="369"/>
      <c r="E28" s="53" t="s">
        <v>1654</v>
      </c>
      <c r="F28" s="347"/>
      <c r="G28" s="16" t="s">
        <v>1725</v>
      </c>
    </row>
    <row r="29" spans="2:7" ht="14.45" customHeight="1" x14ac:dyDescent="0.2">
      <c r="B29" s="360"/>
      <c r="C29" s="366"/>
      <c r="D29" s="369"/>
      <c r="E29" s="53" t="s">
        <v>1655</v>
      </c>
      <c r="F29" s="347"/>
      <c r="G29" s="16" t="s">
        <v>1726</v>
      </c>
    </row>
    <row r="30" spans="2:7" ht="14.45" customHeight="1" x14ac:dyDescent="0.2">
      <c r="B30" s="360"/>
      <c r="C30" s="366"/>
      <c r="D30" s="369"/>
      <c r="E30" s="53" t="s">
        <v>1656</v>
      </c>
      <c r="F30" s="347"/>
      <c r="G30" s="16" t="s">
        <v>1727</v>
      </c>
    </row>
    <row r="31" spans="2:7" ht="14.45" customHeight="1" x14ac:dyDescent="0.2">
      <c r="B31" s="360"/>
      <c r="C31" s="366"/>
      <c r="D31" s="369"/>
      <c r="E31" s="53" t="s">
        <v>1657</v>
      </c>
      <c r="F31" s="347"/>
      <c r="G31" s="16" t="s">
        <v>1728</v>
      </c>
    </row>
    <row r="32" spans="2:7" ht="14.45" customHeight="1" x14ac:dyDescent="0.2">
      <c r="B32" s="360"/>
      <c r="C32" s="366"/>
      <c r="D32" s="369"/>
      <c r="E32" s="53" t="s">
        <v>1658</v>
      </c>
      <c r="F32" s="347"/>
      <c r="G32" s="16" t="s">
        <v>1729</v>
      </c>
    </row>
    <row r="33" spans="2:7" ht="14.45" customHeight="1" x14ac:dyDescent="0.2">
      <c r="B33" s="360"/>
      <c r="C33" s="366"/>
      <c r="D33" s="369"/>
      <c r="E33" s="53" t="s">
        <v>1659</v>
      </c>
      <c r="F33" s="347"/>
      <c r="G33" s="16" t="s">
        <v>1883</v>
      </c>
    </row>
    <row r="34" spans="2:7" ht="14.45" customHeight="1" x14ac:dyDescent="0.2">
      <c r="B34" s="360"/>
      <c r="C34" s="366"/>
      <c r="D34" s="369"/>
      <c r="E34" s="53" t="s">
        <v>1660</v>
      </c>
      <c r="F34" s="347"/>
      <c r="G34" s="16" t="s">
        <v>1730</v>
      </c>
    </row>
    <row r="35" spans="2:7" ht="14.45" customHeight="1" x14ac:dyDescent="0.2">
      <c r="B35" s="360"/>
      <c r="C35" s="366"/>
      <c r="D35" s="369"/>
      <c r="E35" s="53" t="s">
        <v>1661</v>
      </c>
      <c r="F35" s="347"/>
      <c r="G35" s="16" t="s">
        <v>1731</v>
      </c>
    </row>
    <row r="36" spans="2:7" ht="14.45" customHeight="1" x14ac:dyDescent="0.2">
      <c r="B36" s="360"/>
      <c r="C36" s="366"/>
      <c r="D36" s="369"/>
      <c r="E36" s="53" t="s">
        <v>1662</v>
      </c>
      <c r="F36" s="347"/>
      <c r="G36" s="16" t="s">
        <v>1732</v>
      </c>
    </row>
    <row r="37" spans="2:7" ht="14.45" customHeight="1" x14ac:dyDescent="0.2">
      <c r="B37" s="360"/>
      <c r="C37" s="366"/>
      <c r="D37" s="369"/>
      <c r="E37" s="53" t="s">
        <v>1663</v>
      </c>
      <c r="F37" s="347"/>
      <c r="G37" s="16" t="s">
        <v>1733</v>
      </c>
    </row>
    <row r="38" spans="2:7" ht="14.45" customHeight="1" x14ac:dyDescent="0.2">
      <c r="B38" s="360"/>
      <c r="C38" s="366"/>
      <c r="D38" s="369"/>
      <c r="E38" s="53" t="s">
        <v>1664</v>
      </c>
      <c r="F38" s="347"/>
      <c r="G38" s="16" t="s">
        <v>1734</v>
      </c>
    </row>
    <row r="39" spans="2:7" ht="14.45" customHeight="1" x14ac:dyDescent="0.2">
      <c r="B39" s="360"/>
      <c r="C39" s="366"/>
      <c r="D39" s="369"/>
      <c r="E39" s="53" t="s">
        <v>1665</v>
      </c>
      <c r="F39" s="347"/>
      <c r="G39" s="16" t="s">
        <v>1735</v>
      </c>
    </row>
    <row r="40" spans="2:7" ht="14.45" customHeight="1" x14ac:dyDescent="0.2">
      <c r="B40" s="360"/>
      <c r="C40" s="366"/>
      <c r="D40" s="369"/>
      <c r="E40" s="53" t="s">
        <v>1666</v>
      </c>
      <c r="F40" s="347"/>
      <c r="G40" s="16" t="s">
        <v>1736</v>
      </c>
    </row>
    <row r="41" spans="2:7" ht="14.45" customHeight="1" x14ac:dyDescent="0.2">
      <c r="B41" s="360"/>
      <c r="C41" s="366"/>
      <c r="D41" s="369"/>
      <c r="E41" s="53" t="s">
        <v>1667</v>
      </c>
      <c r="F41" s="347"/>
      <c r="G41" s="16" t="s">
        <v>1737</v>
      </c>
    </row>
    <row r="42" spans="2:7" ht="14.45" customHeight="1" x14ac:dyDescent="0.2">
      <c r="B42" s="360"/>
      <c r="C42" s="366"/>
      <c r="D42" s="370"/>
      <c r="E42" s="54" t="s">
        <v>1668</v>
      </c>
      <c r="F42" s="348"/>
      <c r="G42" s="12" t="s">
        <v>1738</v>
      </c>
    </row>
    <row r="43" spans="2:7" ht="14.45" customHeight="1" x14ac:dyDescent="0.2">
      <c r="B43" s="360"/>
      <c r="C43" s="366"/>
      <c r="D43" s="368" t="s">
        <v>201</v>
      </c>
      <c r="E43" s="52" t="s">
        <v>1669</v>
      </c>
      <c r="F43" s="346"/>
      <c r="G43" s="10" t="s">
        <v>1739</v>
      </c>
    </row>
    <row r="44" spans="2:7" ht="14.45" customHeight="1" x14ac:dyDescent="0.2">
      <c r="B44" s="360"/>
      <c r="C44" s="366"/>
      <c r="D44" s="369"/>
      <c r="E44" s="52" t="s">
        <v>1670</v>
      </c>
      <c r="F44" s="346"/>
      <c r="G44" s="10" t="s">
        <v>1740</v>
      </c>
    </row>
    <row r="45" spans="2:7" ht="14.45" customHeight="1" x14ac:dyDescent="0.2">
      <c r="B45" s="360"/>
      <c r="C45" s="366"/>
      <c r="D45" s="369"/>
      <c r="E45" s="52" t="s">
        <v>1671</v>
      </c>
      <c r="F45" s="346"/>
      <c r="G45" s="10" t="s">
        <v>1741</v>
      </c>
    </row>
    <row r="46" spans="2:7" ht="14.45" customHeight="1" x14ac:dyDescent="0.2">
      <c r="B46" s="360"/>
      <c r="C46" s="366"/>
      <c r="D46" s="369"/>
      <c r="E46" s="52" t="s">
        <v>1743</v>
      </c>
      <c r="F46" s="346"/>
      <c r="G46" s="10" t="s">
        <v>1742</v>
      </c>
    </row>
    <row r="47" spans="2:7" ht="14.45" customHeight="1" x14ac:dyDescent="0.2">
      <c r="B47" s="360"/>
      <c r="C47" s="366"/>
      <c r="D47" s="369"/>
      <c r="E47" s="52" t="s">
        <v>1747</v>
      </c>
      <c r="F47" s="346"/>
      <c r="G47" s="10" t="s">
        <v>1748</v>
      </c>
    </row>
    <row r="48" spans="2:7" ht="14.45" customHeight="1" x14ac:dyDescent="0.2">
      <c r="B48" s="360"/>
      <c r="C48" s="366"/>
      <c r="D48" s="369"/>
      <c r="E48" s="52" t="s">
        <v>1746</v>
      </c>
      <c r="F48" s="346"/>
      <c r="G48" s="10" t="s">
        <v>1749</v>
      </c>
    </row>
    <row r="49" spans="2:7" ht="14.45" customHeight="1" x14ac:dyDescent="0.2">
      <c r="B49" s="360"/>
      <c r="C49" s="366"/>
      <c r="D49" s="369"/>
      <c r="E49" s="52" t="s">
        <v>1672</v>
      </c>
      <c r="F49" s="346"/>
      <c r="G49" s="10" t="s">
        <v>1744</v>
      </c>
    </row>
    <row r="50" spans="2:7" ht="14.45" customHeight="1" x14ac:dyDescent="0.2">
      <c r="B50" s="360"/>
      <c r="C50" s="366"/>
      <c r="D50" s="370"/>
      <c r="E50" s="52" t="s">
        <v>1673</v>
      </c>
      <c r="F50" s="346"/>
      <c r="G50" s="10" t="s">
        <v>1745</v>
      </c>
    </row>
    <row r="51" spans="2:7" ht="14.45" customHeight="1" x14ac:dyDescent="0.2">
      <c r="B51" s="360"/>
      <c r="C51" s="366"/>
      <c r="D51" s="368" t="s">
        <v>202</v>
      </c>
      <c r="E51" s="55" t="s">
        <v>1713</v>
      </c>
      <c r="F51" s="349"/>
      <c r="G51" s="6" t="s">
        <v>2097</v>
      </c>
    </row>
    <row r="52" spans="2:7" ht="14.45" customHeight="1" x14ac:dyDescent="0.2">
      <c r="B52" s="360"/>
      <c r="C52" s="366"/>
      <c r="D52" s="369"/>
      <c r="E52" s="52" t="s">
        <v>2098</v>
      </c>
      <c r="F52" s="346"/>
      <c r="G52" s="10" t="s">
        <v>2099</v>
      </c>
    </row>
    <row r="53" spans="2:7" ht="14.45" customHeight="1" x14ac:dyDescent="0.2">
      <c r="B53" s="360"/>
      <c r="C53" s="366"/>
      <c r="D53" s="369"/>
      <c r="E53" s="52" t="s">
        <v>2100</v>
      </c>
      <c r="F53" s="346"/>
      <c r="G53" s="10" t="s">
        <v>2102</v>
      </c>
    </row>
    <row r="54" spans="2:7" ht="14.45" customHeight="1" x14ac:dyDescent="0.2">
      <c r="B54" s="360"/>
      <c r="C54" s="366"/>
      <c r="D54" s="369"/>
      <c r="E54" s="52" t="s">
        <v>2101</v>
      </c>
      <c r="F54" s="346"/>
      <c r="G54" s="10" t="s">
        <v>2103</v>
      </c>
    </row>
    <row r="55" spans="2:7" ht="14.45" customHeight="1" x14ac:dyDescent="0.2">
      <c r="B55" s="360"/>
      <c r="C55" s="366"/>
      <c r="D55" s="369"/>
      <c r="E55" s="52" t="s">
        <v>1675</v>
      </c>
      <c r="F55" s="346"/>
      <c r="G55" s="10" t="s">
        <v>2104</v>
      </c>
    </row>
    <row r="56" spans="2:7" ht="14.45" customHeight="1" x14ac:dyDescent="0.2">
      <c r="B56" s="360"/>
      <c r="C56" s="366"/>
      <c r="D56" s="369"/>
      <c r="E56" s="52" t="s">
        <v>1714</v>
      </c>
      <c r="F56" s="346"/>
      <c r="G56" s="10" t="s">
        <v>2105</v>
      </c>
    </row>
    <row r="57" spans="2:7" ht="14.45" customHeight="1" x14ac:dyDescent="0.2">
      <c r="B57" s="360"/>
      <c r="C57" s="366"/>
      <c r="D57" s="369"/>
      <c r="E57" s="52" t="s">
        <v>1715</v>
      </c>
      <c r="F57" s="346"/>
      <c r="G57" s="10" t="s">
        <v>2106</v>
      </c>
    </row>
    <row r="58" spans="2:7" ht="14.45" customHeight="1" x14ac:dyDescent="0.2">
      <c r="B58" s="360"/>
      <c r="C58" s="366"/>
      <c r="D58" s="369"/>
      <c r="E58" s="52" t="s">
        <v>1716</v>
      </c>
      <c r="F58" s="346"/>
      <c r="G58" s="10" t="s">
        <v>2521</v>
      </c>
    </row>
    <row r="59" spans="2:7" ht="14.45" customHeight="1" thickBot="1" x14ac:dyDescent="0.25">
      <c r="B59" s="360"/>
      <c r="C59" s="367"/>
      <c r="D59" s="372"/>
      <c r="E59" s="52" t="s">
        <v>1717</v>
      </c>
      <c r="F59" s="346"/>
      <c r="G59" s="10" t="s">
        <v>2107</v>
      </c>
    </row>
    <row r="60" spans="2:7" ht="14.45" customHeight="1" x14ac:dyDescent="0.2">
      <c r="B60" s="360"/>
      <c r="C60" s="365" t="s">
        <v>1683</v>
      </c>
      <c r="D60" s="84" t="s">
        <v>14</v>
      </c>
      <c r="E60" s="51" t="s">
        <v>1639</v>
      </c>
      <c r="F60" s="345"/>
      <c r="G60" s="8" t="s">
        <v>2108</v>
      </c>
    </row>
    <row r="61" spans="2:7" ht="14.45" customHeight="1" x14ac:dyDescent="0.2">
      <c r="B61" s="360"/>
      <c r="C61" s="366"/>
      <c r="D61" s="368" t="s">
        <v>16</v>
      </c>
      <c r="E61" s="55" t="s">
        <v>1750</v>
      </c>
      <c r="F61" s="349"/>
      <c r="G61" s="6" t="s">
        <v>2109</v>
      </c>
    </row>
    <row r="62" spans="2:7" ht="14.45" customHeight="1" x14ac:dyDescent="0.2">
      <c r="B62" s="360"/>
      <c r="C62" s="366"/>
      <c r="D62" s="369"/>
      <c r="E62" s="52" t="s">
        <v>1751</v>
      </c>
      <c r="F62" s="346"/>
      <c r="G62" s="10" t="s">
        <v>2110</v>
      </c>
    </row>
    <row r="63" spans="2:7" ht="14.45" customHeight="1" x14ac:dyDescent="0.2">
      <c r="B63" s="360"/>
      <c r="C63" s="366"/>
      <c r="D63" s="369"/>
      <c r="E63" s="52" t="s">
        <v>1752</v>
      </c>
      <c r="F63" s="346"/>
      <c r="G63" s="10" t="s">
        <v>2111</v>
      </c>
    </row>
    <row r="64" spans="2:7" ht="14.45" customHeight="1" x14ac:dyDescent="0.2">
      <c r="B64" s="360"/>
      <c r="C64" s="366"/>
      <c r="D64" s="369"/>
      <c r="E64" s="52" t="s">
        <v>1753</v>
      </c>
      <c r="F64" s="346"/>
      <c r="G64" s="10" t="s">
        <v>2112</v>
      </c>
    </row>
    <row r="65" spans="2:7" ht="14.45" customHeight="1" thickBot="1" x14ac:dyDescent="0.25">
      <c r="B65" s="361"/>
      <c r="C65" s="367"/>
      <c r="D65" s="372"/>
      <c r="E65" s="52" t="s">
        <v>1754</v>
      </c>
      <c r="F65" s="346"/>
      <c r="G65" s="10" t="s">
        <v>2113</v>
      </c>
    </row>
    <row r="66" spans="2:7" ht="14.45" customHeight="1" x14ac:dyDescent="0.2">
      <c r="B66" s="359" t="s">
        <v>1686</v>
      </c>
      <c r="C66" s="365" t="s">
        <v>1684</v>
      </c>
      <c r="D66" s="371" t="s">
        <v>18</v>
      </c>
      <c r="E66" s="51" t="s">
        <v>1755</v>
      </c>
      <c r="F66" s="345"/>
      <c r="G66" s="8" t="s">
        <v>2114</v>
      </c>
    </row>
    <row r="67" spans="2:7" ht="14.45" customHeight="1" x14ac:dyDescent="0.2">
      <c r="B67" s="360"/>
      <c r="C67" s="366"/>
      <c r="D67" s="369"/>
      <c r="E67" s="53" t="s">
        <v>1756</v>
      </c>
      <c r="F67" s="347"/>
      <c r="G67" s="16" t="s">
        <v>2423</v>
      </c>
    </row>
    <row r="68" spans="2:7" ht="14.45" customHeight="1" x14ac:dyDescent="0.2">
      <c r="B68" s="360"/>
      <c r="C68" s="366"/>
      <c r="D68" s="369"/>
      <c r="E68" s="93" t="s">
        <v>2115</v>
      </c>
      <c r="F68" s="350"/>
      <c r="G68" s="50" t="s">
        <v>2116</v>
      </c>
    </row>
    <row r="69" spans="2:7" ht="14.45" customHeight="1" x14ac:dyDescent="0.2">
      <c r="B69" s="360"/>
      <c r="C69" s="366"/>
      <c r="D69" s="370"/>
      <c r="E69" s="54" t="s">
        <v>1757</v>
      </c>
      <c r="F69" s="348"/>
      <c r="G69" s="12" t="s">
        <v>2117</v>
      </c>
    </row>
    <row r="70" spans="2:7" ht="14.45" customHeight="1" x14ac:dyDescent="0.2">
      <c r="B70" s="360"/>
      <c r="C70" s="366"/>
      <c r="D70" s="368" t="s">
        <v>20</v>
      </c>
      <c r="E70" s="78" t="s">
        <v>1758</v>
      </c>
      <c r="F70" s="349"/>
      <c r="G70" s="6" t="s">
        <v>2118</v>
      </c>
    </row>
    <row r="71" spans="2:7" ht="14.45" customHeight="1" x14ac:dyDescent="0.2">
      <c r="B71" s="360"/>
      <c r="C71" s="366"/>
      <c r="D71" s="369"/>
      <c r="E71" s="59" t="s">
        <v>1759</v>
      </c>
      <c r="F71" s="347"/>
      <c r="G71" s="16" t="s">
        <v>2119</v>
      </c>
    </row>
    <row r="72" spans="2:7" ht="14.45" customHeight="1" x14ac:dyDescent="0.2">
      <c r="B72" s="360"/>
      <c r="C72" s="366"/>
      <c r="D72" s="369"/>
      <c r="E72" s="59" t="s">
        <v>1761</v>
      </c>
      <c r="F72" s="347"/>
      <c r="G72" s="16" t="s">
        <v>2120</v>
      </c>
    </row>
    <row r="73" spans="2:7" ht="14.45" customHeight="1" x14ac:dyDescent="0.2">
      <c r="B73" s="360"/>
      <c r="C73" s="366"/>
      <c r="D73" s="370"/>
      <c r="E73" s="60" t="s">
        <v>1760</v>
      </c>
      <c r="F73" s="348"/>
      <c r="G73" s="12" t="s">
        <v>2121</v>
      </c>
    </row>
    <row r="74" spans="2:7" ht="14.45" customHeight="1" x14ac:dyDescent="0.2">
      <c r="B74" s="360"/>
      <c r="C74" s="366"/>
      <c r="D74" s="362" t="s">
        <v>22</v>
      </c>
      <c r="E74" s="55" t="s">
        <v>1678</v>
      </c>
      <c r="F74" s="349"/>
      <c r="G74" s="6" t="s">
        <v>1773</v>
      </c>
    </row>
    <row r="75" spans="2:7" ht="14.45" customHeight="1" x14ac:dyDescent="0.2">
      <c r="B75" s="360"/>
      <c r="C75" s="366"/>
      <c r="D75" s="363"/>
      <c r="E75" s="52" t="s">
        <v>1641</v>
      </c>
      <c r="F75" s="346"/>
      <c r="G75" s="10" t="s">
        <v>1775</v>
      </c>
    </row>
    <row r="76" spans="2:7" ht="14.45" customHeight="1" x14ac:dyDescent="0.2">
      <c r="B76" s="360"/>
      <c r="C76" s="366"/>
      <c r="D76" s="363"/>
      <c r="E76" s="52" t="s">
        <v>1762</v>
      </c>
      <c r="F76" s="346"/>
      <c r="G76" s="10" t="s">
        <v>1774</v>
      </c>
    </row>
    <row r="77" spans="2:7" ht="14.45" customHeight="1" x14ac:dyDescent="0.2">
      <c r="B77" s="360"/>
      <c r="C77" s="366"/>
      <c r="D77" s="363"/>
      <c r="E77" s="52" t="s">
        <v>1763</v>
      </c>
      <c r="F77" s="346"/>
      <c r="G77" s="10" t="s">
        <v>1776</v>
      </c>
    </row>
    <row r="78" spans="2:7" ht="14.45" customHeight="1" x14ac:dyDescent="0.2">
      <c r="B78" s="360"/>
      <c r="C78" s="366"/>
      <c r="D78" s="363"/>
      <c r="E78" s="52" t="s">
        <v>1764</v>
      </c>
      <c r="F78" s="346"/>
      <c r="G78" s="10" t="s">
        <v>1777</v>
      </c>
    </row>
    <row r="79" spans="2:7" ht="14.45" customHeight="1" x14ac:dyDescent="0.2">
      <c r="B79" s="360"/>
      <c r="C79" s="366"/>
      <c r="D79" s="363"/>
      <c r="E79" s="52" t="s">
        <v>2368</v>
      </c>
      <c r="F79" s="346"/>
      <c r="G79" s="10" t="s">
        <v>1771</v>
      </c>
    </row>
    <row r="80" spans="2:7" ht="14.45" customHeight="1" x14ac:dyDescent="0.2">
      <c r="B80" s="360"/>
      <c r="C80" s="366"/>
      <c r="D80" s="363"/>
      <c r="E80" s="52" t="s">
        <v>1778</v>
      </c>
      <c r="F80" s="346"/>
      <c r="G80" s="10" t="s">
        <v>1779</v>
      </c>
    </row>
    <row r="81" spans="2:7" ht="14.45" customHeight="1" x14ac:dyDescent="0.2">
      <c r="B81" s="360"/>
      <c r="C81" s="366"/>
      <c r="D81" s="363"/>
      <c r="E81" s="52" t="s">
        <v>1768</v>
      </c>
      <c r="F81" s="346"/>
      <c r="G81" s="10" t="s">
        <v>1780</v>
      </c>
    </row>
    <row r="82" spans="2:7" ht="14.45" customHeight="1" x14ac:dyDescent="0.2">
      <c r="B82" s="360"/>
      <c r="C82" s="366"/>
      <c r="D82" s="363"/>
      <c r="E82" s="52" t="s">
        <v>1769</v>
      </c>
      <c r="F82" s="346"/>
      <c r="G82" s="10" t="s">
        <v>2424</v>
      </c>
    </row>
    <row r="83" spans="2:7" ht="14.45" customHeight="1" x14ac:dyDescent="0.2">
      <c r="B83" s="360"/>
      <c r="C83" s="366"/>
      <c r="D83" s="363"/>
      <c r="E83" s="52" t="s">
        <v>1680</v>
      </c>
      <c r="F83" s="346"/>
      <c r="G83" s="10" t="s">
        <v>1781</v>
      </c>
    </row>
    <row r="84" spans="2:7" ht="14.45" customHeight="1" x14ac:dyDescent="0.2">
      <c r="B84" s="360"/>
      <c r="C84" s="366"/>
      <c r="D84" s="363"/>
      <c r="E84" s="52" t="s">
        <v>1770</v>
      </c>
      <c r="F84" s="346"/>
      <c r="G84" s="10" t="s">
        <v>1786</v>
      </c>
    </row>
    <row r="85" spans="2:7" ht="14.45" customHeight="1" x14ac:dyDescent="0.2">
      <c r="B85" s="360"/>
      <c r="C85" s="366"/>
      <c r="D85" s="363"/>
      <c r="E85" s="52" t="s">
        <v>1765</v>
      </c>
      <c r="F85" s="346"/>
      <c r="G85" s="10" t="s">
        <v>1785</v>
      </c>
    </row>
    <row r="86" spans="2:7" ht="14.45" customHeight="1" x14ac:dyDescent="0.2">
      <c r="B86" s="360"/>
      <c r="C86" s="366"/>
      <c r="D86" s="363"/>
      <c r="E86" s="52" t="s">
        <v>1782</v>
      </c>
      <c r="F86" s="346"/>
      <c r="G86" s="10" t="s">
        <v>1787</v>
      </c>
    </row>
    <row r="87" spans="2:7" ht="14.45" customHeight="1" x14ac:dyDescent="0.2">
      <c r="B87" s="360"/>
      <c r="C87" s="366"/>
      <c r="D87" s="363"/>
      <c r="E87" s="52" t="s">
        <v>1783</v>
      </c>
      <c r="F87" s="346"/>
      <c r="G87" s="10" t="s">
        <v>1788</v>
      </c>
    </row>
    <row r="88" spans="2:7" ht="14.45" customHeight="1" x14ac:dyDescent="0.2">
      <c r="B88" s="360"/>
      <c r="C88" s="366"/>
      <c r="D88" s="363"/>
      <c r="E88" s="52" t="s">
        <v>1772</v>
      </c>
      <c r="F88" s="346"/>
      <c r="G88" s="10" t="s">
        <v>1784</v>
      </c>
    </row>
    <row r="89" spans="2:7" ht="14.45" customHeight="1" x14ac:dyDescent="0.2">
      <c r="B89" s="360"/>
      <c r="C89" s="366"/>
      <c r="D89" s="363"/>
      <c r="E89" s="52" t="s">
        <v>1766</v>
      </c>
      <c r="F89" s="346"/>
      <c r="G89" s="10" t="s">
        <v>1790</v>
      </c>
    </row>
    <row r="90" spans="2:7" ht="14.45" customHeight="1" x14ac:dyDescent="0.2">
      <c r="B90" s="360"/>
      <c r="C90" s="366"/>
      <c r="D90" s="363"/>
      <c r="E90" s="52" t="s">
        <v>1767</v>
      </c>
      <c r="F90" s="346"/>
      <c r="G90" s="10" t="s">
        <v>1789</v>
      </c>
    </row>
    <row r="91" spans="2:7" ht="14.45" customHeight="1" x14ac:dyDescent="0.2">
      <c r="B91" s="360"/>
      <c r="C91" s="366"/>
      <c r="D91" s="363"/>
      <c r="E91" s="52" t="s">
        <v>2024</v>
      </c>
      <c r="F91" s="346"/>
      <c r="G91" s="10" t="s">
        <v>2051</v>
      </c>
    </row>
    <row r="92" spans="2:7" ht="14.45" customHeight="1" x14ac:dyDescent="0.2">
      <c r="B92" s="360"/>
      <c r="C92" s="366"/>
      <c r="D92" s="363"/>
      <c r="E92" s="52" t="s">
        <v>2025</v>
      </c>
      <c r="F92" s="346"/>
      <c r="G92" s="10" t="s">
        <v>2052</v>
      </c>
    </row>
    <row r="93" spans="2:7" ht="14.45" customHeight="1" thickBot="1" x14ac:dyDescent="0.25">
      <c r="B93" s="360"/>
      <c r="C93" s="367"/>
      <c r="D93" s="373"/>
      <c r="E93" s="52" t="s">
        <v>2026</v>
      </c>
      <c r="F93" s="346"/>
      <c r="G93" s="10" t="s">
        <v>2053</v>
      </c>
    </row>
    <row r="94" spans="2:7" ht="14.45" customHeight="1" x14ac:dyDescent="0.2">
      <c r="B94" s="360"/>
      <c r="C94" s="365" t="s">
        <v>1687</v>
      </c>
      <c r="D94" s="371" t="s">
        <v>1839</v>
      </c>
      <c r="E94" s="51" t="s">
        <v>1846</v>
      </c>
      <c r="F94" s="345"/>
      <c r="G94" s="8" t="s">
        <v>1868</v>
      </c>
    </row>
    <row r="95" spans="2:7" ht="14.45" customHeight="1" x14ac:dyDescent="0.2">
      <c r="B95" s="360"/>
      <c r="C95" s="366"/>
      <c r="D95" s="369"/>
      <c r="E95" s="52" t="s">
        <v>1847</v>
      </c>
      <c r="F95" s="346"/>
      <c r="G95" s="10" t="s">
        <v>1871</v>
      </c>
    </row>
    <row r="96" spans="2:7" ht="14.45" customHeight="1" x14ac:dyDescent="0.2">
      <c r="B96" s="360"/>
      <c r="C96" s="366"/>
      <c r="D96" s="369"/>
      <c r="E96" s="52" t="s">
        <v>1848</v>
      </c>
      <c r="F96" s="346"/>
      <c r="G96" s="10" t="s">
        <v>1872</v>
      </c>
    </row>
    <row r="97" spans="2:7" ht="14.45" customHeight="1" x14ac:dyDescent="0.2">
      <c r="B97" s="360"/>
      <c r="C97" s="366"/>
      <c r="D97" s="369"/>
      <c r="E97" s="52" t="s">
        <v>1849</v>
      </c>
      <c r="F97" s="346"/>
      <c r="G97" s="10" t="s">
        <v>1873</v>
      </c>
    </row>
    <row r="98" spans="2:7" ht="14.45" customHeight="1" x14ac:dyDescent="0.2">
      <c r="B98" s="360"/>
      <c r="C98" s="366"/>
      <c r="D98" s="369"/>
      <c r="E98" s="52" t="s">
        <v>1850</v>
      </c>
      <c r="F98" s="346"/>
      <c r="G98" s="10" t="s">
        <v>1874</v>
      </c>
    </row>
    <row r="99" spans="2:7" ht="14.45" customHeight="1" x14ac:dyDescent="0.2">
      <c r="B99" s="360"/>
      <c r="C99" s="366"/>
      <c r="D99" s="369"/>
      <c r="E99" s="52" t="s">
        <v>1851</v>
      </c>
      <c r="F99" s="346"/>
      <c r="G99" s="10" t="s">
        <v>2122</v>
      </c>
    </row>
    <row r="100" spans="2:7" ht="14.45" customHeight="1" x14ac:dyDescent="0.2">
      <c r="B100" s="360"/>
      <c r="C100" s="366"/>
      <c r="D100" s="369"/>
      <c r="E100" s="52" t="s">
        <v>1852</v>
      </c>
      <c r="F100" s="346"/>
      <c r="G100" s="10" t="s">
        <v>2123</v>
      </c>
    </row>
    <row r="101" spans="2:7" ht="14.45" customHeight="1" x14ac:dyDescent="0.2">
      <c r="B101" s="360"/>
      <c r="C101" s="366"/>
      <c r="D101" s="369"/>
      <c r="E101" s="52" t="s">
        <v>1853</v>
      </c>
      <c r="F101" s="346"/>
      <c r="G101" s="10" t="s">
        <v>1854</v>
      </c>
    </row>
    <row r="102" spans="2:7" ht="14.45" customHeight="1" x14ac:dyDescent="0.2">
      <c r="B102" s="360"/>
      <c r="C102" s="366"/>
      <c r="D102" s="370"/>
      <c r="E102" s="52" t="s">
        <v>1855</v>
      </c>
      <c r="F102" s="346"/>
      <c r="G102" s="10" t="s">
        <v>2124</v>
      </c>
    </row>
    <row r="103" spans="2:7" ht="14.45" customHeight="1" x14ac:dyDescent="0.2">
      <c r="B103" s="360"/>
      <c r="C103" s="366"/>
      <c r="D103" s="368" t="s">
        <v>25</v>
      </c>
      <c r="E103" s="78" t="s">
        <v>1647</v>
      </c>
      <c r="F103" s="349"/>
      <c r="G103" s="6" t="s">
        <v>2125</v>
      </c>
    </row>
    <row r="104" spans="2:7" ht="14.45" customHeight="1" x14ac:dyDescent="0.2">
      <c r="B104" s="360"/>
      <c r="C104" s="366"/>
      <c r="D104" s="369"/>
      <c r="E104" s="59" t="s">
        <v>1649</v>
      </c>
      <c r="F104" s="347"/>
      <c r="G104" s="16" t="s">
        <v>2126</v>
      </c>
    </row>
    <row r="105" spans="2:7" ht="14.45" customHeight="1" x14ac:dyDescent="0.2">
      <c r="B105" s="360"/>
      <c r="C105" s="366"/>
      <c r="D105" s="369"/>
      <c r="E105" s="59" t="s">
        <v>1856</v>
      </c>
      <c r="F105" s="347"/>
      <c r="G105" s="16" t="s">
        <v>2129</v>
      </c>
    </row>
    <row r="106" spans="2:7" ht="14.45" customHeight="1" x14ac:dyDescent="0.2">
      <c r="B106" s="360"/>
      <c r="C106" s="366"/>
      <c r="D106" s="369"/>
      <c r="E106" s="59" t="s">
        <v>1648</v>
      </c>
      <c r="F106" s="347"/>
      <c r="G106" s="16" t="s">
        <v>2127</v>
      </c>
    </row>
    <row r="107" spans="2:7" ht="14.45" customHeight="1" x14ac:dyDescent="0.2">
      <c r="B107" s="360"/>
      <c r="C107" s="366"/>
      <c r="D107" s="370"/>
      <c r="E107" s="60" t="s">
        <v>1857</v>
      </c>
      <c r="F107" s="348"/>
      <c r="G107" s="12" t="s">
        <v>2128</v>
      </c>
    </row>
    <row r="108" spans="2:7" ht="14.45" customHeight="1" x14ac:dyDescent="0.2">
      <c r="B108" s="360"/>
      <c r="C108" s="366"/>
      <c r="D108" s="368" t="s">
        <v>27</v>
      </c>
      <c r="E108" s="55" t="s">
        <v>1858</v>
      </c>
      <c r="F108" s="349"/>
      <c r="G108" s="6" t="s">
        <v>2130</v>
      </c>
    </row>
    <row r="109" spans="2:7" ht="14.45" customHeight="1" x14ac:dyDescent="0.2">
      <c r="B109" s="360"/>
      <c r="C109" s="366"/>
      <c r="D109" s="369"/>
      <c r="E109" s="52" t="s">
        <v>2131</v>
      </c>
      <c r="F109" s="346"/>
      <c r="G109" s="10" t="s">
        <v>2134</v>
      </c>
    </row>
    <row r="110" spans="2:7" ht="14.45" customHeight="1" x14ac:dyDescent="0.2">
      <c r="B110" s="360"/>
      <c r="C110" s="366"/>
      <c r="D110" s="369"/>
      <c r="E110" s="52" t="s">
        <v>2132</v>
      </c>
      <c r="F110" s="346"/>
      <c r="G110" s="10" t="s">
        <v>2135</v>
      </c>
    </row>
    <row r="111" spans="2:7" ht="14.45" customHeight="1" x14ac:dyDescent="0.2">
      <c r="B111" s="360"/>
      <c r="C111" s="366"/>
      <c r="D111" s="369"/>
      <c r="E111" s="52" t="s">
        <v>2133</v>
      </c>
      <c r="F111" s="346"/>
      <c r="G111" s="10" t="s">
        <v>2136</v>
      </c>
    </row>
    <row r="112" spans="2:7" ht="14.45" customHeight="1" thickBot="1" x14ac:dyDescent="0.25">
      <c r="B112" s="361"/>
      <c r="C112" s="367"/>
      <c r="D112" s="372"/>
      <c r="E112" s="52" t="s">
        <v>1859</v>
      </c>
      <c r="F112" s="346"/>
      <c r="G112" s="10" t="s">
        <v>2137</v>
      </c>
    </row>
    <row r="113" spans="2:7" ht="14.45" customHeight="1" x14ac:dyDescent="0.2">
      <c r="B113" s="359" t="s">
        <v>1842</v>
      </c>
      <c r="C113" s="365" t="s">
        <v>1692</v>
      </c>
      <c r="D113" s="371" t="s">
        <v>29</v>
      </c>
      <c r="E113" s="51" t="s">
        <v>1875</v>
      </c>
      <c r="F113" s="345"/>
      <c r="G113" s="8" t="s">
        <v>1876</v>
      </c>
    </row>
    <row r="114" spans="2:7" ht="14.45" customHeight="1" x14ac:dyDescent="0.2">
      <c r="B114" s="360"/>
      <c r="C114" s="366"/>
      <c r="D114" s="369"/>
      <c r="E114" s="52" t="s">
        <v>1650</v>
      </c>
      <c r="F114" s="346"/>
      <c r="G114" s="10" t="s">
        <v>2595</v>
      </c>
    </row>
    <row r="115" spans="2:7" ht="14.45" customHeight="1" x14ac:dyDescent="0.2">
      <c r="B115" s="360"/>
      <c r="C115" s="366"/>
      <c r="D115" s="369"/>
      <c r="E115" s="52" t="s">
        <v>2730</v>
      </c>
      <c r="F115" s="346"/>
      <c r="G115" s="10" t="s">
        <v>2757</v>
      </c>
    </row>
    <row r="116" spans="2:7" ht="14.45" customHeight="1" x14ac:dyDescent="0.2">
      <c r="B116" s="360"/>
      <c r="C116" s="366"/>
      <c r="D116" s="369"/>
      <c r="E116" s="52" t="s">
        <v>2731</v>
      </c>
      <c r="F116" s="346" t="s">
        <v>1635</v>
      </c>
      <c r="G116" s="10" t="s">
        <v>2745</v>
      </c>
    </row>
    <row r="117" spans="2:7" ht="14.45" customHeight="1" x14ac:dyDescent="0.2">
      <c r="B117" s="360"/>
      <c r="C117" s="366"/>
      <c r="D117" s="369"/>
      <c r="E117" s="52" t="s">
        <v>2732</v>
      </c>
      <c r="F117" s="346" t="s">
        <v>1635</v>
      </c>
      <c r="G117" s="10" t="s">
        <v>2746</v>
      </c>
    </row>
    <row r="118" spans="2:7" ht="14.45" customHeight="1" x14ac:dyDescent="0.2">
      <c r="B118" s="360"/>
      <c r="C118" s="366"/>
      <c r="D118" s="369"/>
      <c r="E118" s="52" t="s">
        <v>2733</v>
      </c>
      <c r="F118" s="346" t="s">
        <v>1635</v>
      </c>
      <c r="G118" s="10" t="s">
        <v>2747</v>
      </c>
    </row>
    <row r="119" spans="2:7" ht="14.45" customHeight="1" x14ac:dyDescent="0.2">
      <c r="B119" s="360"/>
      <c r="C119" s="366"/>
      <c r="D119" s="369"/>
      <c r="E119" s="52" t="s">
        <v>2734</v>
      </c>
      <c r="F119" s="346"/>
      <c r="G119" s="10" t="s">
        <v>2755</v>
      </c>
    </row>
    <row r="120" spans="2:7" ht="14.45" customHeight="1" x14ac:dyDescent="0.2">
      <c r="B120" s="360"/>
      <c r="C120" s="366"/>
      <c r="D120" s="369"/>
      <c r="E120" s="52" t="s">
        <v>2735</v>
      </c>
      <c r="F120" s="346"/>
      <c r="G120" s="10" t="s">
        <v>2748</v>
      </c>
    </row>
    <row r="121" spans="2:7" ht="14.45" customHeight="1" x14ac:dyDescent="0.2">
      <c r="B121" s="360"/>
      <c r="C121" s="366"/>
      <c r="D121" s="369"/>
      <c r="E121" s="52" t="s">
        <v>2736</v>
      </c>
      <c r="F121" s="346"/>
      <c r="G121" s="10" t="s">
        <v>2758</v>
      </c>
    </row>
    <row r="122" spans="2:7" ht="14.45" customHeight="1" x14ac:dyDescent="0.2">
      <c r="B122" s="360"/>
      <c r="C122" s="366"/>
      <c r="D122" s="369"/>
      <c r="E122" s="52" t="s">
        <v>2737</v>
      </c>
      <c r="F122" s="346"/>
      <c r="G122" s="10" t="s">
        <v>2749</v>
      </c>
    </row>
    <row r="123" spans="2:7" ht="14.45" customHeight="1" x14ac:dyDescent="0.2">
      <c r="B123" s="360"/>
      <c r="C123" s="366"/>
      <c r="D123" s="369"/>
      <c r="E123" s="52" t="s">
        <v>2738</v>
      </c>
      <c r="F123" s="346"/>
      <c r="G123" s="10" t="s">
        <v>2759</v>
      </c>
    </row>
    <row r="124" spans="2:7" ht="14.45" customHeight="1" x14ac:dyDescent="0.2">
      <c r="B124" s="360"/>
      <c r="C124" s="366"/>
      <c r="D124" s="369"/>
      <c r="E124" s="52" t="s">
        <v>2739</v>
      </c>
      <c r="F124" s="346"/>
      <c r="G124" s="10" t="s">
        <v>2750</v>
      </c>
    </row>
    <row r="125" spans="2:7" ht="14.45" customHeight="1" x14ac:dyDescent="0.2">
      <c r="B125" s="360"/>
      <c r="C125" s="366"/>
      <c r="D125" s="369"/>
      <c r="E125" s="52" t="s">
        <v>2740</v>
      </c>
      <c r="F125" s="346"/>
      <c r="G125" s="10" t="s">
        <v>2756</v>
      </c>
    </row>
    <row r="126" spans="2:7" ht="14.45" customHeight="1" x14ac:dyDescent="0.2">
      <c r="B126" s="360"/>
      <c r="C126" s="366"/>
      <c r="D126" s="369"/>
      <c r="E126" s="52" t="s">
        <v>2741</v>
      </c>
      <c r="F126" s="346"/>
      <c r="G126" s="10" t="s">
        <v>2751</v>
      </c>
    </row>
    <row r="127" spans="2:7" ht="14.45" customHeight="1" x14ac:dyDescent="0.2">
      <c r="B127" s="360"/>
      <c r="C127" s="366"/>
      <c r="D127" s="369"/>
      <c r="E127" s="52" t="s">
        <v>2742</v>
      </c>
      <c r="F127" s="346"/>
      <c r="G127" s="10" t="s">
        <v>2752</v>
      </c>
    </row>
    <row r="128" spans="2:7" ht="14.45" customHeight="1" x14ac:dyDescent="0.2">
      <c r="B128" s="360"/>
      <c r="C128" s="366"/>
      <c r="D128" s="369"/>
      <c r="E128" s="52" t="s">
        <v>2743</v>
      </c>
      <c r="F128" s="346"/>
      <c r="G128" s="10" t="s">
        <v>2753</v>
      </c>
    </row>
    <row r="129" spans="2:7" ht="14.45" customHeight="1" x14ac:dyDescent="0.2">
      <c r="B129" s="360"/>
      <c r="C129" s="366"/>
      <c r="D129" s="370"/>
      <c r="E129" s="52" t="s">
        <v>2744</v>
      </c>
      <c r="F129" s="346"/>
      <c r="G129" s="10" t="s">
        <v>2754</v>
      </c>
    </row>
    <row r="130" spans="2:7" ht="14.45" customHeight="1" x14ac:dyDescent="0.2">
      <c r="B130" s="360"/>
      <c r="C130" s="366"/>
      <c r="D130" s="368" t="s">
        <v>31</v>
      </c>
      <c r="E130" s="78" t="s">
        <v>1879</v>
      </c>
      <c r="F130" s="349"/>
      <c r="G130" s="6" t="s">
        <v>2425</v>
      </c>
    </row>
    <row r="131" spans="2:7" ht="14.45" customHeight="1" x14ac:dyDescent="0.2">
      <c r="B131" s="360"/>
      <c r="C131" s="366"/>
      <c r="D131" s="369"/>
      <c r="E131" s="59" t="s">
        <v>1880</v>
      </c>
      <c r="F131" s="347"/>
      <c r="G131" s="16" t="s">
        <v>2426</v>
      </c>
    </row>
    <row r="132" spans="2:7" ht="14.45" customHeight="1" x14ac:dyDescent="0.2">
      <c r="B132" s="360"/>
      <c r="C132" s="366"/>
      <c r="D132" s="369"/>
      <c r="E132" s="59" t="s">
        <v>1881</v>
      </c>
      <c r="F132" s="347"/>
      <c r="G132" s="92" t="s">
        <v>1882</v>
      </c>
    </row>
    <row r="133" spans="2:7" ht="14.45" customHeight="1" x14ac:dyDescent="0.2">
      <c r="B133" s="360"/>
      <c r="C133" s="366"/>
      <c r="D133" s="370"/>
      <c r="E133" s="60" t="s">
        <v>1799</v>
      </c>
      <c r="F133" s="348"/>
      <c r="G133" s="12" t="s">
        <v>2138</v>
      </c>
    </row>
    <row r="134" spans="2:7" ht="14.45" customHeight="1" x14ac:dyDescent="0.2">
      <c r="B134" s="360"/>
      <c r="C134" s="366"/>
      <c r="D134" s="368" t="s">
        <v>33</v>
      </c>
      <c r="E134" s="78" t="s">
        <v>1884</v>
      </c>
      <c r="F134" s="349"/>
      <c r="G134" s="6" t="s">
        <v>2139</v>
      </c>
    </row>
    <row r="135" spans="2:7" ht="14.45" customHeight="1" x14ac:dyDescent="0.2">
      <c r="B135" s="360"/>
      <c r="C135" s="366"/>
      <c r="D135" s="369"/>
      <c r="E135" s="59" t="s">
        <v>1885</v>
      </c>
      <c r="F135" s="347"/>
      <c r="G135" s="16" t="s">
        <v>2141</v>
      </c>
    </row>
    <row r="136" spans="2:7" ht="14.45" customHeight="1" x14ac:dyDescent="0.2">
      <c r="B136" s="360"/>
      <c r="C136" s="366"/>
      <c r="D136" s="369"/>
      <c r="E136" s="59" t="s">
        <v>1888</v>
      </c>
      <c r="F136" s="347"/>
      <c r="G136" s="16" t="s">
        <v>2140</v>
      </c>
    </row>
    <row r="137" spans="2:7" ht="14.45" customHeight="1" x14ac:dyDescent="0.2">
      <c r="B137" s="360"/>
      <c r="C137" s="366"/>
      <c r="D137" s="369"/>
      <c r="E137" s="59" t="s">
        <v>1886</v>
      </c>
      <c r="F137" s="347"/>
      <c r="G137" s="16" t="s">
        <v>2142</v>
      </c>
    </row>
    <row r="138" spans="2:7" ht="14.45" customHeight="1" x14ac:dyDescent="0.2">
      <c r="B138" s="360"/>
      <c r="C138" s="366"/>
      <c r="D138" s="370"/>
      <c r="E138" s="60" t="s">
        <v>1887</v>
      </c>
      <c r="F138" s="348"/>
      <c r="G138" s="12" t="s">
        <v>2143</v>
      </c>
    </row>
    <row r="139" spans="2:7" ht="14.45" customHeight="1" x14ac:dyDescent="0.2">
      <c r="B139" s="360"/>
      <c r="C139" s="366"/>
      <c r="D139" s="368" t="s">
        <v>35</v>
      </c>
      <c r="E139" s="78" t="s">
        <v>1890</v>
      </c>
      <c r="F139" s="349"/>
      <c r="G139" s="6" t="s">
        <v>2144</v>
      </c>
    </row>
    <row r="140" spans="2:7" ht="14.45" customHeight="1" x14ac:dyDescent="0.2">
      <c r="B140" s="360"/>
      <c r="C140" s="366"/>
      <c r="D140" s="369"/>
      <c r="E140" s="59" t="s">
        <v>1891</v>
      </c>
      <c r="F140" s="347"/>
      <c r="G140" s="16" t="s">
        <v>2145</v>
      </c>
    </row>
    <row r="141" spans="2:7" ht="14.45" customHeight="1" x14ac:dyDescent="0.2">
      <c r="B141" s="360"/>
      <c r="C141" s="366"/>
      <c r="D141" s="369"/>
      <c r="E141" s="59" t="s">
        <v>1892</v>
      </c>
      <c r="F141" s="347"/>
      <c r="G141" s="16" t="s">
        <v>2146</v>
      </c>
    </row>
    <row r="142" spans="2:7" ht="14.45" customHeight="1" x14ac:dyDescent="0.2">
      <c r="B142" s="360"/>
      <c r="C142" s="366"/>
      <c r="D142" s="369"/>
      <c r="E142" s="59" t="s">
        <v>1895</v>
      </c>
      <c r="F142" s="347"/>
      <c r="G142" s="16" t="s">
        <v>2147</v>
      </c>
    </row>
    <row r="143" spans="2:7" ht="14.45" customHeight="1" x14ac:dyDescent="0.2">
      <c r="B143" s="360"/>
      <c r="C143" s="366"/>
      <c r="D143" s="369"/>
      <c r="E143" s="59" t="s">
        <v>1893</v>
      </c>
      <c r="F143" s="347"/>
      <c r="G143" s="16" t="s">
        <v>2148</v>
      </c>
    </row>
    <row r="144" spans="2:7" ht="14.45" customHeight="1" x14ac:dyDescent="0.2">
      <c r="B144" s="360"/>
      <c r="C144" s="366"/>
      <c r="D144" s="370"/>
      <c r="E144" s="60" t="s">
        <v>1894</v>
      </c>
      <c r="F144" s="348"/>
      <c r="G144" s="12" t="s">
        <v>2149</v>
      </c>
    </row>
    <row r="145" spans="2:7" ht="14.45" customHeight="1" x14ac:dyDescent="0.2">
      <c r="B145" s="360"/>
      <c r="C145" s="366"/>
      <c r="D145" s="368" t="s">
        <v>37</v>
      </c>
      <c r="E145" s="78" t="s">
        <v>1896</v>
      </c>
      <c r="F145" s="349"/>
      <c r="G145" s="6" t="s">
        <v>1897</v>
      </c>
    </row>
    <row r="146" spans="2:7" ht="14.45" customHeight="1" x14ac:dyDescent="0.2">
      <c r="B146" s="360"/>
      <c r="C146" s="366"/>
      <c r="D146" s="369"/>
      <c r="E146" s="59" t="s">
        <v>1898</v>
      </c>
      <c r="F146" s="347"/>
      <c r="G146" s="16" t="s">
        <v>2150</v>
      </c>
    </row>
    <row r="147" spans="2:7" ht="14.45" customHeight="1" x14ac:dyDescent="0.2">
      <c r="B147" s="360"/>
      <c r="C147" s="366"/>
      <c r="D147" s="369"/>
      <c r="E147" s="59" t="s">
        <v>1899</v>
      </c>
      <c r="F147" s="347"/>
      <c r="G147" s="16" t="s">
        <v>1900</v>
      </c>
    </row>
    <row r="148" spans="2:7" ht="14.45" customHeight="1" x14ac:dyDescent="0.2">
      <c r="B148" s="360"/>
      <c r="C148" s="366"/>
      <c r="D148" s="369"/>
      <c r="E148" s="59" t="s">
        <v>1901</v>
      </c>
      <c r="F148" s="347"/>
      <c r="G148" s="16" t="s">
        <v>2427</v>
      </c>
    </row>
    <row r="149" spans="2:7" ht="14.45" customHeight="1" x14ac:dyDescent="0.2">
      <c r="B149" s="360"/>
      <c r="C149" s="366"/>
      <c r="D149" s="369"/>
      <c r="E149" s="59" t="s">
        <v>1902</v>
      </c>
      <c r="F149" s="347"/>
      <c r="G149" s="16" t="s">
        <v>2428</v>
      </c>
    </row>
    <row r="150" spans="2:7" ht="14.45" customHeight="1" x14ac:dyDescent="0.2">
      <c r="B150" s="360"/>
      <c r="C150" s="366"/>
      <c r="D150" s="369"/>
      <c r="E150" s="59" t="s">
        <v>1903</v>
      </c>
      <c r="F150" s="347"/>
      <c r="G150" s="16" t="s">
        <v>2151</v>
      </c>
    </row>
    <row r="151" spans="2:7" ht="14.45" customHeight="1" x14ac:dyDescent="0.2">
      <c r="B151" s="360"/>
      <c r="C151" s="366"/>
      <c r="D151" s="369"/>
      <c r="E151" s="59" t="s">
        <v>1904</v>
      </c>
      <c r="F151" s="347"/>
      <c r="G151" s="16" t="s">
        <v>2152</v>
      </c>
    </row>
    <row r="152" spans="2:7" ht="14.45" customHeight="1" x14ac:dyDescent="0.2">
      <c r="B152" s="360"/>
      <c r="C152" s="366"/>
      <c r="D152" s="369"/>
      <c r="E152" s="59" t="s">
        <v>1905</v>
      </c>
      <c r="F152" s="347"/>
      <c r="G152" s="16" t="s">
        <v>2153</v>
      </c>
    </row>
    <row r="153" spans="2:7" ht="14.45" customHeight="1" x14ac:dyDescent="0.2">
      <c r="B153" s="360"/>
      <c r="C153" s="366"/>
      <c r="D153" s="370"/>
      <c r="E153" s="60" t="s">
        <v>1906</v>
      </c>
      <c r="F153" s="348"/>
      <c r="G153" s="12" t="s">
        <v>2154</v>
      </c>
    </row>
    <row r="154" spans="2:7" ht="14.45" customHeight="1" x14ac:dyDescent="0.2">
      <c r="B154" s="360"/>
      <c r="C154" s="366"/>
      <c r="D154" s="368" t="s">
        <v>39</v>
      </c>
      <c r="E154" s="55" t="s">
        <v>1907</v>
      </c>
      <c r="F154" s="349"/>
      <c r="G154" s="6" t="s">
        <v>2155</v>
      </c>
    </row>
    <row r="155" spans="2:7" ht="14.45" customHeight="1" x14ac:dyDescent="0.2">
      <c r="B155" s="360"/>
      <c r="C155" s="366"/>
      <c r="D155" s="370"/>
      <c r="E155" s="54" t="s">
        <v>1908</v>
      </c>
      <c r="F155" s="348"/>
      <c r="G155" s="12" t="s">
        <v>2156</v>
      </c>
    </row>
    <row r="156" spans="2:7" ht="14.45" customHeight="1" x14ac:dyDescent="0.2">
      <c r="B156" s="360"/>
      <c r="C156" s="366"/>
      <c r="D156" s="368" t="s">
        <v>41</v>
      </c>
      <c r="E156" s="55" t="s">
        <v>1909</v>
      </c>
      <c r="F156" s="349"/>
      <c r="G156" s="6" t="s">
        <v>2157</v>
      </c>
    </row>
    <row r="157" spans="2:7" ht="14.45" customHeight="1" x14ac:dyDescent="0.2">
      <c r="B157" s="360"/>
      <c r="C157" s="366"/>
      <c r="D157" s="369"/>
      <c r="E157" s="56" t="s">
        <v>1910</v>
      </c>
      <c r="F157" s="351"/>
      <c r="G157" s="11" t="s">
        <v>2158</v>
      </c>
    </row>
    <row r="158" spans="2:7" ht="14.45" customHeight="1" x14ac:dyDescent="0.2">
      <c r="B158" s="360"/>
      <c r="C158" s="366"/>
      <c r="D158" s="370"/>
      <c r="E158" s="54" t="s">
        <v>1911</v>
      </c>
      <c r="F158" s="348"/>
      <c r="G158" s="12" t="s">
        <v>2453</v>
      </c>
    </row>
    <row r="159" spans="2:7" ht="14.45" customHeight="1" thickBot="1" x14ac:dyDescent="0.25">
      <c r="B159" s="360"/>
      <c r="C159" s="366"/>
      <c r="D159" s="83" t="s">
        <v>43</v>
      </c>
      <c r="E159" s="55" t="s">
        <v>1889</v>
      </c>
      <c r="F159" s="349"/>
      <c r="G159" s="6" t="s">
        <v>2159</v>
      </c>
    </row>
    <row r="160" spans="2:7" ht="14.45" customHeight="1" x14ac:dyDescent="0.2">
      <c r="B160" s="360"/>
      <c r="C160" s="365" t="s">
        <v>1704</v>
      </c>
      <c r="D160" s="371" t="s">
        <v>45</v>
      </c>
      <c r="E160" s="51" t="s">
        <v>1912</v>
      </c>
      <c r="F160" s="345"/>
      <c r="G160" s="8" t="s">
        <v>2160</v>
      </c>
    </row>
    <row r="161" spans="2:7" ht="14.45" customHeight="1" x14ac:dyDescent="0.2">
      <c r="B161" s="360"/>
      <c r="C161" s="366"/>
      <c r="D161" s="369"/>
      <c r="E161" s="52" t="s">
        <v>2161</v>
      </c>
      <c r="F161" s="346"/>
      <c r="G161" s="10" t="s">
        <v>2429</v>
      </c>
    </row>
    <row r="162" spans="2:7" ht="14.45" customHeight="1" x14ac:dyDescent="0.2">
      <c r="B162" s="360"/>
      <c r="C162" s="366"/>
      <c r="D162" s="370"/>
      <c r="E162" s="52" t="s">
        <v>2162</v>
      </c>
      <c r="F162" s="346"/>
      <c r="G162" s="10" t="s">
        <v>2430</v>
      </c>
    </row>
    <row r="163" spans="2:7" ht="14.45" customHeight="1" x14ac:dyDescent="0.2">
      <c r="B163" s="360"/>
      <c r="C163" s="366"/>
      <c r="D163" s="368" t="s">
        <v>47</v>
      </c>
      <c r="E163" s="78" t="s">
        <v>1913</v>
      </c>
      <c r="F163" s="349"/>
      <c r="G163" s="6" t="s">
        <v>2431</v>
      </c>
    </row>
    <row r="164" spans="2:7" ht="14.45" customHeight="1" x14ac:dyDescent="0.2">
      <c r="B164" s="360"/>
      <c r="C164" s="366"/>
      <c r="D164" s="369"/>
      <c r="E164" s="59" t="s">
        <v>1650</v>
      </c>
      <c r="F164" s="347" t="s">
        <v>2945</v>
      </c>
      <c r="G164" s="16" t="s">
        <v>2596</v>
      </c>
    </row>
    <row r="165" spans="2:7" ht="14.45" customHeight="1" x14ac:dyDescent="0.2">
      <c r="B165" s="360"/>
      <c r="C165" s="366"/>
      <c r="D165" s="369"/>
      <c r="E165" s="59" t="s">
        <v>1651</v>
      </c>
      <c r="F165" s="347" t="s">
        <v>2945</v>
      </c>
      <c r="G165" s="16" t="s">
        <v>1917</v>
      </c>
    </row>
    <row r="166" spans="2:7" ht="14.45" customHeight="1" x14ac:dyDescent="0.2">
      <c r="B166" s="360"/>
      <c r="C166" s="366"/>
      <c r="D166" s="369"/>
      <c r="E166" s="59" t="s">
        <v>1914</v>
      </c>
      <c r="F166" s="347"/>
      <c r="G166" s="16" t="s">
        <v>2432</v>
      </c>
    </row>
    <row r="167" spans="2:7" ht="14.45" customHeight="1" x14ac:dyDescent="0.2">
      <c r="B167" s="360"/>
      <c r="C167" s="366"/>
      <c r="D167" s="369"/>
      <c r="E167" s="59" t="s">
        <v>1915</v>
      </c>
      <c r="F167" s="347"/>
      <c r="G167" s="16" t="s">
        <v>2163</v>
      </c>
    </row>
    <row r="168" spans="2:7" ht="14.45" customHeight="1" x14ac:dyDescent="0.2">
      <c r="B168" s="360"/>
      <c r="C168" s="366"/>
      <c r="D168" s="370"/>
      <c r="E168" s="60" t="s">
        <v>1916</v>
      </c>
      <c r="F168" s="348"/>
      <c r="G168" s="12" t="s">
        <v>2433</v>
      </c>
    </row>
    <row r="169" spans="2:7" ht="14.45" customHeight="1" x14ac:dyDescent="0.2">
      <c r="B169" s="360"/>
      <c r="C169" s="366"/>
      <c r="D169" s="368" t="s">
        <v>49</v>
      </c>
      <c r="E169" s="78" t="s">
        <v>1918</v>
      </c>
      <c r="F169" s="349"/>
      <c r="G169" s="6" t="s">
        <v>2164</v>
      </c>
    </row>
    <row r="170" spans="2:7" ht="14.45" customHeight="1" x14ac:dyDescent="0.2">
      <c r="B170" s="360"/>
      <c r="C170" s="366"/>
      <c r="D170" s="370"/>
      <c r="E170" s="52" t="s">
        <v>1919</v>
      </c>
      <c r="F170" s="346"/>
      <c r="G170" s="10" t="s">
        <v>2165</v>
      </c>
    </row>
    <row r="171" spans="2:7" ht="14.45" customHeight="1" x14ac:dyDescent="0.2">
      <c r="B171" s="360"/>
      <c r="C171" s="366"/>
      <c r="D171" s="368" t="s">
        <v>51</v>
      </c>
      <c r="E171" s="78" t="s">
        <v>1920</v>
      </c>
      <c r="F171" s="349"/>
      <c r="G171" s="6" t="s">
        <v>2166</v>
      </c>
    </row>
    <row r="172" spans="2:7" ht="14.45" customHeight="1" x14ac:dyDescent="0.2">
      <c r="B172" s="360"/>
      <c r="C172" s="366"/>
      <c r="D172" s="369"/>
      <c r="E172" s="52" t="s">
        <v>1921</v>
      </c>
      <c r="F172" s="346"/>
      <c r="G172" s="10" t="s">
        <v>2167</v>
      </c>
    </row>
    <row r="173" spans="2:7" ht="14.45" customHeight="1" x14ac:dyDescent="0.2">
      <c r="B173" s="360"/>
      <c r="C173" s="366"/>
      <c r="D173" s="369"/>
      <c r="E173" s="52" t="s">
        <v>1922</v>
      </c>
      <c r="F173" s="346"/>
      <c r="G173" s="10" t="s">
        <v>2168</v>
      </c>
    </row>
    <row r="174" spans="2:7" ht="14.45" customHeight="1" x14ac:dyDescent="0.2">
      <c r="B174" s="360"/>
      <c r="C174" s="366"/>
      <c r="D174" s="369"/>
      <c r="E174" s="52" t="s">
        <v>1923</v>
      </c>
      <c r="F174" s="346"/>
      <c r="G174" s="10" t="s">
        <v>2169</v>
      </c>
    </row>
    <row r="175" spans="2:7" ht="14.45" customHeight="1" x14ac:dyDescent="0.2">
      <c r="B175" s="360"/>
      <c r="C175" s="366"/>
      <c r="D175" s="369"/>
      <c r="E175" s="52" t="s">
        <v>1924</v>
      </c>
      <c r="F175" s="346"/>
      <c r="G175" s="10" t="s">
        <v>2170</v>
      </c>
    </row>
    <row r="176" spans="2:7" ht="14.45" customHeight="1" x14ac:dyDescent="0.2">
      <c r="B176" s="360"/>
      <c r="C176" s="366"/>
      <c r="D176" s="369"/>
      <c r="E176" s="52" t="s">
        <v>1925</v>
      </c>
      <c r="F176" s="346"/>
      <c r="G176" s="10" t="s">
        <v>2171</v>
      </c>
    </row>
    <row r="177" spans="2:7" ht="14.45" customHeight="1" x14ac:dyDescent="0.2">
      <c r="B177" s="360"/>
      <c r="C177" s="366"/>
      <c r="D177" s="369"/>
      <c r="E177" s="52" t="s">
        <v>1926</v>
      </c>
      <c r="F177" s="346"/>
      <c r="G177" s="10" t="s">
        <v>2172</v>
      </c>
    </row>
    <row r="178" spans="2:7" ht="14.45" customHeight="1" x14ac:dyDescent="0.2">
      <c r="B178" s="360"/>
      <c r="C178" s="366"/>
      <c r="D178" s="369"/>
      <c r="E178" s="52" t="s">
        <v>1927</v>
      </c>
      <c r="F178" s="346"/>
      <c r="G178" s="10" t="s">
        <v>2173</v>
      </c>
    </row>
    <row r="179" spans="2:7" ht="14.45" customHeight="1" x14ac:dyDescent="0.2">
      <c r="B179" s="360"/>
      <c r="C179" s="366"/>
      <c r="D179" s="369"/>
      <c r="E179" s="52" t="s">
        <v>1928</v>
      </c>
      <c r="F179" s="346"/>
      <c r="G179" s="10" t="s">
        <v>1929</v>
      </c>
    </row>
    <row r="180" spans="2:7" ht="14.45" customHeight="1" x14ac:dyDescent="0.2">
      <c r="B180" s="360"/>
      <c r="C180" s="366"/>
      <c r="D180" s="369"/>
      <c r="E180" s="52" t="s">
        <v>1930</v>
      </c>
      <c r="F180" s="346"/>
      <c r="G180" s="10" t="s">
        <v>2174</v>
      </c>
    </row>
    <row r="181" spans="2:7" ht="14.45" customHeight="1" x14ac:dyDescent="0.2">
      <c r="B181" s="360"/>
      <c r="C181" s="366"/>
      <c r="D181" s="370"/>
      <c r="E181" s="52" t="s">
        <v>1931</v>
      </c>
      <c r="F181" s="346"/>
      <c r="G181" s="10" t="s">
        <v>2175</v>
      </c>
    </row>
    <row r="182" spans="2:7" ht="14.45" customHeight="1" x14ac:dyDescent="0.2">
      <c r="B182" s="360"/>
      <c r="C182" s="366"/>
      <c r="D182" s="368" t="s">
        <v>53</v>
      </c>
      <c r="E182" s="78" t="s">
        <v>1932</v>
      </c>
      <c r="F182" s="349"/>
      <c r="G182" s="6" t="s">
        <v>2176</v>
      </c>
    </row>
    <row r="183" spans="2:7" ht="14.45" customHeight="1" x14ac:dyDescent="0.2">
      <c r="B183" s="360"/>
      <c r="C183" s="366"/>
      <c r="D183" s="370"/>
      <c r="E183" s="52" t="s">
        <v>1933</v>
      </c>
      <c r="F183" s="346"/>
      <c r="G183" s="10" t="s">
        <v>1934</v>
      </c>
    </row>
    <row r="184" spans="2:7" ht="14.45" customHeight="1" x14ac:dyDescent="0.2">
      <c r="B184" s="360"/>
      <c r="C184" s="366"/>
      <c r="D184" s="362" t="s">
        <v>195</v>
      </c>
      <c r="E184" s="78" t="s">
        <v>1935</v>
      </c>
      <c r="F184" s="349"/>
      <c r="G184" s="6" t="s">
        <v>2177</v>
      </c>
    </row>
    <row r="185" spans="2:7" ht="14.45" customHeight="1" x14ac:dyDescent="0.2">
      <c r="B185" s="360"/>
      <c r="C185" s="366"/>
      <c r="D185" s="363"/>
      <c r="E185" s="52" t="s">
        <v>2179</v>
      </c>
      <c r="F185" s="346"/>
      <c r="G185" s="10" t="s">
        <v>2183</v>
      </c>
    </row>
    <row r="186" spans="2:7" ht="14.45" customHeight="1" x14ac:dyDescent="0.2">
      <c r="B186" s="360"/>
      <c r="C186" s="366"/>
      <c r="D186" s="363"/>
      <c r="E186" s="52" t="s">
        <v>2180</v>
      </c>
      <c r="F186" s="346"/>
      <c r="G186" s="10" t="s">
        <v>2178</v>
      </c>
    </row>
    <row r="187" spans="2:7" ht="14.45" customHeight="1" x14ac:dyDescent="0.2">
      <c r="B187" s="360"/>
      <c r="C187" s="366"/>
      <c r="D187" s="363"/>
      <c r="E187" s="52" t="s">
        <v>2181</v>
      </c>
      <c r="F187" s="346"/>
      <c r="G187" s="10" t="s">
        <v>2184</v>
      </c>
    </row>
    <row r="188" spans="2:7" ht="14.45" customHeight="1" x14ac:dyDescent="0.2">
      <c r="B188" s="360"/>
      <c r="C188" s="366"/>
      <c r="D188" s="363"/>
      <c r="E188" s="52" t="s">
        <v>2182</v>
      </c>
      <c r="F188" s="346"/>
      <c r="G188" s="10" t="s">
        <v>2185</v>
      </c>
    </row>
    <row r="189" spans="2:7" ht="14.45" customHeight="1" x14ac:dyDescent="0.2">
      <c r="B189" s="360"/>
      <c r="C189" s="366"/>
      <c r="D189" s="368" t="s">
        <v>55</v>
      </c>
      <c r="E189" s="78" t="s">
        <v>1937</v>
      </c>
      <c r="F189" s="349"/>
      <c r="G189" s="6" t="s">
        <v>2186</v>
      </c>
    </row>
    <row r="190" spans="2:7" ht="14.45" customHeight="1" x14ac:dyDescent="0.2">
      <c r="B190" s="360"/>
      <c r="C190" s="366"/>
      <c r="D190" s="369"/>
      <c r="E190" s="52" t="s">
        <v>1938</v>
      </c>
      <c r="F190" s="346"/>
      <c r="G190" s="10" t="s">
        <v>2187</v>
      </c>
    </row>
    <row r="191" spans="2:7" ht="14.45" customHeight="1" x14ac:dyDescent="0.2">
      <c r="B191" s="360"/>
      <c r="C191" s="366"/>
      <c r="D191" s="369"/>
      <c r="E191" s="52" t="s">
        <v>1939</v>
      </c>
      <c r="F191" s="346"/>
      <c r="G191" s="10" t="s">
        <v>2188</v>
      </c>
    </row>
    <row r="192" spans="2:7" ht="14.45" customHeight="1" x14ac:dyDescent="0.2">
      <c r="B192" s="360"/>
      <c r="C192" s="366"/>
      <c r="D192" s="369"/>
      <c r="E192" s="52" t="s">
        <v>1940</v>
      </c>
      <c r="F192" s="346"/>
      <c r="G192" s="10" t="s">
        <v>2189</v>
      </c>
    </row>
    <row r="193" spans="2:7" ht="14.45" customHeight="1" x14ac:dyDescent="0.2">
      <c r="B193" s="360"/>
      <c r="C193" s="366"/>
      <c r="D193" s="369"/>
      <c r="E193" s="52" t="s">
        <v>1941</v>
      </c>
      <c r="F193" s="346"/>
      <c r="G193" s="10" t="s">
        <v>2190</v>
      </c>
    </row>
    <row r="194" spans="2:7" ht="14.45" customHeight="1" x14ac:dyDescent="0.2">
      <c r="B194" s="360"/>
      <c r="C194" s="366"/>
      <c r="D194" s="369"/>
      <c r="E194" s="52" t="s">
        <v>1942</v>
      </c>
      <c r="F194" s="346"/>
      <c r="G194" s="10" t="s">
        <v>2191</v>
      </c>
    </row>
    <row r="195" spans="2:7" ht="14.45" customHeight="1" x14ac:dyDescent="0.2">
      <c r="B195" s="360"/>
      <c r="C195" s="366"/>
      <c r="D195" s="369"/>
      <c r="E195" s="52" t="s">
        <v>1943</v>
      </c>
      <c r="F195" s="346"/>
      <c r="G195" s="10" t="s">
        <v>2192</v>
      </c>
    </row>
    <row r="196" spans="2:7" ht="14.45" customHeight="1" x14ac:dyDescent="0.2">
      <c r="B196" s="360"/>
      <c r="C196" s="366"/>
      <c r="D196" s="369"/>
      <c r="E196" s="52" t="s">
        <v>1944</v>
      </c>
      <c r="F196" s="346"/>
      <c r="G196" s="10" t="s">
        <v>2193</v>
      </c>
    </row>
    <row r="197" spans="2:7" ht="14.45" customHeight="1" x14ac:dyDescent="0.2">
      <c r="B197" s="360"/>
      <c r="C197" s="366"/>
      <c r="D197" s="369"/>
      <c r="E197" s="52" t="s">
        <v>1945</v>
      </c>
      <c r="F197" s="346"/>
      <c r="G197" s="10" t="s">
        <v>2194</v>
      </c>
    </row>
    <row r="198" spans="2:7" ht="14.45" customHeight="1" x14ac:dyDescent="0.2">
      <c r="B198" s="360"/>
      <c r="C198" s="366"/>
      <c r="D198" s="369"/>
      <c r="E198" s="52" t="s">
        <v>1946</v>
      </c>
      <c r="F198" s="346"/>
      <c r="G198" s="10" t="s">
        <v>2195</v>
      </c>
    </row>
    <row r="199" spans="2:7" ht="14.45" customHeight="1" x14ac:dyDescent="0.2">
      <c r="B199" s="360"/>
      <c r="C199" s="366"/>
      <c r="D199" s="369"/>
      <c r="E199" s="52" t="s">
        <v>1947</v>
      </c>
      <c r="F199" s="346"/>
      <c r="G199" s="10" t="s">
        <v>2196</v>
      </c>
    </row>
    <row r="200" spans="2:7" ht="14.45" customHeight="1" x14ac:dyDescent="0.2">
      <c r="B200" s="360"/>
      <c r="C200" s="366"/>
      <c r="D200" s="369"/>
      <c r="E200" s="52" t="s">
        <v>1948</v>
      </c>
      <c r="F200" s="346"/>
      <c r="G200" s="10" t="s">
        <v>2197</v>
      </c>
    </row>
    <row r="201" spans="2:7" ht="14.45" customHeight="1" x14ac:dyDescent="0.2">
      <c r="B201" s="360"/>
      <c r="C201" s="366"/>
      <c r="D201" s="370"/>
      <c r="E201" s="52" t="s">
        <v>1949</v>
      </c>
      <c r="F201" s="346"/>
      <c r="G201" s="10" t="s">
        <v>2454</v>
      </c>
    </row>
    <row r="202" spans="2:7" ht="14.45" customHeight="1" x14ac:dyDescent="0.2">
      <c r="B202" s="360"/>
      <c r="C202" s="366"/>
      <c r="D202" s="368" t="s">
        <v>57</v>
      </c>
      <c r="E202" s="55" t="s">
        <v>1950</v>
      </c>
      <c r="F202" s="349"/>
      <c r="G202" s="6" t="s">
        <v>2198</v>
      </c>
    </row>
    <row r="203" spans="2:7" ht="14.45" customHeight="1" x14ac:dyDescent="0.2">
      <c r="B203" s="360"/>
      <c r="C203" s="366"/>
      <c r="D203" s="369"/>
      <c r="E203" s="52" t="s">
        <v>1951</v>
      </c>
      <c r="F203" s="346"/>
      <c r="G203" s="10" t="s">
        <v>2201</v>
      </c>
    </row>
    <row r="204" spans="2:7" ht="14.45" customHeight="1" x14ac:dyDescent="0.2">
      <c r="B204" s="360"/>
      <c r="C204" s="366"/>
      <c r="D204" s="369"/>
      <c r="E204" s="52" t="s">
        <v>1952</v>
      </c>
      <c r="F204" s="346"/>
      <c r="G204" s="10" t="s">
        <v>2202</v>
      </c>
    </row>
    <row r="205" spans="2:7" ht="14.45" customHeight="1" x14ac:dyDescent="0.2">
      <c r="B205" s="360"/>
      <c r="C205" s="366"/>
      <c r="D205" s="369"/>
      <c r="E205" s="52" t="s">
        <v>1953</v>
      </c>
      <c r="F205" s="346"/>
      <c r="G205" s="10" t="s">
        <v>2199</v>
      </c>
    </row>
    <row r="206" spans="2:7" ht="14.45" customHeight="1" x14ac:dyDescent="0.2">
      <c r="B206" s="360"/>
      <c r="C206" s="366"/>
      <c r="D206" s="369"/>
      <c r="E206" s="52" t="s">
        <v>1954</v>
      </c>
      <c r="F206" s="346"/>
      <c r="G206" s="10" t="s">
        <v>2203</v>
      </c>
    </row>
    <row r="207" spans="2:7" ht="14.45" customHeight="1" x14ac:dyDescent="0.2">
      <c r="B207" s="360"/>
      <c r="C207" s="366"/>
      <c r="D207" s="369"/>
      <c r="E207" s="52" t="s">
        <v>1955</v>
      </c>
      <c r="F207" s="346"/>
      <c r="G207" s="10" t="s">
        <v>2204</v>
      </c>
    </row>
    <row r="208" spans="2:7" ht="14.45" customHeight="1" x14ac:dyDescent="0.2">
      <c r="B208" s="360"/>
      <c r="C208" s="366"/>
      <c r="D208" s="369"/>
      <c r="E208" s="52" t="s">
        <v>1956</v>
      </c>
      <c r="F208" s="346"/>
      <c r="G208" s="10" t="s">
        <v>2200</v>
      </c>
    </row>
    <row r="209" spans="2:7" ht="14.45" customHeight="1" x14ac:dyDescent="0.2">
      <c r="B209" s="360"/>
      <c r="C209" s="366"/>
      <c r="D209" s="369"/>
      <c r="E209" s="52" t="s">
        <v>1957</v>
      </c>
      <c r="F209" s="346"/>
      <c r="G209" s="10" t="s">
        <v>2205</v>
      </c>
    </row>
    <row r="210" spans="2:7" ht="14.45" customHeight="1" thickBot="1" x14ac:dyDescent="0.25">
      <c r="B210" s="360"/>
      <c r="C210" s="367"/>
      <c r="D210" s="372"/>
      <c r="E210" s="52" t="s">
        <v>1958</v>
      </c>
      <c r="F210" s="346"/>
      <c r="G210" s="10" t="s">
        <v>2455</v>
      </c>
    </row>
    <row r="211" spans="2:7" ht="14.45" customHeight="1" x14ac:dyDescent="0.2">
      <c r="B211" s="360"/>
      <c r="C211" s="374" t="s">
        <v>1694</v>
      </c>
      <c r="D211" s="371" t="s">
        <v>1961</v>
      </c>
      <c r="E211" s="51" t="s">
        <v>1964</v>
      </c>
      <c r="F211" s="345"/>
      <c r="G211" s="8" t="s">
        <v>2456</v>
      </c>
    </row>
    <row r="212" spans="2:7" ht="14.45" customHeight="1" x14ac:dyDescent="0.2">
      <c r="B212" s="360"/>
      <c r="C212" s="375"/>
      <c r="D212" s="369"/>
      <c r="E212" s="52" t="s">
        <v>1904</v>
      </c>
      <c r="F212" s="346"/>
      <c r="G212" s="10" t="s">
        <v>2206</v>
      </c>
    </row>
    <row r="213" spans="2:7" ht="14.45" customHeight="1" x14ac:dyDescent="0.2">
      <c r="B213" s="360"/>
      <c r="C213" s="375"/>
      <c r="D213" s="369"/>
      <c r="E213" s="52" t="s">
        <v>1965</v>
      </c>
      <c r="F213" s="346"/>
      <c r="G213" s="10" t="s">
        <v>2207</v>
      </c>
    </row>
    <row r="214" spans="2:7" ht="14.45" customHeight="1" x14ac:dyDescent="0.2">
      <c r="B214" s="360"/>
      <c r="C214" s="375"/>
      <c r="D214" s="369"/>
      <c r="E214" s="52" t="s">
        <v>1966</v>
      </c>
      <c r="F214" s="346"/>
      <c r="G214" s="10" t="s">
        <v>2008</v>
      </c>
    </row>
    <row r="215" spans="2:7" ht="14.45" customHeight="1" x14ac:dyDescent="0.2">
      <c r="B215" s="360"/>
      <c r="C215" s="375"/>
      <c r="D215" s="369"/>
      <c r="E215" s="52" t="s">
        <v>1967</v>
      </c>
      <c r="F215" s="346"/>
      <c r="G215" s="10" t="s">
        <v>2208</v>
      </c>
    </row>
    <row r="216" spans="2:7" ht="14.45" customHeight="1" x14ac:dyDescent="0.2">
      <c r="B216" s="360"/>
      <c r="C216" s="375"/>
      <c r="D216" s="369"/>
      <c r="E216" s="52" t="s">
        <v>1968</v>
      </c>
      <c r="F216" s="346"/>
      <c r="G216" s="10" t="s">
        <v>2434</v>
      </c>
    </row>
    <row r="217" spans="2:7" ht="14.45" customHeight="1" x14ac:dyDescent="0.2">
      <c r="B217" s="360"/>
      <c r="C217" s="375"/>
      <c r="D217" s="369"/>
      <c r="E217" s="52" t="s">
        <v>1969</v>
      </c>
      <c r="F217" s="346"/>
      <c r="G217" s="10" t="s">
        <v>2209</v>
      </c>
    </row>
    <row r="218" spans="2:7" ht="14.45" customHeight="1" x14ac:dyDescent="0.2">
      <c r="B218" s="360"/>
      <c r="C218" s="375"/>
      <c r="D218" s="369"/>
      <c r="E218" s="52" t="s">
        <v>1970</v>
      </c>
      <c r="F218" s="346"/>
      <c r="G218" s="10" t="s">
        <v>2210</v>
      </c>
    </row>
    <row r="219" spans="2:7" ht="14.45" customHeight="1" x14ac:dyDescent="0.2">
      <c r="B219" s="360"/>
      <c r="C219" s="375"/>
      <c r="D219" s="369"/>
      <c r="E219" s="52" t="s">
        <v>1971</v>
      </c>
      <c r="F219" s="346"/>
      <c r="G219" s="10" t="s">
        <v>2211</v>
      </c>
    </row>
    <row r="220" spans="2:7" ht="14.45" customHeight="1" x14ac:dyDescent="0.2">
      <c r="B220" s="360"/>
      <c r="C220" s="375"/>
      <c r="D220" s="369"/>
      <c r="E220" s="52" t="s">
        <v>1972</v>
      </c>
      <c r="F220" s="346"/>
      <c r="G220" s="10" t="s">
        <v>2212</v>
      </c>
    </row>
    <row r="221" spans="2:7" ht="14.45" customHeight="1" x14ac:dyDescent="0.2">
      <c r="B221" s="360"/>
      <c r="C221" s="375"/>
      <c r="D221" s="369"/>
      <c r="E221" s="52" t="s">
        <v>1973</v>
      </c>
      <c r="F221" s="346"/>
      <c r="G221" s="10" t="s">
        <v>2213</v>
      </c>
    </row>
    <row r="222" spans="2:7" ht="14.45" customHeight="1" x14ac:dyDescent="0.2">
      <c r="B222" s="360"/>
      <c r="C222" s="375"/>
      <c r="D222" s="369"/>
      <c r="E222" s="52" t="s">
        <v>1974</v>
      </c>
      <c r="F222" s="346"/>
      <c r="G222" s="10" t="s">
        <v>2214</v>
      </c>
    </row>
    <row r="223" spans="2:7" ht="14.45" customHeight="1" x14ac:dyDescent="0.2">
      <c r="B223" s="360"/>
      <c r="C223" s="375"/>
      <c r="D223" s="370"/>
      <c r="E223" s="52" t="s">
        <v>1975</v>
      </c>
      <c r="F223" s="346"/>
      <c r="G223" s="10" t="s">
        <v>2435</v>
      </c>
    </row>
    <row r="224" spans="2:7" ht="14.45" customHeight="1" x14ac:dyDescent="0.2">
      <c r="B224" s="360"/>
      <c r="C224" s="375"/>
      <c r="D224" s="368" t="s">
        <v>60</v>
      </c>
      <c r="E224" s="78" t="s">
        <v>1976</v>
      </c>
      <c r="F224" s="349"/>
      <c r="G224" s="6" t="s">
        <v>2436</v>
      </c>
    </row>
    <row r="225" spans="2:7" ht="14.45" customHeight="1" x14ac:dyDescent="0.2">
      <c r="B225" s="360"/>
      <c r="C225" s="375"/>
      <c r="D225" s="369"/>
      <c r="E225" s="52" t="s">
        <v>1977</v>
      </c>
      <c r="F225" s="346"/>
      <c r="G225" s="10" t="s">
        <v>2215</v>
      </c>
    </row>
    <row r="226" spans="2:7" ht="14.45" customHeight="1" x14ac:dyDescent="0.2">
      <c r="B226" s="360"/>
      <c r="C226" s="375"/>
      <c r="D226" s="369"/>
      <c r="E226" s="52" t="s">
        <v>1978</v>
      </c>
      <c r="F226" s="346"/>
      <c r="G226" s="10" t="s">
        <v>2216</v>
      </c>
    </row>
    <row r="227" spans="2:7" ht="14.45" customHeight="1" x14ac:dyDescent="0.2">
      <c r="B227" s="360"/>
      <c r="C227" s="375"/>
      <c r="D227" s="369"/>
      <c r="E227" s="52" t="s">
        <v>1979</v>
      </c>
      <c r="F227" s="346"/>
      <c r="G227" s="10" t="s">
        <v>2217</v>
      </c>
    </row>
    <row r="228" spans="2:7" ht="14.45" customHeight="1" x14ac:dyDescent="0.2">
      <c r="B228" s="360"/>
      <c r="C228" s="375"/>
      <c r="D228" s="369"/>
      <c r="E228" s="52" t="s">
        <v>1980</v>
      </c>
      <c r="F228" s="346"/>
      <c r="G228" s="10" t="s">
        <v>2218</v>
      </c>
    </row>
    <row r="229" spans="2:7" ht="14.45" customHeight="1" x14ac:dyDescent="0.2">
      <c r="B229" s="360"/>
      <c r="C229" s="375"/>
      <c r="D229" s="369"/>
      <c r="E229" s="52" t="s">
        <v>1981</v>
      </c>
      <c r="F229" s="346"/>
      <c r="G229" s="10" t="s">
        <v>2219</v>
      </c>
    </row>
    <row r="230" spans="2:7" ht="14.45" customHeight="1" x14ac:dyDescent="0.2">
      <c r="B230" s="360"/>
      <c r="C230" s="375"/>
      <c r="D230" s="370"/>
      <c r="E230" s="52" t="s">
        <v>1982</v>
      </c>
      <c r="F230" s="346"/>
      <c r="G230" s="10" t="s">
        <v>2220</v>
      </c>
    </row>
    <row r="231" spans="2:7" ht="14.45" customHeight="1" x14ac:dyDescent="0.2">
      <c r="B231" s="360"/>
      <c r="C231" s="375"/>
      <c r="D231" s="368" t="s">
        <v>62</v>
      </c>
      <c r="E231" s="78" t="s">
        <v>1983</v>
      </c>
      <c r="F231" s="349"/>
      <c r="G231" s="6" t="s">
        <v>2221</v>
      </c>
    </row>
    <row r="232" spans="2:7" ht="14.45" customHeight="1" x14ac:dyDescent="0.2">
      <c r="B232" s="360"/>
      <c r="C232" s="375"/>
      <c r="D232" s="369"/>
      <c r="E232" s="52" t="s">
        <v>1984</v>
      </c>
      <c r="F232" s="346"/>
      <c r="G232" s="10" t="s">
        <v>2222</v>
      </c>
    </row>
    <row r="233" spans="2:7" ht="14.45" customHeight="1" x14ac:dyDescent="0.2">
      <c r="B233" s="360"/>
      <c r="C233" s="375"/>
      <c r="D233" s="369"/>
      <c r="E233" s="52" t="s">
        <v>1985</v>
      </c>
      <c r="F233" s="346"/>
      <c r="G233" s="10" t="s">
        <v>2223</v>
      </c>
    </row>
    <row r="234" spans="2:7" ht="14.45" customHeight="1" x14ac:dyDescent="0.2">
      <c r="B234" s="360"/>
      <c r="C234" s="375"/>
      <c r="D234" s="369"/>
      <c r="E234" s="52" t="s">
        <v>1986</v>
      </c>
      <c r="F234" s="346"/>
      <c r="G234" s="10" t="s">
        <v>2224</v>
      </c>
    </row>
    <row r="235" spans="2:7" ht="14.45" customHeight="1" x14ac:dyDescent="0.2">
      <c r="B235" s="360"/>
      <c r="C235" s="375"/>
      <c r="D235" s="369"/>
      <c r="E235" s="52" t="s">
        <v>4193</v>
      </c>
      <c r="F235" s="346"/>
      <c r="G235" s="10" t="s">
        <v>4194</v>
      </c>
    </row>
    <row r="236" spans="2:7" ht="14.45" customHeight="1" x14ac:dyDescent="0.2">
      <c r="B236" s="360"/>
      <c r="C236" s="375"/>
      <c r="D236" s="369"/>
      <c r="E236" s="52" t="s">
        <v>1936</v>
      </c>
      <c r="F236" s="346"/>
      <c r="G236" s="10" t="s">
        <v>2225</v>
      </c>
    </row>
    <row r="237" spans="2:7" ht="14.45" customHeight="1" x14ac:dyDescent="0.2">
      <c r="B237" s="360"/>
      <c r="C237" s="375"/>
      <c r="D237" s="369"/>
      <c r="E237" s="52" t="s">
        <v>1987</v>
      </c>
      <c r="F237" s="346"/>
      <c r="G237" s="10" t="s">
        <v>2226</v>
      </c>
    </row>
    <row r="238" spans="2:7" ht="14.45" customHeight="1" x14ac:dyDescent="0.2">
      <c r="B238" s="360"/>
      <c r="C238" s="375"/>
      <c r="D238" s="369"/>
      <c r="E238" s="52" t="s">
        <v>1988</v>
      </c>
      <c r="F238" s="346"/>
      <c r="G238" s="10" t="s">
        <v>2227</v>
      </c>
    </row>
    <row r="239" spans="2:7" ht="14.45" customHeight="1" x14ac:dyDescent="0.2">
      <c r="B239" s="360"/>
      <c r="C239" s="375"/>
      <c r="D239" s="370"/>
      <c r="E239" s="52" t="s">
        <v>1989</v>
      </c>
      <c r="F239" s="346"/>
      <c r="G239" s="10" t="s">
        <v>2228</v>
      </c>
    </row>
    <row r="240" spans="2:7" ht="14.45" customHeight="1" x14ac:dyDescent="0.2">
      <c r="B240" s="360"/>
      <c r="C240" s="375"/>
      <c r="D240" s="368" t="s">
        <v>64</v>
      </c>
      <c r="E240" s="78" t="s">
        <v>1924</v>
      </c>
      <c r="F240" s="349"/>
      <c r="G240" s="6" t="s">
        <v>2230</v>
      </c>
    </row>
    <row r="241" spans="2:7" ht="14.45" customHeight="1" x14ac:dyDescent="0.2">
      <c r="B241" s="360"/>
      <c r="C241" s="375"/>
      <c r="D241" s="369"/>
      <c r="E241" s="52" t="s">
        <v>1990</v>
      </c>
      <c r="F241" s="346"/>
      <c r="G241" s="10" t="s">
        <v>2231</v>
      </c>
    </row>
    <row r="242" spans="2:7" ht="14.45" customHeight="1" x14ac:dyDescent="0.2">
      <c r="B242" s="360"/>
      <c r="C242" s="375"/>
      <c r="D242" s="369"/>
      <c r="E242" s="52" t="s">
        <v>2234</v>
      </c>
      <c r="F242" s="346"/>
      <c r="G242" s="10" t="s">
        <v>2232</v>
      </c>
    </row>
    <row r="243" spans="2:7" ht="14.45" customHeight="1" x14ac:dyDescent="0.2">
      <c r="B243" s="360"/>
      <c r="C243" s="375"/>
      <c r="D243" s="369"/>
      <c r="E243" s="52" t="s">
        <v>2235</v>
      </c>
      <c r="F243" s="346"/>
      <c r="G243" s="10" t="s">
        <v>2233</v>
      </c>
    </row>
    <row r="244" spans="2:7" ht="14.45" customHeight="1" x14ac:dyDescent="0.2">
      <c r="B244" s="360"/>
      <c r="C244" s="375"/>
      <c r="D244" s="369"/>
      <c r="E244" s="52" t="s">
        <v>2236</v>
      </c>
      <c r="F244" s="346"/>
      <c r="G244" s="10" t="s">
        <v>2240</v>
      </c>
    </row>
    <row r="245" spans="2:7" ht="14.45" customHeight="1" x14ac:dyDescent="0.2">
      <c r="B245" s="360"/>
      <c r="C245" s="375"/>
      <c r="D245" s="369"/>
      <c r="E245" s="52" t="s">
        <v>2237</v>
      </c>
      <c r="F245" s="346"/>
      <c r="G245" s="10" t="s">
        <v>2241</v>
      </c>
    </row>
    <row r="246" spans="2:7" ht="14.45" customHeight="1" x14ac:dyDescent="0.2">
      <c r="B246" s="360"/>
      <c r="C246" s="375"/>
      <c r="D246" s="369"/>
      <c r="E246" s="52" t="s">
        <v>2238</v>
      </c>
      <c r="F246" s="346"/>
      <c r="G246" s="10" t="s">
        <v>2242</v>
      </c>
    </row>
    <row r="247" spans="2:7" ht="14.45" customHeight="1" x14ac:dyDescent="0.2">
      <c r="B247" s="360"/>
      <c r="C247" s="375"/>
      <c r="D247" s="370"/>
      <c r="E247" s="52" t="s">
        <v>2239</v>
      </c>
      <c r="F247" s="346"/>
      <c r="G247" s="10" t="s">
        <v>2243</v>
      </c>
    </row>
    <row r="248" spans="2:7" ht="14.45" customHeight="1" x14ac:dyDescent="0.2">
      <c r="B248" s="360"/>
      <c r="C248" s="375"/>
      <c r="D248" s="368" t="s">
        <v>66</v>
      </c>
      <c r="E248" s="78" t="s">
        <v>1969</v>
      </c>
      <c r="F248" s="349"/>
      <c r="G248" s="6" t="s">
        <v>2229</v>
      </c>
    </row>
    <row r="249" spans="2:7" ht="14.45" customHeight="1" x14ac:dyDescent="0.2">
      <c r="B249" s="360"/>
      <c r="C249" s="375"/>
      <c r="D249" s="369"/>
      <c r="E249" s="52" t="s">
        <v>1991</v>
      </c>
      <c r="F249" s="346"/>
      <c r="G249" s="10" t="s">
        <v>2007</v>
      </c>
    </row>
    <row r="250" spans="2:7" ht="14.45" customHeight="1" x14ac:dyDescent="0.2">
      <c r="B250" s="360"/>
      <c r="C250" s="375"/>
      <c r="D250" s="369"/>
      <c r="E250" s="52" t="s">
        <v>2245</v>
      </c>
      <c r="F250" s="346"/>
      <c r="G250" s="10" t="s">
        <v>2244</v>
      </c>
    </row>
    <row r="251" spans="2:7" ht="14.45" customHeight="1" x14ac:dyDescent="0.2">
      <c r="B251" s="360"/>
      <c r="C251" s="375"/>
      <c r="D251" s="369"/>
      <c r="E251" s="52" t="s">
        <v>1992</v>
      </c>
      <c r="F251" s="346"/>
      <c r="G251" s="10" t="s">
        <v>2246</v>
      </c>
    </row>
    <row r="252" spans="2:7" ht="14.45" customHeight="1" x14ac:dyDescent="0.2">
      <c r="B252" s="360"/>
      <c r="C252" s="375"/>
      <c r="D252" s="369"/>
      <c r="E252" s="52" t="s">
        <v>1993</v>
      </c>
      <c r="F252" s="346"/>
      <c r="G252" s="10" t="s">
        <v>2247</v>
      </c>
    </row>
    <row r="253" spans="2:7" ht="14.45" customHeight="1" x14ac:dyDescent="0.2">
      <c r="B253" s="360"/>
      <c r="C253" s="375"/>
      <c r="D253" s="369"/>
      <c r="E253" s="52" t="s">
        <v>1981</v>
      </c>
      <c r="F253" s="346"/>
      <c r="G253" s="10" t="s">
        <v>2248</v>
      </c>
    </row>
    <row r="254" spans="2:7" ht="14.45" customHeight="1" x14ac:dyDescent="0.2">
      <c r="B254" s="360"/>
      <c r="C254" s="375"/>
      <c r="D254" s="369"/>
      <c r="E254" s="52" t="s">
        <v>4192</v>
      </c>
      <c r="F254" s="346"/>
      <c r="G254" s="10" t="s">
        <v>4191</v>
      </c>
    </row>
    <row r="255" spans="2:7" ht="14.45" customHeight="1" x14ac:dyDescent="0.2">
      <c r="B255" s="360"/>
      <c r="C255" s="375"/>
      <c r="D255" s="369"/>
      <c r="E255" s="52" t="s">
        <v>1994</v>
      </c>
      <c r="F255" s="346"/>
      <c r="G255" s="10" t="s">
        <v>2249</v>
      </c>
    </row>
    <row r="256" spans="2:7" ht="14.45" customHeight="1" x14ac:dyDescent="0.2">
      <c r="B256" s="360"/>
      <c r="C256" s="375"/>
      <c r="D256" s="369"/>
      <c r="E256" s="52" t="s">
        <v>1995</v>
      </c>
      <c r="F256" s="346"/>
      <c r="G256" s="10" t="s">
        <v>2250</v>
      </c>
    </row>
    <row r="257" spans="2:7" ht="14.45" customHeight="1" x14ac:dyDescent="0.2">
      <c r="B257" s="360"/>
      <c r="C257" s="375"/>
      <c r="D257" s="370"/>
      <c r="E257" s="52" t="s">
        <v>1996</v>
      </c>
      <c r="F257" s="346"/>
      <c r="G257" s="10" t="s">
        <v>2251</v>
      </c>
    </row>
    <row r="258" spans="2:7" ht="14.45" customHeight="1" x14ac:dyDescent="0.2">
      <c r="B258" s="360"/>
      <c r="C258" s="375"/>
      <c r="D258" s="362" t="s">
        <v>68</v>
      </c>
      <c r="E258" s="55" t="s">
        <v>1997</v>
      </c>
      <c r="F258" s="349"/>
      <c r="G258" s="6" t="s">
        <v>2437</v>
      </c>
    </row>
    <row r="259" spans="2:7" ht="14.45" customHeight="1" x14ac:dyDescent="0.2">
      <c r="B259" s="360"/>
      <c r="C259" s="375"/>
      <c r="D259" s="363"/>
      <c r="E259" s="52" t="s">
        <v>1998</v>
      </c>
      <c r="F259" s="346"/>
      <c r="G259" s="10" t="s">
        <v>2252</v>
      </c>
    </row>
    <row r="260" spans="2:7" ht="14.45" customHeight="1" x14ac:dyDescent="0.2">
      <c r="B260" s="360"/>
      <c r="C260" s="375"/>
      <c r="D260" s="363"/>
      <c r="E260" s="52" t="s">
        <v>2255</v>
      </c>
      <c r="F260" s="346"/>
      <c r="G260" s="10" t="s">
        <v>2254</v>
      </c>
    </row>
    <row r="261" spans="2:7" ht="14.45" customHeight="1" x14ac:dyDescent="0.2">
      <c r="B261" s="360"/>
      <c r="C261" s="375"/>
      <c r="D261" s="363"/>
      <c r="E261" s="52" t="s">
        <v>1970</v>
      </c>
      <c r="F261" s="346"/>
      <c r="G261" s="10" t="s">
        <v>2256</v>
      </c>
    </row>
    <row r="262" spans="2:7" ht="14.45" customHeight="1" x14ac:dyDescent="0.2">
      <c r="B262" s="360"/>
      <c r="C262" s="375"/>
      <c r="D262" s="363"/>
      <c r="E262" s="52" t="s">
        <v>1971</v>
      </c>
      <c r="F262" s="346"/>
      <c r="G262" s="10" t="s">
        <v>2257</v>
      </c>
    </row>
    <row r="263" spans="2:7" ht="14.45" customHeight="1" x14ac:dyDescent="0.2">
      <c r="B263" s="360"/>
      <c r="C263" s="375"/>
      <c r="D263" s="363"/>
      <c r="E263" s="52" t="s">
        <v>1999</v>
      </c>
      <c r="F263" s="346"/>
      <c r="G263" s="10" t="s">
        <v>2253</v>
      </c>
    </row>
    <row r="264" spans="2:7" ht="14.45" customHeight="1" x14ac:dyDescent="0.2">
      <c r="B264" s="360"/>
      <c r="C264" s="375"/>
      <c r="D264" s="363"/>
      <c r="E264" s="52" t="s">
        <v>2000</v>
      </c>
      <c r="F264" s="346"/>
      <c r="G264" s="10" t="s">
        <v>2258</v>
      </c>
    </row>
    <row r="265" spans="2:7" ht="14.45" customHeight="1" x14ac:dyDescent="0.2">
      <c r="B265" s="360"/>
      <c r="C265" s="375"/>
      <c r="D265" s="363"/>
      <c r="E265" s="52" t="s">
        <v>2001</v>
      </c>
      <c r="F265" s="346"/>
      <c r="G265" s="10" t="s">
        <v>2438</v>
      </c>
    </row>
    <row r="266" spans="2:7" ht="14.45" customHeight="1" x14ac:dyDescent="0.2">
      <c r="B266" s="360"/>
      <c r="C266" s="375"/>
      <c r="D266" s="363"/>
      <c r="E266" s="52" t="s">
        <v>2260</v>
      </c>
      <c r="F266" s="346"/>
      <c r="G266" s="10" t="s">
        <v>2259</v>
      </c>
    </row>
    <row r="267" spans="2:7" ht="14.45" customHeight="1" x14ac:dyDescent="0.2">
      <c r="B267" s="360"/>
      <c r="C267" s="375"/>
      <c r="D267" s="363"/>
      <c r="E267" s="52" t="s">
        <v>2002</v>
      </c>
      <c r="F267" s="346"/>
      <c r="G267" s="10" t="s">
        <v>2261</v>
      </c>
    </row>
    <row r="268" spans="2:7" ht="14.45" customHeight="1" x14ac:dyDescent="0.2">
      <c r="B268" s="360"/>
      <c r="C268" s="375"/>
      <c r="D268" s="363"/>
      <c r="E268" s="52" t="s">
        <v>2003</v>
      </c>
      <c r="F268" s="346"/>
      <c r="G268" s="10" t="s">
        <v>2262</v>
      </c>
    </row>
    <row r="269" spans="2:7" ht="14.45" customHeight="1" x14ac:dyDescent="0.2">
      <c r="B269" s="360"/>
      <c r="C269" s="375"/>
      <c r="D269" s="363"/>
      <c r="E269" s="52" t="s">
        <v>2004</v>
      </c>
      <c r="F269" s="346"/>
      <c r="G269" s="10" t="s">
        <v>2459</v>
      </c>
    </row>
    <row r="270" spans="2:7" ht="14.45" customHeight="1" x14ac:dyDescent="0.2">
      <c r="B270" s="360"/>
      <c r="C270" s="375"/>
      <c r="D270" s="363"/>
      <c r="E270" s="52" t="s">
        <v>2005</v>
      </c>
      <c r="F270" s="346"/>
      <c r="G270" s="10" t="s">
        <v>2263</v>
      </c>
    </row>
    <row r="271" spans="2:7" ht="14.45" customHeight="1" x14ac:dyDescent="0.2">
      <c r="B271" s="360"/>
      <c r="C271" s="375"/>
      <c r="D271" s="363"/>
      <c r="E271" s="52" t="s">
        <v>2006</v>
      </c>
      <c r="F271" s="346"/>
      <c r="G271" s="10" t="s">
        <v>2264</v>
      </c>
    </row>
    <row r="272" spans="2:7" ht="14.45" customHeight="1" thickBot="1" x14ac:dyDescent="0.25">
      <c r="B272" s="361"/>
      <c r="C272" s="376"/>
      <c r="D272" s="373"/>
      <c r="E272" s="52" t="s">
        <v>2265</v>
      </c>
      <c r="F272" s="346"/>
      <c r="G272" s="10" t="s">
        <v>2266</v>
      </c>
    </row>
    <row r="273" spans="2:7" ht="14.45" customHeight="1" x14ac:dyDescent="0.2">
      <c r="B273" s="359" t="s">
        <v>1688</v>
      </c>
      <c r="C273" s="365" t="s">
        <v>1695</v>
      </c>
      <c r="D273" s="371" t="s">
        <v>70</v>
      </c>
      <c r="E273" s="51" t="s">
        <v>2010</v>
      </c>
      <c r="F273" s="345"/>
      <c r="G273" s="8" t="s">
        <v>2267</v>
      </c>
    </row>
    <row r="274" spans="2:7" ht="14.45" customHeight="1" x14ac:dyDescent="0.2">
      <c r="B274" s="360"/>
      <c r="C274" s="366"/>
      <c r="D274" s="369"/>
      <c r="E274" s="52" t="s">
        <v>2011</v>
      </c>
      <c r="F274" s="346"/>
      <c r="G274" s="10" t="s">
        <v>2268</v>
      </c>
    </row>
    <row r="275" spans="2:7" ht="14.45" customHeight="1" x14ac:dyDescent="0.2">
      <c r="B275" s="360"/>
      <c r="C275" s="366"/>
      <c r="D275" s="369"/>
      <c r="E275" s="52" t="s">
        <v>2012</v>
      </c>
      <c r="F275" s="346"/>
      <c r="G275" s="10" t="s">
        <v>2269</v>
      </c>
    </row>
    <row r="276" spans="2:7" ht="14.45" customHeight="1" x14ac:dyDescent="0.2">
      <c r="B276" s="360"/>
      <c r="C276" s="366"/>
      <c r="D276" s="369"/>
      <c r="E276" s="52" t="s">
        <v>2013</v>
      </c>
      <c r="F276" s="346"/>
      <c r="G276" s="10" t="s">
        <v>2270</v>
      </c>
    </row>
    <row r="277" spans="2:7" ht="14.45" customHeight="1" x14ac:dyDescent="0.2">
      <c r="B277" s="360"/>
      <c r="C277" s="366"/>
      <c r="D277" s="369"/>
      <c r="E277" s="52" t="s">
        <v>2014</v>
      </c>
      <c r="F277" s="346"/>
      <c r="G277" s="10" t="s">
        <v>2271</v>
      </c>
    </row>
    <row r="278" spans="2:7" ht="14.45" customHeight="1" x14ac:dyDescent="0.2">
      <c r="B278" s="360"/>
      <c r="C278" s="366"/>
      <c r="D278" s="369"/>
      <c r="E278" s="52" t="s">
        <v>2015</v>
      </c>
      <c r="F278" s="346"/>
      <c r="G278" s="10" t="s">
        <v>2272</v>
      </c>
    </row>
    <row r="279" spans="2:7" ht="14.45" customHeight="1" x14ac:dyDescent="0.2">
      <c r="B279" s="360"/>
      <c r="C279" s="366"/>
      <c r="D279" s="369"/>
      <c r="E279" s="52" t="s">
        <v>2016</v>
      </c>
      <c r="F279" s="346"/>
      <c r="G279" s="10" t="s">
        <v>2273</v>
      </c>
    </row>
    <row r="280" spans="2:7" ht="14.45" customHeight="1" x14ac:dyDescent="0.2">
      <c r="B280" s="360"/>
      <c r="C280" s="366"/>
      <c r="D280" s="370"/>
      <c r="E280" s="52" t="s">
        <v>2017</v>
      </c>
      <c r="F280" s="346"/>
      <c r="G280" s="10" t="s">
        <v>2274</v>
      </c>
    </row>
    <row r="281" spans="2:7" ht="14.45" customHeight="1" x14ac:dyDescent="0.2">
      <c r="B281" s="360"/>
      <c r="C281" s="366"/>
      <c r="D281" s="368" t="s">
        <v>72</v>
      </c>
      <c r="E281" s="55" t="s">
        <v>2018</v>
      </c>
      <c r="F281" s="349"/>
      <c r="G281" s="6" t="s">
        <v>2275</v>
      </c>
    </row>
    <row r="282" spans="2:7" ht="14.45" customHeight="1" thickBot="1" x14ac:dyDescent="0.25">
      <c r="B282" s="360"/>
      <c r="C282" s="367"/>
      <c r="D282" s="369"/>
      <c r="E282" s="56" t="s">
        <v>2019</v>
      </c>
      <c r="F282" s="351"/>
      <c r="G282" s="11" t="s">
        <v>2276</v>
      </c>
    </row>
    <row r="283" spans="2:7" ht="14.45" customHeight="1" x14ac:dyDescent="0.2">
      <c r="B283" s="360"/>
      <c r="C283" s="365" t="s">
        <v>1705</v>
      </c>
      <c r="D283" s="371" t="s">
        <v>74</v>
      </c>
      <c r="E283" s="58" t="s">
        <v>2011</v>
      </c>
      <c r="F283" s="345"/>
      <c r="G283" s="8" t="s">
        <v>2277</v>
      </c>
    </row>
    <row r="284" spans="2:7" ht="14.45" customHeight="1" x14ac:dyDescent="0.2">
      <c r="B284" s="360"/>
      <c r="C284" s="366"/>
      <c r="D284" s="369"/>
      <c r="E284" s="59" t="s">
        <v>2020</v>
      </c>
      <c r="F284" s="347"/>
      <c r="G284" s="16" t="s">
        <v>2278</v>
      </c>
    </row>
    <row r="285" spans="2:7" ht="14.45" customHeight="1" x14ac:dyDescent="0.2">
      <c r="B285" s="360"/>
      <c r="C285" s="366"/>
      <c r="D285" s="370"/>
      <c r="E285" s="60" t="s">
        <v>2021</v>
      </c>
      <c r="F285" s="348"/>
      <c r="G285" s="12" t="s">
        <v>2279</v>
      </c>
    </row>
    <row r="286" spans="2:7" ht="14.45" customHeight="1" x14ac:dyDescent="0.2">
      <c r="B286" s="360"/>
      <c r="C286" s="366"/>
      <c r="D286" s="368" t="s">
        <v>76</v>
      </c>
      <c r="E286" s="78" t="s">
        <v>2012</v>
      </c>
      <c r="F286" s="349"/>
      <c r="G286" s="6" t="s">
        <v>2280</v>
      </c>
    </row>
    <row r="287" spans="2:7" ht="14.45" customHeight="1" x14ac:dyDescent="0.2">
      <c r="B287" s="360"/>
      <c r="C287" s="366"/>
      <c r="D287" s="370"/>
      <c r="E287" s="56" t="s">
        <v>2013</v>
      </c>
      <c r="F287" s="351"/>
      <c r="G287" s="11" t="s">
        <v>2281</v>
      </c>
    </row>
    <row r="288" spans="2:7" ht="14.45" customHeight="1" x14ac:dyDescent="0.2">
      <c r="B288" s="360"/>
      <c r="C288" s="366"/>
      <c r="D288" s="368" t="s">
        <v>78</v>
      </c>
      <c r="E288" s="78" t="s">
        <v>2022</v>
      </c>
      <c r="F288" s="349"/>
      <c r="G288" s="6" t="s">
        <v>2282</v>
      </c>
    </row>
    <row r="289" spans="2:7" ht="14.45" customHeight="1" x14ac:dyDescent="0.2">
      <c r="B289" s="360"/>
      <c r="C289" s="366"/>
      <c r="D289" s="369"/>
      <c r="E289" s="59" t="s">
        <v>2023</v>
      </c>
      <c r="F289" s="347"/>
      <c r="G289" s="16" t="s">
        <v>2283</v>
      </c>
    </row>
    <row r="290" spans="2:7" ht="14.45" customHeight="1" thickBot="1" x14ac:dyDescent="0.25">
      <c r="B290" s="360"/>
      <c r="C290" s="366"/>
      <c r="D290" s="369"/>
      <c r="E290" s="59" t="s">
        <v>2027</v>
      </c>
      <c r="F290" s="347"/>
      <c r="G290" s="16" t="s">
        <v>2284</v>
      </c>
    </row>
    <row r="291" spans="2:7" ht="14.45" customHeight="1" x14ac:dyDescent="0.2">
      <c r="B291" s="360"/>
      <c r="C291" s="365" t="s">
        <v>1697</v>
      </c>
      <c r="D291" s="371" t="s">
        <v>2009</v>
      </c>
      <c r="E291" s="58" t="s">
        <v>299</v>
      </c>
      <c r="F291" s="345"/>
      <c r="G291" s="8" t="s">
        <v>2285</v>
      </c>
    </row>
    <row r="292" spans="2:7" ht="14.45" customHeight="1" x14ac:dyDescent="0.2">
      <c r="B292" s="360"/>
      <c r="C292" s="366"/>
      <c r="D292" s="369"/>
      <c r="E292" s="59" t="s">
        <v>2287</v>
      </c>
      <c r="F292" s="347"/>
      <c r="G292" s="16" t="s">
        <v>2286</v>
      </c>
    </row>
    <row r="293" spans="2:7" ht="14.45" customHeight="1" x14ac:dyDescent="0.2">
      <c r="B293" s="360"/>
      <c r="C293" s="366"/>
      <c r="D293" s="369"/>
      <c r="E293" s="59" t="s">
        <v>2288</v>
      </c>
      <c r="F293" s="347"/>
      <c r="G293" s="16" t="s">
        <v>2289</v>
      </c>
    </row>
    <row r="294" spans="2:7" ht="14.45" customHeight="1" x14ac:dyDescent="0.2">
      <c r="B294" s="360"/>
      <c r="C294" s="366"/>
      <c r="D294" s="369"/>
      <c r="E294" s="59" t="s">
        <v>2292</v>
      </c>
      <c r="F294" s="347"/>
      <c r="G294" s="16" t="s">
        <v>2290</v>
      </c>
    </row>
    <row r="295" spans="2:7" ht="14.45" customHeight="1" x14ac:dyDescent="0.2">
      <c r="B295" s="360"/>
      <c r="C295" s="366"/>
      <c r="D295" s="369"/>
      <c r="E295" s="59" t="s">
        <v>2293</v>
      </c>
      <c r="F295" s="347"/>
      <c r="G295" s="16" t="s">
        <v>2291</v>
      </c>
    </row>
    <row r="296" spans="2:7" ht="14.45" customHeight="1" x14ac:dyDescent="0.2">
      <c r="B296" s="360"/>
      <c r="C296" s="366"/>
      <c r="D296" s="369"/>
      <c r="E296" s="59" t="s">
        <v>2029</v>
      </c>
      <c r="F296" s="347"/>
      <c r="G296" s="16" t="s">
        <v>2294</v>
      </c>
    </row>
    <row r="297" spans="2:7" ht="14.45" customHeight="1" x14ac:dyDescent="0.2">
      <c r="B297" s="360"/>
      <c r="C297" s="366"/>
      <c r="D297" s="369"/>
      <c r="E297" s="59" t="s">
        <v>2028</v>
      </c>
      <c r="F297" s="347"/>
      <c r="G297" s="16" t="s">
        <v>2295</v>
      </c>
    </row>
    <row r="298" spans="2:7" ht="14.45" customHeight="1" x14ac:dyDescent="0.2">
      <c r="B298" s="360"/>
      <c r="C298" s="366"/>
      <c r="D298" s="369"/>
      <c r="E298" s="59" t="s">
        <v>2030</v>
      </c>
      <c r="F298" s="347"/>
      <c r="G298" s="16" t="s">
        <v>2296</v>
      </c>
    </row>
    <row r="299" spans="2:7" ht="14.45" customHeight="1" x14ac:dyDescent="0.2">
      <c r="B299" s="360"/>
      <c r="C299" s="366"/>
      <c r="D299" s="369"/>
      <c r="E299" s="59" t="s">
        <v>2031</v>
      </c>
      <c r="F299" s="347"/>
      <c r="G299" s="16" t="s">
        <v>2297</v>
      </c>
    </row>
    <row r="300" spans="2:7" ht="14.45" customHeight="1" x14ac:dyDescent="0.2">
      <c r="B300" s="360"/>
      <c r="C300" s="366"/>
      <c r="D300" s="369"/>
      <c r="E300" s="59" t="s">
        <v>2032</v>
      </c>
      <c r="F300" s="347"/>
      <c r="G300" s="16" t="s">
        <v>2298</v>
      </c>
    </row>
    <row r="301" spans="2:7" ht="14.45" customHeight="1" x14ac:dyDescent="0.2">
      <c r="B301" s="360"/>
      <c r="C301" s="366"/>
      <c r="D301" s="369"/>
      <c r="E301" s="59" t="s">
        <v>2015</v>
      </c>
      <c r="F301" s="347"/>
      <c r="G301" s="16" t="s">
        <v>2299</v>
      </c>
    </row>
    <row r="302" spans="2:7" ht="14.45" customHeight="1" x14ac:dyDescent="0.2">
      <c r="B302" s="360"/>
      <c r="C302" s="366"/>
      <c r="D302" s="369"/>
      <c r="E302" s="59" t="s">
        <v>2033</v>
      </c>
      <c r="F302" s="347"/>
      <c r="G302" s="16" t="s">
        <v>2300</v>
      </c>
    </row>
    <row r="303" spans="2:7" ht="14.45" customHeight="1" x14ac:dyDescent="0.2">
      <c r="B303" s="360"/>
      <c r="C303" s="366"/>
      <c r="D303" s="369"/>
      <c r="E303" s="59" t="s">
        <v>2034</v>
      </c>
      <c r="F303" s="347"/>
      <c r="G303" s="16" t="s">
        <v>2301</v>
      </c>
    </row>
    <row r="304" spans="2:7" ht="14.45" customHeight="1" x14ac:dyDescent="0.2">
      <c r="B304" s="360"/>
      <c r="C304" s="366"/>
      <c r="D304" s="370"/>
      <c r="E304" s="60" t="s">
        <v>2035</v>
      </c>
      <c r="F304" s="348"/>
      <c r="G304" s="12" t="s">
        <v>2302</v>
      </c>
    </row>
    <row r="305" spans="2:7" ht="14.45" customHeight="1" x14ac:dyDescent="0.2">
      <c r="B305" s="360"/>
      <c r="C305" s="366"/>
      <c r="D305" s="368" t="s">
        <v>80</v>
      </c>
      <c r="E305" s="78" t="s">
        <v>2033</v>
      </c>
      <c r="F305" s="349"/>
      <c r="G305" s="6" t="s">
        <v>2303</v>
      </c>
    </row>
    <row r="306" spans="2:7" ht="14.45" customHeight="1" x14ac:dyDescent="0.2">
      <c r="B306" s="360"/>
      <c r="C306" s="366"/>
      <c r="D306" s="369"/>
      <c r="E306" s="59" t="s">
        <v>2015</v>
      </c>
      <c r="F306" s="347"/>
      <c r="G306" s="16" t="s">
        <v>2304</v>
      </c>
    </row>
    <row r="307" spans="2:7" ht="14.45" customHeight="1" x14ac:dyDescent="0.2">
      <c r="B307" s="360"/>
      <c r="C307" s="366"/>
      <c r="D307" s="369"/>
      <c r="E307" s="59" t="s">
        <v>1659</v>
      </c>
      <c r="F307" s="347"/>
      <c r="G307" s="16" t="s">
        <v>2037</v>
      </c>
    </row>
    <row r="308" spans="2:7" ht="14.45" customHeight="1" thickBot="1" x14ac:dyDescent="0.25">
      <c r="B308" s="361"/>
      <c r="C308" s="367"/>
      <c r="D308" s="372"/>
      <c r="E308" s="90" t="s">
        <v>2036</v>
      </c>
      <c r="F308" s="352"/>
      <c r="G308" s="49" t="s">
        <v>2305</v>
      </c>
    </row>
    <row r="309" spans="2:7" ht="14.45" customHeight="1" x14ac:dyDescent="0.2">
      <c r="B309" s="359" t="s">
        <v>1689</v>
      </c>
      <c r="C309" s="365" t="s">
        <v>1698</v>
      </c>
      <c r="D309" s="371" t="s">
        <v>82</v>
      </c>
      <c r="E309" s="51" t="s">
        <v>2055</v>
      </c>
      <c r="F309" s="345"/>
      <c r="G309" s="8" t="s">
        <v>2306</v>
      </c>
    </row>
    <row r="310" spans="2:7" ht="14.45" customHeight="1" x14ac:dyDescent="0.2">
      <c r="B310" s="360"/>
      <c r="C310" s="366"/>
      <c r="D310" s="369"/>
      <c r="E310" s="52" t="s">
        <v>2038</v>
      </c>
      <c r="F310" s="346"/>
      <c r="G310" s="10" t="s">
        <v>2307</v>
      </c>
    </row>
    <row r="311" spans="2:7" ht="14.45" customHeight="1" x14ac:dyDescent="0.2">
      <c r="B311" s="360"/>
      <c r="C311" s="366"/>
      <c r="D311" s="369"/>
      <c r="E311" s="52" t="s">
        <v>2039</v>
      </c>
      <c r="F311" s="346"/>
      <c r="G311" s="10" t="s">
        <v>2308</v>
      </c>
    </row>
    <row r="312" spans="2:7" ht="14.45" customHeight="1" x14ac:dyDescent="0.2">
      <c r="B312" s="360"/>
      <c r="C312" s="366"/>
      <c r="D312" s="369"/>
      <c r="E312" s="52" t="s">
        <v>2040</v>
      </c>
      <c r="F312" s="346"/>
      <c r="G312" s="10" t="s">
        <v>2309</v>
      </c>
    </row>
    <row r="313" spans="2:7" ht="14.45" customHeight="1" x14ac:dyDescent="0.2">
      <c r="B313" s="360"/>
      <c r="C313" s="366"/>
      <c r="D313" s="369"/>
      <c r="E313" s="52" t="s">
        <v>2041</v>
      </c>
      <c r="F313" s="346"/>
      <c r="G313" s="10" t="s">
        <v>2310</v>
      </c>
    </row>
    <row r="314" spans="2:7" ht="14.45" customHeight="1" x14ac:dyDescent="0.2">
      <c r="B314" s="360"/>
      <c r="C314" s="366"/>
      <c r="D314" s="369"/>
      <c r="E314" s="52" t="s">
        <v>2042</v>
      </c>
      <c r="F314" s="346"/>
      <c r="G314" s="10" t="s">
        <v>2311</v>
      </c>
    </row>
    <row r="315" spans="2:7" ht="14.45" customHeight="1" x14ac:dyDescent="0.2">
      <c r="B315" s="360"/>
      <c r="C315" s="366"/>
      <c r="D315" s="370"/>
      <c r="E315" s="52" t="s">
        <v>2043</v>
      </c>
      <c r="F315" s="346"/>
      <c r="G315" s="10" t="s">
        <v>2312</v>
      </c>
    </row>
    <row r="316" spans="2:7" ht="14.45" customHeight="1" x14ac:dyDescent="0.2">
      <c r="B316" s="360"/>
      <c r="C316" s="366"/>
      <c r="D316" s="368" t="s">
        <v>84</v>
      </c>
      <c r="E316" s="78" t="s">
        <v>1877</v>
      </c>
      <c r="F316" s="349"/>
      <c r="G316" s="6" t="s">
        <v>2313</v>
      </c>
    </row>
    <row r="317" spans="2:7" ht="14.45" customHeight="1" x14ac:dyDescent="0.2">
      <c r="B317" s="360"/>
      <c r="C317" s="366"/>
      <c r="D317" s="369"/>
      <c r="E317" s="59" t="s">
        <v>2044</v>
      </c>
      <c r="F317" s="347"/>
      <c r="G317" s="16" t="s">
        <v>2439</v>
      </c>
    </row>
    <row r="318" spans="2:7" ht="14.45" customHeight="1" x14ac:dyDescent="0.2">
      <c r="B318" s="360"/>
      <c r="C318" s="366"/>
      <c r="D318" s="369"/>
      <c r="E318" s="59" t="s">
        <v>2045</v>
      </c>
      <c r="F318" s="347"/>
      <c r="G318" s="16" t="s">
        <v>2440</v>
      </c>
    </row>
    <row r="319" spans="2:7" ht="14.45" customHeight="1" x14ac:dyDescent="0.2">
      <c r="B319" s="360"/>
      <c r="C319" s="366"/>
      <c r="D319" s="369"/>
      <c r="E319" s="59" t="s">
        <v>2046</v>
      </c>
      <c r="F319" s="347"/>
      <c r="G319" s="16" t="s">
        <v>2314</v>
      </c>
    </row>
    <row r="320" spans="2:7" ht="14.45" customHeight="1" x14ac:dyDescent="0.2">
      <c r="B320" s="360"/>
      <c r="C320" s="366"/>
      <c r="D320" s="369"/>
      <c r="E320" s="59" t="s">
        <v>2047</v>
      </c>
      <c r="F320" s="347"/>
      <c r="G320" s="16" t="s">
        <v>2315</v>
      </c>
    </row>
    <row r="321" spans="2:7" ht="14.45" customHeight="1" x14ac:dyDescent="0.2">
      <c r="B321" s="360"/>
      <c r="C321" s="366"/>
      <c r="D321" s="369"/>
      <c r="E321" s="59" t="s">
        <v>2048</v>
      </c>
      <c r="F321" s="347"/>
      <c r="G321" s="16" t="s">
        <v>2316</v>
      </c>
    </row>
    <row r="322" spans="2:7" ht="14.45" customHeight="1" x14ac:dyDescent="0.2">
      <c r="B322" s="360"/>
      <c r="C322" s="366"/>
      <c r="D322" s="369"/>
      <c r="E322" s="59" t="s">
        <v>1878</v>
      </c>
      <c r="F322" s="347"/>
      <c r="G322" s="16" t="s">
        <v>2317</v>
      </c>
    </row>
    <row r="323" spans="2:7" ht="14.45" customHeight="1" x14ac:dyDescent="0.2">
      <c r="B323" s="360"/>
      <c r="C323" s="366"/>
      <c r="D323" s="369"/>
      <c r="E323" s="59" t="s">
        <v>2049</v>
      </c>
      <c r="F323" s="347"/>
      <c r="G323" s="16" t="s">
        <v>2318</v>
      </c>
    </row>
    <row r="324" spans="2:7" ht="14.45" customHeight="1" thickBot="1" x14ac:dyDescent="0.25">
      <c r="B324" s="360"/>
      <c r="C324" s="366"/>
      <c r="D324" s="369"/>
      <c r="E324" s="90" t="s">
        <v>2050</v>
      </c>
      <c r="F324" s="352"/>
      <c r="G324" s="49" t="s">
        <v>2319</v>
      </c>
    </row>
    <row r="325" spans="2:7" ht="14.45" customHeight="1" x14ac:dyDescent="0.2">
      <c r="B325" s="360"/>
      <c r="C325" s="365" t="s">
        <v>1706</v>
      </c>
      <c r="D325" s="371" t="s">
        <v>86</v>
      </c>
      <c r="E325" s="58" t="s">
        <v>2054</v>
      </c>
      <c r="F325" s="345"/>
      <c r="G325" s="8" t="s">
        <v>2320</v>
      </c>
    </row>
    <row r="326" spans="2:7" ht="14.45" customHeight="1" x14ac:dyDescent="0.2">
      <c r="B326" s="360"/>
      <c r="C326" s="366"/>
      <c r="D326" s="369"/>
      <c r="E326" s="59" t="s">
        <v>2056</v>
      </c>
      <c r="F326" s="347"/>
      <c r="G326" s="16" t="s">
        <v>2057</v>
      </c>
    </row>
    <row r="327" spans="2:7" ht="14.45" customHeight="1" x14ac:dyDescent="0.2">
      <c r="B327" s="360"/>
      <c r="C327" s="366"/>
      <c r="D327" s="369"/>
      <c r="E327" s="59" t="s">
        <v>2058</v>
      </c>
      <c r="F327" s="347"/>
      <c r="G327" s="16" t="s">
        <v>2441</v>
      </c>
    </row>
    <row r="328" spans="2:7" ht="14.45" customHeight="1" x14ac:dyDescent="0.2">
      <c r="B328" s="360"/>
      <c r="C328" s="366"/>
      <c r="D328" s="369"/>
      <c r="E328" s="59" t="s">
        <v>2059</v>
      </c>
      <c r="F328" s="347"/>
      <c r="G328" s="16" t="s">
        <v>2321</v>
      </c>
    </row>
    <row r="329" spans="2:7" ht="14.45" customHeight="1" x14ac:dyDescent="0.2">
      <c r="B329" s="360"/>
      <c r="C329" s="366"/>
      <c r="D329" s="369"/>
      <c r="E329" s="59" t="s">
        <v>2060</v>
      </c>
      <c r="F329" s="347"/>
      <c r="G329" s="16" t="s">
        <v>2322</v>
      </c>
    </row>
    <row r="330" spans="2:7" ht="14.45" customHeight="1" x14ac:dyDescent="0.2">
      <c r="B330" s="360"/>
      <c r="C330" s="366"/>
      <c r="D330" s="369"/>
      <c r="E330" s="59" t="s">
        <v>2061</v>
      </c>
      <c r="F330" s="347"/>
      <c r="G330" s="16" t="s">
        <v>2323</v>
      </c>
    </row>
    <row r="331" spans="2:7" ht="14.45" customHeight="1" x14ac:dyDescent="0.2">
      <c r="B331" s="360"/>
      <c r="C331" s="366"/>
      <c r="D331" s="369"/>
      <c r="E331" s="59" t="s">
        <v>1665</v>
      </c>
      <c r="F331" s="347"/>
      <c r="G331" s="16" t="s">
        <v>2442</v>
      </c>
    </row>
    <row r="332" spans="2:7" ht="14.45" customHeight="1" x14ac:dyDescent="0.2">
      <c r="B332" s="360"/>
      <c r="C332" s="366"/>
      <c r="D332" s="369"/>
      <c r="E332" s="59" t="s">
        <v>2062</v>
      </c>
      <c r="F332" s="347"/>
      <c r="G332" s="16" t="s">
        <v>2324</v>
      </c>
    </row>
    <row r="333" spans="2:7" ht="14.45" customHeight="1" x14ac:dyDescent="0.2">
      <c r="B333" s="360"/>
      <c r="C333" s="366"/>
      <c r="D333" s="369"/>
      <c r="E333" s="59" t="s">
        <v>2063</v>
      </c>
      <c r="F333" s="347"/>
      <c r="G333" s="16" t="s">
        <v>2325</v>
      </c>
    </row>
    <row r="334" spans="2:7" ht="14.45" customHeight="1" x14ac:dyDescent="0.2">
      <c r="B334" s="360"/>
      <c r="C334" s="366"/>
      <c r="D334" s="369"/>
      <c r="E334" s="59" t="s">
        <v>2064</v>
      </c>
      <c r="F334" s="347"/>
      <c r="G334" s="16" t="s">
        <v>2326</v>
      </c>
    </row>
    <row r="335" spans="2:7" ht="14.45" customHeight="1" x14ac:dyDescent="0.2">
      <c r="B335" s="360"/>
      <c r="C335" s="366"/>
      <c r="D335" s="369"/>
      <c r="E335" s="59" t="s">
        <v>2065</v>
      </c>
      <c r="F335" s="347"/>
      <c r="G335" s="16" t="s">
        <v>2327</v>
      </c>
    </row>
    <row r="336" spans="2:7" ht="14.45" customHeight="1" x14ac:dyDescent="0.2">
      <c r="B336" s="360"/>
      <c r="C336" s="366"/>
      <c r="D336" s="369"/>
      <c r="E336" s="59" t="s">
        <v>2066</v>
      </c>
      <c r="F336" s="347"/>
      <c r="G336" s="16" t="s">
        <v>2328</v>
      </c>
    </row>
    <row r="337" spans="2:7" ht="14.45" customHeight="1" x14ac:dyDescent="0.2">
      <c r="B337" s="360"/>
      <c r="C337" s="366"/>
      <c r="D337" s="369"/>
      <c r="E337" s="59" t="s">
        <v>2067</v>
      </c>
      <c r="F337" s="347"/>
      <c r="G337" s="16" t="s">
        <v>2329</v>
      </c>
    </row>
    <row r="338" spans="2:7" ht="14.45" customHeight="1" x14ac:dyDescent="0.2">
      <c r="B338" s="360"/>
      <c r="C338" s="366"/>
      <c r="D338" s="369"/>
      <c r="E338" s="59" t="s">
        <v>2068</v>
      </c>
      <c r="F338" s="347"/>
      <c r="G338" s="16" t="s">
        <v>2330</v>
      </c>
    </row>
    <row r="339" spans="2:7" ht="14.45" customHeight="1" x14ac:dyDescent="0.2">
      <c r="B339" s="360"/>
      <c r="C339" s="366"/>
      <c r="D339" s="369"/>
      <c r="E339" s="59" t="s">
        <v>2069</v>
      </c>
      <c r="F339" s="347"/>
      <c r="G339" s="16" t="s">
        <v>2332</v>
      </c>
    </row>
    <row r="340" spans="2:7" ht="14.45" customHeight="1" x14ac:dyDescent="0.2">
      <c r="B340" s="360"/>
      <c r="C340" s="366"/>
      <c r="D340" s="369"/>
      <c r="E340" s="59" t="s">
        <v>2070</v>
      </c>
      <c r="F340" s="347"/>
      <c r="G340" s="16" t="s">
        <v>2331</v>
      </c>
    </row>
    <row r="341" spans="2:7" ht="14.45" customHeight="1" x14ac:dyDescent="0.2">
      <c r="B341" s="360"/>
      <c r="C341" s="366"/>
      <c r="D341" s="369"/>
      <c r="E341" s="91" t="s">
        <v>2071</v>
      </c>
      <c r="F341" s="350"/>
      <c r="G341" s="50" t="s">
        <v>2333</v>
      </c>
    </row>
    <row r="342" spans="2:7" ht="14.45" customHeight="1" x14ac:dyDescent="0.2">
      <c r="B342" s="360"/>
      <c r="C342" s="366"/>
      <c r="D342" s="369"/>
      <c r="E342" s="91" t="s">
        <v>2072</v>
      </c>
      <c r="F342" s="350"/>
      <c r="G342" s="50" t="s">
        <v>2334</v>
      </c>
    </row>
    <row r="343" spans="2:7" ht="14.45" customHeight="1" x14ac:dyDescent="0.2">
      <c r="B343" s="360"/>
      <c r="C343" s="366"/>
      <c r="D343" s="370"/>
      <c r="E343" s="60" t="s">
        <v>2073</v>
      </c>
      <c r="F343" s="348"/>
      <c r="G343" s="12" t="s">
        <v>2335</v>
      </c>
    </row>
    <row r="344" spans="2:7" ht="14.45" customHeight="1" x14ac:dyDescent="0.2">
      <c r="B344" s="360"/>
      <c r="C344" s="366"/>
      <c r="D344" s="368" t="s">
        <v>88</v>
      </c>
      <c r="E344" s="78" t="s">
        <v>1666</v>
      </c>
      <c r="F344" s="349"/>
      <c r="G344" s="6" t="s">
        <v>2336</v>
      </c>
    </row>
    <row r="345" spans="2:7" ht="14.45" customHeight="1" x14ac:dyDescent="0.2">
      <c r="B345" s="360"/>
      <c r="C345" s="366"/>
      <c r="D345" s="369"/>
      <c r="E345" s="59" t="s">
        <v>2074</v>
      </c>
      <c r="F345" s="347"/>
      <c r="G345" s="16" t="s">
        <v>2337</v>
      </c>
    </row>
    <row r="346" spans="2:7" ht="14.45" customHeight="1" x14ac:dyDescent="0.2">
      <c r="B346" s="360"/>
      <c r="C346" s="366"/>
      <c r="D346" s="369"/>
      <c r="E346" s="59" t="s">
        <v>2075</v>
      </c>
      <c r="F346" s="347"/>
      <c r="G346" s="16" t="s">
        <v>2338</v>
      </c>
    </row>
    <row r="347" spans="2:7" ht="14.45" customHeight="1" x14ac:dyDescent="0.2">
      <c r="B347" s="360"/>
      <c r="C347" s="366"/>
      <c r="D347" s="369"/>
      <c r="E347" s="59" t="s">
        <v>2076</v>
      </c>
      <c r="F347" s="347"/>
      <c r="G347" s="16" t="s">
        <v>2339</v>
      </c>
    </row>
    <row r="348" spans="2:7" ht="14.45" customHeight="1" x14ac:dyDescent="0.2">
      <c r="B348" s="360"/>
      <c r="C348" s="366"/>
      <c r="D348" s="369"/>
      <c r="E348" s="59" t="s">
        <v>2077</v>
      </c>
      <c r="F348" s="347"/>
      <c r="G348" s="16" t="s">
        <v>2340</v>
      </c>
    </row>
    <row r="349" spans="2:7" ht="14.45" customHeight="1" x14ac:dyDescent="0.2">
      <c r="B349" s="360"/>
      <c r="C349" s="366"/>
      <c r="D349" s="369"/>
      <c r="E349" s="59" t="s">
        <v>2078</v>
      </c>
      <c r="F349" s="347"/>
      <c r="G349" s="16" t="s">
        <v>2342</v>
      </c>
    </row>
    <row r="350" spans="2:7" ht="14.45" customHeight="1" x14ac:dyDescent="0.2">
      <c r="B350" s="360"/>
      <c r="C350" s="366"/>
      <c r="D350" s="370"/>
      <c r="E350" s="60" t="s">
        <v>2079</v>
      </c>
      <c r="F350" s="348"/>
      <c r="G350" s="12" t="s">
        <v>2341</v>
      </c>
    </row>
    <row r="351" spans="2:7" ht="14.45" customHeight="1" x14ac:dyDescent="0.2">
      <c r="B351" s="360"/>
      <c r="C351" s="366"/>
      <c r="D351" s="368" t="s">
        <v>90</v>
      </c>
      <c r="E351" s="78" t="s">
        <v>2080</v>
      </c>
      <c r="F351" s="349"/>
      <c r="G351" s="6" t="s">
        <v>2343</v>
      </c>
    </row>
    <row r="352" spans="2:7" ht="14.45" customHeight="1" x14ac:dyDescent="0.2">
      <c r="B352" s="360"/>
      <c r="C352" s="366"/>
      <c r="D352" s="369"/>
      <c r="E352" s="59" t="s">
        <v>2081</v>
      </c>
      <c r="F352" s="347"/>
      <c r="G352" s="16" t="s">
        <v>2344</v>
      </c>
    </row>
    <row r="353" spans="2:7" ht="14.45" customHeight="1" x14ac:dyDescent="0.2">
      <c r="B353" s="360"/>
      <c r="C353" s="366"/>
      <c r="D353" s="369"/>
      <c r="E353" s="59" t="s">
        <v>2082</v>
      </c>
      <c r="F353" s="347"/>
      <c r="G353" s="16" t="s">
        <v>2345</v>
      </c>
    </row>
    <row r="354" spans="2:7" ht="14.45" customHeight="1" x14ac:dyDescent="0.2">
      <c r="B354" s="360"/>
      <c r="C354" s="366"/>
      <c r="D354" s="369"/>
      <c r="E354" s="59" t="s">
        <v>2083</v>
      </c>
      <c r="F354" s="347"/>
      <c r="G354" s="16" t="s">
        <v>2346</v>
      </c>
    </row>
    <row r="355" spans="2:7" ht="14.45" customHeight="1" x14ac:dyDescent="0.2">
      <c r="B355" s="360"/>
      <c r="C355" s="366"/>
      <c r="D355" s="369"/>
      <c r="E355" s="59" t="s">
        <v>2084</v>
      </c>
      <c r="F355" s="347"/>
      <c r="G355" s="16" t="s">
        <v>2347</v>
      </c>
    </row>
    <row r="356" spans="2:7" ht="14.45" customHeight="1" thickBot="1" x14ac:dyDescent="0.25">
      <c r="B356" s="361"/>
      <c r="C356" s="367"/>
      <c r="D356" s="372"/>
      <c r="E356" s="90" t="s">
        <v>2085</v>
      </c>
      <c r="F356" s="352"/>
      <c r="G356" s="49" t="s">
        <v>2348</v>
      </c>
    </row>
    <row r="357" spans="2:7" ht="14.45" customHeight="1" x14ac:dyDescent="0.2">
      <c r="B357" s="359" t="s">
        <v>1690</v>
      </c>
      <c r="C357" s="365" t="s">
        <v>1700</v>
      </c>
      <c r="D357" s="371" t="s">
        <v>92</v>
      </c>
      <c r="E357" s="58" t="s">
        <v>2086</v>
      </c>
      <c r="F357" s="345"/>
      <c r="G357" s="8" t="s">
        <v>2349</v>
      </c>
    </row>
    <row r="358" spans="2:7" ht="14.45" customHeight="1" x14ac:dyDescent="0.2">
      <c r="B358" s="360"/>
      <c r="C358" s="366"/>
      <c r="D358" s="369"/>
      <c r="E358" s="59" t="s">
        <v>2087</v>
      </c>
      <c r="F358" s="347"/>
      <c r="G358" s="16" t="s">
        <v>2350</v>
      </c>
    </row>
    <row r="359" spans="2:7" ht="14.45" customHeight="1" x14ac:dyDescent="0.2">
      <c r="B359" s="360"/>
      <c r="C359" s="366"/>
      <c r="D359" s="369"/>
      <c r="E359" s="59" t="s">
        <v>2088</v>
      </c>
      <c r="F359" s="347"/>
      <c r="G359" s="16" t="s">
        <v>2351</v>
      </c>
    </row>
    <row r="360" spans="2:7" ht="14.45" customHeight="1" x14ac:dyDescent="0.2">
      <c r="B360" s="360"/>
      <c r="C360" s="366"/>
      <c r="D360" s="369"/>
      <c r="E360" s="59" t="s">
        <v>2089</v>
      </c>
      <c r="F360" s="347"/>
      <c r="G360" s="16" t="s">
        <v>2352</v>
      </c>
    </row>
    <row r="361" spans="2:7" ht="14.45" customHeight="1" x14ac:dyDescent="0.2">
      <c r="B361" s="360"/>
      <c r="C361" s="366"/>
      <c r="D361" s="369"/>
      <c r="E361" s="59" t="s">
        <v>1861</v>
      </c>
      <c r="F361" s="347"/>
      <c r="G361" s="16" t="s">
        <v>2443</v>
      </c>
    </row>
    <row r="362" spans="2:7" ht="14.45" customHeight="1" x14ac:dyDescent="0.2">
      <c r="B362" s="360"/>
      <c r="C362" s="366"/>
      <c r="D362" s="369"/>
      <c r="E362" s="59" t="s">
        <v>2090</v>
      </c>
      <c r="F362" s="347"/>
      <c r="G362" s="16" t="s">
        <v>2353</v>
      </c>
    </row>
    <row r="363" spans="2:7" ht="14.45" customHeight="1" x14ac:dyDescent="0.2">
      <c r="B363" s="360"/>
      <c r="C363" s="366"/>
      <c r="D363" s="370"/>
      <c r="E363" s="60" t="s">
        <v>2091</v>
      </c>
      <c r="F363" s="348"/>
      <c r="G363" s="12" t="s">
        <v>2444</v>
      </c>
    </row>
    <row r="364" spans="2:7" ht="14.45" customHeight="1" x14ac:dyDescent="0.2">
      <c r="B364" s="360"/>
      <c r="C364" s="366"/>
      <c r="D364" s="368" t="s">
        <v>94</v>
      </c>
      <c r="E364" s="78" t="s">
        <v>2092</v>
      </c>
      <c r="F364" s="349"/>
      <c r="G364" s="6" t="s">
        <v>2354</v>
      </c>
    </row>
    <row r="365" spans="2:7" ht="14.45" customHeight="1" x14ac:dyDescent="0.2">
      <c r="B365" s="360"/>
      <c r="C365" s="366"/>
      <c r="D365" s="369"/>
      <c r="E365" s="59" t="s">
        <v>2093</v>
      </c>
      <c r="F365" s="347"/>
      <c r="G365" s="16" t="s">
        <v>2355</v>
      </c>
    </row>
    <row r="366" spans="2:7" ht="14.45" customHeight="1" x14ac:dyDescent="0.2">
      <c r="B366" s="360"/>
      <c r="C366" s="366"/>
      <c r="D366" s="369"/>
      <c r="E366" s="59" t="s">
        <v>2094</v>
      </c>
      <c r="F366" s="347"/>
      <c r="G366" s="16" t="s">
        <v>2356</v>
      </c>
    </row>
    <row r="367" spans="2:7" ht="14.45" customHeight="1" x14ac:dyDescent="0.2">
      <c r="B367" s="360"/>
      <c r="C367" s="366"/>
      <c r="D367" s="370"/>
      <c r="E367" s="60" t="s">
        <v>2095</v>
      </c>
      <c r="F367" s="348"/>
      <c r="G367" s="12" t="s">
        <v>2357</v>
      </c>
    </row>
    <row r="368" spans="2:7" ht="14.45" customHeight="1" x14ac:dyDescent="0.2">
      <c r="B368" s="360"/>
      <c r="C368" s="366"/>
      <c r="D368" s="368" t="s">
        <v>96</v>
      </c>
      <c r="E368" s="78" t="s">
        <v>1808</v>
      </c>
      <c r="F368" s="349"/>
      <c r="G368" s="6" t="s">
        <v>2096</v>
      </c>
    </row>
    <row r="369" spans="2:7" ht="14.45" customHeight="1" x14ac:dyDescent="0.2">
      <c r="B369" s="360"/>
      <c r="C369" s="366"/>
      <c r="D369" s="369"/>
      <c r="E369" s="59" t="s">
        <v>1807</v>
      </c>
      <c r="F369" s="347"/>
      <c r="G369" s="16" t="s">
        <v>2358</v>
      </c>
    </row>
    <row r="370" spans="2:7" ht="14.45" customHeight="1" x14ac:dyDescent="0.2">
      <c r="B370" s="360"/>
      <c r="C370" s="366"/>
      <c r="D370" s="369"/>
      <c r="E370" s="59" t="s">
        <v>1814</v>
      </c>
      <c r="F370" s="347"/>
      <c r="G370" s="16" t="s">
        <v>2359</v>
      </c>
    </row>
    <row r="371" spans="2:7" ht="14.45" customHeight="1" thickBot="1" x14ac:dyDescent="0.25">
      <c r="B371" s="360"/>
      <c r="C371" s="367"/>
      <c r="D371" s="372"/>
      <c r="E371" s="90" t="s">
        <v>1815</v>
      </c>
      <c r="F371" s="352"/>
      <c r="G371" s="49" t="s">
        <v>2360</v>
      </c>
    </row>
    <row r="372" spans="2:7" ht="14.45" customHeight="1" x14ac:dyDescent="0.2">
      <c r="B372" s="360"/>
      <c r="C372" s="365" t="s">
        <v>1701</v>
      </c>
      <c r="D372" s="371" t="s">
        <v>1804</v>
      </c>
      <c r="E372" s="51" t="s">
        <v>1806</v>
      </c>
      <c r="F372" s="345"/>
      <c r="G372" s="8" t="s">
        <v>2361</v>
      </c>
    </row>
    <row r="373" spans="2:7" ht="14.45" customHeight="1" x14ac:dyDescent="0.2">
      <c r="B373" s="360"/>
      <c r="C373" s="366"/>
      <c r="D373" s="369"/>
      <c r="E373" s="53" t="s">
        <v>1807</v>
      </c>
      <c r="F373" s="347"/>
      <c r="G373" s="16" t="s">
        <v>2362</v>
      </c>
    </row>
    <row r="374" spans="2:7" ht="14.45" customHeight="1" x14ac:dyDescent="0.2">
      <c r="B374" s="360"/>
      <c r="C374" s="366"/>
      <c r="D374" s="369"/>
      <c r="E374" s="53" t="s">
        <v>1808</v>
      </c>
      <c r="F374" s="347"/>
      <c r="G374" s="16" t="s">
        <v>2363</v>
      </c>
    </row>
    <row r="375" spans="2:7" ht="14.45" customHeight="1" x14ac:dyDescent="0.2">
      <c r="B375" s="360"/>
      <c r="C375" s="366"/>
      <c r="D375" s="369"/>
      <c r="E375" s="53" t="s">
        <v>1809</v>
      </c>
      <c r="F375" s="347"/>
      <c r="G375" s="16" t="s">
        <v>2445</v>
      </c>
    </row>
    <row r="376" spans="2:7" ht="14.45" customHeight="1" x14ac:dyDescent="0.2">
      <c r="B376" s="360"/>
      <c r="C376" s="366"/>
      <c r="D376" s="369"/>
      <c r="E376" s="53" t="s">
        <v>1810</v>
      </c>
      <c r="F376" s="347"/>
      <c r="G376" s="16" t="s">
        <v>2446</v>
      </c>
    </row>
    <row r="377" spans="2:7" ht="14.45" customHeight="1" x14ac:dyDescent="0.2">
      <c r="B377" s="360"/>
      <c r="C377" s="366"/>
      <c r="D377" s="370"/>
      <c r="E377" s="54" t="s">
        <v>1811</v>
      </c>
      <c r="F377" s="348"/>
      <c r="G377" s="12" t="s">
        <v>2364</v>
      </c>
    </row>
    <row r="378" spans="2:7" ht="14.45" customHeight="1" x14ac:dyDescent="0.2">
      <c r="B378" s="360"/>
      <c r="C378" s="366"/>
      <c r="D378" s="368" t="s">
        <v>100</v>
      </c>
      <c r="E378" s="55" t="s">
        <v>1812</v>
      </c>
      <c r="F378" s="349"/>
      <c r="G378" s="6" t="s">
        <v>2457</v>
      </c>
    </row>
    <row r="379" spans="2:7" ht="14.45" customHeight="1" x14ac:dyDescent="0.2">
      <c r="B379" s="360"/>
      <c r="C379" s="366"/>
      <c r="D379" s="369"/>
      <c r="E379" s="53" t="s">
        <v>2367</v>
      </c>
      <c r="F379" s="347"/>
      <c r="G379" s="94" t="s">
        <v>2365</v>
      </c>
    </row>
    <row r="380" spans="2:7" ht="14.45" customHeight="1" x14ac:dyDescent="0.2">
      <c r="B380" s="360"/>
      <c r="C380" s="366"/>
      <c r="D380" s="370"/>
      <c r="E380" s="54" t="s">
        <v>1668</v>
      </c>
      <c r="F380" s="348"/>
      <c r="G380" s="12" t="s">
        <v>2366</v>
      </c>
    </row>
    <row r="381" spans="2:7" ht="14.45" customHeight="1" x14ac:dyDescent="0.2">
      <c r="B381" s="360"/>
      <c r="C381" s="366"/>
      <c r="D381" s="368" t="s">
        <v>102</v>
      </c>
      <c r="E381" s="55" t="s">
        <v>1813</v>
      </c>
      <c r="F381" s="349"/>
      <c r="G381" s="6" t="s">
        <v>2369</v>
      </c>
    </row>
    <row r="382" spans="2:7" ht="14.45" customHeight="1" x14ac:dyDescent="0.2">
      <c r="B382" s="360"/>
      <c r="C382" s="366"/>
      <c r="D382" s="369"/>
      <c r="E382" s="53" t="s">
        <v>1814</v>
      </c>
      <c r="F382" s="347"/>
      <c r="G382" s="16" t="s">
        <v>2370</v>
      </c>
    </row>
    <row r="383" spans="2:7" ht="14.45" customHeight="1" x14ac:dyDescent="0.2">
      <c r="B383" s="360"/>
      <c r="C383" s="366"/>
      <c r="D383" s="370"/>
      <c r="E383" s="54" t="s">
        <v>1815</v>
      </c>
      <c r="F383" s="348"/>
      <c r="G383" s="12" t="s">
        <v>2371</v>
      </c>
    </row>
    <row r="384" spans="2:7" ht="14.45" customHeight="1" x14ac:dyDescent="0.2">
      <c r="B384" s="360"/>
      <c r="C384" s="366"/>
      <c r="D384" s="368" t="s">
        <v>104</v>
      </c>
      <c r="E384" s="55" t="s">
        <v>1824</v>
      </c>
      <c r="F384" s="349"/>
      <c r="G384" s="6" t="s">
        <v>2372</v>
      </c>
    </row>
    <row r="385" spans="2:7" ht="14.45" customHeight="1" x14ac:dyDescent="0.2">
      <c r="B385" s="360"/>
      <c r="C385" s="366"/>
      <c r="D385" s="369"/>
      <c r="E385" s="53" t="s">
        <v>1816</v>
      </c>
      <c r="F385" s="347"/>
      <c r="G385" s="16" t="s">
        <v>2376</v>
      </c>
    </row>
    <row r="386" spans="2:7" ht="14.45" customHeight="1" x14ac:dyDescent="0.2">
      <c r="B386" s="360"/>
      <c r="C386" s="366"/>
      <c r="D386" s="369"/>
      <c r="E386" s="53" t="s">
        <v>2373</v>
      </c>
      <c r="F386" s="347"/>
      <c r="G386" s="16" t="s">
        <v>2375</v>
      </c>
    </row>
    <row r="387" spans="2:7" ht="14.45" customHeight="1" x14ac:dyDescent="0.2">
      <c r="B387" s="360"/>
      <c r="C387" s="366"/>
      <c r="D387" s="369"/>
      <c r="E387" s="53" t="s">
        <v>2374</v>
      </c>
      <c r="F387" s="347"/>
      <c r="G387" s="16" t="s">
        <v>2377</v>
      </c>
    </row>
    <row r="388" spans="2:7" ht="14.45" customHeight="1" x14ac:dyDescent="0.2">
      <c r="B388" s="360"/>
      <c r="C388" s="366"/>
      <c r="D388" s="369"/>
      <c r="E388" s="53" t="s">
        <v>2379</v>
      </c>
      <c r="F388" s="347"/>
      <c r="G388" s="16" t="s">
        <v>2378</v>
      </c>
    </row>
    <row r="389" spans="2:7" ht="14.45" customHeight="1" thickBot="1" x14ac:dyDescent="0.25">
      <c r="B389" s="360"/>
      <c r="C389" s="367"/>
      <c r="D389" s="372"/>
      <c r="E389" s="57" t="s">
        <v>1817</v>
      </c>
      <c r="F389" s="352"/>
      <c r="G389" s="49" t="s">
        <v>2380</v>
      </c>
    </row>
    <row r="390" spans="2:7" ht="14.45" customHeight="1" x14ac:dyDescent="0.2">
      <c r="B390" s="360"/>
      <c r="C390" s="365" t="s">
        <v>1702</v>
      </c>
      <c r="D390" s="371" t="s">
        <v>106</v>
      </c>
      <c r="E390" s="51" t="s">
        <v>1818</v>
      </c>
      <c r="F390" s="345"/>
      <c r="G390" s="8" t="s">
        <v>2381</v>
      </c>
    </row>
    <row r="391" spans="2:7" ht="14.45" customHeight="1" x14ac:dyDescent="0.2">
      <c r="B391" s="360"/>
      <c r="C391" s="366"/>
      <c r="D391" s="369"/>
      <c r="E391" s="53" t="s">
        <v>1819</v>
      </c>
      <c r="F391" s="347"/>
      <c r="G391" s="16" t="s">
        <v>1820</v>
      </c>
    </row>
    <row r="392" spans="2:7" ht="14.45" customHeight="1" x14ac:dyDescent="0.2">
      <c r="B392" s="360"/>
      <c r="C392" s="366"/>
      <c r="D392" s="370"/>
      <c r="E392" s="54" t="s">
        <v>1821</v>
      </c>
      <c r="F392" s="348"/>
      <c r="G392" s="12" t="s">
        <v>2394</v>
      </c>
    </row>
    <row r="393" spans="2:7" ht="14.45" customHeight="1" x14ac:dyDescent="0.2">
      <c r="B393" s="360"/>
      <c r="C393" s="366"/>
      <c r="D393" s="368" t="s">
        <v>108</v>
      </c>
      <c r="E393" s="78" t="s">
        <v>1822</v>
      </c>
      <c r="F393" s="349"/>
      <c r="G393" s="6" t="s">
        <v>2382</v>
      </c>
    </row>
    <row r="394" spans="2:7" ht="14.45" customHeight="1" x14ac:dyDescent="0.2">
      <c r="B394" s="360"/>
      <c r="C394" s="366"/>
      <c r="D394" s="369"/>
      <c r="E394" s="59" t="s">
        <v>2383</v>
      </c>
      <c r="F394" s="347"/>
      <c r="G394" s="16" t="s">
        <v>2385</v>
      </c>
    </row>
    <row r="395" spans="2:7" ht="14.45" customHeight="1" x14ac:dyDescent="0.2">
      <c r="B395" s="360"/>
      <c r="C395" s="366"/>
      <c r="D395" s="369"/>
      <c r="E395" s="59" t="s">
        <v>2384</v>
      </c>
      <c r="F395" s="347"/>
      <c r="G395" s="16" t="s">
        <v>2386</v>
      </c>
    </row>
    <row r="396" spans="2:7" ht="14.45" customHeight="1" x14ac:dyDescent="0.2">
      <c r="B396" s="360"/>
      <c r="C396" s="366"/>
      <c r="D396" s="370"/>
      <c r="E396" s="60" t="s">
        <v>1823</v>
      </c>
      <c r="F396" s="348"/>
      <c r="G396" s="12" t="s">
        <v>2387</v>
      </c>
    </row>
    <row r="397" spans="2:7" ht="14.45" customHeight="1" x14ac:dyDescent="0.2">
      <c r="B397" s="360"/>
      <c r="C397" s="366"/>
      <c r="D397" s="362" t="s">
        <v>200</v>
      </c>
      <c r="E397" s="78" t="s">
        <v>1819</v>
      </c>
      <c r="F397" s="349"/>
      <c r="G397" s="6" t="s">
        <v>2447</v>
      </c>
    </row>
    <row r="398" spans="2:7" ht="14.45" customHeight="1" x14ac:dyDescent="0.2">
      <c r="B398" s="360"/>
      <c r="C398" s="366"/>
      <c r="D398" s="363"/>
      <c r="E398" s="59" t="s">
        <v>2389</v>
      </c>
      <c r="F398" s="347"/>
      <c r="G398" s="16" t="s">
        <v>2388</v>
      </c>
    </row>
    <row r="399" spans="2:7" ht="14.45" customHeight="1" x14ac:dyDescent="0.2">
      <c r="B399" s="360"/>
      <c r="C399" s="366"/>
      <c r="D399" s="363"/>
      <c r="E399" s="59" t="s">
        <v>2390</v>
      </c>
      <c r="F399" s="347"/>
      <c r="G399" s="16" t="s">
        <v>2448</v>
      </c>
    </row>
    <row r="400" spans="2:7" ht="14.45" customHeight="1" x14ac:dyDescent="0.2">
      <c r="B400" s="360"/>
      <c r="C400" s="366"/>
      <c r="D400" s="363"/>
      <c r="E400" s="59" t="s">
        <v>2391</v>
      </c>
      <c r="F400" s="347"/>
      <c r="G400" s="16" t="s">
        <v>2392</v>
      </c>
    </row>
    <row r="401" spans="2:7" ht="14.45" customHeight="1" x14ac:dyDescent="0.2">
      <c r="B401" s="360"/>
      <c r="C401" s="366"/>
      <c r="D401" s="364"/>
      <c r="E401" s="60" t="s">
        <v>1821</v>
      </c>
      <c r="F401" s="348"/>
      <c r="G401" s="12" t="s">
        <v>2393</v>
      </c>
    </row>
    <row r="402" spans="2:7" ht="14.45" customHeight="1" x14ac:dyDescent="0.2">
      <c r="B402" s="360"/>
      <c r="C402" s="366"/>
      <c r="D402" s="368" t="s">
        <v>110</v>
      </c>
      <c r="E402" s="55" t="s">
        <v>2395</v>
      </c>
      <c r="F402" s="349"/>
      <c r="G402" s="6" t="s">
        <v>2397</v>
      </c>
    </row>
    <row r="403" spans="2:7" ht="14.45" customHeight="1" x14ac:dyDescent="0.2">
      <c r="B403" s="360"/>
      <c r="C403" s="366"/>
      <c r="D403" s="369"/>
      <c r="E403" s="52" t="s">
        <v>2396</v>
      </c>
      <c r="F403" s="346"/>
      <c r="G403" s="10" t="s">
        <v>2398</v>
      </c>
    </row>
    <row r="404" spans="2:7" ht="14.45" customHeight="1" x14ac:dyDescent="0.2">
      <c r="B404" s="360"/>
      <c r="C404" s="366"/>
      <c r="D404" s="369"/>
      <c r="E404" s="53" t="s">
        <v>1825</v>
      </c>
      <c r="F404" s="347"/>
      <c r="G404" s="16" t="s">
        <v>2399</v>
      </c>
    </row>
    <row r="405" spans="2:7" ht="14.45" customHeight="1" x14ac:dyDescent="0.2">
      <c r="B405" s="360"/>
      <c r="C405" s="366"/>
      <c r="D405" s="369"/>
      <c r="E405" s="53" t="s">
        <v>1826</v>
      </c>
      <c r="F405" s="347"/>
      <c r="G405" s="16" t="s">
        <v>2400</v>
      </c>
    </row>
    <row r="406" spans="2:7" ht="14.45" customHeight="1" x14ac:dyDescent="0.2">
      <c r="B406" s="360"/>
      <c r="C406" s="366"/>
      <c r="D406" s="369"/>
      <c r="E406" s="53" t="s">
        <v>1827</v>
      </c>
      <c r="F406" s="347"/>
      <c r="G406" s="16" t="s">
        <v>2401</v>
      </c>
    </row>
    <row r="407" spans="2:7" ht="14.45" customHeight="1" x14ac:dyDescent="0.2">
      <c r="B407" s="360"/>
      <c r="C407" s="366"/>
      <c r="D407" s="369"/>
      <c r="E407" s="53" t="s">
        <v>1828</v>
      </c>
      <c r="F407" s="347"/>
      <c r="G407" s="16" t="s">
        <v>2403</v>
      </c>
    </row>
    <row r="408" spans="2:7" ht="14.45" customHeight="1" x14ac:dyDescent="0.2">
      <c r="B408" s="360"/>
      <c r="C408" s="366"/>
      <c r="D408" s="369"/>
      <c r="E408" s="53" t="s">
        <v>1829</v>
      </c>
      <c r="F408" s="347"/>
      <c r="G408" s="16" t="s">
        <v>2402</v>
      </c>
    </row>
    <row r="409" spans="2:7" ht="14.45" customHeight="1" x14ac:dyDescent="0.2">
      <c r="B409" s="360"/>
      <c r="C409" s="366"/>
      <c r="D409" s="369"/>
      <c r="E409" s="53" t="s">
        <v>1830</v>
      </c>
      <c r="F409" s="347"/>
      <c r="G409" s="16" t="s">
        <v>2404</v>
      </c>
    </row>
    <row r="410" spans="2:7" ht="14.45" customHeight="1" thickBot="1" x14ac:dyDescent="0.25">
      <c r="B410" s="360"/>
      <c r="C410" s="367"/>
      <c r="D410" s="372"/>
      <c r="E410" s="57" t="s">
        <v>1831</v>
      </c>
      <c r="F410" s="352"/>
      <c r="G410" s="49" t="s">
        <v>2405</v>
      </c>
    </row>
    <row r="411" spans="2:7" ht="14.45" customHeight="1" x14ac:dyDescent="0.2">
      <c r="B411" s="360"/>
      <c r="C411" s="365" t="s">
        <v>1703</v>
      </c>
      <c r="D411" s="371" t="s">
        <v>112</v>
      </c>
      <c r="E411" s="58" t="s">
        <v>1860</v>
      </c>
      <c r="F411" s="345"/>
      <c r="G411" s="8" t="s">
        <v>2449</v>
      </c>
    </row>
    <row r="412" spans="2:7" ht="14.45" customHeight="1" x14ac:dyDescent="0.2">
      <c r="B412" s="360"/>
      <c r="C412" s="366"/>
      <c r="D412" s="369"/>
      <c r="E412" s="59" t="s">
        <v>2407</v>
      </c>
      <c r="F412" s="347"/>
      <c r="G412" s="16" t="s">
        <v>2406</v>
      </c>
    </row>
    <row r="413" spans="2:7" ht="14.45" customHeight="1" x14ac:dyDescent="0.2">
      <c r="B413" s="360"/>
      <c r="C413" s="366"/>
      <c r="D413" s="369"/>
      <c r="E413" s="59" t="s">
        <v>2408</v>
      </c>
      <c r="F413" s="347"/>
      <c r="G413" s="16" t="s">
        <v>2411</v>
      </c>
    </row>
    <row r="414" spans="2:7" ht="14.45" customHeight="1" x14ac:dyDescent="0.2">
      <c r="B414" s="360"/>
      <c r="C414" s="366"/>
      <c r="D414" s="369"/>
      <c r="E414" s="59" t="s">
        <v>2409</v>
      </c>
      <c r="F414" s="347"/>
      <c r="G414" s="16" t="s">
        <v>2412</v>
      </c>
    </row>
    <row r="415" spans="2:7" ht="14.45" customHeight="1" x14ac:dyDescent="0.2">
      <c r="B415" s="360"/>
      <c r="C415" s="366"/>
      <c r="D415" s="370"/>
      <c r="E415" s="60" t="s">
        <v>2410</v>
      </c>
      <c r="F415" s="348"/>
      <c r="G415" s="12" t="s">
        <v>2413</v>
      </c>
    </row>
    <row r="416" spans="2:7" ht="14.45" customHeight="1" x14ac:dyDescent="0.2">
      <c r="B416" s="360"/>
      <c r="C416" s="366"/>
      <c r="D416" s="368" t="s">
        <v>114</v>
      </c>
      <c r="E416" s="55" t="s">
        <v>1835</v>
      </c>
      <c r="F416" s="349"/>
      <c r="G416" s="6" t="s">
        <v>1836</v>
      </c>
    </row>
    <row r="417" spans="2:7" ht="14.45" customHeight="1" thickBot="1" x14ac:dyDescent="0.25">
      <c r="B417" s="361"/>
      <c r="C417" s="367"/>
      <c r="D417" s="372"/>
      <c r="E417" s="57" t="s">
        <v>1834</v>
      </c>
      <c r="F417" s="352"/>
      <c r="G417" s="49" t="s">
        <v>1837</v>
      </c>
    </row>
    <row r="418" spans="2:7" ht="14.45" customHeight="1" x14ac:dyDescent="0.2">
      <c r="B418" s="359" t="s">
        <v>1691</v>
      </c>
      <c r="C418" s="365" t="s">
        <v>2765</v>
      </c>
      <c r="D418" s="84" t="s">
        <v>116</v>
      </c>
      <c r="E418" s="51" t="s">
        <v>1861</v>
      </c>
      <c r="F418" s="345"/>
      <c r="G418" s="8" t="s">
        <v>2414</v>
      </c>
    </row>
    <row r="419" spans="2:7" ht="14.45" customHeight="1" x14ac:dyDescent="0.2">
      <c r="B419" s="360"/>
      <c r="C419" s="366"/>
      <c r="D419" s="362" t="s">
        <v>118</v>
      </c>
      <c r="E419" s="78" t="s">
        <v>2419</v>
      </c>
      <c r="F419" s="349"/>
      <c r="G419" s="6" t="s">
        <v>2418</v>
      </c>
    </row>
    <row r="420" spans="2:7" ht="14.45" customHeight="1" x14ac:dyDescent="0.2">
      <c r="B420" s="360"/>
      <c r="C420" s="366"/>
      <c r="D420" s="363"/>
      <c r="E420" s="59" t="s">
        <v>2420</v>
      </c>
      <c r="F420" s="347"/>
      <c r="G420" s="16" t="s">
        <v>2421</v>
      </c>
    </row>
    <row r="421" spans="2:7" ht="14.45" customHeight="1" x14ac:dyDescent="0.2">
      <c r="B421" s="360"/>
      <c r="C421" s="366"/>
      <c r="D421" s="363"/>
      <c r="E421" s="59" t="s">
        <v>1863</v>
      </c>
      <c r="F421" s="347"/>
      <c r="G421" s="16" t="s">
        <v>2415</v>
      </c>
    </row>
    <row r="422" spans="2:7" ht="14.45" customHeight="1" x14ac:dyDescent="0.2">
      <c r="B422" s="360"/>
      <c r="C422" s="366"/>
      <c r="D422" s="363"/>
      <c r="E422" s="59" t="s">
        <v>1862</v>
      </c>
      <c r="F422" s="347"/>
      <c r="G422" s="16" t="s">
        <v>2416</v>
      </c>
    </row>
    <row r="423" spans="2:7" ht="14.45" customHeight="1" x14ac:dyDescent="0.2">
      <c r="B423" s="360"/>
      <c r="C423" s="366"/>
      <c r="D423" s="363"/>
      <c r="E423" s="59" t="s">
        <v>1864</v>
      </c>
      <c r="F423" s="347"/>
      <c r="G423" s="16" t="s">
        <v>2417</v>
      </c>
    </row>
    <row r="424" spans="2:7" ht="14.45" customHeight="1" x14ac:dyDescent="0.2">
      <c r="B424" s="360"/>
      <c r="C424" s="366"/>
      <c r="D424" s="364"/>
      <c r="E424" s="60" t="s">
        <v>2422</v>
      </c>
      <c r="F424" s="348"/>
      <c r="G424" s="12" t="s">
        <v>2450</v>
      </c>
    </row>
    <row r="425" spans="2:7" ht="14.45" customHeight="1" x14ac:dyDescent="0.2">
      <c r="B425" s="360"/>
      <c r="C425" s="366"/>
      <c r="D425" s="368" t="s">
        <v>120</v>
      </c>
      <c r="E425" s="55" t="s">
        <v>1865</v>
      </c>
      <c r="F425" s="349"/>
      <c r="G425" s="6" t="s">
        <v>2451</v>
      </c>
    </row>
    <row r="426" spans="2:7" ht="14.45" customHeight="1" x14ac:dyDescent="0.2">
      <c r="B426" s="360"/>
      <c r="C426" s="366"/>
      <c r="D426" s="370"/>
      <c r="E426" s="54" t="s">
        <v>1866</v>
      </c>
      <c r="F426" s="348"/>
      <c r="G426" s="12" t="s">
        <v>2458</v>
      </c>
    </row>
    <row r="427" spans="2:7" ht="14.45" customHeight="1" x14ac:dyDescent="0.2">
      <c r="B427" s="360"/>
      <c r="C427" s="366"/>
      <c r="D427" s="87" t="s">
        <v>122</v>
      </c>
      <c r="E427" s="79"/>
      <c r="F427" s="174"/>
      <c r="G427" s="7"/>
    </row>
    <row r="428" spans="2:7" ht="14.45" customHeight="1" thickBot="1" x14ac:dyDescent="0.25">
      <c r="B428" s="361"/>
      <c r="C428" s="367"/>
      <c r="D428" s="85" t="s">
        <v>124</v>
      </c>
      <c r="E428" s="80" t="s">
        <v>1867</v>
      </c>
      <c r="F428" s="353"/>
      <c r="G428" s="81" t="s">
        <v>2452</v>
      </c>
    </row>
  </sheetData>
  <autoFilter ref="B3:G3" xr:uid="{35A5F4EE-7417-430D-8D63-3590C906F76B}"/>
  <mergeCells count="83">
    <mergeCell ref="B418:B428"/>
    <mergeCell ref="C418:C428"/>
    <mergeCell ref="C411:C417"/>
    <mergeCell ref="B357:B417"/>
    <mergeCell ref="D411:D415"/>
    <mergeCell ref="D416:D417"/>
    <mergeCell ref="D425:D426"/>
    <mergeCell ref="D372:D377"/>
    <mergeCell ref="D357:D363"/>
    <mergeCell ref="D364:D367"/>
    <mergeCell ref="D368:D371"/>
    <mergeCell ref="C4:C59"/>
    <mergeCell ref="C60:C65"/>
    <mergeCell ref="C94:C112"/>
    <mergeCell ref="D4:D42"/>
    <mergeCell ref="D393:D396"/>
    <mergeCell ref="C390:C410"/>
    <mergeCell ref="D402:D410"/>
    <mergeCell ref="D51:D59"/>
    <mergeCell ref="D61:D65"/>
    <mergeCell ref="C325:C356"/>
    <mergeCell ref="C309:C324"/>
    <mergeCell ref="D351:D356"/>
    <mergeCell ref="D344:D350"/>
    <mergeCell ref="D325:D343"/>
    <mergeCell ref="D316:D324"/>
    <mergeCell ref="D309:D315"/>
    <mergeCell ref="D103:D107"/>
    <mergeCell ref="D113:D129"/>
    <mergeCell ref="D66:D69"/>
    <mergeCell ref="D70:D73"/>
    <mergeCell ref="D94:D102"/>
    <mergeCell ref="D74:D93"/>
    <mergeCell ref="B309:B356"/>
    <mergeCell ref="B273:B308"/>
    <mergeCell ref="D390:D392"/>
    <mergeCell ref="D378:D380"/>
    <mergeCell ref="D381:D383"/>
    <mergeCell ref="C372:C389"/>
    <mergeCell ref="D384:D389"/>
    <mergeCell ref="D291:D304"/>
    <mergeCell ref="C357:C371"/>
    <mergeCell ref="D283:D285"/>
    <mergeCell ref="C273:C282"/>
    <mergeCell ref="B2:D2"/>
    <mergeCell ref="D134:D138"/>
    <mergeCell ref="D139:D144"/>
    <mergeCell ref="D145:D153"/>
    <mergeCell ref="D248:D257"/>
    <mergeCell ref="D240:D247"/>
    <mergeCell ref="D231:D239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81:D282"/>
    <mergeCell ref="D273:D280"/>
    <mergeCell ref="D169:D170"/>
    <mergeCell ref="D184:D188"/>
    <mergeCell ref="D258:D272"/>
    <mergeCell ref="C211:C272"/>
    <mergeCell ref="B113:B272"/>
    <mergeCell ref="D397:D401"/>
    <mergeCell ref="D419:D424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91:C308"/>
    <mergeCell ref="D305:D308"/>
    <mergeCell ref="C283:C290"/>
    <mergeCell ref="D288:D290"/>
    <mergeCell ref="D286:D287"/>
  </mergeCells>
  <phoneticPr fontId="3" type="noConversion"/>
  <conditionalFormatting sqref="E4:G42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F146"/>
  <sheetViews>
    <sheetView showGridLines="0" workbookViewId="0">
      <pane ySplit="3" topLeftCell="A4" activePane="bottomLeft" state="frozen"/>
      <selection pane="bottomLeft" activeCell="F23" sqref="F23"/>
    </sheetView>
  </sheetViews>
  <sheetFormatPr defaultRowHeight="14.45" customHeight="1" x14ac:dyDescent="0.2"/>
  <cols>
    <col min="1" max="1" width="1.7109375" style="1" customWidth="1"/>
    <col min="2" max="2" width="20.28515625" style="1" customWidth="1"/>
    <col min="3" max="3" width="27.7109375" style="1" customWidth="1"/>
    <col min="4" max="4" width="36.7109375" style="1" customWidth="1"/>
    <col min="5" max="5" width="5.7109375" style="1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4208</v>
      </c>
    </row>
    <row r="3" spans="2:6" ht="14.45" customHeight="1" thickBot="1" x14ac:dyDescent="0.25">
      <c r="B3" s="354" t="s">
        <v>1803</v>
      </c>
      <c r="C3" s="421" t="s">
        <v>0</v>
      </c>
      <c r="D3" s="421" t="s">
        <v>1</v>
      </c>
      <c r="E3" s="421" t="s">
        <v>4268</v>
      </c>
      <c r="F3" s="66" t="s">
        <v>1498</v>
      </c>
    </row>
    <row r="4" spans="2:6" ht="14.45" customHeight="1" x14ac:dyDescent="0.2">
      <c r="B4" s="431" t="s">
        <v>4209</v>
      </c>
      <c r="C4" s="425" t="s">
        <v>2860</v>
      </c>
      <c r="D4" s="418" t="s">
        <v>1588</v>
      </c>
      <c r="E4" s="419">
        <f>COUNTIFS(문제목록!J:J,기출빈도!D4,문제목록!N:N,"기출")</f>
        <v>0</v>
      </c>
      <c r="F4" s="420"/>
    </row>
    <row r="5" spans="2:6" ht="14.45" customHeight="1" x14ac:dyDescent="0.2">
      <c r="B5" s="432" t="s">
        <v>4209</v>
      </c>
      <c r="C5" s="427" t="s">
        <v>2860</v>
      </c>
      <c r="D5" s="30" t="s">
        <v>4270</v>
      </c>
      <c r="E5" s="414">
        <f>COUNTIFS(문제목록!J:J,기출빈도!D5,문제목록!N:N,"기출")</f>
        <v>0</v>
      </c>
      <c r="F5" s="417"/>
    </row>
    <row r="6" spans="2:6" ht="14.45" customHeight="1" x14ac:dyDescent="0.2">
      <c r="B6" s="432" t="s">
        <v>4209</v>
      </c>
      <c r="C6" s="427" t="s">
        <v>2860</v>
      </c>
      <c r="D6" s="30" t="s">
        <v>4210</v>
      </c>
      <c r="E6" s="414">
        <f>COUNTIFS(문제목록!J:J,기출빈도!D6,문제목록!N:N,"기출")</f>
        <v>1</v>
      </c>
      <c r="F6" s="417"/>
    </row>
    <row r="7" spans="2:6" ht="14.45" customHeight="1" thickBot="1" x14ac:dyDescent="0.25">
      <c r="B7" s="432" t="s">
        <v>4209</v>
      </c>
      <c r="C7" s="429" t="s">
        <v>2860</v>
      </c>
      <c r="D7" s="430" t="s">
        <v>4282</v>
      </c>
      <c r="E7" s="423">
        <f>SUM(E4:E6)</f>
        <v>1</v>
      </c>
      <c r="F7" s="424"/>
    </row>
    <row r="8" spans="2:6" ht="14.45" customHeight="1" x14ac:dyDescent="0.2">
      <c r="B8" s="432" t="s">
        <v>4209</v>
      </c>
      <c r="C8" s="426" t="s">
        <v>2863</v>
      </c>
      <c r="D8" s="415" t="s">
        <v>4271</v>
      </c>
      <c r="E8" s="416">
        <f>COUNTIFS(문제목록!J:J,기출빈도!D8,문제목록!N:N,"기출")</f>
        <v>0</v>
      </c>
      <c r="F8" s="422"/>
    </row>
    <row r="9" spans="2:6" ht="14.45" customHeight="1" x14ac:dyDescent="0.2">
      <c r="B9" s="432" t="s">
        <v>4209</v>
      </c>
      <c r="C9" s="428" t="s">
        <v>2863</v>
      </c>
      <c r="D9" s="30" t="s">
        <v>4272</v>
      </c>
      <c r="E9" s="414">
        <f>COUNTIFS(문제목록!J:J,기출빈도!D9,문제목록!N:N,"기출")</f>
        <v>0</v>
      </c>
      <c r="F9" s="417"/>
    </row>
    <row r="10" spans="2:6" ht="14.45" customHeight="1" thickBot="1" x14ac:dyDescent="0.25">
      <c r="B10" s="432" t="s">
        <v>4209</v>
      </c>
      <c r="C10" s="429" t="s">
        <v>2863</v>
      </c>
      <c r="D10" s="430" t="s">
        <v>4282</v>
      </c>
      <c r="E10" s="423">
        <f>SUM(E8:E9)</f>
        <v>0</v>
      </c>
      <c r="F10" s="424"/>
    </row>
    <row r="11" spans="2:6" ht="14.45" customHeight="1" thickBot="1" x14ac:dyDescent="0.25">
      <c r="B11" s="433" t="s">
        <v>4209</v>
      </c>
      <c r="C11" s="434" t="s">
        <v>4282</v>
      </c>
      <c r="D11" s="435"/>
      <c r="E11" s="436">
        <f>SUM(E10,E7)</f>
        <v>1</v>
      </c>
      <c r="F11" s="437"/>
    </row>
    <row r="12" spans="2:6" ht="14.45" customHeight="1" x14ac:dyDescent="0.2">
      <c r="B12" s="431" t="s">
        <v>2878</v>
      </c>
      <c r="C12" s="425" t="s">
        <v>2864</v>
      </c>
      <c r="D12" s="418" t="s">
        <v>4273</v>
      </c>
      <c r="E12" s="419">
        <f>COUNTIFS(문제목록!J:J,기출빈도!D12,문제목록!N:N,"기출")</f>
        <v>0</v>
      </c>
      <c r="F12" s="420"/>
    </row>
    <row r="13" spans="2:6" ht="14.45" customHeight="1" x14ac:dyDescent="0.2">
      <c r="B13" s="432" t="s">
        <v>2878</v>
      </c>
      <c r="C13" s="427" t="s">
        <v>2864</v>
      </c>
      <c r="D13" s="30" t="s">
        <v>1609</v>
      </c>
      <c r="E13" s="414">
        <f>COUNTIFS(문제목록!J:J,기출빈도!D13,문제목록!N:N,"기출")</f>
        <v>0</v>
      </c>
      <c r="F13" s="417"/>
    </row>
    <row r="14" spans="2:6" ht="14.45" customHeight="1" x14ac:dyDescent="0.2">
      <c r="B14" s="432" t="s">
        <v>2878</v>
      </c>
      <c r="C14" s="427" t="s">
        <v>2864</v>
      </c>
      <c r="D14" s="30" t="s">
        <v>4212</v>
      </c>
      <c r="E14" s="414">
        <f>COUNTIFS(문제목록!J:J,기출빈도!D14,문제목록!N:N,"기출")</f>
        <v>3</v>
      </c>
      <c r="F14" s="417"/>
    </row>
    <row r="15" spans="2:6" ht="14.45" customHeight="1" thickBot="1" x14ac:dyDescent="0.25">
      <c r="B15" s="432" t="s">
        <v>2878</v>
      </c>
      <c r="C15" s="429" t="s">
        <v>2864</v>
      </c>
      <c r="D15" s="430" t="s">
        <v>4282</v>
      </c>
      <c r="E15" s="423">
        <f>SUM(E12:E14)</f>
        <v>3</v>
      </c>
      <c r="F15" s="424"/>
    </row>
    <row r="16" spans="2:6" ht="14.45" customHeight="1" x14ac:dyDescent="0.2">
      <c r="B16" s="432" t="s">
        <v>2878</v>
      </c>
      <c r="C16" s="425" t="s">
        <v>2866</v>
      </c>
      <c r="D16" s="418" t="s">
        <v>4213</v>
      </c>
      <c r="E16" s="419">
        <f>COUNTIFS(문제목록!J:J,기출빈도!D16,문제목록!N:N,"기출")</f>
        <v>1</v>
      </c>
      <c r="F16" s="420"/>
    </row>
    <row r="17" spans="2:6" ht="14.45" customHeight="1" x14ac:dyDescent="0.2">
      <c r="B17" s="432" t="s">
        <v>2878</v>
      </c>
      <c r="C17" s="427" t="s">
        <v>2866</v>
      </c>
      <c r="D17" s="30" t="s">
        <v>4211</v>
      </c>
      <c r="E17" s="414">
        <f>COUNTIFS(문제목록!J:J,기출빈도!D17,문제목록!N:N,"기출")</f>
        <v>5</v>
      </c>
      <c r="F17" s="417"/>
    </row>
    <row r="18" spans="2:6" ht="14.45" customHeight="1" x14ac:dyDescent="0.2">
      <c r="B18" s="432" t="s">
        <v>2878</v>
      </c>
      <c r="C18" s="427" t="s">
        <v>2866</v>
      </c>
      <c r="D18" s="30" t="s">
        <v>4214</v>
      </c>
      <c r="E18" s="414">
        <f>COUNTIFS(문제목록!J:J,기출빈도!D18,문제목록!N:N,"기출")</f>
        <v>3</v>
      </c>
      <c r="F18" s="417"/>
    </row>
    <row r="19" spans="2:6" ht="14.45" customHeight="1" thickBot="1" x14ac:dyDescent="0.25">
      <c r="B19" s="432" t="s">
        <v>2878</v>
      </c>
      <c r="C19" s="429" t="s">
        <v>2866</v>
      </c>
      <c r="D19" s="430" t="s">
        <v>4282</v>
      </c>
      <c r="E19" s="423">
        <f>SUM(E16:E18)</f>
        <v>9</v>
      </c>
      <c r="F19" s="424"/>
    </row>
    <row r="20" spans="2:6" ht="14.45" customHeight="1" thickBot="1" x14ac:dyDescent="0.25">
      <c r="B20" s="433" t="s">
        <v>2878</v>
      </c>
      <c r="C20" s="434" t="s">
        <v>4282</v>
      </c>
      <c r="D20" s="435"/>
      <c r="E20" s="436">
        <f>SUM(E19,E15)</f>
        <v>12</v>
      </c>
      <c r="F20" s="437"/>
    </row>
    <row r="21" spans="2:6" ht="14.45" customHeight="1" x14ac:dyDescent="0.2">
      <c r="B21" s="431" t="s">
        <v>2931</v>
      </c>
      <c r="C21" s="425" t="s">
        <v>2912</v>
      </c>
      <c r="D21" s="418" t="s">
        <v>4274</v>
      </c>
      <c r="E21" s="419">
        <f>COUNTIFS(문제목록!J:J,기출빈도!D21,문제목록!N:N,"기출")</f>
        <v>0</v>
      </c>
      <c r="F21" s="420"/>
    </row>
    <row r="22" spans="2:6" ht="14.45" customHeight="1" x14ac:dyDescent="0.2">
      <c r="B22" s="432" t="s">
        <v>2931</v>
      </c>
      <c r="C22" s="427" t="s">
        <v>2912</v>
      </c>
      <c r="D22" s="30" t="s">
        <v>4228</v>
      </c>
      <c r="E22" s="414">
        <f>COUNTIFS(문제목록!J:J,기출빈도!D22,문제목록!N:N,"기출")</f>
        <v>0</v>
      </c>
      <c r="F22" s="417"/>
    </row>
    <row r="23" spans="2:6" ht="14.45" customHeight="1" x14ac:dyDescent="0.2">
      <c r="B23" s="432" t="s">
        <v>2931</v>
      </c>
      <c r="C23" s="427" t="s">
        <v>2912</v>
      </c>
      <c r="D23" s="30" t="s">
        <v>4215</v>
      </c>
      <c r="E23" s="414">
        <f>COUNTIFS(문제목록!J:J,기출빈도!D23,문제목록!N:N,"기출")</f>
        <v>3</v>
      </c>
      <c r="F23" s="417"/>
    </row>
    <row r="24" spans="2:6" ht="14.45" customHeight="1" x14ac:dyDescent="0.2">
      <c r="B24" s="432" t="s">
        <v>2931</v>
      </c>
      <c r="C24" s="427" t="s">
        <v>2912</v>
      </c>
      <c r="D24" s="30" t="s">
        <v>4229</v>
      </c>
      <c r="E24" s="414">
        <f>COUNTIFS(문제목록!J:J,기출빈도!D24,문제목록!N:N,"기출")</f>
        <v>0</v>
      </c>
      <c r="F24" s="417"/>
    </row>
    <row r="25" spans="2:6" ht="14.45" customHeight="1" x14ac:dyDescent="0.2">
      <c r="B25" s="432" t="s">
        <v>2931</v>
      </c>
      <c r="C25" s="427" t="s">
        <v>2912</v>
      </c>
      <c r="D25" s="30" t="s">
        <v>4230</v>
      </c>
      <c r="E25" s="414">
        <f>COUNTIFS(문제목록!J:J,기출빈도!D25,문제목록!N:N,"기출")</f>
        <v>0</v>
      </c>
      <c r="F25" s="417"/>
    </row>
    <row r="26" spans="2:6" ht="14.45" customHeight="1" x14ac:dyDescent="0.2">
      <c r="B26" s="432" t="s">
        <v>2931</v>
      </c>
      <c r="C26" s="427" t="s">
        <v>2912</v>
      </c>
      <c r="D26" s="30" t="s">
        <v>4231</v>
      </c>
      <c r="E26" s="414">
        <f>COUNTIFS(문제목록!J:J,기출빈도!D26,문제목록!N:N,"기출")</f>
        <v>0</v>
      </c>
      <c r="F26" s="417"/>
    </row>
    <row r="27" spans="2:6" ht="14.45" customHeight="1" x14ac:dyDescent="0.2">
      <c r="B27" s="432" t="s">
        <v>2931</v>
      </c>
      <c r="C27" s="427" t="s">
        <v>2912</v>
      </c>
      <c r="D27" s="30" t="s">
        <v>4219</v>
      </c>
      <c r="E27" s="414">
        <f>COUNTIFS(문제목록!J:J,기출빈도!D27,문제목록!N:N,"기출")</f>
        <v>2</v>
      </c>
      <c r="F27" s="417"/>
    </row>
    <row r="28" spans="2:6" ht="14.45" customHeight="1" x14ac:dyDescent="0.2">
      <c r="B28" s="432" t="s">
        <v>2931</v>
      </c>
      <c r="C28" s="427" t="s">
        <v>2912</v>
      </c>
      <c r="D28" s="30" t="s">
        <v>4225</v>
      </c>
      <c r="E28" s="414">
        <f>COUNTIFS(문제목록!J:J,기출빈도!D28,문제목록!N:N,"기출")</f>
        <v>1</v>
      </c>
      <c r="F28" s="417"/>
    </row>
    <row r="29" spans="2:6" ht="14.45" customHeight="1" thickBot="1" x14ac:dyDescent="0.25">
      <c r="B29" s="432" t="s">
        <v>2931</v>
      </c>
      <c r="C29" s="429" t="s">
        <v>2912</v>
      </c>
      <c r="D29" s="430" t="s">
        <v>4282</v>
      </c>
      <c r="E29" s="423">
        <f>SUM(E21:E28)</f>
        <v>6</v>
      </c>
      <c r="F29" s="424"/>
    </row>
    <row r="30" spans="2:6" ht="14.45" customHeight="1" x14ac:dyDescent="0.2">
      <c r="B30" s="432" t="s">
        <v>2931</v>
      </c>
      <c r="C30" s="425" t="s">
        <v>2870</v>
      </c>
      <c r="D30" s="418" t="s">
        <v>4275</v>
      </c>
      <c r="E30" s="419">
        <f>COUNTIFS(문제목록!J:J,기출빈도!D30,문제목록!N:N,"기출")</f>
        <v>0</v>
      </c>
      <c r="F30" s="420"/>
    </row>
    <row r="31" spans="2:6" ht="14.45" customHeight="1" x14ac:dyDescent="0.2">
      <c r="B31" s="432" t="s">
        <v>2931</v>
      </c>
      <c r="C31" s="427" t="s">
        <v>2870</v>
      </c>
      <c r="D31" s="30" t="s">
        <v>4222</v>
      </c>
      <c r="E31" s="414">
        <f>COUNTIFS(문제목록!J:J,기출빈도!D31,문제목록!N:N,"기출")</f>
        <v>4</v>
      </c>
      <c r="F31" s="417"/>
    </row>
    <row r="32" spans="2:6" ht="14.45" customHeight="1" x14ac:dyDescent="0.2">
      <c r="B32" s="432" t="s">
        <v>2931</v>
      </c>
      <c r="C32" s="427" t="s">
        <v>2870</v>
      </c>
      <c r="D32" s="30" t="s">
        <v>4226</v>
      </c>
      <c r="E32" s="414">
        <f>COUNTIFS(문제목록!J:J,기출빈도!D32,문제목록!N:N,"기출")</f>
        <v>1</v>
      </c>
      <c r="F32" s="417"/>
    </row>
    <row r="33" spans="2:6" ht="14.45" customHeight="1" x14ac:dyDescent="0.2">
      <c r="B33" s="432" t="s">
        <v>2931</v>
      </c>
      <c r="C33" s="427" t="s">
        <v>2870</v>
      </c>
      <c r="D33" s="30" t="s">
        <v>4220</v>
      </c>
      <c r="E33" s="414">
        <f>COUNTIFS(문제목록!J:J,기출빈도!D33,문제목록!N:N,"기출")</f>
        <v>1</v>
      </c>
      <c r="F33" s="417"/>
    </row>
    <row r="34" spans="2:6" ht="14.45" customHeight="1" x14ac:dyDescent="0.2">
      <c r="B34" s="432" t="s">
        <v>2931</v>
      </c>
      <c r="C34" s="427" t="s">
        <v>2870</v>
      </c>
      <c r="D34" s="30" t="s">
        <v>4224</v>
      </c>
      <c r="E34" s="414">
        <f>COUNTIFS(문제목록!J:J,기출빈도!D34,문제목록!N:N,"기출")</f>
        <v>1</v>
      </c>
      <c r="F34" s="417"/>
    </row>
    <row r="35" spans="2:6" ht="14.45" customHeight="1" x14ac:dyDescent="0.2">
      <c r="B35" s="432" t="s">
        <v>2931</v>
      </c>
      <c r="C35" s="427" t="s">
        <v>2870</v>
      </c>
      <c r="D35" s="30" t="s">
        <v>4218</v>
      </c>
      <c r="E35" s="414">
        <f>COUNTIFS(문제목록!J:J,기출빈도!D35,문제목록!N:N,"기출")</f>
        <v>3</v>
      </c>
      <c r="F35" s="417"/>
    </row>
    <row r="36" spans="2:6" ht="14.45" customHeight="1" x14ac:dyDescent="0.2">
      <c r="B36" s="432" t="s">
        <v>2931</v>
      </c>
      <c r="C36" s="427" t="s">
        <v>2870</v>
      </c>
      <c r="D36" s="30" t="s">
        <v>4232</v>
      </c>
      <c r="E36" s="414">
        <f>COUNTIFS(문제목록!J:J,기출빈도!D36,문제목록!N:N,"기출")</f>
        <v>0</v>
      </c>
      <c r="F36" s="417"/>
    </row>
    <row r="37" spans="2:6" ht="14.45" customHeight="1" thickBot="1" x14ac:dyDescent="0.25">
      <c r="B37" s="432" t="s">
        <v>2931</v>
      </c>
      <c r="C37" s="429" t="s">
        <v>2870</v>
      </c>
      <c r="D37" s="430" t="s">
        <v>4282</v>
      </c>
      <c r="E37" s="423">
        <f>SUM(E30:E36)</f>
        <v>10</v>
      </c>
      <c r="F37" s="424"/>
    </row>
    <row r="38" spans="2:6" ht="14.45" customHeight="1" x14ac:dyDescent="0.2">
      <c r="B38" s="432" t="s">
        <v>2931</v>
      </c>
      <c r="C38" s="425" t="s">
        <v>2872</v>
      </c>
      <c r="D38" s="418" t="s">
        <v>4216</v>
      </c>
      <c r="E38" s="419">
        <f>COUNTIFS(문제목록!J:J,기출빈도!D38,문제목록!N:N,"기출")</f>
        <v>1</v>
      </c>
      <c r="F38" s="420"/>
    </row>
    <row r="39" spans="2:6" ht="14.45" customHeight="1" x14ac:dyDescent="0.2">
      <c r="B39" s="432" t="s">
        <v>2931</v>
      </c>
      <c r="C39" s="427" t="s">
        <v>2872</v>
      </c>
      <c r="D39" s="30" t="s">
        <v>4233</v>
      </c>
      <c r="E39" s="414">
        <f>COUNTIFS(문제목록!J:J,기출빈도!D39,문제목록!N:N,"기출")</f>
        <v>0</v>
      </c>
      <c r="F39" s="417"/>
    </row>
    <row r="40" spans="2:6" ht="14.45" customHeight="1" x14ac:dyDescent="0.2">
      <c r="B40" s="432" t="s">
        <v>2931</v>
      </c>
      <c r="C40" s="427" t="s">
        <v>2872</v>
      </c>
      <c r="D40" s="30" t="s">
        <v>4221</v>
      </c>
      <c r="E40" s="414">
        <f>COUNTIFS(문제목록!J:J,기출빈도!D40,문제목록!N:N,"기출")</f>
        <v>3</v>
      </c>
      <c r="F40" s="417"/>
    </row>
    <row r="41" spans="2:6" ht="14.45" customHeight="1" x14ac:dyDescent="0.2">
      <c r="B41" s="432" t="s">
        <v>2931</v>
      </c>
      <c r="C41" s="427" t="s">
        <v>2872</v>
      </c>
      <c r="D41" s="30" t="s">
        <v>4223</v>
      </c>
      <c r="E41" s="414">
        <f>COUNTIFS(문제목록!J:J,기출빈도!D41,문제목록!N:N,"기출")</f>
        <v>2</v>
      </c>
      <c r="F41" s="417"/>
    </row>
    <row r="42" spans="2:6" ht="14.45" customHeight="1" x14ac:dyDescent="0.2">
      <c r="B42" s="432" t="s">
        <v>2931</v>
      </c>
      <c r="C42" s="427" t="s">
        <v>2872</v>
      </c>
      <c r="D42" s="30" t="s">
        <v>4227</v>
      </c>
      <c r="E42" s="414">
        <f>COUNTIFS(문제목록!J:J,기출빈도!D42,문제목록!N:N,"기출")</f>
        <v>1</v>
      </c>
      <c r="F42" s="417"/>
    </row>
    <row r="43" spans="2:6" ht="14.45" customHeight="1" x14ac:dyDescent="0.2">
      <c r="B43" s="432" t="s">
        <v>2931</v>
      </c>
      <c r="C43" s="427" t="s">
        <v>2872</v>
      </c>
      <c r="D43" s="30" t="s">
        <v>4217</v>
      </c>
      <c r="E43" s="414">
        <f>COUNTIFS(문제목록!J:J,기출빈도!D43,문제목록!N:N,"기출")</f>
        <v>1</v>
      </c>
      <c r="F43" s="417"/>
    </row>
    <row r="44" spans="2:6" ht="14.45" customHeight="1" thickBot="1" x14ac:dyDescent="0.25">
      <c r="B44" s="432" t="s">
        <v>2931</v>
      </c>
      <c r="C44" s="429" t="s">
        <v>2872</v>
      </c>
      <c r="D44" s="430" t="s">
        <v>4282</v>
      </c>
      <c r="E44" s="423">
        <f>SUM(E38:E43)</f>
        <v>8</v>
      </c>
      <c r="F44" s="424"/>
    </row>
    <row r="45" spans="2:6" ht="14.45" customHeight="1" thickBot="1" x14ac:dyDescent="0.25">
      <c r="B45" s="433" t="s">
        <v>2931</v>
      </c>
      <c r="C45" s="434" t="s">
        <v>4282</v>
      </c>
      <c r="D45" s="435"/>
      <c r="E45" s="436">
        <f>SUM(E44,E37,E29)</f>
        <v>24</v>
      </c>
      <c r="F45" s="437"/>
    </row>
    <row r="46" spans="2:6" ht="14.45" customHeight="1" x14ac:dyDescent="0.2">
      <c r="B46" s="431" t="s">
        <v>2879</v>
      </c>
      <c r="C46" s="425" t="s">
        <v>2893</v>
      </c>
      <c r="D46" s="418" t="s">
        <v>4234</v>
      </c>
      <c r="E46" s="419">
        <f>COUNTIFS(문제목록!J:J,기출빈도!D46,문제목록!N:N,"기출")</f>
        <v>3</v>
      </c>
      <c r="F46" s="420"/>
    </row>
    <row r="47" spans="2:6" ht="14.45" customHeight="1" x14ac:dyDescent="0.2">
      <c r="B47" s="432" t="s">
        <v>2879</v>
      </c>
      <c r="C47" s="427" t="s">
        <v>2893</v>
      </c>
      <c r="D47" s="30" t="s">
        <v>4237</v>
      </c>
      <c r="E47" s="414">
        <f>COUNTIFS(문제목록!J:J,기출빈도!D47,문제목록!N:N,"기출")</f>
        <v>0</v>
      </c>
      <c r="F47" s="417"/>
    </row>
    <row r="48" spans="2:6" ht="14.45" customHeight="1" x14ac:dyDescent="0.2">
      <c r="B48" s="432" t="s">
        <v>2879</v>
      </c>
      <c r="C48" s="427" t="s">
        <v>2893</v>
      </c>
      <c r="D48" s="30" t="s">
        <v>4236</v>
      </c>
      <c r="E48" s="414">
        <f>COUNTIFS(문제목록!J:J,기출빈도!D48,문제목록!N:N,"기출")</f>
        <v>1</v>
      </c>
      <c r="F48" s="417"/>
    </row>
    <row r="49" spans="2:6" ht="14.45" customHeight="1" thickBot="1" x14ac:dyDescent="0.25">
      <c r="B49" s="432" t="s">
        <v>2879</v>
      </c>
      <c r="C49" s="429" t="s">
        <v>2893</v>
      </c>
      <c r="D49" s="430" t="s">
        <v>4282</v>
      </c>
      <c r="E49" s="423">
        <f>SUM(E46:E48)</f>
        <v>4</v>
      </c>
      <c r="F49" s="424"/>
    </row>
    <row r="50" spans="2:6" ht="14.45" customHeight="1" x14ac:dyDescent="0.2">
      <c r="B50" s="432" t="s">
        <v>2879</v>
      </c>
      <c r="C50" s="425" t="s">
        <v>2895</v>
      </c>
      <c r="D50" s="418" t="s">
        <v>4276</v>
      </c>
      <c r="E50" s="419">
        <f>COUNTIFS(문제목록!J:J,기출빈도!D50,문제목록!N:N,"기출")</f>
        <v>0</v>
      </c>
      <c r="F50" s="420"/>
    </row>
    <row r="51" spans="2:6" ht="14.45" customHeight="1" x14ac:dyDescent="0.2">
      <c r="B51" s="432" t="s">
        <v>2879</v>
      </c>
      <c r="C51" s="427" t="s">
        <v>2895</v>
      </c>
      <c r="D51" s="30" t="s">
        <v>4235</v>
      </c>
      <c r="E51" s="414">
        <f>COUNTIFS(문제목록!J:J,기출빈도!D51,문제목록!N:N,"기출")</f>
        <v>4</v>
      </c>
      <c r="F51" s="417"/>
    </row>
    <row r="52" spans="2:6" ht="14.45" customHeight="1" thickBot="1" x14ac:dyDescent="0.25">
      <c r="B52" s="432" t="s">
        <v>2879</v>
      </c>
      <c r="C52" s="429" t="s">
        <v>2895</v>
      </c>
      <c r="D52" s="430" t="s">
        <v>4282</v>
      </c>
      <c r="E52" s="423">
        <f>SUM(E50:E51)</f>
        <v>4</v>
      </c>
      <c r="F52" s="424"/>
    </row>
    <row r="53" spans="2:6" ht="14.45" customHeight="1" thickBot="1" x14ac:dyDescent="0.25">
      <c r="B53" s="433" t="s">
        <v>2879</v>
      </c>
      <c r="C53" s="434" t="s">
        <v>4282</v>
      </c>
      <c r="D53" s="435"/>
      <c r="E53" s="436">
        <f>SUM(E52,E49)</f>
        <v>8</v>
      </c>
      <c r="F53" s="437"/>
    </row>
    <row r="54" spans="2:6" ht="14.45" customHeight="1" x14ac:dyDescent="0.2">
      <c r="B54" s="431" t="s">
        <v>2880</v>
      </c>
      <c r="C54" s="425" t="s">
        <v>2897</v>
      </c>
      <c r="D54" s="418" t="s">
        <v>4238</v>
      </c>
      <c r="E54" s="419">
        <f>COUNTIFS(문제목록!J:J,기출빈도!D54,문제목록!N:N,"기출")</f>
        <v>3</v>
      </c>
      <c r="F54" s="420"/>
    </row>
    <row r="55" spans="2:6" ht="14.45" customHeight="1" x14ac:dyDescent="0.2">
      <c r="B55" s="432" t="s">
        <v>2880</v>
      </c>
      <c r="C55" s="427" t="s">
        <v>2897</v>
      </c>
      <c r="D55" s="30" t="s">
        <v>4240</v>
      </c>
      <c r="E55" s="414">
        <f>COUNTIFS(문제목록!J:J,기출빈도!D55,문제목록!N:N,"기출")</f>
        <v>2</v>
      </c>
      <c r="F55" s="417"/>
    </row>
    <row r="56" spans="2:6" ht="14.45" customHeight="1" thickBot="1" x14ac:dyDescent="0.25">
      <c r="B56" s="432" t="s">
        <v>2880</v>
      </c>
      <c r="C56" s="429" t="s">
        <v>2897</v>
      </c>
      <c r="D56" s="430" t="s">
        <v>4282</v>
      </c>
      <c r="E56" s="423">
        <f>SUM(E54:E55)</f>
        <v>5</v>
      </c>
      <c r="F56" s="424"/>
    </row>
    <row r="57" spans="2:6" ht="14.45" customHeight="1" x14ac:dyDescent="0.2">
      <c r="B57" s="432" t="s">
        <v>2880</v>
      </c>
      <c r="C57" s="425" t="s">
        <v>2899</v>
      </c>
      <c r="D57" s="418" t="s">
        <v>4239</v>
      </c>
      <c r="E57" s="419">
        <f>COUNTIFS(문제목록!J:J,기출빈도!D57,문제목록!N:N,"기출")</f>
        <v>8</v>
      </c>
      <c r="F57" s="420"/>
    </row>
    <row r="58" spans="2:6" ht="14.45" customHeight="1" x14ac:dyDescent="0.2">
      <c r="B58" s="432" t="s">
        <v>2880</v>
      </c>
      <c r="C58" s="427" t="s">
        <v>2899</v>
      </c>
      <c r="D58" s="30" t="s">
        <v>4241</v>
      </c>
      <c r="E58" s="414">
        <f>COUNTIFS(문제목록!J:J,기출빈도!D58,문제목록!N:N,"기출")</f>
        <v>4</v>
      </c>
      <c r="F58" s="417"/>
    </row>
    <row r="59" spans="2:6" ht="14.45" customHeight="1" x14ac:dyDescent="0.2">
      <c r="B59" s="432" t="s">
        <v>2880</v>
      </c>
      <c r="C59" s="427" t="s">
        <v>2899</v>
      </c>
      <c r="D59" s="30" t="s">
        <v>4242</v>
      </c>
      <c r="E59" s="414">
        <f>COUNTIFS(문제목록!J:J,기출빈도!D59,문제목록!N:N,"기출")</f>
        <v>1</v>
      </c>
      <c r="F59" s="417"/>
    </row>
    <row r="60" spans="2:6" ht="14.45" customHeight="1" thickBot="1" x14ac:dyDescent="0.25">
      <c r="B60" s="432" t="s">
        <v>2880</v>
      </c>
      <c r="C60" s="429" t="s">
        <v>2899</v>
      </c>
      <c r="D60" s="430" t="s">
        <v>4282</v>
      </c>
      <c r="E60" s="423">
        <f>SUM(E57:E59)</f>
        <v>13</v>
      </c>
      <c r="F60" s="424"/>
    </row>
    <row r="61" spans="2:6" ht="14.45" customHeight="1" thickBot="1" x14ac:dyDescent="0.25">
      <c r="B61" s="433" t="s">
        <v>2880</v>
      </c>
      <c r="C61" s="434" t="s">
        <v>4282</v>
      </c>
      <c r="D61" s="435"/>
      <c r="E61" s="436">
        <f>SUM(E60,E56)</f>
        <v>18</v>
      </c>
      <c r="F61" s="437"/>
    </row>
    <row r="62" spans="2:6" ht="14.45" customHeight="1" x14ac:dyDescent="0.2">
      <c r="B62" s="431" t="s">
        <v>2881</v>
      </c>
      <c r="C62" s="425" t="s">
        <v>2901</v>
      </c>
      <c r="D62" s="418" t="s">
        <v>4277</v>
      </c>
      <c r="E62" s="419">
        <f>COUNTIFS(문제목록!J:J,기출빈도!D62,문제목록!N:N,"기출")</f>
        <v>0</v>
      </c>
      <c r="F62" s="420"/>
    </row>
    <row r="63" spans="2:6" ht="14.45" customHeight="1" x14ac:dyDescent="0.2">
      <c r="B63" s="432" t="s">
        <v>2881</v>
      </c>
      <c r="C63" s="427" t="s">
        <v>2901</v>
      </c>
      <c r="D63" s="30" t="s">
        <v>4245</v>
      </c>
      <c r="E63" s="414">
        <f>COUNTIFS(문제목록!J:J,기출빈도!D63,문제목록!N:N,"기출")</f>
        <v>0</v>
      </c>
      <c r="F63" s="417"/>
    </row>
    <row r="64" spans="2:6" ht="14.45" customHeight="1" x14ac:dyDescent="0.2">
      <c r="B64" s="432" t="s">
        <v>2881</v>
      </c>
      <c r="C64" s="427" t="s">
        <v>2901</v>
      </c>
      <c r="D64" s="30" t="s">
        <v>4243</v>
      </c>
      <c r="E64" s="414">
        <f>COUNTIFS(문제목록!J:J,기출빈도!D64,문제목록!N:N,"기출")</f>
        <v>1</v>
      </c>
      <c r="F64" s="417"/>
    </row>
    <row r="65" spans="2:6" ht="14.45" customHeight="1" thickBot="1" x14ac:dyDescent="0.25">
      <c r="B65" s="432" t="s">
        <v>2881</v>
      </c>
      <c r="C65" s="429" t="s">
        <v>2901</v>
      </c>
      <c r="D65" s="430" t="s">
        <v>4282</v>
      </c>
      <c r="E65" s="423">
        <f>SUM(E62:E64)</f>
        <v>1</v>
      </c>
      <c r="F65" s="424"/>
    </row>
    <row r="66" spans="2:6" ht="14.45" customHeight="1" x14ac:dyDescent="0.2">
      <c r="B66" s="432" t="s">
        <v>2881</v>
      </c>
      <c r="C66" s="425" t="s">
        <v>2903</v>
      </c>
      <c r="D66" s="418" t="s">
        <v>4278</v>
      </c>
      <c r="E66" s="419">
        <f>COUNTIFS(문제목록!J:J,기출빈도!D66,문제목록!N:N,"기출")</f>
        <v>0</v>
      </c>
      <c r="F66" s="420"/>
    </row>
    <row r="67" spans="2:6" ht="14.45" customHeight="1" x14ac:dyDescent="0.2">
      <c r="B67" s="432" t="s">
        <v>2881</v>
      </c>
      <c r="C67" s="427" t="s">
        <v>2903</v>
      </c>
      <c r="D67" s="30" t="s">
        <v>4244</v>
      </c>
      <c r="E67" s="414">
        <f>COUNTIFS(문제목록!J:J,기출빈도!D67,문제목록!N:N,"기출")</f>
        <v>1</v>
      </c>
      <c r="F67" s="417"/>
    </row>
    <row r="68" spans="2:6" ht="14.45" customHeight="1" x14ac:dyDescent="0.2">
      <c r="B68" s="432" t="s">
        <v>2881</v>
      </c>
      <c r="C68" s="427" t="s">
        <v>2903</v>
      </c>
      <c r="D68" s="30" t="s">
        <v>4246</v>
      </c>
      <c r="E68" s="414">
        <f>COUNTIFS(문제목록!J:J,기출빈도!D68,문제목록!N:N,"기출")</f>
        <v>0</v>
      </c>
      <c r="F68" s="417"/>
    </row>
    <row r="69" spans="2:6" ht="14.45" customHeight="1" x14ac:dyDescent="0.2">
      <c r="B69" s="432" t="s">
        <v>2881</v>
      </c>
      <c r="C69" s="427" t="s">
        <v>2903</v>
      </c>
      <c r="D69" s="30" t="s">
        <v>4247</v>
      </c>
      <c r="E69" s="414">
        <f>COUNTIFS(문제목록!J:J,기출빈도!D69,문제목록!N:N,"기출")</f>
        <v>0</v>
      </c>
      <c r="F69" s="417"/>
    </row>
    <row r="70" spans="2:6" ht="14.45" customHeight="1" thickBot="1" x14ac:dyDescent="0.25">
      <c r="B70" s="432" t="s">
        <v>2881</v>
      </c>
      <c r="C70" s="429" t="s">
        <v>2903</v>
      </c>
      <c r="D70" s="430" t="s">
        <v>4282</v>
      </c>
      <c r="E70" s="423">
        <f>SUM(E66:E69)</f>
        <v>1</v>
      </c>
      <c r="F70" s="424"/>
    </row>
    <row r="71" spans="2:6" ht="14.45" customHeight="1" x14ac:dyDescent="0.2">
      <c r="B71" s="432" t="s">
        <v>2881</v>
      </c>
      <c r="C71" s="425" t="s">
        <v>2905</v>
      </c>
      <c r="D71" s="418" t="s">
        <v>4279</v>
      </c>
      <c r="E71" s="419">
        <f>COUNTIFS(문제목록!J:J,기출빈도!D71,문제목록!N:N,"기출")</f>
        <v>0</v>
      </c>
      <c r="F71" s="420"/>
    </row>
    <row r="72" spans="2:6" ht="14.45" customHeight="1" x14ac:dyDescent="0.2">
      <c r="B72" s="432" t="s">
        <v>2881</v>
      </c>
      <c r="C72" s="427" t="s">
        <v>2905</v>
      </c>
      <c r="D72" s="30" t="s">
        <v>4248</v>
      </c>
      <c r="E72" s="414">
        <f>COUNTIFS(문제목록!J:J,기출빈도!D72,문제목록!N:N,"기출")</f>
        <v>0</v>
      </c>
      <c r="F72" s="417"/>
    </row>
    <row r="73" spans="2:6" ht="14.45" customHeight="1" x14ac:dyDescent="0.2">
      <c r="B73" s="432" t="s">
        <v>2881</v>
      </c>
      <c r="C73" s="427" t="s">
        <v>2905</v>
      </c>
      <c r="D73" s="30" t="s">
        <v>4249</v>
      </c>
      <c r="E73" s="414">
        <f>COUNTIFS(문제목록!J:J,기출빈도!D73,문제목록!N:N,"기출")</f>
        <v>0</v>
      </c>
      <c r="F73" s="417"/>
    </row>
    <row r="74" spans="2:6" ht="14.45" customHeight="1" x14ac:dyDescent="0.2">
      <c r="B74" s="432" t="s">
        <v>2881</v>
      </c>
      <c r="C74" s="427" t="s">
        <v>2905</v>
      </c>
      <c r="D74" s="30" t="s">
        <v>4250</v>
      </c>
      <c r="E74" s="414">
        <f>COUNTIFS(문제목록!J:J,기출빈도!D74,문제목록!N:N,"기출")</f>
        <v>0</v>
      </c>
      <c r="F74" s="417"/>
    </row>
    <row r="75" spans="2:6" ht="14.45" customHeight="1" thickBot="1" x14ac:dyDescent="0.25">
      <c r="B75" s="432" t="s">
        <v>2881</v>
      </c>
      <c r="C75" s="429" t="s">
        <v>2905</v>
      </c>
      <c r="D75" s="430" t="s">
        <v>4282</v>
      </c>
      <c r="E75" s="423">
        <f>SUM(E71:E74)</f>
        <v>0</v>
      </c>
      <c r="F75" s="424"/>
    </row>
    <row r="76" spans="2:6" ht="14.45" customHeight="1" x14ac:dyDescent="0.2">
      <c r="B76" s="432" t="s">
        <v>2881</v>
      </c>
      <c r="C76" s="425" t="s">
        <v>2907</v>
      </c>
      <c r="D76" s="418" t="s">
        <v>4280</v>
      </c>
      <c r="E76" s="419">
        <f>COUNTIFS(문제목록!J:J,기출빈도!D76,문제목록!N:N,"기출")</f>
        <v>0</v>
      </c>
      <c r="F76" s="420"/>
    </row>
    <row r="77" spans="2:6" ht="14.45" customHeight="1" x14ac:dyDescent="0.2">
      <c r="B77" s="432" t="s">
        <v>2881</v>
      </c>
      <c r="C77" s="427" t="s">
        <v>2907</v>
      </c>
      <c r="D77" s="30" t="s">
        <v>4251</v>
      </c>
      <c r="E77" s="414">
        <f>COUNTIFS(문제목록!J:J,기출빈도!D77,문제목록!N:N,"기출")</f>
        <v>0</v>
      </c>
      <c r="F77" s="417"/>
    </row>
    <row r="78" spans="2:6" ht="14.45" customHeight="1" thickBot="1" x14ac:dyDescent="0.25">
      <c r="B78" s="432" t="s">
        <v>2881</v>
      </c>
      <c r="C78" s="429" t="s">
        <v>2907</v>
      </c>
      <c r="D78" s="430" t="s">
        <v>4282</v>
      </c>
      <c r="E78" s="423">
        <f>SUM(E76:E77)</f>
        <v>0</v>
      </c>
      <c r="F78" s="424"/>
    </row>
    <row r="79" spans="2:6" ht="14.45" customHeight="1" thickBot="1" x14ac:dyDescent="0.25">
      <c r="B79" s="433" t="s">
        <v>2881</v>
      </c>
      <c r="C79" s="434" t="s">
        <v>4282</v>
      </c>
      <c r="D79" s="435"/>
      <c r="E79" s="436">
        <f>SUM(E78,E75,E70,E65)</f>
        <v>2</v>
      </c>
      <c r="F79" s="437"/>
    </row>
    <row r="80" spans="2:6" ht="14.45" customHeight="1" x14ac:dyDescent="0.2">
      <c r="B80" s="431" t="s">
        <v>2882</v>
      </c>
      <c r="C80" s="425" t="s">
        <v>2909</v>
      </c>
      <c r="D80" s="418" t="s">
        <v>4281</v>
      </c>
      <c r="E80" s="419">
        <f>COUNTIFS(문제목록!J:J,기출빈도!D80,문제목록!N:N,"기출")</f>
        <v>0</v>
      </c>
      <c r="F80" s="420"/>
    </row>
    <row r="81" spans="2:6" ht="14.45" customHeight="1" x14ac:dyDescent="0.2">
      <c r="B81" s="432" t="s">
        <v>2882</v>
      </c>
      <c r="C81" s="427" t="s">
        <v>2909</v>
      </c>
      <c r="D81" s="30" t="s">
        <v>4252</v>
      </c>
      <c r="E81" s="414">
        <f>COUNTIFS(문제목록!J:J,기출빈도!D81,문제목록!N:N,"기출")</f>
        <v>0</v>
      </c>
      <c r="F81" s="417"/>
    </row>
    <row r="82" spans="2:6" ht="14.45" customHeight="1" x14ac:dyDescent="0.2">
      <c r="B82" s="432" t="s">
        <v>2882</v>
      </c>
      <c r="C82" s="427" t="s">
        <v>2909</v>
      </c>
      <c r="D82" s="30" t="s">
        <v>4253</v>
      </c>
      <c r="E82" s="414">
        <f>COUNTIFS(문제목록!J:J,기출빈도!D82,문제목록!N:N,"기출")</f>
        <v>0</v>
      </c>
      <c r="F82" s="417"/>
    </row>
    <row r="83" spans="2:6" ht="14.45" customHeight="1" x14ac:dyDescent="0.2">
      <c r="B83" s="432" t="s">
        <v>2882</v>
      </c>
      <c r="C83" s="427" t="s">
        <v>2909</v>
      </c>
      <c r="D83" s="30" t="s">
        <v>4254</v>
      </c>
      <c r="E83" s="414">
        <f>COUNTIFS(문제목록!J:J,기출빈도!D83,문제목록!N:N,"기출")</f>
        <v>0</v>
      </c>
      <c r="F83" s="417"/>
    </row>
    <row r="84" spans="2:6" ht="14.45" customHeight="1" x14ac:dyDescent="0.2">
      <c r="B84" s="432" t="s">
        <v>2882</v>
      </c>
      <c r="C84" s="427" t="s">
        <v>2909</v>
      </c>
      <c r="D84" s="30" t="s">
        <v>4255</v>
      </c>
      <c r="E84" s="414">
        <f>COUNTIFS(문제목록!J:J,기출빈도!D84,문제목록!N:N,"기출")</f>
        <v>0</v>
      </c>
      <c r="F84" s="417"/>
    </row>
    <row r="85" spans="2:6" ht="14.45" customHeight="1" thickBot="1" x14ac:dyDescent="0.25">
      <c r="B85" s="432" t="s">
        <v>2882</v>
      </c>
      <c r="C85" s="429" t="s">
        <v>2909</v>
      </c>
      <c r="D85" s="430" t="s">
        <v>4282</v>
      </c>
      <c r="E85" s="423">
        <f>SUM(E80:E84)</f>
        <v>0</v>
      </c>
      <c r="F85" s="424"/>
    </row>
    <row r="86" spans="2:6" ht="14.45" customHeight="1" thickBot="1" x14ac:dyDescent="0.25">
      <c r="B86" s="433" t="s">
        <v>2882</v>
      </c>
      <c r="C86" s="434" t="s">
        <v>4282</v>
      </c>
      <c r="D86" s="435"/>
      <c r="E86" s="436">
        <f>SUM(E85)</f>
        <v>0</v>
      </c>
      <c r="F86" s="437"/>
    </row>
    <row r="87" spans="2:6" ht="14.45" customHeight="1" x14ac:dyDescent="0.2">
      <c r="B87"/>
      <c r="C87"/>
      <c r="D87"/>
    </row>
    <row r="88" spans="2:6" ht="14.45" customHeight="1" x14ac:dyDescent="0.2">
      <c r="B88"/>
      <c r="C88"/>
      <c r="D88"/>
    </row>
    <row r="89" spans="2:6" ht="14.45" customHeight="1" x14ac:dyDescent="0.2">
      <c r="B89"/>
      <c r="C89"/>
      <c r="D89"/>
    </row>
    <row r="90" spans="2:6" ht="14.45" customHeight="1" x14ac:dyDescent="0.2">
      <c r="B90"/>
      <c r="C90"/>
      <c r="D90"/>
    </row>
    <row r="91" spans="2:6" ht="14.45" customHeight="1" x14ac:dyDescent="0.2">
      <c r="B91"/>
      <c r="C91"/>
      <c r="D91"/>
    </row>
    <row r="92" spans="2:6" ht="14.45" customHeight="1" x14ac:dyDescent="0.2">
      <c r="B92"/>
      <c r="C92"/>
      <c r="D92"/>
    </row>
    <row r="93" spans="2:6" ht="14.45" customHeight="1" x14ac:dyDescent="0.2">
      <c r="B93"/>
      <c r="C93"/>
      <c r="D93"/>
    </row>
    <row r="94" spans="2:6" ht="14.45" customHeight="1" x14ac:dyDescent="0.2">
      <c r="B94"/>
      <c r="C94"/>
      <c r="D94"/>
    </row>
    <row r="95" spans="2:6" ht="14.45" customHeight="1" x14ac:dyDescent="0.2">
      <c r="B95"/>
      <c r="C95"/>
      <c r="D95"/>
    </row>
    <row r="96" spans="2:6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</sheetData>
  <autoFilter ref="B3:F86" xr:uid="{A723CB6A-505E-46D7-87C0-9967A87FA597}"/>
  <phoneticPr fontId="3" type="noConversion"/>
  <conditionalFormatting sqref="D4:F86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O400"/>
  <sheetViews>
    <sheetView showGridLines="0" zoomScaleNormal="100" workbookViewId="0">
      <pane ySplit="3" topLeftCell="A337" activePane="bottomLeft" state="frozen"/>
      <selection pane="bottomLeft" activeCell="E355" sqref="E35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50.7109375" style="1" customWidth="1"/>
    <col min="6" max="6" width="81.7109375" style="1" customWidth="1"/>
    <col min="7" max="8" width="4.42578125" style="3" customWidth="1"/>
    <col min="9" max="9" width="6.7109375" style="3" customWidth="1"/>
    <col min="10" max="11" width="5.7109375" style="2" customWidth="1"/>
    <col min="12" max="12" width="4.28515625" style="2" customWidth="1"/>
    <col min="13" max="13" width="14" style="2" customWidth="1"/>
    <col min="14" max="14" width="5.7109375" style="2" customWidth="1"/>
    <col min="15" max="15" width="6.7109375" style="2" customWidth="1"/>
    <col min="16" max="16384" width="9.140625" style="1"/>
  </cols>
  <sheetData>
    <row r="1" spans="2:15" ht="14.45" customHeight="1" thickBot="1" x14ac:dyDescent="0.25">
      <c r="J1" s="3"/>
      <c r="K1" s="3"/>
      <c r="L1" s="3"/>
      <c r="M1" s="3"/>
      <c r="N1" s="3"/>
      <c r="O1" s="3"/>
    </row>
    <row r="2" spans="2:15" ht="14.45" customHeight="1" x14ac:dyDescent="0.2">
      <c r="B2" s="380" t="s">
        <v>2</v>
      </c>
      <c r="C2" s="388"/>
      <c r="D2" s="389" t="s">
        <v>5</v>
      </c>
      <c r="E2" s="390"/>
      <c r="F2" s="391"/>
      <c r="G2" s="392" t="s">
        <v>300</v>
      </c>
      <c r="H2" s="393"/>
      <c r="I2" s="394"/>
      <c r="J2" s="380" t="s">
        <v>2859</v>
      </c>
      <c r="K2" s="378"/>
      <c r="L2" s="61" t="s">
        <v>2854</v>
      </c>
      <c r="M2" s="61" t="s">
        <v>1498</v>
      </c>
      <c r="N2" s="381" t="s">
        <v>2890</v>
      </c>
      <c r="O2" s="382"/>
    </row>
    <row r="3" spans="2:15" ht="14.45" customHeight="1" thickBot="1" x14ac:dyDescent="0.25">
      <c r="B3" s="9" t="s">
        <v>1803</v>
      </c>
      <c r="C3" s="9" t="s">
        <v>0</v>
      </c>
      <c r="D3" s="9" t="s">
        <v>6</v>
      </c>
      <c r="E3" s="63" t="s">
        <v>1840</v>
      </c>
      <c r="F3" s="13" t="s">
        <v>1841</v>
      </c>
      <c r="G3" s="222" t="s">
        <v>2638</v>
      </c>
      <c r="H3" s="5" t="s">
        <v>301</v>
      </c>
      <c r="I3" s="13" t="s">
        <v>302</v>
      </c>
      <c r="J3" s="9" t="s">
        <v>8</v>
      </c>
      <c r="K3" s="5" t="s">
        <v>9</v>
      </c>
      <c r="L3" s="111"/>
      <c r="M3" s="111"/>
      <c r="N3" s="111" t="s">
        <v>2892</v>
      </c>
      <c r="O3" s="111" t="s">
        <v>2891</v>
      </c>
    </row>
    <row r="4" spans="2:15" ht="14.45" customHeight="1" x14ac:dyDescent="0.2">
      <c r="B4" s="386" t="s">
        <v>4139</v>
      </c>
      <c r="C4" s="386"/>
      <c r="D4" s="115" t="s">
        <v>1845</v>
      </c>
      <c r="E4" s="226" t="s">
        <v>2952</v>
      </c>
      <c r="F4" s="8" t="s">
        <v>3741</v>
      </c>
      <c r="G4" s="156" t="s">
        <v>3344</v>
      </c>
      <c r="H4" s="157" t="s">
        <v>4190</v>
      </c>
      <c r="I4" s="118">
        <v>318</v>
      </c>
      <c r="J4" s="119"/>
      <c r="K4" s="120"/>
      <c r="L4" s="188"/>
      <c r="M4" s="121"/>
      <c r="N4" s="182" t="s">
        <v>4139</v>
      </c>
      <c r="O4" s="182"/>
    </row>
    <row r="5" spans="2:15" ht="14.45" customHeight="1" x14ac:dyDescent="0.2">
      <c r="B5" s="384"/>
      <c r="C5" s="384"/>
      <c r="D5" s="150" t="s">
        <v>1845</v>
      </c>
      <c r="E5" s="151" t="s">
        <v>2953</v>
      </c>
      <c r="F5" s="16" t="s">
        <v>3742</v>
      </c>
      <c r="G5" s="168" t="s">
        <v>3345</v>
      </c>
      <c r="H5" s="169" t="s">
        <v>2760</v>
      </c>
      <c r="I5" s="103">
        <v>300</v>
      </c>
      <c r="J5" s="104"/>
      <c r="K5" s="105"/>
      <c r="L5" s="194"/>
      <c r="M5" s="106"/>
      <c r="N5" s="180" t="s">
        <v>4138</v>
      </c>
      <c r="O5" s="180"/>
    </row>
    <row r="6" spans="2:15" ht="14.45" customHeight="1" x14ac:dyDescent="0.2">
      <c r="B6" s="384"/>
      <c r="C6" s="384"/>
      <c r="D6" s="150" t="s">
        <v>1845</v>
      </c>
      <c r="E6" s="153" t="s">
        <v>2954</v>
      </c>
      <c r="F6" s="50" t="s">
        <v>3743</v>
      </c>
      <c r="G6" s="170" t="s">
        <v>3346</v>
      </c>
      <c r="H6" s="171" t="s">
        <v>2760</v>
      </c>
      <c r="I6" s="107">
        <v>385</v>
      </c>
      <c r="J6" s="108"/>
      <c r="K6" s="109"/>
      <c r="L6" s="195"/>
      <c r="M6" s="106"/>
      <c r="N6" s="186" t="s">
        <v>4138</v>
      </c>
      <c r="O6" s="186"/>
    </row>
    <row r="7" spans="2:15" ht="14.45" customHeight="1" x14ac:dyDescent="0.2">
      <c r="B7" s="384"/>
      <c r="C7" s="384"/>
      <c r="D7" s="150" t="s">
        <v>1845</v>
      </c>
      <c r="E7" s="153" t="s">
        <v>2955</v>
      </c>
      <c r="F7" s="50" t="s">
        <v>3744</v>
      </c>
      <c r="G7" s="170" t="s">
        <v>3347</v>
      </c>
      <c r="H7" s="171" t="s">
        <v>2760</v>
      </c>
      <c r="I7" s="107">
        <v>299</v>
      </c>
      <c r="J7" s="108"/>
      <c r="K7" s="109"/>
      <c r="L7" s="195"/>
      <c r="M7" s="106"/>
      <c r="N7" s="186" t="s">
        <v>4138</v>
      </c>
      <c r="O7" s="186"/>
    </row>
    <row r="8" spans="2:15" ht="14.45" customHeight="1" x14ac:dyDescent="0.2">
      <c r="B8" s="384"/>
      <c r="C8" s="384"/>
      <c r="D8" s="150" t="s">
        <v>1845</v>
      </c>
      <c r="E8" s="153" t="s">
        <v>2956</v>
      </c>
      <c r="F8" s="50" t="s">
        <v>3745</v>
      </c>
      <c r="G8" s="170" t="s">
        <v>3348</v>
      </c>
      <c r="H8" s="171" t="s">
        <v>2760</v>
      </c>
      <c r="I8" s="107">
        <v>639</v>
      </c>
      <c r="J8" s="108"/>
      <c r="K8" s="109"/>
      <c r="L8" s="195"/>
      <c r="M8" s="106"/>
      <c r="N8" s="186" t="s">
        <v>4138</v>
      </c>
      <c r="O8" s="186"/>
    </row>
    <row r="9" spans="2:15" ht="14.45" customHeight="1" x14ac:dyDescent="0.2">
      <c r="B9" s="384"/>
      <c r="C9" s="384"/>
      <c r="D9" s="150" t="s">
        <v>1845</v>
      </c>
      <c r="E9" s="153" t="s">
        <v>2957</v>
      </c>
      <c r="F9" s="50" t="s">
        <v>3746</v>
      </c>
      <c r="G9" s="170" t="s">
        <v>3349</v>
      </c>
      <c r="H9" s="171" t="s">
        <v>2760</v>
      </c>
      <c r="I9" s="107">
        <v>349</v>
      </c>
      <c r="J9" s="108"/>
      <c r="K9" s="109"/>
      <c r="L9" s="195"/>
      <c r="M9" s="106"/>
      <c r="N9" s="186" t="s">
        <v>4138</v>
      </c>
      <c r="O9" s="186"/>
    </row>
    <row r="10" spans="2:15" ht="14.45" customHeight="1" x14ac:dyDescent="0.2">
      <c r="B10" s="384"/>
      <c r="C10" s="384"/>
      <c r="D10" s="150" t="s">
        <v>1845</v>
      </c>
      <c r="E10" s="153" t="s">
        <v>2958</v>
      </c>
      <c r="F10" s="50" t="s">
        <v>3747</v>
      </c>
      <c r="G10" s="170" t="s">
        <v>3350</v>
      </c>
      <c r="H10" s="171" t="s">
        <v>2760</v>
      </c>
      <c r="I10" s="107">
        <v>364</v>
      </c>
      <c r="J10" s="108"/>
      <c r="K10" s="109"/>
      <c r="L10" s="195"/>
      <c r="M10" s="106"/>
      <c r="N10" s="186" t="s">
        <v>4138</v>
      </c>
      <c r="O10" s="186"/>
    </row>
    <row r="11" spans="2:15" ht="14.45" customHeight="1" x14ac:dyDescent="0.2">
      <c r="B11" s="384"/>
      <c r="C11" s="384"/>
      <c r="D11" s="150" t="s">
        <v>1845</v>
      </c>
      <c r="E11" s="153" t="s">
        <v>2959</v>
      </c>
      <c r="F11" s="50" t="s">
        <v>3748</v>
      </c>
      <c r="G11" s="170" t="s">
        <v>3351</v>
      </c>
      <c r="H11" s="171" t="s">
        <v>2760</v>
      </c>
      <c r="I11" s="107">
        <v>455</v>
      </c>
      <c r="J11" s="108"/>
      <c r="K11" s="109"/>
      <c r="L11" s="195"/>
      <c r="M11" s="106"/>
      <c r="N11" s="186" t="s">
        <v>4138</v>
      </c>
      <c r="O11" s="186"/>
    </row>
    <row r="12" spans="2:15" ht="14.45" customHeight="1" thickBot="1" x14ac:dyDescent="0.25">
      <c r="B12" s="385"/>
      <c r="C12" s="385"/>
      <c r="D12" s="138" t="s">
        <v>1845</v>
      </c>
      <c r="E12" s="139" t="s">
        <v>2960</v>
      </c>
      <c r="F12" s="49" t="s">
        <v>3749</v>
      </c>
      <c r="G12" s="164" t="s">
        <v>3352</v>
      </c>
      <c r="H12" s="165" t="s">
        <v>2760</v>
      </c>
      <c r="I12" s="99">
        <v>201</v>
      </c>
      <c r="J12" s="100"/>
      <c r="K12" s="101"/>
      <c r="L12" s="192"/>
      <c r="M12" s="102"/>
      <c r="N12" s="179" t="s">
        <v>4138</v>
      </c>
      <c r="O12" s="179"/>
    </row>
    <row r="13" spans="2:15" ht="14.45" customHeight="1" x14ac:dyDescent="0.2">
      <c r="B13" s="212" t="s">
        <v>4140</v>
      </c>
      <c r="C13" s="386" t="s">
        <v>4141</v>
      </c>
      <c r="D13" s="115" t="s">
        <v>1845</v>
      </c>
      <c r="E13" s="213" t="s">
        <v>2961</v>
      </c>
      <c r="F13" s="214" t="s">
        <v>3750</v>
      </c>
      <c r="G13" s="215" t="s">
        <v>3353</v>
      </c>
      <c r="H13" s="216" t="s">
        <v>2760</v>
      </c>
      <c r="I13" s="217">
        <v>360</v>
      </c>
      <c r="J13" s="218"/>
      <c r="K13" s="219"/>
      <c r="L13" s="220"/>
      <c r="M13" s="121"/>
      <c r="N13" s="221" t="s">
        <v>4140</v>
      </c>
      <c r="O13" s="221" t="s">
        <v>4163</v>
      </c>
    </row>
    <row r="14" spans="2:15" ht="14.45" customHeight="1" x14ac:dyDescent="0.2">
      <c r="B14" s="210"/>
      <c r="C14" s="384"/>
      <c r="D14" s="150" t="s">
        <v>1845</v>
      </c>
      <c r="E14" s="153" t="s">
        <v>2962</v>
      </c>
      <c r="F14" s="50" t="s">
        <v>3751</v>
      </c>
      <c r="G14" s="170" t="s">
        <v>3354</v>
      </c>
      <c r="H14" s="171" t="s">
        <v>2760</v>
      </c>
      <c r="I14" s="107">
        <v>469</v>
      </c>
      <c r="J14" s="108"/>
      <c r="K14" s="109"/>
      <c r="L14" s="195"/>
      <c r="M14" s="106"/>
      <c r="N14" s="186" t="s">
        <v>2884</v>
      </c>
      <c r="O14" s="186" t="s">
        <v>4162</v>
      </c>
    </row>
    <row r="15" spans="2:15" ht="14.45" customHeight="1" x14ac:dyDescent="0.2">
      <c r="B15" s="210"/>
      <c r="C15" s="384"/>
      <c r="D15" s="150" t="s">
        <v>1845</v>
      </c>
      <c r="E15" s="153" t="s">
        <v>2963</v>
      </c>
      <c r="F15" s="50" t="s">
        <v>3752</v>
      </c>
      <c r="G15" s="170" t="s">
        <v>3355</v>
      </c>
      <c r="H15" s="171" t="s">
        <v>2760</v>
      </c>
      <c r="I15" s="107">
        <v>690</v>
      </c>
      <c r="J15" s="108"/>
      <c r="K15" s="109"/>
      <c r="L15" s="195"/>
      <c r="M15" s="106"/>
      <c r="N15" s="186" t="s">
        <v>2884</v>
      </c>
      <c r="O15" s="186" t="s">
        <v>4162</v>
      </c>
    </row>
    <row r="16" spans="2:15" ht="14.45" customHeight="1" x14ac:dyDescent="0.2">
      <c r="B16" s="210"/>
      <c r="C16" s="384"/>
      <c r="D16" s="150" t="s">
        <v>1845</v>
      </c>
      <c r="E16" s="153" t="s">
        <v>2964</v>
      </c>
      <c r="F16" s="50" t="s">
        <v>3753</v>
      </c>
      <c r="G16" s="170" t="s">
        <v>3356</v>
      </c>
      <c r="H16" s="171" t="s">
        <v>2760</v>
      </c>
      <c r="I16" s="107">
        <v>912</v>
      </c>
      <c r="J16" s="108"/>
      <c r="K16" s="109"/>
      <c r="L16" s="195"/>
      <c r="M16" s="106"/>
      <c r="N16" s="186" t="s">
        <v>2884</v>
      </c>
      <c r="O16" s="186" t="s">
        <v>4162</v>
      </c>
    </row>
    <row r="17" spans="2:15" ht="14.45" customHeight="1" x14ac:dyDescent="0.2">
      <c r="B17" s="210"/>
      <c r="C17" s="384"/>
      <c r="D17" s="150" t="s">
        <v>1845</v>
      </c>
      <c r="E17" s="153" t="s">
        <v>2965</v>
      </c>
      <c r="F17" s="50" t="s">
        <v>3754</v>
      </c>
      <c r="G17" s="170" t="s">
        <v>3357</v>
      </c>
      <c r="H17" s="171" t="s">
        <v>2760</v>
      </c>
      <c r="I17" s="107">
        <v>262</v>
      </c>
      <c r="J17" s="108"/>
      <c r="K17" s="109"/>
      <c r="L17" s="195"/>
      <c r="M17" s="106"/>
      <c r="N17" s="186" t="s">
        <v>2884</v>
      </c>
      <c r="O17" s="186" t="s">
        <v>4162</v>
      </c>
    </row>
    <row r="18" spans="2:15" ht="14.45" customHeight="1" x14ac:dyDescent="0.2">
      <c r="B18" s="210"/>
      <c r="C18" s="384"/>
      <c r="D18" s="150" t="s">
        <v>1845</v>
      </c>
      <c r="E18" s="153" t="s">
        <v>2966</v>
      </c>
      <c r="F18" s="50" t="s">
        <v>3755</v>
      </c>
      <c r="G18" s="170" t="s">
        <v>3358</v>
      </c>
      <c r="H18" s="171" t="s">
        <v>2760</v>
      </c>
      <c r="I18" s="107">
        <v>320</v>
      </c>
      <c r="J18" s="108"/>
      <c r="K18" s="109"/>
      <c r="L18" s="195"/>
      <c r="M18" s="106"/>
      <c r="N18" s="186" t="s">
        <v>2884</v>
      </c>
      <c r="O18" s="186" t="s">
        <v>4162</v>
      </c>
    </row>
    <row r="19" spans="2:15" ht="14.45" customHeight="1" x14ac:dyDescent="0.2">
      <c r="B19" s="210"/>
      <c r="C19" s="384"/>
      <c r="D19" s="150" t="s">
        <v>1845</v>
      </c>
      <c r="E19" s="153" t="s">
        <v>2967</v>
      </c>
      <c r="F19" s="50" t="s">
        <v>3756</v>
      </c>
      <c r="G19" s="170" t="s">
        <v>3359</v>
      </c>
      <c r="H19" s="171" t="s">
        <v>2760</v>
      </c>
      <c r="I19" s="107">
        <v>796</v>
      </c>
      <c r="J19" s="108"/>
      <c r="K19" s="109"/>
      <c r="L19" s="195"/>
      <c r="M19" s="106"/>
      <c r="N19" s="186" t="s">
        <v>2884</v>
      </c>
      <c r="O19" s="186" t="s">
        <v>4162</v>
      </c>
    </row>
    <row r="20" spans="2:15" ht="14.45" customHeight="1" x14ac:dyDescent="0.2">
      <c r="B20" s="210"/>
      <c r="C20" s="384"/>
      <c r="D20" s="150" t="s">
        <v>1845</v>
      </c>
      <c r="E20" s="153" t="s">
        <v>2968</v>
      </c>
      <c r="F20" s="50" t="s">
        <v>3757</v>
      </c>
      <c r="G20" s="170" t="s">
        <v>3360</v>
      </c>
      <c r="H20" s="171" t="s">
        <v>2760</v>
      </c>
      <c r="I20" s="107">
        <v>276</v>
      </c>
      <c r="J20" s="108"/>
      <c r="K20" s="109"/>
      <c r="L20" s="195"/>
      <c r="M20" s="106"/>
      <c r="N20" s="186" t="s">
        <v>2884</v>
      </c>
      <c r="O20" s="186" t="s">
        <v>4162</v>
      </c>
    </row>
    <row r="21" spans="2:15" ht="14.45" customHeight="1" x14ac:dyDescent="0.2">
      <c r="B21" s="210"/>
      <c r="C21" s="384"/>
      <c r="D21" s="150" t="s">
        <v>1845</v>
      </c>
      <c r="E21" s="153" t="s">
        <v>2969</v>
      </c>
      <c r="F21" s="50" t="s">
        <v>3758</v>
      </c>
      <c r="G21" s="170" t="s">
        <v>3361</v>
      </c>
      <c r="H21" s="171" t="s">
        <v>2760</v>
      </c>
      <c r="I21" s="107">
        <v>446</v>
      </c>
      <c r="J21" s="108"/>
      <c r="K21" s="109"/>
      <c r="L21" s="195"/>
      <c r="M21" s="106"/>
      <c r="N21" s="186" t="s">
        <v>2884</v>
      </c>
      <c r="O21" s="186" t="s">
        <v>4162</v>
      </c>
    </row>
    <row r="22" spans="2:15" ht="14.45" customHeight="1" x14ac:dyDescent="0.2">
      <c r="B22" s="210"/>
      <c r="C22" s="384"/>
      <c r="D22" s="150" t="s">
        <v>1845</v>
      </c>
      <c r="E22" s="153" t="s">
        <v>2970</v>
      </c>
      <c r="F22" s="50" t="s">
        <v>3759</v>
      </c>
      <c r="G22" s="170" t="s">
        <v>3362</v>
      </c>
      <c r="H22" s="171" t="s">
        <v>2760</v>
      </c>
      <c r="I22" s="107">
        <v>595</v>
      </c>
      <c r="J22" s="108"/>
      <c r="K22" s="109"/>
      <c r="L22" s="195"/>
      <c r="M22" s="106"/>
      <c r="N22" s="186" t="s">
        <v>2884</v>
      </c>
      <c r="O22" s="186" t="s">
        <v>4162</v>
      </c>
    </row>
    <row r="23" spans="2:15" ht="14.45" customHeight="1" x14ac:dyDescent="0.2">
      <c r="B23" s="210"/>
      <c r="C23" s="384"/>
      <c r="D23" s="150" t="s">
        <v>1845</v>
      </c>
      <c r="E23" s="153" t="s">
        <v>2971</v>
      </c>
      <c r="F23" s="50" t="s">
        <v>3760</v>
      </c>
      <c r="G23" s="170" t="s">
        <v>3363</v>
      </c>
      <c r="H23" s="171" t="s">
        <v>2760</v>
      </c>
      <c r="I23" s="107">
        <v>577</v>
      </c>
      <c r="J23" s="108"/>
      <c r="K23" s="109"/>
      <c r="L23" s="195"/>
      <c r="M23" s="106"/>
      <c r="N23" s="186" t="s">
        <v>2884</v>
      </c>
      <c r="O23" s="186" t="s">
        <v>4162</v>
      </c>
    </row>
    <row r="24" spans="2:15" ht="14.45" customHeight="1" x14ac:dyDescent="0.2">
      <c r="B24" s="210"/>
      <c r="C24" s="384"/>
      <c r="D24" s="150" t="s">
        <v>1845</v>
      </c>
      <c r="E24" s="153" t="s">
        <v>2972</v>
      </c>
      <c r="F24" s="50" t="s">
        <v>3761</v>
      </c>
      <c r="G24" s="170" t="s">
        <v>3364</v>
      </c>
      <c r="H24" s="171" t="s">
        <v>2760</v>
      </c>
      <c r="I24" s="107">
        <v>302</v>
      </c>
      <c r="J24" s="108"/>
      <c r="K24" s="109"/>
      <c r="L24" s="195"/>
      <c r="M24" s="106"/>
      <c r="N24" s="186" t="s">
        <v>2884</v>
      </c>
      <c r="O24" s="186" t="s">
        <v>4162</v>
      </c>
    </row>
    <row r="25" spans="2:15" ht="14.45" customHeight="1" x14ac:dyDescent="0.2">
      <c r="B25" s="210"/>
      <c r="C25" s="384"/>
      <c r="D25" s="150" t="s">
        <v>1845</v>
      </c>
      <c r="E25" s="153" t="s">
        <v>2973</v>
      </c>
      <c r="F25" s="50" t="s">
        <v>3762</v>
      </c>
      <c r="G25" s="170" t="s">
        <v>3365</v>
      </c>
      <c r="H25" s="171" t="s">
        <v>2760</v>
      </c>
      <c r="I25" s="107">
        <v>273</v>
      </c>
      <c r="J25" s="108"/>
      <c r="K25" s="109"/>
      <c r="L25" s="195"/>
      <c r="M25" s="106"/>
      <c r="N25" s="186" t="s">
        <v>2884</v>
      </c>
      <c r="O25" s="186" t="s">
        <v>4162</v>
      </c>
    </row>
    <row r="26" spans="2:15" ht="14.45" customHeight="1" x14ac:dyDescent="0.2">
      <c r="B26" s="210"/>
      <c r="C26" s="384"/>
      <c r="D26" s="150" t="s">
        <v>1845</v>
      </c>
      <c r="E26" s="153" t="s">
        <v>2974</v>
      </c>
      <c r="F26" s="50" t="s">
        <v>3763</v>
      </c>
      <c r="G26" s="170" t="s">
        <v>3366</v>
      </c>
      <c r="H26" s="171" t="s">
        <v>2760</v>
      </c>
      <c r="I26" s="107">
        <v>345</v>
      </c>
      <c r="J26" s="108"/>
      <c r="K26" s="109"/>
      <c r="L26" s="195"/>
      <c r="M26" s="106"/>
      <c r="N26" s="186" t="s">
        <v>2884</v>
      </c>
      <c r="O26" s="186" t="s">
        <v>4162</v>
      </c>
    </row>
    <row r="27" spans="2:15" ht="14.45" customHeight="1" x14ac:dyDescent="0.2">
      <c r="B27" s="210"/>
      <c r="C27" s="384"/>
      <c r="D27" s="150" t="s">
        <v>1845</v>
      </c>
      <c r="E27" s="153" t="s">
        <v>2975</v>
      </c>
      <c r="F27" s="50" t="s">
        <v>3764</v>
      </c>
      <c r="G27" s="170" t="s">
        <v>3367</v>
      </c>
      <c r="H27" s="171" t="s">
        <v>2760</v>
      </c>
      <c r="I27" s="107">
        <v>223</v>
      </c>
      <c r="J27" s="108"/>
      <c r="K27" s="109"/>
      <c r="L27" s="195"/>
      <c r="M27" s="106"/>
      <c r="N27" s="186" t="s">
        <v>2884</v>
      </c>
      <c r="O27" s="186" t="s">
        <v>4162</v>
      </c>
    </row>
    <row r="28" spans="2:15" ht="14.45" customHeight="1" x14ac:dyDescent="0.2">
      <c r="B28" s="210"/>
      <c r="C28" s="384"/>
      <c r="D28" s="150" t="s">
        <v>1845</v>
      </c>
      <c r="E28" s="153" t="s">
        <v>2976</v>
      </c>
      <c r="F28" s="50" t="s">
        <v>3765</v>
      </c>
      <c r="G28" s="170" t="s">
        <v>3368</v>
      </c>
      <c r="H28" s="171" t="s">
        <v>2760</v>
      </c>
      <c r="I28" s="107">
        <v>392</v>
      </c>
      <c r="J28" s="108"/>
      <c r="K28" s="109"/>
      <c r="L28" s="195"/>
      <c r="M28" s="106"/>
      <c r="N28" s="186" t="s">
        <v>2884</v>
      </c>
      <c r="O28" s="186" t="s">
        <v>4162</v>
      </c>
    </row>
    <row r="29" spans="2:15" ht="14.45" customHeight="1" x14ac:dyDescent="0.2">
      <c r="B29" s="210"/>
      <c r="C29" s="384"/>
      <c r="D29" s="150" t="s">
        <v>1845</v>
      </c>
      <c r="E29" s="153" t="s">
        <v>2977</v>
      </c>
      <c r="F29" s="50" t="s">
        <v>3766</v>
      </c>
      <c r="G29" s="170" t="s">
        <v>3369</v>
      </c>
      <c r="H29" s="171" t="s">
        <v>2760</v>
      </c>
      <c r="I29" s="107">
        <v>347</v>
      </c>
      <c r="J29" s="108"/>
      <c r="K29" s="109"/>
      <c r="L29" s="195"/>
      <c r="M29" s="106"/>
      <c r="N29" s="186" t="s">
        <v>2884</v>
      </c>
      <c r="O29" s="186" t="s">
        <v>4162</v>
      </c>
    </row>
    <row r="30" spans="2:15" ht="14.45" customHeight="1" x14ac:dyDescent="0.2">
      <c r="B30" s="210"/>
      <c r="C30" s="387"/>
      <c r="D30" s="122" t="s">
        <v>1845</v>
      </c>
      <c r="E30" s="123" t="s">
        <v>2978</v>
      </c>
      <c r="F30" s="12" t="s">
        <v>3767</v>
      </c>
      <c r="G30" s="158" t="s">
        <v>3370</v>
      </c>
      <c r="H30" s="159" t="s">
        <v>2760</v>
      </c>
      <c r="I30" s="95">
        <v>624</v>
      </c>
      <c r="J30" s="96"/>
      <c r="K30" s="97"/>
      <c r="L30" s="189"/>
      <c r="M30" s="98"/>
      <c r="N30" s="181" t="s">
        <v>2884</v>
      </c>
      <c r="O30" s="181" t="s">
        <v>4162</v>
      </c>
    </row>
    <row r="31" spans="2:15" ht="14.45" customHeight="1" x14ac:dyDescent="0.2">
      <c r="B31" s="210"/>
      <c r="C31" s="383" t="s">
        <v>4142</v>
      </c>
      <c r="D31" s="223" t="s">
        <v>1845</v>
      </c>
      <c r="E31" s="224" t="s">
        <v>2979</v>
      </c>
      <c r="F31" s="11" t="s">
        <v>3768</v>
      </c>
      <c r="G31" s="196" t="s">
        <v>3371</v>
      </c>
      <c r="H31" s="197" t="s">
        <v>2760</v>
      </c>
      <c r="I31" s="198">
        <v>289</v>
      </c>
      <c r="J31" s="199"/>
      <c r="K31" s="200"/>
      <c r="L31" s="201"/>
      <c r="M31" s="225"/>
      <c r="N31" s="202" t="s">
        <v>2884</v>
      </c>
      <c r="O31" s="202" t="s">
        <v>4165</v>
      </c>
    </row>
    <row r="32" spans="2:15" ht="14.45" customHeight="1" x14ac:dyDescent="0.2">
      <c r="B32" s="210"/>
      <c r="C32" s="384"/>
      <c r="D32" s="150" t="s">
        <v>1845</v>
      </c>
      <c r="E32" s="153" t="s">
        <v>2980</v>
      </c>
      <c r="F32" s="50" t="s">
        <v>3769</v>
      </c>
      <c r="G32" s="170" t="s">
        <v>3372</v>
      </c>
      <c r="H32" s="171" t="s">
        <v>2760</v>
      </c>
      <c r="I32" s="107">
        <v>278</v>
      </c>
      <c r="J32" s="108"/>
      <c r="K32" s="109"/>
      <c r="L32" s="195"/>
      <c r="M32" s="106"/>
      <c r="N32" s="186" t="s">
        <v>2884</v>
      </c>
      <c r="O32" s="186" t="s">
        <v>4164</v>
      </c>
    </row>
    <row r="33" spans="2:15" ht="14.45" customHeight="1" x14ac:dyDescent="0.2">
      <c r="B33" s="210"/>
      <c r="C33" s="384"/>
      <c r="D33" s="150" t="s">
        <v>1845</v>
      </c>
      <c r="E33" s="153" t="s">
        <v>2981</v>
      </c>
      <c r="F33" s="50" t="s">
        <v>3770</v>
      </c>
      <c r="G33" s="170" t="s">
        <v>3373</v>
      </c>
      <c r="H33" s="171" t="s">
        <v>2760</v>
      </c>
      <c r="I33" s="107">
        <v>482</v>
      </c>
      <c r="J33" s="108"/>
      <c r="K33" s="109"/>
      <c r="L33" s="195"/>
      <c r="M33" s="106"/>
      <c r="N33" s="186" t="s">
        <v>2884</v>
      </c>
      <c r="O33" s="186" t="s">
        <v>4164</v>
      </c>
    </row>
    <row r="34" spans="2:15" ht="14.45" customHeight="1" x14ac:dyDescent="0.2">
      <c r="B34" s="210"/>
      <c r="C34" s="384"/>
      <c r="D34" s="150" t="s">
        <v>1845</v>
      </c>
      <c r="E34" s="153" t="s">
        <v>2982</v>
      </c>
      <c r="F34" s="50" t="s">
        <v>3771</v>
      </c>
      <c r="G34" s="170" t="s">
        <v>3374</v>
      </c>
      <c r="H34" s="171" t="s">
        <v>2760</v>
      </c>
      <c r="I34" s="107">
        <v>421</v>
      </c>
      <c r="J34" s="108"/>
      <c r="K34" s="109"/>
      <c r="L34" s="195"/>
      <c r="M34" s="106"/>
      <c r="N34" s="186" t="s">
        <v>2884</v>
      </c>
      <c r="O34" s="186" t="s">
        <v>4164</v>
      </c>
    </row>
    <row r="35" spans="2:15" ht="14.45" customHeight="1" x14ac:dyDescent="0.2">
      <c r="B35" s="210"/>
      <c r="C35" s="384"/>
      <c r="D35" s="150" t="s">
        <v>1845</v>
      </c>
      <c r="E35" s="153" t="s">
        <v>2983</v>
      </c>
      <c r="F35" s="50" t="s">
        <v>3772</v>
      </c>
      <c r="G35" s="170" t="s">
        <v>3375</v>
      </c>
      <c r="H35" s="171" t="s">
        <v>2760</v>
      </c>
      <c r="I35" s="107">
        <v>199</v>
      </c>
      <c r="J35" s="108"/>
      <c r="K35" s="109"/>
      <c r="L35" s="195"/>
      <c r="M35" s="106"/>
      <c r="N35" s="186" t="s">
        <v>2884</v>
      </c>
      <c r="O35" s="186" t="s">
        <v>4164</v>
      </c>
    </row>
    <row r="36" spans="2:15" ht="14.45" customHeight="1" x14ac:dyDescent="0.2">
      <c r="B36" s="210"/>
      <c r="C36" s="384"/>
      <c r="D36" s="150" t="s">
        <v>1845</v>
      </c>
      <c r="E36" s="153" t="s">
        <v>2984</v>
      </c>
      <c r="F36" s="50" t="s">
        <v>3773</v>
      </c>
      <c r="G36" s="170" t="s">
        <v>3376</v>
      </c>
      <c r="H36" s="171" t="s">
        <v>2760</v>
      </c>
      <c r="I36" s="107">
        <v>538</v>
      </c>
      <c r="J36" s="108"/>
      <c r="K36" s="109"/>
      <c r="L36" s="195"/>
      <c r="M36" s="106"/>
      <c r="N36" s="186" t="s">
        <v>2884</v>
      </c>
      <c r="O36" s="186" t="s">
        <v>4164</v>
      </c>
    </row>
    <row r="37" spans="2:15" ht="14.45" customHeight="1" x14ac:dyDescent="0.2">
      <c r="B37" s="210"/>
      <c r="C37" s="384"/>
      <c r="D37" s="150" t="s">
        <v>1845</v>
      </c>
      <c r="E37" s="153" t="s">
        <v>2985</v>
      </c>
      <c r="F37" s="50" t="s">
        <v>3774</v>
      </c>
      <c r="G37" s="170" t="s">
        <v>3377</v>
      </c>
      <c r="H37" s="171" t="s">
        <v>2760</v>
      </c>
      <c r="I37" s="107">
        <v>243</v>
      </c>
      <c r="J37" s="108"/>
      <c r="K37" s="109"/>
      <c r="L37" s="195"/>
      <c r="M37" s="106"/>
      <c r="N37" s="186" t="s">
        <v>2884</v>
      </c>
      <c r="O37" s="186" t="s">
        <v>4164</v>
      </c>
    </row>
    <row r="38" spans="2:15" ht="14.45" customHeight="1" x14ac:dyDescent="0.2">
      <c r="B38" s="210"/>
      <c r="C38" s="384"/>
      <c r="D38" s="150" t="s">
        <v>1845</v>
      </c>
      <c r="E38" s="153" t="s">
        <v>2986</v>
      </c>
      <c r="F38" s="50" t="s">
        <v>3775</v>
      </c>
      <c r="G38" s="170" t="s">
        <v>3378</v>
      </c>
      <c r="H38" s="171" t="s">
        <v>2760</v>
      </c>
      <c r="I38" s="107">
        <v>253</v>
      </c>
      <c r="J38" s="108"/>
      <c r="K38" s="109"/>
      <c r="L38" s="195"/>
      <c r="M38" s="106"/>
      <c r="N38" s="186" t="s">
        <v>2884</v>
      </c>
      <c r="O38" s="186" t="s">
        <v>4164</v>
      </c>
    </row>
    <row r="39" spans="2:15" ht="14.45" customHeight="1" x14ac:dyDescent="0.2">
      <c r="B39" s="210"/>
      <c r="C39" s="384"/>
      <c r="D39" s="150" t="s">
        <v>1845</v>
      </c>
      <c r="E39" s="153" t="s">
        <v>2987</v>
      </c>
      <c r="F39" s="50" t="s">
        <v>3776</v>
      </c>
      <c r="G39" s="170" t="s">
        <v>3379</v>
      </c>
      <c r="H39" s="171" t="s">
        <v>2760</v>
      </c>
      <c r="I39" s="107">
        <v>303</v>
      </c>
      <c r="J39" s="108"/>
      <c r="K39" s="109"/>
      <c r="L39" s="195"/>
      <c r="M39" s="106"/>
      <c r="N39" s="186" t="s">
        <v>2884</v>
      </c>
      <c r="O39" s="186" t="s">
        <v>4164</v>
      </c>
    </row>
    <row r="40" spans="2:15" ht="14.45" customHeight="1" x14ac:dyDescent="0.2">
      <c r="B40" s="210"/>
      <c r="C40" s="384"/>
      <c r="D40" s="150" t="s">
        <v>1845</v>
      </c>
      <c r="E40" s="153" t="s">
        <v>2988</v>
      </c>
      <c r="F40" s="50" t="s">
        <v>3777</v>
      </c>
      <c r="G40" s="170" t="s">
        <v>3380</v>
      </c>
      <c r="H40" s="171" t="s">
        <v>2760</v>
      </c>
      <c r="I40" s="107">
        <v>600</v>
      </c>
      <c r="J40" s="108"/>
      <c r="K40" s="109"/>
      <c r="L40" s="195"/>
      <c r="M40" s="106"/>
      <c r="N40" s="186" t="s">
        <v>2884</v>
      </c>
      <c r="O40" s="186" t="s">
        <v>4164</v>
      </c>
    </row>
    <row r="41" spans="2:15" ht="14.45" customHeight="1" x14ac:dyDescent="0.2">
      <c r="B41" s="210"/>
      <c r="C41" s="384"/>
      <c r="D41" s="150" t="s">
        <v>1845</v>
      </c>
      <c r="E41" s="153" t="s">
        <v>2989</v>
      </c>
      <c r="F41" s="50" t="s">
        <v>3778</v>
      </c>
      <c r="G41" s="170" t="s">
        <v>3381</v>
      </c>
      <c r="H41" s="171" t="s">
        <v>2760</v>
      </c>
      <c r="I41" s="107">
        <v>240</v>
      </c>
      <c r="J41" s="108"/>
      <c r="K41" s="109"/>
      <c r="L41" s="195"/>
      <c r="M41" s="106"/>
      <c r="N41" s="186" t="s">
        <v>2884</v>
      </c>
      <c r="O41" s="186" t="s">
        <v>4164</v>
      </c>
    </row>
    <row r="42" spans="2:15" ht="14.45" customHeight="1" x14ac:dyDescent="0.2">
      <c r="B42" s="210"/>
      <c r="C42" s="384"/>
      <c r="D42" s="150" t="s">
        <v>1845</v>
      </c>
      <c r="E42" s="153" t="s">
        <v>2990</v>
      </c>
      <c r="F42" s="50" t="s">
        <v>3779</v>
      </c>
      <c r="G42" s="170" t="s">
        <v>3382</v>
      </c>
      <c r="H42" s="171" t="s">
        <v>2760</v>
      </c>
      <c r="I42" s="107">
        <v>306</v>
      </c>
      <c r="J42" s="108"/>
      <c r="K42" s="109"/>
      <c r="L42" s="195"/>
      <c r="M42" s="106"/>
      <c r="N42" s="186" t="s">
        <v>2884</v>
      </c>
      <c r="O42" s="186" t="s">
        <v>4164</v>
      </c>
    </row>
    <row r="43" spans="2:15" ht="14.45" customHeight="1" x14ac:dyDescent="0.2">
      <c r="B43" s="210"/>
      <c r="C43" s="384"/>
      <c r="D43" s="150" t="s">
        <v>1845</v>
      </c>
      <c r="E43" s="153" t="s">
        <v>2991</v>
      </c>
      <c r="F43" s="50" t="s">
        <v>3780</v>
      </c>
      <c r="G43" s="170" t="s">
        <v>3383</v>
      </c>
      <c r="H43" s="171" t="s">
        <v>2760</v>
      </c>
      <c r="I43" s="107">
        <v>752</v>
      </c>
      <c r="J43" s="108"/>
      <c r="K43" s="109"/>
      <c r="L43" s="195"/>
      <c r="M43" s="106"/>
      <c r="N43" s="186" t="s">
        <v>2884</v>
      </c>
      <c r="O43" s="186" t="s">
        <v>4164</v>
      </c>
    </row>
    <row r="44" spans="2:15" ht="14.45" customHeight="1" x14ac:dyDescent="0.2">
      <c r="B44" s="210"/>
      <c r="C44" s="384"/>
      <c r="D44" s="150" t="s">
        <v>1845</v>
      </c>
      <c r="E44" s="153" t="s">
        <v>2992</v>
      </c>
      <c r="F44" s="50" t="s">
        <v>3781</v>
      </c>
      <c r="G44" s="170" t="s">
        <v>3384</v>
      </c>
      <c r="H44" s="171" t="s">
        <v>2760</v>
      </c>
      <c r="I44" s="107">
        <v>376</v>
      </c>
      <c r="J44" s="108"/>
      <c r="K44" s="109"/>
      <c r="L44" s="195"/>
      <c r="M44" s="106"/>
      <c r="N44" s="186" t="s">
        <v>2884</v>
      </c>
      <c r="O44" s="186" t="s">
        <v>4164</v>
      </c>
    </row>
    <row r="45" spans="2:15" ht="14.45" customHeight="1" x14ac:dyDescent="0.2">
      <c r="B45" s="210"/>
      <c r="C45" s="384"/>
      <c r="D45" s="150" t="s">
        <v>1845</v>
      </c>
      <c r="E45" s="153" t="s">
        <v>2993</v>
      </c>
      <c r="F45" s="50" t="s">
        <v>3782</v>
      </c>
      <c r="G45" s="170" t="s">
        <v>3385</v>
      </c>
      <c r="H45" s="171" t="s">
        <v>2760</v>
      </c>
      <c r="I45" s="107">
        <v>206</v>
      </c>
      <c r="J45" s="108"/>
      <c r="K45" s="109"/>
      <c r="L45" s="195"/>
      <c r="M45" s="106"/>
      <c r="N45" s="186" t="s">
        <v>2884</v>
      </c>
      <c r="O45" s="186" t="s">
        <v>4164</v>
      </c>
    </row>
    <row r="46" spans="2:15" ht="14.45" customHeight="1" x14ac:dyDescent="0.2">
      <c r="B46" s="210"/>
      <c r="C46" s="384"/>
      <c r="D46" s="150" t="s">
        <v>1845</v>
      </c>
      <c r="E46" s="153" t="s">
        <v>2994</v>
      </c>
      <c r="F46" s="50" t="s">
        <v>3783</v>
      </c>
      <c r="G46" s="170" t="s">
        <v>3386</v>
      </c>
      <c r="H46" s="171" t="s">
        <v>2760</v>
      </c>
      <c r="I46" s="107">
        <v>215</v>
      </c>
      <c r="J46" s="108"/>
      <c r="K46" s="109"/>
      <c r="L46" s="195"/>
      <c r="M46" s="106"/>
      <c r="N46" s="186" t="s">
        <v>2884</v>
      </c>
      <c r="O46" s="186" t="s">
        <v>4164</v>
      </c>
    </row>
    <row r="47" spans="2:15" ht="14.45" customHeight="1" x14ac:dyDescent="0.2">
      <c r="B47" s="210"/>
      <c r="C47" s="384"/>
      <c r="D47" s="150" t="s">
        <v>1845</v>
      </c>
      <c r="E47" s="153" t="s">
        <v>2995</v>
      </c>
      <c r="F47" s="50" t="s">
        <v>3784</v>
      </c>
      <c r="G47" s="170" t="s">
        <v>3387</v>
      </c>
      <c r="H47" s="171" t="s">
        <v>2760</v>
      </c>
      <c r="I47" s="107">
        <v>479</v>
      </c>
      <c r="J47" s="108"/>
      <c r="K47" s="109"/>
      <c r="L47" s="195"/>
      <c r="M47" s="106"/>
      <c r="N47" s="186" t="s">
        <v>2884</v>
      </c>
      <c r="O47" s="186" t="s">
        <v>4164</v>
      </c>
    </row>
    <row r="48" spans="2:15" ht="14.45" customHeight="1" x14ac:dyDescent="0.2">
      <c r="B48" s="210"/>
      <c r="C48" s="384"/>
      <c r="D48" s="150" t="s">
        <v>1845</v>
      </c>
      <c r="E48" s="153" t="s">
        <v>2996</v>
      </c>
      <c r="F48" s="50" t="s">
        <v>3785</v>
      </c>
      <c r="G48" s="170" t="s">
        <v>3388</v>
      </c>
      <c r="H48" s="171" t="s">
        <v>2760</v>
      </c>
      <c r="I48" s="107">
        <v>404</v>
      </c>
      <c r="J48" s="108"/>
      <c r="K48" s="109"/>
      <c r="L48" s="195"/>
      <c r="M48" s="106"/>
      <c r="N48" s="186" t="s">
        <v>2884</v>
      </c>
      <c r="O48" s="186" t="s">
        <v>4164</v>
      </c>
    </row>
    <row r="49" spans="2:15" ht="14.45" customHeight="1" x14ac:dyDescent="0.2">
      <c r="B49" s="210"/>
      <c r="C49" s="384"/>
      <c r="D49" s="150" t="s">
        <v>1845</v>
      </c>
      <c r="E49" s="153" t="s">
        <v>2997</v>
      </c>
      <c r="F49" s="50" t="s">
        <v>3786</v>
      </c>
      <c r="G49" s="170" t="s">
        <v>3389</v>
      </c>
      <c r="H49" s="171" t="s">
        <v>2760</v>
      </c>
      <c r="I49" s="107">
        <v>739</v>
      </c>
      <c r="J49" s="108"/>
      <c r="K49" s="109"/>
      <c r="L49" s="195"/>
      <c r="M49" s="106"/>
      <c r="N49" s="186" t="s">
        <v>2884</v>
      </c>
      <c r="O49" s="186" t="s">
        <v>4164</v>
      </c>
    </row>
    <row r="50" spans="2:15" ht="14.45" customHeight="1" x14ac:dyDescent="0.2">
      <c r="B50" s="210"/>
      <c r="C50" s="384"/>
      <c r="D50" s="150" t="s">
        <v>1845</v>
      </c>
      <c r="E50" s="153" t="s">
        <v>2998</v>
      </c>
      <c r="F50" s="50" t="s">
        <v>3787</v>
      </c>
      <c r="G50" s="170" t="s">
        <v>3390</v>
      </c>
      <c r="H50" s="171" t="s">
        <v>2760</v>
      </c>
      <c r="I50" s="107">
        <v>334</v>
      </c>
      <c r="J50" s="108"/>
      <c r="K50" s="109"/>
      <c r="L50" s="195"/>
      <c r="M50" s="106"/>
      <c r="N50" s="186" t="s">
        <v>2884</v>
      </c>
      <c r="O50" s="186" t="s">
        <v>4164</v>
      </c>
    </row>
    <row r="51" spans="2:15" ht="14.45" customHeight="1" x14ac:dyDescent="0.2">
      <c r="B51" s="210"/>
      <c r="C51" s="384"/>
      <c r="D51" s="150" t="s">
        <v>1845</v>
      </c>
      <c r="E51" s="153" t="s">
        <v>2999</v>
      </c>
      <c r="F51" s="50" t="s">
        <v>3788</v>
      </c>
      <c r="G51" s="170" t="s">
        <v>3391</v>
      </c>
      <c r="H51" s="171" t="s">
        <v>2760</v>
      </c>
      <c r="I51" s="107">
        <v>308</v>
      </c>
      <c r="J51" s="108"/>
      <c r="K51" s="109"/>
      <c r="L51" s="195"/>
      <c r="M51" s="106"/>
      <c r="N51" s="186" t="s">
        <v>2884</v>
      </c>
      <c r="O51" s="186" t="s">
        <v>4164</v>
      </c>
    </row>
    <row r="52" spans="2:15" ht="14.45" customHeight="1" x14ac:dyDescent="0.2">
      <c r="B52" s="210"/>
      <c r="C52" s="384"/>
      <c r="D52" s="150" t="s">
        <v>1845</v>
      </c>
      <c r="E52" s="153" t="s">
        <v>3000</v>
      </c>
      <c r="F52" s="50" t="s">
        <v>3789</v>
      </c>
      <c r="G52" s="170" t="s">
        <v>3392</v>
      </c>
      <c r="H52" s="171" t="s">
        <v>2760</v>
      </c>
      <c r="I52" s="107">
        <v>296</v>
      </c>
      <c r="J52" s="108"/>
      <c r="K52" s="109"/>
      <c r="L52" s="195"/>
      <c r="M52" s="106"/>
      <c r="N52" s="186" t="s">
        <v>2884</v>
      </c>
      <c r="O52" s="186" t="s">
        <v>4164</v>
      </c>
    </row>
    <row r="53" spans="2:15" ht="14.45" customHeight="1" x14ac:dyDescent="0.2">
      <c r="B53" s="210"/>
      <c r="C53" s="384"/>
      <c r="D53" s="150" t="s">
        <v>1845</v>
      </c>
      <c r="E53" s="153" t="s">
        <v>3001</v>
      </c>
      <c r="F53" s="50" t="s">
        <v>3790</v>
      </c>
      <c r="G53" s="170" t="s">
        <v>3393</v>
      </c>
      <c r="H53" s="171" t="s">
        <v>2760</v>
      </c>
      <c r="I53" s="107">
        <v>561</v>
      </c>
      <c r="J53" s="108"/>
      <c r="K53" s="109"/>
      <c r="L53" s="195"/>
      <c r="M53" s="106"/>
      <c r="N53" s="186" t="s">
        <v>2884</v>
      </c>
      <c r="O53" s="186" t="s">
        <v>4164</v>
      </c>
    </row>
    <row r="54" spans="2:15" ht="14.45" customHeight="1" x14ac:dyDescent="0.2">
      <c r="B54" s="210"/>
      <c r="C54" s="384"/>
      <c r="D54" s="150" t="s">
        <v>1845</v>
      </c>
      <c r="E54" s="153" t="s">
        <v>3002</v>
      </c>
      <c r="F54" s="50" t="s">
        <v>3791</v>
      </c>
      <c r="G54" s="170" t="s">
        <v>3394</v>
      </c>
      <c r="H54" s="171" t="s">
        <v>2760</v>
      </c>
      <c r="I54" s="107">
        <v>279</v>
      </c>
      <c r="J54" s="108"/>
      <c r="K54" s="109"/>
      <c r="L54" s="195"/>
      <c r="M54" s="106"/>
      <c r="N54" s="186" t="s">
        <v>2884</v>
      </c>
      <c r="O54" s="186" t="s">
        <v>4164</v>
      </c>
    </row>
    <row r="55" spans="2:15" ht="14.45" customHeight="1" x14ac:dyDescent="0.2">
      <c r="B55" s="210"/>
      <c r="C55" s="384"/>
      <c r="D55" s="150" t="s">
        <v>1845</v>
      </c>
      <c r="E55" s="153" t="s">
        <v>3003</v>
      </c>
      <c r="F55" s="50" t="s">
        <v>3792</v>
      </c>
      <c r="G55" s="170" t="s">
        <v>3395</v>
      </c>
      <c r="H55" s="171" t="s">
        <v>2760</v>
      </c>
      <c r="I55" s="107">
        <v>163</v>
      </c>
      <c r="J55" s="108"/>
      <c r="K55" s="109"/>
      <c r="L55" s="195"/>
      <c r="M55" s="106"/>
      <c r="N55" s="186" t="s">
        <v>2884</v>
      </c>
      <c r="O55" s="186" t="s">
        <v>4164</v>
      </c>
    </row>
    <row r="56" spans="2:15" ht="14.45" customHeight="1" x14ac:dyDescent="0.2">
      <c r="B56" s="210"/>
      <c r="C56" s="384"/>
      <c r="D56" s="150" t="s">
        <v>1845</v>
      </c>
      <c r="E56" s="153" t="s">
        <v>3004</v>
      </c>
      <c r="F56" s="50" t="s">
        <v>3793</v>
      </c>
      <c r="G56" s="170" t="s">
        <v>3396</v>
      </c>
      <c r="H56" s="171" t="s">
        <v>2760</v>
      </c>
      <c r="I56" s="107">
        <v>414</v>
      </c>
      <c r="J56" s="108"/>
      <c r="K56" s="109"/>
      <c r="L56" s="195"/>
      <c r="M56" s="106"/>
      <c r="N56" s="186" t="s">
        <v>2884</v>
      </c>
      <c r="O56" s="186" t="s">
        <v>4164</v>
      </c>
    </row>
    <row r="57" spans="2:15" ht="14.45" customHeight="1" x14ac:dyDescent="0.2">
      <c r="B57" s="210"/>
      <c r="C57" s="384"/>
      <c r="D57" s="150" t="s">
        <v>1845</v>
      </c>
      <c r="E57" s="153" t="s">
        <v>3005</v>
      </c>
      <c r="F57" s="50" t="s">
        <v>3794</v>
      </c>
      <c r="G57" s="170" t="s">
        <v>3397</v>
      </c>
      <c r="H57" s="171" t="s">
        <v>2760</v>
      </c>
      <c r="I57" s="107">
        <v>124</v>
      </c>
      <c r="J57" s="108"/>
      <c r="K57" s="109"/>
      <c r="L57" s="195"/>
      <c r="M57" s="106"/>
      <c r="N57" s="186" t="s">
        <v>2884</v>
      </c>
      <c r="O57" s="186" t="s">
        <v>4164</v>
      </c>
    </row>
    <row r="58" spans="2:15" ht="14.45" customHeight="1" x14ac:dyDescent="0.2">
      <c r="B58" s="210"/>
      <c r="C58" s="384"/>
      <c r="D58" s="150" t="s">
        <v>1845</v>
      </c>
      <c r="E58" s="153" t="s">
        <v>3006</v>
      </c>
      <c r="F58" s="50" t="s">
        <v>3795</v>
      </c>
      <c r="G58" s="170" t="s">
        <v>3398</v>
      </c>
      <c r="H58" s="171" t="s">
        <v>2760</v>
      </c>
      <c r="I58" s="107">
        <v>670</v>
      </c>
      <c r="J58" s="108"/>
      <c r="K58" s="109"/>
      <c r="L58" s="195"/>
      <c r="M58" s="106"/>
      <c r="N58" s="186" t="s">
        <v>2884</v>
      </c>
      <c r="O58" s="186" t="s">
        <v>4164</v>
      </c>
    </row>
    <row r="59" spans="2:15" ht="14.45" customHeight="1" thickBot="1" x14ac:dyDescent="0.25">
      <c r="B59" s="211"/>
      <c r="C59" s="385"/>
      <c r="D59" s="138" t="s">
        <v>1845</v>
      </c>
      <c r="E59" s="139" t="s">
        <v>3007</v>
      </c>
      <c r="F59" s="49" t="s">
        <v>3796</v>
      </c>
      <c r="G59" s="164" t="s">
        <v>3399</v>
      </c>
      <c r="H59" s="165" t="s">
        <v>2760</v>
      </c>
      <c r="I59" s="99">
        <v>221</v>
      </c>
      <c r="J59" s="100"/>
      <c r="K59" s="101"/>
      <c r="L59" s="192"/>
      <c r="M59" s="102"/>
      <c r="N59" s="179" t="s">
        <v>2884</v>
      </c>
      <c r="O59" s="179" t="s">
        <v>4164</v>
      </c>
    </row>
    <row r="60" spans="2:15" ht="14.45" customHeight="1" x14ac:dyDescent="0.2">
      <c r="B60" s="212" t="s">
        <v>4143</v>
      </c>
      <c r="C60" s="386" t="s">
        <v>4144</v>
      </c>
      <c r="D60" s="115" t="s">
        <v>1845</v>
      </c>
      <c r="E60" s="213" t="s">
        <v>3008</v>
      </c>
      <c r="F60" s="214" t="s">
        <v>3797</v>
      </c>
      <c r="G60" s="215" t="s">
        <v>3400</v>
      </c>
      <c r="H60" s="216" t="s">
        <v>2760</v>
      </c>
      <c r="I60" s="217">
        <v>323</v>
      </c>
      <c r="J60" s="218"/>
      <c r="K60" s="219"/>
      <c r="L60" s="220"/>
      <c r="M60" s="121"/>
      <c r="N60" s="221" t="s">
        <v>4143</v>
      </c>
      <c r="O60" s="221" t="s">
        <v>4167</v>
      </c>
    </row>
    <row r="61" spans="2:15" ht="14.45" customHeight="1" x14ac:dyDescent="0.2">
      <c r="B61" s="210"/>
      <c r="C61" s="384"/>
      <c r="D61" s="150" t="s">
        <v>1845</v>
      </c>
      <c r="E61" s="153" t="s">
        <v>3009</v>
      </c>
      <c r="F61" s="50" t="s">
        <v>3798</v>
      </c>
      <c r="G61" s="170" t="s">
        <v>3401</v>
      </c>
      <c r="H61" s="171" t="s">
        <v>2760</v>
      </c>
      <c r="I61" s="107">
        <v>811</v>
      </c>
      <c r="J61" s="108"/>
      <c r="K61" s="109"/>
      <c r="L61" s="195"/>
      <c r="M61" s="106"/>
      <c r="N61" s="186" t="s">
        <v>2885</v>
      </c>
      <c r="O61" s="186" t="s">
        <v>4166</v>
      </c>
    </row>
    <row r="62" spans="2:15" ht="14.45" customHeight="1" x14ac:dyDescent="0.2">
      <c r="B62" s="210"/>
      <c r="C62" s="384"/>
      <c r="D62" s="150" t="s">
        <v>1845</v>
      </c>
      <c r="E62" s="153" t="s">
        <v>3010</v>
      </c>
      <c r="F62" s="50" t="s">
        <v>3799</v>
      </c>
      <c r="G62" s="170" t="s">
        <v>3402</v>
      </c>
      <c r="H62" s="171" t="s">
        <v>2760</v>
      </c>
      <c r="I62" s="107">
        <v>563</v>
      </c>
      <c r="J62" s="108"/>
      <c r="K62" s="109"/>
      <c r="L62" s="195"/>
      <c r="M62" s="106"/>
      <c r="N62" s="186" t="s">
        <v>2885</v>
      </c>
      <c r="O62" s="186" t="s">
        <v>4166</v>
      </c>
    </row>
    <row r="63" spans="2:15" ht="14.45" customHeight="1" x14ac:dyDescent="0.2">
      <c r="B63" s="210"/>
      <c r="C63" s="384"/>
      <c r="D63" s="150" t="s">
        <v>1845</v>
      </c>
      <c r="E63" s="153" t="s">
        <v>3011</v>
      </c>
      <c r="F63" s="50" t="s">
        <v>3800</v>
      </c>
      <c r="G63" s="170" t="s">
        <v>3403</v>
      </c>
      <c r="H63" s="171" t="s">
        <v>2760</v>
      </c>
      <c r="I63" s="107">
        <v>240</v>
      </c>
      <c r="J63" s="108"/>
      <c r="K63" s="109"/>
      <c r="L63" s="195"/>
      <c r="M63" s="106"/>
      <c r="N63" s="186" t="s">
        <v>2885</v>
      </c>
      <c r="O63" s="186" t="s">
        <v>4166</v>
      </c>
    </row>
    <row r="64" spans="2:15" ht="14.45" customHeight="1" x14ac:dyDescent="0.2">
      <c r="B64" s="210"/>
      <c r="C64" s="384"/>
      <c r="D64" s="150" t="s">
        <v>1845</v>
      </c>
      <c r="E64" s="153" t="s">
        <v>3012</v>
      </c>
      <c r="F64" s="50" t="s">
        <v>3801</v>
      </c>
      <c r="G64" s="170" t="s">
        <v>3404</v>
      </c>
      <c r="H64" s="171" t="s">
        <v>2760</v>
      </c>
      <c r="I64" s="107">
        <v>257</v>
      </c>
      <c r="J64" s="108"/>
      <c r="K64" s="109"/>
      <c r="L64" s="195"/>
      <c r="M64" s="106"/>
      <c r="N64" s="186" t="s">
        <v>2885</v>
      </c>
      <c r="O64" s="186" t="s">
        <v>4166</v>
      </c>
    </row>
    <row r="65" spans="2:15" ht="14.45" customHeight="1" x14ac:dyDescent="0.2">
      <c r="B65" s="210"/>
      <c r="C65" s="384"/>
      <c r="D65" s="150" t="s">
        <v>1845</v>
      </c>
      <c r="E65" s="153" t="s">
        <v>3013</v>
      </c>
      <c r="F65" s="50" t="s">
        <v>3802</v>
      </c>
      <c r="G65" s="170" t="s">
        <v>3405</v>
      </c>
      <c r="H65" s="171" t="s">
        <v>2760</v>
      </c>
      <c r="I65" s="107">
        <v>360</v>
      </c>
      <c r="J65" s="108"/>
      <c r="K65" s="109"/>
      <c r="L65" s="195"/>
      <c r="M65" s="106"/>
      <c r="N65" s="186" t="s">
        <v>2885</v>
      </c>
      <c r="O65" s="186" t="s">
        <v>4166</v>
      </c>
    </row>
    <row r="66" spans="2:15" ht="14.45" customHeight="1" x14ac:dyDescent="0.2">
      <c r="B66" s="210"/>
      <c r="C66" s="384"/>
      <c r="D66" s="150" t="s">
        <v>1845</v>
      </c>
      <c r="E66" s="153" t="s">
        <v>3014</v>
      </c>
      <c r="F66" s="50" t="s">
        <v>3803</v>
      </c>
      <c r="G66" s="170" t="s">
        <v>3406</v>
      </c>
      <c r="H66" s="171" t="s">
        <v>2760</v>
      </c>
      <c r="I66" s="107">
        <v>1543</v>
      </c>
      <c r="J66" s="108"/>
      <c r="K66" s="109"/>
      <c r="L66" s="195"/>
      <c r="M66" s="106"/>
      <c r="N66" s="186" t="s">
        <v>2885</v>
      </c>
      <c r="O66" s="186" t="s">
        <v>4166</v>
      </c>
    </row>
    <row r="67" spans="2:15" ht="14.45" customHeight="1" x14ac:dyDescent="0.2">
      <c r="B67" s="210"/>
      <c r="C67" s="384"/>
      <c r="D67" s="150" t="s">
        <v>1845</v>
      </c>
      <c r="E67" s="153" t="s">
        <v>3015</v>
      </c>
      <c r="F67" s="50" t="s">
        <v>3804</v>
      </c>
      <c r="G67" s="170" t="s">
        <v>3407</v>
      </c>
      <c r="H67" s="171" t="s">
        <v>2760</v>
      </c>
      <c r="I67" s="107">
        <v>499</v>
      </c>
      <c r="J67" s="108"/>
      <c r="K67" s="109"/>
      <c r="L67" s="195"/>
      <c r="M67" s="106"/>
      <c r="N67" s="186" t="s">
        <v>2885</v>
      </c>
      <c r="O67" s="186" t="s">
        <v>4166</v>
      </c>
    </row>
    <row r="68" spans="2:15" ht="14.45" customHeight="1" x14ac:dyDescent="0.2">
      <c r="B68" s="210"/>
      <c r="C68" s="384"/>
      <c r="D68" s="150" t="s">
        <v>1845</v>
      </c>
      <c r="E68" s="153" t="s">
        <v>3016</v>
      </c>
      <c r="F68" s="50" t="s">
        <v>3805</v>
      </c>
      <c r="G68" s="170" t="s">
        <v>3408</v>
      </c>
      <c r="H68" s="171" t="s">
        <v>2760</v>
      </c>
      <c r="I68" s="107">
        <v>386</v>
      </c>
      <c r="J68" s="108"/>
      <c r="K68" s="109"/>
      <c r="L68" s="195"/>
      <c r="M68" s="106"/>
      <c r="N68" s="186" t="s">
        <v>2885</v>
      </c>
      <c r="O68" s="186" t="s">
        <v>4166</v>
      </c>
    </row>
    <row r="69" spans="2:15" ht="14.45" customHeight="1" x14ac:dyDescent="0.2">
      <c r="B69" s="210"/>
      <c r="C69" s="384"/>
      <c r="D69" s="150" t="s">
        <v>1845</v>
      </c>
      <c r="E69" s="153" t="s">
        <v>3017</v>
      </c>
      <c r="F69" s="50" t="s">
        <v>3806</v>
      </c>
      <c r="G69" s="170" t="s">
        <v>3409</v>
      </c>
      <c r="H69" s="171" t="s">
        <v>2760</v>
      </c>
      <c r="I69" s="107">
        <v>628</v>
      </c>
      <c r="J69" s="108"/>
      <c r="K69" s="109"/>
      <c r="L69" s="195"/>
      <c r="M69" s="106"/>
      <c r="N69" s="186" t="s">
        <v>2885</v>
      </c>
      <c r="O69" s="186" t="s">
        <v>4166</v>
      </c>
    </row>
    <row r="70" spans="2:15" ht="14.45" customHeight="1" x14ac:dyDescent="0.2">
      <c r="B70" s="210"/>
      <c r="C70" s="384"/>
      <c r="D70" s="150" t="s">
        <v>1845</v>
      </c>
      <c r="E70" s="153" t="s">
        <v>3018</v>
      </c>
      <c r="F70" s="50" t="s">
        <v>3807</v>
      </c>
      <c r="G70" s="170" t="s">
        <v>3410</v>
      </c>
      <c r="H70" s="171" t="s">
        <v>2760</v>
      </c>
      <c r="I70" s="107">
        <v>283</v>
      </c>
      <c r="J70" s="108"/>
      <c r="K70" s="109"/>
      <c r="L70" s="195"/>
      <c r="M70" s="106"/>
      <c r="N70" s="186" t="s">
        <v>2885</v>
      </c>
      <c r="O70" s="186" t="s">
        <v>4166</v>
      </c>
    </row>
    <row r="71" spans="2:15" ht="14.45" customHeight="1" x14ac:dyDescent="0.2">
      <c r="B71" s="210"/>
      <c r="C71" s="384"/>
      <c r="D71" s="150" t="s">
        <v>1845</v>
      </c>
      <c r="E71" s="153" t="s">
        <v>3019</v>
      </c>
      <c r="F71" s="50" t="s">
        <v>3808</v>
      </c>
      <c r="G71" s="170" t="s">
        <v>3411</v>
      </c>
      <c r="H71" s="171" t="s">
        <v>2760</v>
      </c>
      <c r="I71" s="107">
        <v>389</v>
      </c>
      <c r="J71" s="108"/>
      <c r="K71" s="109"/>
      <c r="L71" s="195"/>
      <c r="M71" s="106"/>
      <c r="N71" s="186" t="s">
        <v>2885</v>
      </c>
      <c r="O71" s="186" t="s">
        <v>4166</v>
      </c>
    </row>
    <row r="72" spans="2:15" ht="14.45" customHeight="1" x14ac:dyDescent="0.2">
      <c r="B72" s="210"/>
      <c r="C72" s="384"/>
      <c r="D72" s="150" t="s">
        <v>1845</v>
      </c>
      <c r="E72" s="153" t="s">
        <v>3020</v>
      </c>
      <c r="F72" s="50" t="s">
        <v>3809</v>
      </c>
      <c r="G72" s="170" t="s">
        <v>3412</v>
      </c>
      <c r="H72" s="171" t="s">
        <v>2760</v>
      </c>
      <c r="I72" s="107">
        <v>412</v>
      </c>
      <c r="J72" s="108"/>
      <c r="K72" s="109"/>
      <c r="L72" s="195"/>
      <c r="M72" s="106"/>
      <c r="N72" s="186" t="s">
        <v>2885</v>
      </c>
      <c r="O72" s="186" t="s">
        <v>4166</v>
      </c>
    </row>
    <row r="73" spans="2:15" ht="14.45" customHeight="1" x14ac:dyDescent="0.2">
      <c r="B73" s="210"/>
      <c r="C73" s="384"/>
      <c r="D73" s="150" t="s">
        <v>1845</v>
      </c>
      <c r="E73" s="153" t="s">
        <v>3021</v>
      </c>
      <c r="F73" s="50" t="s">
        <v>3810</v>
      </c>
      <c r="G73" s="170" t="s">
        <v>3413</v>
      </c>
      <c r="H73" s="171" t="s">
        <v>2760</v>
      </c>
      <c r="I73" s="107">
        <v>841</v>
      </c>
      <c r="J73" s="108"/>
      <c r="K73" s="109"/>
      <c r="L73" s="195"/>
      <c r="M73" s="106"/>
      <c r="N73" s="186" t="s">
        <v>2885</v>
      </c>
      <c r="O73" s="186" t="s">
        <v>4166</v>
      </c>
    </row>
    <row r="74" spans="2:15" ht="14.45" customHeight="1" x14ac:dyDescent="0.2">
      <c r="B74" s="210"/>
      <c r="C74" s="384"/>
      <c r="D74" s="150" t="s">
        <v>1845</v>
      </c>
      <c r="E74" s="153" t="s">
        <v>3022</v>
      </c>
      <c r="F74" s="50" t="s">
        <v>3811</v>
      </c>
      <c r="G74" s="170" t="s">
        <v>3414</v>
      </c>
      <c r="H74" s="171" t="s">
        <v>2760</v>
      </c>
      <c r="I74" s="107">
        <v>1440</v>
      </c>
      <c r="J74" s="108"/>
      <c r="K74" s="109"/>
      <c r="L74" s="195"/>
      <c r="M74" s="106"/>
      <c r="N74" s="186" t="s">
        <v>2885</v>
      </c>
      <c r="O74" s="186" t="s">
        <v>4166</v>
      </c>
    </row>
    <row r="75" spans="2:15" ht="14.45" customHeight="1" x14ac:dyDescent="0.2">
      <c r="B75" s="210"/>
      <c r="C75" s="384"/>
      <c r="D75" s="150" t="s">
        <v>1845</v>
      </c>
      <c r="E75" s="153" t="s">
        <v>3023</v>
      </c>
      <c r="F75" s="50" t="s">
        <v>3812</v>
      </c>
      <c r="G75" s="170" t="s">
        <v>3415</v>
      </c>
      <c r="H75" s="171" t="s">
        <v>2760</v>
      </c>
      <c r="I75" s="107">
        <v>330</v>
      </c>
      <c r="J75" s="108"/>
      <c r="K75" s="109"/>
      <c r="L75" s="195"/>
      <c r="M75" s="106"/>
      <c r="N75" s="186" t="s">
        <v>2885</v>
      </c>
      <c r="O75" s="186" t="s">
        <v>4166</v>
      </c>
    </row>
    <row r="76" spans="2:15" ht="14.45" customHeight="1" x14ac:dyDescent="0.2">
      <c r="B76" s="210"/>
      <c r="C76" s="384"/>
      <c r="D76" s="150" t="s">
        <v>1845</v>
      </c>
      <c r="E76" s="153" t="s">
        <v>3024</v>
      </c>
      <c r="F76" s="50" t="s">
        <v>3813</v>
      </c>
      <c r="G76" s="170" t="s">
        <v>3416</v>
      </c>
      <c r="H76" s="171" t="s">
        <v>2760</v>
      </c>
      <c r="I76" s="107">
        <v>315</v>
      </c>
      <c r="J76" s="108"/>
      <c r="K76" s="109"/>
      <c r="L76" s="195"/>
      <c r="M76" s="106"/>
      <c r="N76" s="186" t="s">
        <v>2885</v>
      </c>
      <c r="O76" s="186" t="s">
        <v>4166</v>
      </c>
    </row>
    <row r="77" spans="2:15" ht="14.45" customHeight="1" x14ac:dyDescent="0.2">
      <c r="B77" s="210"/>
      <c r="C77" s="384"/>
      <c r="D77" s="150" t="s">
        <v>1845</v>
      </c>
      <c r="E77" s="153" t="s">
        <v>3025</v>
      </c>
      <c r="F77" s="50" t="s">
        <v>3814</v>
      </c>
      <c r="G77" s="170" t="s">
        <v>3417</v>
      </c>
      <c r="H77" s="171" t="s">
        <v>2760</v>
      </c>
      <c r="I77" s="107">
        <v>447</v>
      </c>
      <c r="J77" s="108"/>
      <c r="K77" s="109"/>
      <c r="L77" s="195"/>
      <c r="M77" s="106"/>
      <c r="N77" s="186" t="s">
        <v>2885</v>
      </c>
      <c r="O77" s="186" t="s">
        <v>4166</v>
      </c>
    </row>
    <row r="78" spans="2:15" ht="14.45" customHeight="1" x14ac:dyDescent="0.2">
      <c r="B78" s="210"/>
      <c r="C78" s="384"/>
      <c r="D78" s="150" t="s">
        <v>1845</v>
      </c>
      <c r="E78" s="153" t="s">
        <v>3026</v>
      </c>
      <c r="F78" s="50" t="s">
        <v>3815</v>
      </c>
      <c r="G78" s="170" t="s">
        <v>3418</v>
      </c>
      <c r="H78" s="171" t="s">
        <v>2760</v>
      </c>
      <c r="I78" s="107">
        <v>472</v>
      </c>
      <c r="J78" s="108"/>
      <c r="K78" s="109"/>
      <c r="L78" s="195"/>
      <c r="M78" s="106"/>
      <c r="N78" s="186" t="s">
        <v>2885</v>
      </c>
      <c r="O78" s="186" t="s">
        <v>4166</v>
      </c>
    </row>
    <row r="79" spans="2:15" ht="14.45" customHeight="1" x14ac:dyDescent="0.2">
      <c r="B79" s="210"/>
      <c r="C79" s="384"/>
      <c r="D79" s="150" t="s">
        <v>1845</v>
      </c>
      <c r="E79" s="153" t="s">
        <v>3027</v>
      </c>
      <c r="F79" s="50" t="s">
        <v>3816</v>
      </c>
      <c r="G79" s="170" t="s">
        <v>3419</v>
      </c>
      <c r="H79" s="171" t="s">
        <v>2760</v>
      </c>
      <c r="I79" s="107">
        <v>312</v>
      </c>
      <c r="J79" s="108"/>
      <c r="K79" s="109"/>
      <c r="L79" s="195"/>
      <c r="M79" s="106"/>
      <c r="N79" s="186" t="s">
        <v>2885</v>
      </c>
      <c r="O79" s="186" t="s">
        <v>4166</v>
      </c>
    </row>
    <row r="80" spans="2:15" ht="14.45" customHeight="1" x14ac:dyDescent="0.2">
      <c r="B80" s="210"/>
      <c r="C80" s="384"/>
      <c r="D80" s="150" t="s">
        <v>1845</v>
      </c>
      <c r="E80" s="153" t="s">
        <v>3028</v>
      </c>
      <c r="F80" s="50" t="s">
        <v>3817</v>
      </c>
      <c r="G80" s="170" t="s">
        <v>3420</v>
      </c>
      <c r="H80" s="171" t="s">
        <v>2760</v>
      </c>
      <c r="I80" s="107">
        <v>323</v>
      </c>
      <c r="J80" s="108"/>
      <c r="K80" s="109"/>
      <c r="L80" s="195"/>
      <c r="M80" s="106"/>
      <c r="N80" s="186" t="s">
        <v>2885</v>
      </c>
      <c r="O80" s="186" t="s">
        <v>4166</v>
      </c>
    </row>
    <row r="81" spans="2:15" ht="14.45" customHeight="1" x14ac:dyDescent="0.2">
      <c r="B81" s="210"/>
      <c r="C81" s="384"/>
      <c r="D81" s="150" t="s">
        <v>1845</v>
      </c>
      <c r="E81" s="153" t="s">
        <v>3029</v>
      </c>
      <c r="F81" s="50" t="s">
        <v>3818</v>
      </c>
      <c r="G81" s="170" t="s">
        <v>3421</v>
      </c>
      <c r="H81" s="171" t="s">
        <v>2760</v>
      </c>
      <c r="I81" s="107">
        <v>651</v>
      </c>
      <c r="J81" s="108"/>
      <c r="K81" s="109"/>
      <c r="L81" s="195"/>
      <c r="M81" s="106"/>
      <c r="N81" s="186" t="s">
        <v>2885</v>
      </c>
      <c r="O81" s="186" t="s">
        <v>4166</v>
      </c>
    </row>
    <row r="82" spans="2:15" ht="14.45" customHeight="1" x14ac:dyDescent="0.2">
      <c r="B82" s="210"/>
      <c r="C82" s="384"/>
      <c r="D82" s="150" t="s">
        <v>1845</v>
      </c>
      <c r="E82" s="153" t="s">
        <v>3030</v>
      </c>
      <c r="F82" s="50" t="s">
        <v>3819</v>
      </c>
      <c r="G82" s="170" t="s">
        <v>3422</v>
      </c>
      <c r="H82" s="171" t="s">
        <v>2760</v>
      </c>
      <c r="I82" s="107">
        <v>431</v>
      </c>
      <c r="J82" s="108"/>
      <c r="K82" s="109"/>
      <c r="L82" s="195"/>
      <c r="M82" s="106"/>
      <c r="N82" s="186" t="s">
        <v>2885</v>
      </c>
      <c r="O82" s="186" t="s">
        <v>4166</v>
      </c>
    </row>
    <row r="83" spans="2:15" ht="14.45" customHeight="1" x14ac:dyDescent="0.2">
      <c r="B83" s="210"/>
      <c r="C83" s="384"/>
      <c r="D83" s="150" t="s">
        <v>1845</v>
      </c>
      <c r="E83" s="153" t="s">
        <v>3031</v>
      </c>
      <c r="F83" s="50" t="s">
        <v>3820</v>
      </c>
      <c r="G83" s="170" t="s">
        <v>3423</v>
      </c>
      <c r="H83" s="171" t="s">
        <v>2760</v>
      </c>
      <c r="I83" s="107">
        <v>374</v>
      </c>
      <c r="J83" s="108"/>
      <c r="K83" s="109"/>
      <c r="L83" s="195"/>
      <c r="M83" s="106"/>
      <c r="N83" s="186" t="s">
        <v>2885</v>
      </c>
      <c r="O83" s="186" t="s">
        <v>4166</v>
      </c>
    </row>
    <row r="84" spans="2:15" ht="14.45" customHeight="1" x14ac:dyDescent="0.2">
      <c r="B84" s="210"/>
      <c r="C84" s="384"/>
      <c r="D84" s="150" t="s">
        <v>1845</v>
      </c>
      <c r="E84" s="153" t="s">
        <v>3032</v>
      </c>
      <c r="F84" s="50" t="s">
        <v>3821</v>
      </c>
      <c r="G84" s="170" t="s">
        <v>3424</v>
      </c>
      <c r="H84" s="171" t="s">
        <v>2760</v>
      </c>
      <c r="I84" s="107">
        <v>282</v>
      </c>
      <c r="J84" s="108"/>
      <c r="K84" s="109"/>
      <c r="L84" s="195"/>
      <c r="M84" s="106"/>
      <c r="N84" s="186" t="s">
        <v>2885</v>
      </c>
      <c r="O84" s="186" t="s">
        <v>4166</v>
      </c>
    </row>
    <row r="85" spans="2:15" ht="14.45" customHeight="1" x14ac:dyDescent="0.2">
      <c r="B85" s="210"/>
      <c r="C85" s="384"/>
      <c r="D85" s="150" t="s">
        <v>1845</v>
      </c>
      <c r="E85" s="153" t="s">
        <v>3033</v>
      </c>
      <c r="F85" s="50" t="s">
        <v>3822</v>
      </c>
      <c r="G85" s="170" t="s">
        <v>3425</v>
      </c>
      <c r="H85" s="171" t="s">
        <v>2760</v>
      </c>
      <c r="I85" s="107">
        <v>298</v>
      </c>
      <c r="J85" s="108"/>
      <c r="K85" s="109"/>
      <c r="L85" s="195"/>
      <c r="M85" s="106"/>
      <c r="N85" s="186" t="s">
        <v>2885</v>
      </c>
      <c r="O85" s="186" t="s">
        <v>4166</v>
      </c>
    </row>
    <row r="86" spans="2:15" ht="14.45" customHeight="1" x14ac:dyDescent="0.2">
      <c r="B86" s="210"/>
      <c r="C86" s="384"/>
      <c r="D86" s="150" t="s">
        <v>1845</v>
      </c>
      <c r="E86" s="153" t="s">
        <v>3034</v>
      </c>
      <c r="F86" s="50" t="s">
        <v>3823</v>
      </c>
      <c r="G86" s="170" t="s">
        <v>3426</v>
      </c>
      <c r="H86" s="171" t="s">
        <v>2760</v>
      </c>
      <c r="I86" s="107">
        <v>267</v>
      </c>
      <c r="J86" s="108"/>
      <c r="K86" s="109"/>
      <c r="L86" s="195"/>
      <c r="M86" s="106"/>
      <c r="N86" s="186" t="s">
        <v>2885</v>
      </c>
      <c r="O86" s="186" t="s">
        <v>4166</v>
      </c>
    </row>
    <row r="87" spans="2:15" ht="14.45" customHeight="1" x14ac:dyDescent="0.2">
      <c r="B87" s="210"/>
      <c r="C87" s="384"/>
      <c r="D87" s="150" t="s">
        <v>1845</v>
      </c>
      <c r="E87" s="153" t="s">
        <v>3035</v>
      </c>
      <c r="F87" s="50" t="s">
        <v>3824</v>
      </c>
      <c r="G87" s="170" t="s">
        <v>3427</v>
      </c>
      <c r="H87" s="171" t="s">
        <v>2760</v>
      </c>
      <c r="I87" s="107">
        <v>274</v>
      </c>
      <c r="J87" s="108"/>
      <c r="K87" s="109"/>
      <c r="L87" s="195"/>
      <c r="M87" s="106"/>
      <c r="N87" s="186" t="s">
        <v>2885</v>
      </c>
      <c r="O87" s="186" t="s">
        <v>4166</v>
      </c>
    </row>
    <row r="88" spans="2:15" ht="14.45" customHeight="1" x14ac:dyDescent="0.2">
      <c r="B88" s="210"/>
      <c r="C88" s="384"/>
      <c r="D88" s="150" t="s">
        <v>1845</v>
      </c>
      <c r="E88" s="153" t="s">
        <v>3036</v>
      </c>
      <c r="F88" s="50" t="s">
        <v>3825</v>
      </c>
      <c r="G88" s="170" t="s">
        <v>3428</v>
      </c>
      <c r="H88" s="171" t="s">
        <v>2760</v>
      </c>
      <c r="I88" s="107">
        <v>331</v>
      </c>
      <c r="J88" s="108"/>
      <c r="K88" s="109"/>
      <c r="L88" s="195"/>
      <c r="M88" s="106"/>
      <c r="N88" s="186" t="s">
        <v>2885</v>
      </c>
      <c r="O88" s="186" t="s">
        <v>4166</v>
      </c>
    </row>
    <row r="89" spans="2:15" ht="14.45" customHeight="1" x14ac:dyDescent="0.2">
      <c r="B89" s="210"/>
      <c r="C89" s="384"/>
      <c r="D89" s="150" t="s">
        <v>1845</v>
      </c>
      <c r="E89" s="153" t="s">
        <v>3037</v>
      </c>
      <c r="F89" s="50" t="s">
        <v>3826</v>
      </c>
      <c r="G89" s="170" t="s">
        <v>3429</v>
      </c>
      <c r="H89" s="171" t="s">
        <v>2760</v>
      </c>
      <c r="I89" s="107">
        <v>417</v>
      </c>
      <c r="J89" s="108"/>
      <c r="K89" s="109"/>
      <c r="L89" s="195"/>
      <c r="M89" s="106"/>
      <c r="N89" s="186" t="s">
        <v>2885</v>
      </c>
      <c r="O89" s="186" t="s">
        <v>4166</v>
      </c>
    </row>
    <row r="90" spans="2:15" ht="14.45" customHeight="1" x14ac:dyDescent="0.2">
      <c r="B90" s="210"/>
      <c r="C90" s="384"/>
      <c r="D90" s="150" t="s">
        <v>1845</v>
      </c>
      <c r="E90" s="153" t="s">
        <v>3038</v>
      </c>
      <c r="F90" s="50" t="s">
        <v>3827</v>
      </c>
      <c r="G90" s="170" t="s">
        <v>3430</v>
      </c>
      <c r="H90" s="171" t="s">
        <v>2760</v>
      </c>
      <c r="I90" s="107">
        <v>508</v>
      </c>
      <c r="J90" s="108"/>
      <c r="K90" s="109"/>
      <c r="L90" s="195"/>
      <c r="M90" s="106"/>
      <c r="N90" s="186" t="s">
        <v>2885</v>
      </c>
      <c r="O90" s="186" t="s">
        <v>4166</v>
      </c>
    </row>
    <row r="91" spans="2:15" ht="14.45" customHeight="1" x14ac:dyDescent="0.2">
      <c r="B91" s="210"/>
      <c r="C91" s="384"/>
      <c r="D91" s="150" t="s">
        <v>1845</v>
      </c>
      <c r="E91" s="153" t="s">
        <v>3039</v>
      </c>
      <c r="F91" s="50" t="s">
        <v>3828</v>
      </c>
      <c r="G91" s="170" t="s">
        <v>3431</v>
      </c>
      <c r="H91" s="171" t="s">
        <v>2760</v>
      </c>
      <c r="I91" s="107">
        <v>621</v>
      </c>
      <c r="J91" s="108"/>
      <c r="K91" s="109"/>
      <c r="L91" s="195"/>
      <c r="M91" s="106"/>
      <c r="N91" s="186" t="s">
        <v>2885</v>
      </c>
      <c r="O91" s="186" t="s">
        <v>4166</v>
      </c>
    </row>
    <row r="92" spans="2:15" ht="14.45" customHeight="1" x14ac:dyDescent="0.2">
      <c r="B92" s="210"/>
      <c r="C92" s="384"/>
      <c r="D92" s="150" t="s">
        <v>1845</v>
      </c>
      <c r="E92" s="153" t="s">
        <v>3040</v>
      </c>
      <c r="F92" s="50" t="s">
        <v>3829</v>
      </c>
      <c r="G92" s="170" t="s">
        <v>3432</v>
      </c>
      <c r="H92" s="171" t="s">
        <v>2760</v>
      </c>
      <c r="I92" s="107">
        <v>229</v>
      </c>
      <c r="J92" s="108"/>
      <c r="K92" s="109"/>
      <c r="L92" s="195"/>
      <c r="M92" s="106"/>
      <c r="N92" s="186" t="s">
        <v>2885</v>
      </c>
      <c r="O92" s="186" t="s">
        <v>4166</v>
      </c>
    </row>
    <row r="93" spans="2:15" ht="14.45" customHeight="1" x14ac:dyDescent="0.2">
      <c r="B93" s="210"/>
      <c r="C93" s="384"/>
      <c r="D93" s="150" t="s">
        <v>1845</v>
      </c>
      <c r="E93" s="153" t="s">
        <v>3041</v>
      </c>
      <c r="F93" s="50" t="s">
        <v>3830</v>
      </c>
      <c r="G93" s="170" t="s">
        <v>3433</v>
      </c>
      <c r="H93" s="171" t="s">
        <v>2760</v>
      </c>
      <c r="I93" s="107">
        <v>252</v>
      </c>
      <c r="J93" s="108"/>
      <c r="K93" s="109"/>
      <c r="L93" s="195"/>
      <c r="M93" s="106"/>
      <c r="N93" s="186" t="s">
        <v>2885</v>
      </c>
      <c r="O93" s="186" t="s">
        <v>4166</v>
      </c>
    </row>
    <row r="94" spans="2:15" ht="14.45" customHeight="1" x14ac:dyDescent="0.2">
      <c r="B94" s="210"/>
      <c r="C94" s="384"/>
      <c r="D94" s="150" t="s">
        <v>1845</v>
      </c>
      <c r="E94" s="153" t="s">
        <v>3042</v>
      </c>
      <c r="F94" s="50" t="s">
        <v>3831</v>
      </c>
      <c r="G94" s="170" t="s">
        <v>3434</v>
      </c>
      <c r="H94" s="171" t="s">
        <v>2760</v>
      </c>
      <c r="I94" s="107">
        <v>316</v>
      </c>
      <c r="J94" s="108"/>
      <c r="K94" s="109"/>
      <c r="L94" s="195"/>
      <c r="M94" s="106"/>
      <c r="N94" s="186" t="s">
        <v>2885</v>
      </c>
      <c r="O94" s="186" t="s">
        <v>4166</v>
      </c>
    </row>
    <row r="95" spans="2:15" ht="14.45" customHeight="1" x14ac:dyDescent="0.2">
      <c r="B95" s="210"/>
      <c r="C95" s="384"/>
      <c r="D95" s="150" t="s">
        <v>1845</v>
      </c>
      <c r="E95" s="153" t="s">
        <v>3043</v>
      </c>
      <c r="F95" s="50" t="s">
        <v>3832</v>
      </c>
      <c r="G95" s="170" t="s">
        <v>3435</v>
      </c>
      <c r="H95" s="171" t="s">
        <v>2760</v>
      </c>
      <c r="I95" s="107">
        <v>365</v>
      </c>
      <c r="J95" s="108"/>
      <c r="K95" s="109"/>
      <c r="L95" s="195"/>
      <c r="M95" s="106"/>
      <c r="N95" s="186" t="s">
        <v>2885</v>
      </c>
      <c r="O95" s="186" t="s">
        <v>4166</v>
      </c>
    </row>
    <row r="96" spans="2:15" ht="14.45" customHeight="1" x14ac:dyDescent="0.2">
      <c r="B96" s="210"/>
      <c r="C96" s="384"/>
      <c r="D96" s="150" t="s">
        <v>1845</v>
      </c>
      <c r="E96" s="153" t="s">
        <v>3044</v>
      </c>
      <c r="F96" s="50" t="s">
        <v>3833</v>
      </c>
      <c r="G96" s="170" t="s">
        <v>3436</v>
      </c>
      <c r="H96" s="171" t="s">
        <v>2760</v>
      </c>
      <c r="I96" s="107">
        <v>290</v>
      </c>
      <c r="J96" s="108"/>
      <c r="K96" s="109"/>
      <c r="L96" s="195"/>
      <c r="M96" s="106"/>
      <c r="N96" s="186" t="s">
        <v>2885</v>
      </c>
      <c r="O96" s="186" t="s">
        <v>4166</v>
      </c>
    </row>
    <row r="97" spans="2:15" ht="14.45" customHeight="1" x14ac:dyDescent="0.2">
      <c r="B97" s="210"/>
      <c r="C97" s="384"/>
      <c r="D97" s="150" t="s">
        <v>1845</v>
      </c>
      <c r="E97" s="153" t="s">
        <v>3045</v>
      </c>
      <c r="F97" s="50" t="s">
        <v>3834</v>
      </c>
      <c r="G97" s="170" t="s">
        <v>3437</v>
      </c>
      <c r="H97" s="171" t="s">
        <v>2760</v>
      </c>
      <c r="I97" s="107">
        <v>254</v>
      </c>
      <c r="J97" s="108"/>
      <c r="K97" s="109"/>
      <c r="L97" s="195"/>
      <c r="M97" s="106"/>
      <c r="N97" s="186" t="s">
        <v>2885</v>
      </c>
      <c r="O97" s="186" t="s">
        <v>4166</v>
      </c>
    </row>
    <row r="98" spans="2:15" ht="14.45" customHeight="1" x14ac:dyDescent="0.2">
      <c r="B98" s="210"/>
      <c r="C98" s="384"/>
      <c r="D98" s="150" t="s">
        <v>1845</v>
      </c>
      <c r="E98" s="153" t="s">
        <v>3046</v>
      </c>
      <c r="F98" s="50" t="s">
        <v>3835</v>
      </c>
      <c r="G98" s="170" t="s">
        <v>3438</v>
      </c>
      <c r="H98" s="171" t="s">
        <v>2760</v>
      </c>
      <c r="I98" s="107">
        <v>1149</v>
      </c>
      <c r="J98" s="108"/>
      <c r="K98" s="109"/>
      <c r="L98" s="195"/>
      <c r="M98" s="106"/>
      <c r="N98" s="186" t="s">
        <v>2885</v>
      </c>
      <c r="O98" s="186" t="s">
        <v>4166</v>
      </c>
    </row>
    <row r="99" spans="2:15" ht="14.45" customHeight="1" x14ac:dyDescent="0.2">
      <c r="B99" s="210"/>
      <c r="C99" s="384"/>
      <c r="D99" s="150" t="s">
        <v>1845</v>
      </c>
      <c r="E99" s="153" t="s">
        <v>3047</v>
      </c>
      <c r="F99" s="50" t="s">
        <v>3836</v>
      </c>
      <c r="G99" s="170" t="s">
        <v>3439</v>
      </c>
      <c r="H99" s="171" t="s">
        <v>2760</v>
      </c>
      <c r="I99" s="107">
        <v>525</v>
      </c>
      <c r="J99" s="108"/>
      <c r="K99" s="109"/>
      <c r="L99" s="195"/>
      <c r="M99" s="106"/>
      <c r="N99" s="186" t="s">
        <v>2885</v>
      </c>
      <c r="O99" s="186" t="s">
        <v>4166</v>
      </c>
    </row>
    <row r="100" spans="2:15" ht="14.45" customHeight="1" x14ac:dyDescent="0.2">
      <c r="B100" s="210"/>
      <c r="C100" s="384"/>
      <c r="D100" s="150" t="s">
        <v>1845</v>
      </c>
      <c r="E100" s="153" t="s">
        <v>3048</v>
      </c>
      <c r="F100" s="50" t="s">
        <v>3837</v>
      </c>
      <c r="G100" s="170" t="s">
        <v>3440</v>
      </c>
      <c r="H100" s="171" t="s">
        <v>2760</v>
      </c>
      <c r="I100" s="107">
        <v>503</v>
      </c>
      <c r="J100" s="108"/>
      <c r="K100" s="109"/>
      <c r="L100" s="195"/>
      <c r="M100" s="106"/>
      <c r="N100" s="186" t="s">
        <v>2885</v>
      </c>
      <c r="O100" s="186" t="s">
        <v>4166</v>
      </c>
    </row>
    <row r="101" spans="2:15" ht="14.45" customHeight="1" x14ac:dyDescent="0.2">
      <c r="B101" s="210"/>
      <c r="C101" s="384"/>
      <c r="D101" s="150" t="s">
        <v>1845</v>
      </c>
      <c r="E101" s="153" t="s">
        <v>3049</v>
      </c>
      <c r="F101" s="50" t="s">
        <v>3838</v>
      </c>
      <c r="G101" s="170" t="s">
        <v>3441</v>
      </c>
      <c r="H101" s="171" t="s">
        <v>2760</v>
      </c>
      <c r="I101" s="107">
        <v>305</v>
      </c>
      <c r="J101" s="108"/>
      <c r="K101" s="109"/>
      <c r="L101" s="195"/>
      <c r="M101" s="106"/>
      <c r="N101" s="186" t="s">
        <v>2885</v>
      </c>
      <c r="O101" s="186" t="s">
        <v>4166</v>
      </c>
    </row>
    <row r="102" spans="2:15" ht="14.45" customHeight="1" x14ac:dyDescent="0.2">
      <c r="B102" s="210"/>
      <c r="C102" s="384"/>
      <c r="D102" s="150" t="s">
        <v>1845</v>
      </c>
      <c r="E102" s="153" t="s">
        <v>3050</v>
      </c>
      <c r="F102" s="50" t="s">
        <v>3839</v>
      </c>
      <c r="G102" s="170" t="s">
        <v>3442</v>
      </c>
      <c r="H102" s="171" t="s">
        <v>2760</v>
      </c>
      <c r="I102" s="107">
        <v>391</v>
      </c>
      <c r="J102" s="108"/>
      <c r="K102" s="109"/>
      <c r="L102" s="195"/>
      <c r="M102" s="106"/>
      <c r="N102" s="186" t="s">
        <v>2885</v>
      </c>
      <c r="O102" s="186" t="s">
        <v>4166</v>
      </c>
    </row>
    <row r="103" spans="2:15" ht="14.45" customHeight="1" x14ac:dyDescent="0.2">
      <c r="B103" s="210"/>
      <c r="C103" s="384"/>
      <c r="D103" s="150" t="s">
        <v>1845</v>
      </c>
      <c r="E103" s="153" t="s">
        <v>3051</v>
      </c>
      <c r="F103" s="50" t="s">
        <v>3840</v>
      </c>
      <c r="G103" s="170" t="s">
        <v>3443</v>
      </c>
      <c r="H103" s="171" t="s">
        <v>2760</v>
      </c>
      <c r="I103" s="107">
        <v>250</v>
      </c>
      <c r="J103" s="108"/>
      <c r="K103" s="109"/>
      <c r="L103" s="195"/>
      <c r="M103" s="106"/>
      <c r="N103" s="186" t="s">
        <v>2885</v>
      </c>
      <c r="O103" s="186" t="s">
        <v>4166</v>
      </c>
    </row>
    <row r="104" spans="2:15" ht="14.45" customHeight="1" x14ac:dyDescent="0.2">
      <c r="B104" s="210"/>
      <c r="C104" s="384"/>
      <c r="D104" s="150" t="s">
        <v>1845</v>
      </c>
      <c r="E104" s="153" t="s">
        <v>3052</v>
      </c>
      <c r="F104" s="50" t="s">
        <v>3841</v>
      </c>
      <c r="G104" s="170" t="s">
        <v>3444</v>
      </c>
      <c r="H104" s="171" t="s">
        <v>2760</v>
      </c>
      <c r="I104" s="107">
        <v>668</v>
      </c>
      <c r="J104" s="108"/>
      <c r="K104" s="109"/>
      <c r="L104" s="195"/>
      <c r="M104" s="106"/>
      <c r="N104" s="186" t="s">
        <v>2885</v>
      </c>
      <c r="O104" s="186" t="s">
        <v>4166</v>
      </c>
    </row>
    <row r="105" spans="2:15" ht="14.45" customHeight="1" x14ac:dyDescent="0.2">
      <c r="B105" s="210"/>
      <c r="C105" s="384"/>
      <c r="D105" s="150" t="s">
        <v>1845</v>
      </c>
      <c r="E105" s="153" t="s">
        <v>3053</v>
      </c>
      <c r="F105" s="50" t="s">
        <v>3842</v>
      </c>
      <c r="G105" s="170" t="s">
        <v>3445</v>
      </c>
      <c r="H105" s="171" t="s">
        <v>2760</v>
      </c>
      <c r="I105" s="107">
        <v>469</v>
      </c>
      <c r="J105" s="108"/>
      <c r="K105" s="109"/>
      <c r="L105" s="195"/>
      <c r="M105" s="106"/>
      <c r="N105" s="186" t="s">
        <v>2885</v>
      </c>
      <c r="O105" s="186" t="s">
        <v>4166</v>
      </c>
    </row>
    <row r="106" spans="2:15" ht="14.45" customHeight="1" x14ac:dyDescent="0.2">
      <c r="B106" s="210"/>
      <c r="C106" s="384"/>
      <c r="D106" s="150" t="s">
        <v>1845</v>
      </c>
      <c r="E106" s="153" t="s">
        <v>3054</v>
      </c>
      <c r="F106" s="50" t="s">
        <v>3843</v>
      </c>
      <c r="G106" s="170" t="s">
        <v>3446</v>
      </c>
      <c r="H106" s="171" t="s">
        <v>2760</v>
      </c>
      <c r="I106" s="107">
        <v>655</v>
      </c>
      <c r="J106" s="108"/>
      <c r="K106" s="109"/>
      <c r="L106" s="195"/>
      <c r="M106" s="106"/>
      <c r="N106" s="186" t="s">
        <v>2885</v>
      </c>
      <c r="O106" s="186" t="s">
        <v>4166</v>
      </c>
    </row>
    <row r="107" spans="2:15" ht="14.45" customHeight="1" x14ac:dyDescent="0.2">
      <c r="B107" s="210"/>
      <c r="C107" s="387"/>
      <c r="D107" s="122" t="s">
        <v>1845</v>
      </c>
      <c r="E107" s="123" t="s">
        <v>3055</v>
      </c>
      <c r="F107" s="12" t="s">
        <v>3844</v>
      </c>
      <c r="G107" s="158" t="s">
        <v>3447</v>
      </c>
      <c r="H107" s="159" t="s">
        <v>2760</v>
      </c>
      <c r="I107" s="95">
        <v>923</v>
      </c>
      <c r="J107" s="96"/>
      <c r="K107" s="97"/>
      <c r="L107" s="189"/>
      <c r="M107" s="98"/>
      <c r="N107" s="181" t="s">
        <v>2885</v>
      </c>
      <c r="O107" s="181" t="s">
        <v>4166</v>
      </c>
    </row>
    <row r="108" spans="2:15" ht="14.45" customHeight="1" x14ac:dyDescent="0.2">
      <c r="B108" s="210"/>
      <c r="C108" s="383" t="s">
        <v>4145</v>
      </c>
      <c r="D108" s="131" t="s">
        <v>1845</v>
      </c>
      <c r="E108" s="227" t="s">
        <v>3056</v>
      </c>
      <c r="F108" s="228" t="s">
        <v>3845</v>
      </c>
      <c r="G108" s="203" t="s">
        <v>3448</v>
      </c>
      <c r="H108" s="204" t="s">
        <v>2760</v>
      </c>
      <c r="I108" s="205">
        <v>580</v>
      </c>
      <c r="J108" s="206"/>
      <c r="K108" s="207"/>
      <c r="L108" s="208"/>
      <c r="M108" s="137"/>
      <c r="N108" s="209" t="s">
        <v>2885</v>
      </c>
      <c r="O108" s="209" t="s">
        <v>4169</v>
      </c>
    </row>
    <row r="109" spans="2:15" ht="14.45" customHeight="1" x14ac:dyDescent="0.2">
      <c r="B109" s="210"/>
      <c r="C109" s="384"/>
      <c r="D109" s="150" t="s">
        <v>1845</v>
      </c>
      <c r="E109" s="153" t="s">
        <v>3057</v>
      </c>
      <c r="F109" s="50" t="s">
        <v>3846</v>
      </c>
      <c r="G109" s="170" t="s">
        <v>3449</v>
      </c>
      <c r="H109" s="171" t="s">
        <v>2760</v>
      </c>
      <c r="I109" s="107">
        <v>225</v>
      </c>
      <c r="J109" s="108"/>
      <c r="K109" s="109"/>
      <c r="L109" s="195"/>
      <c r="M109" s="106"/>
      <c r="N109" s="186" t="s">
        <v>2885</v>
      </c>
      <c r="O109" s="186" t="s">
        <v>4168</v>
      </c>
    </row>
    <row r="110" spans="2:15" ht="14.45" customHeight="1" x14ac:dyDescent="0.2">
      <c r="B110" s="210"/>
      <c r="C110" s="384"/>
      <c r="D110" s="150" t="s">
        <v>1845</v>
      </c>
      <c r="E110" s="153" t="s">
        <v>3058</v>
      </c>
      <c r="F110" s="50" t="s">
        <v>3847</v>
      </c>
      <c r="G110" s="170" t="s">
        <v>3450</v>
      </c>
      <c r="H110" s="171" t="s">
        <v>2760</v>
      </c>
      <c r="I110" s="107">
        <v>329</v>
      </c>
      <c r="J110" s="108"/>
      <c r="K110" s="109"/>
      <c r="L110" s="195"/>
      <c r="M110" s="106"/>
      <c r="N110" s="186" t="s">
        <v>2885</v>
      </c>
      <c r="O110" s="186" t="s">
        <v>4168</v>
      </c>
    </row>
    <row r="111" spans="2:15" ht="14.45" customHeight="1" x14ac:dyDescent="0.2">
      <c r="B111" s="210"/>
      <c r="C111" s="384"/>
      <c r="D111" s="150" t="s">
        <v>1845</v>
      </c>
      <c r="E111" s="153" t="s">
        <v>3059</v>
      </c>
      <c r="F111" s="50" t="s">
        <v>3848</v>
      </c>
      <c r="G111" s="170" t="s">
        <v>3451</v>
      </c>
      <c r="H111" s="171" t="s">
        <v>2760</v>
      </c>
      <c r="I111" s="107">
        <v>260</v>
      </c>
      <c r="J111" s="108"/>
      <c r="K111" s="109"/>
      <c r="L111" s="195"/>
      <c r="M111" s="106"/>
      <c r="N111" s="186" t="s">
        <v>2885</v>
      </c>
      <c r="O111" s="186" t="s">
        <v>4168</v>
      </c>
    </row>
    <row r="112" spans="2:15" ht="14.45" customHeight="1" x14ac:dyDescent="0.2">
      <c r="B112" s="210"/>
      <c r="C112" s="384"/>
      <c r="D112" s="150" t="s">
        <v>1845</v>
      </c>
      <c r="E112" s="153" t="s">
        <v>3060</v>
      </c>
      <c r="F112" s="50" t="s">
        <v>3849</v>
      </c>
      <c r="G112" s="170" t="s">
        <v>3452</v>
      </c>
      <c r="H112" s="171" t="s">
        <v>2760</v>
      </c>
      <c r="I112" s="107">
        <v>514</v>
      </c>
      <c r="J112" s="108"/>
      <c r="K112" s="109"/>
      <c r="L112" s="195"/>
      <c r="M112" s="106"/>
      <c r="N112" s="186" t="s">
        <v>2885</v>
      </c>
      <c r="O112" s="186" t="s">
        <v>4168</v>
      </c>
    </row>
    <row r="113" spans="2:15" ht="14.45" customHeight="1" x14ac:dyDescent="0.2">
      <c r="B113" s="210"/>
      <c r="C113" s="384"/>
      <c r="D113" s="150" t="s">
        <v>1845</v>
      </c>
      <c r="E113" s="153" t="s">
        <v>3061</v>
      </c>
      <c r="F113" s="50" t="s">
        <v>3850</v>
      </c>
      <c r="G113" s="170" t="s">
        <v>3453</v>
      </c>
      <c r="H113" s="171" t="s">
        <v>2760</v>
      </c>
      <c r="I113" s="107">
        <v>514</v>
      </c>
      <c r="J113" s="108"/>
      <c r="K113" s="109"/>
      <c r="L113" s="195"/>
      <c r="M113" s="106"/>
      <c r="N113" s="186" t="s">
        <v>2885</v>
      </c>
      <c r="O113" s="186" t="s">
        <v>4168</v>
      </c>
    </row>
    <row r="114" spans="2:15" ht="14.45" customHeight="1" x14ac:dyDescent="0.2">
      <c r="B114" s="210"/>
      <c r="C114" s="384"/>
      <c r="D114" s="150" t="s">
        <v>1845</v>
      </c>
      <c r="E114" s="153" t="s">
        <v>3062</v>
      </c>
      <c r="F114" s="50" t="s">
        <v>3851</v>
      </c>
      <c r="G114" s="170" t="s">
        <v>3454</v>
      </c>
      <c r="H114" s="171" t="s">
        <v>2760</v>
      </c>
      <c r="I114" s="107">
        <v>280</v>
      </c>
      <c r="J114" s="108"/>
      <c r="K114" s="109"/>
      <c r="L114" s="195"/>
      <c r="M114" s="106"/>
      <c r="N114" s="186" t="s">
        <v>2885</v>
      </c>
      <c r="O114" s="186" t="s">
        <v>4168</v>
      </c>
    </row>
    <row r="115" spans="2:15" ht="14.45" customHeight="1" x14ac:dyDescent="0.2">
      <c r="B115" s="210"/>
      <c r="C115" s="384"/>
      <c r="D115" s="150" t="s">
        <v>1845</v>
      </c>
      <c r="E115" s="153" t="s">
        <v>3063</v>
      </c>
      <c r="F115" s="50" t="s">
        <v>3852</v>
      </c>
      <c r="G115" s="170" t="s">
        <v>3455</v>
      </c>
      <c r="H115" s="171" t="s">
        <v>2760</v>
      </c>
      <c r="I115" s="107">
        <v>240</v>
      </c>
      <c r="J115" s="108"/>
      <c r="K115" s="109"/>
      <c r="L115" s="195"/>
      <c r="M115" s="106"/>
      <c r="N115" s="186" t="s">
        <v>2885</v>
      </c>
      <c r="O115" s="186" t="s">
        <v>4168</v>
      </c>
    </row>
    <row r="116" spans="2:15" ht="14.45" customHeight="1" x14ac:dyDescent="0.2">
      <c r="B116" s="210"/>
      <c r="C116" s="384"/>
      <c r="D116" s="150" t="s">
        <v>1845</v>
      </c>
      <c r="E116" s="153" t="s">
        <v>3064</v>
      </c>
      <c r="F116" s="50" t="s">
        <v>3853</v>
      </c>
      <c r="G116" s="170" t="s">
        <v>3456</v>
      </c>
      <c r="H116" s="171" t="s">
        <v>2760</v>
      </c>
      <c r="I116" s="107">
        <v>343</v>
      </c>
      <c r="J116" s="108"/>
      <c r="K116" s="109"/>
      <c r="L116" s="195"/>
      <c r="M116" s="106"/>
      <c r="N116" s="186" t="s">
        <v>2885</v>
      </c>
      <c r="O116" s="186" t="s">
        <v>4168</v>
      </c>
    </row>
    <row r="117" spans="2:15" ht="14.45" customHeight="1" x14ac:dyDescent="0.2">
      <c r="B117" s="210"/>
      <c r="C117" s="384"/>
      <c r="D117" s="150" t="s">
        <v>1845</v>
      </c>
      <c r="E117" s="153" t="s">
        <v>3065</v>
      </c>
      <c r="F117" s="50" t="s">
        <v>3854</v>
      </c>
      <c r="G117" s="170" t="s">
        <v>3457</v>
      </c>
      <c r="H117" s="171" t="s">
        <v>2760</v>
      </c>
      <c r="I117" s="107">
        <v>198</v>
      </c>
      <c r="J117" s="108"/>
      <c r="K117" s="109"/>
      <c r="L117" s="195"/>
      <c r="M117" s="106"/>
      <c r="N117" s="186" t="s">
        <v>2885</v>
      </c>
      <c r="O117" s="186" t="s">
        <v>4168</v>
      </c>
    </row>
    <row r="118" spans="2:15" ht="14.45" customHeight="1" x14ac:dyDescent="0.2">
      <c r="B118" s="210"/>
      <c r="C118" s="384"/>
      <c r="D118" s="150" t="s">
        <v>1845</v>
      </c>
      <c r="E118" s="153" t="s">
        <v>3066</v>
      </c>
      <c r="F118" s="50" t="s">
        <v>3855</v>
      </c>
      <c r="G118" s="170" t="s">
        <v>3458</v>
      </c>
      <c r="H118" s="171" t="s">
        <v>2760</v>
      </c>
      <c r="I118" s="107">
        <v>282</v>
      </c>
      <c r="J118" s="108"/>
      <c r="K118" s="109"/>
      <c r="L118" s="195"/>
      <c r="M118" s="106"/>
      <c r="N118" s="186" t="s">
        <v>2885</v>
      </c>
      <c r="O118" s="186" t="s">
        <v>4168</v>
      </c>
    </row>
    <row r="119" spans="2:15" ht="14.45" customHeight="1" x14ac:dyDescent="0.2">
      <c r="B119" s="210"/>
      <c r="C119" s="384"/>
      <c r="D119" s="150" t="s">
        <v>1845</v>
      </c>
      <c r="E119" s="153" t="s">
        <v>3067</v>
      </c>
      <c r="F119" s="50" t="s">
        <v>3856</v>
      </c>
      <c r="G119" s="170" t="s">
        <v>3459</v>
      </c>
      <c r="H119" s="171" t="s">
        <v>2760</v>
      </c>
      <c r="I119" s="107">
        <v>367</v>
      </c>
      <c r="J119" s="108"/>
      <c r="K119" s="109"/>
      <c r="L119" s="195"/>
      <c r="M119" s="106"/>
      <c r="N119" s="186" t="s">
        <v>2885</v>
      </c>
      <c r="O119" s="186" t="s">
        <v>4168</v>
      </c>
    </row>
    <row r="120" spans="2:15" ht="14.45" customHeight="1" x14ac:dyDescent="0.2">
      <c r="B120" s="210"/>
      <c r="C120" s="384"/>
      <c r="D120" s="150" t="s">
        <v>1845</v>
      </c>
      <c r="E120" s="153" t="s">
        <v>3068</v>
      </c>
      <c r="F120" s="50" t="s">
        <v>3857</v>
      </c>
      <c r="G120" s="170" t="s">
        <v>3460</v>
      </c>
      <c r="H120" s="171" t="s">
        <v>2760</v>
      </c>
      <c r="I120" s="107">
        <v>293</v>
      </c>
      <c r="J120" s="108"/>
      <c r="K120" s="109"/>
      <c r="L120" s="195"/>
      <c r="M120" s="106"/>
      <c r="N120" s="186" t="s">
        <v>2885</v>
      </c>
      <c r="O120" s="186" t="s">
        <v>4168</v>
      </c>
    </row>
    <row r="121" spans="2:15" ht="14.45" customHeight="1" x14ac:dyDescent="0.2">
      <c r="B121" s="210"/>
      <c r="C121" s="384"/>
      <c r="D121" s="150" t="s">
        <v>1845</v>
      </c>
      <c r="E121" s="153" t="s">
        <v>3069</v>
      </c>
      <c r="F121" s="50" t="s">
        <v>3858</v>
      </c>
      <c r="G121" s="170" t="s">
        <v>3461</v>
      </c>
      <c r="H121" s="171" t="s">
        <v>2760</v>
      </c>
      <c r="I121" s="107">
        <v>320</v>
      </c>
      <c r="J121" s="108"/>
      <c r="K121" s="109"/>
      <c r="L121" s="195"/>
      <c r="M121" s="106"/>
      <c r="N121" s="186" t="s">
        <v>2885</v>
      </c>
      <c r="O121" s="186" t="s">
        <v>4168</v>
      </c>
    </row>
    <row r="122" spans="2:15" ht="14.45" customHeight="1" x14ac:dyDescent="0.2">
      <c r="B122" s="210"/>
      <c r="C122" s="384"/>
      <c r="D122" s="150" t="s">
        <v>1845</v>
      </c>
      <c r="E122" s="153" t="s">
        <v>3070</v>
      </c>
      <c r="F122" s="50" t="s">
        <v>3859</v>
      </c>
      <c r="G122" s="170" t="s">
        <v>3462</v>
      </c>
      <c r="H122" s="171" t="s">
        <v>2760</v>
      </c>
      <c r="I122" s="107">
        <v>312</v>
      </c>
      <c r="J122" s="108"/>
      <c r="K122" s="109"/>
      <c r="L122" s="195"/>
      <c r="M122" s="106"/>
      <c r="N122" s="186" t="s">
        <v>2885</v>
      </c>
      <c r="O122" s="186" t="s">
        <v>4168</v>
      </c>
    </row>
    <row r="123" spans="2:15" ht="14.45" customHeight="1" x14ac:dyDescent="0.2">
      <c r="B123" s="210"/>
      <c r="C123" s="384"/>
      <c r="D123" s="150" t="s">
        <v>1845</v>
      </c>
      <c r="E123" s="153" t="s">
        <v>3071</v>
      </c>
      <c r="F123" s="50" t="s">
        <v>3860</v>
      </c>
      <c r="G123" s="170" t="s">
        <v>3463</v>
      </c>
      <c r="H123" s="171" t="s">
        <v>2760</v>
      </c>
      <c r="I123" s="107">
        <v>380</v>
      </c>
      <c r="J123" s="108"/>
      <c r="K123" s="109"/>
      <c r="L123" s="195"/>
      <c r="M123" s="106"/>
      <c r="N123" s="186" t="s">
        <v>2885</v>
      </c>
      <c r="O123" s="186" t="s">
        <v>4168</v>
      </c>
    </row>
    <row r="124" spans="2:15" ht="14.45" customHeight="1" x14ac:dyDescent="0.2">
      <c r="B124" s="210"/>
      <c r="C124" s="384"/>
      <c r="D124" s="150" t="s">
        <v>1845</v>
      </c>
      <c r="E124" s="153" t="s">
        <v>3072</v>
      </c>
      <c r="F124" s="50" t="s">
        <v>3861</v>
      </c>
      <c r="G124" s="170" t="s">
        <v>3464</v>
      </c>
      <c r="H124" s="171" t="s">
        <v>2760</v>
      </c>
      <c r="I124" s="107">
        <v>404</v>
      </c>
      <c r="J124" s="108"/>
      <c r="K124" s="109"/>
      <c r="L124" s="195"/>
      <c r="M124" s="106"/>
      <c r="N124" s="186" t="s">
        <v>2885</v>
      </c>
      <c r="O124" s="186" t="s">
        <v>4168</v>
      </c>
    </row>
    <row r="125" spans="2:15" ht="14.45" customHeight="1" x14ac:dyDescent="0.2">
      <c r="B125" s="210"/>
      <c r="C125" s="384"/>
      <c r="D125" s="150" t="s">
        <v>1845</v>
      </c>
      <c r="E125" s="153" t="s">
        <v>3073</v>
      </c>
      <c r="F125" s="50" t="s">
        <v>3862</v>
      </c>
      <c r="G125" s="170" t="s">
        <v>3465</v>
      </c>
      <c r="H125" s="171" t="s">
        <v>2760</v>
      </c>
      <c r="I125" s="107">
        <v>337</v>
      </c>
      <c r="J125" s="108"/>
      <c r="K125" s="109"/>
      <c r="L125" s="195"/>
      <c r="M125" s="106"/>
      <c r="N125" s="186" t="s">
        <v>2885</v>
      </c>
      <c r="O125" s="186" t="s">
        <v>4168</v>
      </c>
    </row>
    <row r="126" spans="2:15" ht="14.45" customHeight="1" x14ac:dyDescent="0.2">
      <c r="B126" s="210"/>
      <c r="C126" s="384"/>
      <c r="D126" s="150" t="s">
        <v>1845</v>
      </c>
      <c r="E126" s="153" t="s">
        <v>3074</v>
      </c>
      <c r="F126" s="50" t="s">
        <v>3863</v>
      </c>
      <c r="G126" s="170" t="s">
        <v>3466</v>
      </c>
      <c r="H126" s="171" t="s">
        <v>2760</v>
      </c>
      <c r="I126" s="107">
        <v>433</v>
      </c>
      <c r="J126" s="108"/>
      <c r="K126" s="109"/>
      <c r="L126" s="195"/>
      <c r="M126" s="106"/>
      <c r="N126" s="186" t="s">
        <v>2885</v>
      </c>
      <c r="O126" s="186" t="s">
        <v>4168</v>
      </c>
    </row>
    <row r="127" spans="2:15" ht="14.45" customHeight="1" x14ac:dyDescent="0.2">
      <c r="B127" s="210"/>
      <c r="C127" s="384"/>
      <c r="D127" s="150" t="s">
        <v>1845</v>
      </c>
      <c r="E127" s="153" t="s">
        <v>3075</v>
      </c>
      <c r="F127" s="50" t="s">
        <v>3864</v>
      </c>
      <c r="G127" s="170" t="s">
        <v>3467</v>
      </c>
      <c r="H127" s="171" t="s">
        <v>2760</v>
      </c>
      <c r="I127" s="107">
        <v>432</v>
      </c>
      <c r="J127" s="108"/>
      <c r="K127" s="109"/>
      <c r="L127" s="195"/>
      <c r="M127" s="106"/>
      <c r="N127" s="186" t="s">
        <v>2885</v>
      </c>
      <c r="O127" s="186" t="s">
        <v>4168</v>
      </c>
    </row>
    <row r="128" spans="2:15" ht="14.45" customHeight="1" x14ac:dyDescent="0.2">
      <c r="B128" s="210"/>
      <c r="C128" s="384"/>
      <c r="D128" s="150" t="s">
        <v>1845</v>
      </c>
      <c r="E128" s="153" t="s">
        <v>3076</v>
      </c>
      <c r="F128" s="50" t="s">
        <v>3865</v>
      </c>
      <c r="G128" s="170" t="s">
        <v>3468</v>
      </c>
      <c r="H128" s="171" t="s">
        <v>2760</v>
      </c>
      <c r="I128" s="107">
        <v>228</v>
      </c>
      <c r="J128" s="108"/>
      <c r="K128" s="109"/>
      <c r="L128" s="195"/>
      <c r="M128" s="106"/>
      <c r="N128" s="186" t="s">
        <v>2885</v>
      </c>
      <c r="O128" s="186" t="s">
        <v>4168</v>
      </c>
    </row>
    <row r="129" spans="2:15" ht="14.45" customHeight="1" x14ac:dyDescent="0.2">
      <c r="B129" s="210"/>
      <c r="C129" s="384"/>
      <c r="D129" s="150" t="s">
        <v>1845</v>
      </c>
      <c r="E129" s="153" t="s">
        <v>3077</v>
      </c>
      <c r="F129" s="50" t="s">
        <v>3866</v>
      </c>
      <c r="G129" s="170" t="s">
        <v>3469</v>
      </c>
      <c r="H129" s="171" t="s">
        <v>2760</v>
      </c>
      <c r="I129" s="107">
        <v>342</v>
      </c>
      <c r="J129" s="108"/>
      <c r="K129" s="109"/>
      <c r="L129" s="195"/>
      <c r="M129" s="106"/>
      <c r="N129" s="186" t="s">
        <v>2885</v>
      </c>
      <c r="O129" s="186" t="s">
        <v>4168</v>
      </c>
    </row>
    <row r="130" spans="2:15" ht="14.45" customHeight="1" x14ac:dyDescent="0.2">
      <c r="B130" s="210"/>
      <c r="C130" s="384"/>
      <c r="D130" s="150" t="s">
        <v>1845</v>
      </c>
      <c r="E130" s="153" t="s">
        <v>2960</v>
      </c>
      <c r="F130" s="50" t="s">
        <v>3867</v>
      </c>
      <c r="G130" s="170" t="s">
        <v>3470</v>
      </c>
      <c r="H130" s="171" t="s">
        <v>2760</v>
      </c>
      <c r="I130" s="107">
        <v>163</v>
      </c>
      <c r="J130" s="108"/>
      <c r="K130" s="109"/>
      <c r="L130" s="195"/>
      <c r="M130" s="106"/>
      <c r="N130" s="186" t="s">
        <v>2885</v>
      </c>
      <c r="O130" s="186" t="s">
        <v>4168</v>
      </c>
    </row>
    <row r="131" spans="2:15" ht="14.45" customHeight="1" x14ac:dyDescent="0.2">
      <c r="B131" s="210"/>
      <c r="C131" s="384"/>
      <c r="D131" s="150" t="s">
        <v>1845</v>
      </c>
      <c r="E131" s="153" t="s">
        <v>3078</v>
      </c>
      <c r="F131" s="50" t="s">
        <v>3868</v>
      </c>
      <c r="G131" s="170" t="s">
        <v>3471</v>
      </c>
      <c r="H131" s="171" t="s">
        <v>2760</v>
      </c>
      <c r="I131" s="107">
        <v>490</v>
      </c>
      <c r="J131" s="108"/>
      <c r="K131" s="109"/>
      <c r="L131" s="195"/>
      <c r="M131" s="106"/>
      <c r="N131" s="186" t="s">
        <v>2885</v>
      </c>
      <c r="O131" s="186" t="s">
        <v>4168</v>
      </c>
    </row>
    <row r="132" spans="2:15" ht="14.45" customHeight="1" x14ac:dyDescent="0.2">
      <c r="B132" s="210"/>
      <c r="C132" s="384"/>
      <c r="D132" s="150" t="s">
        <v>1845</v>
      </c>
      <c r="E132" s="153" t="s">
        <v>3079</v>
      </c>
      <c r="F132" s="50" t="s">
        <v>3869</v>
      </c>
      <c r="G132" s="170" t="s">
        <v>3472</v>
      </c>
      <c r="H132" s="171" t="s">
        <v>2760</v>
      </c>
      <c r="I132" s="107">
        <v>270</v>
      </c>
      <c r="J132" s="108"/>
      <c r="K132" s="109"/>
      <c r="L132" s="195"/>
      <c r="M132" s="106"/>
      <c r="N132" s="186" t="s">
        <v>2885</v>
      </c>
      <c r="O132" s="186" t="s">
        <v>4168</v>
      </c>
    </row>
    <row r="133" spans="2:15" ht="14.45" customHeight="1" x14ac:dyDescent="0.2">
      <c r="B133" s="210"/>
      <c r="C133" s="384"/>
      <c r="D133" s="150" t="s">
        <v>1845</v>
      </c>
      <c r="E133" s="153" t="s">
        <v>3080</v>
      </c>
      <c r="F133" s="50" t="s">
        <v>3870</v>
      </c>
      <c r="G133" s="170" t="s">
        <v>3473</v>
      </c>
      <c r="H133" s="171" t="s">
        <v>2760</v>
      </c>
      <c r="I133" s="107">
        <v>357</v>
      </c>
      <c r="J133" s="108"/>
      <c r="K133" s="109"/>
      <c r="L133" s="195"/>
      <c r="M133" s="106"/>
      <c r="N133" s="186" t="s">
        <v>2885</v>
      </c>
      <c r="O133" s="186" t="s">
        <v>4168</v>
      </c>
    </row>
    <row r="134" spans="2:15" ht="14.45" customHeight="1" x14ac:dyDescent="0.2">
      <c r="B134" s="210"/>
      <c r="C134" s="384"/>
      <c r="D134" s="150" t="s">
        <v>1845</v>
      </c>
      <c r="E134" s="153" t="s">
        <v>3081</v>
      </c>
      <c r="F134" s="50" t="s">
        <v>3871</v>
      </c>
      <c r="G134" s="170" t="s">
        <v>3474</v>
      </c>
      <c r="H134" s="171" t="s">
        <v>2760</v>
      </c>
      <c r="I134" s="107">
        <v>243</v>
      </c>
      <c r="J134" s="108"/>
      <c r="K134" s="109"/>
      <c r="L134" s="195"/>
      <c r="M134" s="106"/>
      <c r="N134" s="186" t="s">
        <v>2885</v>
      </c>
      <c r="O134" s="186" t="s">
        <v>4168</v>
      </c>
    </row>
    <row r="135" spans="2:15" ht="14.45" customHeight="1" x14ac:dyDescent="0.2">
      <c r="B135" s="210"/>
      <c r="C135" s="384"/>
      <c r="D135" s="150" t="s">
        <v>1845</v>
      </c>
      <c r="E135" s="153" t="s">
        <v>3082</v>
      </c>
      <c r="F135" s="50" t="s">
        <v>3872</v>
      </c>
      <c r="G135" s="170" t="s">
        <v>3475</v>
      </c>
      <c r="H135" s="171" t="s">
        <v>2760</v>
      </c>
      <c r="I135" s="107">
        <v>225</v>
      </c>
      <c r="J135" s="108"/>
      <c r="K135" s="109"/>
      <c r="L135" s="195"/>
      <c r="M135" s="106"/>
      <c r="N135" s="186" t="s">
        <v>2885</v>
      </c>
      <c r="O135" s="186" t="s">
        <v>4168</v>
      </c>
    </row>
    <row r="136" spans="2:15" ht="14.45" customHeight="1" x14ac:dyDescent="0.2">
      <c r="B136" s="210"/>
      <c r="C136" s="384"/>
      <c r="D136" s="150" t="s">
        <v>1845</v>
      </c>
      <c r="E136" s="153" t="s">
        <v>3083</v>
      </c>
      <c r="F136" s="50" t="s">
        <v>3873</v>
      </c>
      <c r="G136" s="170" t="s">
        <v>3476</v>
      </c>
      <c r="H136" s="171" t="s">
        <v>2760</v>
      </c>
      <c r="I136" s="107">
        <v>179</v>
      </c>
      <c r="J136" s="108"/>
      <c r="K136" s="109"/>
      <c r="L136" s="195"/>
      <c r="M136" s="106"/>
      <c r="N136" s="186" t="s">
        <v>2885</v>
      </c>
      <c r="O136" s="186" t="s">
        <v>4168</v>
      </c>
    </row>
    <row r="137" spans="2:15" ht="14.45" customHeight="1" x14ac:dyDescent="0.2">
      <c r="B137" s="210"/>
      <c r="C137" s="384"/>
      <c r="D137" s="150" t="s">
        <v>1845</v>
      </c>
      <c r="E137" s="153" t="s">
        <v>3084</v>
      </c>
      <c r="F137" s="50" t="s">
        <v>3874</v>
      </c>
      <c r="G137" s="170" t="s">
        <v>3477</v>
      </c>
      <c r="H137" s="171" t="s">
        <v>2760</v>
      </c>
      <c r="I137" s="107">
        <v>435</v>
      </c>
      <c r="J137" s="108"/>
      <c r="K137" s="109"/>
      <c r="L137" s="195"/>
      <c r="M137" s="106"/>
      <c r="N137" s="186" t="s">
        <v>2885</v>
      </c>
      <c r="O137" s="186" t="s">
        <v>4168</v>
      </c>
    </row>
    <row r="138" spans="2:15" ht="14.45" customHeight="1" x14ac:dyDescent="0.2">
      <c r="B138" s="210"/>
      <c r="C138" s="384"/>
      <c r="D138" s="150" t="s">
        <v>1845</v>
      </c>
      <c r="E138" s="153" t="s">
        <v>3085</v>
      </c>
      <c r="F138" s="50" t="s">
        <v>3875</v>
      </c>
      <c r="G138" s="170" t="s">
        <v>3478</v>
      </c>
      <c r="H138" s="171" t="s">
        <v>2760</v>
      </c>
      <c r="I138" s="107">
        <v>234</v>
      </c>
      <c r="J138" s="108"/>
      <c r="K138" s="109"/>
      <c r="L138" s="195"/>
      <c r="M138" s="106"/>
      <c r="N138" s="186" t="s">
        <v>2885</v>
      </c>
      <c r="O138" s="186" t="s">
        <v>4168</v>
      </c>
    </row>
    <row r="139" spans="2:15" ht="14.45" customHeight="1" x14ac:dyDescent="0.2">
      <c r="B139" s="210"/>
      <c r="C139" s="384"/>
      <c r="D139" s="150" t="s">
        <v>1845</v>
      </c>
      <c r="E139" s="153" t="s">
        <v>3086</v>
      </c>
      <c r="F139" s="50" t="s">
        <v>3876</v>
      </c>
      <c r="G139" s="170" t="s">
        <v>3479</v>
      </c>
      <c r="H139" s="171" t="s">
        <v>2760</v>
      </c>
      <c r="I139" s="107">
        <v>241</v>
      </c>
      <c r="J139" s="108"/>
      <c r="K139" s="109"/>
      <c r="L139" s="195"/>
      <c r="M139" s="106"/>
      <c r="N139" s="186" t="s">
        <v>2885</v>
      </c>
      <c r="O139" s="186" t="s">
        <v>4168</v>
      </c>
    </row>
    <row r="140" spans="2:15" ht="14.45" customHeight="1" x14ac:dyDescent="0.2">
      <c r="B140" s="210"/>
      <c r="C140" s="384"/>
      <c r="D140" s="150" t="s">
        <v>1845</v>
      </c>
      <c r="E140" s="153" t="s">
        <v>3087</v>
      </c>
      <c r="F140" s="50" t="s">
        <v>3877</v>
      </c>
      <c r="G140" s="170" t="s">
        <v>3480</v>
      </c>
      <c r="H140" s="171" t="s">
        <v>2760</v>
      </c>
      <c r="I140" s="107">
        <v>659</v>
      </c>
      <c r="J140" s="108"/>
      <c r="K140" s="109"/>
      <c r="L140" s="195"/>
      <c r="M140" s="106"/>
      <c r="N140" s="186" t="s">
        <v>2885</v>
      </c>
      <c r="O140" s="186" t="s">
        <v>4168</v>
      </c>
    </row>
    <row r="141" spans="2:15" ht="14.45" customHeight="1" x14ac:dyDescent="0.2">
      <c r="B141" s="210"/>
      <c r="C141" s="384"/>
      <c r="D141" s="150" t="s">
        <v>1845</v>
      </c>
      <c r="E141" s="153" t="s">
        <v>3088</v>
      </c>
      <c r="F141" s="50" t="s">
        <v>3878</v>
      </c>
      <c r="G141" s="170" t="s">
        <v>3481</v>
      </c>
      <c r="H141" s="171" t="s">
        <v>2760</v>
      </c>
      <c r="I141" s="107">
        <v>370</v>
      </c>
      <c r="J141" s="108"/>
      <c r="K141" s="109"/>
      <c r="L141" s="195"/>
      <c r="M141" s="106"/>
      <c r="N141" s="186" t="s">
        <v>2885</v>
      </c>
      <c r="O141" s="186" t="s">
        <v>4168</v>
      </c>
    </row>
    <row r="142" spans="2:15" ht="14.45" customHeight="1" x14ac:dyDescent="0.2">
      <c r="B142" s="210"/>
      <c r="C142" s="384"/>
      <c r="D142" s="150" t="s">
        <v>1845</v>
      </c>
      <c r="E142" s="153" t="s">
        <v>3089</v>
      </c>
      <c r="F142" s="50" t="s">
        <v>3879</v>
      </c>
      <c r="G142" s="170" t="s">
        <v>3482</v>
      </c>
      <c r="H142" s="171" t="s">
        <v>2760</v>
      </c>
      <c r="I142" s="107">
        <v>293</v>
      </c>
      <c r="J142" s="108"/>
      <c r="K142" s="109"/>
      <c r="L142" s="195"/>
      <c r="M142" s="106"/>
      <c r="N142" s="186" t="s">
        <v>2885</v>
      </c>
      <c r="O142" s="186" t="s">
        <v>4168</v>
      </c>
    </row>
    <row r="143" spans="2:15" ht="14.45" customHeight="1" x14ac:dyDescent="0.2">
      <c r="B143" s="210"/>
      <c r="C143" s="384"/>
      <c r="D143" s="150" t="s">
        <v>1845</v>
      </c>
      <c r="E143" s="153" t="s">
        <v>3090</v>
      </c>
      <c r="F143" s="50" t="s">
        <v>3880</v>
      </c>
      <c r="G143" s="170" t="s">
        <v>3483</v>
      </c>
      <c r="H143" s="171" t="s">
        <v>2760</v>
      </c>
      <c r="I143" s="107">
        <v>220</v>
      </c>
      <c r="J143" s="108"/>
      <c r="K143" s="109"/>
      <c r="L143" s="195"/>
      <c r="M143" s="106"/>
      <c r="N143" s="186" t="s">
        <v>2885</v>
      </c>
      <c r="O143" s="186" t="s">
        <v>4168</v>
      </c>
    </row>
    <row r="144" spans="2:15" ht="14.45" customHeight="1" x14ac:dyDescent="0.2">
      <c r="B144" s="210"/>
      <c r="C144" s="384"/>
      <c r="D144" s="150" t="s">
        <v>1845</v>
      </c>
      <c r="E144" s="153" t="s">
        <v>3091</v>
      </c>
      <c r="F144" s="50" t="s">
        <v>3881</v>
      </c>
      <c r="G144" s="170" t="s">
        <v>3484</v>
      </c>
      <c r="H144" s="171" t="s">
        <v>2760</v>
      </c>
      <c r="I144" s="107">
        <v>210</v>
      </c>
      <c r="J144" s="108"/>
      <c r="K144" s="109"/>
      <c r="L144" s="195"/>
      <c r="M144" s="106"/>
      <c r="N144" s="186" t="s">
        <v>2885</v>
      </c>
      <c r="O144" s="186" t="s">
        <v>4168</v>
      </c>
    </row>
    <row r="145" spans="2:15" ht="14.45" customHeight="1" x14ac:dyDescent="0.2">
      <c r="B145" s="210"/>
      <c r="C145" s="384"/>
      <c r="D145" s="150" t="s">
        <v>1845</v>
      </c>
      <c r="E145" s="153" t="s">
        <v>3092</v>
      </c>
      <c r="F145" s="50" t="s">
        <v>3882</v>
      </c>
      <c r="G145" s="170" t="s">
        <v>3485</v>
      </c>
      <c r="H145" s="171" t="s">
        <v>2760</v>
      </c>
      <c r="I145" s="107">
        <v>256</v>
      </c>
      <c r="J145" s="108"/>
      <c r="K145" s="109"/>
      <c r="L145" s="195"/>
      <c r="M145" s="106"/>
      <c r="N145" s="186" t="s">
        <v>2885</v>
      </c>
      <c r="O145" s="186" t="s">
        <v>4168</v>
      </c>
    </row>
    <row r="146" spans="2:15" ht="14.45" customHeight="1" x14ac:dyDescent="0.2">
      <c r="B146" s="210"/>
      <c r="C146" s="384"/>
      <c r="D146" s="150" t="s">
        <v>1845</v>
      </c>
      <c r="E146" s="153" t="s">
        <v>3093</v>
      </c>
      <c r="F146" s="50" t="s">
        <v>3883</v>
      </c>
      <c r="G146" s="170" t="s">
        <v>3486</v>
      </c>
      <c r="H146" s="171" t="s">
        <v>2760</v>
      </c>
      <c r="I146" s="107">
        <v>493</v>
      </c>
      <c r="J146" s="108"/>
      <c r="K146" s="109"/>
      <c r="L146" s="195"/>
      <c r="M146" s="106"/>
      <c r="N146" s="186" t="s">
        <v>2885</v>
      </c>
      <c r="O146" s="186" t="s">
        <v>4168</v>
      </c>
    </row>
    <row r="147" spans="2:15" ht="14.45" customHeight="1" x14ac:dyDescent="0.2">
      <c r="B147" s="210"/>
      <c r="C147" s="384"/>
      <c r="D147" s="150" t="s">
        <v>1845</v>
      </c>
      <c r="E147" s="153" t="s">
        <v>3094</v>
      </c>
      <c r="F147" s="50" t="s">
        <v>3884</v>
      </c>
      <c r="G147" s="170" t="s">
        <v>3487</v>
      </c>
      <c r="H147" s="171" t="s">
        <v>2760</v>
      </c>
      <c r="I147" s="107">
        <v>283</v>
      </c>
      <c r="J147" s="108"/>
      <c r="K147" s="109"/>
      <c r="L147" s="195"/>
      <c r="M147" s="106"/>
      <c r="N147" s="186" t="s">
        <v>2885</v>
      </c>
      <c r="O147" s="186" t="s">
        <v>4168</v>
      </c>
    </row>
    <row r="148" spans="2:15" ht="14.45" customHeight="1" x14ac:dyDescent="0.2">
      <c r="B148" s="210"/>
      <c r="C148" s="384"/>
      <c r="D148" s="150" t="s">
        <v>1845</v>
      </c>
      <c r="E148" s="153" t="s">
        <v>3095</v>
      </c>
      <c r="F148" s="50" t="s">
        <v>3885</v>
      </c>
      <c r="G148" s="170" t="s">
        <v>3488</v>
      </c>
      <c r="H148" s="171" t="s">
        <v>2760</v>
      </c>
      <c r="I148" s="107">
        <v>599</v>
      </c>
      <c r="J148" s="108"/>
      <c r="K148" s="109"/>
      <c r="L148" s="195"/>
      <c r="M148" s="106"/>
      <c r="N148" s="186" t="s">
        <v>2885</v>
      </c>
      <c r="O148" s="186" t="s">
        <v>4168</v>
      </c>
    </row>
    <row r="149" spans="2:15" ht="14.45" customHeight="1" x14ac:dyDescent="0.2">
      <c r="B149" s="210"/>
      <c r="C149" s="384"/>
      <c r="D149" s="150" t="s">
        <v>1845</v>
      </c>
      <c r="E149" s="153" t="s">
        <v>3096</v>
      </c>
      <c r="F149" s="50" t="s">
        <v>3886</v>
      </c>
      <c r="G149" s="170" t="s">
        <v>3489</v>
      </c>
      <c r="H149" s="171" t="s">
        <v>2760</v>
      </c>
      <c r="I149" s="107">
        <v>349</v>
      </c>
      <c r="J149" s="108"/>
      <c r="K149" s="109"/>
      <c r="L149" s="195"/>
      <c r="M149" s="106"/>
      <c r="N149" s="186" t="s">
        <v>2885</v>
      </c>
      <c r="O149" s="186" t="s">
        <v>4168</v>
      </c>
    </row>
    <row r="150" spans="2:15" ht="14.45" customHeight="1" x14ac:dyDescent="0.2">
      <c r="B150" s="210"/>
      <c r="C150" s="384"/>
      <c r="D150" s="150" t="s">
        <v>1845</v>
      </c>
      <c r="E150" s="153" t="s">
        <v>3097</v>
      </c>
      <c r="F150" s="50" t="s">
        <v>3887</v>
      </c>
      <c r="G150" s="170" t="s">
        <v>3490</v>
      </c>
      <c r="H150" s="171" t="s">
        <v>2760</v>
      </c>
      <c r="I150" s="107">
        <v>273</v>
      </c>
      <c r="J150" s="108"/>
      <c r="K150" s="109"/>
      <c r="L150" s="195"/>
      <c r="M150" s="106"/>
      <c r="N150" s="186" t="s">
        <v>2885</v>
      </c>
      <c r="O150" s="186" t="s">
        <v>4168</v>
      </c>
    </row>
    <row r="151" spans="2:15" ht="14.45" customHeight="1" x14ac:dyDescent="0.2">
      <c r="B151" s="210"/>
      <c r="C151" s="384"/>
      <c r="D151" s="150" t="s">
        <v>1845</v>
      </c>
      <c r="E151" s="153" t="s">
        <v>3098</v>
      </c>
      <c r="F151" s="50" t="s">
        <v>3888</v>
      </c>
      <c r="G151" s="170" t="s">
        <v>3491</v>
      </c>
      <c r="H151" s="171" t="s">
        <v>2760</v>
      </c>
      <c r="I151" s="107">
        <v>225</v>
      </c>
      <c r="J151" s="108"/>
      <c r="K151" s="109"/>
      <c r="L151" s="195"/>
      <c r="M151" s="106"/>
      <c r="N151" s="186" t="s">
        <v>2885</v>
      </c>
      <c r="O151" s="186" t="s">
        <v>4168</v>
      </c>
    </row>
    <row r="152" spans="2:15" ht="14.45" customHeight="1" x14ac:dyDescent="0.2">
      <c r="B152" s="210"/>
      <c r="C152" s="384"/>
      <c r="D152" s="150" t="s">
        <v>1845</v>
      </c>
      <c r="E152" s="153" t="s">
        <v>3099</v>
      </c>
      <c r="F152" s="50" t="s">
        <v>3889</v>
      </c>
      <c r="G152" s="170" t="s">
        <v>3492</v>
      </c>
      <c r="H152" s="171" t="s">
        <v>2760</v>
      </c>
      <c r="I152" s="107">
        <v>386</v>
      </c>
      <c r="J152" s="108"/>
      <c r="K152" s="109"/>
      <c r="L152" s="195"/>
      <c r="M152" s="106"/>
      <c r="N152" s="186" t="s">
        <v>2885</v>
      </c>
      <c r="O152" s="186" t="s">
        <v>4168</v>
      </c>
    </row>
    <row r="153" spans="2:15" ht="14.45" customHeight="1" x14ac:dyDescent="0.2">
      <c r="B153" s="210"/>
      <c r="C153" s="384"/>
      <c r="D153" s="150" t="s">
        <v>1845</v>
      </c>
      <c r="E153" s="153" t="s">
        <v>3100</v>
      </c>
      <c r="F153" s="50" t="s">
        <v>3890</v>
      </c>
      <c r="G153" s="170" t="s">
        <v>3493</v>
      </c>
      <c r="H153" s="171" t="s">
        <v>2760</v>
      </c>
      <c r="I153" s="107">
        <v>615</v>
      </c>
      <c r="J153" s="108"/>
      <c r="K153" s="109"/>
      <c r="L153" s="195"/>
      <c r="M153" s="106"/>
      <c r="N153" s="186" t="s">
        <v>2885</v>
      </c>
      <c r="O153" s="186" t="s">
        <v>4168</v>
      </c>
    </row>
    <row r="154" spans="2:15" ht="14.45" customHeight="1" x14ac:dyDescent="0.2">
      <c r="B154" s="210"/>
      <c r="C154" s="384"/>
      <c r="D154" s="150" t="s">
        <v>1845</v>
      </c>
      <c r="E154" s="153" t="s">
        <v>3101</v>
      </c>
      <c r="F154" s="50" t="s">
        <v>3891</v>
      </c>
      <c r="G154" s="170" t="s">
        <v>3494</v>
      </c>
      <c r="H154" s="171" t="s">
        <v>2760</v>
      </c>
      <c r="I154" s="107">
        <v>631</v>
      </c>
      <c r="J154" s="108"/>
      <c r="K154" s="109"/>
      <c r="L154" s="195"/>
      <c r="M154" s="106"/>
      <c r="N154" s="186" t="s">
        <v>2885</v>
      </c>
      <c r="O154" s="186" t="s">
        <v>4168</v>
      </c>
    </row>
    <row r="155" spans="2:15" ht="14.45" customHeight="1" x14ac:dyDescent="0.2">
      <c r="B155" s="210"/>
      <c r="C155" s="384"/>
      <c r="D155" s="150" t="s">
        <v>1845</v>
      </c>
      <c r="E155" s="153" t="s">
        <v>3102</v>
      </c>
      <c r="F155" s="50" t="s">
        <v>3892</v>
      </c>
      <c r="G155" s="170" t="s">
        <v>3495</v>
      </c>
      <c r="H155" s="171" t="s">
        <v>2760</v>
      </c>
      <c r="I155" s="107">
        <v>225</v>
      </c>
      <c r="J155" s="108"/>
      <c r="K155" s="109"/>
      <c r="L155" s="195"/>
      <c r="M155" s="106"/>
      <c r="N155" s="186" t="s">
        <v>2885</v>
      </c>
      <c r="O155" s="186" t="s">
        <v>4168</v>
      </c>
    </row>
    <row r="156" spans="2:15" ht="14.45" customHeight="1" x14ac:dyDescent="0.2">
      <c r="B156" s="210"/>
      <c r="C156" s="384"/>
      <c r="D156" s="150" t="s">
        <v>1845</v>
      </c>
      <c r="E156" s="153" t="s">
        <v>3103</v>
      </c>
      <c r="F156" s="50" t="s">
        <v>3893</v>
      </c>
      <c r="G156" s="170" t="s">
        <v>3496</v>
      </c>
      <c r="H156" s="171" t="s">
        <v>2760</v>
      </c>
      <c r="I156" s="107">
        <v>166</v>
      </c>
      <c r="J156" s="108"/>
      <c r="K156" s="109"/>
      <c r="L156" s="195"/>
      <c r="M156" s="106"/>
      <c r="N156" s="186" t="s">
        <v>2885</v>
      </c>
      <c r="O156" s="186" t="s">
        <v>4168</v>
      </c>
    </row>
    <row r="157" spans="2:15" ht="14.45" customHeight="1" x14ac:dyDescent="0.2">
      <c r="B157" s="210"/>
      <c r="C157" s="384"/>
      <c r="D157" s="150" t="s">
        <v>1845</v>
      </c>
      <c r="E157" s="153" t="s">
        <v>3104</v>
      </c>
      <c r="F157" s="50" t="s">
        <v>3894</v>
      </c>
      <c r="G157" s="170" t="s">
        <v>3497</v>
      </c>
      <c r="H157" s="171" t="s">
        <v>2760</v>
      </c>
      <c r="I157" s="107">
        <v>383</v>
      </c>
      <c r="J157" s="108"/>
      <c r="K157" s="109"/>
      <c r="L157" s="195"/>
      <c r="M157" s="106"/>
      <c r="N157" s="186" t="s">
        <v>2885</v>
      </c>
      <c r="O157" s="186" t="s">
        <v>4168</v>
      </c>
    </row>
    <row r="158" spans="2:15" ht="14.45" customHeight="1" x14ac:dyDescent="0.2">
      <c r="B158" s="210"/>
      <c r="C158" s="384"/>
      <c r="D158" s="150" t="s">
        <v>1845</v>
      </c>
      <c r="E158" s="153" t="s">
        <v>3105</v>
      </c>
      <c r="F158" s="50" t="s">
        <v>3895</v>
      </c>
      <c r="G158" s="170" t="s">
        <v>3498</v>
      </c>
      <c r="H158" s="171" t="s">
        <v>2760</v>
      </c>
      <c r="I158" s="107">
        <v>380</v>
      </c>
      <c r="J158" s="108"/>
      <c r="K158" s="109"/>
      <c r="L158" s="195"/>
      <c r="M158" s="106"/>
      <c r="N158" s="186" t="s">
        <v>2885</v>
      </c>
      <c r="O158" s="186" t="s">
        <v>4168</v>
      </c>
    </row>
    <row r="159" spans="2:15" ht="14.45" customHeight="1" x14ac:dyDescent="0.2">
      <c r="B159" s="210"/>
      <c r="C159" s="384"/>
      <c r="D159" s="150" t="s">
        <v>1845</v>
      </c>
      <c r="E159" s="153" t="s">
        <v>3106</v>
      </c>
      <c r="F159" s="50" t="s">
        <v>3896</v>
      </c>
      <c r="G159" s="170" t="s">
        <v>3499</v>
      </c>
      <c r="H159" s="171" t="s">
        <v>2760</v>
      </c>
      <c r="I159" s="107">
        <v>458</v>
      </c>
      <c r="J159" s="108"/>
      <c r="K159" s="109"/>
      <c r="L159" s="195"/>
      <c r="M159" s="106"/>
      <c r="N159" s="186" t="s">
        <v>2885</v>
      </c>
      <c r="O159" s="186" t="s">
        <v>4168</v>
      </c>
    </row>
    <row r="160" spans="2:15" ht="14.45" customHeight="1" x14ac:dyDescent="0.2">
      <c r="B160" s="210"/>
      <c r="C160" s="384"/>
      <c r="D160" s="150" t="s">
        <v>1845</v>
      </c>
      <c r="E160" s="153" t="s">
        <v>3107</v>
      </c>
      <c r="F160" s="50" t="s">
        <v>3897</v>
      </c>
      <c r="G160" s="170" t="s">
        <v>3500</v>
      </c>
      <c r="H160" s="171" t="s">
        <v>2760</v>
      </c>
      <c r="I160" s="107">
        <v>441</v>
      </c>
      <c r="J160" s="108"/>
      <c r="K160" s="109"/>
      <c r="L160" s="195"/>
      <c r="M160" s="106"/>
      <c r="N160" s="186" t="s">
        <v>2885</v>
      </c>
      <c r="O160" s="186" t="s">
        <v>4168</v>
      </c>
    </row>
    <row r="161" spans="2:15" ht="14.45" customHeight="1" x14ac:dyDescent="0.2">
      <c r="B161" s="210"/>
      <c r="C161" s="384"/>
      <c r="D161" s="150" t="s">
        <v>1845</v>
      </c>
      <c r="E161" s="153" t="s">
        <v>3108</v>
      </c>
      <c r="F161" s="50" t="s">
        <v>3898</v>
      </c>
      <c r="G161" s="170" t="s">
        <v>3501</v>
      </c>
      <c r="H161" s="171" t="s">
        <v>2760</v>
      </c>
      <c r="I161" s="107">
        <v>650</v>
      </c>
      <c r="J161" s="108"/>
      <c r="K161" s="109"/>
      <c r="L161" s="195"/>
      <c r="M161" s="106"/>
      <c r="N161" s="186" t="s">
        <v>2885</v>
      </c>
      <c r="O161" s="186" t="s">
        <v>4168</v>
      </c>
    </row>
    <row r="162" spans="2:15" ht="14.45" customHeight="1" x14ac:dyDescent="0.2">
      <c r="B162" s="210"/>
      <c r="C162" s="384"/>
      <c r="D162" s="150" t="s">
        <v>1845</v>
      </c>
      <c r="E162" s="153" t="s">
        <v>3109</v>
      </c>
      <c r="F162" s="50" t="s">
        <v>3899</v>
      </c>
      <c r="G162" s="170" t="s">
        <v>3502</v>
      </c>
      <c r="H162" s="171" t="s">
        <v>2760</v>
      </c>
      <c r="I162" s="107">
        <v>170</v>
      </c>
      <c r="J162" s="108"/>
      <c r="K162" s="109"/>
      <c r="L162" s="195"/>
      <c r="M162" s="106"/>
      <c r="N162" s="186" t="s">
        <v>2885</v>
      </c>
      <c r="O162" s="186" t="s">
        <v>4168</v>
      </c>
    </row>
    <row r="163" spans="2:15" ht="14.45" customHeight="1" x14ac:dyDescent="0.2">
      <c r="B163" s="210"/>
      <c r="C163" s="384"/>
      <c r="D163" s="150" t="s">
        <v>1845</v>
      </c>
      <c r="E163" s="153" t="s">
        <v>3110</v>
      </c>
      <c r="F163" s="50" t="s">
        <v>3900</v>
      </c>
      <c r="G163" s="170" t="s">
        <v>3503</v>
      </c>
      <c r="H163" s="171" t="s">
        <v>2760</v>
      </c>
      <c r="I163" s="107">
        <v>323</v>
      </c>
      <c r="J163" s="108"/>
      <c r="K163" s="109"/>
      <c r="L163" s="195"/>
      <c r="M163" s="106"/>
      <c r="N163" s="186" t="s">
        <v>2885</v>
      </c>
      <c r="O163" s="186" t="s">
        <v>4168</v>
      </c>
    </row>
    <row r="164" spans="2:15" ht="14.45" customHeight="1" x14ac:dyDescent="0.2">
      <c r="B164" s="210"/>
      <c r="C164" s="384"/>
      <c r="D164" s="150" t="s">
        <v>1845</v>
      </c>
      <c r="E164" s="153" t="s">
        <v>3111</v>
      </c>
      <c r="F164" s="50" t="s">
        <v>3901</v>
      </c>
      <c r="G164" s="170" t="s">
        <v>3504</v>
      </c>
      <c r="H164" s="171" t="s">
        <v>2760</v>
      </c>
      <c r="I164" s="107">
        <v>598</v>
      </c>
      <c r="J164" s="108"/>
      <c r="K164" s="109"/>
      <c r="L164" s="195"/>
      <c r="M164" s="106"/>
      <c r="N164" s="186" t="s">
        <v>2885</v>
      </c>
      <c r="O164" s="186" t="s">
        <v>4168</v>
      </c>
    </row>
    <row r="165" spans="2:15" ht="14.45" customHeight="1" x14ac:dyDescent="0.2">
      <c r="B165" s="210"/>
      <c r="C165" s="384"/>
      <c r="D165" s="150" t="s">
        <v>1845</v>
      </c>
      <c r="E165" s="153" t="s">
        <v>3112</v>
      </c>
      <c r="F165" s="50" t="s">
        <v>3902</v>
      </c>
      <c r="G165" s="170" t="s">
        <v>3505</v>
      </c>
      <c r="H165" s="171" t="s">
        <v>2760</v>
      </c>
      <c r="I165" s="107">
        <v>1764</v>
      </c>
      <c r="J165" s="108"/>
      <c r="K165" s="109"/>
      <c r="L165" s="195"/>
      <c r="M165" s="106"/>
      <c r="N165" s="186" t="s">
        <v>2885</v>
      </c>
      <c r="O165" s="186" t="s">
        <v>4168</v>
      </c>
    </row>
    <row r="166" spans="2:15" ht="14.45" customHeight="1" x14ac:dyDescent="0.2">
      <c r="B166" s="210"/>
      <c r="C166" s="384"/>
      <c r="D166" s="150" t="s">
        <v>1845</v>
      </c>
      <c r="E166" s="153" t="s">
        <v>3113</v>
      </c>
      <c r="F166" s="50" t="s">
        <v>3903</v>
      </c>
      <c r="G166" s="170" t="s">
        <v>3506</v>
      </c>
      <c r="H166" s="171" t="s">
        <v>2760</v>
      </c>
      <c r="I166" s="107">
        <v>520</v>
      </c>
      <c r="J166" s="108"/>
      <c r="K166" s="109"/>
      <c r="L166" s="195"/>
      <c r="M166" s="106"/>
      <c r="N166" s="186" t="s">
        <v>2885</v>
      </c>
      <c r="O166" s="186" t="s">
        <v>4168</v>
      </c>
    </row>
    <row r="167" spans="2:15" ht="14.45" customHeight="1" x14ac:dyDescent="0.2">
      <c r="B167" s="210"/>
      <c r="C167" s="387"/>
      <c r="D167" s="122" t="s">
        <v>1845</v>
      </c>
      <c r="E167" s="123" t="s">
        <v>3114</v>
      </c>
      <c r="F167" s="12" t="s">
        <v>3904</v>
      </c>
      <c r="G167" s="158" t="s">
        <v>3507</v>
      </c>
      <c r="H167" s="159" t="s">
        <v>2760</v>
      </c>
      <c r="I167" s="95">
        <v>216</v>
      </c>
      <c r="J167" s="96"/>
      <c r="K167" s="97"/>
      <c r="L167" s="189"/>
      <c r="M167" s="98"/>
      <c r="N167" s="181" t="s">
        <v>2885</v>
      </c>
      <c r="O167" s="181" t="s">
        <v>4168</v>
      </c>
    </row>
    <row r="168" spans="2:15" ht="14.45" customHeight="1" x14ac:dyDescent="0.2">
      <c r="B168" s="210"/>
      <c r="C168" s="383" t="s">
        <v>4146</v>
      </c>
      <c r="D168" s="223" t="s">
        <v>1845</v>
      </c>
      <c r="E168" s="224" t="s">
        <v>3115</v>
      </c>
      <c r="F168" s="11" t="s">
        <v>3905</v>
      </c>
      <c r="G168" s="196" t="s">
        <v>3508</v>
      </c>
      <c r="H168" s="197" t="s">
        <v>2760</v>
      </c>
      <c r="I168" s="198">
        <v>236</v>
      </c>
      <c r="J168" s="199"/>
      <c r="K168" s="200"/>
      <c r="L168" s="201"/>
      <c r="M168" s="225"/>
      <c r="N168" s="202" t="s">
        <v>2885</v>
      </c>
      <c r="O168" s="202" t="s">
        <v>4171</v>
      </c>
    </row>
    <row r="169" spans="2:15" ht="14.45" customHeight="1" x14ac:dyDescent="0.2">
      <c r="B169" s="210"/>
      <c r="C169" s="384"/>
      <c r="D169" s="150" t="s">
        <v>1845</v>
      </c>
      <c r="E169" s="153" t="s">
        <v>3116</v>
      </c>
      <c r="F169" s="50" t="s">
        <v>3906</v>
      </c>
      <c r="G169" s="170" t="s">
        <v>3509</v>
      </c>
      <c r="H169" s="171" t="s">
        <v>2760</v>
      </c>
      <c r="I169" s="107">
        <v>1009</v>
      </c>
      <c r="J169" s="108"/>
      <c r="K169" s="109"/>
      <c r="L169" s="195"/>
      <c r="M169" s="106"/>
      <c r="N169" s="186" t="s">
        <v>2885</v>
      </c>
      <c r="O169" s="186" t="s">
        <v>4170</v>
      </c>
    </row>
    <row r="170" spans="2:15" ht="14.45" customHeight="1" x14ac:dyDescent="0.2">
      <c r="B170" s="210"/>
      <c r="C170" s="384"/>
      <c r="D170" s="150" t="s">
        <v>1845</v>
      </c>
      <c r="E170" s="153" t="s">
        <v>3117</v>
      </c>
      <c r="F170" s="50" t="s">
        <v>3907</v>
      </c>
      <c r="G170" s="170" t="s">
        <v>3510</v>
      </c>
      <c r="H170" s="171" t="s">
        <v>2760</v>
      </c>
      <c r="I170" s="107">
        <v>451</v>
      </c>
      <c r="J170" s="108"/>
      <c r="K170" s="109"/>
      <c r="L170" s="195"/>
      <c r="M170" s="106"/>
      <c r="N170" s="186" t="s">
        <v>2885</v>
      </c>
      <c r="O170" s="186" t="s">
        <v>4170</v>
      </c>
    </row>
    <row r="171" spans="2:15" ht="14.45" customHeight="1" x14ac:dyDescent="0.2">
      <c r="B171" s="210"/>
      <c r="C171" s="384"/>
      <c r="D171" s="150" t="s">
        <v>1845</v>
      </c>
      <c r="E171" s="153" t="s">
        <v>3118</v>
      </c>
      <c r="F171" s="50" t="s">
        <v>3908</v>
      </c>
      <c r="G171" s="170" t="s">
        <v>3511</v>
      </c>
      <c r="H171" s="171" t="s">
        <v>2760</v>
      </c>
      <c r="I171" s="107">
        <v>228</v>
      </c>
      <c r="J171" s="108"/>
      <c r="K171" s="109"/>
      <c r="L171" s="195"/>
      <c r="M171" s="106"/>
      <c r="N171" s="186" t="s">
        <v>2885</v>
      </c>
      <c r="O171" s="186" t="s">
        <v>4170</v>
      </c>
    </row>
    <row r="172" spans="2:15" ht="14.45" customHeight="1" x14ac:dyDescent="0.2">
      <c r="B172" s="210"/>
      <c r="C172" s="384"/>
      <c r="D172" s="150" t="s">
        <v>1845</v>
      </c>
      <c r="E172" s="153" t="s">
        <v>3119</v>
      </c>
      <c r="F172" s="50" t="s">
        <v>3909</v>
      </c>
      <c r="G172" s="170" t="s">
        <v>3512</v>
      </c>
      <c r="H172" s="171" t="s">
        <v>2760</v>
      </c>
      <c r="I172" s="107">
        <v>214</v>
      </c>
      <c r="J172" s="108"/>
      <c r="K172" s="109"/>
      <c r="L172" s="195"/>
      <c r="M172" s="106"/>
      <c r="N172" s="186" t="s">
        <v>2885</v>
      </c>
      <c r="O172" s="186" t="s">
        <v>4170</v>
      </c>
    </row>
    <row r="173" spans="2:15" ht="14.45" customHeight="1" x14ac:dyDescent="0.2">
      <c r="B173" s="210"/>
      <c r="C173" s="384"/>
      <c r="D173" s="150" t="s">
        <v>1845</v>
      </c>
      <c r="E173" s="153" t="s">
        <v>3120</v>
      </c>
      <c r="F173" s="50" t="s">
        <v>3910</v>
      </c>
      <c r="G173" s="170" t="s">
        <v>3513</v>
      </c>
      <c r="H173" s="171" t="s">
        <v>2760</v>
      </c>
      <c r="I173" s="107">
        <v>253</v>
      </c>
      <c r="J173" s="108"/>
      <c r="K173" s="109"/>
      <c r="L173" s="195"/>
      <c r="M173" s="106"/>
      <c r="N173" s="186" t="s">
        <v>2885</v>
      </c>
      <c r="O173" s="186" t="s">
        <v>4170</v>
      </c>
    </row>
    <row r="174" spans="2:15" ht="14.45" customHeight="1" x14ac:dyDescent="0.2">
      <c r="B174" s="210"/>
      <c r="C174" s="384"/>
      <c r="D174" s="150" t="s">
        <v>1845</v>
      </c>
      <c r="E174" s="153" t="s">
        <v>3121</v>
      </c>
      <c r="F174" s="50" t="s">
        <v>3911</v>
      </c>
      <c r="G174" s="170" t="s">
        <v>3514</v>
      </c>
      <c r="H174" s="171" t="s">
        <v>2760</v>
      </c>
      <c r="I174" s="107">
        <v>196</v>
      </c>
      <c r="J174" s="108"/>
      <c r="K174" s="109"/>
      <c r="L174" s="195"/>
      <c r="M174" s="106"/>
      <c r="N174" s="186" t="s">
        <v>2885</v>
      </c>
      <c r="O174" s="186" t="s">
        <v>4170</v>
      </c>
    </row>
    <row r="175" spans="2:15" ht="14.45" customHeight="1" x14ac:dyDescent="0.2">
      <c r="B175" s="210"/>
      <c r="C175" s="384"/>
      <c r="D175" s="150" t="s">
        <v>1845</v>
      </c>
      <c r="E175" s="153" t="s">
        <v>3122</v>
      </c>
      <c r="F175" s="50" t="s">
        <v>3912</v>
      </c>
      <c r="G175" s="170" t="s">
        <v>3515</v>
      </c>
      <c r="H175" s="171" t="s">
        <v>2760</v>
      </c>
      <c r="I175" s="107">
        <v>246</v>
      </c>
      <c r="J175" s="108"/>
      <c r="K175" s="109"/>
      <c r="L175" s="195"/>
      <c r="M175" s="106"/>
      <c r="N175" s="186" t="s">
        <v>2885</v>
      </c>
      <c r="O175" s="186" t="s">
        <v>4170</v>
      </c>
    </row>
    <row r="176" spans="2:15" ht="14.45" customHeight="1" x14ac:dyDescent="0.2">
      <c r="B176" s="210"/>
      <c r="C176" s="384"/>
      <c r="D176" s="150" t="s">
        <v>1845</v>
      </c>
      <c r="E176" s="153" t="s">
        <v>3123</v>
      </c>
      <c r="F176" s="50" t="s">
        <v>3913</v>
      </c>
      <c r="G176" s="170" t="s">
        <v>3516</v>
      </c>
      <c r="H176" s="171" t="s">
        <v>2760</v>
      </c>
      <c r="I176" s="107">
        <v>307</v>
      </c>
      <c r="J176" s="108"/>
      <c r="K176" s="109"/>
      <c r="L176" s="195"/>
      <c r="M176" s="106"/>
      <c r="N176" s="186" t="s">
        <v>2885</v>
      </c>
      <c r="O176" s="186" t="s">
        <v>4170</v>
      </c>
    </row>
    <row r="177" spans="2:15" ht="14.45" customHeight="1" x14ac:dyDescent="0.2">
      <c r="B177" s="210"/>
      <c r="C177" s="384"/>
      <c r="D177" s="150" t="s">
        <v>1845</v>
      </c>
      <c r="E177" s="153" t="s">
        <v>3124</v>
      </c>
      <c r="F177" s="50" t="s">
        <v>3914</v>
      </c>
      <c r="G177" s="170" t="s">
        <v>3517</v>
      </c>
      <c r="H177" s="171" t="s">
        <v>2760</v>
      </c>
      <c r="I177" s="107">
        <v>291</v>
      </c>
      <c r="J177" s="108"/>
      <c r="K177" s="109"/>
      <c r="L177" s="195"/>
      <c r="M177" s="106"/>
      <c r="N177" s="186" t="s">
        <v>2885</v>
      </c>
      <c r="O177" s="186" t="s">
        <v>4170</v>
      </c>
    </row>
    <row r="178" spans="2:15" ht="14.45" customHeight="1" x14ac:dyDescent="0.2">
      <c r="B178" s="210"/>
      <c r="C178" s="384"/>
      <c r="D178" s="150" t="s">
        <v>1845</v>
      </c>
      <c r="E178" s="153" t="s">
        <v>3125</v>
      </c>
      <c r="F178" s="50" t="s">
        <v>3915</v>
      </c>
      <c r="G178" s="170" t="s">
        <v>3518</v>
      </c>
      <c r="H178" s="171" t="s">
        <v>2760</v>
      </c>
      <c r="I178" s="107">
        <v>363</v>
      </c>
      <c r="J178" s="108"/>
      <c r="K178" s="109"/>
      <c r="L178" s="195"/>
      <c r="M178" s="106"/>
      <c r="N178" s="186" t="s">
        <v>2885</v>
      </c>
      <c r="O178" s="186" t="s">
        <v>4170</v>
      </c>
    </row>
    <row r="179" spans="2:15" ht="14.45" customHeight="1" x14ac:dyDescent="0.2">
      <c r="B179" s="210"/>
      <c r="C179" s="384"/>
      <c r="D179" s="150" t="s">
        <v>1845</v>
      </c>
      <c r="E179" s="153" t="s">
        <v>3126</v>
      </c>
      <c r="F179" s="50" t="s">
        <v>3916</v>
      </c>
      <c r="G179" s="170" t="s">
        <v>3519</v>
      </c>
      <c r="H179" s="171" t="s">
        <v>2760</v>
      </c>
      <c r="I179" s="107">
        <v>402</v>
      </c>
      <c r="J179" s="108"/>
      <c r="K179" s="109"/>
      <c r="L179" s="195"/>
      <c r="M179" s="106"/>
      <c r="N179" s="186" t="s">
        <v>2885</v>
      </c>
      <c r="O179" s="186" t="s">
        <v>4170</v>
      </c>
    </row>
    <row r="180" spans="2:15" ht="14.45" customHeight="1" x14ac:dyDescent="0.2">
      <c r="B180" s="210"/>
      <c r="C180" s="384"/>
      <c r="D180" s="150" t="s">
        <v>1845</v>
      </c>
      <c r="E180" s="153" t="s">
        <v>3127</v>
      </c>
      <c r="F180" s="50" t="s">
        <v>3917</v>
      </c>
      <c r="G180" s="170" t="s">
        <v>3520</v>
      </c>
      <c r="H180" s="171" t="s">
        <v>2760</v>
      </c>
      <c r="I180" s="107">
        <v>673</v>
      </c>
      <c r="J180" s="108"/>
      <c r="K180" s="109"/>
      <c r="L180" s="195"/>
      <c r="M180" s="106"/>
      <c r="N180" s="186" t="s">
        <v>2885</v>
      </c>
      <c r="O180" s="186" t="s">
        <v>4170</v>
      </c>
    </row>
    <row r="181" spans="2:15" ht="14.45" customHeight="1" x14ac:dyDescent="0.2">
      <c r="B181" s="210"/>
      <c r="C181" s="384"/>
      <c r="D181" s="150" t="s">
        <v>1845</v>
      </c>
      <c r="E181" s="153" t="s">
        <v>3128</v>
      </c>
      <c r="F181" s="50" t="s">
        <v>3918</v>
      </c>
      <c r="G181" s="170" t="s">
        <v>3521</v>
      </c>
      <c r="H181" s="171" t="s">
        <v>2760</v>
      </c>
      <c r="I181" s="107">
        <v>428</v>
      </c>
      <c r="J181" s="108"/>
      <c r="K181" s="109"/>
      <c r="L181" s="195"/>
      <c r="M181" s="106"/>
      <c r="N181" s="186" t="s">
        <v>2885</v>
      </c>
      <c r="O181" s="186" t="s">
        <v>4170</v>
      </c>
    </row>
    <row r="182" spans="2:15" ht="14.45" customHeight="1" x14ac:dyDescent="0.2">
      <c r="B182" s="210"/>
      <c r="C182" s="384"/>
      <c r="D182" s="150" t="s">
        <v>1845</v>
      </c>
      <c r="E182" s="153" t="s">
        <v>3129</v>
      </c>
      <c r="F182" s="50" t="s">
        <v>3919</v>
      </c>
      <c r="G182" s="170" t="s">
        <v>3522</v>
      </c>
      <c r="H182" s="171" t="s">
        <v>2760</v>
      </c>
      <c r="I182" s="107">
        <v>611</v>
      </c>
      <c r="J182" s="108"/>
      <c r="K182" s="109"/>
      <c r="L182" s="195"/>
      <c r="M182" s="106"/>
      <c r="N182" s="186" t="s">
        <v>2885</v>
      </c>
      <c r="O182" s="186" t="s">
        <v>4170</v>
      </c>
    </row>
    <row r="183" spans="2:15" ht="14.45" customHeight="1" x14ac:dyDescent="0.2">
      <c r="B183" s="210"/>
      <c r="C183" s="384"/>
      <c r="D183" s="150" t="s">
        <v>1845</v>
      </c>
      <c r="E183" s="153" t="s">
        <v>3130</v>
      </c>
      <c r="F183" s="50" t="s">
        <v>3920</v>
      </c>
      <c r="G183" s="170" t="s">
        <v>3523</v>
      </c>
      <c r="H183" s="171" t="s">
        <v>2760</v>
      </c>
      <c r="I183" s="107">
        <v>1008</v>
      </c>
      <c r="J183" s="108"/>
      <c r="K183" s="109"/>
      <c r="L183" s="195"/>
      <c r="M183" s="106"/>
      <c r="N183" s="186" t="s">
        <v>2885</v>
      </c>
      <c r="O183" s="186" t="s">
        <v>4170</v>
      </c>
    </row>
    <row r="184" spans="2:15" ht="14.45" customHeight="1" x14ac:dyDescent="0.2">
      <c r="B184" s="210"/>
      <c r="C184" s="384"/>
      <c r="D184" s="150" t="s">
        <v>1845</v>
      </c>
      <c r="E184" s="153" t="s">
        <v>3131</v>
      </c>
      <c r="F184" s="50" t="s">
        <v>3921</v>
      </c>
      <c r="G184" s="170" t="s">
        <v>3524</v>
      </c>
      <c r="H184" s="171" t="s">
        <v>2760</v>
      </c>
      <c r="I184" s="107">
        <v>659</v>
      </c>
      <c r="J184" s="108"/>
      <c r="K184" s="109"/>
      <c r="L184" s="195"/>
      <c r="M184" s="106"/>
      <c r="N184" s="186" t="s">
        <v>2885</v>
      </c>
      <c r="O184" s="186" t="s">
        <v>4170</v>
      </c>
    </row>
    <row r="185" spans="2:15" ht="14.45" customHeight="1" x14ac:dyDescent="0.2">
      <c r="B185" s="210"/>
      <c r="C185" s="384"/>
      <c r="D185" s="150" t="s">
        <v>1845</v>
      </c>
      <c r="E185" s="153" t="s">
        <v>3132</v>
      </c>
      <c r="F185" s="50" t="s">
        <v>3922</v>
      </c>
      <c r="G185" s="170" t="s">
        <v>3525</v>
      </c>
      <c r="H185" s="171" t="s">
        <v>2760</v>
      </c>
      <c r="I185" s="107">
        <v>678</v>
      </c>
      <c r="J185" s="108"/>
      <c r="K185" s="109"/>
      <c r="L185" s="195"/>
      <c r="M185" s="106"/>
      <c r="N185" s="186" t="s">
        <v>2885</v>
      </c>
      <c r="O185" s="186" t="s">
        <v>4170</v>
      </c>
    </row>
    <row r="186" spans="2:15" ht="14.45" customHeight="1" x14ac:dyDescent="0.2">
      <c r="B186" s="210"/>
      <c r="C186" s="384"/>
      <c r="D186" s="150" t="s">
        <v>1845</v>
      </c>
      <c r="E186" s="153" t="s">
        <v>3133</v>
      </c>
      <c r="F186" s="50" t="s">
        <v>3923</v>
      </c>
      <c r="G186" s="170" t="s">
        <v>3526</v>
      </c>
      <c r="H186" s="171" t="s">
        <v>2760</v>
      </c>
      <c r="I186" s="107">
        <v>583</v>
      </c>
      <c r="J186" s="108"/>
      <c r="K186" s="109"/>
      <c r="L186" s="195"/>
      <c r="M186" s="106"/>
      <c r="N186" s="186" t="s">
        <v>2885</v>
      </c>
      <c r="O186" s="186" t="s">
        <v>4170</v>
      </c>
    </row>
    <row r="187" spans="2:15" ht="14.45" customHeight="1" x14ac:dyDescent="0.2">
      <c r="B187" s="210"/>
      <c r="C187" s="384"/>
      <c r="D187" s="150" t="s">
        <v>1845</v>
      </c>
      <c r="E187" s="153" t="s">
        <v>3134</v>
      </c>
      <c r="F187" s="50" t="s">
        <v>3924</v>
      </c>
      <c r="G187" s="170" t="s">
        <v>3527</v>
      </c>
      <c r="H187" s="171" t="s">
        <v>2760</v>
      </c>
      <c r="I187" s="107">
        <v>520</v>
      </c>
      <c r="J187" s="108"/>
      <c r="K187" s="109"/>
      <c r="L187" s="195"/>
      <c r="M187" s="106"/>
      <c r="N187" s="186" t="s">
        <v>2885</v>
      </c>
      <c r="O187" s="186" t="s">
        <v>4170</v>
      </c>
    </row>
    <row r="188" spans="2:15" ht="14.45" customHeight="1" x14ac:dyDescent="0.2">
      <c r="B188" s="210"/>
      <c r="C188" s="384"/>
      <c r="D188" s="150" t="s">
        <v>1845</v>
      </c>
      <c r="E188" s="153" t="s">
        <v>3135</v>
      </c>
      <c r="F188" s="50" t="s">
        <v>3925</v>
      </c>
      <c r="G188" s="170" t="s">
        <v>3528</v>
      </c>
      <c r="H188" s="171" t="s">
        <v>2760</v>
      </c>
      <c r="I188" s="107">
        <v>756</v>
      </c>
      <c r="J188" s="108"/>
      <c r="K188" s="109"/>
      <c r="L188" s="195"/>
      <c r="M188" s="106"/>
      <c r="N188" s="186" t="s">
        <v>2885</v>
      </c>
      <c r="O188" s="186" t="s">
        <v>4170</v>
      </c>
    </row>
    <row r="189" spans="2:15" ht="14.45" customHeight="1" x14ac:dyDescent="0.2">
      <c r="B189" s="210"/>
      <c r="C189" s="384"/>
      <c r="D189" s="150" t="s">
        <v>1845</v>
      </c>
      <c r="E189" s="153" t="s">
        <v>3136</v>
      </c>
      <c r="F189" s="50" t="s">
        <v>3926</v>
      </c>
      <c r="G189" s="170" t="s">
        <v>3529</v>
      </c>
      <c r="H189" s="171" t="s">
        <v>2760</v>
      </c>
      <c r="I189" s="107">
        <v>499</v>
      </c>
      <c r="J189" s="108"/>
      <c r="K189" s="109"/>
      <c r="L189" s="195"/>
      <c r="M189" s="106"/>
      <c r="N189" s="186" t="s">
        <v>2885</v>
      </c>
      <c r="O189" s="186" t="s">
        <v>4170</v>
      </c>
    </row>
    <row r="190" spans="2:15" ht="14.45" customHeight="1" x14ac:dyDescent="0.2">
      <c r="B190" s="210"/>
      <c r="C190" s="384"/>
      <c r="D190" s="150" t="s">
        <v>1845</v>
      </c>
      <c r="E190" s="153" t="s">
        <v>3137</v>
      </c>
      <c r="F190" s="50" t="s">
        <v>3927</v>
      </c>
      <c r="G190" s="170" t="s">
        <v>3530</v>
      </c>
      <c r="H190" s="171" t="s">
        <v>2760</v>
      </c>
      <c r="I190" s="107">
        <v>265</v>
      </c>
      <c r="J190" s="108"/>
      <c r="K190" s="109"/>
      <c r="L190" s="195"/>
      <c r="M190" s="106"/>
      <c r="N190" s="186" t="s">
        <v>2885</v>
      </c>
      <c r="O190" s="186" t="s">
        <v>4170</v>
      </c>
    </row>
    <row r="191" spans="2:15" ht="14.45" customHeight="1" x14ac:dyDescent="0.2">
      <c r="B191" s="210"/>
      <c r="C191" s="384"/>
      <c r="D191" s="150" t="s">
        <v>1845</v>
      </c>
      <c r="E191" s="153" t="s">
        <v>3138</v>
      </c>
      <c r="F191" s="50" t="s">
        <v>3928</v>
      </c>
      <c r="G191" s="170" t="s">
        <v>3531</v>
      </c>
      <c r="H191" s="171" t="s">
        <v>2760</v>
      </c>
      <c r="I191" s="107">
        <v>391</v>
      </c>
      <c r="J191" s="108"/>
      <c r="K191" s="109"/>
      <c r="L191" s="195"/>
      <c r="M191" s="106"/>
      <c r="N191" s="186" t="s">
        <v>2885</v>
      </c>
      <c r="O191" s="186" t="s">
        <v>4170</v>
      </c>
    </row>
    <row r="192" spans="2:15" ht="14.45" customHeight="1" x14ac:dyDescent="0.2">
      <c r="B192" s="210"/>
      <c r="C192" s="384"/>
      <c r="D192" s="150" t="s">
        <v>1845</v>
      </c>
      <c r="E192" s="153" t="s">
        <v>3139</v>
      </c>
      <c r="F192" s="50" t="s">
        <v>3929</v>
      </c>
      <c r="G192" s="170" t="s">
        <v>3532</v>
      </c>
      <c r="H192" s="171" t="s">
        <v>2760</v>
      </c>
      <c r="I192" s="107">
        <v>379</v>
      </c>
      <c r="J192" s="108"/>
      <c r="K192" s="109"/>
      <c r="L192" s="195"/>
      <c r="M192" s="106"/>
      <c r="N192" s="186" t="s">
        <v>2885</v>
      </c>
      <c r="O192" s="186" t="s">
        <v>4170</v>
      </c>
    </row>
    <row r="193" spans="2:15" ht="14.45" customHeight="1" x14ac:dyDescent="0.2">
      <c r="B193" s="210"/>
      <c r="C193" s="384"/>
      <c r="D193" s="150" t="s">
        <v>1845</v>
      </c>
      <c r="E193" s="153" t="s">
        <v>3140</v>
      </c>
      <c r="F193" s="50" t="s">
        <v>3930</v>
      </c>
      <c r="G193" s="170" t="s">
        <v>3533</v>
      </c>
      <c r="H193" s="171" t="s">
        <v>2760</v>
      </c>
      <c r="I193" s="107">
        <v>202</v>
      </c>
      <c r="J193" s="108"/>
      <c r="K193" s="109"/>
      <c r="L193" s="195"/>
      <c r="M193" s="106"/>
      <c r="N193" s="186" t="s">
        <v>2885</v>
      </c>
      <c r="O193" s="186" t="s">
        <v>4170</v>
      </c>
    </row>
    <row r="194" spans="2:15" ht="14.45" customHeight="1" x14ac:dyDescent="0.2">
      <c r="B194" s="210"/>
      <c r="C194" s="384"/>
      <c r="D194" s="150" t="s">
        <v>1845</v>
      </c>
      <c r="E194" s="153" t="s">
        <v>3141</v>
      </c>
      <c r="F194" s="50" t="s">
        <v>3931</v>
      </c>
      <c r="G194" s="170" t="s">
        <v>3534</v>
      </c>
      <c r="H194" s="171" t="s">
        <v>2760</v>
      </c>
      <c r="I194" s="107">
        <v>338</v>
      </c>
      <c r="J194" s="108"/>
      <c r="K194" s="109"/>
      <c r="L194" s="195"/>
      <c r="M194" s="106"/>
      <c r="N194" s="186" t="s">
        <v>2885</v>
      </c>
      <c r="O194" s="186" t="s">
        <v>4170</v>
      </c>
    </row>
    <row r="195" spans="2:15" ht="14.45" customHeight="1" x14ac:dyDescent="0.2">
      <c r="B195" s="210"/>
      <c r="C195" s="384"/>
      <c r="D195" s="150" t="s">
        <v>1845</v>
      </c>
      <c r="E195" s="153" t="s">
        <v>3142</v>
      </c>
      <c r="F195" s="50" t="s">
        <v>3932</v>
      </c>
      <c r="G195" s="170" t="s">
        <v>3535</v>
      </c>
      <c r="H195" s="171" t="s">
        <v>2760</v>
      </c>
      <c r="I195" s="107">
        <v>237</v>
      </c>
      <c r="J195" s="108"/>
      <c r="K195" s="109"/>
      <c r="L195" s="195"/>
      <c r="M195" s="106"/>
      <c r="N195" s="186" t="s">
        <v>2885</v>
      </c>
      <c r="O195" s="186" t="s">
        <v>4170</v>
      </c>
    </row>
    <row r="196" spans="2:15" ht="14.45" customHeight="1" x14ac:dyDescent="0.2">
      <c r="B196" s="210"/>
      <c r="C196" s="384"/>
      <c r="D196" s="150" t="s">
        <v>1845</v>
      </c>
      <c r="E196" s="153" t="s">
        <v>3143</v>
      </c>
      <c r="F196" s="50" t="s">
        <v>3933</v>
      </c>
      <c r="G196" s="170" t="s">
        <v>3536</v>
      </c>
      <c r="H196" s="171" t="s">
        <v>2760</v>
      </c>
      <c r="I196" s="107">
        <v>325</v>
      </c>
      <c r="J196" s="108"/>
      <c r="K196" s="109"/>
      <c r="L196" s="195"/>
      <c r="M196" s="106"/>
      <c r="N196" s="186" t="s">
        <v>2885</v>
      </c>
      <c r="O196" s="186" t="s">
        <v>4170</v>
      </c>
    </row>
    <row r="197" spans="2:15" ht="14.45" customHeight="1" x14ac:dyDescent="0.2">
      <c r="B197" s="210"/>
      <c r="C197" s="384"/>
      <c r="D197" s="150" t="s">
        <v>1845</v>
      </c>
      <c r="E197" s="153" t="s">
        <v>3144</v>
      </c>
      <c r="F197" s="50" t="s">
        <v>3934</v>
      </c>
      <c r="G197" s="170" t="s">
        <v>3537</v>
      </c>
      <c r="H197" s="171" t="s">
        <v>2760</v>
      </c>
      <c r="I197" s="107">
        <v>198</v>
      </c>
      <c r="J197" s="108"/>
      <c r="K197" s="109"/>
      <c r="L197" s="195"/>
      <c r="M197" s="106"/>
      <c r="N197" s="186" t="s">
        <v>2885</v>
      </c>
      <c r="O197" s="186" t="s">
        <v>4170</v>
      </c>
    </row>
    <row r="198" spans="2:15" ht="14.45" customHeight="1" x14ac:dyDescent="0.2">
      <c r="B198" s="210"/>
      <c r="C198" s="384"/>
      <c r="D198" s="150" t="s">
        <v>1845</v>
      </c>
      <c r="E198" s="153" t="s">
        <v>3145</v>
      </c>
      <c r="F198" s="50" t="s">
        <v>3935</v>
      </c>
      <c r="G198" s="170" t="s">
        <v>3538</v>
      </c>
      <c r="H198" s="171" t="s">
        <v>2760</v>
      </c>
      <c r="I198" s="107">
        <v>539</v>
      </c>
      <c r="J198" s="108"/>
      <c r="K198" s="109"/>
      <c r="L198" s="195"/>
      <c r="M198" s="106"/>
      <c r="N198" s="186" t="s">
        <v>2885</v>
      </c>
      <c r="O198" s="186" t="s">
        <v>4170</v>
      </c>
    </row>
    <row r="199" spans="2:15" ht="14.45" customHeight="1" x14ac:dyDescent="0.2">
      <c r="B199" s="210"/>
      <c r="C199" s="384"/>
      <c r="D199" s="150" t="s">
        <v>1845</v>
      </c>
      <c r="E199" s="153" t="s">
        <v>3146</v>
      </c>
      <c r="F199" s="50" t="s">
        <v>3936</v>
      </c>
      <c r="G199" s="170" t="s">
        <v>3539</v>
      </c>
      <c r="H199" s="171" t="s">
        <v>2760</v>
      </c>
      <c r="I199" s="107">
        <v>536</v>
      </c>
      <c r="J199" s="108"/>
      <c r="K199" s="109"/>
      <c r="L199" s="195"/>
      <c r="M199" s="106"/>
      <c r="N199" s="186" t="s">
        <v>2885</v>
      </c>
      <c r="O199" s="186" t="s">
        <v>4170</v>
      </c>
    </row>
    <row r="200" spans="2:15" ht="14.45" customHeight="1" x14ac:dyDescent="0.2">
      <c r="B200" s="210"/>
      <c r="C200" s="384"/>
      <c r="D200" s="150" t="s">
        <v>1845</v>
      </c>
      <c r="E200" s="153" t="s">
        <v>3147</v>
      </c>
      <c r="F200" s="50" t="s">
        <v>3937</v>
      </c>
      <c r="G200" s="170" t="s">
        <v>3540</v>
      </c>
      <c r="H200" s="171" t="s">
        <v>2760</v>
      </c>
      <c r="I200" s="107">
        <v>727</v>
      </c>
      <c r="J200" s="108"/>
      <c r="K200" s="109"/>
      <c r="L200" s="195"/>
      <c r="M200" s="106"/>
      <c r="N200" s="186" t="s">
        <v>2885</v>
      </c>
      <c r="O200" s="186" t="s">
        <v>4170</v>
      </c>
    </row>
    <row r="201" spans="2:15" ht="14.45" customHeight="1" x14ac:dyDescent="0.2">
      <c r="B201" s="210"/>
      <c r="C201" s="384"/>
      <c r="D201" s="150" t="s">
        <v>1845</v>
      </c>
      <c r="E201" s="153" t="s">
        <v>3148</v>
      </c>
      <c r="F201" s="50" t="s">
        <v>3938</v>
      </c>
      <c r="G201" s="170" t="s">
        <v>3541</v>
      </c>
      <c r="H201" s="171" t="s">
        <v>2760</v>
      </c>
      <c r="I201" s="107">
        <v>501</v>
      </c>
      <c r="J201" s="108"/>
      <c r="K201" s="109"/>
      <c r="L201" s="195"/>
      <c r="M201" s="106"/>
      <c r="N201" s="186" t="s">
        <v>2885</v>
      </c>
      <c r="O201" s="186" t="s">
        <v>4170</v>
      </c>
    </row>
    <row r="202" spans="2:15" ht="14.45" customHeight="1" thickBot="1" x14ac:dyDescent="0.25">
      <c r="B202" s="211"/>
      <c r="C202" s="385"/>
      <c r="D202" s="138" t="s">
        <v>1845</v>
      </c>
      <c r="E202" s="139" t="s">
        <v>3149</v>
      </c>
      <c r="F202" s="49" t="s">
        <v>3939</v>
      </c>
      <c r="G202" s="164" t="s">
        <v>3542</v>
      </c>
      <c r="H202" s="165" t="s">
        <v>2760</v>
      </c>
      <c r="I202" s="99">
        <v>447</v>
      </c>
      <c r="J202" s="100"/>
      <c r="K202" s="101"/>
      <c r="L202" s="192"/>
      <c r="M202" s="102"/>
      <c r="N202" s="179" t="s">
        <v>2885</v>
      </c>
      <c r="O202" s="179" t="s">
        <v>4170</v>
      </c>
    </row>
    <row r="203" spans="2:15" ht="14.45" customHeight="1" x14ac:dyDescent="0.2">
      <c r="B203" s="212" t="s">
        <v>4147</v>
      </c>
      <c r="C203" s="386" t="s">
        <v>4148</v>
      </c>
      <c r="D203" s="115" t="s">
        <v>1845</v>
      </c>
      <c r="E203" s="213" t="s">
        <v>3150</v>
      </c>
      <c r="F203" s="214" t="s">
        <v>3940</v>
      </c>
      <c r="G203" s="215" t="s">
        <v>3543</v>
      </c>
      <c r="H203" s="216" t="s">
        <v>2760</v>
      </c>
      <c r="I203" s="217">
        <v>377</v>
      </c>
      <c r="J203" s="218"/>
      <c r="K203" s="219"/>
      <c r="L203" s="220"/>
      <c r="M203" s="121"/>
      <c r="N203" s="221" t="s">
        <v>4147</v>
      </c>
      <c r="O203" s="221" t="s">
        <v>4173</v>
      </c>
    </row>
    <row r="204" spans="2:15" ht="14.45" customHeight="1" x14ac:dyDescent="0.2">
      <c r="B204" s="210"/>
      <c r="C204" s="387"/>
      <c r="D204" s="122" t="s">
        <v>1845</v>
      </c>
      <c r="E204" s="123" t="s">
        <v>3151</v>
      </c>
      <c r="F204" s="12" t="s">
        <v>3941</v>
      </c>
      <c r="G204" s="158" t="s">
        <v>3544</v>
      </c>
      <c r="H204" s="159" t="s">
        <v>2760</v>
      </c>
      <c r="I204" s="95">
        <v>357</v>
      </c>
      <c r="J204" s="96"/>
      <c r="K204" s="97"/>
      <c r="L204" s="189"/>
      <c r="M204" s="98"/>
      <c r="N204" s="181" t="s">
        <v>2886</v>
      </c>
      <c r="O204" s="181" t="s">
        <v>4172</v>
      </c>
    </row>
    <row r="205" spans="2:15" ht="14.45" customHeight="1" x14ac:dyDescent="0.2">
      <c r="B205" s="210"/>
      <c r="C205" s="383" t="s">
        <v>4149</v>
      </c>
      <c r="D205" s="131" t="s">
        <v>1845</v>
      </c>
      <c r="E205" s="227" t="s">
        <v>3152</v>
      </c>
      <c r="F205" s="228" t="s">
        <v>3942</v>
      </c>
      <c r="G205" s="203" t="s">
        <v>3545</v>
      </c>
      <c r="H205" s="204" t="s">
        <v>2760</v>
      </c>
      <c r="I205" s="205">
        <v>397</v>
      </c>
      <c r="J205" s="206"/>
      <c r="K205" s="207"/>
      <c r="L205" s="208"/>
      <c r="M205" s="137"/>
      <c r="N205" s="209" t="s">
        <v>2886</v>
      </c>
      <c r="O205" s="209" t="s">
        <v>4175</v>
      </c>
    </row>
    <row r="206" spans="2:15" ht="14.45" customHeight="1" x14ac:dyDescent="0.2">
      <c r="B206" s="210"/>
      <c r="C206" s="384"/>
      <c r="D206" s="150" t="s">
        <v>1845</v>
      </c>
      <c r="E206" s="153" t="s">
        <v>3153</v>
      </c>
      <c r="F206" s="50" t="s">
        <v>3943</v>
      </c>
      <c r="G206" s="170" t="s">
        <v>3546</v>
      </c>
      <c r="H206" s="171" t="s">
        <v>2760</v>
      </c>
      <c r="I206" s="107">
        <v>220</v>
      </c>
      <c r="J206" s="108"/>
      <c r="K206" s="109"/>
      <c r="L206" s="195"/>
      <c r="M206" s="106"/>
      <c r="N206" s="186" t="s">
        <v>2886</v>
      </c>
      <c r="O206" s="186" t="s">
        <v>4174</v>
      </c>
    </row>
    <row r="207" spans="2:15" ht="14.45" customHeight="1" x14ac:dyDescent="0.2">
      <c r="B207" s="210"/>
      <c r="C207" s="384"/>
      <c r="D207" s="150" t="s">
        <v>1845</v>
      </c>
      <c r="E207" s="153" t="s">
        <v>3154</v>
      </c>
      <c r="F207" s="50" t="s">
        <v>3944</v>
      </c>
      <c r="G207" s="170" t="s">
        <v>3547</v>
      </c>
      <c r="H207" s="171" t="s">
        <v>2760</v>
      </c>
      <c r="I207" s="107">
        <v>152</v>
      </c>
      <c r="J207" s="108"/>
      <c r="K207" s="109"/>
      <c r="L207" s="195"/>
      <c r="M207" s="106"/>
      <c r="N207" s="186" t="s">
        <v>2886</v>
      </c>
      <c r="O207" s="186" t="s">
        <v>4174</v>
      </c>
    </row>
    <row r="208" spans="2:15" ht="14.45" customHeight="1" x14ac:dyDescent="0.2">
      <c r="B208" s="210"/>
      <c r="C208" s="384"/>
      <c r="D208" s="150" t="s">
        <v>1845</v>
      </c>
      <c r="E208" s="153" t="s">
        <v>3155</v>
      </c>
      <c r="F208" s="50" t="s">
        <v>3945</v>
      </c>
      <c r="G208" s="170" t="s">
        <v>3548</v>
      </c>
      <c r="H208" s="171" t="s">
        <v>2760</v>
      </c>
      <c r="I208" s="107">
        <v>213</v>
      </c>
      <c r="J208" s="108"/>
      <c r="K208" s="109"/>
      <c r="L208" s="195"/>
      <c r="M208" s="106"/>
      <c r="N208" s="186" t="s">
        <v>2886</v>
      </c>
      <c r="O208" s="186" t="s">
        <v>4174</v>
      </c>
    </row>
    <row r="209" spans="2:15" ht="14.45" customHeight="1" x14ac:dyDescent="0.2">
      <c r="B209" s="210"/>
      <c r="C209" s="384"/>
      <c r="D209" s="150" t="s">
        <v>1845</v>
      </c>
      <c r="E209" s="153" t="s">
        <v>3156</v>
      </c>
      <c r="F209" s="50" t="s">
        <v>3946</v>
      </c>
      <c r="G209" s="170" t="s">
        <v>3549</v>
      </c>
      <c r="H209" s="171" t="s">
        <v>2760</v>
      </c>
      <c r="I209" s="107">
        <v>308</v>
      </c>
      <c r="J209" s="108"/>
      <c r="K209" s="109"/>
      <c r="L209" s="195"/>
      <c r="M209" s="106"/>
      <c r="N209" s="186" t="s">
        <v>2886</v>
      </c>
      <c r="O209" s="186" t="s">
        <v>4174</v>
      </c>
    </row>
    <row r="210" spans="2:15" ht="14.45" customHeight="1" x14ac:dyDescent="0.2">
      <c r="B210" s="210"/>
      <c r="C210" s="384"/>
      <c r="D210" s="150" t="s">
        <v>1845</v>
      </c>
      <c r="E210" s="153" t="s">
        <v>3157</v>
      </c>
      <c r="F210" s="50" t="s">
        <v>3947</v>
      </c>
      <c r="G210" s="170" t="s">
        <v>3550</v>
      </c>
      <c r="H210" s="171" t="s">
        <v>2760</v>
      </c>
      <c r="I210" s="107">
        <v>191</v>
      </c>
      <c r="J210" s="108"/>
      <c r="K210" s="109"/>
      <c r="L210" s="195"/>
      <c r="M210" s="106"/>
      <c r="N210" s="186" t="s">
        <v>2886</v>
      </c>
      <c r="O210" s="186" t="s">
        <v>4174</v>
      </c>
    </row>
    <row r="211" spans="2:15" ht="14.45" customHeight="1" x14ac:dyDescent="0.2">
      <c r="B211" s="210"/>
      <c r="C211" s="384"/>
      <c r="D211" s="150" t="s">
        <v>1845</v>
      </c>
      <c r="E211" s="153" t="s">
        <v>3158</v>
      </c>
      <c r="F211" s="50" t="s">
        <v>3948</v>
      </c>
      <c r="G211" s="170" t="s">
        <v>3551</v>
      </c>
      <c r="H211" s="171" t="s">
        <v>2760</v>
      </c>
      <c r="I211" s="107">
        <v>194</v>
      </c>
      <c r="J211" s="108"/>
      <c r="K211" s="109"/>
      <c r="L211" s="195"/>
      <c r="M211" s="106"/>
      <c r="N211" s="186" t="s">
        <v>2886</v>
      </c>
      <c r="O211" s="186" t="s">
        <v>4174</v>
      </c>
    </row>
    <row r="212" spans="2:15" ht="14.45" customHeight="1" x14ac:dyDescent="0.2">
      <c r="B212" s="210"/>
      <c r="C212" s="384"/>
      <c r="D212" s="150" t="s">
        <v>1845</v>
      </c>
      <c r="E212" s="153" t="s">
        <v>3159</v>
      </c>
      <c r="F212" s="50" t="s">
        <v>3949</v>
      </c>
      <c r="G212" s="170" t="s">
        <v>3552</v>
      </c>
      <c r="H212" s="171" t="s">
        <v>2760</v>
      </c>
      <c r="I212" s="107">
        <v>188</v>
      </c>
      <c r="J212" s="108"/>
      <c r="K212" s="109"/>
      <c r="L212" s="195"/>
      <c r="M212" s="106"/>
      <c r="N212" s="186" t="s">
        <v>2886</v>
      </c>
      <c r="O212" s="186" t="s">
        <v>4174</v>
      </c>
    </row>
    <row r="213" spans="2:15" ht="14.45" customHeight="1" x14ac:dyDescent="0.2">
      <c r="B213" s="210"/>
      <c r="C213" s="384"/>
      <c r="D213" s="150" t="s">
        <v>1845</v>
      </c>
      <c r="E213" s="153" t="s">
        <v>3160</v>
      </c>
      <c r="F213" s="50" t="s">
        <v>3950</v>
      </c>
      <c r="G213" s="170" t="s">
        <v>3553</v>
      </c>
      <c r="H213" s="171" t="s">
        <v>2760</v>
      </c>
      <c r="I213" s="107">
        <v>305</v>
      </c>
      <c r="J213" s="108"/>
      <c r="K213" s="109"/>
      <c r="L213" s="195"/>
      <c r="M213" s="106"/>
      <c r="N213" s="186" t="s">
        <v>2886</v>
      </c>
      <c r="O213" s="186" t="s">
        <v>4174</v>
      </c>
    </row>
    <row r="214" spans="2:15" ht="14.45" customHeight="1" x14ac:dyDescent="0.2">
      <c r="B214" s="210"/>
      <c r="C214" s="384"/>
      <c r="D214" s="150" t="s">
        <v>1845</v>
      </c>
      <c r="E214" s="153" t="s">
        <v>3161</v>
      </c>
      <c r="F214" s="50" t="s">
        <v>3951</v>
      </c>
      <c r="G214" s="170" t="s">
        <v>3554</v>
      </c>
      <c r="H214" s="171" t="s">
        <v>2760</v>
      </c>
      <c r="I214" s="107">
        <v>215</v>
      </c>
      <c r="J214" s="108"/>
      <c r="K214" s="109"/>
      <c r="L214" s="195"/>
      <c r="M214" s="106"/>
      <c r="N214" s="186" t="s">
        <v>2886</v>
      </c>
      <c r="O214" s="186" t="s">
        <v>4174</v>
      </c>
    </row>
    <row r="215" spans="2:15" ht="14.45" customHeight="1" x14ac:dyDescent="0.2">
      <c r="B215" s="210"/>
      <c r="C215" s="384"/>
      <c r="D215" s="150" t="s">
        <v>1845</v>
      </c>
      <c r="E215" s="153" t="s">
        <v>3162</v>
      </c>
      <c r="F215" s="50" t="s">
        <v>3952</v>
      </c>
      <c r="G215" s="170" t="s">
        <v>3555</v>
      </c>
      <c r="H215" s="171" t="s">
        <v>2760</v>
      </c>
      <c r="I215" s="107">
        <v>237</v>
      </c>
      <c r="J215" s="108"/>
      <c r="K215" s="109"/>
      <c r="L215" s="195"/>
      <c r="M215" s="106"/>
      <c r="N215" s="186" t="s">
        <v>2886</v>
      </c>
      <c r="O215" s="186" t="s">
        <v>4174</v>
      </c>
    </row>
    <row r="216" spans="2:15" ht="14.45" customHeight="1" x14ac:dyDescent="0.2">
      <c r="B216" s="210"/>
      <c r="C216" s="384"/>
      <c r="D216" s="150" t="s">
        <v>1845</v>
      </c>
      <c r="E216" s="153" t="s">
        <v>3163</v>
      </c>
      <c r="F216" s="50" t="s">
        <v>3953</v>
      </c>
      <c r="G216" s="170" t="s">
        <v>3556</v>
      </c>
      <c r="H216" s="171" t="s">
        <v>2760</v>
      </c>
      <c r="I216" s="107">
        <v>392</v>
      </c>
      <c r="J216" s="108"/>
      <c r="K216" s="109"/>
      <c r="L216" s="195"/>
      <c r="M216" s="106"/>
      <c r="N216" s="186" t="s">
        <v>2886</v>
      </c>
      <c r="O216" s="186" t="s">
        <v>4174</v>
      </c>
    </row>
    <row r="217" spans="2:15" ht="14.45" customHeight="1" x14ac:dyDescent="0.2">
      <c r="B217" s="210"/>
      <c r="C217" s="384"/>
      <c r="D217" s="150" t="s">
        <v>1845</v>
      </c>
      <c r="E217" s="153" t="s">
        <v>3164</v>
      </c>
      <c r="F217" s="50" t="s">
        <v>3954</v>
      </c>
      <c r="G217" s="170" t="s">
        <v>3557</v>
      </c>
      <c r="H217" s="171" t="s">
        <v>2760</v>
      </c>
      <c r="I217" s="107">
        <v>334</v>
      </c>
      <c r="J217" s="108"/>
      <c r="K217" s="109"/>
      <c r="L217" s="195"/>
      <c r="M217" s="106"/>
      <c r="N217" s="186" t="s">
        <v>2886</v>
      </c>
      <c r="O217" s="186" t="s">
        <v>4174</v>
      </c>
    </row>
    <row r="218" spans="2:15" ht="14.45" customHeight="1" x14ac:dyDescent="0.2">
      <c r="B218" s="210"/>
      <c r="C218" s="384"/>
      <c r="D218" s="150" t="s">
        <v>1845</v>
      </c>
      <c r="E218" s="153" t="s">
        <v>3165</v>
      </c>
      <c r="F218" s="50" t="s">
        <v>3955</v>
      </c>
      <c r="G218" s="170" t="s">
        <v>3558</v>
      </c>
      <c r="H218" s="171" t="s">
        <v>2760</v>
      </c>
      <c r="I218" s="107">
        <v>592</v>
      </c>
      <c r="J218" s="108"/>
      <c r="K218" s="109"/>
      <c r="L218" s="195"/>
      <c r="M218" s="106"/>
      <c r="N218" s="186" t="s">
        <v>2886</v>
      </c>
      <c r="O218" s="186" t="s">
        <v>4174</v>
      </c>
    </row>
    <row r="219" spans="2:15" ht="14.45" customHeight="1" x14ac:dyDescent="0.2">
      <c r="B219" s="210"/>
      <c r="C219" s="384"/>
      <c r="D219" s="150" t="s">
        <v>1845</v>
      </c>
      <c r="E219" s="153" t="s">
        <v>3166</v>
      </c>
      <c r="F219" s="50" t="s">
        <v>3956</v>
      </c>
      <c r="G219" s="170" t="s">
        <v>3559</v>
      </c>
      <c r="H219" s="171" t="s">
        <v>2760</v>
      </c>
      <c r="I219" s="107">
        <v>194</v>
      </c>
      <c r="J219" s="108"/>
      <c r="K219" s="109"/>
      <c r="L219" s="195"/>
      <c r="M219" s="106"/>
      <c r="N219" s="186" t="s">
        <v>2886</v>
      </c>
      <c r="O219" s="186" t="s">
        <v>4174</v>
      </c>
    </row>
    <row r="220" spans="2:15" ht="14.45" customHeight="1" x14ac:dyDescent="0.2">
      <c r="B220" s="210"/>
      <c r="C220" s="384"/>
      <c r="D220" s="150" t="s">
        <v>1845</v>
      </c>
      <c r="E220" s="153" t="s">
        <v>2951</v>
      </c>
      <c r="F220" s="50" t="s">
        <v>3957</v>
      </c>
      <c r="G220" s="170" t="s">
        <v>3560</v>
      </c>
      <c r="H220" s="171" t="s">
        <v>2760</v>
      </c>
      <c r="I220" s="107">
        <v>284</v>
      </c>
      <c r="J220" s="108"/>
      <c r="K220" s="109"/>
      <c r="L220" s="195"/>
      <c r="M220" s="106"/>
      <c r="N220" s="186" t="s">
        <v>2886</v>
      </c>
      <c r="O220" s="186" t="s">
        <v>4174</v>
      </c>
    </row>
    <row r="221" spans="2:15" ht="14.45" customHeight="1" x14ac:dyDescent="0.2">
      <c r="B221" s="210"/>
      <c r="C221" s="384"/>
      <c r="D221" s="150" t="s">
        <v>1845</v>
      </c>
      <c r="E221" s="153" t="s">
        <v>3167</v>
      </c>
      <c r="F221" s="50" t="s">
        <v>3958</v>
      </c>
      <c r="G221" s="170" t="s">
        <v>3561</v>
      </c>
      <c r="H221" s="171" t="s">
        <v>2760</v>
      </c>
      <c r="I221" s="107">
        <v>230</v>
      </c>
      <c r="J221" s="108"/>
      <c r="K221" s="109"/>
      <c r="L221" s="195"/>
      <c r="M221" s="106"/>
      <c r="N221" s="186" t="s">
        <v>2886</v>
      </c>
      <c r="O221" s="186" t="s">
        <v>4174</v>
      </c>
    </row>
    <row r="222" spans="2:15" ht="14.45" customHeight="1" x14ac:dyDescent="0.2">
      <c r="B222" s="210"/>
      <c r="C222" s="384"/>
      <c r="D222" s="150" t="s">
        <v>1845</v>
      </c>
      <c r="E222" s="153" t="s">
        <v>3168</v>
      </c>
      <c r="F222" s="50" t="s">
        <v>3959</v>
      </c>
      <c r="G222" s="170" t="s">
        <v>3562</v>
      </c>
      <c r="H222" s="171" t="s">
        <v>2760</v>
      </c>
      <c r="I222" s="107">
        <v>231</v>
      </c>
      <c r="J222" s="108"/>
      <c r="K222" s="109"/>
      <c r="L222" s="195"/>
      <c r="M222" s="106"/>
      <c r="N222" s="186" t="s">
        <v>2886</v>
      </c>
      <c r="O222" s="186" t="s">
        <v>4174</v>
      </c>
    </row>
    <row r="223" spans="2:15" ht="14.45" customHeight="1" x14ac:dyDescent="0.2">
      <c r="B223" s="210"/>
      <c r="C223" s="384"/>
      <c r="D223" s="150" t="s">
        <v>1845</v>
      </c>
      <c r="E223" s="153" t="s">
        <v>3169</v>
      </c>
      <c r="F223" s="50" t="s">
        <v>3960</v>
      </c>
      <c r="G223" s="170" t="s">
        <v>3563</v>
      </c>
      <c r="H223" s="171" t="s">
        <v>2760</v>
      </c>
      <c r="I223" s="107">
        <v>313</v>
      </c>
      <c r="J223" s="108"/>
      <c r="K223" s="109"/>
      <c r="L223" s="195"/>
      <c r="M223" s="106"/>
      <c r="N223" s="186" t="s">
        <v>2886</v>
      </c>
      <c r="O223" s="186" t="s">
        <v>4174</v>
      </c>
    </row>
    <row r="224" spans="2:15" ht="14.45" customHeight="1" x14ac:dyDescent="0.2">
      <c r="B224" s="210"/>
      <c r="C224" s="384"/>
      <c r="D224" s="150" t="s">
        <v>1845</v>
      </c>
      <c r="E224" s="153" t="s">
        <v>3170</v>
      </c>
      <c r="F224" s="50" t="s">
        <v>3961</v>
      </c>
      <c r="G224" s="170" t="s">
        <v>3564</v>
      </c>
      <c r="H224" s="171" t="s">
        <v>2760</v>
      </c>
      <c r="I224" s="107">
        <v>178</v>
      </c>
      <c r="J224" s="108"/>
      <c r="K224" s="109"/>
      <c r="L224" s="195"/>
      <c r="M224" s="106"/>
      <c r="N224" s="186" t="s">
        <v>2886</v>
      </c>
      <c r="O224" s="186" t="s">
        <v>4174</v>
      </c>
    </row>
    <row r="225" spans="2:15" ht="14.45" customHeight="1" x14ac:dyDescent="0.2">
      <c r="B225" s="210"/>
      <c r="C225" s="384"/>
      <c r="D225" s="150" t="s">
        <v>1845</v>
      </c>
      <c r="E225" s="153" t="s">
        <v>3171</v>
      </c>
      <c r="F225" s="50" t="s">
        <v>3962</v>
      </c>
      <c r="G225" s="170" t="s">
        <v>3565</v>
      </c>
      <c r="H225" s="171" t="s">
        <v>2760</v>
      </c>
      <c r="I225" s="107">
        <v>318</v>
      </c>
      <c r="J225" s="108"/>
      <c r="K225" s="109"/>
      <c r="L225" s="195"/>
      <c r="M225" s="106"/>
      <c r="N225" s="186" t="s">
        <v>2886</v>
      </c>
      <c r="O225" s="186" t="s">
        <v>4174</v>
      </c>
    </row>
    <row r="226" spans="2:15" ht="14.45" customHeight="1" x14ac:dyDescent="0.2">
      <c r="B226" s="210"/>
      <c r="C226" s="384"/>
      <c r="D226" s="150" t="s">
        <v>1845</v>
      </c>
      <c r="E226" s="153" t="s">
        <v>3172</v>
      </c>
      <c r="F226" s="50" t="s">
        <v>3963</v>
      </c>
      <c r="G226" s="170" t="s">
        <v>3566</v>
      </c>
      <c r="H226" s="171" t="s">
        <v>2760</v>
      </c>
      <c r="I226" s="107">
        <v>242</v>
      </c>
      <c r="J226" s="108"/>
      <c r="K226" s="109"/>
      <c r="L226" s="195"/>
      <c r="M226" s="106"/>
      <c r="N226" s="186" t="s">
        <v>2886</v>
      </c>
      <c r="O226" s="186" t="s">
        <v>4174</v>
      </c>
    </row>
    <row r="227" spans="2:15" ht="14.45" customHeight="1" x14ac:dyDescent="0.2">
      <c r="B227" s="210"/>
      <c r="C227" s="384"/>
      <c r="D227" s="150" t="s">
        <v>1845</v>
      </c>
      <c r="E227" s="153" t="s">
        <v>3173</v>
      </c>
      <c r="F227" s="50" t="s">
        <v>3964</v>
      </c>
      <c r="G227" s="170" t="s">
        <v>3567</v>
      </c>
      <c r="H227" s="171" t="s">
        <v>2760</v>
      </c>
      <c r="I227" s="107">
        <v>182</v>
      </c>
      <c r="J227" s="108"/>
      <c r="K227" s="109"/>
      <c r="L227" s="195"/>
      <c r="M227" s="106"/>
      <c r="N227" s="186" t="s">
        <v>2886</v>
      </c>
      <c r="O227" s="186" t="s">
        <v>4174</v>
      </c>
    </row>
    <row r="228" spans="2:15" ht="14.45" customHeight="1" x14ac:dyDescent="0.2">
      <c r="B228" s="210"/>
      <c r="C228" s="384"/>
      <c r="D228" s="150" t="s">
        <v>1845</v>
      </c>
      <c r="E228" s="153" t="s">
        <v>3174</v>
      </c>
      <c r="F228" s="50" t="s">
        <v>3965</v>
      </c>
      <c r="G228" s="170" t="s">
        <v>3568</v>
      </c>
      <c r="H228" s="171" t="s">
        <v>2760</v>
      </c>
      <c r="I228" s="107">
        <v>204</v>
      </c>
      <c r="J228" s="108"/>
      <c r="K228" s="109"/>
      <c r="L228" s="195"/>
      <c r="M228" s="106"/>
      <c r="N228" s="186" t="s">
        <v>2886</v>
      </c>
      <c r="O228" s="186" t="s">
        <v>4174</v>
      </c>
    </row>
    <row r="229" spans="2:15" ht="14.45" customHeight="1" x14ac:dyDescent="0.2">
      <c r="B229" s="210"/>
      <c r="C229" s="384"/>
      <c r="D229" s="150" t="s">
        <v>1845</v>
      </c>
      <c r="E229" s="153" t="s">
        <v>3175</v>
      </c>
      <c r="F229" s="50" t="s">
        <v>3966</v>
      </c>
      <c r="G229" s="170" t="s">
        <v>3569</v>
      </c>
      <c r="H229" s="171" t="s">
        <v>2760</v>
      </c>
      <c r="I229" s="107">
        <v>1121</v>
      </c>
      <c r="J229" s="108"/>
      <c r="K229" s="109"/>
      <c r="L229" s="195"/>
      <c r="M229" s="106"/>
      <c r="N229" s="186" t="s">
        <v>2886</v>
      </c>
      <c r="O229" s="186" t="s">
        <v>4174</v>
      </c>
    </row>
    <row r="230" spans="2:15" ht="14.45" customHeight="1" x14ac:dyDescent="0.2">
      <c r="B230" s="210"/>
      <c r="C230" s="384"/>
      <c r="D230" s="150" t="s">
        <v>1845</v>
      </c>
      <c r="E230" s="153" t="s">
        <v>3176</v>
      </c>
      <c r="F230" s="50" t="s">
        <v>3967</v>
      </c>
      <c r="G230" s="170" t="s">
        <v>3570</v>
      </c>
      <c r="H230" s="171" t="s">
        <v>2760</v>
      </c>
      <c r="I230" s="107">
        <v>476</v>
      </c>
      <c r="J230" s="108"/>
      <c r="K230" s="109"/>
      <c r="L230" s="195"/>
      <c r="M230" s="106"/>
      <c r="N230" s="186" t="s">
        <v>2886</v>
      </c>
      <c r="O230" s="186" t="s">
        <v>4174</v>
      </c>
    </row>
    <row r="231" spans="2:15" ht="14.45" customHeight="1" x14ac:dyDescent="0.2">
      <c r="B231" s="210"/>
      <c r="C231" s="384"/>
      <c r="D231" s="150" t="s">
        <v>1845</v>
      </c>
      <c r="E231" s="153" t="s">
        <v>3177</v>
      </c>
      <c r="F231" s="50" t="s">
        <v>3968</v>
      </c>
      <c r="G231" s="170" t="s">
        <v>3571</v>
      </c>
      <c r="H231" s="171" t="s">
        <v>2760</v>
      </c>
      <c r="I231" s="107">
        <v>285</v>
      </c>
      <c r="J231" s="108"/>
      <c r="K231" s="109"/>
      <c r="L231" s="195"/>
      <c r="M231" s="106"/>
      <c r="N231" s="186" t="s">
        <v>2886</v>
      </c>
      <c r="O231" s="186" t="s">
        <v>4174</v>
      </c>
    </row>
    <row r="232" spans="2:15" ht="14.45" customHeight="1" x14ac:dyDescent="0.2">
      <c r="B232" s="210"/>
      <c r="C232" s="384"/>
      <c r="D232" s="150" t="s">
        <v>1845</v>
      </c>
      <c r="E232" s="153" t="s">
        <v>3178</v>
      </c>
      <c r="F232" s="50" t="s">
        <v>3969</v>
      </c>
      <c r="G232" s="170" t="s">
        <v>3572</v>
      </c>
      <c r="H232" s="171" t="s">
        <v>2760</v>
      </c>
      <c r="I232" s="107">
        <v>285</v>
      </c>
      <c r="J232" s="108"/>
      <c r="K232" s="109"/>
      <c r="L232" s="195"/>
      <c r="M232" s="106"/>
      <c r="N232" s="186" t="s">
        <v>2886</v>
      </c>
      <c r="O232" s="186" t="s">
        <v>4174</v>
      </c>
    </row>
    <row r="233" spans="2:15" ht="14.45" customHeight="1" x14ac:dyDescent="0.2">
      <c r="B233" s="210"/>
      <c r="C233" s="384"/>
      <c r="D233" s="150" t="s">
        <v>1845</v>
      </c>
      <c r="E233" s="153" t="s">
        <v>3179</v>
      </c>
      <c r="F233" s="50" t="s">
        <v>3970</v>
      </c>
      <c r="G233" s="170" t="s">
        <v>3573</v>
      </c>
      <c r="H233" s="171" t="s">
        <v>2760</v>
      </c>
      <c r="I233" s="107">
        <v>207</v>
      </c>
      <c r="J233" s="108"/>
      <c r="K233" s="109"/>
      <c r="L233" s="195"/>
      <c r="M233" s="106"/>
      <c r="N233" s="186" t="s">
        <v>2886</v>
      </c>
      <c r="O233" s="186" t="s">
        <v>4174</v>
      </c>
    </row>
    <row r="234" spans="2:15" ht="14.45" customHeight="1" x14ac:dyDescent="0.2">
      <c r="B234" s="210"/>
      <c r="C234" s="384"/>
      <c r="D234" s="150" t="s">
        <v>1845</v>
      </c>
      <c r="E234" s="153" t="s">
        <v>3180</v>
      </c>
      <c r="F234" s="50" t="s">
        <v>3971</v>
      </c>
      <c r="G234" s="170" t="s">
        <v>3574</v>
      </c>
      <c r="H234" s="171" t="s">
        <v>2760</v>
      </c>
      <c r="I234" s="107">
        <v>396</v>
      </c>
      <c r="J234" s="108"/>
      <c r="K234" s="109"/>
      <c r="L234" s="195"/>
      <c r="M234" s="106"/>
      <c r="N234" s="186" t="s">
        <v>2886</v>
      </c>
      <c r="O234" s="186" t="s">
        <v>4174</v>
      </c>
    </row>
    <row r="235" spans="2:15" ht="14.45" customHeight="1" x14ac:dyDescent="0.2">
      <c r="B235" s="210"/>
      <c r="C235" s="387"/>
      <c r="D235" s="122" t="s">
        <v>1845</v>
      </c>
      <c r="E235" s="123" t="s">
        <v>3181</v>
      </c>
      <c r="F235" s="12" t="s">
        <v>3972</v>
      </c>
      <c r="G235" s="158" t="s">
        <v>3575</v>
      </c>
      <c r="H235" s="159" t="s">
        <v>2760</v>
      </c>
      <c r="I235" s="95">
        <v>246</v>
      </c>
      <c r="J235" s="96"/>
      <c r="K235" s="97"/>
      <c r="L235" s="189"/>
      <c r="M235" s="98"/>
      <c r="N235" s="181" t="s">
        <v>2886</v>
      </c>
      <c r="O235" s="181" t="s">
        <v>4174</v>
      </c>
    </row>
    <row r="236" spans="2:15" ht="14.45" customHeight="1" x14ac:dyDescent="0.2">
      <c r="B236" s="210"/>
      <c r="C236" s="383" t="s">
        <v>4150</v>
      </c>
      <c r="D236" s="223" t="s">
        <v>1845</v>
      </c>
      <c r="E236" s="224" t="s">
        <v>3182</v>
      </c>
      <c r="F236" s="11" t="s">
        <v>3973</v>
      </c>
      <c r="G236" s="196" t="s">
        <v>3576</v>
      </c>
      <c r="H236" s="197" t="s">
        <v>2760</v>
      </c>
      <c r="I236" s="198">
        <v>1154</v>
      </c>
      <c r="J236" s="199"/>
      <c r="K236" s="200"/>
      <c r="L236" s="201"/>
      <c r="M236" s="225"/>
      <c r="N236" s="202" t="s">
        <v>2886</v>
      </c>
      <c r="O236" s="202" t="s">
        <v>4177</v>
      </c>
    </row>
    <row r="237" spans="2:15" ht="14.45" customHeight="1" x14ac:dyDescent="0.2">
      <c r="B237" s="210"/>
      <c r="C237" s="384"/>
      <c r="D237" s="150" t="s">
        <v>1845</v>
      </c>
      <c r="E237" s="153" t="s">
        <v>3183</v>
      </c>
      <c r="F237" s="50" t="s">
        <v>3974</v>
      </c>
      <c r="G237" s="170" t="s">
        <v>3577</v>
      </c>
      <c r="H237" s="171" t="s">
        <v>2760</v>
      </c>
      <c r="I237" s="107">
        <v>173</v>
      </c>
      <c r="J237" s="108"/>
      <c r="K237" s="109"/>
      <c r="L237" s="195"/>
      <c r="M237" s="106"/>
      <c r="N237" s="186" t="s">
        <v>2886</v>
      </c>
      <c r="O237" s="186" t="s">
        <v>4176</v>
      </c>
    </row>
    <row r="238" spans="2:15" ht="14.45" customHeight="1" x14ac:dyDescent="0.2">
      <c r="B238" s="210"/>
      <c r="C238" s="384"/>
      <c r="D238" s="150" t="s">
        <v>1845</v>
      </c>
      <c r="E238" s="153" t="s">
        <v>3184</v>
      </c>
      <c r="F238" s="50" t="s">
        <v>3975</v>
      </c>
      <c r="G238" s="170" t="s">
        <v>3578</v>
      </c>
      <c r="H238" s="171" t="s">
        <v>2760</v>
      </c>
      <c r="I238" s="107">
        <v>261</v>
      </c>
      <c r="J238" s="108"/>
      <c r="K238" s="109"/>
      <c r="L238" s="195"/>
      <c r="M238" s="106"/>
      <c r="N238" s="186" t="s">
        <v>2886</v>
      </c>
      <c r="O238" s="186" t="s">
        <v>4176</v>
      </c>
    </row>
    <row r="239" spans="2:15" ht="14.45" customHeight="1" x14ac:dyDescent="0.2">
      <c r="B239" s="210"/>
      <c r="C239" s="384"/>
      <c r="D239" s="150" t="s">
        <v>1845</v>
      </c>
      <c r="E239" s="153" t="s">
        <v>3185</v>
      </c>
      <c r="F239" s="50" t="s">
        <v>3976</v>
      </c>
      <c r="G239" s="170" t="s">
        <v>3579</v>
      </c>
      <c r="H239" s="171" t="s">
        <v>2760</v>
      </c>
      <c r="I239" s="107">
        <v>305</v>
      </c>
      <c r="J239" s="108"/>
      <c r="K239" s="109"/>
      <c r="L239" s="195"/>
      <c r="M239" s="106"/>
      <c r="N239" s="186" t="s">
        <v>2886</v>
      </c>
      <c r="O239" s="186" t="s">
        <v>4176</v>
      </c>
    </row>
    <row r="240" spans="2:15" ht="14.45" customHeight="1" x14ac:dyDescent="0.2">
      <c r="B240" s="210"/>
      <c r="C240" s="384"/>
      <c r="D240" s="150" t="s">
        <v>1845</v>
      </c>
      <c r="E240" s="153" t="s">
        <v>3186</v>
      </c>
      <c r="F240" s="50" t="s">
        <v>3977</v>
      </c>
      <c r="G240" s="170" t="s">
        <v>3580</v>
      </c>
      <c r="H240" s="171" t="s">
        <v>2760</v>
      </c>
      <c r="I240" s="107">
        <v>213</v>
      </c>
      <c r="J240" s="108"/>
      <c r="K240" s="109"/>
      <c r="L240" s="195"/>
      <c r="M240" s="106"/>
      <c r="N240" s="186" t="s">
        <v>2886</v>
      </c>
      <c r="O240" s="186" t="s">
        <v>4176</v>
      </c>
    </row>
    <row r="241" spans="2:15" ht="14.45" customHeight="1" x14ac:dyDescent="0.2">
      <c r="B241" s="210"/>
      <c r="C241" s="384"/>
      <c r="D241" s="150" t="s">
        <v>1845</v>
      </c>
      <c r="E241" s="153" t="s">
        <v>3187</v>
      </c>
      <c r="F241" s="50" t="s">
        <v>3978</v>
      </c>
      <c r="G241" s="170" t="s">
        <v>3581</v>
      </c>
      <c r="H241" s="171" t="s">
        <v>2760</v>
      </c>
      <c r="I241" s="107">
        <v>606</v>
      </c>
      <c r="J241" s="108"/>
      <c r="K241" s="109"/>
      <c r="L241" s="195"/>
      <c r="M241" s="106"/>
      <c r="N241" s="186" t="s">
        <v>2886</v>
      </c>
      <c r="O241" s="186" t="s">
        <v>4176</v>
      </c>
    </row>
    <row r="242" spans="2:15" ht="14.45" customHeight="1" x14ac:dyDescent="0.2">
      <c r="B242" s="210"/>
      <c r="C242" s="384"/>
      <c r="D242" s="150" t="s">
        <v>1845</v>
      </c>
      <c r="E242" s="153" t="s">
        <v>3188</v>
      </c>
      <c r="F242" s="50" t="s">
        <v>3979</v>
      </c>
      <c r="G242" s="170" t="s">
        <v>3582</v>
      </c>
      <c r="H242" s="171" t="s">
        <v>2760</v>
      </c>
      <c r="I242" s="107">
        <v>304</v>
      </c>
      <c r="J242" s="108"/>
      <c r="K242" s="109"/>
      <c r="L242" s="195"/>
      <c r="M242" s="106"/>
      <c r="N242" s="186" t="s">
        <v>2886</v>
      </c>
      <c r="O242" s="186" t="s">
        <v>4176</v>
      </c>
    </row>
    <row r="243" spans="2:15" ht="14.45" customHeight="1" x14ac:dyDescent="0.2">
      <c r="B243" s="210"/>
      <c r="C243" s="384"/>
      <c r="D243" s="150" t="s">
        <v>1845</v>
      </c>
      <c r="E243" s="153" t="s">
        <v>3189</v>
      </c>
      <c r="F243" s="50" t="s">
        <v>3980</v>
      </c>
      <c r="G243" s="170" t="s">
        <v>3583</v>
      </c>
      <c r="H243" s="171" t="s">
        <v>2760</v>
      </c>
      <c r="I243" s="107">
        <v>376</v>
      </c>
      <c r="J243" s="108"/>
      <c r="K243" s="109"/>
      <c r="L243" s="195"/>
      <c r="M243" s="106"/>
      <c r="N243" s="186" t="s">
        <v>2886</v>
      </c>
      <c r="O243" s="186" t="s">
        <v>4176</v>
      </c>
    </row>
    <row r="244" spans="2:15" ht="14.45" customHeight="1" x14ac:dyDescent="0.2">
      <c r="B244" s="210"/>
      <c r="C244" s="384"/>
      <c r="D244" s="150" t="s">
        <v>1845</v>
      </c>
      <c r="E244" s="153" t="s">
        <v>3190</v>
      </c>
      <c r="F244" s="50" t="s">
        <v>3981</v>
      </c>
      <c r="G244" s="170" t="s">
        <v>3584</v>
      </c>
      <c r="H244" s="171" t="s">
        <v>2760</v>
      </c>
      <c r="I244" s="107">
        <v>237</v>
      </c>
      <c r="J244" s="108"/>
      <c r="K244" s="109"/>
      <c r="L244" s="195"/>
      <c r="M244" s="106"/>
      <c r="N244" s="186" t="s">
        <v>2886</v>
      </c>
      <c r="O244" s="186" t="s">
        <v>4176</v>
      </c>
    </row>
    <row r="245" spans="2:15" ht="14.45" customHeight="1" x14ac:dyDescent="0.2">
      <c r="B245" s="210"/>
      <c r="C245" s="384"/>
      <c r="D245" s="150" t="s">
        <v>1845</v>
      </c>
      <c r="E245" s="153" t="s">
        <v>3191</v>
      </c>
      <c r="F245" s="50" t="s">
        <v>3982</v>
      </c>
      <c r="G245" s="170" t="s">
        <v>3585</v>
      </c>
      <c r="H245" s="171" t="s">
        <v>2760</v>
      </c>
      <c r="I245" s="107">
        <v>404</v>
      </c>
      <c r="J245" s="108"/>
      <c r="K245" s="109"/>
      <c r="L245" s="195"/>
      <c r="M245" s="106"/>
      <c r="N245" s="186" t="s">
        <v>2886</v>
      </c>
      <c r="O245" s="186" t="s">
        <v>4176</v>
      </c>
    </row>
    <row r="246" spans="2:15" ht="14.45" customHeight="1" x14ac:dyDescent="0.2">
      <c r="B246" s="210"/>
      <c r="C246" s="384"/>
      <c r="D246" s="150" t="s">
        <v>1845</v>
      </c>
      <c r="E246" s="153" t="s">
        <v>3192</v>
      </c>
      <c r="F246" s="50" t="s">
        <v>3983</v>
      </c>
      <c r="G246" s="170" t="s">
        <v>3586</v>
      </c>
      <c r="H246" s="171" t="s">
        <v>2760</v>
      </c>
      <c r="I246" s="107">
        <v>341</v>
      </c>
      <c r="J246" s="108"/>
      <c r="K246" s="109"/>
      <c r="L246" s="195"/>
      <c r="M246" s="106"/>
      <c r="N246" s="186" t="s">
        <v>2886</v>
      </c>
      <c r="O246" s="186" t="s">
        <v>4176</v>
      </c>
    </row>
    <row r="247" spans="2:15" ht="14.45" customHeight="1" x14ac:dyDescent="0.2">
      <c r="B247" s="210"/>
      <c r="C247" s="384"/>
      <c r="D247" s="150" t="s">
        <v>1845</v>
      </c>
      <c r="E247" s="153" t="s">
        <v>3193</v>
      </c>
      <c r="F247" s="50" t="s">
        <v>3984</v>
      </c>
      <c r="G247" s="170" t="s">
        <v>3587</v>
      </c>
      <c r="H247" s="171" t="s">
        <v>2760</v>
      </c>
      <c r="I247" s="107">
        <v>454</v>
      </c>
      <c r="J247" s="108"/>
      <c r="K247" s="109"/>
      <c r="L247" s="195"/>
      <c r="M247" s="106"/>
      <c r="N247" s="186" t="s">
        <v>2886</v>
      </c>
      <c r="O247" s="186" t="s">
        <v>4176</v>
      </c>
    </row>
    <row r="248" spans="2:15" ht="14.45" customHeight="1" x14ac:dyDescent="0.2">
      <c r="B248" s="210"/>
      <c r="C248" s="384"/>
      <c r="D248" s="150" t="s">
        <v>1845</v>
      </c>
      <c r="E248" s="153" t="s">
        <v>3194</v>
      </c>
      <c r="F248" s="50" t="s">
        <v>3985</v>
      </c>
      <c r="G248" s="170" t="s">
        <v>3588</v>
      </c>
      <c r="H248" s="171" t="s">
        <v>2760</v>
      </c>
      <c r="I248" s="107">
        <v>396</v>
      </c>
      <c r="J248" s="108"/>
      <c r="K248" s="109"/>
      <c r="L248" s="195"/>
      <c r="M248" s="106"/>
      <c r="N248" s="186" t="s">
        <v>2886</v>
      </c>
      <c r="O248" s="186" t="s">
        <v>4176</v>
      </c>
    </row>
    <row r="249" spans="2:15" ht="14.45" customHeight="1" x14ac:dyDescent="0.2">
      <c r="B249" s="210"/>
      <c r="C249" s="384"/>
      <c r="D249" s="150" t="s">
        <v>1845</v>
      </c>
      <c r="E249" s="153" t="s">
        <v>3195</v>
      </c>
      <c r="F249" s="50" t="s">
        <v>3986</v>
      </c>
      <c r="G249" s="170" t="s">
        <v>3589</v>
      </c>
      <c r="H249" s="171" t="s">
        <v>2760</v>
      </c>
      <c r="I249" s="107">
        <v>681</v>
      </c>
      <c r="J249" s="108"/>
      <c r="K249" s="109"/>
      <c r="L249" s="195"/>
      <c r="M249" s="106"/>
      <c r="N249" s="186" t="s">
        <v>2886</v>
      </c>
      <c r="O249" s="186" t="s">
        <v>4176</v>
      </c>
    </row>
    <row r="250" spans="2:15" ht="14.45" customHeight="1" x14ac:dyDescent="0.2">
      <c r="B250" s="210"/>
      <c r="C250" s="384"/>
      <c r="D250" s="150" t="s">
        <v>1845</v>
      </c>
      <c r="E250" s="153" t="s">
        <v>3196</v>
      </c>
      <c r="F250" s="50" t="s">
        <v>3987</v>
      </c>
      <c r="G250" s="170" t="s">
        <v>3590</v>
      </c>
      <c r="H250" s="171" t="s">
        <v>2760</v>
      </c>
      <c r="I250" s="107">
        <v>284</v>
      </c>
      <c r="J250" s="108"/>
      <c r="K250" s="109"/>
      <c r="L250" s="195"/>
      <c r="M250" s="106"/>
      <c r="N250" s="186" t="s">
        <v>2886</v>
      </c>
      <c r="O250" s="186" t="s">
        <v>4176</v>
      </c>
    </row>
    <row r="251" spans="2:15" ht="14.45" customHeight="1" x14ac:dyDescent="0.2">
      <c r="B251" s="210"/>
      <c r="C251" s="384"/>
      <c r="D251" s="150" t="s">
        <v>1845</v>
      </c>
      <c r="E251" s="153" t="s">
        <v>3197</v>
      </c>
      <c r="F251" s="50" t="s">
        <v>3988</v>
      </c>
      <c r="G251" s="170" t="s">
        <v>3591</v>
      </c>
      <c r="H251" s="171" t="s">
        <v>2760</v>
      </c>
      <c r="I251" s="107">
        <v>855</v>
      </c>
      <c r="J251" s="108"/>
      <c r="K251" s="109"/>
      <c r="L251" s="195"/>
      <c r="M251" s="106"/>
      <c r="N251" s="186" t="s">
        <v>2886</v>
      </c>
      <c r="O251" s="186" t="s">
        <v>4176</v>
      </c>
    </row>
    <row r="252" spans="2:15" ht="14.45" customHeight="1" x14ac:dyDescent="0.2">
      <c r="B252" s="210"/>
      <c r="C252" s="384"/>
      <c r="D252" s="150" t="s">
        <v>1845</v>
      </c>
      <c r="E252" s="153" t="s">
        <v>3198</v>
      </c>
      <c r="F252" s="50" t="s">
        <v>3989</v>
      </c>
      <c r="G252" s="170" t="s">
        <v>3592</v>
      </c>
      <c r="H252" s="171" t="s">
        <v>2760</v>
      </c>
      <c r="I252" s="107">
        <v>730</v>
      </c>
      <c r="J252" s="108"/>
      <c r="K252" s="109"/>
      <c r="L252" s="195"/>
      <c r="M252" s="106"/>
      <c r="N252" s="186" t="s">
        <v>2886</v>
      </c>
      <c r="O252" s="186" t="s">
        <v>4176</v>
      </c>
    </row>
    <row r="253" spans="2:15" ht="14.45" customHeight="1" x14ac:dyDescent="0.2">
      <c r="B253" s="210"/>
      <c r="C253" s="384"/>
      <c r="D253" s="150" t="s">
        <v>1845</v>
      </c>
      <c r="E253" s="153" t="s">
        <v>3199</v>
      </c>
      <c r="F253" s="50" t="s">
        <v>3990</v>
      </c>
      <c r="G253" s="170" t="s">
        <v>3593</v>
      </c>
      <c r="H253" s="171" t="s">
        <v>2760</v>
      </c>
      <c r="I253" s="107">
        <v>336</v>
      </c>
      <c r="J253" s="108"/>
      <c r="K253" s="109"/>
      <c r="L253" s="195"/>
      <c r="M253" s="106"/>
      <c r="N253" s="186" t="s">
        <v>2886</v>
      </c>
      <c r="O253" s="186" t="s">
        <v>4176</v>
      </c>
    </row>
    <row r="254" spans="2:15" ht="14.45" customHeight="1" x14ac:dyDescent="0.2">
      <c r="B254" s="210"/>
      <c r="C254" s="384"/>
      <c r="D254" s="150" t="s">
        <v>1845</v>
      </c>
      <c r="E254" s="153" t="s">
        <v>3200</v>
      </c>
      <c r="F254" s="50" t="s">
        <v>3991</v>
      </c>
      <c r="G254" s="170" t="s">
        <v>3594</v>
      </c>
      <c r="H254" s="171" t="s">
        <v>2760</v>
      </c>
      <c r="I254" s="107">
        <v>445</v>
      </c>
      <c r="J254" s="108"/>
      <c r="K254" s="109"/>
      <c r="L254" s="195"/>
      <c r="M254" s="106"/>
      <c r="N254" s="186" t="s">
        <v>2886</v>
      </c>
      <c r="O254" s="186" t="s">
        <v>4176</v>
      </c>
    </row>
    <row r="255" spans="2:15" ht="14.45" customHeight="1" x14ac:dyDescent="0.2">
      <c r="B255" s="210"/>
      <c r="C255" s="384"/>
      <c r="D255" s="150" t="s">
        <v>1845</v>
      </c>
      <c r="E255" s="153" t="s">
        <v>3201</v>
      </c>
      <c r="F255" s="50" t="s">
        <v>3992</v>
      </c>
      <c r="G255" s="170" t="s">
        <v>3595</v>
      </c>
      <c r="H255" s="171" t="s">
        <v>2760</v>
      </c>
      <c r="I255" s="107">
        <v>779</v>
      </c>
      <c r="J255" s="108"/>
      <c r="K255" s="109"/>
      <c r="L255" s="195"/>
      <c r="M255" s="106"/>
      <c r="N255" s="186" t="s">
        <v>2886</v>
      </c>
      <c r="O255" s="186" t="s">
        <v>4176</v>
      </c>
    </row>
    <row r="256" spans="2:15" ht="14.45" customHeight="1" x14ac:dyDescent="0.2">
      <c r="B256" s="210"/>
      <c r="C256" s="384"/>
      <c r="D256" s="150" t="s">
        <v>1845</v>
      </c>
      <c r="E256" s="153" t="s">
        <v>3202</v>
      </c>
      <c r="F256" s="50" t="s">
        <v>3993</v>
      </c>
      <c r="G256" s="170" t="s">
        <v>3596</v>
      </c>
      <c r="H256" s="171" t="s">
        <v>2760</v>
      </c>
      <c r="I256" s="107">
        <v>437</v>
      </c>
      <c r="J256" s="108"/>
      <c r="K256" s="109"/>
      <c r="L256" s="195"/>
      <c r="M256" s="106"/>
      <c r="N256" s="186" t="s">
        <v>2886</v>
      </c>
      <c r="O256" s="186" t="s">
        <v>4176</v>
      </c>
    </row>
    <row r="257" spans="2:15" ht="14.45" customHeight="1" x14ac:dyDescent="0.2">
      <c r="B257" s="210"/>
      <c r="C257" s="384"/>
      <c r="D257" s="150" t="s">
        <v>1845</v>
      </c>
      <c r="E257" s="153" t="s">
        <v>3203</v>
      </c>
      <c r="F257" s="50" t="s">
        <v>3994</v>
      </c>
      <c r="G257" s="170" t="s">
        <v>3597</v>
      </c>
      <c r="H257" s="171" t="s">
        <v>2760</v>
      </c>
      <c r="I257" s="107">
        <v>314</v>
      </c>
      <c r="J257" s="108"/>
      <c r="K257" s="109"/>
      <c r="L257" s="195"/>
      <c r="M257" s="106"/>
      <c r="N257" s="186" t="s">
        <v>2886</v>
      </c>
      <c r="O257" s="186" t="s">
        <v>4176</v>
      </c>
    </row>
    <row r="258" spans="2:15" ht="14.45" customHeight="1" x14ac:dyDescent="0.2">
      <c r="B258" s="210"/>
      <c r="C258" s="384"/>
      <c r="D258" s="150" t="s">
        <v>1845</v>
      </c>
      <c r="E258" s="153" t="s">
        <v>3204</v>
      </c>
      <c r="F258" s="50" t="s">
        <v>3995</v>
      </c>
      <c r="G258" s="170" t="s">
        <v>3598</v>
      </c>
      <c r="H258" s="171" t="s">
        <v>2760</v>
      </c>
      <c r="I258" s="107">
        <v>705</v>
      </c>
      <c r="J258" s="108"/>
      <c r="K258" s="109"/>
      <c r="L258" s="195"/>
      <c r="M258" s="106"/>
      <c r="N258" s="186" t="s">
        <v>2886</v>
      </c>
      <c r="O258" s="186" t="s">
        <v>4176</v>
      </c>
    </row>
    <row r="259" spans="2:15" ht="14.45" customHeight="1" x14ac:dyDescent="0.2">
      <c r="B259" s="210"/>
      <c r="C259" s="384"/>
      <c r="D259" s="150" t="s">
        <v>1845</v>
      </c>
      <c r="E259" s="153" t="s">
        <v>3205</v>
      </c>
      <c r="F259" s="50" t="s">
        <v>3996</v>
      </c>
      <c r="G259" s="170" t="s">
        <v>3599</v>
      </c>
      <c r="H259" s="171" t="s">
        <v>2760</v>
      </c>
      <c r="I259" s="107">
        <v>161</v>
      </c>
      <c r="J259" s="108"/>
      <c r="K259" s="109"/>
      <c r="L259" s="195"/>
      <c r="M259" s="106"/>
      <c r="N259" s="186" t="s">
        <v>2886</v>
      </c>
      <c r="O259" s="186" t="s">
        <v>4176</v>
      </c>
    </row>
    <row r="260" spans="2:15" ht="14.45" customHeight="1" x14ac:dyDescent="0.2">
      <c r="B260" s="210"/>
      <c r="C260" s="384"/>
      <c r="D260" s="150" t="s">
        <v>1845</v>
      </c>
      <c r="E260" s="153" t="s">
        <v>3206</v>
      </c>
      <c r="F260" s="50" t="s">
        <v>3997</v>
      </c>
      <c r="G260" s="170" t="s">
        <v>3600</v>
      </c>
      <c r="H260" s="171" t="s">
        <v>2760</v>
      </c>
      <c r="I260" s="107">
        <v>823</v>
      </c>
      <c r="J260" s="108"/>
      <c r="K260" s="109"/>
      <c r="L260" s="195"/>
      <c r="M260" s="106"/>
      <c r="N260" s="186" t="s">
        <v>2886</v>
      </c>
      <c r="O260" s="186" t="s">
        <v>4176</v>
      </c>
    </row>
    <row r="261" spans="2:15" ht="14.45" customHeight="1" x14ac:dyDescent="0.2">
      <c r="B261" s="210"/>
      <c r="C261" s="384"/>
      <c r="D261" s="150" t="s">
        <v>1845</v>
      </c>
      <c r="E261" s="153" t="s">
        <v>3207</v>
      </c>
      <c r="F261" s="50" t="s">
        <v>3998</v>
      </c>
      <c r="G261" s="170" t="s">
        <v>3601</v>
      </c>
      <c r="H261" s="171" t="s">
        <v>2760</v>
      </c>
      <c r="I261" s="107">
        <v>523</v>
      </c>
      <c r="J261" s="108"/>
      <c r="K261" s="109"/>
      <c r="L261" s="195"/>
      <c r="M261" s="106"/>
      <c r="N261" s="186" t="s">
        <v>2886</v>
      </c>
      <c r="O261" s="186" t="s">
        <v>4176</v>
      </c>
    </row>
    <row r="262" spans="2:15" ht="14.45" customHeight="1" x14ac:dyDescent="0.2">
      <c r="B262" s="210"/>
      <c r="C262" s="384"/>
      <c r="D262" s="150" t="s">
        <v>1845</v>
      </c>
      <c r="E262" s="153" t="s">
        <v>3208</v>
      </c>
      <c r="F262" s="50" t="s">
        <v>3999</v>
      </c>
      <c r="G262" s="170" t="s">
        <v>3602</v>
      </c>
      <c r="H262" s="171" t="s">
        <v>2760</v>
      </c>
      <c r="I262" s="107">
        <v>433</v>
      </c>
      <c r="J262" s="108"/>
      <c r="K262" s="109"/>
      <c r="L262" s="195"/>
      <c r="M262" s="106"/>
      <c r="N262" s="186" t="s">
        <v>2886</v>
      </c>
      <c r="O262" s="186" t="s">
        <v>4176</v>
      </c>
    </row>
    <row r="263" spans="2:15" ht="14.45" customHeight="1" x14ac:dyDescent="0.2">
      <c r="B263" s="210"/>
      <c r="C263" s="384"/>
      <c r="D263" s="150" t="s">
        <v>1845</v>
      </c>
      <c r="E263" s="153" t="s">
        <v>3209</v>
      </c>
      <c r="F263" s="50" t="s">
        <v>4000</v>
      </c>
      <c r="G263" s="170" t="s">
        <v>3603</v>
      </c>
      <c r="H263" s="171" t="s">
        <v>2760</v>
      </c>
      <c r="I263" s="107">
        <v>691</v>
      </c>
      <c r="J263" s="108"/>
      <c r="K263" s="109"/>
      <c r="L263" s="195"/>
      <c r="M263" s="106"/>
      <c r="N263" s="186" t="s">
        <v>2886</v>
      </c>
      <c r="O263" s="186" t="s">
        <v>4176</v>
      </c>
    </row>
    <row r="264" spans="2:15" ht="14.45" customHeight="1" x14ac:dyDescent="0.2">
      <c r="B264" s="210"/>
      <c r="C264" s="384"/>
      <c r="D264" s="150" t="s">
        <v>1845</v>
      </c>
      <c r="E264" s="153" t="s">
        <v>3210</v>
      </c>
      <c r="F264" s="50" t="s">
        <v>4001</v>
      </c>
      <c r="G264" s="170" t="s">
        <v>3604</v>
      </c>
      <c r="H264" s="171" t="s">
        <v>2760</v>
      </c>
      <c r="I264" s="107">
        <v>366</v>
      </c>
      <c r="J264" s="108"/>
      <c r="K264" s="109"/>
      <c r="L264" s="195"/>
      <c r="M264" s="106"/>
      <c r="N264" s="186" t="s">
        <v>2886</v>
      </c>
      <c r="O264" s="186" t="s">
        <v>4176</v>
      </c>
    </row>
    <row r="265" spans="2:15" ht="14.45" customHeight="1" x14ac:dyDescent="0.2">
      <c r="B265" s="210"/>
      <c r="C265" s="384"/>
      <c r="D265" s="150" t="s">
        <v>1845</v>
      </c>
      <c r="E265" s="153" t="s">
        <v>3211</v>
      </c>
      <c r="F265" s="50" t="s">
        <v>4002</v>
      </c>
      <c r="G265" s="170" t="s">
        <v>3605</v>
      </c>
      <c r="H265" s="171" t="s">
        <v>2760</v>
      </c>
      <c r="I265" s="107">
        <v>281</v>
      </c>
      <c r="J265" s="108"/>
      <c r="K265" s="109"/>
      <c r="L265" s="195"/>
      <c r="M265" s="106"/>
      <c r="N265" s="186" t="s">
        <v>2886</v>
      </c>
      <c r="O265" s="186" t="s">
        <v>4176</v>
      </c>
    </row>
    <row r="266" spans="2:15" ht="14.45" customHeight="1" x14ac:dyDescent="0.2">
      <c r="B266" s="210"/>
      <c r="C266" s="384"/>
      <c r="D266" s="150" t="s">
        <v>1845</v>
      </c>
      <c r="E266" s="153" t="s">
        <v>3212</v>
      </c>
      <c r="F266" s="50" t="s">
        <v>4003</v>
      </c>
      <c r="G266" s="170" t="s">
        <v>3606</v>
      </c>
      <c r="H266" s="171" t="s">
        <v>2760</v>
      </c>
      <c r="I266" s="107">
        <v>438</v>
      </c>
      <c r="J266" s="108"/>
      <c r="K266" s="109"/>
      <c r="L266" s="195"/>
      <c r="M266" s="106"/>
      <c r="N266" s="186" t="s">
        <v>2886</v>
      </c>
      <c r="O266" s="186" t="s">
        <v>4176</v>
      </c>
    </row>
    <row r="267" spans="2:15" ht="14.45" customHeight="1" x14ac:dyDescent="0.2">
      <c r="B267" s="210"/>
      <c r="C267" s="384"/>
      <c r="D267" s="150" t="s">
        <v>1845</v>
      </c>
      <c r="E267" s="153" t="s">
        <v>3213</v>
      </c>
      <c r="F267" s="50" t="s">
        <v>4004</v>
      </c>
      <c r="G267" s="170" t="s">
        <v>3607</v>
      </c>
      <c r="H267" s="171" t="s">
        <v>2760</v>
      </c>
      <c r="I267" s="107">
        <v>371</v>
      </c>
      <c r="J267" s="108"/>
      <c r="K267" s="109"/>
      <c r="L267" s="195"/>
      <c r="M267" s="106"/>
      <c r="N267" s="186" t="s">
        <v>2886</v>
      </c>
      <c r="O267" s="186" t="s">
        <v>4176</v>
      </c>
    </row>
    <row r="268" spans="2:15" ht="14.45" customHeight="1" x14ac:dyDescent="0.2">
      <c r="B268" s="210"/>
      <c r="C268" s="384"/>
      <c r="D268" s="150" t="s">
        <v>1845</v>
      </c>
      <c r="E268" s="153" t="s">
        <v>3214</v>
      </c>
      <c r="F268" s="50" t="s">
        <v>4005</v>
      </c>
      <c r="G268" s="170" t="s">
        <v>3608</v>
      </c>
      <c r="H268" s="171" t="s">
        <v>2760</v>
      </c>
      <c r="I268" s="107">
        <v>498</v>
      </c>
      <c r="J268" s="108"/>
      <c r="K268" s="109"/>
      <c r="L268" s="195"/>
      <c r="M268" s="106"/>
      <c r="N268" s="186" t="s">
        <v>2886</v>
      </c>
      <c r="O268" s="186" t="s">
        <v>4176</v>
      </c>
    </row>
    <row r="269" spans="2:15" ht="14.45" customHeight="1" x14ac:dyDescent="0.2">
      <c r="B269" s="210"/>
      <c r="C269" s="384"/>
      <c r="D269" s="150" t="s">
        <v>1845</v>
      </c>
      <c r="E269" s="153" t="s">
        <v>3215</v>
      </c>
      <c r="F269" s="50" t="s">
        <v>4006</v>
      </c>
      <c r="G269" s="170" t="s">
        <v>3609</v>
      </c>
      <c r="H269" s="171" t="s">
        <v>2760</v>
      </c>
      <c r="I269" s="107">
        <v>468</v>
      </c>
      <c r="J269" s="108"/>
      <c r="K269" s="109"/>
      <c r="L269" s="195"/>
      <c r="M269" s="106"/>
      <c r="N269" s="186" t="s">
        <v>2886</v>
      </c>
      <c r="O269" s="186" t="s">
        <v>4176</v>
      </c>
    </row>
    <row r="270" spans="2:15" ht="14.45" customHeight="1" x14ac:dyDescent="0.2">
      <c r="B270" s="210"/>
      <c r="C270" s="384"/>
      <c r="D270" s="150" t="s">
        <v>1845</v>
      </c>
      <c r="E270" s="153" t="s">
        <v>3216</v>
      </c>
      <c r="F270" s="50" t="s">
        <v>4007</v>
      </c>
      <c r="G270" s="170" t="s">
        <v>3610</v>
      </c>
      <c r="H270" s="171" t="s">
        <v>2760</v>
      </c>
      <c r="I270" s="107">
        <v>295</v>
      </c>
      <c r="J270" s="108"/>
      <c r="K270" s="109"/>
      <c r="L270" s="195"/>
      <c r="M270" s="106"/>
      <c r="N270" s="186" t="s">
        <v>2886</v>
      </c>
      <c r="O270" s="186" t="s">
        <v>4176</v>
      </c>
    </row>
    <row r="271" spans="2:15" ht="14.45" customHeight="1" x14ac:dyDescent="0.2">
      <c r="B271" s="210"/>
      <c r="C271" s="384"/>
      <c r="D271" s="150" t="s">
        <v>1845</v>
      </c>
      <c r="E271" s="153" t="s">
        <v>3217</v>
      </c>
      <c r="F271" s="50" t="s">
        <v>4008</v>
      </c>
      <c r="G271" s="170" t="s">
        <v>3611</v>
      </c>
      <c r="H271" s="171" t="s">
        <v>2760</v>
      </c>
      <c r="I271" s="107">
        <v>491</v>
      </c>
      <c r="J271" s="108"/>
      <c r="K271" s="109"/>
      <c r="L271" s="195"/>
      <c r="M271" s="106"/>
      <c r="N271" s="186" t="s">
        <v>2886</v>
      </c>
      <c r="O271" s="186" t="s">
        <v>4176</v>
      </c>
    </row>
    <row r="272" spans="2:15" ht="14.45" customHeight="1" x14ac:dyDescent="0.2">
      <c r="B272" s="210"/>
      <c r="C272" s="384"/>
      <c r="D272" s="150" t="s">
        <v>1845</v>
      </c>
      <c r="E272" s="153" t="s">
        <v>3218</v>
      </c>
      <c r="F272" s="50" t="s">
        <v>4009</v>
      </c>
      <c r="G272" s="170" t="s">
        <v>3612</v>
      </c>
      <c r="H272" s="171" t="s">
        <v>2760</v>
      </c>
      <c r="I272" s="107">
        <v>425</v>
      </c>
      <c r="J272" s="108"/>
      <c r="K272" s="109"/>
      <c r="L272" s="195"/>
      <c r="M272" s="106"/>
      <c r="N272" s="186" t="s">
        <v>2886</v>
      </c>
      <c r="O272" s="186" t="s">
        <v>4176</v>
      </c>
    </row>
    <row r="273" spans="2:15" ht="14.45" customHeight="1" x14ac:dyDescent="0.2">
      <c r="B273" s="210"/>
      <c r="C273" s="384"/>
      <c r="D273" s="150" t="s">
        <v>1845</v>
      </c>
      <c r="E273" s="153" t="s">
        <v>3219</v>
      </c>
      <c r="F273" s="50" t="s">
        <v>4010</v>
      </c>
      <c r="G273" s="170" t="s">
        <v>3613</v>
      </c>
      <c r="H273" s="171" t="s">
        <v>2760</v>
      </c>
      <c r="I273" s="107">
        <v>288</v>
      </c>
      <c r="J273" s="108"/>
      <c r="K273" s="109"/>
      <c r="L273" s="195"/>
      <c r="M273" s="106"/>
      <c r="N273" s="186" t="s">
        <v>2886</v>
      </c>
      <c r="O273" s="186" t="s">
        <v>4176</v>
      </c>
    </row>
    <row r="274" spans="2:15" ht="14.45" customHeight="1" x14ac:dyDescent="0.2">
      <c r="B274" s="210"/>
      <c r="C274" s="384"/>
      <c r="D274" s="150" t="s">
        <v>1845</v>
      </c>
      <c r="E274" s="153" t="s">
        <v>3220</v>
      </c>
      <c r="F274" s="50" t="s">
        <v>4011</v>
      </c>
      <c r="G274" s="170" t="s">
        <v>3614</v>
      </c>
      <c r="H274" s="171" t="s">
        <v>2760</v>
      </c>
      <c r="I274" s="107">
        <v>296</v>
      </c>
      <c r="J274" s="108"/>
      <c r="K274" s="109"/>
      <c r="L274" s="195"/>
      <c r="M274" s="106"/>
      <c r="N274" s="186" t="s">
        <v>2886</v>
      </c>
      <c r="O274" s="186" t="s">
        <v>4176</v>
      </c>
    </row>
    <row r="275" spans="2:15" ht="14.45" customHeight="1" x14ac:dyDescent="0.2">
      <c r="B275" s="210"/>
      <c r="C275" s="384"/>
      <c r="D275" s="150" t="s">
        <v>1845</v>
      </c>
      <c r="E275" s="153" t="s">
        <v>3221</v>
      </c>
      <c r="F275" s="50" t="s">
        <v>4012</v>
      </c>
      <c r="G275" s="170" t="s">
        <v>3615</v>
      </c>
      <c r="H275" s="171" t="s">
        <v>2760</v>
      </c>
      <c r="I275" s="107">
        <v>320</v>
      </c>
      <c r="J275" s="108"/>
      <c r="K275" s="109"/>
      <c r="L275" s="195"/>
      <c r="M275" s="106"/>
      <c r="N275" s="186" t="s">
        <v>2886</v>
      </c>
      <c r="O275" s="186" t="s">
        <v>4176</v>
      </c>
    </row>
    <row r="276" spans="2:15" ht="14.45" customHeight="1" x14ac:dyDescent="0.2">
      <c r="B276" s="210"/>
      <c r="C276" s="384"/>
      <c r="D276" s="150" t="s">
        <v>1845</v>
      </c>
      <c r="E276" s="153" t="s">
        <v>3222</v>
      </c>
      <c r="F276" s="50" t="s">
        <v>4013</v>
      </c>
      <c r="G276" s="170" t="s">
        <v>3616</v>
      </c>
      <c r="H276" s="171" t="s">
        <v>2760</v>
      </c>
      <c r="I276" s="107">
        <v>672</v>
      </c>
      <c r="J276" s="108"/>
      <c r="K276" s="109"/>
      <c r="L276" s="195"/>
      <c r="M276" s="106"/>
      <c r="N276" s="186" t="s">
        <v>2886</v>
      </c>
      <c r="O276" s="186" t="s">
        <v>4176</v>
      </c>
    </row>
    <row r="277" spans="2:15" ht="14.45" customHeight="1" x14ac:dyDescent="0.2">
      <c r="B277" s="210"/>
      <c r="C277" s="384"/>
      <c r="D277" s="150" t="s">
        <v>1845</v>
      </c>
      <c r="E277" s="153" t="s">
        <v>3223</v>
      </c>
      <c r="F277" s="50" t="s">
        <v>4014</v>
      </c>
      <c r="G277" s="170" t="s">
        <v>3617</v>
      </c>
      <c r="H277" s="171" t="s">
        <v>2760</v>
      </c>
      <c r="I277" s="107">
        <v>324</v>
      </c>
      <c r="J277" s="108"/>
      <c r="K277" s="109"/>
      <c r="L277" s="195"/>
      <c r="M277" s="106"/>
      <c r="N277" s="186" t="s">
        <v>2886</v>
      </c>
      <c r="O277" s="186" t="s">
        <v>4176</v>
      </c>
    </row>
    <row r="278" spans="2:15" ht="14.45" customHeight="1" x14ac:dyDescent="0.2">
      <c r="B278" s="210"/>
      <c r="C278" s="384"/>
      <c r="D278" s="150" t="s">
        <v>1845</v>
      </c>
      <c r="E278" s="153" t="s">
        <v>3224</v>
      </c>
      <c r="F278" s="50" t="s">
        <v>4015</v>
      </c>
      <c r="G278" s="170" t="s">
        <v>3618</v>
      </c>
      <c r="H278" s="171" t="s">
        <v>2760</v>
      </c>
      <c r="I278" s="107">
        <v>339</v>
      </c>
      <c r="J278" s="108"/>
      <c r="K278" s="109"/>
      <c r="L278" s="195"/>
      <c r="M278" s="106"/>
      <c r="N278" s="186" t="s">
        <v>2886</v>
      </c>
      <c r="O278" s="186" t="s">
        <v>4176</v>
      </c>
    </row>
    <row r="279" spans="2:15" ht="14.45" customHeight="1" x14ac:dyDescent="0.2">
      <c r="B279" s="210"/>
      <c r="C279" s="384"/>
      <c r="D279" s="150" t="s">
        <v>1845</v>
      </c>
      <c r="E279" s="153" t="s">
        <v>3225</v>
      </c>
      <c r="F279" s="50" t="s">
        <v>4016</v>
      </c>
      <c r="G279" s="170" t="s">
        <v>3619</v>
      </c>
      <c r="H279" s="171" t="s">
        <v>2760</v>
      </c>
      <c r="I279" s="107">
        <v>312</v>
      </c>
      <c r="J279" s="108"/>
      <c r="K279" s="109"/>
      <c r="L279" s="195"/>
      <c r="M279" s="106"/>
      <c r="N279" s="186" t="s">
        <v>2886</v>
      </c>
      <c r="O279" s="186" t="s">
        <v>4176</v>
      </c>
    </row>
    <row r="280" spans="2:15" ht="14.45" customHeight="1" x14ac:dyDescent="0.2">
      <c r="B280" s="210"/>
      <c r="C280" s="384"/>
      <c r="D280" s="150" t="s">
        <v>1845</v>
      </c>
      <c r="E280" s="153" t="s">
        <v>3226</v>
      </c>
      <c r="F280" s="50" t="s">
        <v>4017</v>
      </c>
      <c r="G280" s="170" t="s">
        <v>3620</v>
      </c>
      <c r="H280" s="171" t="s">
        <v>2760</v>
      </c>
      <c r="I280" s="107">
        <v>435</v>
      </c>
      <c r="J280" s="108"/>
      <c r="K280" s="109"/>
      <c r="L280" s="195"/>
      <c r="M280" s="106"/>
      <c r="N280" s="186" t="s">
        <v>2886</v>
      </c>
      <c r="O280" s="186" t="s">
        <v>4176</v>
      </c>
    </row>
    <row r="281" spans="2:15" ht="14.45" customHeight="1" x14ac:dyDescent="0.2">
      <c r="B281" s="210"/>
      <c r="C281" s="384"/>
      <c r="D281" s="150" t="s">
        <v>1845</v>
      </c>
      <c r="E281" s="153" t="s">
        <v>3227</v>
      </c>
      <c r="F281" s="50" t="s">
        <v>4018</v>
      </c>
      <c r="G281" s="170" t="s">
        <v>3621</v>
      </c>
      <c r="H281" s="171" t="s">
        <v>2760</v>
      </c>
      <c r="I281" s="107">
        <v>180</v>
      </c>
      <c r="J281" s="108"/>
      <c r="K281" s="109"/>
      <c r="L281" s="195"/>
      <c r="M281" s="106"/>
      <c r="N281" s="186" t="s">
        <v>2886</v>
      </c>
      <c r="O281" s="186" t="s">
        <v>4176</v>
      </c>
    </row>
    <row r="282" spans="2:15" ht="14.45" customHeight="1" x14ac:dyDescent="0.2">
      <c r="B282" s="210"/>
      <c r="C282" s="384"/>
      <c r="D282" s="150" t="s">
        <v>1845</v>
      </c>
      <c r="E282" s="153" t="s">
        <v>3228</v>
      </c>
      <c r="F282" s="50" t="s">
        <v>4019</v>
      </c>
      <c r="G282" s="170" t="s">
        <v>3622</v>
      </c>
      <c r="H282" s="171" t="s">
        <v>2760</v>
      </c>
      <c r="I282" s="107">
        <v>210</v>
      </c>
      <c r="J282" s="108"/>
      <c r="K282" s="109"/>
      <c r="L282" s="195"/>
      <c r="M282" s="106"/>
      <c r="N282" s="186" t="s">
        <v>2886</v>
      </c>
      <c r="O282" s="186" t="s">
        <v>4176</v>
      </c>
    </row>
    <row r="283" spans="2:15" ht="14.45" customHeight="1" x14ac:dyDescent="0.2">
      <c r="B283" s="210"/>
      <c r="C283" s="384"/>
      <c r="D283" s="150" t="s">
        <v>1845</v>
      </c>
      <c r="E283" s="153" t="s">
        <v>3229</v>
      </c>
      <c r="F283" s="50" t="s">
        <v>4020</v>
      </c>
      <c r="G283" s="170" t="s">
        <v>3623</v>
      </c>
      <c r="H283" s="171" t="s">
        <v>2760</v>
      </c>
      <c r="I283" s="107">
        <v>296</v>
      </c>
      <c r="J283" s="108"/>
      <c r="K283" s="109"/>
      <c r="L283" s="195"/>
      <c r="M283" s="106"/>
      <c r="N283" s="186" t="s">
        <v>2886</v>
      </c>
      <c r="O283" s="186" t="s">
        <v>4176</v>
      </c>
    </row>
    <row r="284" spans="2:15" ht="14.45" customHeight="1" x14ac:dyDescent="0.2">
      <c r="B284" s="210"/>
      <c r="C284" s="384"/>
      <c r="D284" s="150" t="s">
        <v>1845</v>
      </c>
      <c r="E284" s="153" t="s">
        <v>3230</v>
      </c>
      <c r="F284" s="50" t="s">
        <v>4021</v>
      </c>
      <c r="G284" s="170" t="s">
        <v>3624</v>
      </c>
      <c r="H284" s="171" t="s">
        <v>2760</v>
      </c>
      <c r="I284" s="107">
        <v>219</v>
      </c>
      <c r="J284" s="108"/>
      <c r="K284" s="109"/>
      <c r="L284" s="195"/>
      <c r="M284" s="106"/>
      <c r="N284" s="186" t="s">
        <v>2886</v>
      </c>
      <c r="O284" s="186" t="s">
        <v>4176</v>
      </c>
    </row>
    <row r="285" spans="2:15" ht="14.45" customHeight="1" x14ac:dyDescent="0.2">
      <c r="B285" s="210"/>
      <c r="C285" s="384"/>
      <c r="D285" s="150" t="s">
        <v>1845</v>
      </c>
      <c r="E285" s="153" t="s">
        <v>3231</v>
      </c>
      <c r="F285" s="50" t="s">
        <v>4022</v>
      </c>
      <c r="G285" s="170" t="s">
        <v>3625</v>
      </c>
      <c r="H285" s="171" t="s">
        <v>2760</v>
      </c>
      <c r="I285" s="107">
        <v>774</v>
      </c>
      <c r="J285" s="108"/>
      <c r="K285" s="109"/>
      <c r="L285" s="195"/>
      <c r="M285" s="106"/>
      <c r="N285" s="186" t="s">
        <v>2886</v>
      </c>
      <c r="O285" s="186" t="s">
        <v>4176</v>
      </c>
    </row>
    <row r="286" spans="2:15" ht="14.45" customHeight="1" x14ac:dyDescent="0.2">
      <c r="B286" s="210"/>
      <c r="C286" s="384"/>
      <c r="D286" s="150" t="s">
        <v>1845</v>
      </c>
      <c r="E286" s="153" t="s">
        <v>3232</v>
      </c>
      <c r="F286" s="50" t="s">
        <v>4023</v>
      </c>
      <c r="G286" s="170" t="s">
        <v>3626</v>
      </c>
      <c r="H286" s="171" t="s">
        <v>2760</v>
      </c>
      <c r="I286" s="107">
        <v>627</v>
      </c>
      <c r="J286" s="108"/>
      <c r="K286" s="109"/>
      <c r="L286" s="195"/>
      <c r="M286" s="106"/>
      <c r="N286" s="186" t="s">
        <v>2886</v>
      </c>
      <c r="O286" s="186" t="s">
        <v>4176</v>
      </c>
    </row>
    <row r="287" spans="2:15" ht="14.45" customHeight="1" x14ac:dyDescent="0.2">
      <c r="B287" s="210"/>
      <c r="C287" s="384"/>
      <c r="D287" s="150" t="s">
        <v>1845</v>
      </c>
      <c r="E287" s="153" t="s">
        <v>3233</v>
      </c>
      <c r="F287" s="50" t="s">
        <v>4024</v>
      </c>
      <c r="G287" s="170" t="s">
        <v>3627</v>
      </c>
      <c r="H287" s="171" t="s">
        <v>2760</v>
      </c>
      <c r="I287" s="107">
        <v>309</v>
      </c>
      <c r="J287" s="108"/>
      <c r="K287" s="109"/>
      <c r="L287" s="195"/>
      <c r="M287" s="106"/>
      <c r="N287" s="186" t="s">
        <v>2886</v>
      </c>
      <c r="O287" s="186" t="s">
        <v>4176</v>
      </c>
    </row>
    <row r="288" spans="2:15" ht="14.45" customHeight="1" thickBot="1" x14ac:dyDescent="0.25">
      <c r="B288" s="211"/>
      <c r="C288" s="385"/>
      <c r="D288" s="138" t="s">
        <v>1845</v>
      </c>
      <c r="E288" s="139" t="s">
        <v>3234</v>
      </c>
      <c r="F288" s="49" t="s">
        <v>4025</v>
      </c>
      <c r="G288" s="164" t="s">
        <v>3628</v>
      </c>
      <c r="H288" s="165" t="s">
        <v>2760</v>
      </c>
      <c r="I288" s="99">
        <v>322</v>
      </c>
      <c r="J288" s="100"/>
      <c r="K288" s="101"/>
      <c r="L288" s="192"/>
      <c r="M288" s="102"/>
      <c r="N288" s="179" t="s">
        <v>2886</v>
      </c>
      <c r="O288" s="179" t="s">
        <v>4176</v>
      </c>
    </row>
    <row r="289" spans="2:15" ht="14.45" customHeight="1" x14ac:dyDescent="0.2">
      <c r="B289" s="212" t="s">
        <v>4151</v>
      </c>
      <c r="C289" s="386" t="s">
        <v>4152</v>
      </c>
      <c r="D289" s="115" t="s">
        <v>1845</v>
      </c>
      <c r="E289" s="213" t="s">
        <v>3235</v>
      </c>
      <c r="F289" s="214" t="s">
        <v>4026</v>
      </c>
      <c r="G289" s="215" t="s">
        <v>3629</v>
      </c>
      <c r="H289" s="216" t="s">
        <v>2760</v>
      </c>
      <c r="I289" s="217">
        <v>368</v>
      </c>
      <c r="J289" s="218"/>
      <c r="K289" s="219"/>
      <c r="L289" s="220"/>
      <c r="M289" s="121"/>
      <c r="N289" s="221" t="s">
        <v>4151</v>
      </c>
      <c r="O289" s="221" t="s">
        <v>4179</v>
      </c>
    </row>
    <row r="290" spans="2:15" ht="14.45" customHeight="1" x14ac:dyDescent="0.2">
      <c r="B290" s="210"/>
      <c r="C290" s="384"/>
      <c r="D290" s="150" t="s">
        <v>1845</v>
      </c>
      <c r="E290" s="153" t="s">
        <v>3236</v>
      </c>
      <c r="F290" s="50" t="s">
        <v>4027</v>
      </c>
      <c r="G290" s="170" t="s">
        <v>3630</v>
      </c>
      <c r="H290" s="171" t="s">
        <v>2760</v>
      </c>
      <c r="I290" s="107">
        <v>216</v>
      </c>
      <c r="J290" s="108"/>
      <c r="K290" s="109"/>
      <c r="L290" s="195"/>
      <c r="M290" s="106"/>
      <c r="N290" s="186" t="s">
        <v>2887</v>
      </c>
      <c r="O290" s="186" t="s">
        <v>4178</v>
      </c>
    </row>
    <row r="291" spans="2:15" ht="14.45" customHeight="1" x14ac:dyDescent="0.2">
      <c r="B291" s="210"/>
      <c r="C291" s="384"/>
      <c r="D291" s="150" t="s">
        <v>1845</v>
      </c>
      <c r="E291" s="153" t="s">
        <v>3237</v>
      </c>
      <c r="F291" s="50" t="s">
        <v>4028</v>
      </c>
      <c r="G291" s="170" t="s">
        <v>3631</v>
      </c>
      <c r="H291" s="171" t="s">
        <v>2760</v>
      </c>
      <c r="I291" s="107">
        <v>429</v>
      </c>
      <c r="J291" s="108"/>
      <c r="K291" s="109"/>
      <c r="L291" s="195"/>
      <c r="M291" s="106"/>
      <c r="N291" s="186" t="s">
        <v>2887</v>
      </c>
      <c r="O291" s="186" t="s">
        <v>4178</v>
      </c>
    </row>
    <row r="292" spans="2:15" ht="14.45" customHeight="1" x14ac:dyDescent="0.2">
      <c r="B292" s="210"/>
      <c r="C292" s="384"/>
      <c r="D292" s="150" t="s">
        <v>1845</v>
      </c>
      <c r="E292" s="153" t="s">
        <v>3238</v>
      </c>
      <c r="F292" s="50" t="s">
        <v>4029</v>
      </c>
      <c r="G292" s="170" t="s">
        <v>3632</v>
      </c>
      <c r="H292" s="171" t="s">
        <v>2760</v>
      </c>
      <c r="I292" s="107">
        <v>249</v>
      </c>
      <c r="J292" s="108"/>
      <c r="K292" s="109"/>
      <c r="L292" s="195"/>
      <c r="M292" s="106"/>
      <c r="N292" s="186" t="s">
        <v>2887</v>
      </c>
      <c r="O292" s="186" t="s">
        <v>4178</v>
      </c>
    </row>
    <row r="293" spans="2:15" ht="14.45" customHeight="1" x14ac:dyDescent="0.2">
      <c r="B293" s="210"/>
      <c r="C293" s="384"/>
      <c r="D293" s="150" t="s">
        <v>1845</v>
      </c>
      <c r="E293" s="153" t="s">
        <v>3239</v>
      </c>
      <c r="F293" s="50" t="s">
        <v>4030</v>
      </c>
      <c r="G293" s="170" t="s">
        <v>3633</v>
      </c>
      <c r="H293" s="171" t="s">
        <v>2760</v>
      </c>
      <c r="I293" s="107">
        <v>364</v>
      </c>
      <c r="J293" s="108"/>
      <c r="K293" s="109"/>
      <c r="L293" s="195"/>
      <c r="M293" s="106"/>
      <c r="N293" s="186" t="s">
        <v>2887</v>
      </c>
      <c r="O293" s="186" t="s">
        <v>4178</v>
      </c>
    </row>
    <row r="294" spans="2:15" ht="14.45" customHeight="1" x14ac:dyDescent="0.2">
      <c r="B294" s="210"/>
      <c r="C294" s="384"/>
      <c r="D294" s="150" t="s">
        <v>1845</v>
      </c>
      <c r="E294" s="153" t="s">
        <v>3240</v>
      </c>
      <c r="F294" s="50" t="s">
        <v>4031</v>
      </c>
      <c r="G294" s="170" t="s">
        <v>3634</v>
      </c>
      <c r="H294" s="171" t="s">
        <v>2760</v>
      </c>
      <c r="I294" s="107">
        <v>292</v>
      </c>
      <c r="J294" s="108"/>
      <c r="K294" s="109"/>
      <c r="L294" s="195"/>
      <c r="M294" s="106"/>
      <c r="N294" s="186" t="s">
        <v>2887</v>
      </c>
      <c r="O294" s="186" t="s">
        <v>4178</v>
      </c>
    </row>
    <row r="295" spans="2:15" ht="14.45" customHeight="1" x14ac:dyDescent="0.2">
      <c r="B295" s="210"/>
      <c r="C295" s="384"/>
      <c r="D295" s="150" t="s">
        <v>1845</v>
      </c>
      <c r="E295" s="153" t="s">
        <v>3241</v>
      </c>
      <c r="F295" s="50" t="s">
        <v>4032</v>
      </c>
      <c r="G295" s="170" t="s">
        <v>3635</v>
      </c>
      <c r="H295" s="171" t="s">
        <v>2760</v>
      </c>
      <c r="I295" s="107">
        <v>402</v>
      </c>
      <c r="J295" s="108"/>
      <c r="K295" s="109"/>
      <c r="L295" s="195"/>
      <c r="M295" s="106"/>
      <c r="N295" s="186" t="s">
        <v>2887</v>
      </c>
      <c r="O295" s="186" t="s">
        <v>4178</v>
      </c>
    </row>
    <row r="296" spans="2:15" ht="14.45" customHeight="1" x14ac:dyDescent="0.2">
      <c r="B296" s="210"/>
      <c r="C296" s="384"/>
      <c r="D296" s="150" t="s">
        <v>1845</v>
      </c>
      <c r="E296" s="153" t="s">
        <v>3242</v>
      </c>
      <c r="F296" s="50" t="s">
        <v>4033</v>
      </c>
      <c r="G296" s="170" t="s">
        <v>3636</v>
      </c>
      <c r="H296" s="171" t="s">
        <v>2760</v>
      </c>
      <c r="I296" s="107">
        <v>411</v>
      </c>
      <c r="J296" s="108"/>
      <c r="K296" s="109"/>
      <c r="L296" s="195"/>
      <c r="M296" s="106"/>
      <c r="N296" s="186" t="s">
        <v>2887</v>
      </c>
      <c r="O296" s="186" t="s">
        <v>4178</v>
      </c>
    </row>
    <row r="297" spans="2:15" ht="14.45" customHeight="1" x14ac:dyDescent="0.2">
      <c r="B297" s="210"/>
      <c r="C297" s="384"/>
      <c r="D297" s="150" t="s">
        <v>1845</v>
      </c>
      <c r="E297" s="153" t="s">
        <v>3243</v>
      </c>
      <c r="F297" s="50" t="s">
        <v>4034</v>
      </c>
      <c r="G297" s="170" t="s">
        <v>3637</v>
      </c>
      <c r="H297" s="171" t="s">
        <v>2760</v>
      </c>
      <c r="I297" s="107">
        <v>460</v>
      </c>
      <c r="J297" s="108"/>
      <c r="K297" s="109"/>
      <c r="L297" s="195"/>
      <c r="M297" s="106"/>
      <c r="N297" s="186" t="s">
        <v>2887</v>
      </c>
      <c r="O297" s="186" t="s">
        <v>4178</v>
      </c>
    </row>
    <row r="298" spans="2:15" ht="14.45" customHeight="1" x14ac:dyDescent="0.2">
      <c r="B298" s="210"/>
      <c r="C298" s="384"/>
      <c r="D298" s="150" t="s">
        <v>1845</v>
      </c>
      <c r="E298" s="153" t="s">
        <v>3244</v>
      </c>
      <c r="F298" s="50" t="s">
        <v>4035</v>
      </c>
      <c r="G298" s="170" t="s">
        <v>3638</v>
      </c>
      <c r="H298" s="171" t="s">
        <v>2760</v>
      </c>
      <c r="I298" s="107">
        <v>275</v>
      </c>
      <c r="J298" s="108"/>
      <c r="K298" s="109"/>
      <c r="L298" s="195"/>
      <c r="M298" s="106"/>
      <c r="N298" s="186" t="s">
        <v>2887</v>
      </c>
      <c r="O298" s="186" t="s">
        <v>4178</v>
      </c>
    </row>
    <row r="299" spans="2:15" ht="14.45" customHeight="1" x14ac:dyDescent="0.2">
      <c r="B299" s="210"/>
      <c r="C299" s="384"/>
      <c r="D299" s="150" t="s">
        <v>1845</v>
      </c>
      <c r="E299" s="153" t="s">
        <v>3245</v>
      </c>
      <c r="F299" s="50" t="s">
        <v>4036</v>
      </c>
      <c r="G299" s="170" t="s">
        <v>3639</v>
      </c>
      <c r="H299" s="171" t="s">
        <v>2760</v>
      </c>
      <c r="I299" s="107">
        <v>259</v>
      </c>
      <c r="J299" s="108"/>
      <c r="K299" s="109"/>
      <c r="L299" s="195"/>
      <c r="M299" s="106"/>
      <c r="N299" s="186" t="s">
        <v>2887</v>
      </c>
      <c r="O299" s="186" t="s">
        <v>4178</v>
      </c>
    </row>
    <row r="300" spans="2:15" ht="14.45" customHeight="1" x14ac:dyDescent="0.2">
      <c r="B300" s="210"/>
      <c r="C300" s="384"/>
      <c r="D300" s="150" t="s">
        <v>1845</v>
      </c>
      <c r="E300" s="153" t="s">
        <v>3246</v>
      </c>
      <c r="F300" s="50" t="s">
        <v>4037</v>
      </c>
      <c r="G300" s="170" t="s">
        <v>3640</v>
      </c>
      <c r="H300" s="171" t="s">
        <v>2760</v>
      </c>
      <c r="I300" s="107">
        <v>971</v>
      </c>
      <c r="J300" s="108"/>
      <c r="K300" s="109"/>
      <c r="L300" s="195"/>
      <c r="M300" s="106"/>
      <c r="N300" s="186" t="s">
        <v>2887</v>
      </c>
      <c r="O300" s="186" t="s">
        <v>4178</v>
      </c>
    </row>
    <row r="301" spans="2:15" ht="14.45" customHeight="1" x14ac:dyDescent="0.2">
      <c r="B301" s="210"/>
      <c r="C301" s="384"/>
      <c r="D301" s="150" t="s">
        <v>1845</v>
      </c>
      <c r="E301" s="153" t="s">
        <v>3247</v>
      </c>
      <c r="F301" s="50" t="s">
        <v>4038</v>
      </c>
      <c r="G301" s="170" t="s">
        <v>3641</v>
      </c>
      <c r="H301" s="171" t="s">
        <v>2760</v>
      </c>
      <c r="I301" s="107">
        <v>140</v>
      </c>
      <c r="J301" s="108"/>
      <c r="K301" s="109"/>
      <c r="L301" s="195"/>
      <c r="M301" s="106"/>
      <c r="N301" s="186" t="s">
        <v>2887</v>
      </c>
      <c r="O301" s="186" t="s">
        <v>4178</v>
      </c>
    </row>
    <row r="302" spans="2:15" ht="14.45" customHeight="1" x14ac:dyDescent="0.2">
      <c r="B302" s="210"/>
      <c r="C302" s="384"/>
      <c r="D302" s="150" t="s">
        <v>1845</v>
      </c>
      <c r="E302" s="153" t="s">
        <v>2954</v>
      </c>
      <c r="F302" s="50" t="s">
        <v>4039</v>
      </c>
      <c r="G302" s="170" t="s">
        <v>3642</v>
      </c>
      <c r="H302" s="171" t="s">
        <v>2760</v>
      </c>
      <c r="I302" s="107">
        <v>243</v>
      </c>
      <c r="J302" s="108"/>
      <c r="K302" s="109"/>
      <c r="L302" s="195"/>
      <c r="M302" s="106"/>
      <c r="N302" s="186" t="s">
        <v>2887</v>
      </c>
      <c r="O302" s="186" t="s">
        <v>4178</v>
      </c>
    </row>
    <row r="303" spans="2:15" ht="14.45" customHeight="1" x14ac:dyDescent="0.2">
      <c r="B303" s="210"/>
      <c r="C303" s="384"/>
      <c r="D303" s="150" t="s">
        <v>1845</v>
      </c>
      <c r="E303" s="153" t="s">
        <v>3248</v>
      </c>
      <c r="F303" s="50" t="s">
        <v>4040</v>
      </c>
      <c r="G303" s="170" t="s">
        <v>3643</v>
      </c>
      <c r="H303" s="171" t="s">
        <v>2760</v>
      </c>
      <c r="I303" s="107">
        <v>173</v>
      </c>
      <c r="J303" s="108"/>
      <c r="K303" s="109"/>
      <c r="L303" s="195"/>
      <c r="M303" s="106"/>
      <c r="N303" s="186" t="s">
        <v>2887</v>
      </c>
      <c r="O303" s="186" t="s">
        <v>4178</v>
      </c>
    </row>
    <row r="304" spans="2:15" ht="14.45" customHeight="1" x14ac:dyDescent="0.2">
      <c r="B304" s="210"/>
      <c r="C304" s="384"/>
      <c r="D304" s="150" t="s">
        <v>1845</v>
      </c>
      <c r="E304" s="153" t="s">
        <v>3249</v>
      </c>
      <c r="F304" s="50" t="s">
        <v>4041</v>
      </c>
      <c r="G304" s="170" t="s">
        <v>3644</v>
      </c>
      <c r="H304" s="171" t="s">
        <v>2760</v>
      </c>
      <c r="I304" s="107">
        <v>214</v>
      </c>
      <c r="J304" s="108"/>
      <c r="K304" s="109"/>
      <c r="L304" s="195"/>
      <c r="M304" s="106"/>
      <c r="N304" s="186" t="s">
        <v>2887</v>
      </c>
      <c r="O304" s="186" t="s">
        <v>4178</v>
      </c>
    </row>
    <row r="305" spans="2:15" ht="14.45" customHeight="1" x14ac:dyDescent="0.2">
      <c r="B305" s="210"/>
      <c r="C305" s="384"/>
      <c r="D305" s="150" t="s">
        <v>1845</v>
      </c>
      <c r="E305" s="153" t="s">
        <v>3250</v>
      </c>
      <c r="F305" s="50" t="s">
        <v>4042</v>
      </c>
      <c r="G305" s="170" t="s">
        <v>3645</v>
      </c>
      <c r="H305" s="171" t="s">
        <v>2760</v>
      </c>
      <c r="I305" s="107">
        <v>394</v>
      </c>
      <c r="J305" s="108"/>
      <c r="K305" s="109"/>
      <c r="L305" s="195"/>
      <c r="M305" s="106"/>
      <c r="N305" s="186" t="s">
        <v>2887</v>
      </c>
      <c r="O305" s="186" t="s">
        <v>4178</v>
      </c>
    </row>
    <row r="306" spans="2:15" ht="14.45" customHeight="1" x14ac:dyDescent="0.2">
      <c r="B306" s="210"/>
      <c r="C306" s="384"/>
      <c r="D306" s="150" t="s">
        <v>1845</v>
      </c>
      <c r="E306" s="153" t="s">
        <v>3251</v>
      </c>
      <c r="F306" s="50" t="s">
        <v>4043</v>
      </c>
      <c r="G306" s="170" t="s">
        <v>3646</v>
      </c>
      <c r="H306" s="171" t="s">
        <v>2760</v>
      </c>
      <c r="I306" s="107">
        <v>485</v>
      </c>
      <c r="J306" s="108"/>
      <c r="K306" s="109"/>
      <c r="L306" s="195"/>
      <c r="M306" s="106"/>
      <c r="N306" s="186" t="s">
        <v>2887</v>
      </c>
      <c r="O306" s="186" t="s">
        <v>4178</v>
      </c>
    </row>
    <row r="307" spans="2:15" ht="14.45" customHeight="1" x14ac:dyDescent="0.2">
      <c r="B307" s="210"/>
      <c r="C307" s="387"/>
      <c r="D307" s="122" t="s">
        <v>1845</v>
      </c>
      <c r="E307" s="123" t="s">
        <v>3252</v>
      </c>
      <c r="F307" s="12" t="s">
        <v>4044</v>
      </c>
      <c r="G307" s="158" t="s">
        <v>3647</v>
      </c>
      <c r="H307" s="159" t="s">
        <v>2760</v>
      </c>
      <c r="I307" s="95">
        <v>528</v>
      </c>
      <c r="J307" s="96"/>
      <c r="K307" s="97"/>
      <c r="L307" s="189"/>
      <c r="M307" s="98"/>
      <c r="N307" s="181" t="s">
        <v>2887</v>
      </c>
      <c r="O307" s="181" t="s">
        <v>4178</v>
      </c>
    </row>
    <row r="308" spans="2:15" ht="14.45" customHeight="1" x14ac:dyDescent="0.2">
      <c r="B308" s="210"/>
      <c r="C308" s="383" t="s">
        <v>4153</v>
      </c>
      <c r="D308" s="223" t="s">
        <v>1845</v>
      </c>
      <c r="E308" s="224" t="s">
        <v>3253</v>
      </c>
      <c r="F308" s="11" t="s">
        <v>4045</v>
      </c>
      <c r="G308" s="196" t="s">
        <v>3648</v>
      </c>
      <c r="H308" s="197" t="s">
        <v>2760</v>
      </c>
      <c r="I308" s="198">
        <v>373</v>
      </c>
      <c r="J308" s="199"/>
      <c r="K308" s="200"/>
      <c r="L308" s="201"/>
      <c r="M308" s="225"/>
      <c r="N308" s="202" t="s">
        <v>2887</v>
      </c>
      <c r="O308" s="202" t="s">
        <v>4181</v>
      </c>
    </row>
    <row r="309" spans="2:15" ht="14.45" customHeight="1" x14ac:dyDescent="0.2">
      <c r="B309" s="210"/>
      <c r="C309" s="384"/>
      <c r="D309" s="150" t="s">
        <v>1845</v>
      </c>
      <c r="E309" s="153" t="s">
        <v>3254</v>
      </c>
      <c r="F309" s="50" t="s">
        <v>4046</v>
      </c>
      <c r="G309" s="170" t="s">
        <v>3649</v>
      </c>
      <c r="H309" s="171" t="s">
        <v>2760</v>
      </c>
      <c r="I309" s="107">
        <v>172</v>
      </c>
      <c r="J309" s="108"/>
      <c r="K309" s="109"/>
      <c r="L309" s="195"/>
      <c r="M309" s="106"/>
      <c r="N309" s="186" t="s">
        <v>2887</v>
      </c>
      <c r="O309" s="186" t="s">
        <v>4180</v>
      </c>
    </row>
    <row r="310" spans="2:15" ht="14.45" customHeight="1" x14ac:dyDescent="0.2">
      <c r="B310" s="210"/>
      <c r="C310" s="384"/>
      <c r="D310" s="150" t="s">
        <v>1845</v>
      </c>
      <c r="E310" s="153" t="s">
        <v>3255</v>
      </c>
      <c r="F310" s="50" t="s">
        <v>4047</v>
      </c>
      <c r="G310" s="170" t="s">
        <v>3650</v>
      </c>
      <c r="H310" s="171" t="s">
        <v>2760</v>
      </c>
      <c r="I310" s="107">
        <v>423</v>
      </c>
      <c r="J310" s="108"/>
      <c r="K310" s="109"/>
      <c r="L310" s="195"/>
      <c r="M310" s="106"/>
      <c r="N310" s="186" t="s">
        <v>2887</v>
      </c>
      <c r="O310" s="186" t="s">
        <v>4180</v>
      </c>
    </row>
    <row r="311" spans="2:15" ht="14.45" customHeight="1" x14ac:dyDescent="0.2">
      <c r="B311" s="210"/>
      <c r="C311" s="384"/>
      <c r="D311" s="150" t="s">
        <v>1845</v>
      </c>
      <c r="E311" s="153" t="s">
        <v>3256</v>
      </c>
      <c r="F311" s="50" t="s">
        <v>4048</v>
      </c>
      <c r="G311" s="170" t="s">
        <v>3651</v>
      </c>
      <c r="H311" s="171" t="s">
        <v>2760</v>
      </c>
      <c r="I311" s="107">
        <v>602</v>
      </c>
      <c r="J311" s="108"/>
      <c r="K311" s="109"/>
      <c r="L311" s="195"/>
      <c r="M311" s="106"/>
      <c r="N311" s="186" t="s">
        <v>2887</v>
      </c>
      <c r="O311" s="186" t="s">
        <v>4180</v>
      </c>
    </row>
    <row r="312" spans="2:15" ht="14.45" customHeight="1" x14ac:dyDescent="0.2">
      <c r="B312" s="210"/>
      <c r="C312" s="384"/>
      <c r="D312" s="150" t="s">
        <v>1845</v>
      </c>
      <c r="E312" s="153" t="s">
        <v>3257</v>
      </c>
      <c r="F312" s="50" t="s">
        <v>4049</v>
      </c>
      <c r="G312" s="170" t="s">
        <v>3652</v>
      </c>
      <c r="H312" s="171" t="s">
        <v>2760</v>
      </c>
      <c r="I312" s="107">
        <v>247</v>
      </c>
      <c r="J312" s="108"/>
      <c r="K312" s="109"/>
      <c r="L312" s="195"/>
      <c r="M312" s="106"/>
      <c r="N312" s="186" t="s">
        <v>2887</v>
      </c>
      <c r="O312" s="186" t="s">
        <v>4180</v>
      </c>
    </row>
    <row r="313" spans="2:15" ht="14.45" customHeight="1" x14ac:dyDescent="0.2">
      <c r="B313" s="210"/>
      <c r="C313" s="384"/>
      <c r="D313" s="150" t="s">
        <v>1845</v>
      </c>
      <c r="E313" s="153" t="s">
        <v>3258</v>
      </c>
      <c r="F313" s="50" t="s">
        <v>4050</v>
      </c>
      <c r="G313" s="170" t="s">
        <v>3653</v>
      </c>
      <c r="H313" s="171" t="s">
        <v>2760</v>
      </c>
      <c r="I313" s="107">
        <v>412</v>
      </c>
      <c r="J313" s="108"/>
      <c r="K313" s="109"/>
      <c r="L313" s="195"/>
      <c r="M313" s="106"/>
      <c r="N313" s="186" t="s">
        <v>2887</v>
      </c>
      <c r="O313" s="186" t="s">
        <v>4180</v>
      </c>
    </row>
    <row r="314" spans="2:15" ht="14.45" customHeight="1" x14ac:dyDescent="0.2">
      <c r="B314" s="210"/>
      <c r="C314" s="384"/>
      <c r="D314" s="150" t="s">
        <v>1845</v>
      </c>
      <c r="E314" s="153" t="s">
        <v>2995</v>
      </c>
      <c r="F314" s="50" t="s">
        <v>4051</v>
      </c>
      <c r="G314" s="170" t="s">
        <v>3654</v>
      </c>
      <c r="H314" s="171" t="s">
        <v>2760</v>
      </c>
      <c r="I314" s="107">
        <v>405</v>
      </c>
      <c r="J314" s="108"/>
      <c r="K314" s="109"/>
      <c r="L314" s="195"/>
      <c r="M314" s="106"/>
      <c r="N314" s="186" t="s">
        <v>2887</v>
      </c>
      <c r="O314" s="186" t="s">
        <v>4180</v>
      </c>
    </row>
    <row r="315" spans="2:15" ht="14.45" customHeight="1" x14ac:dyDescent="0.2">
      <c r="B315" s="210"/>
      <c r="C315" s="384"/>
      <c r="D315" s="150" t="s">
        <v>1845</v>
      </c>
      <c r="E315" s="153" t="s">
        <v>3259</v>
      </c>
      <c r="F315" s="50" t="s">
        <v>4052</v>
      </c>
      <c r="G315" s="170" t="s">
        <v>3655</v>
      </c>
      <c r="H315" s="171" t="s">
        <v>2760</v>
      </c>
      <c r="I315" s="107">
        <v>229</v>
      </c>
      <c r="J315" s="108"/>
      <c r="K315" s="109"/>
      <c r="L315" s="195"/>
      <c r="M315" s="106"/>
      <c r="N315" s="186" t="s">
        <v>2887</v>
      </c>
      <c r="O315" s="186" t="s">
        <v>4180</v>
      </c>
    </row>
    <row r="316" spans="2:15" ht="14.45" customHeight="1" x14ac:dyDescent="0.2">
      <c r="B316" s="210"/>
      <c r="C316" s="384"/>
      <c r="D316" s="150" t="s">
        <v>1845</v>
      </c>
      <c r="E316" s="153" t="s">
        <v>3260</v>
      </c>
      <c r="F316" s="50" t="s">
        <v>4053</v>
      </c>
      <c r="G316" s="170" t="s">
        <v>3656</v>
      </c>
      <c r="H316" s="171" t="s">
        <v>2760</v>
      </c>
      <c r="I316" s="107">
        <v>606</v>
      </c>
      <c r="J316" s="108"/>
      <c r="K316" s="109"/>
      <c r="L316" s="195"/>
      <c r="M316" s="106"/>
      <c r="N316" s="186" t="s">
        <v>2887</v>
      </c>
      <c r="O316" s="186" t="s">
        <v>4180</v>
      </c>
    </row>
    <row r="317" spans="2:15" ht="14.45" customHeight="1" x14ac:dyDescent="0.2">
      <c r="B317" s="210"/>
      <c r="C317" s="384"/>
      <c r="D317" s="150" t="s">
        <v>1845</v>
      </c>
      <c r="E317" s="153" t="s">
        <v>3261</v>
      </c>
      <c r="F317" s="50" t="s">
        <v>4054</v>
      </c>
      <c r="G317" s="170" t="s">
        <v>3657</v>
      </c>
      <c r="H317" s="171" t="s">
        <v>2760</v>
      </c>
      <c r="I317" s="107">
        <v>302</v>
      </c>
      <c r="J317" s="108"/>
      <c r="K317" s="109"/>
      <c r="L317" s="195"/>
      <c r="M317" s="106"/>
      <c r="N317" s="186" t="s">
        <v>2887</v>
      </c>
      <c r="O317" s="186" t="s">
        <v>4180</v>
      </c>
    </row>
    <row r="318" spans="2:15" ht="14.45" customHeight="1" x14ac:dyDescent="0.2">
      <c r="B318" s="210"/>
      <c r="C318" s="384"/>
      <c r="D318" s="150" t="s">
        <v>1845</v>
      </c>
      <c r="E318" s="153" t="s">
        <v>3262</v>
      </c>
      <c r="F318" s="50" t="s">
        <v>4055</v>
      </c>
      <c r="G318" s="170" t="s">
        <v>3658</v>
      </c>
      <c r="H318" s="171" t="s">
        <v>2760</v>
      </c>
      <c r="I318" s="107">
        <v>279</v>
      </c>
      <c r="J318" s="108"/>
      <c r="K318" s="109"/>
      <c r="L318" s="195"/>
      <c r="M318" s="106"/>
      <c r="N318" s="186" t="s">
        <v>2887</v>
      </c>
      <c r="O318" s="186" t="s">
        <v>4180</v>
      </c>
    </row>
    <row r="319" spans="2:15" ht="14.45" customHeight="1" x14ac:dyDescent="0.2">
      <c r="B319" s="210"/>
      <c r="C319" s="384"/>
      <c r="D319" s="150" t="s">
        <v>1845</v>
      </c>
      <c r="E319" s="153" t="s">
        <v>3263</v>
      </c>
      <c r="F319" s="50" t="s">
        <v>4056</v>
      </c>
      <c r="G319" s="170" t="s">
        <v>3659</v>
      </c>
      <c r="H319" s="171" t="s">
        <v>2760</v>
      </c>
      <c r="I319" s="107">
        <v>414</v>
      </c>
      <c r="J319" s="108"/>
      <c r="K319" s="109"/>
      <c r="L319" s="195"/>
      <c r="M319" s="106"/>
      <c r="N319" s="186" t="s">
        <v>2887</v>
      </c>
      <c r="O319" s="186" t="s">
        <v>4180</v>
      </c>
    </row>
    <row r="320" spans="2:15" ht="14.45" customHeight="1" x14ac:dyDescent="0.2">
      <c r="B320" s="210"/>
      <c r="C320" s="384"/>
      <c r="D320" s="150" t="s">
        <v>1845</v>
      </c>
      <c r="E320" s="153" t="s">
        <v>3264</v>
      </c>
      <c r="F320" s="50" t="s">
        <v>4057</v>
      </c>
      <c r="G320" s="170" t="s">
        <v>3660</v>
      </c>
      <c r="H320" s="171" t="s">
        <v>2760</v>
      </c>
      <c r="I320" s="107">
        <v>339</v>
      </c>
      <c r="J320" s="108"/>
      <c r="K320" s="109"/>
      <c r="L320" s="195"/>
      <c r="M320" s="106"/>
      <c r="N320" s="186" t="s">
        <v>2887</v>
      </c>
      <c r="O320" s="186" t="s">
        <v>4180</v>
      </c>
    </row>
    <row r="321" spans="2:15" ht="14.45" customHeight="1" x14ac:dyDescent="0.2">
      <c r="B321" s="210"/>
      <c r="C321" s="384"/>
      <c r="D321" s="150" t="s">
        <v>1845</v>
      </c>
      <c r="E321" s="153" t="s">
        <v>3265</v>
      </c>
      <c r="F321" s="50" t="s">
        <v>4058</v>
      </c>
      <c r="G321" s="170" t="s">
        <v>3661</v>
      </c>
      <c r="H321" s="171" t="s">
        <v>2760</v>
      </c>
      <c r="I321" s="107">
        <v>521</v>
      </c>
      <c r="J321" s="108"/>
      <c r="K321" s="109"/>
      <c r="L321" s="195"/>
      <c r="M321" s="106"/>
      <c r="N321" s="186" t="s">
        <v>2887</v>
      </c>
      <c r="O321" s="186" t="s">
        <v>4180</v>
      </c>
    </row>
    <row r="322" spans="2:15" ht="14.45" customHeight="1" x14ac:dyDescent="0.2">
      <c r="B322" s="210"/>
      <c r="C322" s="384"/>
      <c r="D322" s="150" t="s">
        <v>1845</v>
      </c>
      <c r="E322" s="153" t="s">
        <v>3266</v>
      </c>
      <c r="F322" s="50" t="s">
        <v>4059</v>
      </c>
      <c r="G322" s="170" t="s">
        <v>3662</v>
      </c>
      <c r="H322" s="171" t="s">
        <v>2760</v>
      </c>
      <c r="I322" s="107">
        <v>316</v>
      </c>
      <c r="J322" s="108"/>
      <c r="K322" s="109"/>
      <c r="L322" s="195"/>
      <c r="M322" s="106"/>
      <c r="N322" s="186" t="s">
        <v>2887</v>
      </c>
      <c r="O322" s="186" t="s">
        <v>4180</v>
      </c>
    </row>
    <row r="323" spans="2:15" ht="14.45" customHeight="1" x14ac:dyDescent="0.2">
      <c r="B323" s="210"/>
      <c r="C323" s="384"/>
      <c r="D323" s="150" t="s">
        <v>1845</v>
      </c>
      <c r="E323" s="153" t="s">
        <v>3267</v>
      </c>
      <c r="F323" s="50" t="s">
        <v>4060</v>
      </c>
      <c r="G323" s="170" t="s">
        <v>3663</v>
      </c>
      <c r="H323" s="171" t="s">
        <v>2760</v>
      </c>
      <c r="I323" s="107">
        <v>443</v>
      </c>
      <c r="J323" s="108"/>
      <c r="K323" s="109"/>
      <c r="L323" s="195"/>
      <c r="M323" s="106"/>
      <c r="N323" s="186" t="s">
        <v>2887</v>
      </c>
      <c r="O323" s="186" t="s">
        <v>4180</v>
      </c>
    </row>
    <row r="324" spans="2:15" ht="14.45" customHeight="1" x14ac:dyDescent="0.2">
      <c r="B324" s="210"/>
      <c r="C324" s="384"/>
      <c r="D324" s="150" t="s">
        <v>1845</v>
      </c>
      <c r="E324" s="153" t="s">
        <v>3268</v>
      </c>
      <c r="F324" s="50" t="s">
        <v>4061</v>
      </c>
      <c r="G324" s="170" t="s">
        <v>3664</v>
      </c>
      <c r="H324" s="171" t="s">
        <v>2760</v>
      </c>
      <c r="I324" s="107">
        <v>704</v>
      </c>
      <c r="J324" s="108"/>
      <c r="K324" s="109"/>
      <c r="L324" s="195"/>
      <c r="M324" s="106"/>
      <c r="N324" s="186" t="s">
        <v>2887</v>
      </c>
      <c r="O324" s="186" t="s">
        <v>4180</v>
      </c>
    </row>
    <row r="325" spans="2:15" ht="14.45" customHeight="1" x14ac:dyDescent="0.2">
      <c r="B325" s="210"/>
      <c r="C325" s="384"/>
      <c r="D325" s="150" t="s">
        <v>1845</v>
      </c>
      <c r="E325" s="153" t="s">
        <v>3269</v>
      </c>
      <c r="F325" s="50" t="s">
        <v>4062</v>
      </c>
      <c r="G325" s="170" t="s">
        <v>3665</v>
      </c>
      <c r="H325" s="171" t="s">
        <v>2760</v>
      </c>
      <c r="I325" s="107">
        <v>657</v>
      </c>
      <c r="J325" s="108"/>
      <c r="K325" s="109"/>
      <c r="L325" s="195"/>
      <c r="M325" s="106"/>
      <c r="N325" s="186" t="s">
        <v>2887</v>
      </c>
      <c r="O325" s="186" t="s">
        <v>4180</v>
      </c>
    </row>
    <row r="326" spans="2:15" ht="14.45" customHeight="1" x14ac:dyDescent="0.2">
      <c r="B326" s="210"/>
      <c r="C326" s="384"/>
      <c r="D326" s="150" t="s">
        <v>1845</v>
      </c>
      <c r="E326" s="153" t="s">
        <v>3270</v>
      </c>
      <c r="F326" s="50" t="s">
        <v>4063</v>
      </c>
      <c r="G326" s="170" t="s">
        <v>3666</v>
      </c>
      <c r="H326" s="171" t="s">
        <v>2760</v>
      </c>
      <c r="I326" s="107">
        <v>283</v>
      </c>
      <c r="J326" s="108"/>
      <c r="K326" s="109"/>
      <c r="L326" s="195"/>
      <c r="M326" s="106"/>
      <c r="N326" s="186" t="s">
        <v>2887</v>
      </c>
      <c r="O326" s="186" t="s">
        <v>4180</v>
      </c>
    </row>
    <row r="327" spans="2:15" ht="14.45" customHeight="1" x14ac:dyDescent="0.2">
      <c r="B327" s="210"/>
      <c r="C327" s="384"/>
      <c r="D327" s="150" t="s">
        <v>1845</v>
      </c>
      <c r="E327" s="153" t="s">
        <v>3271</v>
      </c>
      <c r="F327" s="50" t="s">
        <v>4064</v>
      </c>
      <c r="G327" s="170" t="s">
        <v>3667</v>
      </c>
      <c r="H327" s="171" t="s">
        <v>2760</v>
      </c>
      <c r="I327" s="107">
        <v>418</v>
      </c>
      <c r="J327" s="108"/>
      <c r="K327" s="109"/>
      <c r="L327" s="195"/>
      <c r="M327" s="106"/>
      <c r="N327" s="186" t="s">
        <v>2887</v>
      </c>
      <c r="O327" s="186" t="s">
        <v>4180</v>
      </c>
    </row>
    <row r="328" spans="2:15" ht="14.45" customHeight="1" x14ac:dyDescent="0.2">
      <c r="B328" s="210"/>
      <c r="C328" s="384"/>
      <c r="D328" s="150" t="s">
        <v>1845</v>
      </c>
      <c r="E328" s="153" t="s">
        <v>3272</v>
      </c>
      <c r="F328" s="50" t="s">
        <v>4065</v>
      </c>
      <c r="G328" s="170" t="s">
        <v>3668</v>
      </c>
      <c r="H328" s="171" t="s">
        <v>2760</v>
      </c>
      <c r="I328" s="107">
        <v>477</v>
      </c>
      <c r="J328" s="108"/>
      <c r="K328" s="109"/>
      <c r="L328" s="195"/>
      <c r="M328" s="106"/>
      <c r="N328" s="186" t="s">
        <v>2887</v>
      </c>
      <c r="O328" s="186" t="s">
        <v>4180</v>
      </c>
    </row>
    <row r="329" spans="2:15" ht="14.45" customHeight="1" x14ac:dyDescent="0.2">
      <c r="B329" s="210"/>
      <c r="C329" s="384"/>
      <c r="D329" s="150" t="s">
        <v>1845</v>
      </c>
      <c r="E329" s="153" t="s">
        <v>3273</v>
      </c>
      <c r="F329" s="50" t="s">
        <v>4066</v>
      </c>
      <c r="G329" s="170" t="s">
        <v>3669</v>
      </c>
      <c r="H329" s="171" t="s">
        <v>2760</v>
      </c>
      <c r="I329" s="107">
        <v>272</v>
      </c>
      <c r="J329" s="108"/>
      <c r="K329" s="109"/>
      <c r="L329" s="195"/>
      <c r="M329" s="106"/>
      <c r="N329" s="186" t="s">
        <v>2887</v>
      </c>
      <c r="O329" s="186" t="s">
        <v>4180</v>
      </c>
    </row>
    <row r="330" spans="2:15" ht="14.45" customHeight="1" x14ac:dyDescent="0.2">
      <c r="B330" s="210"/>
      <c r="C330" s="384"/>
      <c r="D330" s="150" t="s">
        <v>1845</v>
      </c>
      <c r="E330" s="153" t="s">
        <v>3274</v>
      </c>
      <c r="F330" s="50" t="s">
        <v>4067</v>
      </c>
      <c r="G330" s="170" t="s">
        <v>3670</v>
      </c>
      <c r="H330" s="171" t="s">
        <v>2760</v>
      </c>
      <c r="I330" s="107">
        <v>422</v>
      </c>
      <c r="J330" s="108"/>
      <c r="K330" s="109"/>
      <c r="L330" s="195"/>
      <c r="M330" s="106"/>
      <c r="N330" s="186" t="s">
        <v>2887</v>
      </c>
      <c r="O330" s="186" t="s">
        <v>4180</v>
      </c>
    </row>
    <row r="331" spans="2:15" ht="14.45" customHeight="1" x14ac:dyDescent="0.2">
      <c r="B331" s="210"/>
      <c r="C331" s="384"/>
      <c r="D331" s="150" t="s">
        <v>1845</v>
      </c>
      <c r="E331" s="153" t="s">
        <v>3275</v>
      </c>
      <c r="F331" s="50" t="s">
        <v>4068</v>
      </c>
      <c r="G331" s="170" t="s">
        <v>3671</v>
      </c>
      <c r="H331" s="171" t="s">
        <v>2760</v>
      </c>
      <c r="I331" s="107">
        <v>450</v>
      </c>
      <c r="J331" s="108"/>
      <c r="K331" s="109"/>
      <c r="L331" s="195"/>
      <c r="M331" s="106"/>
      <c r="N331" s="186" t="s">
        <v>2887</v>
      </c>
      <c r="O331" s="186" t="s">
        <v>4180</v>
      </c>
    </row>
    <row r="332" spans="2:15" ht="14.45" customHeight="1" x14ac:dyDescent="0.2">
      <c r="B332" s="210"/>
      <c r="C332" s="384"/>
      <c r="D332" s="150" t="s">
        <v>1845</v>
      </c>
      <c r="E332" s="153" t="s">
        <v>3276</v>
      </c>
      <c r="F332" s="50" t="s">
        <v>4069</v>
      </c>
      <c r="G332" s="170" t="s">
        <v>3672</v>
      </c>
      <c r="H332" s="171" t="s">
        <v>2760</v>
      </c>
      <c r="I332" s="107">
        <v>319</v>
      </c>
      <c r="J332" s="108"/>
      <c r="K332" s="109"/>
      <c r="L332" s="195"/>
      <c r="M332" s="106"/>
      <c r="N332" s="186" t="s">
        <v>2887</v>
      </c>
      <c r="O332" s="186" t="s">
        <v>4180</v>
      </c>
    </row>
    <row r="333" spans="2:15" ht="14.45" customHeight="1" x14ac:dyDescent="0.2">
      <c r="B333" s="210"/>
      <c r="C333" s="384"/>
      <c r="D333" s="150" t="s">
        <v>1845</v>
      </c>
      <c r="E333" s="153" t="s">
        <v>3277</v>
      </c>
      <c r="F333" s="50" t="s">
        <v>4070</v>
      </c>
      <c r="G333" s="170" t="s">
        <v>3673</v>
      </c>
      <c r="H333" s="171" t="s">
        <v>2760</v>
      </c>
      <c r="I333" s="107">
        <v>608</v>
      </c>
      <c r="J333" s="108"/>
      <c r="K333" s="109"/>
      <c r="L333" s="195"/>
      <c r="M333" s="106"/>
      <c r="N333" s="186" t="s">
        <v>2887</v>
      </c>
      <c r="O333" s="186" t="s">
        <v>4180</v>
      </c>
    </row>
    <row r="334" spans="2:15" ht="14.45" customHeight="1" x14ac:dyDescent="0.2">
      <c r="B334" s="210"/>
      <c r="C334" s="384"/>
      <c r="D334" s="150" t="s">
        <v>1845</v>
      </c>
      <c r="E334" s="153" t="s">
        <v>3278</v>
      </c>
      <c r="F334" s="50" t="s">
        <v>4071</v>
      </c>
      <c r="G334" s="170" t="s">
        <v>3674</v>
      </c>
      <c r="H334" s="171" t="s">
        <v>2760</v>
      </c>
      <c r="I334" s="107">
        <v>333</v>
      </c>
      <c r="J334" s="108"/>
      <c r="K334" s="109"/>
      <c r="L334" s="195"/>
      <c r="M334" s="106"/>
      <c r="N334" s="186" t="s">
        <v>2887</v>
      </c>
      <c r="O334" s="186" t="s">
        <v>4180</v>
      </c>
    </row>
    <row r="335" spans="2:15" ht="14.45" customHeight="1" x14ac:dyDescent="0.2">
      <c r="B335" s="210"/>
      <c r="C335" s="384"/>
      <c r="D335" s="150" t="s">
        <v>1845</v>
      </c>
      <c r="E335" s="153" t="s">
        <v>3279</v>
      </c>
      <c r="F335" s="50" t="s">
        <v>4072</v>
      </c>
      <c r="G335" s="170" t="s">
        <v>3675</v>
      </c>
      <c r="H335" s="171" t="s">
        <v>2760</v>
      </c>
      <c r="I335" s="107">
        <v>553</v>
      </c>
      <c r="J335" s="108"/>
      <c r="K335" s="109"/>
      <c r="L335" s="195"/>
      <c r="M335" s="106"/>
      <c r="N335" s="186" t="s">
        <v>2887</v>
      </c>
      <c r="O335" s="186" t="s">
        <v>4180</v>
      </c>
    </row>
    <row r="336" spans="2:15" ht="14.45" customHeight="1" x14ac:dyDescent="0.2">
      <c r="B336" s="210"/>
      <c r="C336" s="384"/>
      <c r="D336" s="150" t="s">
        <v>1845</v>
      </c>
      <c r="E336" s="153" t="s">
        <v>3280</v>
      </c>
      <c r="F336" s="50" t="s">
        <v>4073</v>
      </c>
      <c r="G336" s="170" t="s">
        <v>3676</v>
      </c>
      <c r="H336" s="171" t="s">
        <v>2760</v>
      </c>
      <c r="I336" s="107">
        <v>408</v>
      </c>
      <c r="J336" s="108"/>
      <c r="K336" s="109"/>
      <c r="L336" s="195"/>
      <c r="M336" s="106"/>
      <c r="N336" s="186" t="s">
        <v>2887</v>
      </c>
      <c r="O336" s="186" t="s">
        <v>4180</v>
      </c>
    </row>
    <row r="337" spans="2:15" ht="14.45" customHeight="1" x14ac:dyDescent="0.2">
      <c r="B337" s="210"/>
      <c r="C337" s="384"/>
      <c r="D337" s="150" t="s">
        <v>1845</v>
      </c>
      <c r="E337" s="153" t="s">
        <v>3281</v>
      </c>
      <c r="F337" s="50" t="s">
        <v>4074</v>
      </c>
      <c r="G337" s="170" t="s">
        <v>3677</v>
      </c>
      <c r="H337" s="171" t="s">
        <v>2760</v>
      </c>
      <c r="I337" s="107">
        <v>285</v>
      </c>
      <c r="J337" s="108"/>
      <c r="K337" s="109"/>
      <c r="L337" s="195"/>
      <c r="M337" s="106"/>
      <c r="N337" s="186" t="s">
        <v>2887</v>
      </c>
      <c r="O337" s="186" t="s">
        <v>4180</v>
      </c>
    </row>
    <row r="338" spans="2:15" ht="14.45" customHeight="1" x14ac:dyDescent="0.2">
      <c r="B338" s="210"/>
      <c r="C338" s="384"/>
      <c r="D338" s="150" t="s">
        <v>1845</v>
      </c>
      <c r="E338" s="153" t="s">
        <v>3282</v>
      </c>
      <c r="F338" s="50" t="s">
        <v>4075</v>
      </c>
      <c r="G338" s="170" t="s">
        <v>3678</v>
      </c>
      <c r="H338" s="171" t="s">
        <v>2760</v>
      </c>
      <c r="I338" s="107">
        <v>413</v>
      </c>
      <c r="J338" s="108"/>
      <c r="K338" s="109"/>
      <c r="L338" s="195"/>
      <c r="M338" s="106"/>
      <c r="N338" s="186" t="s">
        <v>2887</v>
      </c>
      <c r="O338" s="186" t="s">
        <v>4180</v>
      </c>
    </row>
    <row r="339" spans="2:15" ht="14.45" customHeight="1" x14ac:dyDescent="0.2">
      <c r="B339" s="210"/>
      <c r="C339" s="384"/>
      <c r="D339" s="150" t="s">
        <v>1845</v>
      </c>
      <c r="E339" s="153" t="s">
        <v>3283</v>
      </c>
      <c r="F339" s="50" t="s">
        <v>4076</v>
      </c>
      <c r="G339" s="170" t="s">
        <v>3679</v>
      </c>
      <c r="H339" s="171" t="s">
        <v>2760</v>
      </c>
      <c r="I339" s="107">
        <v>394</v>
      </c>
      <c r="J339" s="108"/>
      <c r="K339" s="109"/>
      <c r="L339" s="195"/>
      <c r="M339" s="106"/>
      <c r="N339" s="186" t="s">
        <v>2887</v>
      </c>
      <c r="O339" s="186" t="s">
        <v>4180</v>
      </c>
    </row>
    <row r="340" spans="2:15" ht="14.45" customHeight="1" x14ac:dyDescent="0.2">
      <c r="B340" s="210"/>
      <c r="C340" s="384"/>
      <c r="D340" s="150" t="s">
        <v>1845</v>
      </c>
      <c r="E340" s="153" t="s">
        <v>3284</v>
      </c>
      <c r="F340" s="50" t="s">
        <v>4077</v>
      </c>
      <c r="G340" s="170" t="s">
        <v>3680</v>
      </c>
      <c r="H340" s="171" t="s">
        <v>2760</v>
      </c>
      <c r="I340" s="107">
        <v>365</v>
      </c>
      <c r="J340" s="108"/>
      <c r="K340" s="109"/>
      <c r="L340" s="195"/>
      <c r="M340" s="106"/>
      <c r="N340" s="186" t="s">
        <v>2887</v>
      </c>
      <c r="O340" s="186" t="s">
        <v>4180</v>
      </c>
    </row>
    <row r="341" spans="2:15" ht="14.45" customHeight="1" x14ac:dyDescent="0.2">
      <c r="B341" s="210"/>
      <c r="C341" s="384"/>
      <c r="D341" s="150" t="s">
        <v>1845</v>
      </c>
      <c r="E341" s="153" t="s">
        <v>3285</v>
      </c>
      <c r="F341" s="50" t="s">
        <v>4078</v>
      </c>
      <c r="G341" s="170" t="s">
        <v>3681</v>
      </c>
      <c r="H341" s="171" t="s">
        <v>2760</v>
      </c>
      <c r="I341" s="107">
        <v>458</v>
      </c>
      <c r="J341" s="108"/>
      <c r="K341" s="109"/>
      <c r="L341" s="195"/>
      <c r="M341" s="106"/>
      <c r="N341" s="186" t="s">
        <v>2887</v>
      </c>
      <c r="O341" s="186" t="s">
        <v>4180</v>
      </c>
    </row>
    <row r="342" spans="2:15" ht="14.45" customHeight="1" x14ac:dyDescent="0.2">
      <c r="B342" s="210"/>
      <c r="C342" s="384"/>
      <c r="D342" s="150" t="s">
        <v>1845</v>
      </c>
      <c r="E342" s="153" t="s">
        <v>3286</v>
      </c>
      <c r="F342" s="50" t="s">
        <v>4079</v>
      </c>
      <c r="G342" s="170" t="s">
        <v>3682</v>
      </c>
      <c r="H342" s="171" t="s">
        <v>2760</v>
      </c>
      <c r="I342" s="107">
        <v>435</v>
      </c>
      <c r="J342" s="108"/>
      <c r="K342" s="109"/>
      <c r="L342" s="195"/>
      <c r="M342" s="106"/>
      <c r="N342" s="186" t="s">
        <v>2887</v>
      </c>
      <c r="O342" s="186" t="s">
        <v>4180</v>
      </c>
    </row>
    <row r="343" spans="2:15" ht="14.45" customHeight="1" x14ac:dyDescent="0.2">
      <c r="B343" s="210"/>
      <c r="C343" s="384"/>
      <c r="D343" s="150" t="s">
        <v>1845</v>
      </c>
      <c r="E343" s="153" t="s">
        <v>3287</v>
      </c>
      <c r="F343" s="50" t="s">
        <v>4080</v>
      </c>
      <c r="G343" s="170" t="s">
        <v>3683</v>
      </c>
      <c r="H343" s="171" t="s">
        <v>2760</v>
      </c>
      <c r="I343" s="107">
        <v>358</v>
      </c>
      <c r="J343" s="108"/>
      <c r="K343" s="109"/>
      <c r="L343" s="195"/>
      <c r="M343" s="106"/>
      <c r="N343" s="186" t="s">
        <v>2887</v>
      </c>
      <c r="O343" s="186" t="s">
        <v>4180</v>
      </c>
    </row>
    <row r="344" spans="2:15" ht="14.45" customHeight="1" x14ac:dyDescent="0.2">
      <c r="B344" s="210"/>
      <c r="C344" s="384"/>
      <c r="D344" s="150" t="s">
        <v>1845</v>
      </c>
      <c r="E344" s="153" t="s">
        <v>3288</v>
      </c>
      <c r="F344" s="50" t="s">
        <v>4081</v>
      </c>
      <c r="G344" s="170" t="s">
        <v>3684</v>
      </c>
      <c r="H344" s="171" t="s">
        <v>2760</v>
      </c>
      <c r="I344" s="107">
        <v>381</v>
      </c>
      <c r="J344" s="108"/>
      <c r="K344" s="109"/>
      <c r="L344" s="195"/>
      <c r="M344" s="106"/>
      <c r="N344" s="186" t="s">
        <v>2887</v>
      </c>
      <c r="O344" s="186" t="s">
        <v>4180</v>
      </c>
    </row>
    <row r="345" spans="2:15" ht="14.45" customHeight="1" x14ac:dyDescent="0.2">
      <c r="B345" s="210"/>
      <c r="C345" s="384"/>
      <c r="D345" s="150" t="s">
        <v>1845</v>
      </c>
      <c r="E345" s="153" t="s">
        <v>3289</v>
      </c>
      <c r="F345" s="50" t="s">
        <v>4082</v>
      </c>
      <c r="G345" s="170" t="s">
        <v>3685</v>
      </c>
      <c r="H345" s="171" t="s">
        <v>2760</v>
      </c>
      <c r="I345" s="107">
        <v>642</v>
      </c>
      <c r="J345" s="108"/>
      <c r="K345" s="109"/>
      <c r="L345" s="195"/>
      <c r="M345" s="106"/>
      <c r="N345" s="186" t="s">
        <v>2887</v>
      </c>
      <c r="O345" s="186" t="s">
        <v>4180</v>
      </c>
    </row>
    <row r="346" spans="2:15" ht="14.45" customHeight="1" x14ac:dyDescent="0.2">
      <c r="B346" s="210"/>
      <c r="C346" s="384"/>
      <c r="D346" s="150" t="s">
        <v>1845</v>
      </c>
      <c r="E346" s="153" t="s">
        <v>3290</v>
      </c>
      <c r="F346" s="50" t="s">
        <v>4083</v>
      </c>
      <c r="G346" s="170" t="s">
        <v>3686</v>
      </c>
      <c r="H346" s="171" t="s">
        <v>2760</v>
      </c>
      <c r="I346" s="107">
        <v>262</v>
      </c>
      <c r="J346" s="108"/>
      <c r="K346" s="109"/>
      <c r="L346" s="195"/>
      <c r="M346" s="106"/>
      <c r="N346" s="186" t="s">
        <v>2887</v>
      </c>
      <c r="O346" s="186" t="s">
        <v>4180</v>
      </c>
    </row>
    <row r="347" spans="2:15" ht="14.45" customHeight="1" x14ac:dyDescent="0.2">
      <c r="B347" s="210"/>
      <c r="C347" s="384"/>
      <c r="D347" s="150" t="s">
        <v>1845</v>
      </c>
      <c r="E347" s="153" t="s">
        <v>3291</v>
      </c>
      <c r="F347" s="50" t="s">
        <v>4084</v>
      </c>
      <c r="G347" s="170" t="s">
        <v>3687</v>
      </c>
      <c r="H347" s="171" t="s">
        <v>2760</v>
      </c>
      <c r="I347" s="107">
        <v>312</v>
      </c>
      <c r="J347" s="108"/>
      <c r="K347" s="109"/>
      <c r="L347" s="195"/>
      <c r="M347" s="106"/>
      <c r="N347" s="186" t="s">
        <v>2887</v>
      </c>
      <c r="O347" s="186" t="s">
        <v>4180</v>
      </c>
    </row>
    <row r="348" spans="2:15" ht="14.45" customHeight="1" x14ac:dyDescent="0.2">
      <c r="B348" s="210"/>
      <c r="C348" s="384"/>
      <c r="D348" s="150" t="s">
        <v>1845</v>
      </c>
      <c r="E348" s="153" t="s">
        <v>3292</v>
      </c>
      <c r="F348" s="50" t="s">
        <v>4085</v>
      </c>
      <c r="G348" s="170" t="s">
        <v>3688</v>
      </c>
      <c r="H348" s="171" t="s">
        <v>2760</v>
      </c>
      <c r="I348" s="107">
        <v>455</v>
      </c>
      <c r="J348" s="108"/>
      <c r="K348" s="109"/>
      <c r="L348" s="195"/>
      <c r="M348" s="106"/>
      <c r="N348" s="186" t="s">
        <v>2887</v>
      </c>
      <c r="O348" s="186" t="s">
        <v>4180</v>
      </c>
    </row>
    <row r="349" spans="2:15" ht="14.45" customHeight="1" x14ac:dyDescent="0.2">
      <c r="B349" s="210"/>
      <c r="C349" s="384"/>
      <c r="D349" s="150" t="s">
        <v>1845</v>
      </c>
      <c r="E349" s="153" t="s">
        <v>3293</v>
      </c>
      <c r="F349" s="50" t="s">
        <v>4195</v>
      </c>
      <c r="G349" s="170" t="s">
        <v>3689</v>
      </c>
      <c r="H349" s="171" t="s">
        <v>2760</v>
      </c>
      <c r="I349" s="107">
        <v>443</v>
      </c>
      <c r="J349" s="108"/>
      <c r="K349" s="109"/>
      <c r="L349" s="195"/>
      <c r="M349" s="106"/>
      <c r="N349" s="186" t="s">
        <v>2887</v>
      </c>
      <c r="O349" s="186" t="s">
        <v>4180</v>
      </c>
    </row>
    <row r="350" spans="2:15" ht="14.45" customHeight="1" thickBot="1" x14ac:dyDescent="0.25">
      <c r="B350" s="211"/>
      <c r="C350" s="385"/>
      <c r="D350" s="138" t="s">
        <v>1845</v>
      </c>
      <c r="E350" s="139" t="s">
        <v>3294</v>
      </c>
      <c r="F350" s="49" t="s">
        <v>4087</v>
      </c>
      <c r="G350" s="164" t="s">
        <v>3690</v>
      </c>
      <c r="H350" s="165" t="s">
        <v>2760</v>
      </c>
      <c r="I350" s="99">
        <v>346</v>
      </c>
      <c r="J350" s="100"/>
      <c r="K350" s="101"/>
      <c r="L350" s="192"/>
      <c r="M350" s="102"/>
      <c r="N350" s="179" t="s">
        <v>2887</v>
      </c>
      <c r="O350" s="179" t="s">
        <v>4180</v>
      </c>
    </row>
    <row r="351" spans="2:15" ht="14.45" customHeight="1" x14ac:dyDescent="0.2">
      <c r="B351" s="210" t="s">
        <v>4154</v>
      </c>
      <c r="C351" s="386" t="s">
        <v>4155</v>
      </c>
      <c r="D351" s="115" t="s">
        <v>1845</v>
      </c>
      <c r="E351" s="213" t="s">
        <v>3295</v>
      </c>
      <c r="F351" s="214" t="s">
        <v>4088</v>
      </c>
      <c r="G351" s="215" t="s">
        <v>3691</v>
      </c>
      <c r="H351" s="216" t="s">
        <v>2760</v>
      </c>
      <c r="I351" s="217">
        <v>336</v>
      </c>
      <c r="J351" s="218"/>
      <c r="K351" s="219"/>
      <c r="L351" s="220"/>
      <c r="M351" s="121"/>
      <c r="N351" s="221" t="s">
        <v>4154</v>
      </c>
      <c r="O351" s="221" t="s">
        <v>4183</v>
      </c>
    </row>
    <row r="352" spans="2:15" ht="14.45" customHeight="1" x14ac:dyDescent="0.2">
      <c r="B352" s="210"/>
      <c r="C352" s="384"/>
      <c r="D352" s="150" t="s">
        <v>1845</v>
      </c>
      <c r="E352" s="153" t="s">
        <v>3296</v>
      </c>
      <c r="F352" s="50" t="s">
        <v>4089</v>
      </c>
      <c r="G352" s="170" t="s">
        <v>3692</v>
      </c>
      <c r="H352" s="171" t="s">
        <v>2760</v>
      </c>
      <c r="I352" s="107">
        <v>460</v>
      </c>
      <c r="J352" s="108"/>
      <c r="K352" s="109"/>
      <c r="L352" s="195"/>
      <c r="M352" s="106"/>
      <c r="N352" s="186" t="s">
        <v>2888</v>
      </c>
      <c r="O352" s="186" t="s">
        <v>4182</v>
      </c>
    </row>
    <row r="353" spans="2:15" ht="14.45" customHeight="1" x14ac:dyDescent="0.2">
      <c r="B353" s="210"/>
      <c r="C353" s="384"/>
      <c r="D353" s="150" t="s">
        <v>1845</v>
      </c>
      <c r="E353" s="153" t="s">
        <v>3297</v>
      </c>
      <c r="F353" s="50" t="s">
        <v>4090</v>
      </c>
      <c r="G353" s="170" t="s">
        <v>3693</v>
      </c>
      <c r="H353" s="171" t="s">
        <v>2760</v>
      </c>
      <c r="I353" s="107">
        <v>693</v>
      </c>
      <c r="J353" s="108"/>
      <c r="K353" s="109"/>
      <c r="L353" s="195"/>
      <c r="M353" s="106"/>
      <c r="N353" s="186" t="s">
        <v>2888</v>
      </c>
      <c r="O353" s="186" t="s">
        <v>4182</v>
      </c>
    </row>
    <row r="354" spans="2:15" ht="14.45" customHeight="1" x14ac:dyDescent="0.2">
      <c r="B354" s="210"/>
      <c r="C354" s="384"/>
      <c r="D354" s="150" t="s">
        <v>1845</v>
      </c>
      <c r="E354" s="153" t="s">
        <v>3298</v>
      </c>
      <c r="F354" s="50" t="s">
        <v>4091</v>
      </c>
      <c r="G354" s="170" t="s">
        <v>3694</v>
      </c>
      <c r="H354" s="171" t="s">
        <v>2760</v>
      </c>
      <c r="I354" s="107">
        <v>484</v>
      </c>
      <c r="J354" s="108"/>
      <c r="K354" s="109"/>
      <c r="L354" s="195"/>
      <c r="M354" s="106"/>
      <c r="N354" s="186" t="s">
        <v>2888</v>
      </c>
      <c r="O354" s="186" t="s">
        <v>4182</v>
      </c>
    </row>
    <row r="355" spans="2:15" ht="14.45" customHeight="1" x14ac:dyDescent="0.2">
      <c r="B355" s="210"/>
      <c r="C355" s="384"/>
      <c r="D355" s="150" t="s">
        <v>1845</v>
      </c>
      <c r="E355" s="153" t="s">
        <v>3299</v>
      </c>
      <c r="F355" s="50" t="s">
        <v>4092</v>
      </c>
      <c r="G355" s="170" t="s">
        <v>3695</v>
      </c>
      <c r="H355" s="171" t="s">
        <v>2760</v>
      </c>
      <c r="I355" s="107">
        <v>497</v>
      </c>
      <c r="J355" s="108"/>
      <c r="K355" s="109"/>
      <c r="L355" s="195"/>
      <c r="M355" s="106"/>
      <c r="N355" s="186" t="s">
        <v>2888</v>
      </c>
      <c r="O355" s="186" t="s">
        <v>4182</v>
      </c>
    </row>
    <row r="356" spans="2:15" ht="14.45" customHeight="1" x14ac:dyDescent="0.2">
      <c r="B356" s="210"/>
      <c r="C356" s="384"/>
      <c r="D356" s="150" t="s">
        <v>1845</v>
      </c>
      <c r="E356" s="153" t="s">
        <v>3300</v>
      </c>
      <c r="F356" s="50" t="s">
        <v>4093</v>
      </c>
      <c r="G356" s="170" t="s">
        <v>3696</v>
      </c>
      <c r="H356" s="171" t="s">
        <v>2760</v>
      </c>
      <c r="I356" s="107">
        <v>450</v>
      </c>
      <c r="J356" s="108"/>
      <c r="K356" s="109"/>
      <c r="L356" s="195"/>
      <c r="M356" s="106"/>
      <c r="N356" s="186" t="s">
        <v>2888</v>
      </c>
      <c r="O356" s="186" t="s">
        <v>4182</v>
      </c>
    </row>
    <row r="357" spans="2:15" ht="14.45" customHeight="1" x14ac:dyDescent="0.2">
      <c r="B357" s="210"/>
      <c r="C357" s="384"/>
      <c r="D357" s="150" t="s">
        <v>1845</v>
      </c>
      <c r="E357" s="153" t="s">
        <v>3301</v>
      </c>
      <c r="F357" s="50" t="s">
        <v>4094</v>
      </c>
      <c r="G357" s="170" t="s">
        <v>3697</v>
      </c>
      <c r="H357" s="171" t="s">
        <v>2760</v>
      </c>
      <c r="I357" s="107">
        <v>819</v>
      </c>
      <c r="J357" s="108"/>
      <c r="K357" s="109"/>
      <c r="L357" s="195"/>
      <c r="M357" s="106"/>
      <c r="N357" s="186" t="s">
        <v>2888</v>
      </c>
      <c r="O357" s="186" t="s">
        <v>4182</v>
      </c>
    </row>
    <row r="358" spans="2:15" ht="14.45" customHeight="1" x14ac:dyDescent="0.2">
      <c r="B358" s="210"/>
      <c r="C358" s="384"/>
      <c r="D358" s="150" t="s">
        <v>1845</v>
      </c>
      <c r="E358" s="153" t="s">
        <v>3302</v>
      </c>
      <c r="F358" s="50" t="s">
        <v>4095</v>
      </c>
      <c r="G358" s="170" t="s">
        <v>3698</v>
      </c>
      <c r="H358" s="171" t="s">
        <v>2760</v>
      </c>
      <c r="I358" s="107">
        <v>419</v>
      </c>
      <c r="J358" s="108"/>
      <c r="K358" s="109"/>
      <c r="L358" s="195"/>
      <c r="M358" s="106"/>
      <c r="N358" s="186" t="s">
        <v>2888</v>
      </c>
      <c r="O358" s="186" t="s">
        <v>4182</v>
      </c>
    </row>
    <row r="359" spans="2:15" ht="14.45" customHeight="1" x14ac:dyDescent="0.2">
      <c r="B359" s="210"/>
      <c r="C359" s="387"/>
      <c r="D359" s="122" t="s">
        <v>1845</v>
      </c>
      <c r="E359" s="123" t="s">
        <v>3303</v>
      </c>
      <c r="F359" s="12" t="s">
        <v>4096</v>
      </c>
      <c r="G359" s="158" t="s">
        <v>3699</v>
      </c>
      <c r="H359" s="159" t="s">
        <v>2760</v>
      </c>
      <c r="I359" s="95">
        <v>437</v>
      </c>
      <c r="J359" s="96"/>
      <c r="K359" s="97"/>
      <c r="L359" s="189"/>
      <c r="M359" s="98"/>
      <c r="N359" s="181" t="s">
        <v>2888</v>
      </c>
      <c r="O359" s="181" t="s">
        <v>4182</v>
      </c>
    </row>
    <row r="360" spans="2:15" ht="14.45" customHeight="1" x14ac:dyDescent="0.2">
      <c r="B360" s="210"/>
      <c r="C360" s="383" t="s">
        <v>4156</v>
      </c>
      <c r="D360" s="131" t="s">
        <v>1845</v>
      </c>
      <c r="E360" s="227" t="s">
        <v>3304</v>
      </c>
      <c r="F360" s="228" t="s">
        <v>4097</v>
      </c>
      <c r="G360" s="203" t="s">
        <v>3700</v>
      </c>
      <c r="H360" s="204" t="s">
        <v>2760</v>
      </c>
      <c r="I360" s="205">
        <v>244</v>
      </c>
      <c r="J360" s="206"/>
      <c r="K360" s="207"/>
      <c r="L360" s="208"/>
      <c r="M360" s="137"/>
      <c r="N360" s="209" t="s">
        <v>2888</v>
      </c>
      <c r="O360" s="209" t="s">
        <v>4185</v>
      </c>
    </row>
    <row r="361" spans="2:15" ht="14.45" customHeight="1" x14ac:dyDescent="0.2">
      <c r="B361" s="210"/>
      <c r="C361" s="384"/>
      <c r="D361" s="150" t="s">
        <v>1845</v>
      </c>
      <c r="E361" s="153" t="s">
        <v>3305</v>
      </c>
      <c r="F361" s="50" t="s">
        <v>4098</v>
      </c>
      <c r="G361" s="170" t="s">
        <v>3701</v>
      </c>
      <c r="H361" s="171" t="s">
        <v>2760</v>
      </c>
      <c r="I361" s="107">
        <v>257</v>
      </c>
      <c r="J361" s="108"/>
      <c r="K361" s="109"/>
      <c r="L361" s="195"/>
      <c r="M361" s="106"/>
      <c r="N361" s="186" t="s">
        <v>2888</v>
      </c>
      <c r="O361" s="186" t="s">
        <v>4184</v>
      </c>
    </row>
    <row r="362" spans="2:15" ht="14.45" customHeight="1" x14ac:dyDescent="0.2">
      <c r="B362" s="210"/>
      <c r="C362" s="384"/>
      <c r="D362" s="150" t="s">
        <v>1845</v>
      </c>
      <c r="E362" s="153" t="s">
        <v>3306</v>
      </c>
      <c r="F362" s="50" t="s">
        <v>4099</v>
      </c>
      <c r="G362" s="170" t="s">
        <v>3702</v>
      </c>
      <c r="H362" s="171" t="s">
        <v>2760</v>
      </c>
      <c r="I362" s="107">
        <v>306</v>
      </c>
      <c r="J362" s="108"/>
      <c r="K362" s="109"/>
      <c r="L362" s="195"/>
      <c r="M362" s="106"/>
      <c r="N362" s="186" t="s">
        <v>2888</v>
      </c>
      <c r="O362" s="186" t="s">
        <v>4184</v>
      </c>
    </row>
    <row r="363" spans="2:15" ht="14.45" customHeight="1" x14ac:dyDescent="0.2">
      <c r="B363" s="210"/>
      <c r="C363" s="384"/>
      <c r="D363" s="150" t="s">
        <v>1845</v>
      </c>
      <c r="E363" s="153" t="s">
        <v>3307</v>
      </c>
      <c r="F363" s="50" t="s">
        <v>4100</v>
      </c>
      <c r="G363" s="170" t="s">
        <v>3703</v>
      </c>
      <c r="H363" s="171" t="s">
        <v>2760</v>
      </c>
      <c r="I363" s="107">
        <v>584</v>
      </c>
      <c r="J363" s="108"/>
      <c r="K363" s="109"/>
      <c r="L363" s="195"/>
      <c r="M363" s="106"/>
      <c r="N363" s="186" t="s">
        <v>2888</v>
      </c>
      <c r="O363" s="186" t="s">
        <v>4184</v>
      </c>
    </row>
    <row r="364" spans="2:15" ht="14.45" customHeight="1" x14ac:dyDescent="0.2">
      <c r="B364" s="210"/>
      <c r="C364" s="384"/>
      <c r="D364" s="150" t="s">
        <v>1845</v>
      </c>
      <c r="E364" s="153" t="s">
        <v>3308</v>
      </c>
      <c r="F364" s="50" t="s">
        <v>4101</v>
      </c>
      <c r="G364" s="170" t="s">
        <v>3704</v>
      </c>
      <c r="H364" s="171" t="s">
        <v>2760</v>
      </c>
      <c r="I364" s="107">
        <v>332</v>
      </c>
      <c r="J364" s="108"/>
      <c r="K364" s="109"/>
      <c r="L364" s="195"/>
      <c r="M364" s="106"/>
      <c r="N364" s="186" t="s">
        <v>2888</v>
      </c>
      <c r="O364" s="186" t="s">
        <v>4184</v>
      </c>
    </row>
    <row r="365" spans="2:15" ht="14.45" customHeight="1" x14ac:dyDescent="0.2">
      <c r="B365" s="210"/>
      <c r="C365" s="384"/>
      <c r="D365" s="150" t="s">
        <v>1845</v>
      </c>
      <c r="E365" s="153" t="s">
        <v>3309</v>
      </c>
      <c r="F365" s="50" t="s">
        <v>4102</v>
      </c>
      <c r="G365" s="170" t="s">
        <v>3705</v>
      </c>
      <c r="H365" s="171" t="s">
        <v>2760</v>
      </c>
      <c r="I365" s="107">
        <v>481</v>
      </c>
      <c r="J365" s="108"/>
      <c r="K365" s="109"/>
      <c r="L365" s="195"/>
      <c r="M365" s="106"/>
      <c r="N365" s="186" t="s">
        <v>2888</v>
      </c>
      <c r="O365" s="186" t="s">
        <v>4184</v>
      </c>
    </row>
    <row r="366" spans="2:15" ht="14.45" customHeight="1" x14ac:dyDescent="0.2">
      <c r="B366" s="210"/>
      <c r="C366" s="384"/>
      <c r="D366" s="150" t="s">
        <v>1845</v>
      </c>
      <c r="E366" s="153" t="s">
        <v>3310</v>
      </c>
      <c r="F366" s="50" t="s">
        <v>4103</v>
      </c>
      <c r="G366" s="170" t="s">
        <v>3706</v>
      </c>
      <c r="H366" s="171" t="s">
        <v>2760</v>
      </c>
      <c r="I366" s="107">
        <v>250</v>
      </c>
      <c r="J366" s="108"/>
      <c r="K366" s="109"/>
      <c r="L366" s="195"/>
      <c r="M366" s="106"/>
      <c r="N366" s="186" t="s">
        <v>2888</v>
      </c>
      <c r="O366" s="186" t="s">
        <v>4184</v>
      </c>
    </row>
    <row r="367" spans="2:15" ht="14.45" customHeight="1" x14ac:dyDescent="0.2">
      <c r="B367" s="210"/>
      <c r="C367" s="384"/>
      <c r="D367" s="150" t="s">
        <v>1845</v>
      </c>
      <c r="E367" s="153" t="s">
        <v>3311</v>
      </c>
      <c r="F367" s="50" t="s">
        <v>4104</v>
      </c>
      <c r="G367" s="170" t="s">
        <v>3707</v>
      </c>
      <c r="H367" s="171" t="s">
        <v>2760</v>
      </c>
      <c r="I367" s="107">
        <v>262</v>
      </c>
      <c r="J367" s="108"/>
      <c r="K367" s="109"/>
      <c r="L367" s="195"/>
      <c r="M367" s="106"/>
      <c r="N367" s="186" t="s">
        <v>2888</v>
      </c>
      <c r="O367" s="186" t="s">
        <v>4184</v>
      </c>
    </row>
    <row r="368" spans="2:15" ht="14.45" customHeight="1" x14ac:dyDescent="0.2">
      <c r="B368" s="210"/>
      <c r="C368" s="384"/>
      <c r="D368" s="150" t="s">
        <v>1845</v>
      </c>
      <c r="E368" s="153" t="s">
        <v>3312</v>
      </c>
      <c r="F368" s="50" t="s">
        <v>4105</v>
      </c>
      <c r="G368" s="170" t="s">
        <v>3708</v>
      </c>
      <c r="H368" s="171" t="s">
        <v>2760</v>
      </c>
      <c r="I368" s="107">
        <v>472</v>
      </c>
      <c r="J368" s="108"/>
      <c r="K368" s="109"/>
      <c r="L368" s="195"/>
      <c r="M368" s="106"/>
      <c r="N368" s="186" t="s">
        <v>2888</v>
      </c>
      <c r="O368" s="186" t="s">
        <v>4184</v>
      </c>
    </row>
    <row r="369" spans="2:15" ht="14.45" customHeight="1" x14ac:dyDescent="0.2">
      <c r="B369" s="210"/>
      <c r="C369" s="384"/>
      <c r="D369" s="150" t="s">
        <v>1845</v>
      </c>
      <c r="E369" s="153" t="s">
        <v>3313</v>
      </c>
      <c r="F369" s="50" t="s">
        <v>4106</v>
      </c>
      <c r="G369" s="170" t="s">
        <v>3709</v>
      </c>
      <c r="H369" s="171" t="s">
        <v>2760</v>
      </c>
      <c r="I369" s="107">
        <v>525</v>
      </c>
      <c r="J369" s="108"/>
      <c r="K369" s="109"/>
      <c r="L369" s="195"/>
      <c r="M369" s="106"/>
      <c r="N369" s="186" t="s">
        <v>2888</v>
      </c>
      <c r="O369" s="186" t="s">
        <v>4184</v>
      </c>
    </row>
    <row r="370" spans="2:15" ht="14.45" customHeight="1" x14ac:dyDescent="0.2">
      <c r="B370" s="210"/>
      <c r="C370" s="384"/>
      <c r="D370" s="150" t="s">
        <v>1845</v>
      </c>
      <c r="E370" s="153" t="s">
        <v>3028</v>
      </c>
      <c r="F370" s="50" t="s">
        <v>4107</v>
      </c>
      <c r="G370" s="170" t="s">
        <v>3710</v>
      </c>
      <c r="H370" s="171" t="s">
        <v>2760</v>
      </c>
      <c r="I370" s="107">
        <v>263</v>
      </c>
      <c r="J370" s="108"/>
      <c r="K370" s="109"/>
      <c r="L370" s="195"/>
      <c r="M370" s="106"/>
      <c r="N370" s="186" t="s">
        <v>2888</v>
      </c>
      <c r="O370" s="186" t="s">
        <v>4184</v>
      </c>
    </row>
    <row r="371" spans="2:15" ht="14.45" customHeight="1" x14ac:dyDescent="0.2">
      <c r="B371" s="210"/>
      <c r="C371" s="384"/>
      <c r="D371" s="150" t="s">
        <v>1845</v>
      </c>
      <c r="E371" s="153" t="s">
        <v>3314</v>
      </c>
      <c r="F371" s="50" t="s">
        <v>4108</v>
      </c>
      <c r="G371" s="170" t="s">
        <v>3711</v>
      </c>
      <c r="H371" s="171" t="s">
        <v>2760</v>
      </c>
      <c r="I371" s="107">
        <v>370</v>
      </c>
      <c r="J371" s="108"/>
      <c r="K371" s="109"/>
      <c r="L371" s="195"/>
      <c r="M371" s="106"/>
      <c r="N371" s="186" t="s">
        <v>2888</v>
      </c>
      <c r="O371" s="186" t="s">
        <v>4184</v>
      </c>
    </row>
    <row r="372" spans="2:15" ht="14.45" customHeight="1" x14ac:dyDescent="0.2">
      <c r="B372" s="210"/>
      <c r="C372" s="387"/>
      <c r="D372" s="122" t="s">
        <v>1845</v>
      </c>
      <c r="E372" s="123" t="s">
        <v>3315</v>
      </c>
      <c r="F372" s="12" t="s">
        <v>4109</v>
      </c>
      <c r="G372" s="158" t="s">
        <v>3712</v>
      </c>
      <c r="H372" s="159" t="s">
        <v>2760</v>
      </c>
      <c r="I372" s="95">
        <v>506</v>
      </c>
      <c r="J372" s="96"/>
      <c r="K372" s="97"/>
      <c r="L372" s="189"/>
      <c r="M372" s="98"/>
      <c r="N372" s="181" t="s">
        <v>2888</v>
      </c>
      <c r="O372" s="181" t="s">
        <v>4184</v>
      </c>
    </row>
    <row r="373" spans="2:15" ht="14.45" customHeight="1" x14ac:dyDescent="0.2">
      <c r="B373" s="210"/>
      <c r="C373" s="383" t="s">
        <v>4157</v>
      </c>
      <c r="D373" s="131" t="s">
        <v>1845</v>
      </c>
      <c r="E373" s="227" t="s">
        <v>3316</v>
      </c>
      <c r="F373" s="228" t="s">
        <v>4110</v>
      </c>
      <c r="G373" s="203" t="s">
        <v>3713</v>
      </c>
      <c r="H373" s="204" t="s">
        <v>2760</v>
      </c>
      <c r="I373" s="205">
        <v>336</v>
      </c>
      <c r="J373" s="206"/>
      <c r="K373" s="207"/>
      <c r="L373" s="208"/>
      <c r="M373" s="137"/>
      <c r="N373" s="209" t="s">
        <v>2888</v>
      </c>
      <c r="O373" s="209" t="s">
        <v>4187</v>
      </c>
    </row>
    <row r="374" spans="2:15" ht="14.45" customHeight="1" x14ac:dyDescent="0.2">
      <c r="B374" s="210"/>
      <c r="C374" s="384"/>
      <c r="D374" s="150" t="s">
        <v>1845</v>
      </c>
      <c r="E374" s="153" t="s">
        <v>3317</v>
      </c>
      <c r="F374" s="50" t="s">
        <v>4111</v>
      </c>
      <c r="G374" s="170" t="s">
        <v>3714</v>
      </c>
      <c r="H374" s="171" t="s">
        <v>2760</v>
      </c>
      <c r="I374" s="107">
        <v>1004</v>
      </c>
      <c r="J374" s="108"/>
      <c r="K374" s="109"/>
      <c r="L374" s="195"/>
      <c r="M374" s="106"/>
      <c r="N374" s="186" t="s">
        <v>2888</v>
      </c>
      <c r="O374" s="186" t="s">
        <v>4186</v>
      </c>
    </row>
    <row r="375" spans="2:15" ht="14.45" customHeight="1" x14ac:dyDescent="0.2">
      <c r="B375" s="210"/>
      <c r="C375" s="384"/>
      <c r="D375" s="150" t="s">
        <v>1845</v>
      </c>
      <c r="E375" s="153" t="s">
        <v>3318</v>
      </c>
      <c r="F375" s="50" t="s">
        <v>4112</v>
      </c>
      <c r="G375" s="170" t="s">
        <v>3715</v>
      </c>
      <c r="H375" s="171" t="s">
        <v>2760</v>
      </c>
      <c r="I375" s="107">
        <v>523</v>
      </c>
      <c r="J375" s="108"/>
      <c r="K375" s="109"/>
      <c r="L375" s="195"/>
      <c r="M375" s="106"/>
      <c r="N375" s="186" t="s">
        <v>2888</v>
      </c>
      <c r="O375" s="186" t="s">
        <v>4186</v>
      </c>
    </row>
    <row r="376" spans="2:15" ht="14.45" customHeight="1" x14ac:dyDescent="0.2">
      <c r="B376" s="210"/>
      <c r="C376" s="384"/>
      <c r="D376" s="150" t="s">
        <v>1845</v>
      </c>
      <c r="E376" s="153" t="s">
        <v>3319</v>
      </c>
      <c r="F376" s="50" t="s">
        <v>4113</v>
      </c>
      <c r="G376" s="170" t="s">
        <v>3716</v>
      </c>
      <c r="H376" s="171" t="s">
        <v>2760</v>
      </c>
      <c r="I376" s="107">
        <v>504</v>
      </c>
      <c r="J376" s="108"/>
      <c r="K376" s="109"/>
      <c r="L376" s="195"/>
      <c r="M376" s="106"/>
      <c r="N376" s="186" t="s">
        <v>2888</v>
      </c>
      <c r="O376" s="186" t="s">
        <v>4186</v>
      </c>
    </row>
    <row r="377" spans="2:15" ht="14.45" customHeight="1" x14ac:dyDescent="0.2">
      <c r="B377" s="210"/>
      <c r="C377" s="384"/>
      <c r="D377" s="150" t="s">
        <v>1845</v>
      </c>
      <c r="E377" s="153" t="s">
        <v>3320</v>
      </c>
      <c r="F377" s="50" t="s">
        <v>4114</v>
      </c>
      <c r="G377" s="170" t="s">
        <v>3717</v>
      </c>
      <c r="H377" s="171" t="s">
        <v>2760</v>
      </c>
      <c r="I377" s="107">
        <v>344</v>
      </c>
      <c r="J377" s="108"/>
      <c r="K377" s="109"/>
      <c r="L377" s="195"/>
      <c r="M377" s="106"/>
      <c r="N377" s="186" t="s">
        <v>2888</v>
      </c>
      <c r="O377" s="186" t="s">
        <v>4186</v>
      </c>
    </row>
    <row r="378" spans="2:15" ht="14.45" customHeight="1" x14ac:dyDescent="0.2">
      <c r="B378" s="210"/>
      <c r="C378" s="384"/>
      <c r="D378" s="150" t="s">
        <v>1845</v>
      </c>
      <c r="E378" s="153" t="s">
        <v>3321</v>
      </c>
      <c r="F378" s="50" t="s">
        <v>4115</v>
      </c>
      <c r="G378" s="170" t="s">
        <v>3718</v>
      </c>
      <c r="H378" s="171" t="s">
        <v>2760</v>
      </c>
      <c r="I378" s="107">
        <v>829</v>
      </c>
      <c r="J378" s="108"/>
      <c r="K378" s="109"/>
      <c r="L378" s="195"/>
      <c r="M378" s="106"/>
      <c r="N378" s="186" t="s">
        <v>2888</v>
      </c>
      <c r="O378" s="186" t="s">
        <v>4186</v>
      </c>
    </row>
    <row r="379" spans="2:15" ht="14.45" customHeight="1" x14ac:dyDescent="0.2">
      <c r="B379" s="210"/>
      <c r="C379" s="384"/>
      <c r="D379" s="150" t="s">
        <v>1845</v>
      </c>
      <c r="E379" s="153" t="s">
        <v>3322</v>
      </c>
      <c r="F379" s="50" t="s">
        <v>4116</v>
      </c>
      <c r="G379" s="170" t="s">
        <v>3719</v>
      </c>
      <c r="H379" s="171" t="s">
        <v>2760</v>
      </c>
      <c r="I379" s="107">
        <v>595</v>
      </c>
      <c r="J379" s="108"/>
      <c r="K379" s="109"/>
      <c r="L379" s="195"/>
      <c r="M379" s="106"/>
      <c r="N379" s="186" t="s">
        <v>2888</v>
      </c>
      <c r="O379" s="186" t="s">
        <v>4186</v>
      </c>
    </row>
    <row r="380" spans="2:15" ht="14.45" customHeight="1" x14ac:dyDescent="0.2">
      <c r="B380" s="210"/>
      <c r="C380" s="384"/>
      <c r="D380" s="150" t="s">
        <v>1845</v>
      </c>
      <c r="E380" s="153" t="s">
        <v>3323</v>
      </c>
      <c r="F380" s="50" t="s">
        <v>4117</v>
      </c>
      <c r="G380" s="170" t="s">
        <v>3720</v>
      </c>
      <c r="H380" s="171" t="s">
        <v>2760</v>
      </c>
      <c r="I380" s="107">
        <v>1060</v>
      </c>
      <c r="J380" s="108"/>
      <c r="K380" s="109"/>
      <c r="L380" s="195"/>
      <c r="M380" s="106"/>
      <c r="N380" s="186" t="s">
        <v>2888</v>
      </c>
      <c r="O380" s="186" t="s">
        <v>4186</v>
      </c>
    </row>
    <row r="381" spans="2:15" ht="14.45" customHeight="1" x14ac:dyDescent="0.2">
      <c r="B381" s="210"/>
      <c r="C381" s="384"/>
      <c r="D381" s="150" t="s">
        <v>1845</v>
      </c>
      <c r="E381" s="153" t="s">
        <v>3324</v>
      </c>
      <c r="F381" s="50" t="s">
        <v>4118</v>
      </c>
      <c r="G381" s="170" t="s">
        <v>3721</v>
      </c>
      <c r="H381" s="171" t="s">
        <v>2760</v>
      </c>
      <c r="I381" s="107">
        <v>388</v>
      </c>
      <c r="J381" s="108"/>
      <c r="K381" s="109"/>
      <c r="L381" s="195"/>
      <c r="M381" s="106"/>
      <c r="N381" s="186" t="s">
        <v>2888</v>
      </c>
      <c r="O381" s="186" t="s">
        <v>4186</v>
      </c>
    </row>
    <row r="382" spans="2:15" ht="14.45" customHeight="1" x14ac:dyDescent="0.2">
      <c r="B382" s="210"/>
      <c r="C382" s="387"/>
      <c r="D382" s="122" t="s">
        <v>1845</v>
      </c>
      <c r="E382" s="123" t="s">
        <v>3325</v>
      </c>
      <c r="F382" s="12" t="s">
        <v>4119</v>
      </c>
      <c r="G382" s="158" t="s">
        <v>3722</v>
      </c>
      <c r="H382" s="159" t="s">
        <v>2760</v>
      </c>
      <c r="I382" s="95">
        <v>777</v>
      </c>
      <c r="J382" s="96"/>
      <c r="K382" s="97"/>
      <c r="L382" s="189"/>
      <c r="M382" s="98"/>
      <c r="N382" s="181" t="s">
        <v>2888</v>
      </c>
      <c r="O382" s="181" t="s">
        <v>4186</v>
      </c>
    </row>
    <row r="383" spans="2:15" ht="14.45" customHeight="1" x14ac:dyDescent="0.2">
      <c r="B383" s="210"/>
      <c r="C383" s="383" t="s">
        <v>4158</v>
      </c>
      <c r="D383" s="223" t="s">
        <v>1845</v>
      </c>
      <c r="E383" s="224" t="s">
        <v>3326</v>
      </c>
      <c r="F383" s="11" t="s">
        <v>4120</v>
      </c>
      <c r="G383" s="196" t="s">
        <v>3723</v>
      </c>
      <c r="H383" s="197" t="s">
        <v>2760</v>
      </c>
      <c r="I383" s="198">
        <v>295</v>
      </c>
      <c r="J383" s="199"/>
      <c r="K383" s="200"/>
      <c r="L383" s="201"/>
      <c r="M383" s="225"/>
      <c r="N383" s="202" t="s">
        <v>2888</v>
      </c>
      <c r="O383" s="202" t="s">
        <v>4189</v>
      </c>
    </row>
    <row r="384" spans="2:15" ht="14.45" customHeight="1" x14ac:dyDescent="0.2">
      <c r="B384" s="210"/>
      <c r="C384" s="384"/>
      <c r="D384" s="150" t="s">
        <v>1845</v>
      </c>
      <c r="E384" s="153" t="s">
        <v>3327</v>
      </c>
      <c r="F384" s="50" t="s">
        <v>4121</v>
      </c>
      <c r="G384" s="170" t="s">
        <v>3724</v>
      </c>
      <c r="H384" s="171" t="s">
        <v>2760</v>
      </c>
      <c r="I384" s="107">
        <v>254</v>
      </c>
      <c r="J384" s="108"/>
      <c r="K384" s="109"/>
      <c r="L384" s="195"/>
      <c r="M384" s="106"/>
      <c r="N384" s="186" t="s">
        <v>2888</v>
      </c>
      <c r="O384" s="186" t="s">
        <v>4188</v>
      </c>
    </row>
    <row r="385" spans="2:15" ht="14.45" customHeight="1" x14ac:dyDescent="0.2">
      <c r="B385" s="210"/>
      <c r="C385" s="384"/>
      <c r="D385" s="150" t="s">
        <v>1845</v>
      </c>
      <c r="E385" s="153" t="s">
        <v>3328</v>
      </c>
      <c r="F385" s="50" t="s">
        <v>4122</v>
      </c>
      <c r="G385" s="170" t="s">
        <v>3725</v>
      </c>
      <c r="H385" s="171" t="s">
        <v>2760</v>
      </c>
      <c r="I385" s="107">
        <v>312</v>
      </c>
      <c r="J385" s="108"/>
      <c r="K385" s="109"/>
      <c r="L385" s="195"/>
      <c r="M385" s="106"/>
      <c r="N385" s="186" t="s">
        <v>2888</v>
      </c>
      <c r="O385" s="186" t="s">
        <v>4188</v>
      </c>
    </row>
    <row r="386" spans="2:15" ht="14.45" customHeight="1" x14ac:dyDescent="0.2">
      <c r="B386" s="210"/>
      <c r="C386" s="384"/>
      <c r="D386" s="150" t="s">
        <v>1845</v>
      </c>
      <c r="E386" s="153" t="s">
        <v>3329</v>
      </c>
      <c r="F386" s="50" t="s">
        <v>4123</v>
      </c>
      <c r="G386" s="170" t="s">
        <v>3726</v>
      </c>
      <c r="H386" s="171" t="s">
        <v>2760</v>
      </c>
      <c r="I386" s="107">
        <v>323</v>
      </c>
      <c r="J386" s="108"/>
      <c r="K386" s="109"/>
      <c r="L386" s="195"/>
      <c r="M386" s="106"/>
      <c r="N386" s="186" t="s">
        <v>2888</v>
      </c>
      <c r="O386" s="186" t="s">
        <v>4188</v>
      </c>
    </row>
    <row r="387" spans="2:15" ht="14.45" customHeight="1" thickBot="1" x14ac:dyDescent="0.25">
      <c r="B387" s="210"/>
      <c r="C387" s="385"/>
      <c r="D387" s="152" t="s">
        <v>1845</v>
      </c>
      <c r="E387" s="153" t="s">
        <v>3330</v>
      </c>
      <c r="F387" s="50" t="s">
        <v>4124</v>
      </c>
      <c r="G387" s="170" t="s">
        <v>3727</v>
      </c>
      <c r="H387" s="171" t="s">
        <v>2760</v>
      </c>
      <c r="I387" s="107">
        <v>240</v>
      </c>
      <c r="J387" s="108"/>
      <c r="K387" s="109"/>
      <c r="L387" s="195"/>
      <c r="M387" s="110"/>
      <c r="N387" s="186" t="s">
        <v>2888</v>
      </c>
      <c r="O387" s="186" t="s">
        <v>4188</v>
      </c>
    </row>
    <row r="388" spans="2:15" ht="14.45" customHeight="1" x14ac:dyDescent="0.2">
      <c r="B388" s="386" t="s">
        <v>4159</v>
      </c>
      <c r="C388" s="386"/>
      <c r="D388" s="115" t="s">
        <v>1845</v>
      </c>
      <c r="E388" s="213" t="s">
        <v>3331</v>
      </c>
      <c r="F388" s="214" t="s">
        <v>4125</v>
      </c>
      <c r="G388" s="215" t="s">
        <v>3728</v>
      </c>
      <c r="H388" s="216" t="s">
        <v>2760</v>
      </c>
      <c r="I388" s="217">
        <v>288</v>
      </c>
      <c r="J388" s="218"/>
      <c r="K388" s="219"/>
      <c r="L388" s="220"/>
      <c r="M388" s="121"/>
      <c r="N388" s="221" t="s">
        <v>4161</v>
      </c>
      <c r="O388" s="221"/>
    </row>
    <row r="389" spans="2:15" ht="14.45" customHeight="1" x14ac:dyDescent="0.2">
      <c r="B389" s="384"/>
      <c r="C389" s="384"/>
      <c r="D389" s="150" t="s">
        <v>1845</v>
      </c>
      <c r="E389" s="153" t="s">
        <v>3332</v>
      </c>
      <c r="F389" s="50" t="s">
        <v>4126</v>
      </c>
      <c r="G389" s="170" t="s">
        <v>3729</v>
      </c>
      <c r="H389" s="171" t="s">
        <v>2760</v>
      </c>
      <c r="I389" s="107">
        <v>683</v>
      </c>
      <c r="J389" s="108"/>
      <c r="K389" s="109"/>
      <c r="L389" s="195"/>
      <c r="M389" s="106"/>
      <c r="N389" s="186" t="s">
        <v>4160</v>
      </c>
      <c r="O389" s="186"/>
    </row>
    <row r="390" spans="2:15" ht="14.45" customHeight="1" x14ac:dyDescent="0.2">
      <c r="B390" s="384"/>
      <c r="C390" s="384"/>
      <c r="D390" s="150" t="s">
        <v>1845</v>
      </c>
      <c r="E390" s="153" t="s">
        <v>3333</v>
      </c>
      <c r="F390" s="50" t="s">
        <v>4127</v>
      </c>
      <c r="G390" s="170" t="s">
        <v>3730</v>
      </c>
      <c r="H390" s="171" t="s">
        <v>2760</v>
      </c>
      <c r="I390" s="107">
        <v>1370</v>
      </c>
      <c r="J390" s="108"/>
      <c r="K390" s="109"/>
      <c r="L390" s="195"/>
      <c r="M390" s="106"/>
      <c r="N390" s="186" t="s">
        <v>4160</v>
      </c>
      <c r="O390" s="186"/>
    </row>
    <row r="391" spans="2:15" ht="14.45" customHeight="1" x14ac:dyDescent="0.2">
      <c r="B391" s="384"/>
      <c r="C391" s="384"/>
      <c r="D391" s="150" t="s">
        <v>1845</v>
      </c>
      <c r="E391" s="153" t="s">
        <v>3334</v>
      </c>
      <c r="F391" s="50" t="s">
        <v>4128</v>
      </c>
      <c r="G391" s="170" t="s">
        <v>3731</v>
      </c>
      <c r="H391" s="171" t="s">
        <v>2760</v>
      </c>
      <c r="I391" s="107">
        <v>336</v>
      </c>
      <c r="J391" s="108"/>
      <c r="K391" s="109"/>
      <c r="L391" s="195"/>
      <c r="M391" s="106"/>
      <c r="N391" s="186" t="s">
        <v>4160</v>
      </c>
      <c r="O391" s="186"/>
    </row>
    <row r="392" spans="2:15" ht="14.45" customHeight="1" x14ac:dyDescent="0.2">
      <c r="B392" s="384"/>
      <c r="C392" s="384"/>
      <c r="D392" s="150" t="s">
        <v>1845</v>
      </c>
      <c r="E392" s="153" t="s">
        <v>3335</v>
      </c>
      <c r="F392" s="50" t="s">
        <v>4129</v>
      </c>
      <c r="G392" s="170" t="s">
        <v>3732</v>
      </c>
      <c r="H392" s="171" t="s">
        <v>2760</v>
      </c>
      <c r="I392" s="107">
        <v>641</v>
      </c>
      <c r="J392" s="108"/>
      <c r="K392" s="109"/>
      <c r="L392" s="195"/>
      <c r="M392" s="106"/>
      <c r="N392" s="186" t="s">
        <v>4160</v>
      </c>
      <c r="O392" s="186"/>
    </row>
    <row r="393" spans="2:15" ht="14.45" customHeight="1" x14ac:dyDescent="0.2">
      <c r="B393" s="384"/>
      <c r="C393" s="384"/>
      <c r="D393" s="150" t="s">
        <v>1845</v>
      </c>
      <c r="E393" s="153" t="s">
        <v>3336</v>
      </c>
      <c r="F393" s="50" t="s">
        <v>4130</v>
      </c>
      <c r="G393" s="170" t="s">
        <v>3733</v>
      </c>
      <c r="H393" s="171" t="s">
        <v>2760</v>
      </c>
      <c r="I393" s="107">
        <v>461</v>
      </c>
      <c r="J393" s="108"/>
      <c r="K393" s="109"/>
      <c r="L393" s="195"/>
      <c r="M393" s="106"/>
      <c r="N393" s="186" t="s">
        <v>4160</v>
      </c>
      <c r="O393" s="186"/>
    </row>
    <row r="394" spans="2:15" ht="14.45" customHeight="1" x14ac:dyDescent="0.2">
      <c r="B394" s="384"/>
      <c r="C394" s="384"/>
      <c r="D394" s="150" t="s">
        <v>1845</v>
      </c>
      <c r="E394" s="153" t="s">
        <v>3337</v>
      </c>
      <c r="F394" s="50" t="s">
        <v>4131</v>
      </c>
      <c r="G394" s="170" t="s">
        <v>3734</v>
      </c>
      <c r="H394" s="171" t="s">
        <v>2760</v>
      </c>
      <c r="I394" s="107">
        <v>387</v>
      </c>
      <c r="J394" s="108"/>
      <c r="K394" s="109"/>
      <c r="L394" s="195"/>
      <c r="M394" s="106"/>
      <c r="N394" s="186" t="s">
        <v>4160</v>
      </c>
      <c r="O394" s="186"/>
    </row>
    <row r="395" spans="2:15" ht="14.45" customHeight="1" x14ac:dyDescent="0.2">
      <c r="B395" s="384"/>
      <c r="C395" s="384"/>
      <c r="D395" s="150" t="s">
        <v>1845</v>
      </c>
      <c r="E395" s="153" t="s">
        <v>3338</v>
      </c>
      <c r="F395" s="50" t="s">
        <v>4132</v>
      </c>
      <c r="G395" s="170" t="s">
        <v>3735</v>
      </c>
      <c r="H395" s="171" t="s">
        <v>2760</v>
      </c>
      <c r="I395" s="107">
        <v>982</v>
      </c>
      <c r="J395" s="108"/>
      <c r="K395" s="109"/>
      <c r="L395" s="195"/>
      <c r="M395" s="106"/>
      <c r="N395" s="186" t="s">
        <v>4160</v>
      </c>
      <c r="O395" s="186"/>
    </row>
    <row r="396" spans="2:15" ht="14.45" customHeight="1" x14ac:dyDescent="0.2">
      <c r="B396" s="384"/>
      <c r="C396" s="384"/>
      <c r="D396" s="150" t="s">
        <v>1845</v>
      </c>
      <c r="E396" s="153" t="s">
        <v>3339</v>
      </c>
      <c r="F396" s="50" t="s">
        <v>4133</v>
      </c>
      <c r="G396" s="170" t="s">
        <v>3736</v>
      </c>
      <c r="H396" s="171" t="s">
        <v>2760</v>
      </c>
      <c r="I396" s="107">
        <v>762</v>
      </c>
      <c r="J396" s="108"/>
      <c r="K396" s="109"/>
      <c r="L396" s="195"/>
      <c r="M396" s="106"/>
      <c r="N396" s="186" t="s">
        <v>4160</v>
      </c>
      <c r="O396" s="186"/>
    </row>
    <row r="397" spans="2:15" ht="14.45" customHeight="1" x14ac:dyDescent="0.2">
      <c r="B397" s="384"/>
      <c r="C397" s="384"/>
      <c r="D397" s="150" t="s">
        <v>1845</v>
      </c>
      <c r="E397" s="153" t="s">
        <v>3340</v>
      </c>
      <c r="F397" s="50" t="s">
        <v>4134</v>
      </c>
      <c r="G397" s="170" t="s">
        <v>3737</v>
      </c>
      <c r="H397" s="171" t="s">
        <v>2760</v>
      </c>
      <c r="I397" s="107">
        <v>489</v>
      </c>
      <c r="J397" s="108"/>
      <c r="K397" s="109"/>
      <c r="L397" s="195"/>
      <c r="M397" s="106"/>
      <c r="N397" s="186" t="s">
        <v>4160</v>
      </c>
      <c r="O397" s="186"/>
    </row>
    <row r="398" spans="2:15" ht="14.45" customHeight="1" x14ac:dyDescent="0.2">
      <c r="B398" s="384"/>
      <c r="C398" s="384"/>
      <c r="D398" s="150" t="s">
        <v>1845</v>
      </c>
      <c r="E398" s="153" t="s">
        <v>3341</v>
      </c>
      <c r="F398" s="50" t="s">
        <v>4135</v>
      </c>
      <c r="G398" s="170" t="s">
        <v>3738</v>
      </c>
      <c r="H398" s="171" t="s">
        <v>2760</v>
      </c>
      <c r="I398" s="107">
        <v>286</v>
      </c>
      <c r="J398" s="108"/>
      <c r="K398" s="109"/>
      <c r="L398" s="195"/>
      <c r="M398" s="106"/>
      <c r="N398" s="186" t="s">
        <v>4160</v>
      </c>
      <c r="O398" s="186"/>
    </row>
    <row r="399" spans="2:15" ht="14.45" customHeight="1" x14ac:dyDescent="0.2">
      <c r="B399" s="384"/>
      <c r="C399" s="384"/>
      <c r="D399" s="150" t="s">
        <v>1845</v>
      </c>
      <c r="E399" s="153" t="s">
        <v>3342</v>
      </c>
      <c r="F399" s="50" t="s">
        <v>4136</v>
      </c>
      <c r="G399" s="170" t="s">
        <v>3739</v>
      </c>
      <c r="H399" s="171" t="s">
        <v>2760</v>
      </c>
      <c r="I399" s="107">
        <v>761</v>
      </c>
      <c r="J399" s="108"/>
      <c r="K399" s="109"/>
      <c r="L399" s="195"/>
      <c r="M399" s="106"/>
      <c r="N399" s="186" t="s">
        <v>4160</v>
      </c>
      <c r="O399" s="186"/>
    </row>
    <row r="400" spans="2:15" ht="14.45" customHeight="1" thickBot="1" x14ac:dyDescent="0.25">
      <c r="B400" s="385"/>
      <c r="C400" s="385"/>
      <c r="D400" s="138" t="s">
        <v>1845</v>
      </c>
      <c r="E400" s="139" t="s">
        <v>3343</v>
      </c>
      <c r="F400" s="49" t="s">
        <v>4137</v>
      </c>
      <c r="G400" s="164" t="s">
        <v>3740</v>
      </c>
      <c r="H400" s="165" t="s">
        <v>2760</v>
      </c>
      <c r="I400" s="99">
        <v>307</v>
      </c>
      <c r="J400" s="100"/>
      <c r="K400" s="101"/>
      <c r="L400" s="192"/>
      <c r="M400" s="102"/>
      <c r="N400" s="179" t="s">
        <v>4160</v>
      </c>
      <c r="O400" s="179"/>
    </row>
  </sheetData>
  <autoFilter ref="B3:O400" xr:uid="{F57D865F-BD60-45D0-89B6-13302F5EE262}"/>
  <mergeCells count="23">
    <mergeCell ref="B388:B400"/>
    <mergeCell ref="C388:C400"/>
    <mergeCell ref="B4:B12"/>
    <mergeCell ref="C4:C12"/>
    <mergeCell ref="C383:C387"/>
    <mergeCell ref="C373:C382"/>
    <mergeCell ref="C360:C372"/>
    <mergeCell ref="C351:C359"/>
    <mergeCell ref="C308:C350"/>
    <mergeCell ref="C289:C307"/>
    <mergeCell ref="C236:C288"/>
    <mergeCell ref="C205:C235"/>
    <mergeCell ref="C203:C204"/>
    <mergeCell ref="C168:C202"/>
    <mergeCell ref="C108:C167"/>
    <mergeCell ref="C60:C107"/>
    <mergeCell ref="J2:K2"/>
    <mergeCell ref="N2:O2"/>
    <mergeCell ref="C31:C59"/>
    <mergeCell ref="C13:C30"/>
    <mergeCell ref="B2:C2"/>
    <mergeCell ref="D2:F2"/>
    <mergeCell ref="G2:I2"/>
  </mergeCells>
  <phoneticPr fontId="3" type="noConversion"/>
  <conditionalFormatting sqref="D4:O40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L4:L400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11"/>
  <sheetViews>
    <sheetView workbookViewId="0">
      <pane ySplit="3" topLeftCell="A5" activePane="bottomLeft" state="frozen"/>
      <selection pane="bottomLeft" activeCell="H10" sqref="H10"/>
    </sheetView>
  </sheetViews>
  <sheetFormatPr defaultRowHeight="14.45" customHeight="1" x14ac:dyDescent="0.2"/>
  <cols>
    <col min="1" max="1" width="1.7109375" style="27" customWidth="1"/>
    <col min="2" max="2" width="3.7109375" style="32" customWidth="1"/>
    <col min="3" max="4" width="5.7109375" style="33" customWidth="1"/>
    <col min="5" max="5" width="3.7109375" style="33" customWidth="1"/>
    <col min="6" max="6" width="20.28515625" style="27" customWidth="1"/>
    <col min="7" max="7" width="3.7109375" style="32" customWidth="1"/>
    <col min="8" max="8" width="27.7109375" style="27" customWidth="1"/>
    <col min="9" max="9" width="3.7109375" style="27" customWidth="1"/>
    <col min="10" max="10" width="36.7109375" style="27" customWidth="1"/>
    <col min="11" max="11" width="3.7109375" style="27" customWidth="1"/>
    <col min="12" max="12" width="91.7109375" style="27" customWidth="1"/>
    <col min="13" max="14" width="4.42578125" style="27" customWidth="1"/>
    <col min="15" max="15" width="16" style="27" customWidth="1"/>
    <col min="16" max="20" width="6.7109375" style="27" customWidth="1"/>
    <col min="21" max="16384" width="9.140625" style="27"/>
  </cols>
  <sheetData>
    <row r="1" spans="2:20" ht="14.45" customHeight="1" x14ac:dyDescent="0.2">
      <c r="B1" s="2"/>
      <c r="C1" s="26"/>
      <c r="D1" s="26"/>
      <c r="E1" s="26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1494</v>
      </c>
      <c r="C2" s="114" t="s">
        <v>1495</v>
      </c>
      <c r="D2" s="396" t="s">
        <v>1496</v>
      </c>
      <c r="E2" s="397"/>
      <c r="F2" s="395" t="s">
        <v>2</v>
      </c>
      <c r="G2" s="395"/>
      <c r="H2" s="395"/>
      <c r="I2" s="395"/>
      <c r="J2" s="395"/>
      <c r="K2" s="395"/>
      <c r="L2" s="5" t="s">
        <v>1497</v>
      </c>
      <c r="M2" s="5" t="s">
        <v>2639</v>
      </c>
      <c r="N2" s="5" t="s">
        <v>2640</v>
      </c>
      <c r="O2" s="5" t="s">
        <v>1498</v>
      </c>
      <c r="P2" s="395" t="s">
        <v>1499</v>
      </c>
      <c r="Q2" s="395"/>
      <c r="R2" s="395"/>
      <c r="S2" s="395"/>
      <c r="T2" s="395"/>
    </row>
    <row r="3" spans="2:20" ht="14.45" customHeight="1" x14ac:dyDescent="0.2">
      <c r="B3" s="112"/>
      <c r="C3" s="113"/>
      <c r="D3" s="398"/>
      <c r="E3" s="399"/>
      <c r="F3" s="400" t="s">
        <v>1803</v>
      </c>
      <c r="G3" s="401"/>
      <c r="H3" s="400" t="s">
        <v>2911</v>
      </c>
      <c r="I3" s="401"/>
      <c r="J3" s="395" t="s">
        <v>1</v>
      </c>
      <c r="K3" s="395"/>
      <c r="L3" s="112"/>
      <c r="M3" s="112"/>
      <c r="N3" s="112"/>
      <c r="O3" s="112"/>
      <c r="P3" s="177" t="s">
        <v>2913</v>
      </c>
      <c r="Q3" s="177" t="s">
        <v>2769</v>
      </c>
      <c r="R3" s="177" t="s">
        <v>2770</v>
      </c>
      <c r="S3" s="177" t="s">
        <v>1500</v>
      </c>
      <c r="T3" s="177" t="s">
        <v>1501</v>
      </c>
    </row>
    <row r="4" spans="2:20" ht="14.45" hidden="1" customHeight="1" x14ac:dyDescent="0.2">
      <c r="B4" s="35">
        <f t="shared" ref="B4:B35" si="0">ROW()-3</f>
        <v>1</v>
      </c>
      <c r="C4" s="29" t="s">
        <v>1587</v>
      </c>
      <c r="D4" s="29">
        <v>1</v>
      </c>
      <c r="E4" s="29" t="s">
        <v>1513</v>
      </c>
      <c r="F4" s="30" t="s">
        <v>2877</v>
      </c>
      <c r="G4" s="176" t="s">
        <v>2915</v>
      </c>
      <c r="H4" s="30" t="s">
        <v>2860</v>
      </c>
      <c r="I4" s="29" t="s">
        <v>1518</v>
      </c>
      <c r="J4" s="31" t="s">
        <v>1588</v>
      </c>
      <c r="K4" s="29" t="s">
        <v>1505</v>
      </c>
      <c r="L4" s="34" t="s">
        <v>367</v>
      </c>
      <c r="M4" s="174" t="s">
        <v>2718</v>
      </c>
      <c r="N4" s="174" t="s">
        <v>2641</v>
      </c>
      <c r="O4" s="30"/>
      <c r="P4" s="175" t="str">
        <f t="shared" ref="P4:P35" si="1">F4&amp;"&gt;"&amp;G4&amp;"&gt;"&amp;D4&amp;"&gt;"&amp;N4</f>
        <v>제01편 총설&gt;02&gt;1&gt;예상</v>
      </c>
      <c r="Q4" s="175" t="str">
        <f t="shared" ref="Q4:Q35" si="2">H4&amp;"&gt;"&amp;I4&amp;"&gt;"&amp;D4&amp;"&gt;"&amp;N4</f>
        <v>제01장 민사소송&gt;02&gt;1&gt;예상</v>
      </c>
      <c r="R4" s="175" t="str">
        <f t="shared" ref="R4:R35" si="3">H4&amp;"&gt;"&amp;J4&amp;"&gt;"&amp;K4</f>
        <v>제01장 민사소송&gt;제01절 개관&gt;01</v>
      </c>
      <c r="S4" s="175" t="str">
        <f t="shared" ref="S4:S35" si="4">N4&amp;"&gt;"&amp;C4&amp;"&gt;"&amp;E4</f>
        <v>예상&gt;01.01&gt;1</v>
      </c>
      <c r="T4" s="175" t="str">
        <f t="shared" ref="T4:T35" si="5">N4&amp;"&gt;"&amp;C4&amp;"&gt;"&amp;D4</f>
        <v>예상&gt;01.01&gt;1</v>
      </c>
    </row>
    <row r="5" spans="2:20" ht="14.45" customHeight="1" x14ac:dyDescent="0.2">
      <c r="B5" s="35">
        <f>ROW()-3</f>
        <v>2</v>
      </c>
      <c r="C5" s="29" t="s">
        <v>1565</v>
      </c>
      <c r="D5" s="29" t="s">
        <v>1562</v>
      </c>
      <c r="E5" s="29" t="s">
        <v>1511</v>
      </c>
      <c r="F5" s="30" t="s">
        <v>2877</v>
      </c>
      <c r="G5" s="176" t="s">
        <v>2914</v>
      </c>
      <c r="H5" s="30" t="s">
        <v>4256</v>
      </c>
      <c r="I5" s="29" t="s">
        <v>1505</v>
      </c>
      <c r="J5" s="31" t="s">
        <v>1566</v>
      </c>
      <c r="K5" s="29" t="s">
        <v>1505</v>
      </c>
      <c r="L5" s="30" t="s">
        <v>204</v>
      </c>
      <c r="M5" s="175" t="s">
        <v>2460</v>
      </c>
      <c r="N5" s="174" t="s">
        <v>2642</v>
      </c>
      <c r="O5" s="30"/>
      <c r="P5" s="175" t="str">
        <f>F5&amp;"&gt;"&amp;G5&amp;"&gt;"&amp;D5&amp;"&gt;"&amp;N5</f>
        <v>제01편 총설&gt;01&gt;2&gt;기출</v>
      </c>
      <c r="Q5" s="175" t="str">
        <f>H5&amp;"&gt;"&amp;I5&amp;"&gt;"&amp;D5&amp;"&gt;"&amp;N5</f>
        <v>제01장 민사소송&gt;01&gt;2&gt;기출</v>
      </c>
      <c r="R5" s="175" t="str">
        <f>H5&amp;"&gt;"&amp;J5&amp;"&gt;"&amp;K5</f>
        <v>제01장 민사소송&gt;제03절 민사소송의 이상과 신의성실의 원칙&gt;01</v>
      </c>
      <c r="S5" s="175" t="str">
        <f>N5&amp;"&gt;"&amp;C5&amp;"&gt;"&amp;E5</f>
        <v>기출&gt;2014&gt;2</v>
      </c>
      <c r="T5" s="175" t="str">
        <f>N5&amp;"&gt;"&amp;C5&amp;"&gt;"&amp;D5</f>
        <v>기출&gt;2014&gt;2</v>
      </c>
    </row>
    <row r="6" spans="2:20" ht="14.45" hidden="1" customHeight="1" x14ac:dyDescent="0.2">
      <c r="B6" s="35">
        <f>ROW()-3</f>
        <v>3</v>
      </c>
      <c r="C6" s="29" t="s">
        <v>1590</v>
      </c>
      <c r="D6" s="29" t="s">
        <v>1589</v>
      </c>
      <c r="E6" s="29" t="s">
        <v>1509</v>
      </c>
      <c r="F6" s="30" t="s">
        <v>2878</v>
      </c>
      <c r="G6" s="176">
        <v>13</v>
      </c>
      <c r="H6" s="30" t="s">
        <v>2864</v>
      </c>
      <c r="I6" s="29" t="s">
        <v>1540</v>
      </c>
      <c r="J6" s="31" t="s">
        <v>1610</v>
      </c>
      <c r="K6" s="29" t="s">
        <v>1505</v>
      </c>
      <c r="L6" s="34" t="s">
        <v>2601</v>
      </c>
      <c r="M6" s="174" t="s">
        <v>2719</v>
      </c>
      <c r="N6" s="174" t="s">
        <v>2641</v>
      </c>
      <c r="O6" s="30"/>
      <c r="P6" s="175" t="str">
        <f>F6&amp;"&gt;"&amp;G6&amp;"&gt;"&amp;D6&amp;"&gt;"&amp;N6</f>
        <v>제02편 소송의 주체&gt;13&gt;1&gt;예상</v>
      </c>
      <c r="Q6" s="175" t="str">
        <f>H6&amp;"&gt;"&amp;I6&amp;"&gt;"&amp;D6&amp;"&gt;"&amp;N6</f>
        <v>제03장 법원&gt;04&gt;1&gt;예상</v>
      </c>
      <c r="R6" s="175" t="str">
        <f>H6&amp;"&gt;"&amp;J6&amp;"&gt;"&amp;K6</f>
        <v>제03장 법원&gt;제02절 법관의 제척・기피・회피&gt;01</v>
      </c>
      <c r="S6" s="175" t="str">
        <f>N6&amp;"&gt;"&amp;C6&amp;"&gt;"&amp;E6</f>
        <v>예상&gt;03.02&gt;3</v>
      </c>
      <c r="T6" s="175" t="str">
        <f>N6&amp;"&gt;"&amp;C6&amp;"&gt;"&amp;D6</f>
        <v>예상&gt;03.02&gt;1</v>
      </c>
    </row>
    <row r="7" spans="2:20" ht="14.45" hidden="1" customHeight="1" x14ac:dyDescent="0.2">
      <c r="B7" s="35">
        <f>ROW()-3</f>
        <v>4</v>
      </c>
      <c r="C7" s="29" t="s">
        <v>1590</v>
      </c>
      <c r="D7" s="29" t="s">
        <v>1562</v>
      </c>
      <c r="E7" s="29" t="s">
        <v>1511</v>
      </c>
      <c r="F7" s="30" t="s">
        <v>2878</v>
      </c>
      <c r="G7" s="176">
        <v>14</v>
      </c>
      <c r="H7" s="30" t="s">
        <v>2864</v>
      </c>
      <c r="I7" s="29" t="s">
        <v>1558</v>
      </c>
      <c r="J7" s="31" t="s">
        <v>1609</v>
      </c>
      <c r="K7" s="29" t="s">
        <v>1518</v>
      </c>
      <c r="L7" s="34" t="s">
        <v>265</v>
      </c>
      <c r="M7" s="174" t="s">
        <v>2461</v>
      </c>
      <c r="N7" s="174" t="s">
        <v>2641</v>
      </c>
      <c r="O7" s="30"/>
      <c r="P7" s="175" t="str">
        <f>F7&amp;"&gt;"&amp;G7&amp;"&gt;"&amp;D7&amp;"&gt;"&amp;N7</f>
        <v>제02편 소송의 주체&gt;14&gt;2&gt;예상</v>
      </c>
      <c r="Q7" s="175" t="str">
        <f>H7&amp;"&gt;"&amp;I7&amp;"&gt;"&amp;D7&amp;"&gt;"&amp;N7</f>
        <v>제03장 법원&gt;05&gt;2&gt;예상</v>
      </c>
      <c r="R7" s="175" t="str">
        <f>H7&amp;"&gt;"&amp;J7&amp;"&gt;"&amp;K7</f>
        <v>제03장 법원&gt;제02절 법관의 제척・기피・회피&gt;02</v>
      </c>
      <c r="S7" s="175" t="str">
        <f>N7&amp;"&gt;"&amp;C7&amp;"&gt;"&amp;E7</f>
        <v>예상&gt;03.02&gt;2</v>
      </c>
      <c r="T7" s="175" t="str">
        <f>N7&amp;"&gt;"&amp;C7&amp;"&gt;"&amp;D7</f>
        <v>예상&gt;03.02&gt;2</v>
      </c>
    </row>
    <row r="8" spans="2:20" ht="14.45" hidden="1" customHeight="1" x14ac:dyDescent="0.2">
      <c r="B8" s="35">
        <f>ROW()-3</f>
        <v>5</v>
      </c>
      <c r="C8" s="29" t="s">
        <v>1590</v>
      </c>
      <c r="D8" s="29" t="s">
        <v>1563</v>
      </c>
      <c r="E8" s="29" t="s">
        <v>1513</v>
      </c>
      <c r="F8" s="30" t="s">
        <v>2878</v>
      </c>
      <c r="G8" s="176">
        <v>15</v>
      </c>
      <c r="H8" s="30" t="s">
        <v>2864</v>
      </c>
      <c r="I8" s="29" t="s">
        <v>1568</v>
      </c>
      <c r="J8" s="31" t="s">
        <v>1609</v>
      </c>
      <c r="K8" s="29" t="s">
        <v>1531</v>
      </c>
      <c r="L8" s="34" t="s">
        <v>266</v>
      </c>
      <c r="M8" s="174" t="s">
        <v>2462</v>
      </c>
      <c r="N8" s="174" t="s">
        <v>2641</v>
      </c>
      <c r="O8" s="30"/>
      <c r="P8" s="175" t="str">
        <f>F8&amp;"&gt;"&amp;G8&amp;"&gt;"&amp;D8&amp;"&gt;"&amp;N8</f>
        <v>제02편 소송의 주체&gt;15&gt;3&gt;예상</v>
      </c>
      <c r="Q8" s="175" t="str">
        <f>H8&amp;"&gt;"&amp;I8&amp;"&gt;"&amp;D8&amp;"&gt;"&amp;N8</f>
        <v>제03장 법원&gt;06&gt;3&gt;예상</v>
      </c>
      <c r="R8" s="175" t="str">
        <f>H8&amp;"&gt;"&amp;J8&amp;"&gt;"&amp;K8</f>
        <v>제03장 법원&gt;제02절 법관의 제척・기피・회피&gt;03</v>
      </c>
      <c r="S8" s="175" t="str">
        <f>N8&amp;"&gt;"&amp;C8&amp;"&gt;"&amp;E8</f>
        <v>예상&gt;03.02&gt;1</v>
      </c>
      <c r="T8" s="175" t="str">
        <f>N8&amp;"&gt;"&amp;C8&amp;"&gt;"&amp;D8</f>
        <v>예상&gt;03.02&gt;3</v>
      </c>
    </row>
    <row r="9" spans="2:20" ht="14.45" customHeight="1" x14ac:dyDescent="0.2">
      <c r="B9" s="35">
        <f>ROW()-3</f>
        <v>6</v>
      </c>
      <c r="C9" s="29" t="s">
        <v>1536</v>
      </c>
      <c r="D9" s="29" t="s">
        <v>1503</v>
      </c>
      <c r="E9" s="29" t="s">
        <v>1506</v>
      </c>
      <c r="F9" s="30" t="s">
        <v>2878</v>
      </c>
      <c r="G9" s="187" t="s">
        <v>2924</v>
      </c>
      <c r="H9" s="30" t="s">
        <v>4257</v>
      </c>
      <c r="I9" s="29" t="s">
        <v>1505</v>
      </c>
      <c r="J9" s="31" t="s">
        <v>1537</v>
      </c>
      <c r="K9" s="29" t="s">
        <v>1505</v>
      </c>
      <c r="L9" s="30" t="s">
        <v>1538</v>
      </c>
      <c r="M9" s="175" t="s">
        <v>2463</v>
      </c>
      <c r="N9" s="174" t="s">
        <v>2642</v>
      </c>
      <c r="O9" s="30"/>
      <c r="P9" s="175" t="str">
        <f>F9&amp;"&gt;"&amp;G9&amp;"&gt;"&amp;D9&amp;"&gt;"&amp;N9</f>
        <v>제02편 소송의 주체&gt;02&gt;1-1&gt;기출</v>
      </c>
      <c r="Q9" s="175" t="str">
        <f>H9&amp;"&gt;"&amp;I9&amp;"&gt;"&amp;D9&amp;"&gt;"&amp;N9</f>
        <v>제03장 법원&gt;01&gt;1-1&gt;기출</v>
      </c>
      <c r="R9" s="175" t="str">
        <f>H9&amp;"&gt;"&amp;J9&amp;"&gt;"&amp;K9</f>
        <v>제03장 법원&gt;제03절 관할&gt;01</v>
      </c>
      <c r="S9" s="175" t="str">
        <f>N9&amp;"&gt;"&amp;C9&amp;"&gt;"&amp;E9</f>
        <v>기출&gt;2020&gt;4</v>
      </c>
      <c r="T9" s="175" t="str">
        <f>N9&amp;"&gt;"&amp;C9&amp;"&gt;"&amp;D9</f>
        <v>기출&gt;2020&gt;1-1</v>
      </c>
    </row>
    <row r="10" spans="2:20" ht="14.45" customHeight="1" x14ac:dyDescent="0.2">
      <c r="B10" s="35">
        <f>ROW()-3</f>
        <v>7</v>
      </c>
      <c r="C10" s="29" t="s">
        <v>1542</v>
      </c>
      <c r="D10" s="29" t="s">
        <v>1511</v>
      </c>
      <c r="E10" s="29" t="s">
        <v>1511</v>
      </c>
      <c r="F10" s="30" t="s">
        <v>2878</v>
      </c>
      <c r="G10" s="187" t="s">
        <v>2925</v>
      </c>
      <c r="H10" s="30" t="s">
        <v>4257</v>
      </c>
      <c r="I10" s="29" t="s">
        <v>1518</v>
      </c>
      <c r="J10" s="31" t="s">
        <v>1537</v>
      </c>
      <c r="K10" s="29" t="s">
        <v>1518</v>
      </c>
      <c r="L10" s="30" t="s">
        <v>2766</v>
      </c>
      <c r="M10" s="175" t="s">
        <v>2767</v>
      </c>
      <c r="N10" s="174" t="s">
        <v>2642</v>
      </c>
      <c r="O10" s="30"/>
      <c r="P10" s="175" t="str">
        <f>F10&amp;"&gt;"&amp;G10&amp;"&gt;"&amp;D10&amp;"&gt;"&amp;N10</f>
        <v>제02편 소송의 주체&gt;04&gt;2&gt;기출</v>
      </c>
      <c r="Q10" s="175" t="str">
        <f>H10&amp;"&gt;"&amp;I10&amp;"&gt;"&amp;D10&amp;"&gt;"&amp;N10</f>
        <v>제03장 법원&gt;02&gt;2&gt;기출</v>
      </c>
      <c r="R10" s="175" t="str">
        <f>H10&amp;"&gt;"&amp;J10&amp;"&gt;"&amp;K10</f>
        <v>제03장 법원&gt;제03절 관할&gt;02</v>
      </c>
      <c r="S10" s="175" t="str">
        <f>N10&amp;"&gt;"&amp;C10&amp;"&gt;"&amp;E10</f>
        <v>기출&gt;2019&gt;2</v>
      </c>
      <c r="T10" s="175" t="str">
        <f>N10&amp;"&gt;"&amp;C10&amp;"&gt;"&amp;D10</f>
        <v>기출&gt;2019&gt;2</v>
      </c>
    </row>
    <row r="11" spans="2:20" ht="14.45" customHeight="1" x14ac:dyDescent="0.2">
      <c r="B11" s="35">
        <f>ROW()-3</f>
        <v>8</v>
      </c>
      <c r="C11" s="29" t="s">
        <v>1560</v>
      </c>
      <c r="D11" s="29" t="s">
        <v>1562</v>
      </c>
      <c r="E11" s="29" t="s">
        <v>1511</v>
      </c>
      <c r="F11" s="30" t="s">
        <v>2878</v>
      </c>
      <c r="G11" s="187" t="s">
        <v>2930</v>
      </c>
      <c r="H11" s="30" t="s">
        <v>2864</v>
      </c>
      <c r="I11" s="29" t="s">
        <v>1531</v>
      </c>
      <c r="J11" s="31" t="s">
        <v>1537</v>
      </c>
      <c r="K11" s="29" t="s">
        <v>1531</v>
      </c>
      <c r="L11" s="30" t="s">
        <v>2773</v>
      </c>
      <c r="M11" s="175" t="s">
        <v>2772</v>
      </c>
      <c r="N11" s="174" t="s">
        <v>2642</v>
      </c>
      <c r="O11" s="30"/>
      <c r="P11" s="175" t="str">
        <f>F11&amp;"&gt;"&amp;G11&amp;"&gt;"&amp;D11&amp;"&gt;"&amp;N11</f>
        <v>제02편 소송의 주체&gt;09&gt;2&gt;기출</v>
      </c>
      <c r="Q11" s="175" t="str">
        <f>H11&amp;"&gt;"&amp;I11&amp;"&gt;"&amp;D11&amp;"&gt;"&amp;N11</f>
        <v>제03장 법원&gt;03&gt;2&gt;기출</v>
      </c>
      <c r="R11" s="175" t="str">
        <f>H11&amp;"&gt;"&amp;J11&amp;"&gt;"&amp;K11</f>
        <v>제03장 법원&gt;제03절 관할&gt;03</v>
      </c>
      <c r="S11" s="175" t="str">
        <f>N11&amp;"&gt;"&amp;C11&amp;"&gt;"&amp;E11</f>
        <v>기출&gt;2015&gt;2</v>
      </c>
      <c r="T11" s="175" t="str">
        <f>N11&amp;"&gt;"&amp;C11&amp;"&gt;"&amp;D11</f>
        <v>기출&gt;2015&gt;2</v>
      </c>
    </row>
    <row r="12" spans="2:20" ht="14.45" customHeight="1" x14ac:dyDescent="0.2">
      <c r="B12" s="35">
        <f>ROW()-3</f>
        <v>9</v>
      </c>
      <c r="C12" s="29" t="s">
        <v>1528</v>
      </c>
      <c r="D12" s="29" t="s">
        <v>1511</v>
      </c>
      <c r="E12" s="29" t="s">
        <v>1511</v>
      </c>
      <c r="F12" s="30" t="s">
        <v>2878</v>
      </c>
      <c r="G12" s="187" t="s">
        <v>2922</v>
      </c>
      <c r="H12" s="30" t="s">
        <v>2866</v>
      </c>
      <c r="I12" s="29" t="s">
        <v>1505</v>
      </c>
      <c r="J12" s="31" t="s">
        <v>1533</v>
      </c>
      <c r="K12" s="29" t="s">
        <v>1505</v>
      </c>
      <c r="L12" s="30" t="s">
        <v>1534</v>
      </c>
      <c r="M12" s="175" t="s">
        <v>2465</v>
      </c>
      <c r="N12" s="174" t="s">
        <v>2642</v>
      </c>
      <c r="O12" s="30"/>
      <c r="P12" s="175" t="str">
        <f>F12&amp;"&gt;"&amp;G12&amp;"&gt;"&amp;D12&amp;"&gt;"&amp;N12</f>
        <v>제02편 소송의 주체&gt;01&gt;2&gt;기출</v>
      </c>
      <c r="Q12" s="175" t="str">
        <f>H12&amp;"&gt;"&amp;I12&amp;"&gt;"&amp;D12&amp;"&gt;"&amp;N12</f>
        <v>제04장 당사자&gt;01&gt;2&gt;기출</v>
      </c>
      <c r="R12" s="175" t="str">
        <f>H12&amp;"&gt;"&amp;J12&amp;"&gt;"&amp;K12</f>
        <v>제04장 당사자&gt;제02절 당사자의 자격&gt;01</v>
      </c>
      <c r="S12" s="175" t="str">
        <f>N12&amp;"&gt;"&amp;C12&amp;"&gt;"&amp;E12</f>
        <v>기출&gt;2021&gt;2</v>
      </c>
      <c r="T12" s="175" t="str">
        <f>N12&amp;"&gt;"&amp;C12&amp;"&gt;"&amp;D12</f>
        <v>기출&gt;2021&gt;2</v>
      </c>
    </row>
    <row r="13" spans="2:20" ht="14.45" hidden="1" customHeight="1" x14ac:dyDescent="0.2">
      <c r="B13" s="35">
        <f>ROW()-3</f>
        <v>10</v>
      </c>
      <c r="C13" s="29" t="s">
        <v>2709</v>
      </c>
      <c r="D13" s="29" t="s">
        <v>2706</v>
      </c>
      <c r="E13" s="29" t="s">
        <v>2706</v>
      </c>
      <c r="F13" s="30" t="s">
        <v>2878</v>
      </c>
      <c r="G13" s="176">
        <v>16</v>
      </c>
      <c r="H13" s="30" t="s">
        <v>2866</v>
      </c>
      <c r="I13" s="29" t="s">
        <v>2707</v>
      </c>
      <c r="J13" s="31" t="s">
        <v>1963</v>
      </c>
      <c r="K13" s="29" t="s">
        <v>2710</v>
      </c>
      <c r="L13" s="30" t="s">
        <v>2712</v>
      </c>
      <c r="M13" s="175" t="s">
        <v>2720</v>
      </c>
      <c r="N13" s="174" t="s">
        <v>2641</v>
      </c>
      <c r="O13" s="30"/>
      <c r="P13" s="175" t="str">
        <f>F13&amp;"&gt;"&amp;G13&amp;"&gt;"&amp;D13&amp;"&gt;"&amp;N13</f>
        <v>제02편 소송의 주체&gt;16&gt;1&gt;예상</v>
      </c>
      <c r="Q13" s="175" t="str">
        <f>H13&amp;"&gt;"&amp;I13&amp;"&gt;"&amp;D13&amp;"&gt;"&amp;N13</f>
        <v>제04장 당사자&gt;10&gt;1&gt;예상</v>
      </c>
      <c r="R13" s="175" t="str">
        <f>H13&amp;"&gt;"&amp;J13&amp;"&gt;"&amp;K13</f>
        <v>제04장 당사자&gt;제01절 당사자의 개관&gt;02</v>
      </c>
      <c r="S13" s="175" t="str">
        <f>N13&amp;"&gt;"&amp;C13&amp;"&gt;"&amp;E13</f>
        <v>예상&gt;04.01&gt;1</v>
      </c>
      <c r="T13" s="175" t="str">
        <f>N13&amp;"&gt;"&amp;C13&amp;"&gt;"&amp;D13</f>
        <v>예상&gt;04.01&gt;1</v>
      </c>
    </row>
    <row r="14" spans="2:20" ht="14.45" customHeight="1" x14ac:dyDescent="0.2">
      <c r="B14" s="35">
        <f>ROW()-3</f>
        <v>11</v>
      </c>
      <c r="C14" s="29" t="s">
        <v>1536</v>
      </c>
      <c r="D14" s="29" t="s">
        <v>1508</v>
      </c>
      <c r="E14" s="29" t="s">
        <v>1509</v>
      </c>
      <c r="F14" s="30" t="s">
        <v>2878</v>
      </c>
      <c r="G14" s="187" t="s">
        <v>2923</v>
      </c>
      <c r="H14" s="30" t="s">
        <v>4258</v>
      </c>
      <c r="I14" s="29" t="s">
        <v>1518</v>
      </c>
      <c r="J14" s="31" t="s">
        <v>1963</v>
      </c>
      <c r="K14" s="29" t="s">
        <v>1505</v>
      </c>
      <c r="L14" s="30" t="s">
        <v>208</v>
      </c>
      <c r="M14" s="175" t="s">
        <v>2464</v>
      </c>
      <c r="N14" s="174" t="s">
        <v>2642</v>
      </c>
      <c r="O14" s="30"/>
      <c r="P14" s="175" t="str">
        <f>F14&amp;"&gt;"&amp;G14&amp;"&gt;"&amp;D14&amp;"&gt;"&amp;N14</f>
        <v>제02편 소송의 주체&gt;03&gt;1-2&gt;기출</v>
      </c>
      <c r="Q14" s="175" t="str">
        <f>H14&amp;"&gt;"&amp;I14&amp;"&gt;"&amp;D14&amp;"&gt;"&amp;N14</f>
        <v>제04장 당사자&gt;02&gt;1-2&gt;기출</v>
      </c>
      <c r="R14" s="175" t="str">
        <f>H14&amp;"&gt;"&amp;J14&amp;"&gt;"&amp;K14</f>
        <v>제04장 당사자&gt;제01절 당사자의 개관&gt;01</v>
      </c>
      <c r="S14" s="175" t="str">
        <f>N14&amp;"&gt;"&amp;C14&amp;"&gt;"&amp;E14</f>
        <v>기출&gt;2020&gt;3</v>
      </c>
      <c r="T14" s="175" t="str">
        <f>N14&amp;"&gt;"&amp;C14&amp;"&gt;"&amp;D14</f>
        <v>기출&gt;2020&gt;1-2</v>
      </c>
    </row>
    <row r="15" spans="2:20" ht="14.45" customHeight="1" x14ac:dyDescent="0.2">
      <c r="B15" s="35">
        <f>ROW()-3</f>
        <v>12</v>
      </c>
      <c r="C15" s="29" t="s">
        <v>1546</v>
      </c>
      <c r="D15" s="29" t="s">
        <v>1508</v>
      </c>
      <c r="E15" s="29" t="s">
        <v>1509</v>
      </c>
      <c r="F15" s="30" t="s">
        <v>2878</v>
      </c>
      <c r="G15" s="187" t="s">
        <v>2926</v>
      </c>
      <c r="H15" s="30" t="s">
        <v>2866</v>
      </c>
      <c r="I15" s="29" t="s">
        <v>1531</v>
      </c>
      <c r="J15" s="31" t="s">
        <v>1547</v>
      </c>
      <c r="K15" s="29" t="s">
        <v>1505</v>
      </c>
      <c r="L15" s="30" t="s">
        <v>1548</v>
      </c>
      <c r="M15" s="175" t="s">
        <v>2467</v>
      </c>
      <c r="N15" s="174" t="s">
        <v>2642</v>
      </c>
      <c r="O15" s="30"/>
      <c r="P15" s="175" t="str">
        <f>F15&amp;"&gt;"&amp;G15&amp;"&gt;"&amp;D15&amp;"&gt;"&amp;N15</f>
        <v>제02편 소송의 주체&gt;05&gt;1-2&gt;기출</v>
      </c>
      <c r="Q15" s="175" t="str">
        <f>H15&amp;"&gt;"&amp;I15&amp;"&gt;"&amp;D15&amp;"&gt;"&amp;N15</f>
        <v>제04장 당사자&gt;03&gt;1-2&gt;기출</v>
      </c>
      <c r="R15" s="175" t="str">
        <f>H15&amp;"&gt;"&amp;J15&amp;"&gt;"&amp;K15</f>
        <v>제04장 당사자&gt;제03절 소송상의 대리인&gt;01</v>
      </c>
      <c r="S15" s="175" t="str">
        <f>N15&amp;"&gt;"&amp;C15&amp;"&gt;"&amp;E15</f>
        <v>기출&gt;2018&gt;3</v>
      </c>
      <c r="T15" s="175" t="str">
        <f>N15&amp;"&gt;"&amp;C15&amp;"&gt;"&amp;D15</f>
        <v>기출&gt;2018&gt;1-2</v>
      </c>
    </row>
    <row r="16" spans="2:20" ht="14.45" customHeight="1" x14ac:dyDescent="0.2">
      <c r="B16" s="35">
        <f>ROW()-3</f>
        <v>13</v>
      </c>
      <c r="C16" s="29" t="s">
        <v>1550</v>
      </c>
      <c r="D16" s="29" t="s">
        <v>1508</v>
      </c>
      <c r="E16" s="29" t="s">
        <v>1506</v>
      </c>
      <c r="F16" s="30" t="s">
        <v>2878</v>
      </c>
      <c r="G16" s="187" t="s">
        <v>2927</v>
      </c>
      <c r="H16" s="30" t="s">
        <v>2866</v>
      </c>
      <c r="I16" s="29" t="s">
        <v>1540</v>
      </c>
      <c r="J16" s="31" t="s">
        <v>1533</v>
      </c>
      <c r="K16" s="29" t="s">
        <v>1518</v>
      </c>
      <c r="L16" s="30" t="s">
        <v>1551</v>
      </c>
      <c r="M16" s="175" t="s">
        <v>2466</v>
      </c>
      <c r="N16" s="174" t="s">
        <v>2642</v>
      </c>
      <c r="O16" s="30"/>
      <c r="P16" s="175" t="str">
        <f>F16&amp;"&gt;"&amp;G16&amp;"&gt;"&amp;D16&amp;"&gt;"&amp;N16</f>
        <v>제02편 소송의 주체&gt;06&gt;1-2&gt;기출</v>
      </c>
      <c r="Q16" s="175" t="str">
        <f>H16&amp;"&gt;"&amp;I16&amp;"&gt;"&amp;D16&amp;"&gt;"&amp;N16</f>
        <v>제04장 당사자&gt;04&gt;1-2&gt;기출</v>
      </c>
      <c r="R16" s="175" t="str">
        <f>H16&amp;"&gt;"&amp;J16&amp;"&gt;"&amp;K16</f>
        <v>제04장 당사자&gt;제02절 당사자의 자격&gt;02</v>
      </c>
      <c r="S16" s="175" t="str">
        <f>N16&amp;"&gt;"&amp;C16&amp;"&gt;"&amp;E16</f>
        <v>기출&gt;2017&gt;4</v>
      </c>
      <c r="T16" s="175" t="str">
        <f>N16&amp;"&gt;"&amp;C16&amp;"&gt;"&amp;D16</f>
        <v>기출&gt;2017&gt;1-2</v>
      </c>
    </row>
    <row r="17" spans="2:20" ht="14.45" customHeight="1" x14ac:dyDescent="0.2">
      <c r="B17" s="35">
        <f>ROW()-3</f>
        <v>14</v>
      </c>
      <c r="C17" s="29" t="s">
        <v>1554</v>
      </c>
      <c r="D17" s="29" t="s">
        <v>1503</v>
      </c>
      <c r="E17" s="29" t="s">
        <v>1506</v>
      </c>
      <c r="F17" s="30" t="s">
        <v>2878</v>
      </c>
      <c r="G17" s="187" t="s">
        <v>2928</v>
      </c>
      <c r="H17" s="30" t="s">
        <v>2866</v>
      </c>
      <c r="I17" s="29" t="s">
        <v>1558</v>
      </c>
      <c r="J17" s="31" t="s">
        <v>1533</v>
      </c>
      <c r="K17" s="29" t="s">
        <v>1531</v>
      </c>
      <c r="L17" s="30" t="s">
        <v>2603</v>
      </c>
      <c r="M17" s="175" t="s">
        <v>2721</v>
      </c>
      <c r="N17" s="174" t="s">
        <v>2642</v>
      </c>
      <c r="O17" s="30"/>
      <c r="P17" s="175" t="str">
        <f>F17&amp;"&gt;"&amp;G17&amp;"&gt;"&amp;D17&amp;"&gt;"&amp;N17</f>
        <v>제02편 소송의 주체&gt;07&gt;1-1&gt;기출</v>
      </c>
      <c r="Q17" s="175" t="str">
        <f>H17&amp;"&gt;"&amp;I17&amp;"&gt;"&amp;D17&amp;"&gt;"&amp;N17</f>
        <v>제04장 당사자&gt;05&gt;1-1&gt;기출</v>
      </c>
      <c r="R17" s="175" t="str">
        <f>H17&amp;"&gt;"&amp;J17&amp;"&gt;"&amp;K17</f>
        <v>제04장 당사자&gt;제02절 당사자의 자격&gt;03</v>
      </c>
      <c r="S17" s="175" t="str">
        <f>N17&amp;"&gt;"&amp;C17&amp;"&gt;"&amp;E17</f>
        <v>기출&gt;2016&gt;4</v>
      </c>
      <c r="T17" s="175" t="str">
        <f>N17&amp;"&gt;"&amp;C17&amp;"&gt;"&amp;D17</f>
        <v>기출&gt;2016&gt;1-1</v>
      </c>
    </row>
    <row r="18" spans="2:20" ht="14.45" customHeight="1" x14ac:dyDescent="0.2">
      <c r="B18" s="35">
        <f>ROW()-3</f>
        <v>15</v>
      </c>
      <c r="C18" s="29" t="s">
        <v>1554</v>
      </c>
      <c r="D18" s="29" t="s">
        <v>1508</v>
      </c>
      <c r="E18" s="29" t="s">
        <v>1509</v>
      </c>
      <c r="F18" s="30" t="s">
        <v>2878</v>
      </c>
      <c r="G18" s="187" t="s">
        <v>2929</v>
      </c>
      <c r="H18" s="30" t="s">
        <v>2866</v>
      </c>
      <c r="I18" s="29" t="s">
        <v>1568</v>
      </c>
      <c r="J18" s="31" t="s">
        <v>1547</v>
      </c>
      <c r="K18" s="29" t="s">
        <v>1518</v>
      </c>
      <c r="L18" s="30" t="s">
        <v>2605</v>
      </c>
      <c r="M18" s="175" t="s">
        <v>2724</v>
      </c>
      <c r="N18" s="174" t="s">
        <v>2642</v>
      </c>
      <c r="O18" s="30"/>
      <c r="P18" s="175" t="str">
        <f>F18&amp;"&gt;"&amp;G18&amp;"&gt;"&amp;D18&amp;"&gt;"&amp;N18</f>
        <v>제02편 소송의 주체&gt;08&gt;1-2&gt;기출</v>
      </c>
      <c r="Q18" s="175" t="str">
        <f>H18&amp;"&gt;"&amp;I18&amp;"&gt;"&amp;D18&amp;"&gt;"&amp;N18</f>
        <v>제04장 당사자&gt;06&gt;1-2&gt;기출</v>
      </c>
      <c r="R18" s="175" t="str">
        <f>H18&amp;"&gt;"&amp;J18&amp;"&gt;"&amp;K18</f>
        <v>제04장 당사자&gt;제03절 소송상의 대리인&gt;02</v>
      </c>
      <c r="S18" s="175" t="str">
        <f>N18&amp;"&gt;"&amp;C18&amp;"&gt;"&amp;E18</f>
        <v>기출&gt;2016&gt;3</v>
      </c>
      <c r="T18" s="175" t="str">
        <f>N18&amp;"&gt;"&amp;C18&amp;"&gt;"&amp;D18</f>
        <v>기출&gt;2016&gt;1-2</v>
      </c>
    </row>
    <row r="19" spans="2:20" ht="14.45" hidden="1" customHeight="1" x14ac:dyDescent="0.2">
      <c r="B19" s="35">
        <f>ROW()-3</f>
        <v>16</v>
      </c>
      <c r="C19" s="29" t="s">
        <v>2705</v>
      </c>
      <c r="D19" s="29" t="s">
        <v>2706</v>
      </c>
      <c r="E19" s="29" t="s">
        <v>2706</v>
      </c>
      <c r="F19" s="30" t="s">
        <v>2878</v>
      </c>
      <c r="G19" s="176">
        <v>17</v>
      </c>
      <c r="H19" s="30" t="s">
        <v>2866</v>
      </c>
      <c r="I19" s="29" t="s">
        <v>2713</v>
      </c>
      <c r="J19" s="31" t="s">
        <v>1533</v>
      </c>
      <c r="K19" s="29" t="s">
        <v>2708</v>
      </c>
      <c r="L19" s="30" t="s">
        <v>2704</v>
      </c>
      <c r="M19" s="175" t="s">
        <v>2723</v>
      </c>
      <c r="N19" s="174" t="s">
        <v>2641</v>
      </c>
      <c r="O19" s="30"/>
      <c r="P19" s="175" t="str">
        <f>F19&amp;"&gt;"&amp;G19&amp;"&gt;"&amp;D19&amp;"&gt;"&amp;N19</f>
        <v>제02편 소송의 주체&gt;17&gt;1&gt;예상</v>
      </c>
      <c r="Q19" s="175" t="str">
        <f>H19&amp;"&gt;"&amp;I19&amp;"&gt;"&amp;D19&amp;"&gt;"&amp;N19</f>
        <v>제04장 당사자&gt;11&gt;1&gt;예상</v>
      </c>
      <c r="R19" s="175" t="str">
        <f>H19&amp;"&gt;"&amp;J19&amp;"&gt;"&amp;K19</f>
        <v>제04장 당사자&gt;제02절 당사자의 자격&gt;06</v>
      </c>
      <c r="S19" s="175" t="str">
        <f>N19&amp;"&gt;"&amp;C19&amp;"&gt;"&amp;E19</f>
        <v>예상&gt;04.02&gt;1</v>
      </c>
      <c r="T19" s="175" t="str">
        <f>N19&amp;"&gt;"&amp;C19&amp;"&gt;"&amp;D19</f>
        <v>예상&gt;04.02&gt;1</v>
      </c>
    </row>
    <row r="20" spans="2:20" ht="14.45" customHeight="1" x14ac:dyDescent="0.2">
      <c r="B20" s="35">
        <f>ROW()-3</f>
        <v>17</v>
      </c>
      <c r="C20" s="29" t="s">
        <v>1564</v>
      </c>
      <c r="D20" s="29" t="s">
        <v>1557</v>
      </c>
      <c r="E20" s="29" t="s">
        <v>1506</v>
      </c>
      <c r="F20" s="30" t="s">
        <v>2878</v>
      </c>
      <c r="G20" s="187">
        <v>10</v>
      </c>
      <c r="H20" s="30" t="s">
        <v>2866</v>
      </c>
      <c r="I20" s="29" t="s">
        <v>1570</v>
      </c>
      <c r="J20" s="31" t="s">
        <v>1533</v>
      </c>
      <c r="K20" s="29" t="s">
        <v>1540</v>
      </c>
      <c r="L20" s="30" t="s">
        <v>2607</v>
      </c>
      <c r="M20" s="175" t="s">
        <v>2722</v>
      </c>
      <c r="N20" s="174" t="s">
        <v>2642</v>
      </c>
      <c r="O20" s="30"/>
      <c r="P20" s="175" t="str">
        <f>F20&amp;"&gt;"&amp;G20&amp;"&gt;"&amp;D20&amp;"&gt;"&amp;N20</f>
        <v>제02편 소송의 주체&gt;10&gt;1-1&gt;기출</v>
      </c>
      <c r="Q20" s="175" t="str">
        <f>H20&amp;"&gt;"&amp;I20&amp;"&gt;"&amp;D20&amp;"&gt;"&amp;N20</f>
        <v>제04장 당사자&gt;07&gt;1-1&gt;기출</v>
      </c>
      <c r="R20" s="175" t="str">
        <f>H20&amp;"&gt;"&amp;J20&amp;"&gt;"&amp;K20</f>
        <v>제04장 당사자&gt;제02절 당사자의 자격&gt;04</v>
      </c>
      <c r="S20" s="175" t="str">
        <f>N20&amp;"&gt;"&amp;C20&amp;"&gt;"&amp;E20</f>
        <v>기출&gt;2014&gt;4</v>
      </c>
      <c r="T20" s="175" t="str">
        <f>N20&amp;"&gt;"&amp;C20&amp;"&gt;"&amp;D20</f>
        <v>기출&gt;2014&gt;1-1</v>
      </c>
    </row>
    <row r="21" spans="2:20" ht="14.45" customHeight="1" x14ac:dyDescent="0.2">
      <c r="B21" s="35">
        <f>ROW()-3</f>
        <v>18</v>
      </c>
      <c r="C21" s="29" t="s">
        <v>1567</v>
      </c>
      <c r="D21" s="29" t="s">
        <v>1557</v>
      </c>
      <c r="E21" s="29" t="s">
        <v>1504</v>
      </c>
      <c r="F21" s="30" t="s">
        <v>2878</v>
      </c>
      <c r="G21" s="176">
        <v>11</v>
      </c>
      <c r="H21" s="30" t="s">
        <v>2866</v>
      </c>
      <c r="I21" s="29" t="s">
        <v>1585</v>
      </c>
      <c r="J21" s="31" t="s">
        <v>1547</v>
      </c>
      <c r="K21" s="29" t="s">
        <v>1531</v>
      </c>
      <c r="L21" s="30" t="s">
        <v>2779</v>
      </c>
      <c r="M21" s="175" t="s">
        <v>2780</v>
      </c>
      <c r="N21" s="174" t="s">
        <v>2642</v>
      </c>
      <c r="O21" s="30"/>
      <c r="P21" s="175" t="str">
        <f>F21&amp;"&gt;"&amp;G21&amp;"&gt;"&amp;D21&amp;"&gt;"&amp;N21</f>
        <v>제02편 소송의 주체&gt;11&gt;1-1&gt;기출</v>
      </c>
      <c r="Q21" s="175" t="str">
        <f>H21&amp;"&gt;"&amp;I21&amp;"&gt;"&amp;D21&amp;"&gt;"&amp;N21</f>
        <v>제04장 당사자&gt;08&gt;1-1&gt;기출</v>
      </c>
      <c r="R21" s="175" t="str">
        <f>H21&amp;"&gt;"&amp;J21&amp;"&gt;"&amp;K21</f>
        <v>제04장 당사자&gt;제03절 소송상의 대리인&gt;03</v>
      </c>
      <c r="S21" s="175" t="str">
        <f>N21&amp;"&gt;"&amp;C21&amp;"&gt;"&amp;E21</f>
        <v>기출&gt;2013&gt;5</v>
      </c>
      <c r="T21" s="175" t="str">
        <f>N21&amp;"&gt;"&amp;C21&amp;"&gt;"&amp;D21</f>
        <v>기출&gt;2013&gt;1-1</v>
      </c>
    </row>
    <row r="22" spans="2:20" ht="14.45" customHeight="1" x14ac:dyDescent="0.2">
      <c r="B22" s="35">
        <f>ROW()-3</f>
        <v>19</v>
      </c>
      <c r="C22" s="29" t="s">
        <v>1583</v>
      </c>
      <c r="D22" s="29" t="s">
        <v>1579</v>
      </c>
      <c r="E22" s="29" t="s">
        <v>1511</v>
      </c>
      <c r="F22" s="30" t="s">
        <v>2878</v>
      </c>
      <c r="G22" s="176">
        <v>12</v>
      </c>
      <c r="H22" s="30" t="s">
        <v>2866</v>
      </c>
      <c r="I22" s="29" t="s">
        <v>1628</v>
      </c>
      <c r="J22" s="31" t="s">
        <v>1533</v>
      </c>
      <c r="K22" s="29" t="s">
        <v>1558</v>
      </c>
      <c r="L22" s="30" t="s">
        <v>2776</v>
      </c>
      <c r="M22" s="175" t="s">
        <v>2777</v>
      </c>
      <c r="N22" s="174" t="s">
        <v>2642</v>
      </c>
      <c r="O22" s="30"/>
      <c r="P22" s="175" t="str">
        <f>F22&amp;"&gt;"&amp;G22&amp;"&gt;"&amp;D22&amp;"&gt;"&amp;N22</f>
        <v>제02편 소송의 주체&gt;12&gt;2-1&gt;기출</v>
      </c>
      <c r="Q22" s="175" t="str">
        <f>H22&amp;"&gt;"&amp;I22&amp;"&gt;"&amp;D22&amp;"&gt;"&amp;N22</f>
        <v>제04장 당사자&gt;09&gt;2-1&gt;기출</v>
      </c>
      <c r="R22" s="175" t="str">
        <f>H22&amp;"&gt;"&amp;J22&amp;"&gt;"&amp;K22</f>
        <v>제04장 당사자&gt;제02절 당사자의 자격&gt;05</v>
      </c>
      <c r="S22" s="175" t="str">
        <f>N22&amp;"&gt;"&amp;C22&amp;"&gt;"&amp;E22</f>
        <v>기출&gt;2010&gt;2</v>
      </c>
      <c r="T22" s="175" t="str">
        <f>N22&amp;"&gt;"&amp;C22&amp;"&gt;"&amp;D22</f>
        <v>기출&gt;2010&gt;2-1</v>
      </c>
    </row>
    <row r="23" spans="2:20" ht="14.45" hidden="1" customHeight="1" x14ac:dyDescent="0.2">
      <c r="B23" s="35">
        <f>ROW()-3</f>
        <v>20</v>
      </c>
      <c r="C23" s="29" t="s">
        <v>1592</v>
      </c>
      <c r="D23" s="29" t="s">
        <v>1589</v>
      </c>
      <c r="E23" s="29" t="s">
        <v>1511</v>
      </c>
      <c r="F23" s="30" t="s">
        <v>2931</v>
      </c>
      <c r="G23" s="176">
        <v>25</v>
      </c>
      <c r="H23" s="30" t="s">
        <v>2912</v>
      </c>
      <c r="I23" s="29" t="s">
        <v>1570</v>
      </c>
      <c r="J23" s="31" t="s">
        <v>1611</v>
      </c>
      <c r="K23" s="29" t="s">
        <v>1505</v>
      </c>
      <c r="L23" s="34" t="s">
        <v>2597</v>
      </c>
      <c r="M23" s="174" t="s">
        <v>2725</v>
      </c>
      <c r="N23" s="174" t="s">
        <v>2641</v>
      </c>
      <c r="O23" s="30"/>
      <c r="P23" s="175" t="str">
        <f>F23&amp;"&gt;"&amp;G23&amp;"&gt;"&amp;D23&amp;"&gt;"&amp;N23</f>
        <v>제03편 제1심 소송절차&gt;25&gt;1&gt;예상</v>
      </c>
      <c r="Q23" s="175" t="str">
        <f>H23&amp;"&gt;"&amp;I23&amp;"&gt;"&amp;D23&amp;"&gt;"&amp;N23</f>
        <v>제05장 소송 개시와 심리 대상&gt;07&gt;1&gt;예상</v>
      </c>
      <c r="R23" s="175" t="str">
        <f>H23&amp;"&gt;"&amp;J23&amp;"&gt;"&amp;K23</f>
        <v>제05장 소송 개시와 심리 대상&gt;제02절 소송요건&gt;01</v>
      </c>
      <c r="S23" s="175" t="str">
        <f>N23&amp;"&gt;"&amp;C23&amp;"&gt;"&amp;E23</f>
        <v>예상&gt;05.02&gt;2</v>
      </c>
      <c r="T23" s="175" t="str">
        <f>N23&amp;"&gt;"&amp;C23&amp;"&gt;"&amp;D23</f>
        <v>예상&gt;05.02&gt;1</v>
      </c>
    </row>
    <row r="24" spans="2:20" ht="14.45" hidden="1" customHeight="1" x14ac:dyDescent="0.2">
      <c r="B24" s="35">
        <f>ROW()-3</f>
        <v>21</v>
      </c>
      <c r="C24" s="29" t="s">
        <v>1592</v>
      </c>
      <c r="D24" s="29" t="s">
        <v>1562</v>
      </c>
      <c r="E24" s="29" t="s">
        <v>1513</v>
      </c>
      <c r="F24" s="30" t="s">
        <v>2931</v>
      </c>
      <c r="G24" s="176">
        <v>26</v>
      </c>
      <c r="H24" s="30" t="s">
        <v>2912</v>
      </c>
      <c r="I24" s="29" t="s">
        <v>1585</v>
      </c>
      <c r="J24" s="31" t="s">
        <v>1611</v>
      </c>
      <c r="K24" s="29" t="s">
        <v>1518</v>
      </c>
      <c r="L24" s="34" t="s">
        <v>2599</v>
      </c>
      <c r="M24" s="174" t="s">
        <v>2726</v>
      </c>
      <c r="N24" s="174" t="s">
        <v>2641</v>
      </c>
      <c r="O24" s="30"/>
      <c r="P24" s="175" t="str">
        <f>F24&amp;"&gt;"&amp;G24&amp;"&gt;"&amp;D24&amp;"&gt;"&amp;N24</f>
        <v>제03편 제1심 소송절차&gt;26&gt;2&gt;예상</v>
      </c>
      <c r="Q24" s="175" t="str">
        <f>H24&amp;"&gt;"&amp;I24&amp;"&gt;"&amp;D24&amp;"&gt;"&amp;N24</f>
        <v>제05장 소송 개시와 심리 대상&gt;08&gt;2&gt;예상</v>
      </c>
      <c r="R24" s="175" t="str">
        <f>H24&amp;"&gt;"&amp;J24&amp;"&gt;"&amp;K24</f>
        <v>제05장 소송 개시와 심리 대상&gt;제02절 소송요건&gt;02</v>
      </c>
      <c r="S24" s="175" t="str">
        <f>N24&amp;"&gt;"&amp;C24&amp;"&gt;"&amp;E24</f>
        <v>예상&gt;05.02&gt;1</v>
      </c>
      <c r="T24" s="175" t="str">
        <f>N24&amp;"&gt;"&amp;C24&amp;"&gt;"&amp;D24</f>
        <v>예상&gt;05.02&gt;2</v>
      </c>
    </row>
    <row r="25" spans="2:20" ht="14.45" customHeight="1" x14ac:dyDescent="0.2">
      <c r="B25" s="35">
        <f>ROW()-3</f>
        <v>22</v>
      </c>
      <c r="C25" s="29" t="s">
        <v>1502</v>
      </c>
      <c r="D25" s="29" t="s">
        <v>1511</v>
      </c>
      <c r="E25" s="29" t="s">
        <v>1511</v>
      </c>
      <c r="F25" s="30" t="s">
        <v>2931</v>
      </c>
      <c r="G25" s="187" t="s">
        <v>2934</v>
      </c>
      <c r="H25" s="30" t="s">
        <v>4259</v>
      </c>
      <c r="I25" s="29" t="s">
        <v>1505</v>
      </c>
      <c r="J25" s="31" t="s">
        <v>1512</v>
      </c>
      <c r="K25" s="29" t="s">
        <v>1505</v>
      </c>
      <c r="L25" s="30" t="s">
        <v>2783</v>
      </c>
      <c r="M25" s="175" t="s">
        <v>2782</v>
      </c>
      <c r="N25" s="174" t="s">
        <v>2642</v>
      </c>
      <c r="O25" s="30"/>
      <c r="P25" s="175" t="str">
        <f>F25&amp;"&gt;"&amp;G25&amp;"&gt;"&amp;D25&amp;"&gt;"&amp;N25</f>
        <v>제03편 제1심 소송절차&gt;01&gt;2&gt;기출</v>
      </c>
      <c r="Q25" s="175" t="str">
        <f>H25&amp;"&gt;"&amp;I25&amp;"&gt;"&amp;D25&amp;"&gt;"&amp;N25</f>
        <v>제05장 소송 개시와 심리 대상&gt;01&gt;2&gt;기출</v>
      </c>
      <c r="R25" s="175" t="str">
        <f>H25&amp;"&gt;"&amp;J25&amp;"&gt;"&amp;K25</f>
        <v>제05장 소송 개시와 심리 대상&gt;제03절 소의 이익&gt;01</v>
      </c>
      <c r="S25" s="175" t="str">
        <f>N25&amp;"&gt;"&amp;C25&amp;"&gt;"&amp;E25</f>
        <v>기출&gt;2025&gt;2</v>
      </c>
      <c r="T25" s="175" t="str">
        <f>N25&amp;"&gt;"&amp;C25&amp;"&gt;"&amp;D25</f>
        <v>기출&gt;2025&gt;2</v>
      </c>
    </row>
    <row r="26" spans="2:20" ht="14.45" customHeight="1" x14ac:dyDescent="0.2">
      <c r="B26" s="35">
        <f>ROW()-3</f>
        <v>23</v>
      </c>
      <c r="C26" s="29" t="s">
        <v>1520</v>
      </c>
      <c r="D26" s="29" t="s">
        <v>1503</v>
      </c>
      <c r="E26" s="29" t="s">
        <v>1506</v>
      </c>
      <c r="F26" s="30" t="s">
        <v>2931</v>
      </c>
      <c r="G26" s="187" t="s">
        <v>2936</v>
      </c>
      <c r="H26" s="30" t="s">
        <v>2912</v>
      </c>
      <c r="I26" s="29" t="s">
        <v>1518</v>
      </c>
      <c r="J26" s="31" t="s">
        <v>1521</v>
      </c>
      <c r="K26" s="29" t="s">
        <v>1505</v>
      </c>
      <c r="L26" s="30" t="s">
        <v>2941</v>
      </c>
      <c r="M26" s="175" t="s">
        <v>2942</v>
      </c>
      <c r="N26" s="174" t="s">
        <v>2642</v>
      </c>
      <c r="O26" s="30"/>
      <c r="P26" s="175" t="str">
        <f>F26&amp;"&gt;"&amp;G26&amp;"&gt;"&amp;D26&amp;"&gt;"&amp;N26</f>
        <v>제03편 제1심 소송절차&gt;05&gt;1-1&gt;기출</v>
      </c>
      <c r="Q26" s="175" t="str">
        <f>H26&amp;"&gt;"&amp;I26&amp;"&gt;"&amp;D26&amp;"&gt;"&amp;N26</f>
        <v>제05장 소송 개시와 심리 대상&gt;02&gt;1-1&gt;기출</v>
      </c>
      <c r="R26" s="175" t="str">
        <f>H26&amp;"&gt;"&amp;J26&amp;"&gt;"&amp;K26</f>
        <v>제05장 소송 개시와 심리 대상&gt;제07절 소제기의 효과&gt;01</v>
      </c>
      <c r="S26" s="175" t="str">
        <f>N26&amp;"&gt;"&amp;C26&amp;"&gt;"&amp;E26</f>
        <v>기출&gt;2023&gt;4</v>
      </c>
      <c r="T26" s="175" t="str">
        <f>N26&amp;"&gt;"&amp;C26&amp;"&gt;"&amp;D26</f>
        <v>기출&gt;2023&gt;1-1</v>
      </c>
    </row>
    <row r="27" spans="2:20" ht="14.45" customHeight="1" x14ac:dyDescent="0.2">
      <c r="B27" s="35">
        <f>ROW()-3</f>
        <v>24</v>
      </c>
      <c r="C27" s="29" t="s">
        <v>1520</v>
      </c>
      <c r="D27" s="29" t="s">
        <v>1511</v>
      </c>
      <c r="E27" s="29" t="s">
        <v>1511</v>
      </c>
      <c r="F27" s="30" t="s">
        <v>2931</v>
      </c>
      <c r="G27" s="187" t="s">
        <v>2937</v>
      </c>
      <c r="H27" s="30" t="s">
        <v>2912</v>
      </c>
      <c r="I27" s="29" t="s">
        <v>1531</v>
      </c>
      <c r="J27" s="31" t="s">
        <v>1512</v>
      </c>
      <c r="K27" s="29" t="s">
        <v>1518</v>
      </c>
      <c r="L27" s="30" t="s">
        <v>2786</v>
      </c>
      <c r="M27" s="175" t="s">
        <v>2785</v>
      </c>
      <c r="N27" s="174" t="s">
        <v>2642</v>
      </c>
      <c r="O27" s="30"/>
      <c r="P27" s="175" t="str">
        <f>F27&amp;"&gt;"&amp;G27&amp;"&gt;"&amp;D27&amp;"&gt;"&amp;N27</f>
        <v>제03편 제1심 소송절차&gt;06&gt;2&gt;기출</v>
      </c>
      <c r="Q27" s="175" t="str">
        <f>H27&amp;"&gt;"&amp;I27&amp;"&gt;"&amp;D27&amp;"&gt;"&amp;N27</f>
        <v>제05장 소송 개시와 심리 대상&gt;03&gt;2&gt;기출</v>
      </c>
      <c r="R27" s="175" t="str">
        <f>H27&amp;"&gt;"&amp;J27&amp;"&gt;"&amp;K27</f>
        <v>제05장 소송 개시와 심리 대상&gt;제03절 소의 이익&gt;02</v>
      </c>
      <c r="S27" s="175" t="str">
        <f>N27&amp;"&gt;"&amp;C27&amp;"&gt;"&amp;E27</f>
        <v>기출&gt;2023&gt;2</v>
      </c>
      <c r="T27" s="175" t="str">
        <f>N27&amp;"&gt;"&amp;C27&amp;"&gt;"&amp;D27</f>
        <v>기출&gt;2023&gt;2</v>
      </c>
    </row>
    <row r="28" spans="2:20" ht="14.45" hidden="1" customHeight="1" x14ac:dyDescent="0.2">
      <c r="B28" s="35">
        <f>ROW()-3</f>
        <v>25</v>
      </c>
      <c r="C28" s="29" t="s">
        <v>1593</v>
      </c>
      <c r="D28" s="29" t="s">
        <v>1589</v>
      </c>
      <c r="E28" s="29" t="s">
        <v>1511</v>
      </c>
      <c r="F28" s="30" t="s">
        <v>2931</v>
      </c>
      <c r="G28" s="176">
        <v>27</v>
      </c>
      <c r="H28" s="30" t="s">
        <v>2912</v>
      </c>
      <c r="I28" s="29" t="s">
        <v>1628</v>
      </c>
      <c r="J28" s="31" t="s">
        <v>2948</v>
      </c>
      <c r="K28" s="29" t="s">
        <v>1505</v>
      </c>
      <c r="L28" s="34" t="s">
        <v>267</v>
      </c>
      <c r="M28" s="174" t="s">
        <v>2468</v>
      </c>
      <c r="N28" s="174" t="s">
        <v>2641</v>
      </c>
      <c r="O28" s="30"/>
      <c r="P28" s="175" t="str">
        <f>F28&amp;"&gt;"&amp;G28&amp;"&gt;"&amp;D28&amp;"&gt;"&amp;N28</f>
        <v>제03편 제1심 소송절차&gt;27&gt;1&gt;예상</v>
      </c>
      <c r="Q28" s="175" t="str">
        <f>H28&amp;"&gt;"&amp;I28&amp;"&gt;"&amp;D28&amp;"&gt;"&amp;N28</f>
        <v>제05장 소송 개시와 심리 대상&gt;09&gt;1&gt;예상</v>
      </c>
      <c r="R28" s="175" t="str">
        <f>H28&amp;"&gt;"&amp;J28&amp;"&gt;"&amp;K28</f>
        <v>제05장 소송 개시와 심리 대상&gt;제04절 소송물&gt;01</v>
      </c>
      <c r="S28" s="175" t="str">
        <f>N28&amp;"&gt;"&amp;C28&amp;"&gt;"&amp;E28</f>
        <v>예상&gt;05.04&gt;2</v>
      </c>
      <c r="T28" s="175" t="str">
        <f>N28&amp;"&gt;"&amp;C28&amp;"&gt;"&amp;D28</f>
        <v>예상&gt;05.04&gt;1</v>
      </c>
    </row>
    <row r="29" spans="2:20" ht="14.45" hidden="1" customHeight="1" x14ac:dyDescent="0.2">
      <c r="B29" s="35">
        <f>ROW()-3</f>
        <v>26</v>
      </c>
      <c r="C29" s="29" t="s">
        <v>1593</v>
      </c>
      <c r="D29" s="29" t="s">
        <v>1562</v>
      </c>
      <c r="E29" s="29" t="s">
        <v>1513</v>
      </c>
      <c r="F29" s="30" t="s">
        <v>2931</v>
      </c>
      <c r="G29" s="176">
        <v>28</v>
      </c>
      <c r="H29" s="30" t="s">
        <v>2912</v>
      </c>
      <c r="I29" s="29" t="s">
        <v>1629</v>
      </c>
      <c r="J29" s="31" t="s">
        <v>2948</v>
      </c>
      <c r="K29" s="29" t="s">
        <v>1518</v>
      </c>
      <c r="L29" s="34" t="s">
        <v>268</v>
      </c>
      <c r="M29" s="174" t="s">
        <v>2469</v>
      </c>
      <c r="N29" s="174" t="s">
        <v>2641</v>
      </c>
      <c r="O29" s="30"/>
      <c r="P29" s="175" t="str">
        <f>F29&amp;"&gt;"&amp;G29&amp;"&gt;"&amp;D29&amp;"&gt;"&amp;N29</f>
        <v>제03편 제1심 소송절차&gt;28&gt;2&gt;예상</v>
      </c>
      <c r="Q29" s="175" t="str">
        <f>H29&amp;"&gt;"&amp;I29&amp;"&gt;"&amp;D29&amp;"&gt;"&amp;N29</f>
        <v>제05장 소송 개시와 심리 대상&gt;10&gt;2&gt;예상</v>
      </c>
      <c r="R29" s="175" t="str">
        <f>H29&amp;"&gt;"&amp;J29&amp;"&gt;"&amp;K29</f>
        <v>제05장 소송 개시와 심리 대상&gt;제04절 소송물&gt;02</v>
      </c>
      <c r="S29" s="175" t="str">
        <f>N29&amp;"&gt;"&amp;C29&amp;"&gt;"&amp;E29</f>
        <v>예상&gt;05.04&gt;1</v>
      </c>
      <c r="T29" s="175" t="str">
        <f>N29&amp;"&gt;"&amp;C29&amp;"&gt;"&amp;D29</f>
        <v>예상&gt;05.04&gt;2</v>
      </c>
    </row>
    <row r="30" spans="2:20" ht="14.45" hidden="1" customHeight="1" x14ac:dyDescent="0.2">
      <c r="B30" s="35">
        <f>ROW()-3</f>
        <v>27</v>
      </c>
      <c r="C30" s="29" t="s">
        <v>1594</v>
      </c>
      <c r="D30" s="29" t="s">
        <v>1589</v>
      </c>
      <c r="E30" s="29" t="s">
        <v>1511</v>
      </c>
      <c r="F30" s="30" t="s">
        <v>2931</v>
      </c>
      <c r="G30" s="176">
        <v>29</v>
      </c>
      <c r="H30" s="30" t="s">
        <v>2912</v>
      </c>
      <c r="I30" s="29" t="s">
        <v>1630</v>
      </c>
      <c r="J30" s="31" t="s">
        <v>1612</v>
      </c>
      <c r="K30" s="29" t="s">
        <v>1505</v>
      </c>
      <c r="L30" s="34" t="s">
        <v>269</v>
      </c>
      <c r="M30" s="174" t="s">
        <v>2470</v>
      </c>
      <c r="N30" s="174" t="s">
        <v>2641</v>
      </c>
      <c r="O30" s="30"/>
      <c r="P30" s="175" t="str">
        <f>F30&amp;"&gt;"&amp;G30&amp;"&gt;"&amp;D30&amp;"&gt;"&amp;N30</f>
        <v>제03편 제1심 소송절차&gt;29&gt;1&gt;예상</v>
      </c>
      <c r="Q30" s="175" t="str">
        <f>H30&amp;"&gt;"&amp;I30&amp;"&gt;"&amp;D30&amp;"&gt;"&amp;N30</f>
        <v>제05장 소송 개시와 심리 대상&gt;11&gt;1&gt;예상</v>
      </c>
      <c r="R30" s="175" t="str">
        <f>H30&amp;"&gt;"&amp;J30&amp;"&gt;"&amp;K30</f>
        <v>제05장 소송 개시와 심리 대상&gt;제05절 소의 제기&gt;01</v>
      </c>
      <c r="S30" s="175" t="str">
        <f>N30&amp;"&gt;"&amp;C30&amp;"&gt;"&amp;E30</f>
        <v>예상&gt;05.05&gt;2</v>
      </c>
      <c r="T30" s="175" t="str">
        <f>N30&amp;"&gt;"&amp;C30&amp;"&gt;"&amp;D30</f>
        <v>예상&gt;05.05&gt;1</v>
      </c>
    </row>
    <row r="31" spans="2:20" ht="14.45" hidden="1" customHeight="1" x14ac:dyDescent="0.2">
      <c r="B31" s="35">
        <f>ROW()-3</f>
        <v>28</v>
      </c>
      <c r="C31" s="29" t="s">
        <v>1594</v>
      </c>
      <c r="D31" s="29" t="s">
        <v>1562</v>
      </c>
      <c r="E31" s="29" t="s">
        <v>1513</v>
      </c>
      <c r="F31" s="30" t="s">
        <v>2931</v>
      </c>
      <c r="G31" s="176">
        <v>30</v>
      </c>
      <c r="H31" s="30" t="s">
        <v>2912</v>
      </c>
      <c r="I31" s="29" t="s">
        <v>1631</v>
      </c>
      <c r="J31" s="31" t="s">
        <v>1612</v>
      </c>
      <c r="K31" s="29" t="s">
        <v>1518</v>
      </c>
      <c r="L31" s="34" t="s">
        <v>270</v>
      </c>
      <c r="M31" s="174" t="s">
        <v>2471</v>
      </c>
      <c r="N31" s="174" t="s">
        <v>2641</v>
      </c>
      <c r="O31" s="30"/>
      <c r="P31" s="175" t="str">
        <f>F31&amp;"&gt;"&amp;G31&amp;"&gt;"&amp;D31&amp;"&gt;"&amp;N31</f>
        <v>제03편 제1심 소송절차&gt;30&gt;2&gt;예상</v>
      </c>
      <c r="Q31" s="175" t="str">
        <f>H31&amp;"&gt;"&amp;I31&amp;"&gt;"&amp;D31&amp;"&gt;"&amp;N31</f>
        <v>제05장 소송 개시와 심리 대상&gt;12&gt;2&gt;예상</v>
      </c>
      <c r="R31" s="175" t="str">
        <f>H31&amp;"&gt;"&amp;J31&amp;"&gt;"&amp;K31</f>
        <v>제05장 소송 개시와 심리 대상&gt;제05절 소의 제기&gt;02</v>
      </c>
      <c r="S31" s="175" t="str">
        <f>N31&amp;"&gt;"&amp;C31&amp;"&gt;"&amp;E31</f>
        <v>예상&gt;05.05&gt;1</v>
      </c>
      <c r="T31" s="175" t="str">
        <f>N31&amp;"&gt;"&amp;C31&amp;"&gt;"&amp;D31</f>
        <v>예상&gt;05.05&gt;2</v>
      </c>
    </row>
    <row r="32" spans="2:20" ht="14.45" hidden="1" customHeight="1" x14ac:dyDescent="0.2">
      <c r="B32" s="35">
        <f>ROW()-3</f>
        <v>29</v>
      </c>
      <c r="C32" s="29" t="s">
        <v>1595</v>
      </c>
      <c r="D32" s="29" t="s">
        <v>1589</v>
      </c>
      <c r="E32" s="29" t="s">
        <v>1511</v>
      </c>
      <c r="F32" s="30" t="s">
        <v>2931</v>
      </c>
      <c r="G32" s="176">
        <v>31</v>
      </c>
      <c r="H32" s="30" t="s">
        <v>2912</v>
      </c>
      <c r="I32" s="29" t="s">
        <v>1632</v>
      </c>
      <c r="J32" s="31" t="s">
        <v>1613</v>
      </c>
      <c r="K32" s="29" t="s">
        <v>1505</v>
      </c>
      <c r="L32" s="34" t="s">
        <v>271</v>
      </c>
      <c r="M32" s="174" t="s">
        <v>2472</v>
      </c>
      <c r="N32" s="174" t="s">
        <v>2641</v>
      </c>
      <c r="O32" s="30"/>
      <c r="P32" s="175" t="str">
        <f>F32&amp;"&gt;"&amp;G32&amp;"&gt;"&amp;D32&amp;"&gt;"&amp;N32</f>
        <v>제03편 제1심 소송절차&gt;31&gt;1&gt;예상</v>
      </c>
      <c r="Q32" s="175" t="str">
        <f>H32&amp;"&gt;"&amp;I32&amp;"&gt;"&amp;D32&amp;"&gt;"&amp;N32</f>
        <v>제05장 소송 개시와 심리 대상&gt;13&gt;1&gt;예상</v>
      </c>
      <c r="R32" s="175" t="str">
        <f>H32&amp;"&gt;"&amp;J32&amp;"&gt;"&amp;K32</f>
        <v>제05장 소송 개시와 심리 대상&gt;제06절 재판장의 소장심사와 그 후의 조치&gt;01</v>
      </c>
      <c r="S32" s="175" t="str">
        <f>N32&amp;"&gt;"&amp;C32&amp;"&gt;"&amp;E32</f>
        <v>예상&gt;05.06&gt;2</v>
      </c>
      <c r="T32" s="175" t="str">
        <f>N32&amp;"&gt;"&amp;C32&amp;"&gt;"&amp;D32</f>
        <v>예상&gt;05.06&gt;1</v>
      </c>
    </row>
    <row r="33" spans="2:20" ht="14.45" hidden="1" customHeight="1" x14ac:dyDescent="0.2">
      <c r="B33" s="35">
        <f>ROW()-3</f>
        <v>30</v>
      </c>
      <c r="C33" s="29" t="s">
        <v>1595</v>
      </c>
      <c r="D33" s="29" t="s">
        <v>1562</v>
      </c>
      <c r="E33" s="29" t="s">
        <v>1513</v>
      </c>
      <c r="F33" s="30" t="s">
        <v>2931</v>
      </c>
      <c r="G33" s="176">
        <v>32</v>
      </c>
      <c r="H33" s="30" t="s">
        <v>2912</v>
      </c>
      <c r="I33" s="29" t="s">
        <v>1633</v>
      </c>
      <c r="J33" s="31" t="s">
        <v>1613</v>
      </c>
      <c r="K33" s="29" t="s">
        <v>1518</v>
      </c>
      <c r="L33" s="34" t="s">
        <v>272</v>
      </c>
      <c r="M33" s="174" t="s">
        <v>2473</v>
      </c>
      <c r="N33" s="174" t="s">
        <v>2641</v>
      </c>
      <c r="O33" s="30"/>
      <c r="P33" s="175" t="str">
        <f>F33&amp;"&gt;"&amp;G33&amp;"&gt;"&amp;D33&amp;"&gt;"&amp;N33</f>
        <v>제03편 제1심 소송절차&gt;32&gt;2&gt;예상</v>
      </c>
      <c r="Q33" s="175" t="str">
        <f>H33&amp;"&gt;"&amp;I33&amp;"&gt;"&amp;D33&amp;"&gt;"&amp;N33</f>
        <v>제05장 소송 개시와 심리 대상&gt;14&gt;2&gt;예상</v>
      </c>
      <c r="R33" s="175" t="str">
        <f>H33&amp;"&gt;"&amp;J33&amp;"&gt;"&amp;K33</f>
        <v>제05장 소송 개시와 심리 대상&gt;제06절 재판장의 소장심사와 그 후의 조치&gt;02</v>
      </c>
      <c r="S33" s="175" t="str">
        <f>N33&amp;"&gt;"&amp;C33&amp;"&gt;"&amp;E33</f>
        <v>예상&gt;05.06&gt;1</v>
      </c>
      <c r="T33" s="175" t="str">
        <f>N33&amp;"&gt;"&amp;C33&amp;"&gt;"&amp;D33</f>
        <v>예상&gt;05.06&gt;2</v>
      </c>
    </row>
    <row r="34" spans="2:20" ht="14.45" customHeight="1" x14ac:dyDescent="0.2">
      <c r="B34" s="35">
        <f>ROW()-3</f>
        <v>31</v>
      </c>
      <c r="C34" s="29" t="s">
        <v>1546</v>
      </c>
      <c r="D34" s="29" t="s">
        <v>1503</v>
      </c>
      <c r="E34" s="29" t="s">
        <v>1506</v>
      </c>
      <c r="F34" s="30" t="s">
        <v>2931</v>
      </c>
      <c r="G34" s="176">
        <v>11</v>
      </c>
      <c r="H34" s="30" t="s">
        <v>2912</v>
      </c>
      <c r="I34" s="29" t="s">
        <v>1540</v>
      </c>
      <c r="J34" s="31" t="s">
        <v>1512</v>
      </c>
      <c r="K34" s="29" t="s">
        <v>1531</v>
      </c>
      <c r="L34" s="30" t="s">
        <v>2789</v>
      </c>
      <c r="M34" s="175" t="s">
        <v>2788</v>
      </c>
      <c r="N34" s="174" t="s">
        <v>2642</v>
      </c>
      <c r="O34" s="30"/>
      <c r="P34" s="175" t="str">
        <f>F34&amp;"&gt;"&amp;G34&amp;"&gt;"&amp;D34&amp;"&gt;"&amp;N34</f>
        <v>제03편 제1심 소송절차&gt;11&gt;1-1&gt;기출</v>
      </c>
      <c r="Q34" s="175" t="str">
        <f>H34&amp;"&gt;"&amp;I34&amp;"&gt;"&amp;D34&amp;"&gt;"&amp;N34</f>
        <v>제05장 소송 개시와 심리 대상&gt;04&gt;1-1&gt;기출</v>
      </c>
      <c r="R34" s="175" t="str">
        <f>H34&amp;"&gt;"&amp;J34&amp;"&gt;"&amp;K34</f>
        <v>제05장 소송 개시와 심리 대상&gt;제03절 소의 이익&gt;03</v>
      </c>
      <c r="S34" s="175" t="str">
        <f>N34&amp;"&gt;"&amp;C34&amp;"&gt;"&amp;E34</f>
        <v>기출&gt;2018&gt;4</v>
      </c>
      <c r="T34" s="175" t="str">
        <f>N34&amp;"&gt;"&amp;C34&amp;"&gt;"&amp;D34</f>
        <v>기출&gt;2018&gt;1-1</v>
      </c>
    </row>
    <row r="35" spans="2:20" ht="14.45" customHeight="1" x14ac:dyDescent="0.2">
      <c r="B35" s="35">
        <f>ROW()-3</f>
        <v>32</v>
      </c>
      <c r="C35" s="29" t="s">
        <v>1565</v>
      </c>
      <c r="D35" s="29" t="s">
        <v>1563</v>
      </c>
      <c r="E35" s="29" t="s">
        <v>1513</v>
      </c>
      <c r="F35" s="30" t="s">
        <v>2931</v>
      </c>
      <c r="G35" s="176">
        <v>18</v>
      </c>
      <c r="H35" s="30" t="s">
        <v>2912</v>
      </c>
      <c r="I35" s="29" t="s">
        <v>1558</v>
      </c>
      <c r="J35" s="31" t="s">
        <v>1521</v>
      </c>
      <c r="K35" s="29" t="s">
        <v>1518</v>
      </c>
      <c r="L35" s="30" t="s">
        <v>2795</v>
      </c>
      <c r="M35" s="175" t="s">
        <v>2794</v>
      </c>
      <c r="N35" s="174" t="s">
        <v>2642</v>
      </c>
      <c r="O35" s="30"/>
      <c r="P35" s="175" t="str">
        <f>F35&amp;"&gt;"&amp;G35&amp;"&gt;"&amp;D35&amp;"&gt;"&amp;N35</f>
        <v>제03편 제1심 소송절차&gt;18&gt;3&gt;기출</v>
      </c>
      <c r="Q35" s="175" t="str">
        <f>H35&amp;"&gt;"&amp;I35&amp;"&gt;"&amp;D35&amp;"&gt;"&amp;N35</f>
        <v>제05장 소송 개시와 심리 대상&gt;05&gt;3&gt;기출</v>
      </c>
      <c r="R35" s="175" t="str">
        <f>H35&amp;"&gt;"&amp;J35&amp;"&gt;"&amp;K35</f>
        <v>제05장 소송 개시와 심리 대상&gt;제07절 소제기의 효과&gt;02</v>
      </c>
      <c r="S35" s="175" t="str">
        <f>N35&amp;"&gt;"&amp;C35&amp;"&gt;"&amp;E35</f>
        <v>기출&gt;2014&gt;1</v>
      </c>
      <c r="T35" s="175" t="str">
        <f>N35&amp;"&gt;"&amp;C35&amp;"&gt;"&amp;D35</f>
        <v>기출&gt;2014&gt;3</v>
      </c>
    </row>
    <row r="36" spans="2:20" ht="14.45" customHeight="1" x14ac:dyDescent="0.2">
      <c r="B36" s="35">
        <f>ROW()-3</f>
        <v>33</v>
      </c>
      <c r="C36" s="29" t="s">
        <v>1573</v>
      </c>
      <c r="D36" s="29" t="s">
        <v>1513</v>
      </c>
      <c r="E36" s="29" t="s">
        <v>1509</v>
      </c>
      <c r="F36" s="30" t="s">
        <v>2931</v>
      </c>
      <c r="G36" s="176">
        <v>20</v>
      </c>
      <c r="H36" s="30" t="s">
        <v>2912</v>
      </c>
      <c r="I36" s="29" t="s">
        <v>1568</v>
      </c>
      <c r="J36" s="31" t="s">
        <v>1574</v>
      </c>
      <c r="K36" s="29" t="s">
        <v>1505</v>
      </c>
      <c r="L36" s="30" t="s">
        <v>222</v>
      </c>
      <c r="M36" s="175" t="s">
        <v>2474</v>
      </c>
      <c r="N36" s="174" t="s">
        <v>2642</v>
      </c>
      <c r="O36" s="30"/>
      <c r="P36" s="175" t="str">
        <f>F36&amp;"&gt;"&amp;G36&amp;"&gt;"&amp;D36&amp;"&gt;"&amp;N36</f>
        <v>제03편 제1심 소송절차&gt;20&gt;1&gt;기출</v>
      </c>
      <c r="Q36" s="175" t="str">
        <f>H36&amp;"&gt;"&amp;I36&amp;"&gt;"&amp;D36&amp;"&gt;"&amp;N36</f>
        <v>제05장 소송 개시와 심리 대상&gt;06&gt;1&gt;기출</v>
      </c>
      <c r="R36" s="175" t="str">
        <f>H36&amp;"&gt;"&amp;J36&amp;"&gt;"&amp;K36</f>
        <v>제05장 소송 개시와 심리 대상&gt;제08절 채권자대위소송에 대한 주요논점&gt;01</v>
      </c>
      <c r="S36" s="175" t="str">
        <f>N36&amp;"&gt;"&amp;C36&amp;"&gt;"&amp;E36</f>
        <v>기출&gt;2012&gt;3</v>
      </c>
      <c r="T36" s="175" t="str">
        <f>N36&amp;"&gt;"&amp;C36&amp;"&gt;"&amp;D36</f>
        <v>기출&gt;2012&gt;1</v>
      </c>
    </row>
    <row r="37" spans="2:20" ht="14.45" customHeight="1" x14ac:dyDescent="0.2">
      <c r="B37" s="35">
        <f>ROW()-3</f>
        <v>34</v>
      </c>
      <c r="C37" s="29" t="s">
        <v>1515</v>
      </c>
      <c r="D37" s="29" t="s">
        <v>1509</v>
      </c>
      <c r="E37" s="29" t="s">
        <v>1513</v>
      </c>
      <c r="F37" s="30" t="s">
        <v>2931</v>
      </c>
      <c r="G37" s="187" t="s">
        <v>2935</v>
      </c>
      <c r="H37" s="30" t="s">
        <v>2870</v>
      </c>
      <c r="I37" s="29" t="s">
        <v>1505</v>
      </c>
      <c r="J37" s="31" t="s">
        <v>1519</v>
      </c>
      <c r="K37" s="29" t="s">
        <v>1505</v>
      </c>
      <c r="L37" s="30" t="s">
        <v>2822</v>
      </c>
      <c r="M37" s="175" t="s">
        <v>2821</v>
      </c>
      <c r="N37" s="174" t="s">
        <v>2642</v>
      </c>
      <c r="O37" s="30"/>
      <c r="P37" s="175" t="str">
        <f>F37&amp;"&gt;"&amp;G37&amp;"&gt;"&amp;D37&amp;"&gt;"&amp;N37</f>
        <v>제03편 제1심 소송절차&gt;04&gt;3&gt;기출</v>
      </c>
      <c r="Q37" s="175" t="str">
        <f>H37&amp;"&gt;"&amp;I37&amp;"&gt;"&amp;D37&amp;"&gt;"&amp;N37</f>
        <v>제06장 변론&gt;01&gt;3&gt;기출</v>
      </c>
      <c r="R37" s="175" t="str">
        <f>H37&amp;"&gt;"&amp;J37&amp;"&gt;"&amp;K37</f>
        <v>제06장 변론&gt;제07절 기일・기간 및 송달&gt;01</v>
      </c>
      <c r="S37" s="175" t="str">
        <f>N37&amp;"&gt;"&amp;C37&amp;"&gt;"&amp;E37</f>
        <v>기출&gt;2024&gt;1</v>
      </c>
      <c r="T37" s="175" t="str">
        <f>N37&amp;"&gt;"&amp;C37&amp;"&gt;"&amp;D37</f>
        <v>기출&gt;2024&gt;3</v>
      </c>
    </row>
    <row r="38" spans="2:20" ht="14.45" customHeight="1" x14ac:dyDescent="0.2">
      <c r="B38" s="35">
        <f>ROW()-3</f>
        <v>35</v>
      </c>
      <c r="C38" s="29" t="s">
        <v>1524</v>
      </c>
      <c r="D38" s="29" t="s">
        <v>1511</v>
      </c>
      <c r="E38" s="29" t="s">
        <v>1511</v>
      </c>
      <c r="F38" s="30" t="s">
        <v>2931</v>
      </c>
      <c r="G38" s="187" t="s">
        <v>2938</v>
      </c>
      <c r="H38" s="30" t="s">
        <v>2870</v>
      </c>
      <c r="I38" s="29" t="s">
        <v>1518</v>
      </c>
      <c r="J38" s="31" t="s">
        <v>1527</v>
      </c>
      <c r="K38" s="29" t="s">
        <v>1505</v>
      </c>
      <c r="L38" s="30" t="s">
        <v>2816</v>
      </c>
      <c r="M38" s="175" t="s">
        <v>2817</v>
      </c>
      <c r="N38" s="174" t="s">
        <v>2642</v>
      </c>
      <c r="O38" s="30"/>
      <c r="P38" s="175" t="str">
        <f>F38&amp;"&gt;"&amp;G38&amp;"&gt;"&amp;D38&amp;"&gt;"&amp;N38</f>
        <v>제03편 제1심 소송절차&gt;07&gt;2&gt;기출</v>
      </c>
      <c r="Q38" s="175" t="str">
        <f>H38&amp;"&gt;"&amp;I38&amp;"&gt;"&amp;D38&amp;"&gt;"&amp;N38</f>
        <v>제06장 변론&gt;02&gt;2&gt;기출</v>
      </c>
      <c r="R38" s="175" t="str">
        <f>H38&amp;"&gt;"&amp;J38&amp;"&gt;"&amp;K38</f>
        <v>제06장 변론&gt;제04절 변론&gt;01</v>
      </c>
      <c r="S38" s="175" t="str">
        <f>N38&amp;"&gt;"&amp;C38&amp;"&gt;"&amp;E38</f>
        <v>기출&gt;2022&gt;2</v>
      </c>
      <c r="T38" s="175" t="str">
        <f>N38&amp;"&gt;"&amp;C38&amp;"&gt;"&amp;D38</f>
        <v>기출&gt;2022&gt;2</v>
      </c>
    </row>
    <row r="39" spans="2:20" ht="14.45" customHeight="1" x14ac:dyDescent="0.2">
      <c r="B39" s="35">
        <f>ROW()-3</f>
        <v>36</v>
      </c>
      <c r="C39" s="29" t="s">
        <v>1536</v>
      </c>
      <c r="D39" s="29" t="s">
        <v>1511</v>
      </c>
      <c r="E39" s="29" t="s">
        <v>1511</v>
      </c>
      <c r="F39" s="30" t="s">
        <v>2931</v>
      </c>
      <c r="G39" s="187" t="s">
        <v>2940</v>
      </c>
      <c r="H39" s="30" t="s">
        <v>4260</v>
      </c>
      <c r="I39" s="29" t="s">
        <v>1531</v>
      </c>
      <c r="J39" s="31" t="s">
        <v>1539</v>
      </c>
      <c r="K39" s="29" t="s">
        <v>1505</v>
      </c>
      <c r="L39" s="30" t="s">
        <v>2815</v>
      </c>
      <c r="M39" s="175" t="s">
        <v>2814</v>
      </c>
      <c r="N39" s="174" t="s">
        <v>2642</v>
      </c>
      <c r="O39" s="30"/>
      <c r="P39" s="175" t="str">
        <f>F39&amp;"&gt;"&amp;G39&amp;"&gt;"&amp;D39&amp;"&gt;"&amp;N39</f>
        <v>제03편 제1심 소송절차&gt;09&gt;2&gt;기출</v>
      </c>
      <c r="Q39" s="175" t="str">
        <f>H39&amp;"&gt;"&amp;I39&amp;"&gt;"&amp;D39&amp;"&gt;"&amp;N39</f>
        <v>제06장 변론&gt;03&gt;2&gt;기출</v>
      </c>
      <c r="R39" s="175" t="str">
        <f>H39&amp;"&gt;"&amp;J39&amp;"&gt;"&amp;K39</f>
        <v>제06장 변론&gt;제02절 심리에 관한 제 원칙&gt;01</v>
      </c>
      <c r="S39" s="175" t="str">
        <f>N39&amp;"&gt;"&amp;C39&amp;"&gt;"&amp;E39</f>
        <v>기출&gt;2020&gt;2</v>
      </c>
      <c r="T39" s="175" t="str">
        <f>N39&amp;"&gt;"&amp;C39&amp;"&gt;"&amp;D39</f>
        <v>기출&gt;2020&gt;2</v>
      </c>
    </row>
    <row r="40" spans="2:20" ht="14.45" customHeight="1" x14ac:dyDescent="0.2">
      <c r="B40" s="35">
        <f>ROW()-3</f>
        <v>37</v>
      </c>
      <c r="C40" s="29" t="s">
        <v>1542</v>
      </c>
      <c r="D40" s="29" t="s">
        <v>1503</v>
      </c>
      <c r="E40" s="29" t="s">
        <v>1506</v>
      </c>
      <c r="F40" s="30" t="s">
        <v>2931</v>
      </c>
      <c r="G40" s="176">
        <v>10</v>
      </c>
      <c r="H40" s="30" t="s">
        <v>2870</v>
      </c>
      <c r="I40" s="29" t="s">
        <v>1540</v>
      </c>
      <c r="J40" s="31" t="s">
        <v>1539</v>
      </c>
      <c r="K40" s="29" t="s">
        <v>1518</v>
      </c>
      <c r="L40" s="30" t="s">
        <v>2798</v>
      </c>
      <c r="M40" s="175" t="s">
        <v>2799</v>
      </c>
      <c r="N40" s="174" t="s">
        <v>2642</v>
      </c>
      <c r="O40" s="30"/>
      <c r="P40" s="175" t="str">
        <f>F40&amp;"&gt;"&amp;G40&amp;"&gt;"&amp;D40&amp;"&gt;"&amp;N40</f>
        <v>제03편 제1심 소송절차&gt;10&gt;1-1&gt;기출</v>
      </c>
      <c r="Q40" s="175" t="str">
        <f>H40&amp;"&gt;"&amp;I40&amp;"&gt;"&amp;D40&amp;"&gt;"&amp;N40</f>
        <v>제06장 변론&gt;04&gt;1-1&gt;기출</v>
      </c>
      <c r="R40" s="175" t="str">
        <f>H40&amp;"&gt;"&amp;J40&amp;"&gt;"&amp;K40</f>
        <v>제06장 변론&gt;제02절 심리에 관한 제 원칙&gt;02</v>
      </c>
      <c r="S40" s="175" t="str">
        <f>N40&amp;"&gt;"&amp;C40&amp;"&gt;"&amp;E40</f>
        <v>기출&gt;2019&gt;4</v>
      </c>
      <c r="T40" s="175" t="str">
        <f>N40&amp;"&gt;"&amp;C40&amp;"&gt;"&amp;D40</f>
        <v>기출&gt;2019&gt;1-1</v>
      </c>
    </row>
    <row r="41" spans="2:20" ht="14.45" customHeight="1" x14ac:dyDescent="0.2">
      <c r="B41" s="35">
        <f>ROW()-3</f>
        <v>38</v>
      </c>
      <c r="C41" s="29" t="s">
        <v>1550</v>
      </c>
      <c r="D41" s="29" t="s">
        <v>1511</v>
      </c>
      <c r="E41" s="29" t="s">
        <v>1509</v>
      </c>
      <c r="F41" s="30" t="s">
        <v>2931</v>
      </c>
      <c r="G41" s="176">
        <v>13</v>
      </c>
      <c r="H41" s="30" t="s">
        <v>2870</v>
      </c>
      <c r="I41" s="29" t="s">
        <v>1558</v>
      </c>
      <c r="J41" s="31" t="s">
        <v>1553</v>
      </c>
      <c r="K41" s="29" t="s">
        <v>1505</v>
      </c>
      <c r="L41" s="30" t="s">
        <v>2818</v>
      </c>
      <c r="M41" s="175" t="s">
        <v>2819</v>
      </c>
      <c r="N41" s="174" t="s">
        <v>2642</v>
      </c>
      <c r="O41" s="30"/>
      <c r="P41" s="175" t="str">
        <f>F41&amp;"&gt;"&amp;G41&amp;"&gt;"&amp;D41&amp;"&gt;"&amp;N41</f>
        <v>제03편 제1심 소송절차&gt;13&gt;2&gt;기출</v>
      </c>
      <c r="Q41" s="175" t="str">
        <f>H41&amp;"&gt;"&amp;I41&amp;"&gt;"&amp;D41&amp;"&gt;"&amp;N41</f>
        <v>제06장 변론&gt;05&gt;2&gt;기출</v>
      </c>
      <c r="R41" s="175" t="str">
        <f>H41&amp;"&gt;"&amp;J41&amp;"&gt;"&amp;K41</f>
        <v>제06장 변론&gt;제06절 변론기일에서의 당사자의 결석&gt;01</v>
      </c>
      <c r="S41" s="175" t="str">
        <f>N41&amp;"&gt;"&amp;C41&amp;"&gt;"&amp;E41</f>
        <v>기출&gt;2017&gt;3</v>
      </c>
      <c r="T41" s="175" t="str">
        <f>N41&amp;"&gt;"&amp;C41&amp;"&gt;"&amp;D41</f>
        <v>기출&gt;2017&gt;2</v>
      </c>
    </row>
    <row r="42" spans="2:20" ht="14.45" customHeight="1" x14ac:dyDescent="0.2">
      <c r="B42" s="35">
        <f>ROW()-3</f>
        <v>39</v>
      </c>
      <c r="C42" s="29" t="s">
        <v>1554</v>
      </c>
      <c r="D42" s="29" t="s">
        <v>1511</v>
      </c>
      <c r="E42" s="29" t="s">
        <v>1511</v>
      </c>
      <c r="F42" s="30" t="s">
        <v>2931</v>
      </c>
      <c r="G42" s="176">
        <v>15</v>
      </c>
      <c r="H42" s="30" t="s">
        <v>2870</v>
      </c>
      <c r="I42" s="29" t="s">
        <v>1568</v>
      </c>
      <c r="J42" s="31" t="s">
        <v>1519</v>
      </c>
      <c r="K42" s="29" t="s">
        <v>1518</v>
      </c>
      <c r="L42" s="30" t="s">
        <v>1555</v>
      </c>
      <c r="M42" s="175" t="s">
        <v>2477</v>
      </c>
      <c r="N42" s="174" t="s">
        <v>2642</v>
      </c>
      <c r="O42" s="30"/>
      <c r="P42" s="175" t="str">
        <f>F42&amp;"&gt;"&amp;G42&amp;"&gt;"&amp;D42&amp;"&gt;"&amp;N42</f>
        <v>제03편 제1심 소송절차&gt;15&gt;2&gt;기출</v>
      </c>
      <c r="Q42" s="175" t="str">
        <f>H42&amp;"&gt;"&amp;I42&amp;"&gt;"&amp;D42&amp;"&gt;"&amp;N42</f>
        <v>제06장 변론&gt;06&gt;2&gt;기출</v>
      </c>
      <c r="R42" s="175" t="str">
        <f>H42&amp;"&gt;"&amp;J42&amp;"&gt;"&amp;K42</f>
        <v>제06장 변론&gt;제07절 기일・기간 및 송달&gt;02</v>
      </c>
      <c r="S42" s="175" t="str">
        <f>N42&amp;"&gt;"&amp;C42&amp;"&gt;"&amp;E42</f>
        <v>기출&gt;2016&gt;2</v>
      </c>
      <c r="T42" s="175" t="str">
        <f>N42&amp;"&gt;"&amp;C42&amp;"&gt;"&amp;D42</f>
        <v>기출&gt;2016&gt;2</v>
      </c>
    </row>
    <row r="43" spans="2:20" ht="14.45" customHeight="1" x14ac:dyDescent="0.2">
      <c r="B43" s="35">
        <f>ROW()-3</f>
        <v>40</v>
      </c>
      <c r="C43" s="29" t="s">
        <v>1560</v>
      </c>
      <c r="D43" s="29" t="s">
        <v>1561</v>
      </c>
      <c r="E43" s="29" t="s">
        <v>1509</v>
      </c>
      <c r="F43" s="30" t="s">
        <v>2931</v>
      </c>
      <c r="G43" s="176">
        <v>16</v>
      </c>
      <c r="H43" s="30" t="s">
        <v>2870</v>
      </c>
      <c r="I43" s="29" t="s">
        <v>1570</v>
      </c>
      <c r="J43" s="31" t="s">
        <v>1519</v>
      </c>
      <c r="K43" s="29" t="s">
        <v>1531</v>
      </c>
      <c r="L43" s="30" t="s">
        <v>2701</v>
      </c>
      <c r="M43" s="175" t="s">
        <v>2689</v>
      </c>
      <c r="N43" s="174" t="s">
        <v>2642</v>
      </c>
      <c r="O43" s="30"/>
      <c r="P43" s="175" t="str">
        <f>F43&amp;"&gt;"&amp;G43&amp;"&gt;"&amp;D43&amp;"&gt;"&amp;N43</f>
        <v>제03편 제1심 소송절차&gt;16&gt;1-2&gt;기출</v>
      </c>
      <c r="Q43" s="175" t="str">
        <f>H43&amp;"&gt;"&amp;I43&amp;"&gt;"&amp;D43&amp;"&gt;"&amp;N43</f>
        <v>제06장 변론&gt;07&gt;1-2&gt;기출</v>
      </c>
      <c r="R43" s="175" t="str">
        <f>H43&amp;"&gt;"&amp;J43&amp;"&gt;"&amp;K43</f>
        <v>제06장 변론&gt;제07절 기일・기간 및 송달&gt;03</v>
      </c>
      <c r="S43" s="175" t="str">
        <f>N43&amp;"&gt;"&amp;C43&amp;"&gt;"&amp;E43</f>
        <v>기출&gt;2015&gt;3</v>
      </c>
      <c r="T43" s="175" t="str">
        <f>N43&amp;"&gt;"&amp;C43&amp;"&gt;"&amp;D43</f>
        <v>기출&gt;2015&gt;1-2</v>
      </c>
    </row>
    <row r="44" spans="2:20" ht="14.45" customHeight="1" x14ac:dyDescent="0.2">
      <c r="B44" s="35">
        <f>ROW()-3</f>
        <v>41</v>
      </c>
      <c r="C44" s="29" t="s">
        <v>1565</v>
      </c>
      <c r="D44" s="29" t="s">
        <v>1561</v>
      </c>
      <c r="E44" s="29" t="s">
        <v>1509</v>
      </c>
      <c r="F44" s="30" t="s">
        <v>2931</v>
      </c>
      <c r="G44" s="176">
        <v>17</v>
      </c>
      <c r="H44" s="30" t="s">
        <v>2870</v>
      </c>
      <c r="I44" s="29" t="s">
        <v>1585</v>
      </c>
      <c r="J44" s="31" t="s">
        <v>1539</v>
      </c>
      <c r="K44" s="29" t="s">
        <v>1531</v>
      </c>
      <c r="L44" s="30" t="s">
        <v>2700</v>
      </c>
      <c r="M44" s="175" t="s">
        <v>2686</v>
      </c>
      <c r="N44" s="174" t="s">
        <v>2642</v>
      </c>
      <c r="O44" s="30"/>
      <c r="P44" s="175" t="str">
        <f>F44&amp;"&gt;"&amp;G44&amp;"&gt;"&amp;D44&amp;"&gt;"&amp;N44</f>
        <v>제03편 제1심 소송절차&gt;17&gt;1-2&gt;기출</v>
      </c>
      <c r="Q44" s="175" t="str">
        <f>H44&amp;"&gt;"&amp;I44&amp;"&gt;"&amp;D44&amp;"&gt;"&amp;N44</f>
        <v>제06장 변론&gt;08&gt;1-2&gt;기출</v>
      </c>
      <c r="R44" s="175" t="str">
        <f>H44&amp;"&gt;"&amp;J44&amp;"&gt;"&amp;K44</f>
        <v>제06장 변론&gt;제02절 심리에 관한 제 원칙&gt;03</v>
      </c>
      <c r="S44" s="175" t="str">
        <f>N44&amp;"&gt;"&amp;C44&amp;"&gt;"&amp;E44</f>
        <v>기출&gt;2014&gt;3</v>
      </c>
      <c r="T44" s="175" t="str">
        <f>N44&amp;"&gt;"&amp;C44&amp;"&gt;"&amp;D44</f>
        <v>기출&gt;2014&gt;1-2</v>
      </c>
    </row>
    <row r="45" spans="2:20" ht="14.45" customHeight="1" x14ac:dyDescent="0.2">
      <c r="B45" s="35">
        <f>ROW()-3</f>
        <v>42</v>
      </c>
      <c r="C45" s="29" t="s">
        <v>1575</v>
      </c>
      <c r="D45" s="29" t="s">
        <v>1511</v>
      </c>
      <c r="E45" s="29" t="s">
        <v>1511</v>
      </c>
      <c r="F45" s="30" t="s">
        <v>2931</v>
      </c>
      <c r="G45" s="176">
        <v>21</v>
      </c>
      <c r="H45" s="30" t="s">
        <v>2870</v>
      </c>
      <c r="I45" s="29" t="s">
        <v>1628</v>
      </c>
      <c r="J45" s="31" t="s">
        <v>1576</v>
      </c>
      <c r="K45" s="29" t="s">
        <v>1505</v>
      </c>
      <c r="L45" s="30" t="s">
        <v>226</v>
      </c>
      <c r="M45" s="175" t="s">
        <v>2476</v>
      </c>
      <c r="N45" s="174" t="s">
        <v>2642</v>
      </c>
      <c r="O45" s="30"/>
      <c r="P45" s="175" t="str">
        <f>F45&amp;"&gt;"&amp;G45&amp;"&gt;"&amp;D45&amp;"&gt;"&amp;N45</f>
        <v>제03편 제1심 소송절차&gt;21&gt;2&gt;기출</v>
      </c>
      <c r="Q45" s="175" t="str">
        <f>H45&amp;"&gt;"&amp;I45&amp;"&gt;"&amp;D45&amp;"&gt;"&amp;N45</f>
        <v>제06장 변론&gt;09&gt;2&gt;기출</v>
      </c>
      <c r="R45" s="175" t="str">
        <f>H45&amp;"&gt;"&amp;J45&amp;"&gt;"&amp;K45</f>
        <v>제06장 변론&gt;제03절 변론의 준비&gt;01</v>
      </c>
      <c r="S45" s="175" t="str">
        <f>N45&amp;"&gt;"&amp;C45&amp;"&gt;"&amp;E45</f>
        <v>기출&gt;2012&gt;2</v>
      </c>
      <c r="T45" s="175" t="str">
        <f>N45&amp;"&gt;"&amp;C45&amp;"&gt;"&amp;D45</f>
        <v>기출&gt;2012&gt;2</v>
      </c>
    </row>
    <row r="46" spans="2:20" ht="14.45" customHeight="1" x14ac:dyDescent="0.2">
      <c r="B46" s="35">
        <f>ROW()-3</f>
        <v>43</v>
      </c>
      <c r="C46" s="29" t="s">
        <v>1577</v>
      </c>
      <c r="D46" s="29" t="s">
        <v>1513</v>
      </c>
      <c r="E46" s="29" t="s">
        <v>1509</v>
      </c>
      <c r="F46" s="30" t="s">
        <v>2931</v>
      </c>
      <c r="G46" s="176">
        <v>22</v>
      </c>
      <c r="H46" s="30" t="s">
        <v>2870</v>
      </c>
      <c r="I46" s="29" t="s">
        <v>1629</v>
      </c>
      <c r="J46" s="31" t="s">
        <v>1539</v>
      </c>
      <c r="K46" s="29" t="s">
        <v>1540</v>
      </c>
      <c r="L46" s="30" t="s">
        <v>1578</v>
      </c>
      <c r="M46" s="175" t="s">
        <v>2475</v>
      </c>
      <c r="N46" s="174" t="s">
        <v>2642</v>
      </c>
      <c r="O46" s="30"/>
      <c r="P46" s="175" t="str">
        <f>F46&amp;"&gt;"&amp;G46&amp;"&gt;"&amp;D46&amp;"&gt;"&amp;N46</f>
        <v>제03편 제1심 소송절차&gt;22&gt;1&gt;기출</v>
      </c>
      <c r="Q46" s="175" t="str">
        <f>H46&amp;"&gt;"&amp;I46&amp;"&gt;"&amp;D46&amp;"&gt;"&amp;N46</f>
        <v>제06장 변론&gt;10&gt;1&gt;기출</v>
      </c>
      <c r="R46" s="175" t="str">
        <f>H46&amp;"&gt;"&amp;J46&amp;"&gt;"&amp;K46</f>
        <v>제06장 변론&gt;제02절 심리에 관한 제 원칙&gt;04</v>
      </c>
      <c r="S46" s="175" t="str">
        <f>N46&amp;"&gt;"&amp;C46&amp;"&gt;"&amp;E46</f>
        <v>기출&gt;2011&gt;3</v>
      </c>
      <c r="T46" s="175" t="str">
        <f>N46&amp;"&gt;"&amp;C46&amp;"&gt;"&amp;D46</f>
        <v>기출&gt;2011&gt;1</v>
      </c>
    </row>
    <row r="47" spans="2:20" ht="14.45" hidden="1" customHeight="1" x14ac:dyDescent="0.2">
      <c r="B47" s="35">
        <f>ROW()-3</f>
        <v>44</v>
      </c>
      <c r="C47" s="29" t="s">
        <v>1596</v>
      </c>
      <c r="D47" s="29" t="s">
        <v>1589</v>
      </c>
      <c r="E47" s="29" t="s">
        <v>1511</v>
      </c>
      <c r="F47" s="30" t="s">
        <v>2931</v>
      </c>
      <c r="G47" s="176">
        <v>33</v>
      </c>
      <c r="H47" s="30" t="s">
        <v>2870</v>
      </c>
      <c r="I47" s="29" t="s">
        <v>1630</v>
      </c>
      <c r="J47" s="31" t="s">
        <v>1614</v>
      </c>
      <c r="K47" s="29" t="s">
        <v>1505</v>
      </c>
      <c r="L47" s="34" t="s">
        <v>273</v>
      </c>
      <c r="M47" s="174" t="s">
        <v>2478</v>
      </c>
      <c r="N47" s="174" t="s">
        <v>2641</v>
      </c>
      <c r="O47" s="30"/>
      <c r="P47" s="175" t="str">
        <f>F47&amp;"&gt;"&amp;G47&amp;"&gt;"&amp;D47&amp;"&gt;"&amp;N47</f>
        <v>제03편 제1심 소송절차&gt;33&gt;1&gt;예상</v>
      </c>
      <c r="Q47" s="175" t="str">
        <f>H47&amp;"&gt;"&amp;I47&amp;"&gt;"&amp;D47&amp;"&gt;"&amp;N47</f>
        <v>제06장 변론&gt;11&gt;1&gt;예상</v>
      </c>
      <c r="R47" s="175" t="str">
        <f>H47&amp;"&gt;"&amp;J47&amp;"&gt;"&amp;K47</f>
        <v>제06장 변론&gt;제08절 소송절차의 정지&gt;01</v>
      </c>
      <c r="S47" s="175" t="str">
        <f>N47&amp;"&gt;"&amp;C47&amp;"&gt;"&amp;E47</f>
        <v>예상&gt;06.08&gt;2</v>
      </c>
      <c r="T47" s="175" t="str">
        <f>N47&amp;"&gt;"&amp;C47&amp;"&gt;"&amp;D47</f>
        <v>예상&gt;06.08&gt;1</v>
      </c>
    </row>
    <row r="48" spans="2:20" ht="14.45" hidden="1" customHeight="1" x14ac:dyDescent="0.2">
      <c r="B48" s="35">
        <f>ROW()-3</f>
        <v>45</v>
      </c>
      <c r="C48" s="29" t="s">
        <v>1596</v>
      </c>
      <c r="D48" s="29" t="s">
        <v>1562</v>
      </c>
      <c r="E48" s="29" t="s">
        <v>1513</v>
      </c>
      <c r="F48" s="30" t="s">
        <v>2931</v>
      </c>
      <c r="G48" s="176">
        <v>34</v>
      </c>
      <c r="H48" s="30" t="s">
        <v>2870</v>
      </c>
      <c r="I48" s="29" t="s">
        <v>1631</v>
      </c>
      <c r="J48" s="31" t="s">
        <v>1614</v>
      </c>
      <c r="K48" s="29" t="s">
        <v>1518</v>
      </c>
      <c r="L48" s="34" t="s">
        <v>274</v>
      </c>
      <c r="M48" s="174" t="s">
        <v>2479</v>
      </c>
      <c r="N48" s="174" t="s">
        <v>2641</v>
      </c>
      <c r="O48" s="30"/>
      <c r="P48" s="175" t="str">
        <f>F48&amp;"&gt;"&amp;G48&amp;"&gt;"&amp;D48&amp;"&gt;"&amp;N48</f>
        <v>제03편 제1심 소송절차&gt;34&gt;2&gt;예상</v>
      </c>
      <c r="Q48" s="175" t="str">
        <f>H48&amp;"&gt;"&amp;I48&amp;"&gt;"&amp;D48&amp;"&gt;"&amp;N48</f>
        <v>제06장 변론&gt;12&gt;2&gt;예상</v>
      </c>
      <c r="R48" s="175" t="str">
        <f>H48&amp;"&gt;"&amp;J48&amp;"&gt;"&amp;K48</f>
        <v>제06장 변론&gt;제08절 소송절차의 정지&gt;02</v>
      </c>
      <c r="S48" s="175" t="str">
        <f>N48&amp;"&gt;"&amp;C48&amp;"&gt;"&amp;E48</f>
        <v>예상&gt;06.08&gt;1</v>
      </c>
      <c r="T48" s="175" t="str">
        <f>N48&amp;"&gt;"&amp;C48&amp;"&gt;"&amp;D48</f>
        <v>예상&gt;06.08&gt;2</v>
      </c>
    </row>
    <row r="49" spans="2:20" ht="14.45" customHeight="1" x14ac:dyDescent="0.2">
      <c r="B49" s="35">
        <f>ROW()-3</f>
        <v>46</v>
      </c>
      <c r="C49" s="29" t="s">
        <v>1502</v>
      </c>
      <c r="D49" s="29" t="s">
        <v>1503</v>
      </c>
      <c r="E49" s="29" t="s">
        <v>1504</v>
      </c>
      <c r="F49" s="30" t="s">
        <v>2931</v>
      </c>
      <c r="G49" s="187" t="s">
        <v>2932</v>
      </c>
      <c r="H49" s="30" t="s">
        <v>4261</v>
      </c>
      <c r="I49" s="29" t="s">
        <v>1505</v>
      </c>
      <c r="J49" s="31" t="s">
        <v>1962</v>
      </c>
      <c r="K49" s="29" t="s">
        <v>1505</v>
      </c>
      <c r="L49" s="30" t="s">
        <v>2807</v>
      </c>
      <c r="M49" s="175" t="s">
        <v>2809</v>
      </c>
      <c r="N49" s="174" t="s">
        <v>2642</v>
      </c>
      <c r="O49" s="30"/>
      <c r="P49" s="175" t="str">
        <f>F49&amp;"&gt;"&amp;G49&amp;"&gt;"&amp;D49&amp;"&gt;"&amp;N49</f>
        <v>제03편 제1심 소송절차&gt;02&gt;1-1&gt;기출</v>
      </c>
      <c r="Q49" s="175" t="str">
        <f>H49&amp;"&gt;"&amp;I49&amp;"&gt;"&amp;D49&amp;"&gt;"&amp;N49</f>
        <v>제07장 증거&gt;01&gt;1-1&gt;기출</v>
      </c>
      <c r="R49" s="175" t="str">
        <f>H49&amp;"&gt;"&amp;J49&amp;"&gt;"&amp;K49</f>
        <v>제07장 증거&gt;제01절 증거의 총설&gt;01</v>
      </c>
      <c r="S49" s="175" t="str">
        <f>N49&amp;"&gt;"&amp;C49&amp;"&gt;"&amp;E49</f>
        <v>기출&gt;2025&gt;5</v>
      </c>
      <c r="T49" s="175" t="str">
        <f>N49&amp;"&gt;"&amp;C49&amp;"&gt;"&amp;D49</f>
        <v>기출&gt;2025&gt;1-1</v>
      </c>
    </row>
    <row r="50" spans="2:20" ht="14.45" hidden="1" customHeight="1" x14ac:dyDescent="0.2">
      <c r="B50" s="35">
        <f>ROW()-3</f>
        <v>47</v>
      </c>
      <c r="C50" s="29" t="s">
        <v>1597</v>
      </c>
      <c r="D50" s="29" t="s">
        <v>1589</v>
      </c>
      <c r="E50" s="29" t="s">
        <v>1511</v>
      </c>
      <c r="F50" s="30" t="s">
        <v>2931</v>
      </c>
      <c r="G50" s="176">
        <v>35</v>
      </c>
      <c r="H50" s="30" t="s">
        <v>2872</v>
      </c>
      <c r="I50" s="29" t="s">
        <v>1628</v>
      </c>
      <c r="J50" s="31" t="s">
        <v>1615</v>
      </c>
      <c r="K50" s="29" t="s">
        <v>1505</v>
      </c>
      <c r="L50" s="34" t="s">
        <v>275</v>
      </c>
      <c r="M50" s="174" t="s">
        <v>2480</v>
      </c>
      <c r="N50" s="174" t="s">
        <v>2641</v>
      </c>
      <c r="O50" s="30"/>
      <c r="P50" s="175" t="str">
        <f>F50&amp;"&gt;"&amp;G50&amp;"&gt;"&amp;D50&amp;"&gt;"&amp;N50</f>
        <v>제03편 제1심 소송절차&gt;35&gt;1&gt;예상</v>
      </c>
      <c r="Q50" s="175" t="str">
        <f>H50&amp;"&gt;"&amp;I50&amp;"&gt;"&amp;D50&amp;"&gt;"&amp;N50</f>
        <v>제07장 증거&gt;09&gt;1&gt;예상</v>
      </c>
      <c r="R50" s="175" t="str">
        <f>H50&amp;"&gt;"&amp;J50&amp;"&gt;"&amp;K50</f>
        <v>제07장 증거&gt;제02절 증명의 대상&gt;01</v>
      </c>
      <c r="S50" s="175" t="str">
        <f>N50&amp;"&gt;"&amp;C50&amp;"&gt;"&amp;E50</f>
        <v>예상&gt;07.02&gt;2</v>
      </c>
      <c r="T50" s="175" t="str">
        <f>N50&amp;"&gt;"&amp;C50&amp;"&gt;"&amp;D50</f>
        <v>예상&gt;07.02&gt;1</v>
      </c>
    </row>
    <row r="51" spans="2:20" ht="14.45" hidden="1" customHeight="1" x14ac:dyDescent="0.2">
      <c r="B51" s="35">
        <f>ROW()-3</f>
        <v>48</v>
      </c>
      <c r="C51" s="29" t="s">
        <v>1597</v>
      </c>
      <c r="D51" s="29" t="s">
        <v>1562</v>
      </c>
      <c r="E51" s="29" t="s">
        <v>1513</v>
      </c>
      <c r="F51" s="30" t="s">
        <v>2931</v>
      </c>
      <c r="G51" s="176">
        <v>36</v>
      </c>
      <c r="H51" s="30" t="s">
        <v>2872</v>
      </c>
      <c r="I51" s="29" t="s">
        <v>1629</v>
      </c>
      <c r="J51" s="31" t="s">
        <v>1615</v>
      </c>
      <c r="K51" s="29" t="s">
        <v>1518</v>
      </c>
      <c r="L51" s="34" t="s">
        <v>276</v>
      </c>
      <c r="M51" s="174" t="s">
        <v>2481</v>
      </c>
      <c r="N51" s="174" t="s">
        <v>2641</v>
      </c>
      <c r="O51" s="30"/>
      <c r="P51" s="175" t="str">
        <f>F51&amp;"&gt;"&amp;G51&amp;"&gt;"&amp;D51&amp;"&gt;"&amp;N51</f>
        <v>제03편 제1심 소송절차&gt;36&gt;2&gt;예상</v>
      </c>
      <c r="Q51" s="175" t="str">
        <f>H51&amp;"&gt;"&amp;I51&amp;"&gt;"&amp;D51&amp;"&gt;"&amp;N51</f>
        <v>제07장 증거&gt;10&gt;2&gt;예상</v>
      </c>
      <c r="R51" s="175" t="str">
        <f>H51&amp;"&gt;"&amp;J51&amp;"&gt;"&amp;K51</f>
        <v>제07장 증거&gt;제02절 증명의 대상&gt;02</v>
      </c>
      <c r="S51" s="175" t="str">
        <f>N51&amp;"&gt;"&amp;C51&amp;"&gt;"&amp;E51</f>
        <v>예상&gt;07.02&gt;1</v>
      </c>
      <c r="T51" s="175" t="str">
        <f>N51&amp;"&gt;"&amp;C51&amp;"&gt;"&amp;D51</f>
        <v>예상&gt;07.02&gt;2</v>
      </c>
    </row>
    <row r="52" spans="2:20" ht="14.45" customHeight="1" x14ac:dyDescent="0.2">
      <c r="B52" s="35">
        <f>ROW()-3</f>
        <v>49</v>
      </c>
      <c r="C52" s="29" t="s">
        <v>1502</v>
      </c>
      <c r="D52" s="29" t="s">
        <v>1503</v>
      </c>
      <c r="E52" s="29" t="s">
        <v>1506</v>
      </c>
      <c r="F52" s="30" t="s">
        <v>2931</v>
      </c>
      <c r="G52" s="187" t="s">
        <v>2933</v>
      </c>
      <c r="H52" s="30" t="s">
        <v>2872</v>
      </c>
      <c r="I52" s="29" t="s">
        <v>1518</v>
      </c>
      <c r="J52" s="31" t="s">
        <v>1507</v>
      </c>
      <c r="K52" s="29" t="s">
        <v>1505</v>
      </c>
      <c r="L52" s="30" t="s">
        <v>2807</v>
      </c>
      <c r="M52" s="175" t="s">
        <v>2809</v>
      </c>
      <c r="N52" s="174" t="s">
        <v>2642</v>
      </c>
      <c r="O52" s="30"/>
      <c r="P52" s="175" t="str">
        <f>F52&amp;"&gt;"&amp;G52&amp;"&gt;"&amp;D52&amp;"&gt;"&amp;N52</f>
        <v>제03편 제1심 소송절차&gt;03&gt;1-1&gt;기출</v>
      </c>
      <c r="Q52" s="175" t="str">
        <f>H52&amp;"&gt;"&amp;I52&amp;"&gt;"&amp;D52&amp;"&gt;"&amp;N52</f>
        <v>제07장 증거&gt;02&gt;1-1&gt;기출</v>
      </c>
      <c r="R52" s="175" t="str">
        <f>H52&amp;"&gt;"&amp;J52&amp;"&gt;"&amp;K52</f>
        <v>제07장 증거&gt;제06절 증명책임&gt;01</v>
      </c>
      <c r="S52" s="175" t="str">
        <f>N52&amp;"&gt;"&amp;C52&amp;"&gt;"&amp;E52</f>
        <v>기출&gt;2025&gt;4</v>
      </c>
      <c r="T52" s="175" t="str">
        <f>N52&amp;"&gt;"&amp;C52&amp;"&gt;"&amp;D52</f>
        <v>기출&gt;2025&gt;1-1</v>
      </c>
    </row>
    <row r="53" spans="2:20" ht="14.45" customHeight="1" x14ac:dyDescent="0.2">
      <c r="B53" s="35">
        <f>ROW()-3</f>
        <v>50</v>
      </c>
      <c r="C53" s="29" t="s">
        <v>1528</v>
      </c>
      <c r="D53" s="29" t="s">
        <v>1503</v>
      </c>
      <c r="E53" s="29" t="s">
        <v>1506</v>
      </c>
      <c r="F53" s="30" t="s">
        <v>2931</v>
      </c>
      <c r="G53" s="187" t="s">
        <v>2939</v>
      </c>
      <c r="H53" s="30" t="s">
        <v>2872</v>
      </c>
      <c r="I53" s="29" t="s">
        <v>1531</v>
      </c>
      <c r="J53" s="31" t="s">
        <v>1529</v>
      </c>
      <c r="K53" s="29" t="s">
        <v>1505</v>
      </c>
      <c r="L53" s="30" t="s">
        <v>1530</v>
      </c>
      <c r="M53" s="175" t="s">
        <v>2482</v>
      </c>
      <c r="N53" s="174" t="s">
        <v>2642</v>
      </c>
      <c r="O53" s="30"/>
      <c r="P53" s="175" t="str">
        <f>F53&amp;"&gt;"&amp;G53&amp;"&gt;"&amp;D53&amp;"&gt;"&amp;N53</f>
        <v>제03편 제1심 소송절차&gt;08&gt;1-1&gt;기출</v>
      </c>
      <c r="Q53" s="175" t="str">
        <f>H53&amp;"&gt;"&amp;I53&amp;"&gt;"&amp;D53&amp;"&gt;"&amp;N53</f>
        <v>제07장 증거&gt;03&gt;1-1&gt;기출</v>
      </c>
      <c r="R53" s="175" t="str">
        <f>H53&amp;"&gt;"&amp;J53&amp;"&gt;"&amp;K53</f>
        <v>제07장 증거&gt;제03절 불요증사실&gt;01</v>
      </c>
      <c r="S53" s="175" t="str">
        <f>N53&amp;"&gt;"&amp;C53&amp;"&gt;"&amp;E53</f>
        <v>기출&gt;2021&gt;4</v>
      </c>
      <c r="T53" s="175" t="str">
        <f>N53&amp;"&gt;"&amp;C53&amp;"&gt;"&amp;D53</f>
        <v>기출&gt;2021&gt;1-1</v>
      </c>
    </row>
    <row r="54" spans="2:20" ht="14.45" customHeight="1" x14ac:dyDescent="0.2">
      <c r="B54" s="35">
        <f>ROW()-3</f>
        <v>51</v>
      </c>
      <c r="C54" s="29" t="s">
        <v>1546</v>
      </c>
      <c r="D54" s="29" t="s">
        <v>1509</v>
      </c>
      <c r="E54" s="29" t="s">
        <v>1513</v>
      </c>
      <c r="F54" s="30" t="s">
        <v>2931</v>
      </c>
      <c r="G54" s="176">
        <v>12</v>
      </c>
      <c r="H54" s="30" t="s">
        <v>2872</v>
      </c>
      <c r="I54" s="29" t="s">
        <v>1540</v>
      </c>
      <c r="J54" s="31" t="s">
        <v>1549</v>
      </c>
      <c r="K54" s="29" t="s">
        <v>1505</v>
      </c>
      <c r="L54" s="30" t="s">
        <v>2826</v>
      </c>
      <c r="M54" s="175" t="s">
        <v>2825</v>
      </c>
      <c r="N54" s="174" t="s">
        <v>2642</v>
      </c>
      <c r="O54" s="30"/>
      <c r="P54" s="175" t="str">
        <f>F54&amp;"&gt;"&amp;G54&amp;"&gt;"&amp;D54&amp;"&gt;"&amp;N54</f>
        <v>제03편 제1심 소송절차&gt;12&gt;3&gt;기출</v>
      </c>
      <c r="Q54" s="175" t="str">
        <f>H54&amp;"&gt;"&amp;I54&amp;"&gt;"&amp;D54&amp;"&gt;"&amp;N54</f>
        <v>제07장 증거&gt;04&gt;3&gt;기출</v>
      </c>
      <c r="R54" s="175" t="str">
        <f>H54&amp;"&gt;"&amp;J54&amp;"&gt;"&amp;K54</f>
        <v>제07장 증거&gt;제04절 증거조사의 개시와 실시&gt;01</v>
      </c>
      <c r="S54" s="175" t="str">
        <f>N54&amp;"&gt;"&amp;C54&amp;"&gt;"&amp;E54</f>
        <v>기출&gt;2018&gt;1</v>
      </c>
      <c r="T54" s="175" t="str">
        <f>N54&amp;"&gt;"&amp;C54&amp;"&gt;"&amp;D54</f>
        <v>기출&gt;2018&gt;3</v>
      </c>
    </row>
    <row r="55" spans="2:20" ht="14.45" customHeight="1" x14ac:dyDescent="0.2">
      <c r="B55" s="35">
        <f>ROW()-3</f>
        <v>52</v>
      </c>
      <c r="C55" s="29" t="s">
        <v>1550</v>
      </c>
      <c r="D55" s="29" t="s">
        <v>1511</v>
      </c>
      <c r="E55" s="29" t="s">
        <v>1511</v>
      </c>
      <c r="F55" s="30" t="s">
        <v>2931</v>
      </c>
      <c r="G55" s="176">
        <v>14</v>
      </c>
      <c r="H55" s="30" t="s">
        <v>2872</v>
      </c>
      <c r="I55" s="29" t="s">
        <v>1558</v>
      </c>
      <c r="J55" s="31" t="s">
        <v>1529</v>
      </c>
      <c r="K55" s="29" t="s">
        <v>1518</v>
      </c>
      <c r="L55" s="30" t="s">
        <v>2818</v>
      </c>
      <c r="M55" s="175" t="s">
        <v>2819</v>
      </c>
      <c r="N55" s="174" t="s">
        <v>2642</v>
      </c>
      <c r="O55" s="30"/>
      <c r="P55" s="175" t="str">
        <f>F55&amp;"&gt;"&amp;G55&amp;"&gt;"&amp;D55&amp;"&gt;"&amp;N55</f>
        <v>제03편 제1심 소송절차&gt;14&gt;2&gt;기출</v>
      </c>
      <c r="Q55" s="175" t="str">
        <f>H55&amp;"&gt;"&amp;I55&amp;"&gt;"&amp;D55&amp;"&gt;"&amp;N55</f>
        <v>제07장 증거&gt;05&gt;2&gt;기출</v>
      </c>
      <c r="R55" s="175" t="str">
        <f>H55&amp;"&gt;"&amp;J55&amp;"&gt;"&amp;K55</f>
        <v>제07장 증거&gt;제03절 불요증사실&gt;02</v>
      </c>
      <c r="S55" s="175" t="str">
        <f>N55&amp;"&gt;"&amp;C55&amp;"&gt;"&amp;E55</f>
        <v>기출&gt;2017&gt;2</v>
      </c>
      <c r="T55" s="175" t="str">
        <f>N55&amp;"&gt;"&amp;C55&amp;"&gt;"&amp;D55</f>
        <v>기출&gt;2017&gt;2</v>
      </c>
    </row>
    <row r="56" spans="2:20" ht="14.45" customHeight="1" x14ac:dyDescent="0.2">
      <c r="B56" s="35">
        <f>ROW()-3</f>
        <v>53</v>
      </c>
      <c r="C56" s="29" t="s">
        <v>1569</v>
      </c>
      <c r="D56" s="29" t="s">
        <v>1563</v>
      </c>
      <c r="E56" s="29" t="s">
        <v>1513</v>
      </c>
      <c r="F56" s="30" t="s">
        <v>2931</v>
      </c>
      <c r="G56" s="176">
        <v>19</v>
      </c>
      <c r="H56" s="30" t="s">
        <v>2872</v>
      </c>
      <c r="I56" s="29" t="s">
        <v>1568</v>
      </c>
      <c r="J56" s="31" t="s">
        <v>1549</v>
      </c>
      <c r="K56" s="29" t="s">
        <v>1518</v>
      </c>
      <c r="L56" s="30" t="s">
        <v>2829</v>
      </c>
      <c r="M56" s="175" t="s">
        <v>2828</v>
      </c>
      <c r="N56" s="174" t="s">
        <v>2642</v>
      </c>
      <c r="O56" s="30"/>
      <c r="P56" s="175" t="str">
        <f>F56&amp;"&gt;"&amp;G56&amp;"&gt;"&amp;D56&amp;"&gt;"&amp;N56</f>
        <v>제03편 제1심 소송절차&gt;19&gt;3&gt;기출</v>
      </c>
      <c r="Q56" s="175" t="str">
        <f>H56&amp;"&gt;"&amp;I56&amp;"&gt;"&amp;D56&amp;"&gt;"&amp;N56</f>
        <v>제07장 증거&gt;06&gt;3&gt;기출</v>
      </c>
      <c r="R56" s="175" t="str">
        <f>H56&amp;"&gt;"&amp;J56&amp;"&gt;"&amp;K56</f>
        <v>제07장 증거&gt;제04절 증거조사의 개시와 실시&gt;02</v>
      </c>
      <c r="S56" s="175" t="str">
        <f>N56&amp;"&gt;"&amp;C56&amp;"&gt;"&amp;E56</f>
        <v>기출&gt;2013&gt;1</v>
      </c>
      <c r="T56" s="175" t="str">
        <f>N56&amp;"&gt;"&amp;C56&amp;"&gt;"&amp;D56</f>
        <v>기출&gt;2013&gt;3</v>
      </c>
    </row>
    <row r="57" spans="2:20" ht="14.45" customHeight="1" x14ac:dyDescent="0.2">
      <c r="B57" s="35">
        <f>ROW()-3</f>
        <v>54</v>
      </c>
      <c r="C57" s="29" t="s">
        <v>1577</v>
      </c>
      <c r="D57" s="29" t="s">
        <v>1581</v>
      </c>
      <c r="E57" s="29" t="s">
        <v>1513</v>
      </c>
      <c r="F57" s="30" t="s">
        <v>2931</v>
      </c>
      <c r="G57" s="176">
        <v>23</v>
      </c>
      <c r="H57" s="30" t="s">
        <v>2872</v>
      </c>
      <c r="I57" s="29" t="s">
        <v>1570</v>
      </c>
      <c r="J57" s="31" t="s">
        <v>1529</v>
      </c>
      <c r="K57" s="29" t="s">
        <v>1531</v>
      </c>
      <c r="L57" s="30" t="s">
        <v>1582</v>
      </c>
      <c r="M57" s="175" t="s">
        <v>2483</v>
      </c>
      <c r="N57" s="174" t="s">
        <v>2642</v>
      </c>
      <c r="O57" s="30"/>
      <c r="P57" s="175" t="str">
        <f>F57&amp;"&gt;"&amp;G57&amp;"&gt;"&amp;D57&amp;"&gt;"&amp;N57</f>
        <v>제03편 제1심 소송절차&gt;23&gt;2-2&gt;기출</v>
      </c>
      <c r="Q57" s="175" t="str">
        <f>H57&amp;"&gt;"&amp;I57&amp;"&gt;"&amp;D57&amp;"&gt;"&amp;N57</f>
        <v>제07장 증거&gt;07&gt;2-2&gt;기출</v>
      </c>
      <c r="R57" s="175" t="str">
        <f>H57&amp;"&gt;"&amp;J57&amp;"&gt;"&amp;K57</f>
        <v>제07장 증거&gt;제03절 불요증사실&gt;03</v>
      </c>
      <c r="S57" s="175" t="str">
        <f>N57&amp;"&gt;"&amp;C57&amp;"&gt;"&amp;E57</f>
        <v>기출&gt;2011&gt;1</v>
      </c>
      <c r="T57" s="175" t="str">
        <f>N57&amp;"&gt;"&amp;C57&amp;"&gt;"&amp;D57</f>
        <v>기출&gt;2011&gt;2-2</v>
      </c>
    </row>
    <row r="58" spans="2:20" ht="14.45" customHeight="1" x14ac:dyDescent="0.2">
      <c r="B58" s="35">
        <f>ROW()-3</f>
        <v>55</v>
      </c>
      <c r="C58" s="29" t="s">
        <v>1583</v>
      </c>
      <c r="D58" s="29" t="s">
        <v>1513</v>
      </c>
      <c r="E58" s="29" t="s">
        <v>1509</v>
      </c>
      <c r="F58" s="30" t="s">
        <v>2931</v>
      </c>
      <c r="G58" s="176">
        <v>24</v>
      </c>
      <c r="H58" s="30" t="s">
        <v>2872</v>
      </c>
      <c r="I58" s="29" t="s">
        <v>1585</v>
      </c>
      <c r="J58" s="31" t="s">
        <v>1584</v>
      </c>
      <c r="K58" s="29" t="s">
        <v>1505</v>
      </c>
      <c r="L58" s="30" t="s">
        <v>236</v>
      </c>
      <c r="M58" s="175" t="s">
        <v>2484</v>
      </c>
      <c r="N58" s="174" t="s">
        <v>2642</v>
      </c>
      <c r="O58" s="30"/>
      <c r="P58" s="175" t="str">
        <f>F58&amp;"&gt;"&amp;G58&amp;"&gt;"&amp;D58&amp;"&gt;"&amp;N58</f>
        <v>제03편 제1심 소송절차&gt;24&gt;1&gt;기출</v>
      </c>
      <c r="Q58" s="175" t="str">
        <f>H58&amp;"&gt;"&amp;I58&amp;"&gt;"&amp;D58&amp;"&gt;"&amp;N58</f>
        <v>제07장 증거&gt;08&gt;1&gt;기출</v>
      </c>
      <c r="R58" s="175" t="str">
        <f>H58&amp;"&gt;"&amp;J58&amp;"&gt;"&amp;K58</f>
        <v>제07장 증거&gt;제05절 자유심증주의&gt;01</v>
      </c>
      <c r="S58" s="175" t="str">
        <f>N58&amp;"&gt;"&amp;C58&amp;"&gt;"&amp;E58</f>
        <v>기출&gt;2010&gt;3</v>
      </c>
      <c r="T58" s="175" t="str">
        <f>N58&amp;"&gt;"&amp;C58&amp;"&gt;"&amp;D58</f>
        <v>기출&gt;2010&gt;1</v>
      </c>
    </row>
    <row r="59" spans="2:20" ht="14.45" customHeight="1" x14ac:dyDescent="0.2">
      <c r="B59" s="35">
        <f>ROW()-3</f>
        <v>56</v>
      </c>
      <c r="C59" s="29" t="s">
        <v>1502</v>
      </c>
      <c r="D59" s="29" t="s">
        <v>1509</v>
      </c>
      <c r="E59" s="29" t="s">
        <v>1513</v>
      </c>
      <c r="F59" s="30" t="s">
        <v>2879</v>
      </c>
      <c r="G59" s="176" t="s">
        <v>2914</v>
      </c>
      <c r="H59" s="30" t="s">
        <v>4262</v>
      </c>
      <c r="I59" s="29" t="s">
        <v>1505</v>
      </c>
      <c r="J59" s="31" t="s">
        <v>1514</v>
      </c>
      <c r="K59" s="29" t="s">
        <v>1505</v>
      </c>
      <c r="L59" s="30" t="s">
        <v>2832</v>
      </c>
      <c r="M59" s="175" t="s">
        <v>2831</v>
      </c>
      <c r="N59" s="174" t="s">
        <v>2642</v>
      </c>
      <c r="O59" s="30"/>
      <c r="P59" s="175" t="str">
        <f>F59&amp;"&gt;"&amp;G59&amp;"&gt;"&amp;D59&amp;"&gt;"&amp;N59</f>
        <v>제04편 소송의 종료&gt;01&gt;3&gt;기출</v>
      </c>
      <c r="Q59" s="175" t="str">
        <f>H59&amp;"&gt;"&amp;I59&amp;"&gt;"&amp;D59&amp;"&gt;"&amp;N59</f>
        <v>제09장 당사자 행위에 의한 종료&gt;01&gt;3&gt;기출</v>
      </c>
      <c r="R59" s="175" t="str">
        <f>H59&amp;"&gt;"&amp;J59&amp;"&gt;"&amp;K59</f>
        <v>제09장 당사자 행위에 의한 종료&gt;제01절 소의 취하와 재소금지&gt;01</v>
      </c>
      <c r="S59" s="175" t="str">
        <f>N59&amp;"&gt;"&amp;C59&amp;"&gt;"&amp;E59</f>
        <v>기출&gt;2025&gt;1</v>
      </c>
      <c r="T59" s="175" t="str">
        <f>N59&amp;"&gt;"&amp;C59&amp;"&gt;"&amp;D59</f>
        <v>기출&gt;2025&gt;3</v>
      </c>
    </row>
    <row r="60" spans="2:20" ht="14.45" customHeight="1" x14ac:dyDescent="0.2">
      <c r="B60" s="35">
        <f>ROW()-3</f>
        <v>57</v>
      </c>
      <c r="C60" s="29" t="s">
        <v>1515</v>
      </c>
      <c r="D60" s="29" t="s">
        <v>1511</v>
      </c>
      <c r="E60" s="29" t="s">
        <v>1511</v>
      </c>
      <c r="F60" s="30" t="s">
        <v>2879</v>
      </c>
      <c r="G60" s="176" t="s">
        <v>2915</v>
      </c>
      <c r="H60" s="30" t="s">
        <v>2893</v>
      </c>
      <c r="I60" s="29" t="s">
        <v>1518</v>
      </c>
      <c r="J60" s="31" t="s">
        <v>1514</v>
      </c>
      <c r="K60" s="29" t="s">
        <v>1518</v>
      </c>
      <c r="L60" s="30" t="s">
        <v>2835</v>
      </c>
      <c r="M60" s="175" t="s">
        <v>2485</v>
      </c>
      <c r="N60" s="174" t="s">
        <v>2642</v>
      </c>
      <c r="O60" s="30"/>
      <c r="P60" s="175" t="str">
        <f>F60&amp;"&gt;"&amp;G60&amp;"&gt;"&amp;D60&amp;"&gt;"&amp;N60</f>
        <v>제04편 소송의 종료&gt;02&gt;2&gt;기출</v>
      </c>
      <c r="Q60" s="175" t="str">
        <f>H60&amp;"&gt;"&amp;I60&amp;"&gt;"&amp;D60&amp;"&gt;"&amp;N60</f>
        <v>제09장 당사자 행위에 의한 종료&gt;02&gt;2&gt;기출</v>
      </c>
      <c r="R60" s="175" t="str">
        <f>H60&amp;"&gt;"&amp;J60&amp;"&gt;"&amp;K60</f>
        <v>제09장 당사자 행위에 의한 종료&gt;제01절 소의 취하와 재소금지&gt;02</v>
      </c>
      <c r="S60" s="175" t="str">
        <f>N60&amp;"&gt;"&amp;C60&amp;"&gt;"&amp;E60</f>
        <v>기출&gt;2024&gt;2</v>
      </c>
      <c r="T60" s="175" t="str">
        <f>N60&amp;"&gt;"&amp;C60&amp;"&gt;"&amp;D60</f>
        <v>기출&gt;2024&gt;2</v>
      </c>
    </row>
    <row r="61" spans="2:20" ht="14.45" customHeight="1" x14ac:dyDescent="0.2">
      <c r="B61" s="35">
        <f>ROW()-3</f>
        <v>58</v>
      </c>
      <c r="C61" s="29" t="s">
        <v>1560</v>
      </c>
      <c r="D61" s="29" t="s">
        <v>1563</v>
      </c>
      <c r="E61" s="29" t="s">
        <v>1513</v>
      </c>
      <c r="F61" s="30" t="s">
        <v>2879</v>
      </c>
      <c r="G61" s="187" t="s">
        <v>2938</v>
      </c>
      <c r="H61" s="30" t="s">
        <v>2893</v>
      </c>
      <c r="I61" s="29" t="s">
        <v>1531</v>
      </c>
      <c r="J61" s="31" t="s">
        <v>1514</v>
      </c>
      <c r="K61" s="29" t="s">
        <v>1531</v>
      </c>
      <c r="L61" s="30" t="s">
        <v>2804</v>
      </c>
      <c r="M61" s="175" t="s">
        <v>2803</v>
      </c>
      <c r="N61" s="174" t="s">
        <v>2642</v>
      </c>
      <c r="O61" s="30"/>
      <c r="P61" s="175" t="str">
        <f>F61&amp;"&gt;"&amp;G61&amp;"&gt;"&amp;D61&amp;"&gt;"&amp;N61</f>
        <v>제04편 소송의 종료&gt;07&gt;3&gt;기출</v>
      </c>
      <c r="Q61" s="175" t="str">
        <f>H61&amp;"&gt;"&amp;I61&amp;"&gt;"&amp;D61&amp;"&gt;"&amp;N61</f>
        <v>제09장 당사자 행위에 의한 종료&gt;03&gt;3&gt;기출</v>
      </c>
      <c r="R61" s="175" t="str">
        <f>H61&amp;"&gt;"&amp;J61&amp;"&gt;"&amp;K61</f>
        <v>제09장 당사자 행위에 의한 종료&gt;제01절 소의 취하와 재소금지&gt;03</v>
      </c>
      <c r="S61" s="175" t="str">
        <f>N61&amp;"&gt;"&amp;C61&amp;"&gt;"&amp;E61</f>
        <v>기출&gt;2015&gt;1</v>
      </c>
      <c r="T61" s="175" t="str">
        <f>N61&amp;"&gt;"&amp;C61&amp;"&gt;"&amp;D61</f>
        <v>기출&gt;2015&gt;3</v>
      </c>
    </row>
    <row r="62" spans="2:20" ht="14.45" hidden="1" customHeight="1" x14ac:dyDescent="0.2">
      <c r="B62" s="35">
        <f>ROW()-3</f>
        <v>59</v>
      </c>
      <c r="C62" s="29" t="s">
        <v>1598</v>
      </c>
      <c r="D62" s="29" t="s">
        <v>1589</v>
      </c>
      <c r="E62" s="29" t="s">
        <v>1511</v>
      </c>
      <c r="F62" s="30" t="s">
        <v>2879</v>
      </c>
      <c r="G62" s="187" t="s">
        <v>2940</v>
      </c>
      <c r="H62" s="30" t="s">
        <v>2893</v>
      </c>
      <c r="I62" s="29" t="s">
        <v>1558</v>
      </c>
      <c r="J62" s="31" t="s">
        <v>1616</v>
      </c>
      <c r="K62" s="29" t="s">
        <v>1505</v>
      </c>
      <c r="L62" s="34" t="s">
        <v>278</v>
      </c>
      <c r="M62" s="174" t="s">
        <v>2486</v>
      </c>
      <c r="N62" s="174" t="s">
        <v>2641</v>
      </c>
      <c r="O62" s="30"/>
      <c r="P62" s="175" t="str">
        <f>F62&amp;"&gt;"&amp;G62&amp;"&gt;"&amp;D62&amp;"&gt;"&amp;N62</f>
        <v>제04편 소송의 종료&gt;09&gt;1&gt;예상</v>
      </c>
      <c r="Q62" s="175" t="str">
        <f>H62&amp;"&gt;"&amp;I62&amp;"&gt;"&amp;D62&amp;"&gt;"&amp;N62</f>
        <v>제09장 당사자 행위에 의한 종료&gt;05&gt;1&gt;예상</v>
      </c>
      <c r="R62" s="175" t="str">
        <f>H62&amp;"&gt;"&amp;J62&amp;"&gt;"&amp;K62</f>
        <v>제09장 당사자 행위에 의한 종료&gt;제02절 청구의 포기・인낙&gt;01</v>
      </c>
      <c r="S62" s="175" t="str">
        <f>N62&amp;"&gt;"&amp;C62&amp;"&gt;"&amp;E62</f>
        <v>예상&gt;09.02&gt;2</v>
      </c>
      <c r="T62" s="175" t="str">
        <f>N62&amp;"&gt;"&amp;C62&amp;"&gt;"&amp;D62</f>
        <v>예상&gt;09.02&gt;1</v>
      </c>
    </row>
    <row r="63" spans="2:20" ht="14.45" hidden="1" customHeight="1" x14ac:dyDescent="0.2">
      <c r="B63" s="35">
        <f>ROW()-3</f>
        <v>60</v>
      </c>
      <c r="C63" s="29" t="s">
        <v>1598</v>
      </c>
      <c r="D63" s="29" t="s">
        <v>1562</v>
      </c>
      <c r="E63" s="29" t="s">
        <v>1513</v>
      </c>
      <c r="F63" s="30" t="s">
        <v>2879</v>
      </c>
      <c r="G63" s="187">
        <v>10</v>
      </c>
      <c r="H63" s="30" t="s">
        <v>2893</v>
      </c>
      <c r="I63" s="29" t="s">
        <v>1568</v>
      </c>
      <c r="J63" s="31" t="s">
        <v>1616</v>
      </c>
      <c r="K63" s="29" t="s">
        <v>1518</v>
      </c>
      <c r="L63" s="34" t="s">
        <v>279</v>
      </c>
      <c r="M63" s="174" t="s">
        <v>2487</v>
      </c>
      <c r="N63" s="174" t="s">
        <v>2641</v>
      </c>
      <c r="O63" s="30"/>
      <c r="P63" s="175" t="str">
        <f>F63&amp;"&gt;"&amp;G63&amp;"&gt;"&amp;D63&amp;"&gt;"&amp;N63</f>
        <v>제04편 소송의 종료&gt;10&gt;2&gt;예상</v>
      </c>
      <c r="Q63" s="175" t="str">
        <f>H63&amp;"&gt;"&amp;I63&amp;"&gt;"&amp;D63&amp;"&gt;"&amp;N63</f>
        <v>제09장 당사자 행위에 의한 종료&gt;06&gt;2&gt;예상</v>
      </c>
      <c r="R63" s="175" t="str">
        <f>H63&amp;"&gt;"&amp;J63&amp;"&gt;"&amp;K63</f>
        <v>제09장 당사자 행위에 의한 종료&gt;제02절 청구의 포기・인낙&gt;02</v>
      </c>
      <c r="S63" s="175" t="str">
        <f>N63&amp;"&gt;"&amp;C63&amp;"&gt;"&amp;E63</f>
        <v>예상&gt;09.02&gt;1</v>
      </c>
      <c r="T63" s="175" t="str">
        <f>N63&amp;"&gt;"&amp;C63&amp;"&gt;"&amp;D63</f>
        <v>예상&gt;09.02&gt;2</v>
      </c>
    </row>
    <row r="64" spans="2:20" ht="14.45" customHeight="1" x14ac:dyDescent="0.2">
      <c r="B64" s="35">
        <f>ROW()-3</f>
        <v>61</v>
      </c>
      <c r="C64" s="29" t="s">
        <v>1569</v>
      </c>
      <c r="D64" s="29" t="s">
        <v>1562</v>
      </c>
      <c r="E64" s="29" t="s">
        <v>1511</v>
      </c>
      <c r="F64" s="30" t="s">
        <v>2879</v>
      </c>
      <c r="G64" s="187" t="s">
        <v>2939</v>
      </c>
      <c r="H64" s="30" t="s">
        <v>2893</v>
      </c>
      <c r="I64" s="29" t="s">
        <v>1540</v>
      </c>
      <c r="J64" s="31" t="s">
        <v>1572</v>
      </c>
      <c r="K64" s="29" t="s">
        <v>1505</v>
      </c>
      <c r="L64" s="30" t="s">
        <v>2805</v>
      </c>
      <c r="M64" s="175" t="s">
        <v>2806</v>
      </c>
      <c r="N64" s="174" t="s">
        <v>2642</v>
      </c>
      <c r="O64" s="30"/>
      <c r="P64" s="175" t="str">
        <f>F64&amp;"&gt;"&amp;G64&amp;"&gt;"&amp;D64&amp;"&gt;"&amp;N64</f>
        <v>제04편 소송의 종료&gt;08&gt;2&gt;기출</v>
      </c>
      <c r="Q64" s="175" t="str">
        <f>H64&amp;"&gt;"&amp;I64&amp;"&gt;"&amp;D64&amp;"&gt;"&amp;N64</f>
        <v>제09장 당사자 행위에 의한 종료&gt;04&gt;2&gt;기출</v>
      </c>
      <c r="R64" s="175" t="str">
        <f>H64&amp;"&gt;"&amp;J64&amp;"&gt;"&amp;K64</f>
        <v>제09장 당사자 행위에 의한 종료&gt;제03절 재판상 화해&gt;01</v>
      </c>
      <c r="S64" s="175" t="str">
        <f>N64&amp;"&gt;"&amp;C64&amp;"&gt;"&amp;E64</f>
        <v>기출&gt;2013&gt;2</v>
      </c>
      <c r="T64" s="175" t="str">
        <f>N64&amp;"&gt;"&amp;C64&amp;"&gt;"&amp;D64</f>
        <v>기출&gt;2013&gt;2</v>
      </c>
    </row>
    <row r="65" spans="2:20" ht="14.45" customHeight="1" x14ac:dyDescent="0.2">
      <c r="B65" s="35">
        <f>ROW()-3</f>
        <v>62</v>
      </c>
      <c r="C65" s="29" t="s">
        <v>1520</v>
      </c>
      <c r="D65" s="29" t="s">
        <v>1508</v>
      </c>
      <c r="E65" s="29" t="s">
        <v>1509</v>
      </c>
      <c r="F65" s="30" t="s">
        <v>2879</v>
      </c>
      <c r="G65" s="187" t="s">
        <v>2933</v>
      </c>
      <c r="H65" s="30" t="s">
        <v>4263</v>
      </c>
      <c r="I65" s="29" t="s">
        <v>1505</v>
      </c>
      <c r="J65" s="31" t="s">
        <v>1522</v>
      </c>
      <c r="K65" s="29" t="s">
        <v>1505</v>
      </c>
      <c r="L65" s="30" t="s">
        <v>2792</v>
      </c>
      <c r="M65" s="175" t="s">
        <v>2791</v>
      </c>
      <c r="N65" s="174" t="s">
        <v>2642</v>
      </c>
      <c r="O65" s="30"/>
      <c r="P65" s="175" t="str">
        <f>F65&amp;"&gt;"&amp;G65&amp;"&gt;"&amp;D65&amp;"&gt;"&amp;N65</f>
        <v>제04편 소송의 종료&gt;03&gt;1-2&gt;기출</v>
      </c>
      <c r="Q65" s="175" t="str">
        <f>H65&amp;"&gt;"&amp;I65&amp;"&gt;"&amp;D65&amp;"&gt;"&amp;N65</f>
        <v>제10장 종국판결에 의한 종료&gt;01&gt;1-2&gt;기출</v>
      </c>
      <c r="R65" s="175" t="str">
        <f>H65&amp;"&gt;"&amp;J65&amp;"&gt;"&amp;K65</f>
        <v>제10장 종국판결에 의한 종료&gt;제02절 판결&gt;01</v>
      </c>
      <c r="S65" s="175" t="str">
        <f>N65&amp;"&gt;"&amp;C65&amp;"&gt;"&amp;E65</f>
        <v>기출&gt;2023&gt;3</v>
      </c>
      <c r="T65" s="175" t="str">
        <f>N65&amp;"&gt;"&amp;C65&amp;"&gt;"&amp;D65</f>
        <v>기출&gt;2023&gt;1-2</v>
      </c>
    </row>
    <row r="66" spans="2:20" ht="14.45" customHeight="1" x14ac:dyDescent="0.2">
      <c r="B66" s="35">
        <f>ROW()-3</f>
        <v>63</v>
      </c>
      <c r="C66" s="29" t="s">
        <v>1524</v>
      </c>
      <c r="D66" s="29" t="s">
        <v>1509</v>
      </c>
      <c r="E66" s="29" t="s">
        <v>1513</v>
      </c>
      <c r="F66" s="30" t="s">
        <v>2879</v>
      </c>
      <c r="G66" s="187" t="s">
        <v>2935</v>
      </c>
      <c r="H66" s="30" t="s">
        <v>2895</v>
      </c>
      <c r="I66" s="29" t="s">
        <v>1518</v>
      </c>
      <c r="J66" s="31" t="s">
        <v>1522</v>
      </c>
      <c r="K66" s="29" t="s">
        <v>1518</v>
      </c>
      <c r="L66" s="30" t="s">
        <v>2838</v>
      </c>
      <c r="M66" s="175" t="s">
        <v>2837</v>
      </c>
      <c r="N66" s="174" t="s">
        <v>2642</v>
      </c>
      <c r="O66" s="30"/>
      <c r="P66" s="175" t="str">
        <f>F66&amp;"&gt;"&amp;G66&amp;"&gt;"&amp;D66&amp;"&gt;"&amp;N66</f>
        <v>제04편 소송의 종료&gt;04&gt;3&gt;기출</v>
      </c>
      <c r="Q66" s="175" t="str">
        <f>H66&amp;"&gt;"&amp;I66&amp;"&gt;"&amp;D66&amp;"&gt;"&amp;N66</f>
        <v>제10장 종국판결에 의한 종료&gt;02&gt;3&gt;기출</v>
      </c>
      <c r="R66" s="175" t="str">
        <f>H66&amp;"&gt;"&amp;J66&amp;"&gt;"&amp;K66</f>
        <v>제10장 종국판결에 의한 종료&gt;제02절 판결&gt;02</v>
      </c>
      <c r="S66" s="175" t="str">
        <f>N66&amp;"&gt;"&amp;C66&amp;"&gt;"&amp;E66</f>
        <v>기출&gt;2022&gt;1</v>
      </c>
      <c r="T66" s="175" t="str">
        <f>N66&amp;"&gt;"&amp;C66&amp;"&gt;"&amp;D66</f>
        <v>기출&gt;2022&gt;3</v>
      </c>
    </row>
    <row r="67" spans="2:20" ht="14.45" customHeight="1" x14ac:dyDescent="0.2">
      <c r="B67" s="35">
        <f>ROW()-3</f>
        <v>64</v>
      </c>
      <c r="C67" s="29" t="s">
        <v>1542</v>
      </c>
      <c r="D67" s="29" t="s">
        <v>1508</v>
      </c>
      <c r="E67" s="29" t="s">
        <v>1509</v>
      </c>
      <c r="F67" s="30" t="s">
        <v>2879</v>
      </c>
      <c r="G67" s="187" t="s">
        <v>2936</v>
      </c>
      <c r="H67" s="30" t="s">
        <v>2895</v>
      </c>
      <c r="I67" s="29" t="s">
        <v>1531</v>
      </c>
      <c r="J67" s="31" t="s">
        <v>1522</v>
      </c>
      <c r="K67" s="29" t="s">
        <v>1531</v>
      </c>
      <c r="L67" s="30" t="s">
        <v>1543</v>
      </c>
      <c r="M67" s="175" t="s">
        <v>2488</v>
      </c>
      <c r="N67" s="174" t="s">
        <v>2642</v>
      </c>
      <c r="O67" s="30"/>
      <c r="P67" s="175" t="str">
        <f>F67&amp;"&gt;"&amp;G67&amp;"&gt;"&amp;D67&amp;"&gt;"&amp;N67</f>
        <v>제04편 소송의 종료&gt;05&gt;1-2&gt;기출</v>
      </c>
      <c r="Q67" s="175" t="str">
        <f>H67&amp;"&gt;"&amp;I67&amp;"&gt;"&amp;D67&amp;"&gt;"&amp;N67</f>
        <v>제10장 종국판결에 의한 종료&gt;03&gt;1-2&gt;기출</v>
      </c>
      <c r="R67" s="175" t="str">
        <f>H67&amp;"&gt;"&amp;J67&amp;"&gt;"&amp;K67</f>
        <v>제10장 종국판결에 의한 종료&gt;제02절 판결&gt;03</v>
      </c>
      <c r="S67" s="175" t="str">
        <f>N67&amp;"&gt;"&amp;C67&amp;"&gt;"&amp;E67</f>
        <v>기출&gt;2019&gt;3</v>
      </c>
      <c r="T67" s="175" t="str">
        <f>N67&amp;"&gt;"&amp;C67&amp;"&gt;"&amp;D67</f>
        <v>기출&gt;2019&gt;1-2</v>
      </c>
    </row>
    <row r="68" spans="2:20" ht="14.45" customHeight="1" x14ac:dyDescent="0.2">
      <c r="B68" s="35">
        <f>ROW()-3</f>
        <v>65</v>
      </c>
      <c r="C68" s="29" t="s">
        <v>1550</v>
      </c>
      <c r="D68" s="29" t="s">
        <v>1509</v>
      </c>
      <c r="E68" s="29" t="s">
        <v>1513</v>
      </c>
      <c r="F68" s="30" t="s">
        <v>2879</v>
      </c>
      <c r="G68" s="187" t="s">
        <v>2937</v>
      </c>
      <c r="H68" s="30" t="s">
        <v>2895</v>
      </c>
      <c r="I68" s="29" t="s">
        <v>1540</v>
      </c>
      <c r="J68" s="31" t="s">
        <v>1522</v>
      </c>
      <c r="K68" s="29" t="s">
        <v>1540</v>
      </c>
      <c r="L68" s="30" t="s">
        <v>2841</v>
      </c>
      <c r="M68" s="175" t="s">
        <v>2840</v>
      </c>
      <c r="N68" s="174" t="s">
        <v>2642</v>
      </c>
      <c r="O68" s="30"/>
      <c r="P68" s="175" t="str">
        <f>F68&amp;"&gt;"&amp;G68&amp;"&gt;"&amp;D68&amp;"&gt;"&amp;N68</f>
        <v>제04편 소송의 종료&gt;06&gt;3&gt;기출</v>
      </c>
      <c r="Q68" s="175" t="str">
        <f>H68&amp;"&gt;"&amp;I68&amp;"&gt;"&amp;D68&amp;"&gt;"&amp;N68</f>
        <v>제10장 종국판결에 의한 종료&gt;04&gt;3&gt;기출</v>
      </c>
      <c r="R68" s="175" t="str">
        <f>H68&amp;"&gt;"&amp;J68&amp;"&gt;"&amp;K68</f>
        <v>제10장 종국판결에 의한 종료&gt;제02절 판결&gt;04</v>
      </c>
      <c r="S68" s="175" t="str">
        <f>N68&amp;"&gt;"&amp;C68&amp;"&gt;"&amp;E68</f>
        <v>기출&gt;2017&gt;1</v>
      </c>
      <c r="T68" s="175" t="str">
        <f>N68&amp;"&gt;"&amp;C68&amp;"&gt;"&amp;D68</f>
        <v>기출&gt;2017&gt;3</v>
      </c>
    </row>
    <row r="69" spans="2:20" ht="14.45" customHeight="1" x14ac:dyDescent="0.2">
      <c r="B69" s="35">
        <f>ROW()-3</f>
        <v>66</v>
      </c>
      <c r="C69" s="29" t="s">
        <v>1502</v>
      </c>
      <c r="D69" s="29" t="s">
        <v>1508</v>
      </c>
      <c r="E69" s="29" t="s">
        <v>1509</v>
      </c>
      <c r="F69" s="30" t="s">
        <v>2880</v>
      </c>
      <c r="G69" s="187" t="s">
        <v>2934</v>
      </c>
      <c r="H69" s="30" t="s">
        <v>4264</v>
      </c>
      <c r="I69" s="29" t="s">
        <v>1505</v>
      </c>
      <c r="J69" s="31" t="s">
        <v>1510</v>
      </c>
      <c r="K69" s="29" t="s">
        <v>1505</v>
      </c>
      <c r="L69" s="30" t="s">
        <v>2800</v>
      </c>
      <c r="M69" s="175" t="s">
        <v>2853</v>
      </c>
      <c r="N69" s="174" t="s">
        <v>2642</v>
      </c>
      <c r="O69" s="30"/>
      <c r="P69" s="175" t="str">
        <f>F69&amp;"&gt;"&amp;G69&amp;"&gt;"&amp;D69&amp;"&gt;"&amp;N69</f>
        <v>제05편 병합소송&gt;01&gt;1-2&gt;기출</v>
      </c>
      <c r="Q69" s="175" t="str">
        <f>H69&amp;"&gt;"&amp;I69&amp;"&gt;"&amp;D69&amp;"&gt;"&amp;N69</f>
        <v>제11장 병합청구소송&gt;01&gt;1-2&gt;기출</v>
      </c>
      <c r="R69" s="175" t="str">
        <f>H69&amp;"&gt;"&amp;J69&amp;"&gt;"&amp;K69</f>
        <v>제11장 병합청구소송&gt;제01절 청구의 원시적 병합&gt;01</v>
      </c>
      <c r="S69" s="175" t="str">
        <f>N69&amp;"&gt;"&amp;C69&amp;"&gt;"&amp;E69</f>
        <v>기출&gt;2025&gt;3</v>
      </c>
      <c r="T69" s="175" t="str">
        <f>N69&amp;"&gt;"&amp;C69&amp;"&gt;"&amp;D69</f>
        <v>기출&gt;2025&gt;1-2</v>
      </c>
    </row>
    <row r="70" spans="2:20" ht="14.45" customHeight="1" x14ac:dyDescent="0.2">
      <c r="B70" s="35">
        <f>ROW()-3</f>
        <v>67</v>
      </c>
      <c r="C70" s="29" t="s">
        <v>1524</v>
      </c>
      <c r="D70" s="29" t="s">
        <v>1503</v>
      </c>
      <c r="E70" s="29" t="s">
        <v>1506</v>
      </c>
      <c r="F70" s="30" t="s">
        <v>2880</v>
      </c>
      <c r="G70" s="187" t="s">
        <v>2933</v>
      </c>
      <c r="H70" s="30" t="s">
        <v>2897</v>
      </c>
      <c r="I70" s="29" t="s">
        <v>1518</v>
      </c>
      <c r="J70" s="31" t="s">
        <v>1510</v>
      </c>
      <c r="K70" s="29" t="s">
        <v>1518</v>
      </c>
      <c r="L70" s="30" t="s">
        <v>1525</v>
      </c>
      <c r="M70" s="175" t="s">
        <v>2489</v>
      </c>
      <c r="N70" s="174" t="s">
        <v>2642</v>
      </c>
      <c r="O70" s="30"/>
      <c r="P70" s="175" t="str">
        <f>F70&amp;"&gt;"&amp;G70&amp;"&gt;"&amp;D70&amp;"&gt;"&amp;N70</f>
        <v>제05편 병합소송&gt;03&gt;1-1&gt;기출</v>
      </c>
      <c r="Q70" s="175" t="str">
        <f>H70&amp;"&gt;"&amp;I70&amp;"&gt;"&amp;D70&amp;"&gt;"&amp;N70</f>
        <v>제11장 병합청구소송&gt;02&gt;1-1&gt;기출</v>
      </c>
      <c r="R70" s="175" t="str">
        <f>H70&amp;"&gt;"&amp;J70&amp;"&gt;"&amp;K70</f>
        <v>제11장 병합청구소송&gt;제01절 청구의 원시적 병합&gt;02</v>
      </c>
      <c r="S70" s="175" t="str">
        <f>N70&amp;"&gt;"&amp;C70&amp;"&gt;"&amp;E70</f>
        <v>기출&gt;2022&gt;4</v>
      </c>
      <c r="T70" s="175" t="str">
        <f>N70&amp;"&gt;"&amp;C70&amp;"&gt;"&amp;D70</f>
        <v>기출&gt;2022&gt;1-1</v>
      </c>
    </row>
    <row r="71" spans="2:20" ht="14.45" customHeight="1" x14ac:dyDescent="0.2">
      <c r="B71" s="35">
        <f>ROW()-3</f>
        <v>68</v>
      </c>
      <c r="C71" s="29" t="s">
        <v>1528</v>
      </c>
      <c r="D71" s="29" t="s">
        <v>1509</v>
      </c>
      <c r="E71" s="29" t="s">
        <v>1513</v>
      </c>
      <c r="F71" s="30" t="s">
        <v>2880</v>
      </c>
      <c r="G71" s="187" t="s">
        <v>2937</v>
      </c>
      <c r="H71" s="30" t="s">
        <v>2897</v>
      </c>
      <c r="I71" s="29" t="s">
        <v>1531</v>
      </c>
      <c r="J71" s="31" t="s">
        <v>1535</v>
      </c>
      <c r="K71" s="29" t="s">
        <v>1505</v>
      </c>
      <c r="L71" s="30" t="s">
        <v>2847</v>
      </c>
      <c r="M71" s="175" t="s">
        <v>2846</v>
      </c>
      <c r="N71" s="174" t="s">
        <v>2642</v>
      </c>
      <c r="O71" s="30"/>
      <c r="P71" s="175" t="str">
        <f>F71&amp;"&gt;"&amp;G71&amp;"&gt;"&amp;D71&amp;"&gt;"&amp;N71</f>
        <v>제05편 병합소송&gt;06&gt;3&gt;기출</v>
      </c>
      <c r="Q71" s="175" t="str">
        <f>H71&amp;"&gt;"&amp;I71&amp;"&gt;"&amp;D71&amp;"&gt;"&amp;N71</f>
        <v>제11장 병합청구소송&gt;03&gt;3&gt;기출</v>
      </c>
      <c r="R71" s="175" t="str">
        <f>H71&amp;"&gt;"&amp;J71&amp;"&gt;"&amp;K71</f>
        <v>제11장 병합청구소송&gt;제02절 청구의 후발적 병합&gt;01</v>
      </c>
      <c r="S71" s="175" t="str">
        <f>N71&amp;"&gt;"&amp;C71&amp;"&gt;"&amp;E71</f>
        <v>기출&gt;2021&gt;1</v>
      </c>
      <c r="T71" s="175" t="str">
        <f>N71&amp;"&gt;"&amp;C71&amp;"&gt;"&amp;D71</f>
        <v>기출&gt;2021&gt;3</v>
      </c>
    </row>
    <row r="72" spans="2:20" ht="14.45" customHeight="1" x14ac:dyDescent="0.2">
      <c r="B72" s="35">
        <f>ROW()-3</f>
        <v>69</v>
      </c>
      <c r="C72" s="29" t="s">
        <v>1554</v>
      </c>
      <c r="D72" s="29" t="s">
        <v>1509</v>
      </c>
      <c r="E72" s="29" t="s">
        <v>1513</v>
      </c>
      <c r="F72" s="30" t="s">
        <v>2880</v>
      </c>
      <c r="G72" s="176">
        <v>12</v>
      </c>
      <c r="H72" s="30" t="s">
        <v>2897</v>
      </c>
      <c r="I72" s="29" t="s">
        <v>1540</v>
      </c>
      <c r="J72" s="31" t="s">
        <v>1510</v>
      </c>
      <c r="K72" s="29" t="s">
        <v>1531</v>
      </c>
      <c r="L72" s="30" t="s">
        <v>2844</v>
      </c>
      <c r="M72" s="175" t="s">
        <v>2843</v>
      </c>
      <c r="N72" s="174" t="s">
        <v>2642</v>
      </c>
      <c r="O72" s="30"/>
      <c r="P72" s="175" t="str">
        <f>F72&amp;"&gt;"&amp;G72&amp;"&gt;"&amp;D72&amp;"&gt;"&amp;N72</f>
        <v>제05편 병합소송&gt;12&gt;3&gt;기출</v>
      </c>
      <c r="Q72" s="175" t="str">
        <f>H72&amp;"&gt;"&amp;I72&amp;"&gt;"&amp;D72&amp;"&gt;"&amp;N72</f>
        <v>제11장 병합청구소송&gt;04&gt;3&gt;기출</v>
      </c>
      <c r="R72" s="175" t="str">
        <f>H72&amp;"&gt;"&amp;J72&amp;"&gt;"&amp;K72</f>
        <v>제11장 병합청구소송&gt;제01절 청구의 원시적 병합&gt;03</v>
      </c>
      <c r="S72" s="175" t="str">
        <f>N72&amp;"&gt;"&amp;C72&amp;"&gt;"&amp;E72</f>
        <v>기출&gt;2016&gt;1</v>
      </c>
      <c r="T72" s="175" t="str">
        <f>N72&amp;"&gt;"&amp;C72&amp;"&gt;"&amp;D72</f>
        <v>기출&gt;2016&gt;3</v>
      </c>
    </row>
    <row r="73" spans="2:20" ht="14.45" customHeight="1" x14ac:dyDescent="0.2">
      <c r="B73" s="35">
        <f>ROW()-3</f>
        <v>70</v>
      </c>
      <c r="C73" s="29" t="s">
        <v>1575</v>
      </c>
      <c r="D73" s="29" t="s">
        <v>1509</v>
      </c>
      <c r="E73" s="29" t="s">
        <v>1513</v>
      </c>
      <c r="F73" s="30" t="s">
        <v>2880</v>
      </c>
      <c r="G73" s="176">
        <v>16</v>
      </c>
      <c r="H73" s="30" t="s">
        <v>2897</v>
      </c>
      <c r="I73" s="29" t="s">
        <v>1558</v>
      </c>
      <c r="J73" s="31" t="s">
        <v>1535</v>
      </c>
      <c r="K73" s="29" t="s">
        <v>1518</v>
      </c>
      <c r="L73" s="30" t="s">
        <v>2850</v>
      </c>
      <c r="M73" s="175" t="s">
        <v>2849</v>
      </c>
      <c r="N73" s="174" t="s">
        <v>2642</v>
      </c>
      <c r="O73" s="30"/>
      <c r="P73" s="175" t="str">
        <f>F73&amp;"&gt;"&amp;G73&amp;"&gt;"&amp;D73&amp;"&gt;"&amp;N73</f>
        <v>제05편 병합소송&gt;16&gt;3&gt;기출</v>
      </c>
      <c r="Q73" s="175" t="str">
        <f>H73&amp;"&gt;"&amp;I73&amp;"&gt;"&amp;D73&amp;"&gt;"&amp;N73</f>
        <v>제11장 병합청구소송&gt;05&gt;3&gt;기출</v>
      </c>
      <c r="R73" s="175" t="str">
        <f>H73&amp;"&gt;"&amp;J73&amp;"&gt;"&amp;K73</f>
        <v>제11장 병합청구소송&gt;제02절 청구의 후발적 병합&gt;02</v>
      </c>
      <c r="S73" s="175" t="str">
        <f>N73&amp;"&gt;"&amp;C73&amp;"&gt;"&amp;E73</f>
        <v>기출&gt;2012&gt;1</v>
      </c>
      <c r="T73" s="175" t="str">
        <f>N73&amp;"&gt;"&amp;C73&amp;"&gt;"&amp;D73</f>
        <v>기출&gt;2012&gt;3</v>
      </c>
    </row>
    <row r="74" spans="2:20" ht="14.45" customHeight="1" x14ac:dyDescent="0.2">
      <c r="B74" s="35">
        <f>ROW()-3</f>
        <v>71</v>
      </c>
      <c r="C74" s="29" t="s">
        <v>1515</v>
      </c>
      <c r="D74" s="29" t="s">
        <v>1503</v>
      </c>
      <c r="E74" s="29" t="s">
        <v>1506</v>
      </c>
      <c r="F74" s="30" t="s">
        <v>2880</v>
      </c>
      <c r="G74" s="187" t="s">
        <v>2932</v>
      </c>
      <c r="H74" s="30" t="s">
        <v>4265</v>
      </c>
      <c r="I74" s="29" t="s">
        <v>1505</v>
      </c>
      <c r="J74" s="31" t="s">
        <v>1516</v>
      </c>
      <c r="K74" s="29" t="s">
        <v>1505</v>
      </c>
      <c r="L74" s="30" t="s">
        <v>2702</v>
      </c>
      <c r="M74" s="175" t="s">
        <v>2692</v>
      </c>
      <c r="N74" s="174" t="s">
        <v>2642</v>
      </c>
      <c r="O74" s="30"/>
      <c r="P74" s="175" t="str">
        <f>F74&amp;"&gt;"&amp;G74&amp;"&gt;"&amp;D74&amp;"&gt;"&amp;N74</f>
        <v>제05편 병합소송&gt;02&gt;1-1&gt;기출</v>
      </c>
      <c r="Q74" s="175" t="str">
        <f>H74&amp;"&gt;"&amp;I74&amp;"&gt;"&amp;D74&amp;"&gt;"&amp;N74</f>
        <v>제12장 다수당사자소송&gt;01&gt;1-1&gt;기출</v>
      </c>
      <c r="R74" s="175" t="str">
        <f>H74&amp;"&gt;"&amp;J74&amp;"&gt;"&amp;K74</f>
        <v>제12장 다수당사자소송&gt;제01절 공동소송&gt;01</v>
      </c>
      <c r="S74" s="175" t="str">
        <f>N74&amp;"&gt;"&amp;C74&amp;"&gt;"&amp;E74</f>
        <v>기출&gt;2024&gt;4</v>
      </c>
      <c r="T74" s="175" t="str">
        <f>N74&amp;"&gt;"&amp;C74&amp;"&gt;"&amp;D74</f>
        <v>기출&gt;2024&gt;1-1</v>
      </c>
    </row>
    <row r="75" spans="2:20" ht="14.45" customHeight="1" x14ac:dyDescent="0.2">
      <c r="B75" s="35">
        <f>ROW()-3</f>
        <v>72</v>
      </c>
      <c r="C75" s="29" t="s">
        <v>1524</v>
      </c>
      <c r="D75" s="29" t="s">
        <v>1508</v>
      </c>
      <c r="E75" s="29" t="s">
        <v>1509</v>
      </c>
      <c r="F75" s="30" t="s">
        <v>2880</v>
      </c>
      <c r="G75" s="187" t="s">
        <v>2935</v>
      </c>
      <c r="H75" s="30" t="s">
        <v>2899</v>
      </c>
      <c r="I75" s="29" t="s">
        <v>1518</v>
      </c>
      <c r="J75" s="31" t="s">
        <v>1516</v>
      </c>
      <c r="K75" s="29" t="s">
        <v>1518</v>
      </c>
      <c r="L75" s="30" t="s">
        <v>1526</v>
      </c>
      <c r="M75" s="175" t="s">
        <v>2490</v>
      </c>
      <c r="N75" s="174" t="s">
        <v>2642</v>
      </c>
      <c r="O75" s="30"/>
      <c r="P75" s="175" t="str">
        <f>F75&amp;"&gt;"&amp;G75&amp;"&gt;"&amp;D75&amp;"&gt;"&amp;N75</f>
        <v>제05편 병합소송&gt;04&gt;1-2&gt;기출</v>
      </c>
      <c r="Q75" s="175" t="str">
        <f>H75&amp;"&gt;"&amp;I75&amp;"&gt;"&amp;D75&amp;"&gt;"&amp;N75</f>
        <v>제12장 다수당사자소송&gt;02&gt;1-2&gt;기출</v>
      </c>
      <c r="R75" s="175" t="str">
        <f>H75&amp;"&gt;"&amp;J75&amp;"&gt;"&amp;K75</f>
        <v>제12장 다수당사자소송&gt;제01절 공동소송&gt;02</v>
      </c>
      <c r="S75" s="175" t="str">
        <f>N75&amp;"&gt;"&amp;C75&amp;"&gt;"&amp;E75</f>
        <v>기출&gt;2022&gt;3</v>
      </c>
      <c r="T75" s="175" t="str">
        <f>N75&amp;"&gt;"&amp;C75&amp;"&gt;"&amp;D75</f>
        <v>기출&gt;2022&gt;1-2</v>
      </c>
    </row>
    <row r="76" spans="2:20" ht="14.45" customHeight="1" x14ac:dyDescent="0.2">
      <c r="B76" s="35">
        <f>ROW()-3</f>
        <v>73</v>
      </c>
      <c r="C76" s="29" t="s">
        <v>1528</v>
      </c>
      <c r="D76" s="29" t="s">
        <v>1508</v>
      </c>
      <c r="E76" s="29" t="s">
        <v>1509</v>
      </c>
      <c r="F76" s="30" t="s">
        <v>2880</v>
      </c>
      <c r="G76" s="187" t="s">
        <v>2936</v>
      </c>
      <c r="H76" s="30" t="s">
        <v>2899</v>
      </c>
      <c r="I76" s="29" t="s">
        <v>1531</v>
      </c>
      <c r="J76" s="31" t="s">
        <v>1516</v>
      </c>
      <c r="K76" s="29" t="s">
        <v>1531</v>
      </c>
      <c r="L76" s="30" t="s">
        <v>1532</v>
      </c>
      <c r="M76" s="175" t="s">
        <v>2491</v>
      </c>
      <c r="N76" s="174" t="s">
        <v>2642</v>
      </c>
      <c r="O76" s="30"/>
      <c r="P76" s="175" t="str">
        <f>F76&amp;"&gt;"&amp;G76&amp;"&gt;"&amp;D76&amp;"&gt;"&amp;N76</f>
        <v>제05편 병합소송&gt;05&gt;1-2&gt;기출</v>
      </c>
      <c r="Q76" s="175" t="str">
        <f>H76&amp;"&gt;"&amp;I76&amp;"&gt;"&amp;D76&amp;"&gt;"&amp;N76</f>
        <v>제12장 다수당사자소송&gt;03&gt;1-2&gt;기출</v>
      </c>
      <c r="R76" s="175" t="str">
        <f>H76&amp;"&gt;"&amp;J76&amp;"&gt;"&amp;K76</f>
        <v>제12장 다수당사자소송&gt;제01절 공동소송&gt;03</v>
      </c>
      <c r="S76" s="175" t="str">
        <f>N76&amp;"&gt;"&amp;C76&amp;"&gt;"&amp;E76</f>
        <v>기출&gt;2021&gt;3</v>
      </c>
      <c r="T76" s="175" t="str">
        <f>N76&amp;"&gt;"&amp;C76&amp;"&gt;"&amp;D76</f>
        <v>기출&gt;2021&gt;1-2</v>
      </c>
    </row>
    <row r="77" spans="2:20" ht="14.45" customHeight="1" x14ac:dyDescent="0.2">
      <c r="B77" s="35">
        <f>ROW()-3</f>
        <v>74</v>
      </c>
      <c r="C77" s="29" t="s">
        <v>1536</v>
      </c>
      <c r="D77" s="29" t="s">
        <v>1509</v>
      </c>
      <c r="E77" s="29" t="s">
        <v>1513</v>
      </c>
      <c r="F77" s="30" t="s">
        <v>2880</v>
      </c>
      <c r="G77" s="187" t="s">
        <v>2938</v>
      </c>
      <c r="H77" s="30" t="s">
        <v>2899</v>
      </c>
      <c r="I77" s="29" t="s">
        <v>1540</v>
      </c>
      <c r="J77" s="31" t="s">
        <v>1516</v>
      </c>
      <c r="K77" s="29" t="s">
        <v>1540</v>
      </c>
      <c r="L77" s="30" t="s">
        <v>1541</v>
      </c>
      <c r="M77" s="175" t="s">
        <v>2492</v>
      </c>
      <c r="N77" s="174" t="s">
        <v>2642</v>
      </c>
      <c r="O77" s="30"/>
      <c r="P77" s="175" t="str">
        <f>F77&amp;"&gt;"&amp;G77&amp;"&gt;"&amp;D77&amp;"&gt;"&amp;N77</f>
        <v>제05편 병합소송&gt;07&gt;3&gt;기출</v>
      </c>
      <c r="Q77" s="175" t="str">
        <f>H77&amp;"&gt;"&amp;I77&amp;"&gt;"&amp;D77&amp;"&gt;"&amp;N77</f>
        <v>제12장 다수당사자소송&gt;04&gt;3&gt;기출</v>
      </c>
      <c r="R77" s="175" t="str">
        <f>H77&amp;"&gt;"&amp;J77&amp;"&gt;"&amp;K77</f>
        <v>제12장 다수당사자소송&gt;제01절 공동소송&gt;04</v>
      </c>
      <c r="S77" s="175" t="str">
        <f>N77&amp;"&gt;"&amp;C77&amp;"&gt;"&amp;E77</f>
        <v>기출&gt;2020&gt;1</v>
      </c>
      <c r="T77" s="175" t="str">
        <f>N77&amp;"&gt;"&amp;C77&amp;"&gt;"&amp;D77</f>
        <v>기출&gt;2020&gt;3</v>
      </c>
    </row>
    <row r="78" spans="2:20" ht="14.45" customHeight="1" x14ac:dyDescent="0.2">
      <c r="B78" s="35">
        <f>ROW()-3</f>
        <v>75</v>
      </c>
      <c r="C78" s="29" t="s">
        <v>1542</v>
      </c>
      <c r="D78" s="29" t="s">
        <v>1509</v>
      </c>
      <c r="E78" s="29" t="s">
        <v>1513</v>
      </c>
      <c r="F78" s="30" t="s">
        <v>2880</v>
      </c>
      <c r="G78" s="187" t="s">
        <v>2939</v>
      </c>
      <c r="H78" s="30" t="s">
        <v>2899</v>
      </c>
      <c r="I78" s="29" t="s">
        <v>1558</v>
      </c>
      <c r="J78" s="31" t="s">
        <v>1544</v>
      </c>
      <c r="K78" s="29" t="s">
        <v>1505</v>
      </c>
      <c r="L78" s="30" t="s">
        <v>1545</v>
      </c>
      <c r="M78" s="175" t="s">
        <v>2496</v>
      </c>
      <c r="N78" s="174" t="s">
        <v>2642</v>
      </c>
      <c r="O78" s="30"/>
      <c r="P78" s="175" t="str">
        <f>F78&amp;"&gt;"&amp;G78&amp;"&gt;"&amp;D78&amp;"&gt;"&amp;N78</f>
        <v>제05편 병합소송&gt;08&gt;3&gt;기출</v>
      </c>
      <c r="Q78" s="175" t="str">
        <f>H78&amp;"&gt;"&amp;I78&amp;"&gt;"&amp;D78&amp;"&gt;"&amp;N78</f>
        <v>제12장 다수당사자소송&gt;05&gt;3&gt;기출</v>
      </c>
      <c r="R78" s="175" t="str">
        <f>H78&amp;"&gt;"&amp;J78&amp;"&gt;"&amp;K78</f>
        <v>제12장 다수당사자소송&gt;제02절 제3자의 소송참가&gt;01</v>
      </c>
      <c r="S78" s="175" t="str">
        <f>N78&amp;"&gt;"&amp;C78&amp;"&gt;"&amp;E78</f>
        <v>기출&gt;2019&gt;1</v>
      </c>
      <c r="T78" s="175" t="str">
        <f>N78&amp;"&gt;"&amp;C78&amp;"&gt;"&amp;D78</f>
        <v>기출&gt;2019&gt;3</v>
      </c>
    </row>
    <row r="79" spans="2:20" ht="14.45" customHeight="1" x14ac:dyDescent="0.2">
      <c r="B79" s="35">
        <f>ROW()-3</f>
        <v>76</v>
      </c>
      <c r="C79" s="29" t="s">
        <v>1546</v>
      </c>
      <c r="D79" s="29" t="s">
        <v>1511</v>
      </c>
      <c r="E79" s="29" t="s">
        <v>1511</v>
      </c>
      <c r="F79" s="30" t="s">
        <v>2880</v>
      </c>
      <c r="G79" s="187" t="s">
        <v>2940</v>
      </c>
      <c r="H79" s="30" t="s">
        <v>2899</v>
      </c>
      <c r="I79" s="29" t="s">
        <v>1568</v>
      </c>
      <c r="J79" s="31" t="s">
        <v>1544</v>
      </c>
      <c r="K79" s="29" t="s">
        <v>1518</v>
      </c>
      <c r="L79" s="30" t="s">
        <v>2812</v>
      </c>
      <c r="M79" s="175" t="s">
        <v>2811</v>
      </c>
      <c r="N79" s="174" t="s">
        <v>2642</v>
      </c>
      <c r="O79" s="30"/>
      <c r="P79" s="175" t="str">
        <f>F79&amp;"&gt;"&amp;G79&amp;"&gt;"&amp;D79&amp;"&gt;"&amp;N79</f>
        <v>제05편 병합소송&gt;09&gt;2&gt;기출</v>
      </c>
      <c r="Q79" s="175" t="str">
        <f>H79&amp;"&gt;"&amp;I79&amp;"&gt;"&amp;D79&amp;"&gt;"&amp;N79</f>
        <v>제12장 다수당사자소송&gt;06&gt;2&gt;기출</v>
      </c>
      <c r="R79" s="175" t="str">
        <f>H79&amp;"&gt;"&amp;J79&amp;"&gt;"&amp;K79</f>
        <v>제12장 다수당사자소송&gt;제02절 제3자의 소송참가&gt;02</v>
      </c>
      <c r="S79" s="175" t="str">
        <f>N79&amp;"&gt;"&amp;C79&amp;"&gt;"&amp;E79</f>
        <v>기출&gt;2018&gt;2</v>
      </c>
      <c r="T79" s="175" t="str">
        <f>N79&amp;"&gt;"&amp;C79&amp;"&gt;"&amp;D79</f>
        <v>기출&gt;2018&gt;2</v>
      </c>
    </row>
    <row r="80" spans="2:20" ht="14.45" customHeight="1" x14ac:dyDescent="0.2">
      <c r="B80" s="35">
        <f>ROW()-3</f>
        <v>77</v>
      </c>
      <c r="C80" s="29" t="s">
        <v>1550</v>
      </c>
      <c r="D80" s="29" t="s">
        <v>1503</v>
      </c>
      <c r="E80" s="29" t="s">
        <v>1506</v>
      </c>
      <c r="F80" s="30" t="s">
        <v>2880</v>
      </c>
      <c r="G80" s="176">
        <v>10</v>
      </c>
      <c r="H80" s="30" t="s">
        <v>2899</v>
      </c>
      <c r="I80" s="29" t="s">
        <v>1570</v>
      </c>
      <c r="J80" s="31" t="s">
        <v>1544</v>
      </c>
      <c r="K80" s="29" t="s">
        <v>1531</v>
      </c>
      <c r="L80" s="30" t="s">
        <v>2703</v>
      </c>
      <c r="M80" s="175" t="s">
        <v>2695</v>
      </c>
      <c r="N80" s="174" t="s">
        <v>2642</v>
      </c>
      <c r="O80" s="30"/>
      <c r="P80" s="175" t="str">
        <f>F80&amp;"&gt;"&amp;G80&amp;"&gt;"&amp;D80&amp;"&gt;"&amp;N80</f>
        <v>제05편 병합소송&gt;10&gt;1-1&gt;기출</v>
      </c>
      <c r="Q80" s="175" t="str">
        <f>H80&amp;"&gt;"&amp;I80&amp;"&gt;"&amp;D80&amp;"&gt;"&amp;N80</f>
        <v>제12장 다수당사자소송&gt;07&gt;1-1&gt;기출</v>
      </c>
      <c r="R80" s="175" t="str">
        <f>H80&amp;"&gt;"&amp;J80&amp;"&gt;"&amp;K80</f>
        <v>제12장 다수당사자소송&gt;제02절 제3자의 소송참가&gt;03</v>
      </c>
      <c r="S80" s="175" t="str">
        <f>N80&amp;"&gt;"&amp;C80&amp;"&gt;"&amp;E80</f>
        <v>기출&gt;2017&gt;4</v>
      </c>
      <c r="T80" s="175" t="str">
        <f>N80&amp;"&gt;"&amp;C80&amp;"&gt;"&amp;D80</f>
        <v>기출&gt;2017&gt;1-1</v>
      </c>
    </row>
    <row r="81" spans="2:20" ht="14.45" customHeight="1" x14ac:dyDescent="0.2">
      <c r="B81" s="35">
        <f>ROW()-3</f>
        <v>78</v>
      </c>
      <c r="C81" s="29" t="s">
        <v>1550</v>
      </c>
      <c r="D81" s="29" t="s">
        <v>1508</v>
      </c>
      <c r="E81" s="29" t="s">
        <v>1509</v>
      </c>
      <c r="F81" s="30" t="s">
        <v>2880</v>
      </c>
      <c r="G81" s="176">
        <v>11</v>
      </c>
      <c r="H81" s="30" t="s">
        <v>2899</v>
      </c>
      <c r="I81" s="29" t="s">
        <v>1585</v>
      </c>
      <c r="J81" s="31" t="s">
        <v>1552</v>
      </c>
      <c r="K81" s="29" t="s">
        <v>1505</v>
      </c>
      <c r="L81" s="30" t="s">
        <v>1551</v>
      </c>
      <c r="M81" s="175" t="s">
        <v>2466</v>
      </c>
      <c r="N81" s="174" t="s">
        <v>2642</v>
      </c>
      <c r="O81" s="30"/>
      <c r="P81" s="175" t="str">
        <f>F81&amp;"&gt;"&amp;G81&amp;"&gt;"&amp;D81&amp;"&gt;"&amp;N81</f>
        <v>제05편 병합소송&gt;11&gt;1-2&gt;기출</v>
      </c>
      <c r="Q81" s="175" t="str">
        <f>H81&amp;"&gt;"&amp;I81&amp;"&gt;"&amp;D81&amp;"&gt;"&amp;N81</f>
        <v>제12장 다수당사자소송&gt;08&gt;1-2&gt;기출</v>
      </c>
      <c r="R81" s="175" t="str">
        <f>H81&amp;"&gt;"&amp;J81&amp;"&gt;"&amp;K81</f>
        <v>제12장 다수당사자소송&gt;제03절 당사자의 변경&gt;01</v>
      </c>
      <c r="S81" s="175" t="str">
        <f>N81&amp;"&gt;"&amp;C81&amp;"&gt;"&amp;E81</f>
        <v>기출&gt;2017&gt;3</v>
      </c>
      <c r="T81" s="175" t="str">
        <f>N81&amp;"&gt;"&amp;C81&amp;"&gt;"&amp;D81</f>
        <v>기출&gt;2017&gt;1-2</v>
      </c>
    </row>
    <row r="82" spans="2:20" ht="14.45" hidden="1" customHeight="1" x14ac:dyDescent="0.2">
      <c r="B82" s="35">
        <f>ROW()-3</f>
        <v>79</v>
      </c>
      <c r="C82" s="29" t="s">
        <v>2714</v>
      </c>
      <c r="D82" s="29" t="s">
        <v>2706</v>
      </c>
      <c r="E82" s="29" t="s">
        <v>2706</v>
      </c>
      <c r="F82" s="30" t="s">
        <v>2880</v>
      </c>
      <c r="G82" s="176">
        <v>19</v>
      </c>
      <c r="H82" s="30" t="s">
        <v>2899</v>
      </c>
      <c r="I82" s="29" t="s">
        <v>2729</v>
      </c>
      <c r="J82" s="31" t="s">
        <v>2715</v>
      </c>
      <c r="K82" s="29" t="s">
        <v>2728</v>
      </c>
      <c r="L82" s="30" t="s">
        <v>2717</v>
      </c>
      <c r="M82" s="175" t="s">
        <v>2727</v>
      </c>
      <c r="N82" s="174" t="s">
        <v>2641</v>
      </c>
      <c r="O82" s="30"/>
      <c r="P82" s="175" t="str">
        <f>F82&amp;"&gt;"&amp;G82&amp;"&gt;"&amp;D82&amp;"&gt;"&amp;N82</f>
        <v>제05편 병합소송&gt;19&gt;1&gt;예상</v>
      </c>
      <c r="Q82" s="175" t="str">
        <f>H82&amp;"&gt;"&amp;I82&amp;"&gt;"&amp;D82&amp;"&gt;"&amp;N82</f>
        <v>제12장 다수당사자소송&gt;14&gt;1&gt;예상</v>
      </c>
      <c r="R82" s="175" t="str">
        <f>H82&amp;"&gt;"&amp;J82&amp;"&gt;"&amp;K82</f>
        <v>제12장 다수당사자소송&gt;제01절 공동소송&gt;09</v>
      </c>
      <c r="S82" s="175" t="str">
        <f>N82&amp;"&gt;"&amp;C82&amp;"&gt;"&amp;E82</f>
        <v>예상&gt;12.01&gt;1</v>
      </c>
      <c r="T82" s="175" t="str">
        <f>N82&amp;"&gt;"&amp;C82&amp;"&gt;"&amp;D82</f>
        <v>예상&gt;12.01&gt;1</v>
      </c>
    </row>
    <row r="83" spans="2:20" ht="14.45" customHeight="1" x14ac:dyDescent="0.2">
      <c r="B83" s="35">
        <f>ROW()-3</f>
        <v>80</v>
      </c>
      <c r="C83" s="29" t="s">
        <v>1556</v>
      </c>
      <c r="D83" s="29" t="s">
        <v>1557</v>
      </c>
      <c r="E83" s="29" t="s">
        <v>1506</v>
      </c>
      <c r="F83" s="30" t="s">
        <v>2880</v>
      </c>
      <c r="G83" s="176">
        <v>13</v>
      </c>
      <c r="H83" s="30" t="s">
        <v>2899</v>
      </c>
      <c r="I83" s="29" t="s">
        <v>1628</v>
      </c>
      <c r="J83" s="31" t="s">
        <v>1516</v>
      </c>
      <c r="K83" s="29" t="s">
        <v>1558</v>
      </c>
      <c r="L83" s="30" t="s">
        <v>1559</v>
      </c>
      <c r="M83" s="175" t="s">
        <v>2493</v>
      </c>
      <c r="N83" s="174" t="s">
        <v>2642</v>
      </c>
      <c r="O83" s="30"/>
      <c r="P83" s="175" t="str">
        <f>F83&amp;"&gt;"&amp;G83&amp;"&gt;"&amp;D83&amp;"&gt;"&amp;N83</f>
        <v>제05편 병합소송&gt;13&gt;1-1&gt;기출</v>
      </c>
      <c r="Q83" s="175" t="str">
        <f>H83&amp;"&gt;"&amp;I83&amp;"&gt;"&amp;D83&amp;"&gt;"&amp;N83</f>
        <v>제12장 다수당사자소송&gt;09&gt;1-1&gt;기출</v>
      </c>
      <c r="R83" s="175" t="str">
        <f>H83&amp;"&gt;"&amp;J83&amp;"&gt;"&amp;K83</f>
        <v>제12장 다수당사자소송&gt;제01절 공동소송&gt;05</v>
      </c>
      <c r="S83" s="175" t="str">
        <f>N83&amp;"&gt;"&amp;C83&amp;"&gt;"&amp;E83</f>
        <v>기출&gt;2015&gt;4</v>
      </c>
      <c r="T83" s="175" t="str">
        <f>N83&amp;"&gt;"&amp;C83&amp;"&gt;"&amp;D83</f>
        <v>기출&gt;2015&gt;1-1</v>
      </c>
    </row>
    <row r="84" spans="2:20" ht="14.45" customHeight="1" x14ac:dyDescent="0.2">
      <c r="B84" s="35">
        <f>ROW()-3</f>
        <v>81</v>
      </c>
      <c r="C84" s="29" t="s">
        <v>1567</v>
      </c>
      <c r="D84" s="29" t="s">
        <v>1557</v>
      </c>
      <c r="E84" s="29" t="s">
        <v>1506</v>
      </c>
      <c r="F84" s="30" t="s">
        <v>2880</v>
      </c>
      <c r="G84" s="176">
        <v>14</v>
      </c>
      <c r="H84" s="30" t="s">
        <v>2899</v>
      </c>
      <c r="I84" s="29" t="s">
        <v>1629</v>
      </c>
      <c r="J84" s="31" t="s">
        <v>1516</v>
      </c>
      <c r="K84" s="29" t="s">
        <v>1568</v>
      </c>
      <c r="L84" s="30" t="s">
        <v>2779</v>
      </c>
      <c r="M84" s="175" t="s">
        <v>2778</v>
      </c>
      <c r="N84" s="174" t="s">
        <v>2642</v>
      </c>
      <c r="O84" s="30"/>
      <c r="P84" s="175" t="str">
        <f>F84&amp;"&gt;"&amp;G84&amp;"&gt;"&amp;D84&amp;"&gt;"&amp;N84</f>
        <v>제05편 병합소송&gt;14&gt;1-1&gt;기출</v>
      </c>
      <c r="Q84" s="175" t="str">
        <f>H84&amp;"&gt;"&amp;I84&amp;"&gt;"&amp;D84&amp;"&gt;"&amp;N84</f>
        <v>제12장 다수당사자소송&gt;10&gt;1-1&gt;기출</v>
      </c>
      <c r="R84" s="175" t="str">
        <f>H84&amp;"&gt;"&amp;J84&amp;"&gt;"&amp;K84</f>
        <v>제12장 다수당사자소송&gt;제01절 공동소송&gt;06</v>
      </c>
      <c r="S84" s="175" t="str">
        <f>N84&amp;"&gt;"&amp;C84&amp;"&gt;"&amp;E84</f>
        <v>기출&gt;2013&gt;4</v>
      </c>
      <c r="T84" s="175" t="str">
        <f>N84&amp;"&gt;"&amp;C84&amp;"&gt;"&amp;D84</f>
        <v>기출&gt;2013&gt;1-1</v>
      </c>
    </row>
    <row r="85" spans="2:20" ht="14.45" customHeight="1" x14ac:dyDescent="0.2">
      <c r="B85" s="35">
        <f>ROW()-3</f>
        <v>82</v>
      </c>
      <c r="C85" s="29" t="s">
        <v>1569</v>
      </c>
      <c r="D85" s="29" t="s">
        <v>1561</v>
      </c>
      <c r="E85" s="29" t="s">
        <v>1509</v>
      </c>
      <c r="F85" s="30" t="s">
        <v>2880</v>
      </c>
      <c r="G85" s="176">
        <v>15</v>
      </c>
      <c r="H85" s="30" t="s">
        <v>2899</v>
      </c>
      <c r="I85" s="29" t="s">
        <v>1630</v>
      </c>
      <c r="J85" s="31" t="s">
        <v>1516</v>
      </c>
      <c r="K85" s="29" t="s">
        <v>1570</v>
      </c>
      <c r="L85" s="30" t="s">
        <v>1571</v>
      </c>
      <c r="M85" s="175" t="s">
        <v>2494</v>
      </c>
      <c r="N85" s="174" t="s">
        <v>2642</v>
      </c>
      <c r="O85" s="30"/>
      <c r="P85" s="175" t="str">
        <f>F85&amp;"&gt;"&amp;G85&amp;"&gt;"&amp;D85&amp;"&gt;"&amp;N85</f>
        <v>제05편 병합소송&gt;15&gt;1-2&gt;기출</v>
      </c>
      <c r="Q85" s="175" t="str">
        <f>H85&amp;"&gt;"&amp;I85&amp;"&gt;"&amp;D85&amp;"&gt;"&amp;N85</f>
        <v>제12장 다수당사자소송&gt;11&gt;1-2&gt;기출</v>
      </c>
      <c r="R85" s="175" t="str">
        <f>H85&amp;"&gt;"&amp;J85&amp;"&gt;"&amp;K85</f>
        <v>제12장 다수당사자소송&gt;제01절 공동소송&gt;07</v>
      </c>
      <c r="S85" s="175" t="str">
        <f>N85&amp;"&gt;"&amp;C85&amp;"&gt;"&amp;E85</f>
        <v>기출&gt;2013&gt;3</v>
      </c>
      <c r="T85" s="175" t="str">
        <f>N85&amp;"&gt;"&amp;C85&amp;"&gt;"&amp;D85</f>
        <v>기출&gt;2013&gt;1-2</v>
      </c>
    </row>
    <row r="86" spans="2:20" ht="14.45" customHeight="1" x14ac:dyDescent="0.2">
      <c r="B86" s="35">
        <f>ROW()-3</f>
        <v>83</v>
      </c>
      <c r="C86" s="29" t="s">
        <v>1577</v>
      </c>
      <c r="D86" s="29" t="s">
        <v>1579</v>
      </c>
      <c r="E86" s="29" t="s">
        <v>1511</v>
      </c>
      <c r="F86" s="30" t="s">
        <v>2880</v>
      </c>
      <c r="G86" s="176">
        <v>17</v>
      </c>
      <c r="H86" s="30" t="s">
        <v>2899</v>
      </c>
      <c r="I86" s="29" t="s">
        <v>1631</v>
      </c>
      <c r="J86" s="31" t="s">
        <v>1544</v>
      </c>
      <c r="K86" s="29" t="s">
        <v>1540</v>
      </c>
      <c r="L86" s="30" t="s">
        <v>1580</v>
      </c>
      <c r="M86" s="175" t="s">
        <v>2497</v>
      </c>
      <c r="N86" s="174" t="s">
        <v>2642</v>
      </c>
      <c r="O86" s="30"/>
      <c r="P86" s="175" t="str">
        <f>F86&amp;"&gt;"&amp;G86&amp;"&gt;"&amp;D86&amp;"&gt;"&amp;N86</f>
        <v>제05편 병합소송&gt;17&gt;2-1&gt;기출</v>
      </c>
      <c r="Q86" s="175" t="str">
        <f>H86&amp;"&gt;"&amp;I86&amp;"&gt;"&amp;D86&amp;"&gt;"&amp;N86</f>
        <v>제12장 다수당사자소송&gt;12&gt;2-1&gt;기출</v>
      </c>
      <c r="R86" s="175" t="str">
        <f>H86&amp;"&gt;"&amp;J86&amp;"&gt;"&amp;K86</f>
        <v>제12장 다수당사자소송&gt;제02절 제3자의 소송참가&gt;04</v>
      </c>
      <c r="S86" s="175" t="str">
        <f>N86&amp;"&gt;"&amp;C86&amp;"&gt;"&amp;E86</f>
        <v>기출&gt;2011&gt;2</v>
      </c>
      <c r="T86" s="175" t="str">
        <f>N86&amp;"&gt;"&amp;C86&amp;"&gt;"&amp;D86</f>
        <v>기출&gt;2011&gt;2-1</v>
      </c>
    </row>
    <row r="87" spans="2:20" ht="14.45" customHeight="1" x14ac:dyDescent="0.2">
      <c r="B87" s="35">
        <f>ROW()-3</f>
        <v>84</v>
      </c>
      <c r="C87" s="29" t="s">
        <v>1583</v>
      </c>
      <c r="D87" s="29" t="s">
        <v>1581</v>
      </c>
      <c r="E87" s="29" t="s">
        <v>1513</v>
      </c>
      <c r="F87" s="30" t="s">
        <v>2880</v>
      </c>
      <c r="G87" s="176">
        <v>18</v>
      </c>
      <c r="H87" s="30" t="s">
        <v>2899</v>
      </c>
      <c r="I87" s="29" t="s">
        <v>1632</v>
      </c>
      <c r="J87" s="31" t="s">
        <v>1516</v>
      </c>
      <c r="K87" s="29" t="s">
        <v>1585</v>
      </c>
      <c r="L87" s="30" t="s">
        <v>1586</v>
      </c>
      <c r="M87" s="175" t="s">
        <v>2495</v>
      </c>
      <c r="N87" s="174" t="s">
        <v>2642</v>
      </c>
      <c r="O87" s="30"/>
      <c r="P87" s="175" t="str">
        <f>F87&amp;"&gt;"&amp;G87&amp;"&gt;"&amp;D87&amp;"&gt;"&amp;N87</f>
        <v>제05편 병합소송&gt;18&gt;2-2&gt;기출</v>
      </c>
      <c r="Q87" s="175" t="str">
        <f>H87&amp;"&gt;"&amp;I87&amp;"&gt;"&amp;D87&amp;"&gt;"&amp;N87</f>
        <v>제12장 다수당사자소송&gt;13&gt;2-2&gt;기출</v>
      </c>
      <c r="R87" s="175" t="str">
        <f>H87&amp;"&gt;"&amp;J87&amp;"&gt;"&amp;K87</f>
        <v>제12장 다수당사자소송&gt;제01절 공동소송&gt;08</v>
      </c>
      <c r="S87" s="175" t="str">
        <f>N87&amp;"&gt;"&amp;C87&amp;"&gt;"&amp;E87</f>
        <v>기출&gt;2010&gt;1</v>
      </c>
      <c r="T87" s="175" t="str">
        <f>N87&amp;"&gt;"&amp;C87&amp;"&gt;"&amp;D87</f>
        <v>기출&gt;2010&gt;2-2</v>
      </c>
    </row>
    <row r="88" spans="2:20" ht="14.45" hidden="1" customHeight="1" x14ac:dyDescent="0.2">
      <c r="B88" s="35">
        <f>ROW()-3</f>
        <v>85</v>
      </c>
      <c r="C88" s="29" t="s">
        <v>1599</v>
      </c>
      <c r="D88" s="29" t="s">
        <v>1589</v>
      </c>
      <c r="E88" s="29" t="s">
        <v>1511</v>
      </c>
      <c r="F88" s="30" t="s">
        <v>2881</v>
      </c>
      <c r="G88" s="187" t="s">
        <v>2933</v>
      </c>
      <c r="H88" s="30" t="s">
        <v>2901</v>
      </c>
      <c r="I88" s="29" t="s">
        <v>1518</v>
      </c>
      <c r="J88" s="31" t="s">
        <v>1617</v>
      </c>
      <c r="K88" s="29" t="s">
        <v>1505</v>
      </c>
      <c r="L88" s="34" t="s">
        <v>280</v>
      </c>
      <c r="M88" s="174" t="s">
        <v>2498</v>
      </c>
      <c r="N88" s="174" t="s">
        <v>2641</v>
      </c>
      <c r="O88" s="30"/>
      <c r="P88" s="175" t="str">
        <f>F88&amp;"&gt;"&amp;G88&amp;"&gt;"&amp;D88&amp;"&gt;"&amp;N88</f>
        <v>제06편 상소심절차&gt;03&gt;1&gt;예상</v>
      </c>
      <c r="Q88" s="175" t="str">
        <f>H88&amp;"&gt;"&amp;I88&amp;"&gt;"&amp;D88&amp;"&gt;"&amp;N88</f>
        <v>제13장 총설&gt;02&gt;1&gt;예상</v>
      </c>
      <c r="R88" s="175" t="str">
        <f>H88&amp;"&gt;"&amp;J88&amp;"&gt;"&amp;K88</f>
        <v>제13장 총설&gt;제02절 상소의 적법요건&gt;01</v>
      </c>
      <c r="S88" s="175" t="str">
        <f>N88&amp;"&gt;"&amp;C88&amp;"&gt;"&amp;E88</f>
        <v>예상&gt;13.02&gt;2</v>
      </c>
      <c r="T88" s="175" t="str">
        <f>N88&amp;"&gt;"&amp;C88&amp;"&gt;"&amp;D88</f>
        <v>예상&gt;13.02&gt;1</v>
      </c>
    </row>
    <row r="89" spans="2:20" ht="14.45" hidden="1" customHeight="1" x14ac:dyDescent="0.2">
      <c r="B89" s="35">
        <f>ROW()-3</f>
        <v>86</v>
      </c>
      <c r="C89" s="29" t="s">
        <v>1599</v>
      </c>
      <c r="D89" s="29" t="s">
        <v>1562</v>
      </c>
      <c r="E89" s="29" t="s">
        <v>1513</v>
      </c>
      <c r="F89" s="30" t="s">
        <v>2881</v>
      </c>
      <c r="G89" s="187" t="s">
        <v>2935</v>
      </c>
      <c r="H89" s="30" t="s">
        <v>2901</v>
      </c>
      <c r="I89" s="29" t="s">
        <v>1531</v>
      </c>
      <c r="J89" s="31" t="s">
        <v>1617</v>
      </c>
      <c r="K89" s="29" t="s">
        <v>1518</v>
      </c>
      <c r="L89" s="34" t="s">
        <v>281</v>
      </c>
      <c r="M89" s="174" t="s">
        <v>2499</v>
      </c>
      <c r="N89" s="174" t="s">
        <v>2641</v>
      </c>
      <c r="O89" s="30"/>
      <c r="P89" s="175" t="str">
        <f>F89&amp;"&gt;"&amp;G89&amp;"&gt;"&amp;D89&amp;"&gt;"&amp;N89</f>
        <v>제06편 상소심절차&gt;04&gt;2&gt;예상</v>
      </c>
      <c r="Q89" s="175" t="str">
        <f>H89&amp;"&gt;"&amp;I89&amp;"&gt;"&amp;D89&amp;"&gt;"&amp;N89</f>
        <v>제13장 총설&gt;03&gt;2&gt;예상</v>
      </c>
      <c r="R89" s="175" t="str">
        <f>H89&amp;"&gt;"&amp;J89&amp;"&gt;"&amp;K89</f>
        <v>제13장 총설&gt;제02절 상소의 적법요건&gt;02</v>
      </c>
      <c r="S89" s="175" t="str">
        <f>N89&amp;"&gt;"&amp;C89&amp;"&gt;"&amp;E89</f>
        <v>예상&gt;13.02&gt;1</v>
      </c>
      <c r="T89" s="175" t="str">
        <f>N89&amp;"&gt;"&amp;C89&amp;"&gt;"&amp;D89</f>
        <v>예상&gt;13.02&gt;2</v>
      </c>
    </row>
    <row r="90" spans="2:20" ht="14.45" customHeight="1" x14ac:dyDescent="0.2">
      <c r="B90" s="35">
        <f>ROW()-3</f>
        <v>87</v>
      </c>
      <c r="C90" s="29" t="s">
        <v>1515</v>
      </c>
      <c r="D90" s="29" t="s">
        <v>1508</v>
      </c>
      <c r="E90" s="29" t="s">
        <v>1509</v>
      </c>
      <c r="F90" s="30" t="s">
        <v>2881</v>
      </c>
      <c r="G90" s="187" t="s">
        <v>2934</v>
      </c>
      <c r="H90" s="30" t="s">
        <v>4266</v>
      </c>
      <c r="I90" s="29" t="s">
        <v>1505</v>
      </c>
      <c r="J90" s="31" t="s">
        <v>1517</v>
      </c>
      <c r="K90" s="29" t="s">
        <v>1505</v>
      </c>
      <c r="L90" s="30" t="s">
        <v>263</v>
      </c>
      <c r="M90" s="175" t="s">
        <v>2500</v>
      </c>
      <c r="N90" s="174" t="s">
        <v>2642</v>
      </c>
      <c r="O90" s="30"/>
      <c r="P90" s="175" t="str">
        <f>F90&amp;"&gt;"&amp;G90&amp;"&gt;"&amp;D90&amp;"&gt;"&amp;N90</f>
        <v>제06편 상소심절차&gt;01&gt;1-2&gt;기출</v>
      </c>
      <c r="Q90" s="175" t="str">
        <f>H90&amp;"&gt;"&amp;I90&amp;"&gt;"&amp;D90&amp;"&gt;"&amp;N90</f>
        <v>제13장 총설&gt;01&gt;1-2&gt;기출</v>
      </c>
      <c r="R90" s="175" t="str">
        <f>H90&amp;"&gt;"&amp;J90&amp;"&gt;"&amp;K90</f>
        <v>제13장 총설&gt;제03절 상소의 효력&gt;01</v>
      </c>
      <c r="S90" s="175" t="str">
        <f>N90&amp;"&gt;"&amp;C90&amp;"&gt;"&amp;E90</f>
        <v>기출&gt;2024&gt;3</v>
      </c>
      <c r="T90" s="175" t="str">
        <f>N90&amp;"&gt;"&amp;C90&amp;"&gt;"&amp;D90</f>
        <v>기출&gt;2024&gt;1-2</v>
      </c>
    </row>
    <row r="91" spans="2:20" ht="14.45" customHeight="1" x14ac:dyDescent="0.2">
      <c r="B91" s="35">
        <f>ROW()-3</f>
        <v>88</v>
      </c>
      <c r="C91" s="29" t="s">
        <v>1520</v>
      </c>
      <c r="D91" s="29" t="s">
        <v>1509</v>
      </c>
      <c r="E91" s="29" t="s">
        <v>1513</v>
      </c>
      <c r="F91" s="30" t="s">
        <v>2881</v>
      </c>
      <c r="G91" s="187" t="s">
        <v>2932</v>
      </c>
      <c r="H91" s="30" t="s">
        <v>4267</v>
      </c>
      <c r="I91" s="29" t="s">
        <v>1505</v>
      </c>
      <c r="J91" s="31" t="s">
        <v>1523</v>
      </c>
      <c r="K91" s="29" t="s">
        <v>1505</v>
      </c>
      <c r="L91" s="30" t="s">
        <v>2851</v>
      </c>
      <c r="M91" s="175" t="s">
        <v>2852</v>
      </c>
      <c r="N91" s="174" t="s">
        <v>2642</v>
      </c>
      <c r="O91" s="30"/>
      <c r="P91" s="175" t="str">
        <f>F91&amp;"&gt;"&amp;G91&amp;"&gt;"&amp;D91&amp;"&gt;"&amp;N91</f>
        <v>제06편 상소심절차&gt;02&gt;3&gt;기출</v>
      </c>
      <c r="Q91" s="175" t="str">
        <f>H91&amp;"&gt;"&amp;I91&amp;"&gt;"&amp;D91&amp;"&gt;"&amp;N91</f>
        <v>제14장 항소&gt;01&gt;3&gt;기출</v>
      </c>
      <c r="R91" s="175" t="str">
        <f>H91&amp;"&gt;"&amp;J91&amp;"&gt;"&amp;K91</f>
        <v>제14장 항소&gt;제02절 항소의 제기&gt;01</v>
      </c>
      <c r="S91" s="175" t="str">
        <f>N91&amp;"&gt;"&amp;C91&amp;"&gt;"&amp;E91</f>
        <v>기출&gt;2023&gt;1</v>
      </c>
      <c r="T91" s="175" t="str">
        <f>N91&amp;"&gt;"&amp;C91&amp;"&gt;"&amp;D91</f>
        <v>기출&gt;2023&gt;3</v>
      </c>
    </row>
    <row r="92" spans="2:20" ht="14.45" hidden="1" customHeight="1" x14ac:dyDescent="0.2">
      <c r="B92" s="35">
        <f t="shared" ref="B68:B99" si="6">ROW()-3</f>
        <v>89</v>
      </c>
      <c r="C92" s="29" t="s">
        <v>1600</v>
      </c>
      <c r="D92" s="29" t="s">
        <v>1589</v>
      </c>
      <c r="E92" s="29" t="s">
        <v>1511</v>
      </c>
      <c r="F92" s="30" t="s">
        <v>2881</v>
      </c>
      <c r="G92" s="187" t="s">
        <v>2936</v>
      </c>
      <c r="H92" s="30" t="s">
        <v>2903</v>
      </c>
      <c r="I92" s="29" t="s">
        <v>1518</v>
      </c>
      <c r="J92" s="31" t="s">
        <v>1618</v>
      </c>
      <c r="K92" s="29" t="s">
        <v>1505</v>
      </c>
      <c r="L92" s="34" t="s">
        <v>282</v>
      </c>
      <c r="M92" s="174" t="s">
        <v>2501</v>
      </c>
      <c r="N92" s="174" t="s">
        <v>2641</v>
      </c>
      <c r="O92" s="30"/>
      <c r="P92" s="175" t="str">
        <f t="shared" ref="P68:P99" si="7">F92&amp;"&gt;"&amp;G92&amp;"&gt;"&amp;D92&amp;"&gt;"&amp;N92</f>
        <v>제06편 상소심절차&gt;05&gt;1&gt;예상</v>
      </c>
      <c r="Q92" s="175" t="str">
        <f t="shared" ref="Q68:Q99" si="8">H92&amp;"&gt;"&amp;I92&amp;"&gt;"&amp;D92&amp;"&gt;"&amp;N92</f>
        <v>제14장 항소&gt;02&gt;1&gt;예상</v>
      </c>
      <c r="R92" s="175" t="str">
        <f t="shared" ref="R68:R99" si="9">H92&amp;"&gt;"&amp;J92&amp;"&gt;"&amp;K92</f>
        <v>제14장 항소&gt;제03절 항소심의 심리&gt;01</v>
      </c>
      <c r="S92" s="175" t="str">
        <f t="shared" ref="S68:S99" si="10">N92&amp;"&gt;"&amp;C92&amp;"&gt;"&amp;E92</f>
        <v>예상&gt;14.03&gt;2</v>
      </c>
      <c r="T92" s="175" t="str">
        <f t="shared" ref="T68:T99" si="11">N92&amp;"&gt;"&amp;C92&amp;"&gt;"&amp;D92</f>
        <v>예상&gt;14.03&gt;1</v>
      </c>
    </row>
    <row r="93" spans="2:20" ht="14.45" hidden="1" customHeight="1" x14ac:dyDescent="0.2">
      <c r="B93" s="35">
        <f t="shared" si="6"/>
        <v>90</v>
      </c>
      <c r="C93" s="29" t="s">
        <v>1600</v>
      </c>
      <c r="D93" s="29" t="s">
        <v>1562</v>
      </c>
      <c r="E93" s="29" t="s">
        <v>1513</v>
      </c>
      <c r="F93" s="30" t="s">
        <v>2881</v>
      </c>
      <c r="G93" s="187" t="s">
        <v>2937</v>
      </c>
      <c r="H93" s="30" t="s">
        <v>2903</v>
      </c>
      <c r="I93" s="29" t="s">
        <v>1531</v>
      </c>
      <c r="J93" s="31" t="s">
        <v>1618</v>
      </c>
      <c r="K93" s="29" t="s">
        <v>1518</v>
      </c>
      <c r="L93" s="34" t="s">
        <v>283</v>
      </c>
      <c r="M93" s="174" t="s">
        <v>2502</v>
      </c>
      <c r="N93" s="174" t="s">
        <v>2641</v>
      </c>
      <c r="O93" s="30"/>
      <c r="P93" s="175" t="str">
        <f t="shared" si="7"/>
        <v>제06편 상소심절차&gt;06&gt;2&gt;예상</v>
      </c>
      <c r="Q93" s="175" t="str">
        <f t="shared" si="8"/>
        <v>제14장 항소&gt;03&gt;2&gt;예상</v>
      </c>
      <c r="R93" s="175" t="str">
        <f t="shared" si="9"/>
        <v>제14장 항소&gt;제03절 항소심의 심리&gt;02</v>
      </c>
      <c r="S93" s="175" t="str">
        <f t="shared" si="10"/>
        <v>예상&gt;14.03&gt;1</v>
      </c>
      <c r="T93" s="175" t="str">
        <f t="shared" si="11"/>
        <v>예상&gt;14.03&gt;2</v>
      </c>
    </row>
    <row r="94" spans="2:20" ht="14.45" hidden="1" customHeight="1" x14ac:dyDescent="0.2">
      <c r="B94" s="35">
        <f t="shared" si="6"/>
        <v>91</v>
      </c>
      <c r="C94" s="29" t="s">
        <v>1601</v>
      </c>
      <c r="D94" s="29" t="s">
        <v>1589</v>
      </c>
      <c r="E94" s="29" t="s">
        <v>1511</v>
      </c>
      <c r="F94" s="30" t="s">
        <v>2881</v>
      </c>
      <c r="G94" s="187" t="s">
        <v>2938</v>
      </c>
      <c r="H94" s="30" t="s">
        <v>2903</v>
      </c>
      <c r="I94" s="29" t="s">
        <v>1540</v>
      </c>
      <c r="J94" s="31" t="s">
        <v>1619</v>
      </c>
      <c r="K94" s="29" t="s">
        <v>1505</v>
      </c>
      <c r="L94" s="34" t="s">
        <v>2697</v>
      </c>
      <c r="M94" s="174" t="s">
        <v>2698</v>
      </c>
      <c r="N94" s="174" t="s">
        <v>2641</v>
      </c>
      <c r="O94" s="30"/>
      <c r="P94" s="175" t="str">
        <f t="shared" si="7"/>
        <v>제06편 상소심절차&gt;07&gt;1&gt;예상</v>
      </c>
      <c r="Q94" s="175" t="str">
        <f t="shared" si="8"/>
        <v>제14장 항소&gt;04&gt;1&gt;예상</v>
      </c>
      <c r="R94" s="175" t="str">
        <f t="shared" si="9"/>
        <v>제14장 항소&gt;제04절 항소심의 종국재판&gt;01</v>
      </c>
      <c r="S94" s="175" t="str">
        <f t="shared" si="10"/>
        <v>예상&gt;14.04&gt;2</v>
      </c>
      <c r="T94" s="175" t="str">
        <f t="shared" si="11"/>
        <v>예상&gt;14.04&gt;1</v>
      </c>
    </row>
    <row r="95" spans="2:20" ht="14.45" hidden="1" customHeight="1" x14ac:dyDescent="0.2">
      <c r="B95" s="35">
        <f t="shared" si="6"/>
        <v>92</v>
      </c>
      <c r="C95" s="29" t="s">
        <v>1601</v>
      </c>
      <c r="D95" s="29" t="s">
        <v>1562</v>
      </c>
      <c r="E95" s="29" t="s">
        <v>1513</v>
      </c>
      <c r="F95" s="30" t="s">
        <v>2881</v>
      </c>
      <c r="G95" s="187" t="s">
        <v>2939</v>
      </c>
      <c r="H95" s="30" t="s">
        <v>2903</v>
      </c>
      <c r="I95" s="29" t="s">
        <v>1558</v>
      </c>
      <c r="J95" s="31" t="s">
        <v>1619</v>
      </c>
      <c r="K95" s="29" t="s">
        <v>1518</v>
      </c>
      <c r="L95" s="34" t="s">
        <v>284</v>
      </c>
      <c r="M95" s="174" t="s">
        <v>2503</v>
      </c>
      <c r="N95" s="174" t="s">
        <v>2641</v>
      </c>
      <c r="O95" s="30"/>
      <c r="P95" s="175" t="str">
        <f t="shared" si="7"/>
        <v>제06편 상소심절차&gt;08&gt;2&gt;예상</v>
      </c>
      <c r="Q95" s="175" t="str">
        <f t="shared" si="8"/>
        <v>제14장 항소&gt;05&gt;2&gt;예상</v>
      </c>
      <c r="R95" s="175" t="str">
        <f t="shared" si="9"/>
        <v>제14장 항소&gt;제04절 항소심의 종국재판&gt;02</v>
      </c>
      <c r="S95" s="175" t="str">
        <f t="shared" si="10"/>
        <v>예상&gt;14.04&gt;1</v>
      </c>
      <c r="T95" s="175" t="str">
        <f t="shared" si="11"/>
        <v>예상&gt;14.04&gt;2</v>
      </c>
    </row>
    <row r="96" spans="2:20" ht="14.45" hidden="1" customHeight="1" x14ac:dyDescent="0.2">
      <c r="B96" s="35">
        <f t="shared" si="6"/>
        <v>93</v>
      </c>
      <c r="C96" s="29" t="s">
        <v>1602</v>
      </c>
      <c r="D96" s="29" t="s">
        <v>1589</v>
      </c>
      <c r="E96" s="29" t="s">
        <v>1511</v>
      </c>
      <c r="F96" s="30" t="s">
        <v>2881</v>
      </c>
      <c r="G96" s="187" t="s">
        <v>2940</v>
      </c>
      <c r="H96" s="30" t="s">
        <v>2905</v>
      </c>
      <c r="I96" s="29" t="s">
        <v>1505</v>
      </c>
      <c r="J96" s="31" t="s">
        <v>1620</v>
      </c>
      <c r="K96" s="29" t="s">
        <v>1505</v>
      </c>
      <c r="L96" s="34" t="s">
        <v>285</v>
      </c>
      <c r="M96" s="174" t="s">
        <v>2504</v>
      </c>
      <c r="N96" s="174" t="s">
        <v>2641</v>
      </c>
      <c r="O96" s="30"/>
      <c r="P96" s="175" t="str">
        <f t="shared" si="7"/>
        <v>제06편 상소심절차&gt;09&gt;1&gt;예상</v>
      </c>
      <c r="Q96" s="175" t="str">
        <f t="shared" si="8"/>
        <v>제15장 상고&gt;01&gt;1&gt;예상</v>
      </c>
      <c r="R96" s="175" t="str">
        <f t="shared" si="9"/>
        <v>제15장 상고&gt;제02절 상고이유&gt;01</v>
      </c>
      <c r="S96" s="175" t="str">
        <f t="shared" si="10"/>
        <v>예상&gt;15.02&gt;2</v>
      </c>
      <c r="T96" s="175" t="str">
        <f t="shared" si="11"/>
        <v>예상&gt;15.02&gt;1</v>
      </c>
    </row>
    <row r="97" spans="2:20" ht="14.45" hidden="1" customHeight="1" x14ac:dyDescent="0.2">
      <c r="B97" s="35">
        <f t="shared" si="6"/>
        <v>94</v>
      </c>
      <c r="C97" s="29" t="s">
        <v>1602</v>
      </c>
      <c r="D97" s="29" t="s">
        <v>1562</v>
      </c>
      <c r="E97" s="29" t="s">
        <v>1513</v>
      </c>
      <c r="F97" s="30" t="s">
        <v>2881</v>
      </c>
      <c r="G97" s="176">
        <v>10</v>
      </c>
      <c r="H97" s="30" t="s">
        <v>2905</v>
      </c>
      <c r="I97" s="29" t="s">
        <v>1518</v>
      </c>
      <c r="J97" s="31" t="s">
        <v>1620</v>
      </c>
      <c r="K97" s="29" t="s">
        <v>1518</v>
      </c>
      <c r="L97" s="34" t="s">
        <v>2949</v>
      </c>
      <c r="M97" s="174" t="s">
        <v>2950</v>
      </c>
      <c r="N97" s="174" t="s">
        <v>2641</v>
      </c>
      <c r="O97" s="30"/>
      <c r="P97" s="175" t="str">
        <f t="shared" si="7"/>
        <v>제06편 상소심절차&gt;10&gt;2&gt;예상</v>
      </c>
      <c r="Q97" s="175" t="str">
        <f t="shared" si="8"/>
        <v>제15장 상고&gt;02&gt;2&gt;예상</v>
      </c>
      <c r="R97" s="175" t="str">
        <f t="shared" si="9"/>
        <v>제15장 상고&gt;제02절 상고이유&gt;02</v>
      </c>
      <c r="S97" s="175" t="str">
        <f t="shared" si="10"/>
        <v>예상&gt;15.02&gt;1</v>
      </c>
      <c r="T97" s="175" t="str">
        <f t="shared" si="11"/>
        <v>예상&gt;15.02&gt;2</v>
      </c>
    </row>
    <row r="98" spans="2:20" ht="14.45" hidden="1" customHeight="1" x14ac:dyDescent="0.2">
      <c r="B98" s="35">
        <f t="shared" si="6"/>
        <v>95</v>
      </c>
      <c r="C98" s="29" t="s">
        <v>1603</v>
      </c>
      <c r="D98" s="29" t="s">
        <v>1589</v>
      </c>
      <c r="E98" s="29" t="s">
        <v>1511</v>
      </c>
      <c r="F98" s="30" t="s">
        <v>2881</v>
      </c>
      <c r="G98" s="176">
        <v>11</v>
      </c>
      <c r="H98" s="30" t="s">
        <v>2905</v>
      </c>
      <c r="I98" s="29" t="s">
        <v>1531</v>
      </c>
      <c r="J98" s="31" t="s">
        <v>1621</v>
      </c>
      <c r="K98" s="29" t="s">
        <v>1505</v>
      </c>
      <c r="L98" s="34" t="s">
        <v>286</v>
      </c>
      <c r="M98" s="174" t="s">
        <v>2505</v>
      </c>
      <c r="N98" s="174" t="s">
        <v>2641</v>
      </c>
      <c r="O98" s="30"/>
      <c r="P98" s="175" t="str">
        <f t="shared" si="7"/>
        <v>제06편 상소심절차&gt;11&gt;1&gt;예상</v>
      </c>
      <c r="Q98" s="175" t="str">
        <f t="shared" si="8"/>
        <v>제15장 상고&gt;03&gt;1&gt;예상</v>
      </c>
      <c r="R98" s="175" t="str">
        <f t="shared" si="9"/>
        <v>제15장 상고&gt;제03절 상고심절차의 개시와 심리&gt;01</v>
      </c>
      <c r="S98" s="175" t="str">
        <f t="shared" si="10"/>
        <v>예상&gt;15.03&gt;2</v>
      </c>
      <c r="T98" s="175" t="str">
        <f t="shared" si="11"/>
        <v>예상&gt;15.03&gt;1</v>
      </c>
    </row>
    <row r="99" spans="2:20" ht="14.45" hidden="1" customHeight="1" x14ac:dyDescent="0.2">
      <c r="B99" s="35">
        <f t="shared" si="6"/>
        <v>96</v>
      </c>
      <c r="C99" s="29" t="s">
        <v>1603</v>
      </c>
      <c r="D99" s="29" t="s">
        <v>1562</v>
      </c>
      <c r="E99" s="29" t="s">
        <v>1513</v>
      </c>
      <c r="F99" s="30" t="s">
        <v>2881</v>
      </c>
      <c r="G99" s="176">
        <v>12</v>
      </c>
      <c r="H99" s="30" t="s">
        <v>2905</v>
      </c>
      <c r="I99" s="29" t="s">
        <v>1540</v>
      </c>
      <c r="J99" s="31" t="s">
        <v>1621</v>
      </c>
      <c r="K99" s="29" t="s">
        <v>1518</v>
      </c>
      <c r="L99" s="34" t="s">
        <v>287</v>
      </c>
      <c r="M99" s="174" t="s">
        <v>2506</v>
      </c>
      <c r="N99" s="174" t="s">
        <v>2641</v>
      </c>
      <c r="O99" s="30"/>
      <c r="P99" s="175" t="str">
        <f t="shared" si="7"/>
        <v>제06편 상소심절차&gt;12&gt;2&gt;예상</v>
      </c>
      <c r="Q99" s="175" t="str">
        <f t="shared" si="8"/>
        <v>제15장 상고&gt;04&gt;2&gt;예상</v>
      </c>
      <c r="R99" s="175" t="str">
        <f t="shared" si="9"/>
        <v>제15장 상고&gt;제03절 상고심절차의 개시와 심리&gt;02</v>
      </c>
      <c r="S99" s="175" t="str">
        <f t="shared" si="10"/>
        <v>예상&gt;15.03&gt;1</v>
      </c>
      <c r="T99" s="175" t="str">
        <f t="shared" si="11"/>
        <v>예상&gt;15.03&gt;2</v>
      </c>
    </row>
    <row r="100" spans="2:20" ht="14.45" hidden="1" customHeight="1" x14ac:dyDescent="0.2">
      <c r="B100" s="35">
        <f t="shared" ref="B100:B111" si="12">ROW()-3</f>
        <v>97</v>
      </c>
      <c r="C100" s="29" t="s">
        <v>1604</v>
      </c>
      <c r="D100" s="29" t="s">
        <v>1589</v>
      </c>
      <c r="E100" s="29" t="s">
        <v>1511</v>
      </c>
      <c r="F100" s="30" t="s">
        <v>2881</v>
      </c>
      <c r="G100" s="176">
        <v>13</v>
      </c>
      <c r="H100" s="30" t="s">
        <v>2905</v>
      </c>
      <c r="I100" s="29" t="s">
        <v>1558</v>
      </c>
      <c r="J100" s="31" t="s">
        <v>1622</v>
      </c>
      <c r="K100" s="29" t="s">
        <v>1505</v>
      </c>
      <c r="L100" s="34" t="s">
        <v>288</v>
      </c>
      <c r="M100" s="174" t="s">
        <v>2507</v>
      </c>
      <c r="N100" s="174" t="s">
        <v>2641</v>
      </c>
      <c r="O100" s="30"/>
      <c r="P100" s="175" t="str">
        <f t="shared" ref="P100:P111" si="13">F100&amp;"&gt;"&amp;G100&amp;"&gt;"&amp;D100&amp;"&gt;"&amp;N100</f>
        <v>제06편 상소심절차&gt;13&gt;1&gt;예상</v>
      </c>
      <c r="Q100" s="175" t="str">
        <f t="shared" ref="Q100:Q111" si="14">H100&amp;"&gt;"&amp;I100&amp;"&gt;"&amp;D100&amp;"&gt;"&amp;N100</f>
        <v>제15장 상고&gt;05&gt;1&gt;예상</v>
      </c>
      <c r="R100" s="175" t="str">
        <f t="shared" ref="R100:R111" si="15">H100&amp;"&gt;"&amp;J100&amp;"&gt;"&amp;K100</f>
        <v>제15장 상고&gt;제04절 상고심의 종국재판&gt;01</v>
      </c>
      <c r="S100" s="175" t="str">
        <f t="shared" ref="S100:S111" si="16">N100&amp;"&gt;"&amp;C100&amp;"&gt;"&amp;E100</f>
        <v>예상&gt;15.04&gt;2</v>
      </c>
      <c r="T100" s="175" t="str">
        <f t="shared" ref="T100:T111" si="17">N100&amp;"&gt;"&amp;C100&amp;"&gt;"&amp;D100</f>
        <v>예상&gt;15.04&gt;1</v>
      </c>
    </row>
    <row r="101" spans="2:20" ht="14.45" hidden="1" customHeight="1" x14ac:dyDescent="0.2">
      <c r="B101" s="35">
        <f t="shared" si="12"/>
        <v>98</v>
      </c>
      <c r="C101" s="29" t="s">
        <v>1604</v>
      </c>
      <c r="D101" s="29" t="s">
        <v>1562</v>
      </c>
      <c r="E101" s="29" t="s">
        <v>1513</v>
      </c>
      <c r="F101" s="30" t="s">
        <v>2881</v>
      </c>
      <c r="G101" s="176">
        <v>14</v>
      </c>
      <c r="H101" s="30" t="s">
        <v>2905</v>
      </c>
      <c r="I101" s="29" t="s">
        <v>1568</v>
      </c>
      <c r="J101" s="31" t="s">
        <v>1622</v>
      </c>
      <c r="K101" s="29" t="s">
        <v>1518</v>
      </c>
      <c r="L101" s="34" t="s">
        <v>289</v>
      </c>
      <c r="M101" s="174" t="s">
        <v>2508</v>
      </c>
      <c r="N101" s="174" t="s">
        <v>2641</v>
      </c>
      <c r="O101" s="30"/>
      <c r="P101" s="175" t="str">
        <f t="shared" si="13"/>
        <v>제06편 상소심절차&gt;14&gt;2&gt;예상</v>
      </c>
      <c r="Q101" s="175" t="str">
        <f t="shared" si="14"/>
        <v>제15장 상고&gt;06&gt;2&gt;예상</v>
      </c>
      <c r="R101" s="175" t="str">
        <f t="shared" si="15"/>
        <v>제15장 상고&gt;제04절 상고심의 종국재판&gt;02</v>
      </c>
      <c r="S101" s="175" t="str">
        <f t="shared" si="16"/>
        <v>예상&gt;15.04&gt;1</v>
      </c>
      <c r="T101" s="175" t="str">
        <f t="shared" si="17"/>
        <v>예상&gt;15.04&gt;2</v>
      </c>
    </row>
    <row r="102" spans="2:20" ht="14.45" hidden="1" customHeight="1" x14ac:dyDescent="0.2">
      <c r="B102" s="35">
        <f t="shared" si="12"/>
        <v>99</v>
      </c>
      <c r="C102" s="29" t="s">
        <v>1605</v>
      </c>
      <c r="D102" s="29" t="s">
        <v>1589</v>
      </c>
      <c r="E102" s="29" t="s">
        <v>1511</v>
      </c>
      <c r="F102" s="30" t="s">
        <v>2881</v>
      </c>
      <c r="G102" s="176">
        <v>15</v>
      </c>
      <c r="H102" s="30" t="s">
        <v>2907</v>
      </c>
      <c r="I102" s="29" t="s">
        <v>1505</v>
      </c>
      <c r="J102" s="31" t="s">
        <v>1623</v>
      </c>
      <c r="K102" s="29" t="s">
        <v>1505</v>
      </c>
      <c r="L102" s="34" t="s">
        <v>290</v>
      </c>
      <c r="M102" s="174" t="s">
        <v>2509</v>
      </c>
      <c r="N102" s="174" t="s">
        <v>2641</v>
      </c>
      <c r="O102" s="30"/>
      <c r="P102" s="175" t="str">
        <f t="shared" si="13"/>
        <v>제06편 상소심절차&gt;15&gt;1&gt;예상</v>
      </c>
      <c r="Q102" s="175" t="str">
        <f t="shared" si="14"/>
        <v>제16장 항고&gt;01&gt;1&gt;예상</v>
      </c>
      <c r="R102" s="175" t="str">
        <f t="shared" si="15"/>
        <v>제16장 항고&gt;제02절 항고의 절차&gt;01</v>
      </c>
      <c r="S102" s="175" t="str">
        <f t="shared" si="16"/>
        <v>예상&gt;16.02&gt;2</v>
      </c>
      <c r="T102" s="175" t="str">
        <f t="shared" si="17"/>
        <v>예상&gt;16.02&gt;1</v>
      </c>
    </row>
    <row r="103" spans="2:20" ht="14.45" hidden="1" customHeight="1" x14ac:dyDescent="0.2">
      <c r="B103" s="35">
        <f t="shared" si="12"/>
        <v>100</v>
      </c>
      <c r="C103" s="29" t="s">
        <v>1605</v>
      </c>
      <c r="D103" s="29" t="s">
        <v>1562</v>
      </c>
      <c r="E103" s="29" t="s">
        <v>1513</v>
      </c>
      <c r="F103" s="30" t="s">
        <v>2881</v>
      </c>
      <c r="G103" s="176">
        <v>16</v>
      </c>
      <c r="H103" s="30" t="s">
        <v>2907</v>
      </c>
      <c r="I103" s="29" t="s">
        <v>1518</v>
      </c>
      <c r="J103" s="31" t="s">
        <v>1623</v>
      </c>
      <c r="K103" s="29" t="s">
        <v>1518</v>
      </c>
      <c r="L103" s="34" t="s">
        <v>291</v>
      </c>
      <c r="M103" s="174" t="s">
        <v>2510</v>
      </c>
      <c r="N103" s="174" t="s">
        <v>2641</v>
      </c>
      <c r="O103" s="30"/>
      <c r="P103" s="175" t="str">
        <f t="shared" si="13"/>
        <v>제06편 상소심절차&gt;16&gt;2&gt;예상</v>
      </c>
      <c r="Q103" s="175" t="str">
        <f t="shared" si="14"/>
        <v>제16장 항고&gt;02&gt;2&gt;예상</v>
      </c>
      <c r="R103" s="175" t="str">
        <f t="shared" si="15"/>
        <v>제16장 항고&gt;제02절 항고의 절차&gt;02</v>
      </c>
      <c r="S103" s="175" t="str">
        <f t="shared" si="16"/>
        <v>예상&gt;16.02&gt;1</v>
      </c>
      <c r="T103" s="175" t="str">
        <f t="shared" si="17"/>
        <v>예상&gt;16.02&gt;2</v>
      </c>
    </row>
    <row r="104" spans="2:20" ht="14.45" hidden="1" customHeight="1" x14ac:dyDescent="0.2">
      <c r="B104" s="35">
        <f t="shared" si="12"/>
        <v>101</v>
      </c>
      <c r="C104" s="29" t="s">
        <v>1606</v>
      </c>
      <c r="D104" s="29" t="s">
        <v>1589</v>
      </c>
      <c r="E104" s="29" t="s">
        <v>1511</v>
      </c>
      <c r="F104" s="30" t="s">
        <v>2882</v>
      </c>
      <c r="G104" s="176" t="s">
        <v>2914</v>
      </c>
      <c r="H104" s="30" t="s">
        <v>2909</v>
      </c>
      <c r="I104" s="29" t="s">
        <v>1505</v>
      </c>
      <c r="J104" s="31" t="s">
        <v>1624</v>
      </c>
      <c r="K104" s="29" t="s">
        <v>1505</v>
      </c>
      <c r="L104" s="34" t="s">
        <v>292</v>
      </c>
      <c r="M104" s="174" t="s">
        <v>2511</v>
      </c>
      <c r="N104" s="174" t="s">
        <v>2641</v>
      </c>
      <c r="O104" s="30"/>
      <c r="P104" s="175" t="str">
        <f t="shared" si="13"/>
        <v>제07편 재심절차&gt;01&gt;1&gt;예상</v>
      </c>
      <c r="Q104" s="175" t="str">
        <f t="shared" si="14"/>
        <v>제17장 재심&gt;01&gt;1&gt;예상</v>
      </c>
      <c r="R104" s="175" t="str">
        <f t="shared" si="15"/>
        <v>제17장 재심&gt;제02절 재심의 소송물&gt;01</v>
      </c>
      <c r="S104" s="175" t="str">
        <f t="shared" si="16"/>
        <v>예상&gt;17.02&gt;2</v>
      </c>
      <c r="T104" s="175" t="str">
        <f t="shared" si="17"/>
        <v>예상&gt;17.02&gt;1</v>
      </c>
    </row>
    <row r="105" spans="2:20" ht="14.45" hidden="1" customHeight="1" x14ac:dyDescent="0.2">
      <c r="B105" s="35">
        <f t="shared" si="12"/>
        <v>102</v>
      </c>
      <c r="C105" s="29" t="s">
        <v>1606</v>
      </c>
      <c r="D105" s="29" t="s">
        <v>1562</v>
      </c>
      <c r="E105" s="29" t="s">
        <v>1513</v>
      </c>
      <c r="F105" s="30" t="s">
        <v>2882</v>
      </c>
      <c r="G105" s="176" t="s">
        <v>2915</v>
      </c>
      <c r="H105" s="30" t="s">
        <v>2909</v>
      </c>
      <c r="I105" s="29" t="s">
        <v>1518</v>
      </c>
      <c r="J105" s="31" t="s">
        <v>1624</v>
      </c>
      <c r="K105" s="29" t="s">
        <v>1518</v>
      </c>
      <c r="L105" s="34" t="s">
        <v>293</v>
      </c>
      <c r="M105" s="174" t="s">
        <v>2512</v>
      </c>
      <c r="N105" s="174" t="s">
        <v>2641</v>
      </c>
      <c r="O105" s="30"/>
      <c r="P105" s="175" t="str">
        <f t="shared" si="13"/>
        <v>제07편 재심절차&gt;02&gt;2&gt;예상</v>
      </c>
      <c r="Q105" s="175" t="str">
        <f t="shared" si="14"/>
        <v>제17장 재심&gt;02&gt;2&gt;예상</v>
      </c>
      <c r="R105" s="175" t="str">
        <f t="shared" si="15"/>
        <v>제17장 재심&gt;제02절 재심의 소송물&gt;02</v>
      </c>
      <c r="S105" s="175" t="str">
        <f t="shared" si="16"/>
        <v>예상&gt;17.02&gt;1</v>
      </c>
      <c r="T105" s="175" t="str">
        <f t="shared" si="17"/>
        <v>예상&gt;17.02&gt;2</v>
      </c>
    </row>
    <row r="106" spans="2:20" ht="14.45" hidden="1" customHeight="1" x14ac:dyDescent="0.2">
      <c r="B106" s="35">
        <f t="shared" si="12"/>
        <v>103</v>
      </c>
      <c r="C106" s="29" t="s">
        <v>1607</v>
      </c>
      <c r="D106" s="29" t="s">
        <v>1589</v>
      </c>
      <c r="E106" s="29" t="s">
        <v>1511</v>
      </c>
      <c r="F106" s="30" t="s">
        <v>2882</v>
      </c>
      <c r="G106" s="176" t="s">
        <v>2916</v>
      </c>
      <c r="H106" s="30" t="s">
        <v>2909</v>
      </c>
      <c r="I106" s="29" t="s">
        <v>1531</v>
      </c>
      <c r="J106" s="31" t="s">
        <v>1625</v>
      </c>
      <c r="K106" s="29" t="s">
        <v>1505</v>
      </c>
      <c r="L106" s="34" t="s">
        <v>294</v>
      </c>
      <c r="M106" s="174" t="s">
        <v>2513</v>
      </c>
      <c r="N106" s="174" t="s">
        <v>2641</v>
      </c>
      <c r="O106" s="30"/>
      <c r="P106" s="175" t="str">
        <f t="shared" si="13"/>
        <v>제07편 재심절차&gt;03&gt;1&gt;예상</v>
      </c>
      <c r="Q106" s="175" t="str">
        <f t="shared" si="14"/>
        <v>제17장 재심&gt;03&gt;1&gt;예상</v>
      </c>
      <c r="R106" s="175" t="str">
        <f t="shared" si="15"/>
        <v>제17장 재심&gt;제03절 적법요건&gt;01</v>
      </c>
      <c r="S106" s="175" t="str">
        <f t="shared" si="16"/>
        <v>예상&gt;17.03&gt;2</v>
      </c>
      <c r="T106" s="175" t="str">
        <f t="shared" si="17"/>
        <v>예상&gt;17.03&gt;1</v>
      </c>
    </row>
    <row r="107" spans="2:20" ht="14.45" hidden="1" customHeight="1" x14ac:dyDescent="0.2">
      <c r="B107" s="35">
        <f t="shared" si="12"/>
        <v>104</v>
      </c>
      <c r="C107" s="29" t="s">
        <v>1607</v>
      </c>
      <c r="D107" s="29" t="s">
        <v>1562</v>
      </c>
      <c r="E107" s="29" t="s">
        <v>1513</v>
      </c>
      <c r="F107" s="30" t="s">
        <v>2882</v>
      </c>
      <c r="G107" s="176" t="s">
        <v>2917</v>
      </c>
      <c r="H107" s="30" t="s">
        <v>2909</v>
      </c>
      <c r="I107" s="29" t="s">
        <v>1540</v>
      </c>
      <c r="J107" s="31" t="s">
        <v>1625</v>
      </c>
      <c r="K107" s="29" t="s">
        <v>1518</v>
      </c>
      <c r="L107" s="34" t="s">
        <v>295</v>
      </c>
      <c r="M107" s="174" t="s">
        <v>2514</v>
      </c>
      <c r="N107" s="174" t="s">
        <v>2641</v>
      </c>
      <c r="O107" s="30"/>
      <c r="P107" s="175" t="str">
        <f t="shared" si="13"/>
        <v>제07편 재심절차&gt;04&gt;2&gt;예상</v>
      </c>
      <c r="Q107" s="175" t="str">
        <f t="shared" si="14"/>
        <v>제17장 재심&gt;04&gt;2&gt;예상</v>
      </c>
      <c r="R107" s="175" t="str">
        <f t="shared" si="15"/>
        <v>제17장 재심&gt;제03절 적법요건&gt;02</v>
      </c>
      <c r="S107" s="175" t="str">
        <f t="shared" si="16"/>
        <v>예상&gt;17.03&gt;1</v>
      </c>
      <c r="T107" s="175" t="str">
        <f t="shared" si="17"/>
        <v>예상&gt;17.03&gt;2</v>
      </c>
    </row>
    <row r="108" spans="2:20" ht="14.45" hidden="1" customHeight="1" x14ac:dyDescent="0.2">
      <c r="B108" s="35">
        <f t="shared" si="12"/>
        <v>105</v>
      </c>
      <c r="C108" s="29" t="s">
        <v>1608</v>
      </c>
      <c r="D108" s="29" t="s">
        <v>1589</v>
      </c>
      <c r="E108" s="29" t="s">
        <v>1511</v>
      </c>
      <c r="F108" s="30" t="s">
        <v>2882</v>
      </c>
      <c r="G108" s="176" t="s">
        <v>2918</v>
      </c>
      <c r="H108" s="30" t="s">
        <v>2909</v>
      </c>
      <c r="I108" s="29" t="s">
        <v>1558</v>
      </c>
      <c r="J108" s="31" t="s">
        <v>1626</v>
      </c>
      <c r="K108" s="29" t="s">
        <v>1505</v>
      </c>
      <c r="L108" s="34" t="s">
        <v>296</v>
      </c>
      <c r="M108" s="174" t="s">
        <v>2515</v>
      </c>
      <c r="N108" s="174" t="s">
        <v>2641</v>
      </c>
      <c r="O108" s="30"/>
      <c r="P108" s="175" t="str">
        <f t="shared" si="13"/>
        <v>제07편 재심절차&gt;05&gt;1&gt;예상</v>
      </c>
      <c r="Q108" s="175" t="str">
        <f t="shared" si="14"/>
        <v>제17장 재심&gt;05&gt;1&gt;예상</v>
      </c>
      <c r="R108" s="175" t="str">
        <f t="shared" si="15"/>
        <v>제17장 재심&gt;제04절 재심절차&gt;01</v>
      </c>
      <c r="S108" s="175" t="str">
        <f t="shared" si="16"/>
        <v>예상&gt;17.04&gt;2</v>
      </c>
      <c r="T108" s="175" t="str">
        <f t="shared" si="17"/>
        <v>예상&gt;17.04&gt;1</v>
      </c>
    </row>
    <row r="109" spans="2:20" ht="14.45" hidden="1" customHeight="1" x14ac:dyDescent="0.2">
      <c r="B109" s="35">
        <f t="shared" si="12"/>
        <v>106</v>
      </c>
      <c r="C109" s="29" t="s">
        <v>1608</v>
      </c>
      <c r="D109" s="29" t="s">
        <v>1562</v>
      </c>
      <c r="E109" s="29" t="s">
        <v>1513</v>
      </c>
      <c r="F109" s="30" t="s">
        <v>2882</v>
      </c>
      <c r="G109" s="176" t="s">
        <v>2919</v>
      </c>
      <c r="H109" s="30" t="s">
        <v>2909</v>
      </c>
      <c r="I109" s="29" t="s">
        <v>1568</v>
      </c>
      <c r="J109" s="31" t="s">
        <v>1626</v>
      </c>
      <c r="K109" s="29" t="s">
        <v>1518</v>
      </c>
      <c r="L109" s="34" t="s">
        <v>297</v>
      </c>
      <c r="M109" s="174" t="s">
        <v>2516</v>
      </c>
      <c r="N109" s="174" t="s">
        <v>2641</v>
      </c>
      <c r="O109" s="30"/>
      <c r="P109" s="175" t="str">
        <f t="shared" si="13"/>
        <v>제07편 재심절차&gt;06&gt;2&gt;예상</v>
      </c>
      <c r="Q109" s="175" t="str">
        <f t="shared" si="14"/>
        <v>제17장 재심&gt;06&gt;2&gt;예상</v>
      </c>
      <c r="R109" s="175" t="str">
        <f t="shared" si="15"/>
        <v>제17장 재심&gt;제04절 재심절차&gt;02</v>
      </c>
      <c r="S109" s="175" t="str">
        <f t="shared" si="16"/>
        <v>예상&gt;17.04&gt;1</v>
      </c>
      <c r="T109" s="175" t="str">
        <f t="shared" si="17"/>
        <v>예상&gt;17.04&gt;2</v>
      </c>
    </row>
    <row r="110" spans="2:20" ht="14.45" hidden="1" customHeight="1" x14ac:dyDescent="0.2">
      <c r="B110" s="35">
        <f t="shared" si="12"/>
        <v>107</v>
      </c>
      <c r="C110" s="29" t="s">
        <v>1591</v>
      </c>
      <c r="D110" s="29" t="s">
        <v>1589</v>
      </c>
      <c r="E110" s="29" t="s">
        <v>1511</v>
      </c>
      <c r="F110" s="30" t="s">
        <v>2882</v>
      </c>
      <c r="G110" s="176" t="s">
        <v>2920</v>
      </c>
      <c r="H110" s="30" t="s">
        <v>2909</v>
      </c>
      <c r="I110" s="29" t="s">
        <v>1570</v>
      </c>
      <c r="J110" s="31" t="s">
        <v>1627</v>
      </c>
      <c r="K110" s="29" t="s">
        <v>1505</v>
      </c>
      <c r="L110" s="34" t="s">
        <v>298</v>
      </c>
      <c r="M110" s="174" t="s">
        <v>2517</v>
      </c>
      <c r="N110" s="174" t="s">
        <v>2641</v>
      </c>
      <c r="O110" s="30"/>
      <c r="P110" s="175" t="str">
        <f t="shared" si="13"/>
        <v>제07편 재심절차&gt;07&gt;1&gt;예상</v>
      </c>
      <c r="Q110" s="175" t="str">
        <f t="shared" si="14"/>
        <v>제17장 재심&gt;07&gt;1&gt;예상</v>
      </c>
      <c r="R110" s="175" t="str">
        <f t="shared" si="15"/>
        <v>제17장 재심&gt;제05절 준재심&gt;01</v>
      </c>
      <c r="S110" s="175" t="str">
        <f t="shared" si="16"/>
        <v>예상&gt;17.05&gt;2</v>
      </c>
      <c r="T110" s="175" t="str">
        <f t="shared" si="17"/>
        <v>예상&gt;17.05&gt;1</v>
      </c>
    </row>
    <row r="111" spans="2:20" ht="14.45" hidden="1" customHeight="1" x14ac:dyDescent="0.2">
      <c r="B111" s="35">
        <f t="shared" si="12"/>
        <v>108</v>
      </c>
      <c r="C111" s="29" t="s">
        <v>1591</v>
      </c>
      <c r="D111" s="29" t="s">
        <v>1562</v>
      </c>
      <c r="E111" s="29" t="s">
        <v>1513</v>
      </c>
      <c r="F111" s="30" t="s">
        <v>2882</v>
      </c>
      <c r="G111" s="176" t="s">
        <v>2921</v>
      </c>
      <c r="H111" s="30" t="s">
        <v>2909</v>
      </c>
      <c r="I111" s="29" t="s">
        <v>1585</v>
      </c>
      <c r="J111" s="31" t="s">
        <v>1627</v>
      </c>
      <c r="K111" s="29" t="s">
        <v>1518</v>
      </c>
      <c r="L111" s="34" t="s">
        <v>2943</v>
      </c>
      <c r="M111" s="174" t="s">
        <v>2944</v>
      </c>
      <c r="N111" s="174" t="s">
        <v>2641</v>
      </c>
      <c r="O111" s="30"/>
      <c r="P111" s="175" t="str">
        <f t="shared" si="13"/>
        <v>제07편 재심절차&gt;08&gt;2&gt;예상</v>
      </c>
      <c r="Q111" s="175" t="str">
        <f t="shared" si="14"/>
        <v>제17장 재심&gt;08&gt;2&gt;예상</v>
      </c>
      <c r="R111" s="175" t="str">
        <f t="shared" si="15"/>
        <v>제17장 재심&gt;제05절 준재심&gt;02</v>
      </c>
      <c r="S111" s="175" t="str">
        <f t="shared" si="16"/>
        <v>예상&gt;17.05&gt;1</v>
      </c>
      <c r="T111" s="175" t="str">
        <f t="shared" si="17"/>
        <v>예상&gt;17.05&gt;2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91">
      <sortCondition ref="Q3:Q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573"/>
  <sheetViews>
    <sheetView showGridLines="0" tabSelected="1" zoomScaleNormal="100" workbookViewId="0">
      <pane ySplit="3" topLeftCell="A18" activePane="bottomLeft" state="frozen"/>
      <selection pane="bottomLeft" activeCell="F87" sqref="F8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3" customWidth="1"/>
    <col min="10" max="10" width="6.7109375" style="3" customWidth="1"/>
    <col min="11" max="12" width="5.7109375" style="2" customWidth="1"/>
    <col min="13" max="13" width="4.28515625" style="2" customWidth="1"/>
    <col min="14" max="14" width="14" style="2" customWidth="1"/>
    <col min="15" max="15" width="5.7109375" style="2" customWidth="1"/>
    <col min="16" max="16" width="6.7109375" style="2" customWidth="1"/>
    <col min="17" max="16384" width="9.140625" style="1"/>
  </cols>
  <sheetData>
    <row r="1" spans="2:16" ht="14.45" customHeight="1" thickBot="1" x14ac:dyDescent="0.25">
      <c r="K1" s="3"/>
      <c r="L1" s="3"/>
      <c r="M1" s="3"/>
      <c r="N1" s="3"/>
      <c r="O1" s="3"/>
      <c r="P1" s="3"/>
    </row>
    <row r="2" spans="2:16" ht="14.45" customHeight="1" x14ac:dyDescent="0.2">
      <c r="B2" s="380" t="s">
        <v>1685</v>
      </c>
      <c r="C2" s="388"/>
      <c r="D2" s="407"/>
      <c r="E2" s="389" t="s">
        <v>5</v>
      </c>
      <c r="F2" s="390"/>
      <c r="G2" s="391"/>
      <c r="H2" s="392" t="s">
        <v>300</v>
      </c>
      <c r="I2" s="393"/>
      <c r="J2" s="394"/>
      <c r="K2" s="380" t="s">
        <v>2859</v>
      </c>
      <c r="L2" s="378"/>
      <c r="M2" s="61" t="s">
        <v>2854</v>
      </c>
      <c r="N2" s="61" t="s">
        <v>1498</v>
      </c>
      <c r="O2" s="381" t="s">
        <v>2890</v>
      </c>
      <c r="P2" s="382"/>
    </row>
    <row r="3" spans="2:16" ht="14.45" customHeight="1" thickBot="1" x14ac:dyDescent="0.25">
      <c r="B3" s="9" t="s">
        <v>1803</v>
      </c>
      <c r="C3" s="9" t="s">
        <v>0</v>
      </c>
      <c r="D3" s="43" t="s">
        <v>1</v>
      </c>
      <c r="E3" s="9" t="s">
        <v>6</v>
      </c>
      <c r="F3" s="63" t="s">
        <v>1840</v>
      </c>
      <c r="G3" s="13" t="s">
        <v>1841</v>
      </c>
      <c r="H3" s="48" t="s">
        <v>2638</v>
      </c>
      <c r="I3" s="14" t="s">
        <v>301</v>
      </c>
      <c r="J3" s="15" t="s">
        <v>302</v>
      </c>
      <c r="K3" s="9" t="s">
        <v>8</v>
      </c>
      <c r="L3" s="5" t="s">
        <v>9</v>
      </c>
      <c r="M3" s="111"/>
      <c r="N3" s="62"/>
      <c r="O3" s="62" t="s">
        <v>2892</v>
      </c>
      <c r="P3" s="62" t="s">
        <v>2891</v>
      </c>
    </row>
    <row r="4" spans="2:16" ht="14.45" customHeight="1" x14ac:dyDescent="0.2">
      <c r="B4" s="359" t="s">
        <v>1681</v>
      </c>
      <c r="C4" s="365" t="s">
        <v>1682</v>
      </c>
      <c r="D4" s="404" t="s">
        <v>2520</v>
      </c>
      <c r="E4" s="115" t="s">
        <v>7</v>
      </c>
      <c r="F4" s="116" t="s">
        <v>125</v>
      </c>
      <c r="G4" s="117" t="s">
        <v>2519</v>
      </c>
      <c r="H4" s="156" t="s">
        <v>2523</v>
      </c>
      <c r="I4" s="157" t="s">
        <v>303</v>
      </c>
      <c r="J4" s="118">
        <v>5370</v>
      </c>
      <c r="K4" s="119">
        <v>46107</v>
      </c>
      <c r="L4" s="120">
        <v>46114</v>
      </c>
      <c r="M4" s="188" t="s">
        <v>2947</v>
      </c>
      <c r="N4" s="121"/>
      <c r="O4" s="182" t="s">
        <v>2883</v>
      </c>
      <c r="P4" s="182" t="s">
        <v>2861</v>
      </c>
    </row>
    <row r="5" spans="2:16" ht="14.45" customHeight="1" x14ac:dyDescent="0.2">
      <c r="B5" s="360"/>
      <c r="C5" s="366"/>
      <c r="D5" s="405"/>
      <c r="E5" s="122" t="s">
        <v>2764</v>
      </c>
      <c r="F5" s="123" t="s">
        <v>2643</v>
      </c>
      <c r="G5" s="12" t="s">
        <v>367</v>
      </c>
      <c r="H5" s="158" t="s">
        <v>2609</v>
      </c>
      <c r="I5" s="159" t="s">
        <v>368</v>
      </c>
      <c r="J5" s="95">
        <v>1953</v>
      </c>
      <c r="K5" s="96">
        <v>46171</v>
      </c>
      <c r="L5" s="97">
        <v>46165</v>
      </c>
      <c r="M5" s="189" t="s">
        <v>2947</v>
      </c>
      <c r="N5" s="98"/>
      <c r="O5" s="181" t="s">
        <v>2883</v>
      </c>
      <c r="P5" s="181" t="s">
        <v>2860</v>
      </c>
    </row>
    <row r="6" spans="2:16" ht="14.45" customHeight="1" x14ac:dyDescent="0.2">
      <c r="B6" s="360"/>
      <c r="C6" s="366"/>
      <c r="D6" s="45" t="s">
        <v>201</v>
      </c>
      <c r="E6" s="124" t="s">
        <v>7</v>
      </c>
      <c r="F6" s="125" t="s">
        <v>125</v>
      </c>
      <c r="G6" s="126" t="s">
        <v>4269</v>
      </c>
      <c r="H6" s="160" t="s">
        <v>2524</v>
      </c>
      <c r="I6" s="161" t="s">
        <v>304</v>
      </c>
      <c r="J6" s="127">
        <v>3154</v>
      </c>
      <c r="K6" s="128">
        <v>46107</v>
      </c>
      <c r="L6" s="129">
        <v>46114</v>
      </c>
      <c r="M6" s="190" t="s">
        <v>2947</v>
      </c>
      <c r="N6" s="130"/>
      <c r="O6" s="183" t="s">
        <v>2883</v>
      </c>
      <c r="P6" s="183" t="s">
        <v>2860</v>
      </c>
    </row>
    <row r="7" spans="2:16" ht="14.45" customHeight="1" x14ac:dyDescent="0.2">
      <c r="B7" s="360"/>
      <c r="C7" s="366"/>
      <c r="D7" s="362" t="s">
        <v>202</v>
      </c>
      <c r="E7" s="131" t="s">
        <v>7</v>
      </c>
      <c r="F7" s="132" t="s">
        <v>125</v>
      </c>
      <c r="G7" s="133" t="s">
        <v>143</v>
      </c>
      <c r="H7" s="162" t="s">
        <v>2525</v>
      </c>
      <c r="I7" s="163" t="s">
        <v>305</v>
      </c>
      <c r="J7" s="134">
        <v>3533</v>
      </c>
      <c r="K7" s="135">
        <v>46107</v>
      </c>
      <c r="L7" s="136">
        <v>46121</v>
      </c>
      <c r="M7" s="191" t="s">
        <v>2947</v>
      </c>
      <c r="N7" s="137"/>
      <c r="O7" s="184" t="s">
        <v>2883</v>
      </c>
      <c r="P7" s="184" t="s">
        <v>2860</v>
      </c>
    </row>
    <row r="8" spans="2:16" ht="14.45" customHeight="1" x14ac:dyDescent="0.2">
      <c r="B8" s="360"/>
      <c r="C8" s="366"/>
      <c r="D8" s="363"/>
      <c r="E8" s="150" t="s">
        <v>2763</v>
      </c>
      <c r="F8" s="151" t="s">
        <v>2613</v>
      </c>
      <c r="G8" s="16" t="s">
        <v>204</v>
      </c>
      <c r="H8" s="168" t="s">
        <v>2460</v>
      </c>
      <c r="I8" s="169" t="s">
        <v>366</v>
      </c>
      <c r="J8" s="103">
        <v>1962</v>
      </c>
      <c r="K8" s="104">
        <v>46171</v>
      </c>
      <c r="L8" s="105">
        <v>46165</v>
      </c>
      <c r="M8" s="194" t="s">
        <v>2947</v>
      </c>
      <c r="N8" s="106"/>
      <c r="O8" s="180" t="s">
        <v>2883</v>
      </c>
      <c r="P8" s="180" t="s">
        <v>2860</v>
      </c>
    </row>
    <row r="9" spans="2:16" ht="14.45" customHeight="1" x14ac:dyDescent="0.2">
      <c r="B9" s="360"/>
      <c r="C9" s="366"/>
      <c r="D9" s="363"/>
      <c r="E9" s="150" t="s">
        <v>1845</v>
      </c>
      <c r="F9" s="151" t="s">
        <v>2952</v>
      </c>
      <c r="G9" s="16" t="s">
        <v>3741</v>
      </c>
      <c r="H9" s="168" t="s">
        <v>3344</v>
      </c>
      <c r="I9" s="169" t="s">
        <v>2760</v>
      </c>
      <c r="J9" s="103">
        <v>318</v>
      </c>
      <c r="K9" s="104"/>
      <c r="L9" s="105"/>
      <c r="M9" s="194"/>
      <c r="N9" s="106"/>
      <c r="O9" s="180" t="s">
        <v>2883</v>
      </c>
      <c r="P9" s="180" t="s">
        <v>2860</v>
      </c>
    </row>
    <row r="10" spans="2:16" ht="14.45" customHeight="1" x14ac:dyDescent="0.2">
      <c r="B10" s="360"/>
      <c r="C10" s="366"/>
      <c r="D10" s="363"/>
      <c r="E10" s="150" t="s">
        <v>1845</v>
      </c>
      <c r="F10" s="151" t="s">
        <v>2953</v>
      </c>
      <c r="G10" s="16" t="s">
        <v>3742</v>
      </c>
      <c r="H10" s="168" t="s">
        <v>3345</v>
      </c>
      <c r="I10" s="169" t="s">
        <v>2760</v>
      </c>
      <c r="J10" s="103">
        <v>300</v>
      </c>
      <c r="K10" s="104"/>
      <c r="L10" s="105"/>
      <c r="M10" s="194"/>
      <c r="N10" s="106"/>
      <c r="O10" s="180" t="s">
        <v>2883</v>
      </c>
      <c r="P10" s="180" t="s">
        <v>2860</v>
      </c>
    </row>
    <row r="11" spans="2:16" ht="14.45" customHeight="1" x14ac:dyDescent="0.2">
      <c r="B11" s="360"/>
      <c r="C11" s="366"/>
      <c r="D11" s="363"/>
      <c r="E11" s="150" t="s">
        <v>1845</v>
      </c>
      <c r="F11" s="151" t="s">
        <v>2954</v>
      </c>
      <c r="G11" s="16" t="s">
        <v>3743</v>
      </c>
      <c r="H11" s="168" t="s">
        <v>3346</v>
      </c>
      <c r="I11" s="169" t="s">
        <v>2760</v>
      </c>
      <c r="J11" s="103">
        <v>385</v>
      </c>
      <c r="K11" s="104"/>
      <c r="L11" s="105"/>
      <c r="M11" s="194"/>
      <c r="N11" s="106"/>
      <c r="O11" s="180" t="s">
        <v>2883</v>
      </c>
      <c r="P11" s="180" t="s">
        <v>2860</v>
      </c>
    </row>
    <row r="12" spans="2:16" ht="14.45" customHeight="1" x14ac:dyDescent="0.2">
      <c r="B12" s="360"/>
      <c r="C12" s="366"/>
      <c r="D12" s="363"/>
      <c r="E12" s="150" t="s">
        <v>1845</v>
      </c>
      <c r="F12" s="151" t="s">
        <v>2955</v>
      </c>
      <c r="G12" s="16" t="s">
        <v>3744</v>
      </c>
      <c r="H12" s="168" t="s">
        <v>3347</v>
      </c>
      <c r="I12" s="169" t="s">
        <v>2760</v>
      </c>
      <c r="J12" s="103">
        <v>299</v>
      </c>
      <c r="K12" s="104"/>
      <c r="L12" s="105"/>
      <c r="M12" s="194"/>
      <c r="N12" s="106"/>
      <c r="O12" s="180" t="s">
        <v>2883</v>
      </c>
      <c r="P12" s="180" t="s">
        <v>2860</v>
      </c>
    </row>
    <row r="13" spans="2:16" ht="14.45" customHeight="1" x14ac:dyDescent="0.2">
      <c r="B13" s="360"/>
      <c r="C13" s="366"/>
      <c r="D13" s="363"/>
      <c r="E13" s="150" t="s">
        <v>1845</v>
      </c>
      <c r="F13" s="151" t="s">
        <v>2956</v>
      </c>
      <c r="G13" s="16" t="s">
        <v>3745</v>
      </c>
      <c r="H13" s="168" t="s">
        <v>3348</v>
      </c>
      <c r="I13" s="169" t="s">
        <v>2760</v>
      </c>
      <c r="J13" s="103">
        <v>639</v>
      </c>
      <c r="K13" s="104"/>
      <c r="L13" s="105"/>
      <c r="M13" s="194"/>
      <c r="N13" s="106"/>
      <c r="O13" s="180" t="s">
        <v>2883</v>
      </c>
      <c r="P13" s="180" t="s">
        <v>2860</v>
      </c>
    </row>
    <row r="14" spans="2:16" ht="14.45" customHeight="1" x14ac:dyDescent="0.2">
      <c r="B14" s="360"/>
      <c r="C14" s="366"/>
      <c r="D14" s="363"/>
      <c r="E14" s="150" t="s">
        <v>1845</v>
      </c>
      <c r="F14" s="151" t="s">
        <v>2957</v>
      </c>
      <c r="G14" s="16" t="s">
        <v>3746</v>
      </c>
      <c r="H14" s="168" t="s">
        <v>3349</v>
      </c>
      <c r="I14" s="169" t="s">
        <v>2760</v>
      </c>
      <c r="J14" s="103">
        <v>349</v>
      </c>
      <c r="K14" s="104"/>
      <c r="L14" s="105"/>
      <c r="M14" s="194"/>
      <c r="N14" s="106"/>
      <c r="O14" s="180" t="s">
        <v>2883</v>
      </c>
      <c r="P14" s="180" t="s">
        <v>2860</v>
      </c>
    </row>
    <row r="15" spans="2:16" ht="14.45" customHeight="1" x14ac:dyDescent="0.2">
      <c r="B15" s="360"/>
      <c r="C15" s="366"/>
      <c r="D15" s="363"/>
      <c r="E15" s="150" t="s">
        <v>1845</v>
      </c>
      <c r="F15" s="151" t="s">
        <v>2958</v>
      </c>
      <c r="G15" s="16" t="s">
        <v>3747</v>
      </c>
      <c r="H15" s="168" t="s">
        <v>3350</v>
      </c>
      <c r="I15" s="169" t="s">
        <v>2760</v>
      </c>
      <c r="J15" s="103">
        <v>364</v>
      </c>
      <c r="K15" s="104"/>
      <c r="L15" s="105"/>
      <c r="M15" s="194"/>
      <c r="N15" s="106"/>
      <c r="O15" s="180" t="s">
        <v>2883</v>
      </c>
      <c r="P15" s="180" t="s">
        <v>2860</v>
      </c>
    </row>
    <row r="16" spans="2:16" ht="14.45" customHeight="1" x14ac:dyDescent="0.2">
      <c r="B16" s="360"/>
      <c r="C16" s="366"/>
      <c r="D16" s="363"/>
      <c r="E16" s="150" t="s">
        <v>1845</v>
      </c>
      <c r="F16" s="151" t="s">
        <v>2959</v>
      </c>
      <c r="G16" s="16" t="s">
        <v>3748</v>
      </c>
      <c r="H16" s="168" t="s">
        <v>3351</v>
      </c>
      <c r="I16" s="169" t="s">
        <v>2760</v>
      </c>
      <c r="J16" s="103">
        <v>455</v>
      </c>
      <c r="K16" s="104"/>
      <c r="L16" s="105"/>
      <c r="M16" s="194"/>
      <c r="N16" s="106"/>
      <c r="O16" s="180" t="s">
        <v>2883</v>
      </c>
      <c r="P16" s="180" t="s">
        <v>2860</v>
      </c>
    </row>
    <row r="17" spans="2:16" ht="14.45" customHeight="1" thickBot="1" x14ac:dyDescent="0.25">
      <c r="B17" s="360"/>
      <c r="C17" s="367"/>
      <c r="D17" s="373"/>
      <c r="E17" s="138" t="s">
        <v>1845</v>
      </c>
      <c r="F17" s="139" t="s">
        <v>2960</v>
      </c>
      <c r="G17" s="49" t="s">
        <v>3749</v>
      </c>
      <c r="H17" s="164" t="s">
        <v>3352</v>
      </c>
      <c r="I17" s="165" t="s">
        <v>2760</v>
      </c>
      <c r="J17" s="99">
        <v>201</v>
      </c>
      <c r="K17" s="100"/>
      <c r="L17" s="101"/>
      <c r="M17" s="192"/>
      <c r="N17" s="102"/>
      <c r="O17" s="179" t="s">
        <v>2883</v>
      </c>
      <c r="P17" s="179" t="s">
        <v>2860</v>
      </c>
    </row>
    <row r="18" spans="2:16" ht="14.45" customHeight="1" x14ac:dyDescent="0.2">
      <c r="B18" s="360"/>
      <c r="C18" s="408" t="s">
        <v>1683</v>
      </c>
      <c r="D18" s="44" t="s">
        <v>13</v>
      </c>
      <c r="E18" s="115" t="s">
        <v>7</v>
      </c>
      <c r="F18" s="140" t="s">
        <v>126</v>
      </c>
      <c r="G18" s="141" t="s">
        <v>144</v>
      </c>
      <c r="H18" s="156" t="s">
        <v>2526</v>
      </c>
      <c r="I18" s="157" t="s">
        <v>306</v>
      </c>
      <c r="J18" s="118">
        <v>2624</v>
      </c>
      <c r="K18" s="119">
        <v>46107</v>
      </c>
      <c r="L18" s="120">
        <v>46121</v>
      </c>
      <c r="M18" s="188" t="s">
        <v>2947</v>
      </c>
      <c r="N18" s="121"/>
      <c r="O18" s="182" t="s">
        <v>2883</v>
      </c>
      <c r="P18" s="182" t="s">
        <v>2863</v>
      </c>
    </row>
    <row r="19" spans="2:16" ht="14.45" customHeight="1" thickBot="1" x14ac:dyDescent="0.25">
      <c r="B19" s="361"/>
      <c r="C19" s="409"/>
      <c r="D19" s="46" t="s">
        <v>15</v>
      </c>
      <c r="E19" s="142" t="s">
        <v>7</v>
      </c>
      <c r="F19" s="143" t="s">
        <v>126</v>
      </c>
      <c r="G19" s="144" t="s">
        <v>145</v>
      </c>
      <c r="H19" s="166" t="s">
        <v>2527</v>
      </c>
      <c r="I19" s="167" t="s">
        <v>307</v>
      </c>
      <c r="J19" s="145">
        <v>2424</v>
      </c>
      <c r="K19" s="146">
        <v>46107</v>
      </c>
      <c r="L19" s="147">
        <v>46121</v>
      </c>
      <c r="M19" s="193" t="s">
        <v>2947</v>
      </c>
      <c r="N19" s="148"/>
      <c r="O19" s="185" t="s">
        <v>2883</v>
      </c>
      <c r="P19" s="185" t="s">
        <v>2862</v>
      </c>
    </row>
    <row r="20" spans="2:16" ht="14.45" customHeight="1" x14ac:dyDescent="0.2">
      <c r="B20" s="359" t="s">
        <v>1686</v>
      </c>
      <c r="C20" s="365" t="s">
        <v>1684</v>
      </c>
      <c r="D20" s="47" t="s">
        <v>17</v>
      </c>
      <c r="E20" s="149" t="s">
        <v>7</v>
      </c>
      <c r="F20" s="140" t="s">
        <v>127</v>
      </c>
      <c r="G20" s="141" t="s">
        <v>146</v>
      </c>
      <c r="H20" s="156" t="s">
        <v>2528</v>
      </c>
      <c r="I20" s="157" t="s">
        <v>308</v>
      </c>
      <c r="J20" s="118">
        <v>2658</v>
      </c>
      <c r="K20" s="119">
        <v>46107</v>
      </c>
      <c r="L20" s="120">
        <v>46121</v>
      </c>
      <c r="M20" s="188" t="s">
        <v>2947</v>
      </c>
      <c r="N20" s="121"/>
      <c r="O20" s="182" t="s">
        <v>2884</v>
      </c>
      <c r="P20" s="182" t="s">
        <v>2865</v>
      </c>
    </row>
    <row r="21" spans="2:16" ht="14.45" customHeight="1" x14ac:dyDescent="0.2">
      <c r="B21" s="360"/>
      <c r="C21" s="366"/>
      <c r="D21" s="362" t="s">
        <v>19</v>
      </c>
      <c r="E21" s="131" t="s">
        <v>7</v>
      </c>
      <c r="F21" s="132" t="s">
        <v>127</v>
      </c>
      <c r="G21" s="133" t="s">
        <v>147</v>
      </c>
      <c r="H21" s="162" t="s">
        <v>2529</v>
      </c>
      <c r="I21" s="163" t="s">
        <v>309</v>
      </c>
      <c r="J21" s="134">
        <v>2573</v>
      </c>
      <c r="K21" s="135">
        <v>46107</v>
      </c>
      <c r="L21" s="136">
        <v>46121</v>
      </c>
      <c r="M21" s="191" t="s">
        <v>2947</v>
      </c>
      <c r="N21" s="137"/>
      <c r="O21" s="184" t="s">
        <v>2884</v>
      </c>
      <c r="P21" s="184" t="s">
        <v>2864</v>
      </c>
    </row>
    <row r="22" spans="2:16" ht="14.45" customHeight="1" x14ac:dyDescent="0.2">
      <c r="B22" s="360"/>
      <c r="C22" s="366"/>
      <c r="D22" s="363"/>
      <c r="E22" s="150" t="s">
        <v>2764</v>
      </c>
      <c r="F22" s="151" t="s">
        <v>2644</v>
      </c>
      <c r="G22" s="16" t="s">
        <v>2601</v>
      </c>
      <c r="H22" s="168" t="s">
        <v>2602</v>
      </c>
      <c r="I22" s="169" t="s">
        <v>369</v>
      </c>
      <c r="J22" s="103">
        <v>1663</v>
      </c>
      <c r="K22" s="104">
        <v>46171</v>
      </c>
      <c r="L22" s="105">
        <v>46165</v>
      </c>
      <c r="M22" s="194" t="s">
        <v>2947</v>
      </c>
      <c r="N22" s="106"/>
      <c r="O22" s="180" t="s">
        <v>2884</v>
      </c>
      <c r="P22" s="180" t="s">
        <v>2864</v>
      </c>
    </row>
    <row r="23" spans="2:16" ht="14.45" customHeight="1" x14ac:dyDescent="0.2">
      <c r="B23" s="360"/>
      <c r="C23" s="366"/>
      <c r="D23" s="363"/>
      <c r="E23" s="150" t="s">
        <v>2764</v>
      </c>
      <c r="F23" s="151" t="s">
        <v>2645</v>
      </c>
      <c r="G23" s="16" t="s">
        <v>265</v>
      </c>
      <c r="H23" s="168" t="s">
        <v>2461</v>
      </c>
      <c r="I23" s="169" t="s">
        <v>370</v>
      </c>
      <c r="J23" s="103">
        <v>2474</v>
      </c>
      <c r="K23" s="104">
        <v>46171</v>
      </c>
      <c r="L23" s="105">
        <v>46171</v>
      </c>
      <c r="M23" s="194" t="s">
        <v>2947</v>
      </c>
      <c r="N23" s="106"/>
      <c r="O23" s="180" t="s">
        <v>2884</v>
      </c>
      <c r="P23" s="180" t="s">
        <v>2864</v>
      </c>
    </row>
    <row r="24" spans="2:16" ht="14.45" customHeight="1" x14ac:dyDescent="0.2">
      <c r="B24" s="360"/>
      <c r="C24" s="366"/>
      <c r="D24" s="363"/>
      <c r="E24" s="150" t="s">
        <v>2764</v>
      </c>
      <c r="F24" s="151" t="s">
        <v>2646</v>
      </c>
      <c r="G24" s="16" t="s">
        <v>266</v>
      </c>
      <c r="H24" s="168" t="s">
        <v>2462</v>
      </c>
      <c r="I24" s="169" t="s">
        <v>371</v>
      </c>
      <c r="J24" s="103">
        <v>2133</v>
      </c>
      <c r="K24" s="104">
        <v>46171</v>
      </c>
      <c r="L24" s="105">
        <v>46171</v>
      </c>
      <c r="M24" s="194" t="s">
        <v>2947</v>
      </c>
      <c r="N24" s="106"/>
      <c r="O24" s="180" t="s">
        <v>2884</v>
      </c>
      <c r="P24" s="180" t="s">
        <v>2864</v>
      </c>
    </row>
    <row r="25" spans="2:16" ht="14.45" customHeight="1" x14ac:dyDescent="0.2">
      <c r="B25" s="360"/>
      <c r="C25" s="366"/>
      <c r="D25" s="363"/>
      <c r="E25" s="150" t="s">
        <v>1845</v>
      </c>
      <c r="F25" s="151" t="s">
        <v>2964</v>
      </c>
      <c r="G25" s="16" t="s">
        <v>3753</v>
      </c>
      <c r="H25" s="168" t="s">
        <v>3356</v>
      </c>
      <c r="I25" s="169" t="s">
        <v>2760</v>
      </c>
      <c r="J25" s="103">
        <v>912</v>
      </c>
      <c r="K25" s="104"/>
      <c r="L25" s="105"/>
      <c r="M25" s="194"/>
      <c r="N25" s="106"/>
      <c r="O25" s="180" t="s">
        <v>2884</v>
      </c>
      <c r="P25" s="180" t="s">
        <v>2864</v>
      </c>
    </row>
    <row r="26" spans="2:16" ht="14.45" customHeight="1" x14ac:dyDescent="0.2">
      <c r="B26" s="360"/>
      <c r="C26" s="366"/>
      <c r="D26" s="363"/>
      <c r="E26" s="150" t="s">
        <v>1845</v>
      </c>
      <c r="F26" s="151" t="s">
        <v>2965</v>
      </c>
      <c r="G26" s="16" t="s">
        <v>3754</v>
      </c>
      <c r="H26" s="168" t="s">
        <v>3357</v>
      </c>
      <c r="I26" s="169" t="s">
        <v>2760</v>
      </c>
      <c r="J26" s="103">
        <v>262</v>
      </c>
      <c r="K26" s="104"/>
      <c r="L26" s="105"/>
      <c r="M26" s="194"/>
      <c r="N26" s="106"/>
      <c r="O26" s="180" t="s">
        <v>2884</v>
      </c>
      <c r="P26" s="180" t="s">
        <v>2864</v>
      </c>
    </row>
    <row r="27" spans="2:16" ht="14.45" customHeight="1" x14ac:dyDescent="0.2">
      <c r="B27" s="360"/>
      <c r="C27" s="366"/>
      <c r="D27" s="363"/>
      <c r="E27" s="150" t="s">
        <v>1845</v>
      </c>
      <c r="F27" s="151" t="s">
        <v>2966</v>
      </c>
      <c r="G27" s="16" t="s">
        <v>3755</v>
      </c>
      <c r="H27" s="168" t="s">
        <v>3358</v>
      </c>
      <c r="I27" s="169" t="s">
        <v>2760</v>
      </c>
      <c r="J27" s="103">
        <v>320</v>
      </c>
      <c r="K27" s="104"/>
      <c r="L27" s="105"/>
      <c r="M27" s="194"/>
      <c r="N27" s="106"/>
      <c r="O27" s="180" t="s">
        <v>2884</v>
      </c>
      <c r="P27" s="180" t="s">
        <v>2864</v>
      </c>
    </row>
    <row r="28" spans="2:16" ht="14.45" customHeight="1" x14ac:dyDescent="0.2">
      <c r="B28" s="360"/>
      <c r="C28" s="366"/>
      <c r="D28" s="363"/>
      <c r="E28" s="150" t="s">
        <v>1845</v>
      </c>
      <c r="F28" s="151" t="s">
        <v>2967</v>
      </c>
      <c r="G28" s="16" t="s">
        <v>3756</v>
      </c>
      <c r="H28" s="168" t="s">
        <v>3359</v>
      </c>
      <c r="I28" s="169" t="s">
        <v>2760</v>
      </c>
      <c r="J28" s="103">
        <v>796</v>
      </c>
      <c r="K28" s="104"/>
      <c r="L28" s="105"/>
      <c r="M28" s="194"/>
      <c r="N28" s="106"/>
      <c r="O28" s="180" t="s">
        <v>2884</v>
      </c>
      <c r="P28" s="180" t="s">
        <v>2864</v>
      </c>
    </row>
    <row r="29" spans="2:16" ht="14.45" customHeight="1" x14ac:dyDescent="0.2">
      <c r="B29" s="360"/>
      <c r="C29" s="366"/>
      <c r="D29" s="363"/>
      <c r="E29" s="150" t="s">
        <v>1845</v>
      </c>
      <c r="F29" s="151" t="s">
        <v>2968</v>
      </c>
      <c r="G29" s="16" t="s">
        <v>3757</v>
      </c>
      <c r="H29" s="168" t="s">
        <v>3360</v>
      </c>
      <c r="I29" s="169" t="s">
        <v>2760</v>
      </c>
      <c r="J29" s="103">
        <v>276</v>
      </c>
      <c r="K29" s="104"/>
      <c r="L29" s="105"/>
      <c r="M29" s="194"/>
      <c r="N29" s="106"/>
      <c r="O29" s="180" t="s">
        <v>2884</v>
      </c>
      <c r="P29" s="180" t="s">
        <v>2864</v>
      </c>
    </row>
    <row r="30" spans="2:16" ht="14.45" customHeight="1" x14ac:dyDescent="0.2">
      <c r="B30" s="360"/>
      <c r="C30" s="366"/>
      <c r="D30" s="363"/>
      <c r="E30" s="150" t="s">
        <v>1845</v>
      </c>
      <c r="F30" s="151" t="s">
        <v>2969</v>
      </c>
      <c r="G30" s="16" t="s">
        <v>3758</v>
      </c>
      <c r="H30" s="168" t="s">
        <v>3361</v>
      </c>
      <c r="I30" s="169" t="s">
        <v>2760</v>
      </c>
      <c r="J30" s="103">
        <v>446</v>
      </c>
      <c r="K30" s="104"/>
      <c r="L30" s="105"/>
      <c r="M30" s="194"/>
      <c r="N30" s="106"/>
      <c r="O30" s="180" t="s">
        <v>2884</v>
      </c>
      <c r="P30" s="180" t="s">
        <v>2864</v>
      </c>
    </row>
    <row r="31" spans="2:16" ht="14.45" customHeight="1" x14ac:dyDescent="0.2">
      <c r="B31" s="360"/>
      <c r="C31" s="366"/>
      <c r="D31" s="362" t="s">
        <v>21</v>
      </c>
      <c r="E31" s="131" t="s">
        <v>7</v>
      </c>
      <c r="F31" s="132" t="s">
        <v>127</v>
      </c>
      <c r="G31" s="133" t="s">
        <v>148</v>
      </c>
      <c r="H31" s="162" t="s">
        <v>2530</v>
      </c>
      <c r="I31" s="163" t="s">
        <v>310</v>
      </c>
      <c r="J31" s="134">
        <v>8229</v>
      </c>
      <c r="K31" s="135">
        <v>46107</v>
      </c>
      <c r="L31" s="136">
        <v>46121</v>
      </c>
      <c r="M31" s="191" t="s">
        <v>2947</v>
      </c>
      <c r="N31" s="137"/>
      <c r="O31" s="184" t="s">
        <v>2884</v>
      </c>
      <c r="P31" s="184" t="s">
        <v>2864</v>
      </c>
    </row>
    <row r="32" spans="2:16" ht="14.45" customHeight="1" x14ac:dyDescent="0.2">
      <c r="B32" s="360"/>
      <c r="C32" s="366"/>
      <c r="D32" s="363"/>
      <c r="E32" s="150" t="s">
        <v>2763</v>
      </c>
      <c r="F32" s="151" t="s">
        <v>206</v>
      </c>
      <c r="G32" s="16" t="s">
        <v>205</v>
      </c>
      <c r="H32" s="168" t="s">
        <v>2463</v>
      </c>
      <c r="I32" s="169" t="s">
        <v>372</v>
      </c>
      <c r="J32" s="103">
        <v>2405</v>
      </c>
      <c r="K32" s="104">
        <v>46171</v>
      </c>
      <c r="L32" s="105">
        <v>46185</v>
      </c>
      <c r="M32" s="194" t="s">
        <v>2947</v>
      </c>
      <c r="N32" s="106"/>
      <c r="O32" s="180" t="s">
        <v>2884</v>
      </c>
      <c r="P32" s="180" t="s">
        <v>2864</v>
      </c>
    </row>
    <row r="33" spans="2:16" ht="14.45" customHeight="1" x14ac:dyDescent="0.2">
      <c r="B33" s="360"/>
      <c r="C33" s="366"/>
      <c r="D33" s="363"/>
      <c r="E33" s="150" t="s">
        <v>2763</v>
      </c>
      <c r="F33" s="151" t="s">
        <v>2614</v>
      </c>
      <c r="G33" s="16" t="s">
        <v>2768</v>
      </c>
      <c r="H33" s="168" t="s">
        <v>2767</v>
      </c>
      <c r="I33" s="169" t="s">
        <v>373</v>
      </c>
      <c r="J33" s="103">
        <v>2037</v>
      </c>
      <c r="K33" s="104">
        <v>46171</v>
      </c>
      <c r="L33" s="105">
        <v>46171</v>
      </c>
      <c r="M33" s="194" t="s">
        <v>2947</v>
      </c>
      <c r="N33" s="106"/>
      <c r="O33" s="180" t="s">
        <v>2884</v>
      </c>
      <c r="P33" s="180" t="s">
        <v>2864</v>
      </c>
    </row>
    <row r="34" spans="2:16" ht="14.45" customHeight="1" x14ac:dyDescent="0.2">
      <c r="B34" s="360"/>
      <c r="C34" s="366"/>
      <c r="D34" s="363"/>
      <c r="E34" s="150" t="s">
        <v>2763</v>
      </c>
      <c r="F34" s="151" t="s">
        <v>207</v>
      </c>
      <c r="G34" s="16" t="s">
        <v>2771</v>
      </c>
      <c r="H34" s="168" t="s">
        <v>2772</v>
      </c>
      <c r="I34" s="169" t="s">
        <v>374</v>
      </c>
      <c r="J34" s="103">
        <v>1979</v>
      </c>
      <c r="K34" s="104">
        <v>46171</v>
      </c>
      <c r="L34" s="105">
        <v>46185</v>
      </c>
      <c r="M34" s="194" t="s">
        <v>2947</v>
      </c>
      <c r="N34" s="178"/>
      <c r="O34" s="180" t="s">
        <v>2884</v>
      </c>
      <c r="P34" s="180" t="s">
        <v>2864</v>
      </c>
    </row>
    <row r="35" spans="2:16" ht="14.45" customHeight="1" x14ac:dyDescent="0.2">
      <c r="B35" s="360"/>
      <c r="C35" s="366"/>
      <c r="D35" s="363"/>
      <c r="E35" s="150" t="s">
        <v>1845</v>
      </c>
      <c r="F35" s="151" t="s">
        <v>2961</v>
      </c>
      <c r="G35" s="16" t="s">
        <v>3750</v>
      </c>
      <c r="H35" s="168" t="s">
        <v>3353</v>
      </c>
      <c r="I35" s="169" t="s">
        <v>2760</v>
      </c>
      <c r="J35" s="103">
        <v>360</v>
      </c>
      <c r="K35" s="104"/>
      <c r="L35" s="105"/>
      <c r="M35" s="194" t="s">
        <v>2946</v>
      </c>
      <c r="N35" s="178"/>
      <c r="O35" s="180" t="s">
        <v>2884</v>
      </c>
      <c r="P35" s="180" t="s">
        <v>2864</v>
      </c>
    </row>
    <row r="36" spans="2:16" ht="14.45" customHeight="1" x14ac:dyDescent="0.2">
      <c r="B36" s="360"/>
      <c r="C36" s="366"/>
      <c r="D36" s="363"/>
      <c r="E36" s="150" t="s">
        <v>1845</v>
      </c>
      <c r="F36" s="151" t="s">
        <v>2962</v>
      </c>
      <c r="G36" s="16" t="s">
        <v>3751</v>
      </c>
      <c r="H36" s="168" t="s">
        <v>3354</v>
      </c>
      <c r="I36" s="169" t="s">
        <v>2760</v>
      </c>
      <c r="J36" s="103">
        <v>469</v>
      </c>
      <c r="K36" s="104"/>
      <c r="L36" s="105"/>
      <c r="M36" s="194" t="s">
        <v>2946</v>
      </c>
      <c r="N36" s="178"/>
      <c r="O36" s="180" t="s">
        <v>2884</v>
      </c>
      <c r="P36" s="180" t="s">
        <v>2864</v>
      </c>
    </row>
    <row r="37" spans="2:16" ht="14.45" customHeight="1" x14ac:dyDescent="0.2">
      <c r="B37" s="360"/>
      <c r="C37" s="366"/>
      <c r="D37" s="363"/>
      <c r="E37" s="150" t="s">
        <v>1845</v>
      </c>
      <c r="F37" s="151" t="s">
        <v>2963</v>
      </c>
      <c r="G37" s="16" t="s">
        <v>3752</v>
      </c>
      <c r="H37" s="168" t="s">
        <v>3355</v>
      </c>
      <c r="I37" s="169" t="s">
        <v>2760</v>
      </c>
      <c r="J37" s="103">
        <v>690</v>
      </c>
      <c r="K37" s="104"/>
      <c r="L37" s="105"/>
      <c r="M37" s="194"/>
      <c r="N37" s="178"/>
      <c r="O37" s="180" t="s">
        <v>2884</v>
      </c>
      <c r="P37" s="180" t="s">
        <v>2864</v>
      </c>
    </row>
    <row r="38" spans="2:16" ht="14.45" customHeight="1" x14ac:dyDescent="0.2">
      <c r="B38" s="360"/>
      <c r="C38" s="366"/>
      <c r="D38" s="363"/>
      <c r="E38" s="150" t="s">
        <v>1845</v>
      </c>
      <c r="F38" s="151" t="s">
        <v>2970</v>
      </c>
      <c r="G38" s="16" t="s">
        <v>3759</v>
      </c>
      <c r="H38" s="168" t="s">
        <v>3362</v>
      </c>
      <c r="I38" s="169" t="s">
        <v>2760</v>
      </c>
      <c r="J38" s="103">
        <v>625</v>
      </c>
      <c r="K38" s="104"/>
      <c r="L38" s="105"/>
      <c r="M38" s="194"/>
      <c r="N38" s="178" t="s">
        <v>4204</v>
      </c>
      <c r="O38" s="180" t="s">
        <v>2884</v>
      </c>
      <c r="P38" s="180" t="s">
        <v>2864</v>
      </c>
    </row>
    <row r="39" spans="2:16" ht="14.45" customHeight="1" x14ac:dyDescent="0.2">
      <c r="B39" s="360"/>
      <c r="C39" s="366"/>
      <c r="D39" s="363"/>
      <c r="E39" s="150" t="s">
        <v>1845</v>
      </c>
      <c r="F39" s="151" t="s">
        <v>2971</v>
      </c>
      <c r="G39" s="16" t="s">
        <v>3760</v>
      </c>
      <c r="H39" s="168" t="s">
        <v>3363</v>
      </c>
      <c r="I39" s="169" t="s">
        <v>2760</v>
      </c>
      <c r="J39" s="103">
        <v>577</v>
      </c>
      <c r="K39" s="104"/>
      <c r="L39" s="105"/>
      <c r="M39" s="194"/>
      <c r="N39" s="178"/>
      <c r="O39" s="180" t="s">
        <v>2884</v>
      </c>
      <c r="P39" s="180" t="s">
        <v>2864</v>
      </c>
    </row>
    <row r="40" spans="2:16" ht="14.45" customHeight="1" x14ac:dyDescent="0.2">
      <c r="B40" s="360"/>
      <c r="C40" s="366"/>
      <c r="D40" s="363"/>
      <c r="E40" s="150" t="s">
        <v>1845</v>
      </c>
      <c r="F40" s="151" t="s">
        <v>2972</v>
      </c>
      <c r="G40" s="16" t="s">
        <v>3761</v>
      </c>
      <c r="H40" s="168" t="s">
        <v>3364</v>
      </c>
      <c r="I40" s="169" t="s">
        <v>2760</v>
      </c>
      <c r="J40" s="103">
        <v>302</v>
      </c>
      <c r="K40" s="104"/>
      <c r="L40" s="105"/>
      <c r="M40" s="194"/>
      <c r="N40" s="178"/>
      <c r="O40" s="180" t="s">
        <v>2884</v>
      </c>
      <c r="P40" s="180" t="s">
        <v>2864</v>
      </c>
    </row>
    <row r="41" spans="2:16" ht="14.45" customHeight="1" x14ac:dyDescent="0.2">
      <c r="B41" s="360"/>
      <c r="C41" s="366"/>
      <c r="D41" s="363"/>
      <c r="E41" s="150" t="s">
        <v>1845</v>
      </c>
      <c r="F41" s="151" t="s">
        <v>2973</v>
      </c>
      <c r="G41" s="16" t="s">
        <v>3762</v>
      </c>
      <c r="H41" s="168" t="s">
        <v>3365</v>
      </c>
      <c r="I41" s="169" t="s">
        <v>2760</v>
      </c>
      <c r="J41" s="103">
        <v>273</v>
      </c>
      <c r="K41" s="104"/>
      <c r="L41" s="105"/>
      <c r="M41" s="194"/>
      <c r="N41" s="178"/>
      <c r="O41" s="180" t="s">
        <v>2884</v>
      </c>
      <c r="P41" s="180" t="s">
        <v>2864</v>
      </c>
    </row>
    <row r="42" spans="2:16" ht="14.45" customHeight="1" x14ac:dyDescent="0.2">
      <c r="B42" s="360"/>
      <c r="C42" s="366"/>
      <c r="D42" s="363"/>
      <c r="E42" s="150" t="s">
        <v>1845</v>
      </c>
      <c r="F42" s="151" t="s">
        <v>2974</v>
      </c>
      <c r="G42" s="16" t="s">
        <v>3763</v>
      </c>
      <c r="H42" s="168" t="s">
        <v>3366</v>
      </c>
      <c r="I42" s="169" t="s">
        <v>2760</v>
      </c>
      <c r="J42" s="103">
        <v>345</v>
      </c>
      <c r="K42" s="104"/>
      <c r="L42" s="105"/>
      <c r="M42" s="194"/>
      <c r="N42" s="178"/>
      <c r="O42" s="180" t="s">
        <v>2884</v>
      </c>
      <c r="P42" s="180" t="s">
        <v>2864</v>
      </c>
    </row>
    <row r="43" spans="2:16" ht="14.45" customHeight="1" x14ac:dyDescent="0.2">
      <c r="B43" s="360"/>
      <c r="C43" s="366"/>
      <c r="D43" s="363"/>
      <c r="E43" s="150" t="s">
        <v>1845</v>
      </c>
      <c r="F43" s="151" t="s">
        <v>2975</v>
      </c>
      <c r="G43" s="16" t="s">
        <v>3764</v>
      </c>
      <c r="H43" s="168" t="s">
        <v>3367</v>
      </c>
      <c r="I43" s="169" t="s">
        <v>2760</v>
      </c>
      <c r="J43" s="103">
        <v>223</v>
      </c>
      <c r="K43" s="104"/>
      <c r="L43" s="105"/>
      <c r="M43" s="194" t="s">
        <v>2945</v>
      </c>
      <c r="N43" s="178"/>
      <c r="O43" s="180" t="s">
        <v>2884</v>
      </c>
      <c r="P43" s="180" t="s">
        <v>2864</v>
      </c>
    </row>
    <row r="44" spans="2:16" ht="14.45" customHeight="1" x14ac:dyDescent="0.2">
      <c r="B44" s="360"/>
      <c r="C44" s="366"/>
      <c r="D44" s="363"/>
      <c r="E44" s="150" t="s">
        <v>1845</v>
      </c>
      <c r="F44" s="151" t="s">
        <v>2976</v>
      </c>
      <c r="G44" s="16" t="s">
        <v>3765</v>
      </c>
      <c r="H44" s="168" t="s">
        <v>3368</v>
      </c>
      <c r="I44" s="169" t="s">
        <v>2760</v>
      </c>
      <c r="J44" s="103">
        <v>392</v>
      </c>
      <c r="K44" s="104"/>
      <c r="L44" s="105"/>
      <c r="M44" s="194"/>
      <c r="N44" s="178"/>
      <c r="O44" s="180" t="s">
        <v>2884</v>
      </c>
      <c r="P44" s="180" t="s">
        <v>2864</v>
      </c>
    </row>
    <row r="45" spans="2:16" ht="14.45" customHeight="1" x14ac:dyDescent="0.2">
      <c r="B45" s="360"/>
      <c r="C45" s="366"/>
      <c r="D45" s="363"/>
      <c r="E45" s="150" t="s">
        <v>1845</v>
      </c>
      <c r="F45" s="151" t="s">
        <v>2977</v>
      </c>
      <c r="G45" s="16" t="s">
        <v>3766</v>
      </c>
      <c r="H45" s="168" t="s">
        <v>3369</v>
      </c>
      <c r="I45" s="169" t="s">
        <v>2760</v>
      </c>
      <c r="J45" s="103">
        <v>347</v>
      </c>
      <c r="K45" s="104"/>
      <c r="L45" s="105"/>
      <c r="M45" s="194"/>
      <c r="N45" s="178"/>
      <c r="O45" s="180" t="s">
        <v>2884</v>
      </c>
      <c r="P45" s="180" t="s">
        <v>2864</v>
      </c>
    </row>
    <row r="46" spans="2:16" ht="14.45" customHeight="1" thickBot="1" x14ac:dyDescent="0.25">
      <c r="B46" s="360"/>
      <c r="C46" s="366"/>
      <c r="D46" s="363"/>
      <c r="E46" s="150" t="s">
        <v>1845</v>
      </c>
      <c r="F46" s="151" t="s">
        <v>2978</v>
      </c>
      <c r="G46" s="16" t="s">
        <v>3767</v>
      </c>
      <c r="H46" s="168" t="s">
        <v>3370</v>
      </c>
      <c r="I46" s="169" t="s">
        <v>2760</v>
      </c>
      <c r="J46" s="103">
        <v>624</v>
      </c>
      <c r="K46" s="104"/>
      <c r="L46" s="105"/>
      <c r="M46" s="194"/>
      <c r="N46" s="178"/>
      <c r="O46" s="180" t="s">
        <v>2884</v>
      </c>
      <c r="P46" s="180" t="s">
        <v>2864</v>
      </c>
    </row>
    <row r="47" spans="2:16" ht="14.45" customHeight="1" x14ac:dyDescent="0.2">
      <c r="B47" s="360"/>
      <c r="C47" s="365" t="s">
        <v>1687</v>
      </c>
      <c r="D47" s="413" t="s">
        <v>1839</v>
      </c>
      <c r="E47" s="115" t="s">
        <v>7</v>
      </c>
      <c r="F47" s="116" t="s">
        <v>128</v>
      </c>
      <c r="G47" s="117" t="s">
        <v>1838</v>
      </c>
      <c r="H47" s="156" t="s">
        <v>2531</v>
      </c>
      <c r="I47" s="157" t="s">
        <v>311</v>
      </c>
      <c r="J47" s="118">
        <v>4617</v>
      </c>
      <c r="K47" s="119">
        <v>46108</v>
      </c>
      <c r="L47" s="120">
        <v>46129</v>
      </c>
      <c r="M47" s="188" t="s">
        <v>2947</v>
      </c>
      <c r="N47" s="121"/>
      <c r="O47" s="182" t="s">
        <v>2884</v>
      </c>
      <c r="P47" s="182" t="s">
        <v>2867</v>
      </c>
    </row>
    <row r="48" spans="2:16" ht="14.45" customHeight="1" x14ac:dyDescent="0.2">
      <c r="B48" s="360"/>
      <c r="C48" s="366"/>
      <c r="D48" s="363"/>
      <c r="E48" s="150" t="s">
        <v>2763</v>
      </c>
      <c r="F48" s="151" t="s">
        <v>2615</v>
      </c>
      <c r="G48" s="16" t="s">
        <v>208</v>
      </c>
      <c r="H48" s="168" t="s">
        <v>2464</v>
      </c>
      <c r="I48" s="169" t="s">
        <v>375</v>
      </c>
      <c r="J48" s="103">
        <v>2222</v>
      </c>
      <c r="K48" s="104">
        <v>46171</v>
      </c>
      <c r="L48" s="105">
        <v>46171</v>
      </c>
      <c r="M48" s="194" t="s">
        <v>2947</v>
      </c>
      <c r="N48" s="178"/>
      <c r="O48" s="180" t="s">
        <v>2884</v>
      </c>
      <c r="P48" s="180" t="s">
        <v>2866</v>
      </c>
    </row>
    <row r="49" spans="2:16" ht="14.45" customHeight="1" x14ac:dyDescent="0.2">
      <c r="B49" s="360"/>
      <c r="C49" s="366"/>
      <c r="D49" s="363"/>
      <c r="E49" s="150" t="s">
        <v>2764</v>
      </c>
      <c r="F49" s="151" t="s">
        <v>2647</v>
      </c>
      <c r="G49" s="16" t="s">
        <v>2711</v>
      </c>
      <c r="H49" s="168" t="s">
        <v>2610</v>
      </c>
      <c r="I49" s="169" t="s">
        <v>2592</v>
      </c>
      <c r="J49" s="103">
        <v>2350</v>
      </c>
      <c r="K49" s="104">
        <v>46171</v>
      </c>
      <c r="L49" s="105"/>
      <c r="M49" s="194" t="s">
        <v>2947</v>
      </c>
      <c r="N49" s="106"/>
      <c r="O49" s="180" t="s">
        <v>2884</v>
      </c>
      <c r="P49" s="180" t="s">
        <v>2866</v>
      </c>
    </row>
    <row r="50" spans="2:16" ht="14.45" customHeight="1" x14ac:dyDescent="0.2">
      <c r="B50" s="360"/>
      <c r="C50" s="366"/>
      <c r="D50" s="363"/>
      <c r="E50" s="150" t="s">
        <v>1845</v>
      </c>
      <c r="F50" s="151" t="s">
        <v>2979</v>
      </c>
      <c r="G50" s="16" t="s">
        <v>3768</v>
      </c>
      <c r="H50" s="168" t="s">
        <v>3371</v>
      </c>
      <c r="I50" s="169" t="s">
        <v>2760</v>
      </c>
      <c r="J50" s="103">
        <v>289</v>
      </c>
      <c r="K50" s="104"/>
      <c r="L50" s="105"/>
      <c r="M50" s="194"/>
      <c r="N50" s="106"/>
      <c r="O50" s="180" t="s">
        <v>2884</v>
      </c>
      <c r="P50" s="180" t="s">
        <v>2866</v>
      </c>
    </row>
    <row r="51" spans="2:16" ht="14.45" customHeight="1" x14ac:dyDescent="0.2">
      <c r="B51" s="360"/>
      <c r="C51" s="366"/>
      <c r="D51" s="363"/>
      <c r="E51" s="150" t="s">
        <v>1845</v>
      </c>
      <c r="F51" s="151" t="s">
        <v>2980</v>
      </c>
      <c r="G51" s="16" t="s">
        <v>3769</v>
      </c>
      <c r="H51" s="168" t="s">
        <v>3372</v>
      </c>
      <c r="I51" s="169" t="s">
        <v>2760</v>
      </c>
      <c r="J51" s="103">
        <v>278</v>
      </c>
      <c r="K51" s="104"/>
      <c r="L51" s="105"/>
      <c r="M51" s="194"/>
      <c r="N51" s="106"/>
      <c r="O51" s="180" t="s">
        <v>2884</v>
      </c>
      <c r="P51" s="180" t="s">
        <v>2866</v>
      </c>
    </row>
    <row r="52" spans="2:16" ht="14.45" customHeight="1" x14ac:dyDescent="0.2">
      <c r="B52" s="360"/>
      <c r="C52" s="366"/>
      <c r="D52" s="363"/>
      <c r="E52" s="150" t="s">
        <v>1845</v>
      </c>
      <c r="F52" s="151" t="s">
        <v>2981</v>
      </c>
      <c r="G52" s="16" t="s">
        <v>3770</v>
      </c>
      <c r="H52" s="168" t="s">
        <v>3373</v>
      </c>
      <c r="I52" s="169" t="s">
        <v>2760</v>
      </c>
      <c r="J52" s="103">
        <v>482</v>
      </c>
      <c r="K52" s="104"/>
      <c r="L52" s="105"/>
      <c r="M52" s="194"/>
      <c r="N52" s="106"/>
      <c r="O52" s="180" t="s">
        <v>2884</v>
      </c>
      <c r="P52" s="180" t="s">
        <v>2866</v>
      </c>
    </row>
    <row r="53" spans="2:16" ht="14.45" customHeight="1" x14ac:dyDescent="0.2">
      <c r="B53" s="360"/>
      <c r="C53" s="366"/>
      <c r="D53" s="363"/>
      <c r="E53" s="150" t="s">
        <v>1845</v>
      </c>
      <c r="F53" s="151" t="s">
        <v>2982</v>
      </c>
      <c r="G53" s="16" t="s">
        <v>3771</v>
      </c>
      <c r="H53" s="168" t="s">
        <v>3374</v>
      </c>
      <c r="I53" s="169" t="s">
        <v>2760</v>
      </c>
      <c r="J53" s="103">
        <v>421</v>
      </c>
      <c r="K53" s="104"/>
      <c r="L53" s="105"/>
      <c r="M53" s="194"/>
      <c r="N53" s="106"/>
      <c r="O53" s="180" t="s">
        <v>2884</v>
      </c>
      <c r="P53" s="180" t="s">
        <v>2866</v>
      </c>
    </row>
    <row r="54" spans="2:16" ht="14.45" customHeight="1" x14ac:dyDescent="0.2">
      <c r="B54" s="360"/>
      <c r="C54" s="366"/>
      <c r="D54" s="362" t="s">
        <v>24</v>
      </c>
      <c r="E54" s="131" t="s">
        <v>7</v>
      </c>
      <c r="F54" s="132" t="s">
        <v>128</v>
      </c>
      <c r="G54" s="133" t="s">
        <v>149</v>
      </c>
      <c r="H54" s="162" t="s">
        <v>2532</v>
      </c>
      <c r="I54" s="163" t="s">
        <v>312</v>
      </c>
      <c r="J54" s="134">
        <v>4937</v>
      </c>
      <c r="K54" s="135">
        <v>46108</v>
      </c>
      <c r="L54" s="136">
        <v>46129</v>
      </c>
      <c r="M54" s="191" t="s">
        <v>2945</v>
      </c>
      <c r="N54" s="137"/>
      <c r="O54" s="184" t="s">
        <v>2884</v>
      </c>
      <c r="P54" s="184" t="s">
        <v>2866</v>
      </c>
    </row>
    <row r="55" spans="2:16" ht="14.45" customHeight="1" x14ac:dyDescent="0.2">
      <c r="B55" s="360"/>
      <c r="C55" s="366"/>
      <c r="D55" s="363"/>
      <c r="E55" s="150" t="s">
        <v>2763</v>
      </c>
      <c r="F55" s="151" t="s">
        <v>2616</v>
      </c>
      <c r="G55" s="16" t="s">
        <v>209</v>
      </c>
      <c r="H55" s="168" t="s">
        <v>2465</v>
      </c>
      <c r="I55" s="169" t="s">
        <v>376</v>
      </c>
      <c r="J55" s="103">
        <v>2393</v>
      </c>
      <c r="K55" s="104">
        <v>46171</v>
      </c>
      <c r="L55" s="105">
        <v>46171</v>
      </c>
      <c r="M55" s="194" t="s">
        <v>2945</v>
      </c>
      <c r="N55" s="106"/>
      <c r="O55" s="180" t="s">
        <v>2884</v>
      </c>
      <c r="P55" s="180" t="s">
        <v>2866</v>
      </c>
    </row>
    <row r="56" spans="2:16" ht="14.45" customHeight="1" x14ac:dyDescent="0.2">
      <c r="B56" s="360"/>
      <c r="C56" s="366"/>
      <c r="D56" s="363"/>
      <c r="E56" s="150" t="s">
        <v>2763</v>
      </c>
      <c r="F56" s="151" t="s">
        <v>213</v>
      </c>
      <c r="G56" s="16" t="s">
        <v>210</v>
      </c>
      <c r="H56" s="168" t="s">
        <v>2466</v>
      </c>
      <c r="I56" s="169" t="s">
        <v>377</v>
      </c>
      <c r="J56" s="103">
        <v>1901</v>
      </c>
      <c r="K56" s="104">
        <v>46171</v>
      </c>
      <c r="L56" s="105">
        <v>46185</v>
      </c>
      <c r="M56" s="194" t="s">
        <v>2945</v>
      </c>
      <c r="N56" s="178"/>
      <c r="O56" s="180" t="s">
        <v>2884</v>
      </c>
      <c r="P56" s="180" t="s">
        <v>2866</v>
      </c>
    </row>
    <row r="57" spans="2:16" ht="14.45" customHeight="1" x14ac:dyDescent="0.2">
      <c r="B57" s="360"/>
      <c r="C57" s="366"/>
      <c r="D57" s="363"/>
      <c r="E57" s="150" t="s">
        <v>2763</v>
      </c>
      <c r="F57" s="151" t="s">
        <v>212</v>
      </c>
      <c r="G57" s="16" t="s">
        <v>2603</v>
      </c>
      <c r="H57" s="168" t="s">
        <v>2604</v>
      </c>
      <c r="I57" s="169" t="s">
        <v>378</v>
      </c>
      <c r="J57" s="103">
        <v>2252</v>
      </c>
      <c r="K57" s="104">
        <v>46171</v>
      </c>
      <c r="L57" s="105">
        <v>46185</v>
      </c>
      <c r="M57" s="194" t="s">
        <v>2945</v>
      </c>
      <c r="N57" s="106"/>
      <c r="O57" s="180" t="s">
        <v>2884</v>
      </c>
      <c r="P57" s="180" t="s">
        <v>2866</v>
      </c>
    </row>
    <row r="58" spans="2:16" ht="14.45" customHeight="1" x14ac:dyDescent="0.2">
      <c r="B58" s="360"/>
      <c r="C58" s="366"/>
      <c r="D58" s="363"/>
      <c r="E58" s="150" t="s">
        <v>2763</v>
      </c>
      <c r="F58" s="151" t="s">
        <v>264</v>
      </c>
      <c r="G58" s="16" t="s">
        <v>2607</v>
      </c>
      <c r="H58" s="168" t="s">
        <v>2608</v>
      </c>
      <c r="I58" s="169" t="s">
        <v>379</v>
      </c>
      <c r="J58" s="103">
        <v>2169</v>
      </c>
      <c r="K58" s="104">
        <v>46171</v>
      </c>
      <c r="L58" s="105">
        <v>46185</v>
      </c>
      <c r="M58" s="194" t="s">
        <v>2945</v>
      </c>
      <c r="N58" s="106"/>
      <c r="O58" s="180" t="s">
        <v>2884</v>
      </c>
      <c r="P58" s="180" t="s">
        <v>2866</v>
      </c>
    </row>
    <row r="59" spans="2:16" ht="14.45" customHeight="1" x14ac:dyDescent="0.2">
      <c r="B59" s="360"/>
      <c r="C59" s="366"/>
      <c r="D59" s="363"/>
      <c r="E59" s="150" t="s">
        <v>2763</v>
      </c>
      <c r="F59" s="151" t="s">
        <v>215</v>
      </c>
      <c r="G59" s="16" t="s">
        <v>2774</v>
      </c>
      <c r="H59" s="168" t="s">
        <v>2775</v>
      </c>
      <c r="I59" s="169" t="s">
        <v>380</v>
      </c>
      <c r="J59" s="103">
        <v>1740</v>
      </c>
      <c r="K59" s="104">
        <v>46171</v>
      </c>
      <c r="L59" s="105">
        <v>46185</v>
      </c>
      <c r="M59" s="194" t="s">
        <v>2945</v>
      </c>
      <c r="N59" s="106"/>
      <c r="O59" s="180" t="s">
        <v>2884</v>
      </c>
      <c r="P59" s="180" t="s">
        <v>2866</v>
      </c>
    </row>
    <row r="60" spans="2:16" ht="14.45" customHeight="1" x14ac:dyDescent="0.2">
      <c r="B60" s="360"/>
      <c r="C60" s="366"/>
      <c r="D60" s="363"/>
      <c r="E60" s="150" t="s">
        <v>2764</v>
      </c>
      <c r="F60" s="151" t="s">
        <v>2648</v>
      </c>
      <c r="G60" s="16" t="s">
        <v>2569</v>
      </c>
      <c r="H60" s="168" t="s">
        <v>2612</v>
      </c>
      <c r="I60" s="169" t="s">
        <v>2570</v>
      </c>
      <c r="J60" s="103">
        <v>1845</v>
      </c>
      <c r="K60" s="104">
        <v>46171</v>
      </c>
      <c r="L60" s="105"/>
      <c r="M60" s="194" t="s">
        <v>2945</v>
      </c>
      <c r="N60" s="106"/>
      <c r="O60" s="180" t="s">
        <v>2884</v>
      </c>
      <c r="P60" s="180" t="s">
        <v>2866</v>
      </c>
    </row>
    <row r="61" spans="2:16" ht="14.45" customHeight="1" x14ac:dyDescent="0.2">
      <c r="B61" s="360"/>
      <c r="C61" s="366"/>
      <c r="D61" s="363"/>
      <c r="E61" s="150" t="s">
        <v>1845</v>
      </c>
      <c r="F61" s="151" t="s">
        <v>2983</v>
      </c>
      <c r="G61" s="16" t="s">
        <v>3772</v>
      </c>
      <c r="H61" s="168" t="s">
        <v>3375</v>
      </c>
      <c r="I61" s="169" t="s">
        <v>2760</v>
      </c>
      <c r="J61" s="103">
        <v>199</v>
      </c>
      <c r="K61" s="104"/>
      <c r="L61" s="105"/>
      <c r="M61" s="194"/>
      <c r="N61" s="106"/>
      <c r="O61" s="180" t="s">
        <v>2884</v>
      </c>
      <c r="P61" s="180" t="s">
        <v>2866</v>
      </c>
    </row>
    <row r="62" spans="2:16" ht="14.45" customHeight="1" x14ac:dyDescent="0.2">
      <c r="B62" s="360"/>
      <c r="C62" s="366"/>
      <c r="D62" s="363"/>
      <c r="E62" s="150" t="s">
        <v>1845</v>
      </c>
      <c r="F62" s="151" t="s">
        <v>2984</v>
      </c>
      <c r="G62" s="16" t="s">
        <v>3773</v>
      </c>
      <c r="H62" s="168" t="s">
        <v>3376</v>
      </c>
      <c r="I62" s="169" t="s">
        <v>2760</v>
      </c>
      <c r="J62" s="103">
        <v>538</v>
      </c>
      <c r="K62" s="104"/>
      <c r="L62" s="105"/>
      <c r="M62" s="194"/>
      <c r="N62" s="106"/>
      <c r="O62" s="180" t="s">
        <v>2884</v>
      </c>
      <c r="P62" s="180" t="s">
        <v>2866</v>
      </c>
    </row>
    <row r="63" spans="2:16" ht="14.45" customHeight="1" x14ac:dyDescent="0.2">
      <c r="B63" s="360"/>
      <c r="C63" s="366"/>
      <c r="D63" s="363"/>
      <c r="E63" s="150" t="s">
        <v>1845</v>
      </c>
      <c r="F63" s="151" t="s">
        <v>2985</v>
      </c>
      <c r="G63" s="16" t="s">
        <v>3774</v>
      </c>
      <c r="H63" s="168" t="s">
        <v>3377</v>
      </c>
      <c r="I63" s="169" t="s">
        <v>2760</v>
      </c>
      <c r="J63" s="103">
        <v>243</v>
      </c>
      <c r="K63" s="104"/>
      <c r="L63" s="105"/>
      <c r="M63" s="194"/>
      <c r="N63" s="106"/>
      <c r="O63" s="180" t="s">
        <v>2884</v>
      </c>
      <c r="P63" s="180" t="s">
        <v>2866</v>
      </c>
    </row>
    <row r="64" spans="2:16" ht="14.45" customHeight="1" x14ac:dyDescent="0.2">
      <c r="B64" s="360"/>
      <c r="C64" s="366"/>
      <c r="D64" s="363"/>
      <c r="E64" s="150" t="s">
        <v>1845</v>
      </c>
      <c r="F64" s="151" t="s">
        <v>2986</v>
      </c>
      <c r="G64" s="16" t="s">
        <v>3775</v>
      </c>
      <c r="H64" s="168" t="s">
        <v>3378</v>
      </c>
      <c r="I64" s="169" t="s">
        <v>2760</v>
      </c>
      <c r="J64" s="103">
        <v>253</v>
      </c>
      <c r="K64" s="104"/>
      <c r="L64" s="105"/>
      <c r="M64" s="194"/>
      <c r="N64" s="106"/>
      <c r="O64" s="180" t="s">
        <v>2884</v>
      </c>
      <c r="P64" s="180" t="s">
        <v>2866</v>
      </c>
    </row>
    <row r="65" spans="2:16" ht="14.45" customHeight="1" x14ac:dyDescent="0.2">
      <c r="B65" s="360"/>
      <c r="C65" s="366"/>
      <c r="D65" s="363"/>
      <c r="E65" s="150" t="s">
        <v>1845</v>
      </c>
      <c r="F65" s="151" t="s">
        <v>2987</v>
      </c>
      <c r="G65" s="16" t="s">
        <v>3776</v>
      </c>
      <c r="H65" s="168" t="s">
        <v>3379</v>
      </c>
      <c r="I65" s="169" t="s">
        <v>2760</v>
      </c>
      <c r="J65" s="103">
        <v>303</v>
      </c>
      <c r="K65" s="104"/>
      <c r="L65" s="105"/>
      <c r="M65" s="194"/>
      <c r="N65" s="106"/>
      <c r="O65" s="180" t="s">
        <v>2884</v>
      </c>
      <c r="P65" s="180" t="s">
        <v>2866</v>
      </c>
    </row>
    <row r="66" spans="2:16" ht="14.45" customHeight="1" x14ac:dyDescent="0.2">
      <c r="B66" s="360"/>
      <c r="C66" s="366"/>
      <c r="D66" s="363"/>
      <c r="E66" s="150" t="s">
        <v>1845</v>
      </c>
      <c r="F66" s="151" t="s">
        <v>2988</v>
      </c>
      <c r="G66" s="16" t="s">
        <v>3777</v>
      </c>
      <c r="H66" s="168" t="s">
        <v>3380</v>
      </c>
      <c r="I66" s="169" t="s">
        <v>2760</v>
      </c>
      <c r="J66" s="103">
        <v>600</v>
      </c>
      <c r="K66" s="104"/>
      <c r="L66" s="105"/>
      <c r="M66" s="194"/>
      <c r="N66" s="106"/>
      <c r="O66" s="180" t="s">
        <v>2884</v>
      </c>
      <c r="P66" s="180" t="s">
        <v>2866</v>
      </c>
    </row>
    <row r="67" spans="2:16" ht="14.45" customHeight="1" x14ac:dyDescent="0.2">
      <c r="B67" s="360"/>
      <c r="C67" s="366"/>
      <c r="D67" s="363"/>
      <c r="E67" s="150" t="s">
        <v>1845</v>
      </c>
      <c r="F67" s="151" t="s">
        <v>2989</v>
      </c>
      <c r="G67" s="16" t="s">
        <v>3778</v>
      </c>
      <c r="H67" s="168" t="s">
        <v>3381</v>
      </c>
      <c r="I67" s="169" t="s">
        <v>2760</v>
      </c>
      <c r="J67" s="103">
        <v>240</v>
      </c>
      <c r="K67" s="104"/>
      <c r="L67" s="105"/>
      <c r="M67" s="194"/>
      <c r="N67" s="106"/>
      <c r="O67" s="180" t="s">
        <v>2884</v>
      </c>
      <c r="P67" s="180" t="s">
        <v>2866</v>
      </c>
    </row>
    <row r="68" spans="2:16" ht="14.45" customHeight="1" x14ac:dyDescent="0.2">
      <c r="B68" s="360"/>
      <c r="C68" s="366"/>
      <c r="D68" s="363"/>
      <c r="E68" s="150" t="s">
        <v>1845</v>
      </c>
      <c r="F68" s="151" t="s">
        <v>2990</v>
      </c>
      <c r="G68" s="16" t="s">
        <v>3779</v>
      </c>
      <c r="H68" s="168" t="s">
        <v>3382</v>
      </c>
      <c r="I68" s="169" t="s">
        <v>2760</v>
      </c>
      <c r="J68" s="103">
        <v>306</v>
      </c>
      <c r="K68" s="104"/>
      <c r="L68" s="105"/>
      <c r="M68" s="194"/>
      <c r="N68" s="106"/>
      <c r="O68" s="180" t="s">
        <v>2884</v>
      </c>
      <c r="P68" s="180" t="s">
        <v>2866</v>
      </c>
    </row>
    <row r="69" spans="2:16" ht="14.45" customHeight="1" x14ac:dyDescent="0.2">
      <c r="B69" s="360"/>
      <c r="C69" s="366"/>
      <c r="D69" s="363"/>
      <c r="E69" s="150" t="s">
        <v>1845</v>
      </c>
      <c r="F69" s="151" t="s">
        <v>2991</v>
      </c>
      <c r="G69" s="16" t="s">
        <v>3780</v>
      </c>
      <c r="H69" s="168" t="s">
        <v>3383</v>
      </c>
      <c r="I69" s="169" t="s">
        <v>2760</v>
      </c>
      <c r="J69" s="103">
        <v>752</v>
      </c>
      <c r="K69" s="104"/>
      <c r="L69" s="105"/>
      <c r="M69" s="194"/>
      <c r="N69" s="106"/>
      <c r="O69" s="180" t="s">
        <v>2884</v>
      </c>
      <c r="P69" s="180" t="s">
        <v>2866</v>
      </c>
    </row>
    <row r="70" spans="2:16" ht="14.45" customHeight="1" x14ac:dyDescent="0.2">
      <c r="B70" s="360"/>
      <c r="C70" s="366"/>
      <c r="D70" s="362" t="s">
        <v>26</v>
      </c>
      <c r="E70" s="131" t="s">
        <v>7</v>
      </c>
      <c r="F70" s="132" t="s">
        <v>128</v>
      </c>
      <c r="G70" s="133" t="s">
        <v>150</v>
      </c>
      <c r="H70" s="162" t="s">
        <v>2533</v>
      </c>
      <c r="I70" s="163" t="s">
        <v>313</v>
      </c>
      <c r="J70" s="134">
        <v>4329</v>
      </c>
      <c r="K70" s="135">
        <v>46108</v>
      </c>
      <c r="L70" s="136">
        <v>46129</v>
      </c>
      <c r="M70" s="191" t="s">
        <v>2945</v>
      </c>
      <c r="N70" s="137"/>
      <c r="O70" s="184" t="s">
        <v>2884</v>
      </c>
      <c r="P70" s="184" t="s">
        <v>2866</v>
      </c>
    </row>
    <row r="71" spans="2:16" ht="14.45" customHeight="1" x14ac:dyDescent="0.2">
      <c r="B71" s="360"/>
      <c r="C71" s="366"/>
      <c r="D71" s="363"/>
      <c r="E71" s="150" t="s">
        <v>2763</v>
      </c>
      <c r="F71" s="151" t="s">
        <v>217</v>
      </c>
      <c r="G71" s="16" t="s">
        <v>216</v>
      </c>
      <c r="H71" s="168" t="s">
        <v>2467</v>
      </c>
      <c r="I71" s="169" t="s">
        <v>381</v>
      </c>
      <c r="J71" s="103">
        <v>2042</v>
      </c>
      <c r="K71" s="104">
        <v>46171</v>
      </c>
      <c r="L71" s="105">
        <v>46186</v>
      </c>
      <c r="M71" s="194" t="s">
        <v>2945</v>
      </c>
      <c r="N71" s="178"/>
      <c r="O71" s="180" t="s">
        <v>2884</v>
      </c>
      <c r="P71" s="180" t="s">
        <v>2866</v>
      </c>
    </row>
    <row r="72" spans="2:16" ht="14.45" customHeight="1" x14ac:dyDescent="0.2">
      <c r="B72" s="360"/>
      <c r="C72" s="366"/>
      <c r="D72" s="363"/>
      <c r="E72" s="150" t="s">
        <v>2763</v>
      </c>
      <c r="F72" s="151" t="s">
        <v>2617</v>
      </c>
      <c r="G72" s="16" t="s">
        <v>2605</v>
      </c>
      <c r="H72" s="168" t="s">
        <v>2606</v>
      </c>
      <c r="I72" s="169" t="s">
        <v>382</v>
      </c>
      <c r="J72" s="103">
        <v>1741</v>
      </c>
      <c r="K72" s="104">
        <v>46171</v>
      </c>
      <c r="L72" s="105">
        <v>46171</v>
      </c>
      <c r="M72" s="194" t="s">
        <v>2945</v>
      </c>
      <c r="N72" s="106"/>
      <c r="O72" s="180" t="s">
        <v>2884</v>
      </c>
      <c r="P72" s="180" t="s">
        <v>2866</v>
      </c>
    </row>
    <row r="73" spans="2:16" ht="14.45" customHeight="1" x14ac:dyDescent="0.2">
      <c r="B73" s="360"/>
      <c r="C73" s="366"/>
      <c r="D73" s="363"/>
      <c r="E73" s="150" t="s">
        <v>2763</v>
      </c>
      <c r="F73" s="151" t="s">
        <v>218</v>
      </c>
      <c r="G73" s="16" t="s">
        <v>2779</v>
      </c>
      <c r="H73" s="168" t="s">
        <v>2778</v>
      </c>
      <c r="I73" s="169" t="s">
        <v>383</v>
      </c>
      <c r="J73" s="103">
        <v>2467</v>
      </c>
      <c r="K73" s="104">
        <v>46171</v>
      </c>
      <c r="L73" s="105">
        <v>46186</v>
      </c>
      <c r="M73" s="194" t="s">
        <v>2945</v>
      </c>
      <c r="N73" s="178"/>
      <c r="O73" s="180" t="s">
        <v>2884</v>
      </c>
      <c r="P73" s="180" t="s">
        <v>2866</v>
      </c>
    </row>
    <row r="74" spans="2:16" ht="14.45" customHeight="1" x14ac:dyDescent="0.2">
      <c r="B74" s="360"/>
      <c r="C74" s="366"/>
      <c r="D74" s="363"/>
      <c r="E74" s="150" t="s">
        <v>1845</v>
      </c>
      <c r="F74" s="151" t="s">
        <v>2992</v>
      </c>
      <c r="G74" s="16" t="s">
        <v>3781</v>
      </c>
      <c r="H74" s="168" t="s">
        <v>3384</v>
      </c>
      <c r="I74" s="169" t="s">
        <v>2760</v>
      </c>
      <c r="J74" s="103">
        <v>376</v>
      </c>
      <c r="K74" s="104"/>
      <c r="L74" s="105"/>
      <c r="M74" s="194"/>
      <c r="N74" s="178"/>
      <c r="O74" s="180" t="s">
        <v>2884</v>
      </c>
      <c r="P74" s="180" t="s">
        <v>2866</v>
      </c>
    </row>
    <row r="75" spans="2:16" ht="14.45" customHeight="1" x14ac:dyDescent="0.2">
      <c r="B75" s="360"/>
      <c r="C75" s="366"/>
      <c r="D75" s="363"/>
      <c r="E75" s="150" t="s">
        <v>1845</v>
      </c>
      <c r="F75" s="151" t="s">
        <v>2993</v>
      </c>
      <c r="G75" s="16" t="s">
        <v>3782</v>
      </c>
      <c r="H75" s="168" t="s">
        <v>3385</v>
      </c>
      <c r="I75" s="169" t="s">
        <v>2760</v>
      </c>
      <c r="J75" s="103">
        <v>206</v>
      </c>
      <c r="K75" s="104"/>
      <c r="L75" s="105"/>
      <c r="M75" s="194"/>
      <c r="N75" s="178"/>
      <c r="O75" s="180" t="s">
        <v>2884</v>
      </c>
      <c r="P75" s="180" t="s">
        <v>2866</v>
      </c>
    </row>
    <row r="76" spans="2:16" ht="14.45" customHeight="1" x14ac:dyDescent="0.2">
      <c r="B76" s="360"/>
      <c r="C76" s="366"/>
      <c r="D76" s="363"/>
      <c r="E76" s="150" t="s">
        <v>1845</v>
      </c>
      <c r="F76" s="151" t="s">
        <v>2994</v>
      </c>
      <c r="G76" s="16" t="s">
        <v>3783</v>
      </c>
      <c r="H76" s="168" t="s">
        <v>3386</v>
      </c>
      <c r="I76" s="169" t="s">
        <v>2760</v>
      </c>
      <c r="J76" s="103">
        <v>215</v>
      </c>
      <c r="K76" s="104"/>
      <c r="L76" s="105"/>
      <c r="M76" s="194"/>
      <c r="N76" s="178"/>
      <c r="O76" s="180" t="s">
        <v>2884</v>
      </c>
      <c r="P76" s="180" t="s">
        <v>2866</v>
      </c>
    </row>
    <row r="77" spans="2:16" ht="14.45" customHeight="1" x14ac:dyDescent="0.2">
      <c r="B77" s="360"/>
      <c r="C77" s="366"/>
      <c r="D77" s="363"/>
      <c r="E77" s="150" t="s">
        <v>1845</v>
      </c>
      <c r="F77" s="151" t="s">
        <v>2995</v>
      </c>
      <c r="G77" s="16" t="s">
        <v>3784</v>
      </c>
      <c r="H77" s="168" t="s">
        <v>3387</v>
      </c>
      <c r="I77" s="169" t="s">
        <v>2760</v>
      </c>
      <c r="J77" s="103">
        <v>482</v>
      </c>
      <c r="K77" s="104"/>
      <c r="L77" s="105"/>
      <c r="M77" s="194"/>
      <c r="N77" s="178"/>
      <c r="O77" s="180" t="s">
        <v>2884</v>
      </c>
      <c r="P77" s="180" t="s">
        <v>2866</v>
      </c>
    </row>
    <row r="78" spans="2:16" ht="14.45" customHeight="1" x14ac:dyDescent="0.2">
      <c r="B78" s="360"/>
      <c r="C78" s="366"/>
      <c r="D78" s="363"/>
      <c r="E78" s="150" t="s">
        <v>1845</v>
      </c>
      <c r="F78" s="151" t="s">
        <v>2996</v>
      </c>
      <c r="G78" s="16" t="s">
        <v>3785</v>
      </c>
      <c r="H78" s="168" t="s">
        <v>3388</v>
      </c>
      <c r="I78" s="169" t="s">
        <v>2760</v>
      </c>
      <c r="J78" s="103">
        <v>404</v>
      </c>
      <c r="K78" s="104"/>
      <c r="L78" s="105"/>
      <c r="M78" s="194"/>
      <c r="N78" s="178"/>
      <c r="O78" s="180" t="s">
        <v>2884</v>
      </c>
      <c r="P78" s="180" t="s">
        <v>2866</v>
      </c>
    </row>
    <row r="79" spans="2:16" ht="14.45" customHeight="1" x14ac:dyDescent="0.2">
      <c r="B79" s="360"/>
      <c r="C79" s="366"/>
      <c r="D79" s="363"/>
      <c r="E79" s="150" t="s">
        <v>1845</v>
      </c>
      <c r="F79" s="151" t="s">
        <v>2997</v>
      </c>
      <c r="G79" s="16" t="s">
        <v>3786</v>
      </c>
      <c r="H79" s="168" t="s">
        <v>3389</v>
      </c>
      <c r="I79" s="169" t="s">
        <v>2760</v>
      </c>
      <c r="J79" s="103">
        <v>739</v>
      </c>
      <c r="K79" s="104"/>
      <c r="L79" s="105"/>
      <c r="M79" s="194"/>
      <c r="N79" s="178"/>
      <c r="O79" s="180" t="s">
        <v>2884</v>
      </c>
      <c r="P79" s="180" t="s">
        <v>2866</v>
      </c>
    </row>
    <row r="80" spans="2:16" ht="14.45" customHeight="1" x14ac:dyDescent="0.2">
      <c r="B80" s="360"/>
      <c r="C80" s="366"/>
      <c r="D80" s="363"/>
      <c r="E80" s="150" t="s">
        <v>1845</v>
      </c>
      <c r="F80" s="151" t="s">
        <v>2998</v>
      </c>
      <c r="G80" s="16" t="s">
        <v>3787</v>
      </c>
      <c r="H80" s="168" t="s">
        <v>3390</v>
      </c>
      <c r="I80" s="169" t="s">
        <v>2760</v>
      </c>
      <c r="J80" s="103">
        <v>334</v>
      </c>
      <c r="K80" s="104"/>
      <c r="L80" s="105"/>
      <c r="M80" s="194"/>
      <c r="N80" s="178"/>
      <c r="O80" s="180" t="s">
        <v>2884</v>
      </c>
      <c r="P80" s="180" t="s">
        <v>2866</v>
      </c>
    </row>
    <row r="81" spans="2:16" ht="14.45" customHeight="1" x14ac:dyDescent="0.2">
      <c r="B81" s="360"/>
      <c r="C81" s="366"/>
      <c r="D81" s="363"/>
      <c r="E81" s="150" t="s">
        <v>1845</v>
      </c>
      <c r="F81" s="151" t="s">
        <v>2999</v>
      </c>
      <c r="G81" s="16" t="s">
        <v>3788</v>
      </c>
      <c r="H81" s="168" t="s">
        <v>3391</v>
      </c>
      <c r="I81" s="169" t="s">
        <v>2760</v>
      </c>
      <c r="J81" s="103">
        <v>313</v>
      </c>
      <c r="K81" s="104"/>
      <c r="L81" s="105"/>
      <c r="M81" s="194"/>
      <c r="N81" s="178"/>
      <c r="O81" s="180" t="s">
        <v>2884</v>
      </c>
      <c r="P81" s="180" t="s">
        <v>2866</v>
      </c>
    </row>
    <row r="82" spans="2:16" ht="14.45" customHeight="1" x14ac:dyDescent="0.2">
      <c r="B82" s="360"/>
      <c r="C82" s="366"/>
      <c r="D82" s="363"/>
      <c r="E82" s="150" t="s">
        <v>1845</v>
      </c>
      <c r="F82" s="151" t="s">
        <v>3000</v>
      </c>
      <c r="G82" s="16" t="s">
        <v>3789</v>
      </c>
      <c r="H82" s="168" t="s">
        <v>3392</v>
      </c>
      <c r="I82" s="169" t="s">
        <v>2760</v>
      </c>
      <c r="J82" s="103">
        <v>296</v>
      </c>
      <c r="K82" s="104"/>
      <c r="L82" s="105"/>
      <c r="M82" s="194"/>
      <c r="N82" s="178"/>
      <c r="O82" s="180" t="s">
        <v>2884</v>
      </c>
      <c r="P82" s="180" t="s">
        <v>2866</v>
      </c>
    </row>
    <row r="83" spans="2:16" ht="14.45" customHeight="1" x14ac:dyDescent="0.2">
      <c r="B83" s="360"/>
      <c r="C83" s="366"/>
      <c r="D83" s="363"/>
      <c r="E83" s="150" t="s">
        <v>1845</v>
      </c>
      <c r="F83" s="151" t="s">
        <v>3001</v>
      </c>
      <c r="G83" s="16" t="s">
        <v>3790</v>
      </c>
      <c r="H83" s="168" t="s">
        <v>3393</v>
      </c>
      <c r="I83" s="169" t="s">
        <v>2760</v>
      </c>
      <c r="J83" s="103">
        <v>561</v>
      </c>
      <c r="K83" s="104"/>
      <c r="L83" s="105"/>
      <c r="M83" s="194"/>
      <c r="N83" s="178"/>
      <c r="O83" s="180" t="s">
        <v>2884</v>
      </c>
      <c r="P83" s="180" t="s">
        <v>2866</v>
      </c>
    </row>
    <row r="84" spans="2:16" ht="14.45" customHeight="1" x14ac:dyDescent="0.2">
      <c r="B84" s="360"/>
      <c r="C84" s="366"/>
      <c r="D84" s="363"/>
      <c r="E84" s="150" t="s">
        <v>1845</v>
      </c>
      <c r="F84" s="151" t="s">
        <v>3002</v>
      </c>
      <c r="G84" s="16" t="s">
        <v>3791</v>
      </c>
      <c r="H84" s="168" t="s">
        <v>3394</v>
      </c>
      <c r="I84" s="169" t="s">
        <v>2760</v>
      </c>
      <c r="J84" s="103">
        <v>279</v>
      </c>
      <c r="K84" s="104"/>
      <c r="L84" s="105"/>
      <c r="M84" s="194"/>
      <c r="N84" s="178"/>
      <c r="O84" s="180" t="s">
        <v>2884</v>
      </c>
      <c r="P84" s="180" t="s">
        <v>2866</v>
      </c>
    </row>
    <row r="85" spans="2:16" ht="14.45" customHeight="1" x14ac:dyDescent="0.2">
      <c r="B85" s="360"/>
      <c r="C85" s="366"/>
      <c r="D85" s="363"/>
      <c r="E85" s="150" t="s">
        <v>1845</v>
      </c>
      <c r="F85" s="151" t="s">
        <v>3003</v>
      </c>
      <c r="G85" s="16" t="s">
        <v>3792</v>
      </c>
      <c r="H85" s="168" t="s">
        <v>3395</v>
      </c>
      <c r="I85" s="169" t="s">
        <v>2760</v>
      </c>
      <c r="J85" s="103">
        <v>163</v>
      </c>
      <c r="K85" s="104"/>
      <c r="L85" s="105"/>
      <c r="M85" s="194"/>
      <c r="N85" s="178"/>
      <c r="O85" s="180" t="s">
        <v>2884</v>
      </c>
      <c r="P85" s="180" t="s">
        <v>2866</v>
      </c>
    </row>
    <row r="86" spans="2:16" ht="14.45" customHeight="1" x14ac:dyDescent="0.2">
      <c r="B86" s="360"/>
      <c r="C86" s="366"/>
      <c r="D86" s="363"/>
      <c r="E86" s="150" t="s">
        <v>1845</v>
      </c>
      <c r="F86" s="151" t="s">
        <v>3004</v>
      </c>
      <c r="G86" s="16" t="s">
        <v>3793</v>
      </c>
      <c r="H86" s="168" t="s">
        <v>3396</v>
      </c>
      <c r="I86" s="169" t="s">
        <v>2760</v>
      </c>
      <c r="J86" s="103">
        <v>414</v>
      </c>
      <c r="K86" s="104"/>
      <c r="L86" s="105"/>
      <c r="M86" s="194"/>
      <c r="N86" s="178"/>
      <c r="O86" s="180" t="s">
        <v>2884</v>
      </c>
      <c r="P86" s="180" t="s">
        <v>2866</v>
      </c>
    </row>
    <row r="87" spans="2:16" ht="14.45" customHeight="1" x14ac:dyDescent="0.2">
      <c r="B87" s="360"/>
      <c r="C87" s="366"/>
      <c r="D87" s="363"/>
      <c r="E87" s="150" t="s">
        <v>1845</v>
      </c>
      <c r="F87" s="151" t="s">
        <v>3005</v>
      </c>
      <c r="G87" s="16" t="s">
        <v>3794</v>
      </c>
      <c r="H87" s="168" t="s">
        <v>3397</v>
      </c>
      <c r="I87" s="169" t="s">
        <v>2760</v>
      </c>
      <c r="J87" s="103">
        <v>124</v>
      </c>
      <c r="K87" s="104"/>
      <c r="L87" s="105"/>
      <c r="M87" s="194"/>
      <c r="N87" s="178"/>
      <c r="O87" s="180" t="s">
        <v>2884</v>
      </c>
      <c r="P87" s="180" t="s">
        <v>2866</v>
      </c>
    </row>
    <row r="88" spans="2:16" ht="14.45" customHeight="1" x14ac:dyDescent="0.2">
      <c r="B88" s="360"/>
      <c r="C88" s="366"/>
      <c r="D88" s="363"/>
      <c r="E88" s="150" t="s">
        <v>1845</v>
      </c>
      <c r="F88" s="151" t="s">
        <v>3006</v>
      </c>
      <c r="G88" s="16" t="s">
        <v>3795</v>
      </c>
      <c r="H88" s="168" t="s">
        <v>3398</v>
      </c>
      <c r="I88" s="169" t="s">
        <v>2760</v>
      </c>
      <c r="J88" s="103">
        <v>670</v>
      </c>
      <c r="K88" s="104"/>
      <c r="L88" s="105"/>
      <c r="M88" s="194"/>
      <c r="N88" s="178"/>
      <c r="O88" s="180" t="s">
        <v>2884</v>
      </c>
      <c r="P88" s="180" t="s">
        <v>2866</v>
      </c>
    </row>
    <row r="89" spans="2:16" ht="14.45" customHeight="1" thickBot="1" x14ac:dyDescent="0.25">
      <c r="B89" s="360"/>
      <c r="C89" s="366"/>
      <c r="D89" s="363"/>
      <c r="E89" s="150" t="s">
        <v>1845</v>
      </c>
      <c r="F89" s="151" t="s">
        <v>3007</v>
      </c>
      <c r="G89" s="16" t="s">
        <v>3796</v>
      </c>
      <c r="H89" s="168" t="s">
        <v>3399</v>
      </c>
      <c r="I89" s="169" t="s">
        <v>2760</v>
      </c>
      <c r="J89" s="103">
        <v>221</v>
      </c>
      <c r="K89" s="104"/>
      <c r="L89" s="105"/>
      <c r="M89" s="194"/>
      <c r="N89" s="178"/>
      <c r="O89" s="180" t="s">
        <v>2884</v>
      </c>
      <c r="P89" s="180" t="s">
        <v>2866</v>
      </c>
    </row>
    <row r="90" spans="2:16" ht="14.45" customHeight="1" x14ac:dyDescent="0.2">
      <c r="B90" s="359" t="s">
        <v>1842</v>
      </c>
      <c r="C90" s="365" t="s">
        <v>1692</v>
      </c>
      <c r="D90" s="413" t="s">
        <v>28</v>
      </c>
      <c r="E90" s="115" t="s">
        <v>7</v>
      </c>
      <c r="F90" s="116" t="s">
        <v>2522</v>
      </c>
      <c r="G90" s="117" t="s">
        <v>151</v>
      </c>
      <c r="H90" s="156" t="s">
        <v>2571</v>
      </c>
      <c r="I90" s="157" t="s">
        <v>314</v>
      </c>
      <c r="J90" s="118">
        <v>2013</v>
      </c>
      <c r="K90" s="119">
        <v>46108</v>
      </c>
      <c r="L90" s="120">
        <v>46136</v>
      </c>
      <c r="M90" s="188" t="s">
        <v>2947</v>
      </c>
      <c r="N90" s="121"/>
      <c r="O90" s="182" t="s">
        <v>2885</v>
      </c>
      <c r="P90" s="182" t="s">
        <v>2869</v>
      </c>
    </row>
    <row r="91" spans="2:16" ht="14.45" customHeight="1" x14ac:dyDescent="0.2">
      <c r="B91" s="360"/>
      <c r="C91" s="366"/>
      <c r="D91" s="363"/>
      <c r="E91" s="150" t="s">
        <v>1845</v>
      </c>
      <c r="F91" s="151" t="s">
        <v>3008</v>
      </c>
      <c r="G91" s="16" t="s">
        <v>3797</v>
      </c>
      <c r="H91" s="168" t="s">
        <v>3400</v>
      </c>
      <c r="I91" s="169" t="s">
        <v>2760</v>
      </c>
      <c r="J91" s="103">
        <v>320</v>
      </c>
      <c r="K91" s="104"/>
      <c r="L91" s="105"/>
      <c r="M91" s="194"/>
      <c r="N91" s="106"/>
      <c r="O91" s="180" t="s">
        <v>2885</v>
      </c>
      <c r="P91" s="180" t="s">
        <v>2868</v>
      </c>
    </row>
    <row r="92" spans="2:16" ht="14.45" customHeight="1" x14ac:dyDescent="0.2">
      <c r="B92" s="360"/>
      <c r="C92" s="366"/>
      <c r="D92" s="363"/>
      <c r="E92" s="150" t="s">
        <v>1845</v>
      </c>
      <c r="F92" s="151" t="s">
        <v>3009</v>
      </c>
      <c r="G92" s="16" t="s">
        <v>3798</v>
      </c>
      <c r="H92" s="168" t="s">
        <v>3401</v>
      </c>
      <c r="I92" s="169" t="s">
        <v>2760</v>
      </c>
      <c r="J92" s="103">
        <v>814</v>
      </c>
      <c r="K92" s="104"/>
      <c r="L92" s="105"/>
      <c r="M92" s="194"/>
      <c r="N92" s="106"/>
      <c r="O92" s="180" t="s">
        <v>2885</v>
      </c>
      <c r="P92" s="180" t="s">
        <v>2868</v>
      </c>
    </row>
    <row r="93" spans="2:16" ht="14.45" customHeight="1" x14ac:dyDescent="0.2">
      <c r="B93" s="360"/>
      <c r="C93" s="366"/>
      <c r="D93" s="363"/>
      <c r="E93" s="150" t="s">
        <v>1845</v>
      </c>
      <c r="F93" s="151" t="s">
        <v>3010</v>
      </c>
      <c r="G93" s="16" t="s">
        <v>3799</v>
      </c>
      <c r="H93" s="168" t="s">
        <v>3402</v>
      </c>
      <c r="I93" s="169" t="s">
        <v>2760</v>
      </c>
      <c r="J93" s="103">
        <v>566</v>
      </c>
      <c r="K93" s="104"/>
      <c r="L93" s="105"/>
      <c r="M93" s="194"/>
      <c r="N93" s="106"/>
      <c r="O93" s="180" t="s">
        <v>2885</v>
      </c>
      <c r="P93" s="180" t="s">
        <v>2868</v>
      </c>
    </row>
    <row r="94" spans="2:16" ht="14.45" customHeight="1" x14ac:dyDescent="0.2">
      <c r="B94" s="360"/>
      <c r="C94" s="366"/>
      <c r="D94" s="363"/>
      <c r="E94" s="150" t="s">
        <v>1845</v>
      </c>
      <c r="F94" s="151" t="s">
        <v>3020</v>
      </c>
      <c r="G94" s="16" t="s">
        <v>3809</v>
      </c>
      <c r="H94" s="168" t="s">
        <v>3412</v>
      </c>
      <c r="I94" s="169" t="s">
        <v>2760</v>
      </c>
      <c r="J94" s="103">
        <v>403</v>
      </c>
      <c r="K94" s="104"/>
      <c r="L94" s="105"/>
      <c r="M94" s="194"/>
      <c r="N94" s="106"/>
      <c r="O94" s="180" t="s">
        <v>2885</v>
      </c>
      <c r="P94" s="180" t="s">
        <v>2868</v>
      </c>
    </row>
    <row r="95" spans="2:16" ht="14.45" customHeight="1" x14ac:dyDescent="0.2">
      <c r="B95" s="360"/>
      <c r="C95" s="366"/>
      <c r="D95" s="363"/>
      <c r="E95" s="150" t="s">
        <v>1845</v>
      </c>
      <c r="F95" s="151" t="s">
        <v>3021</v>
      </c>
      <c r="G95" s="16" t="s">
        <v>3810</v>
      </c>
      <c r="H95" s="168" t="s">
        <v>3413</v>
      </c>
      <c r="I95" s="169" t="s">
        <v>2760</v>
      </c>
      <c r="J95" s="103">
        <v>837</v>
      </c>
      <c r="K95" s="104"/>
      <c r="L95" s="105"/>
      <c r="M95" s="194"/>
      <c r="N95" s="106"/>
      <c r="O95" s="180" t="s">
        <v>2885</v>
      </c>
      <c r="P95" s="180" t="s">
        <v>2868</v>
      </c>
    </row>
    <row r="96" spans="2:16" ht="14.45" customHeight="1" x14ac:dyDescent="0.2">
      <c r="B96" s="360"/>
      <c r="C96" s="366"/>
      <c r="D96" s="363"/>
      <c r="E96" s="152" t="s">
        <v>1845</v>
      </c>
      <c r="F96" s="153" t="s">
        <v>3020</v>
      </c>
      <c r="G96" s="50" t="s">
        <v>3809</v>
      </c>
      <c r="H96" s="170" t="s">
        <v>3412</v>
      </c>
      <c r="I96" s="171" t="s">
        <v>2760</v>
      </c>
      <c r="J96" s="107">
        <v>403</v>
      </c>
      <c r="K96" s="108"/>
      <c r="L96" s="109"/>
      <c r="M96" s="195"/>
      <c r="N96" s="110"/>
      <c r="O96" s="186" t="s">
        <v>2885</v>
      </c>
      <c r="P96" s="186" t="s">
        <v>2868</v>
      </c>
    </row>
    <row r="97" spans="2:16" ht="14.45" customHeight="1" x14ac:dyDescent="0.2">
      <c r="B97" s="360"/>
      <c r="C97" s="366"/>
      <c r="D97" s="363"/>
      <c r="E97" s="152" t="s">
        <v>1845</v>
      </c>
      <c r="F97" s="153" t="s">
        <v>3021</v>
      </c>
      <c r="G97" s="50" t="s">
        <v>3810</v>
      </c>
      <c r="H97" s="170" t="s">
        <v>3413</v>
      </c>
      <c r="I97" s="171" t="s">
        <v>2760</v>
      </c>
      <c r="J97" s="107">
        <v>837</v>
      </c>
      <c r="K97" s="108"/>
      <c r="L97" s="109"/>
      <c r="M97" s="195"/>
      <c r="N97" s="110"/>
      <c r="O97" s="186" t="s">
        <v>2885</v>
      </c>
      <c r="P97" s="186" t="s">
        <v>2868</v>
      </c>
    </row>
    <row r="98" spans="2:16" ht="14.45" customHeight="1" x14ac:dyDescent="0.2">
      <c r="B98" s="360"/>
      <c r="C98" s="366"/>
      <c r="D98" s="363"/>
      <c r="E98" s="152" t="s">
        <v>1845</v>
      </c>
      <c r="F98" s="153" t="s">
        <v>3022</v>
      </c>
      <c r="G98" s="50" t="s">
        <v>3811</v>
      </c>
      <c r="H98" s="170" t="s">
        <v>3414</v>
      </c>
      <c r="I98" s="171" t="s">
        <v>2760</v>
      </c>
      <c r="J98" s="107">
        <v>1439</v>
      </c>
      <c r="K98" s="108"/>
      <c r="L98" s="109"/>
      <c r="M98" s="195"/>
      <c r="N98" s="110"/>
      <c r="O98" s="186" t="s">
        <v>2885</v>
      </c>
      <c r="P98" s="186" t="s">
        <v>2868</v>
      </c>
    </row>
    <row r="99" spans="2:16" ht="14.45" customHeight="1" x14ac:dyDescent="0.2">
      <c r="B99" s="360"/>
      <c r="C99" s="366"/>
      <c r="D99" s="363"/>
      <c r="E99" s="152" t="s">
        <v>1845</v>
      </c>
      <c r="F99" s="153" t="s">
        <v>3023</v>
      </c>
      <c r="G99" s="50" t="s">
        <v>3812</v>
      </c>
      <c r="H99" s="170" t="s">
        <v>3415</v>
      </c>
      <c r="I99" s="171" t="s">
        <v>2760</v>
      </c>
      <c r="J99" s="107">
        <v>332</v>
      </c>
      <c r="K99" s="108"/>
      <c r="L99" s="109"/>
      <c r="M99" s="195"/>
      <c r="N99" s="110"/>
      <c r="O99" s="186" t="s">
        <v>2885</v>
      </c>
      <c r="P99" s="186" t="s">
        <v>2868</v>
      </c>
    </row>
    <row r="100" spans="2:16" ht="14.45" customHeight="1" x14ac:dyDescent="0.2">
      <c r="B100" s="360"/>
      <c r="C100" s="366"/>
      <c r="D100" s="362" t="s">
        <v>30</v>
      </c>
      <c r="E100" s="131" t="s">
        <v>7</v>
      </c>
      <c r="F100" s="132" t="s">
        <v>2522</v>
      </c>
      <c r="G100" s="133" t="s">
        <v>152</v>
      </c>
      <c r="H100" s="162" t="s">
        <v>2594</v>
      </c>
      <c r="I100" s="172" t="s">
        <v>315</v>
      </c>
      <c r="J100" s="134">
        <v>3534</v>
      </c>
      <c r="K100" s="135">
        <v>46108</v>
      </c>
      <c r="L100" s="136">
        <v>46136</v>
      </c>
      <c r="M100" s="191" t="s">
        <v>2947</v>
      </c>
      <c r="N100" s="137"/>
      <c r="O100" s="184" t="s">
        <v>2885</v>
      </c>
      <c r="P100" s="184" t="s">
        <v>2868</v>
      </c>
    </row>
    <row r="101" spans="2:16" ht="14.45" customHeight="1" x14ac:dyDescent="0.2">
      <c r="B101" s="360"/>
      <c r="C101" s="366"/>
      <c r="D101" s="363"/>
      <c r="E101" s="150" t="s">
        <v>2764</v>
      </c>
      <c r="F101" s="151" t="s">
        <v>2649</v>
      </c>
      <c r="G101" s="16" t="s">
        <v>2597</v>
      </c>
      <c r="H101" s="168" t="s">
        <v>2598</v>
      </c>
      <c r="I101" s="173" t="s">
        <v>2760</v>
      </c>
      <c r="J101" s="103">
        <v>3020</v>
      </c>
      <c r="K101" s="104">
        <v>46171</v>
      </c>
      <c r="L101" s="105">
        <v>46171</v>
      </c>
      <c r="M101" s="194" t="s">
        <v>2947</v>
      </c>
      <c r="N101" s="106"/>
      <c r="O101" s="180" t="s">
        <v>2885</v>
      </c>
      <c r="P101" s="180" t="s">
        <v>2868</v>
      </c>
    </row>
    <row r="102" spans="2:16" ht="14.45" customHeight="1" x14ac:dyDescent="0.2">
      <c r="B102" s="360"/>
      <c r="C102" s="366"/>
      <c r="D102" s="363"/>
      <c r="E102" s="150" t="s">
        <v>2764</v>
      </c>
      <c r="F102" s="151" t="s">
        <v>2650</v>
      </c>
      <c r="G102" s="16" t="s">
        <v>2599</v>
      </c>
      <c r="H102" s="168" t="s">
        <v>2600</v>
      </c>
      <c r="I102" s="173" t="s">
        <v>2760</v>
      </c>
      <c r="J102" s="103">
        <v>2807</v>
      </c>
      <c r="K102" s="104">
        <v>46171</v>
      </c>
      <c r="L102" s="105"/>
      <c r="M102" s="194" t="s">
        <v>2947</v>
      </c>
      <c r="N102" s="106"/>
      <c r="O102" s="180" t="s">
        <v>2885</v>
      </c>
      <c r="P102" s="180" t="s">
        <v>2868</v>
      </c>
    </row>
    <row r="103" spans="2:16" ht="14.45" customHeight="1" x14ac:dyDescent="0.2">
      <c r="B103" s="360"/>
      <c r="C103" s="366"/>
      <c r="D103" s="363"/>
      <c r="E103" s="150" t="s">
        <v>1845</v>
      </c>
      <c r="F103" s="151" t="s">
        <v>3011</v>
      </c>
      <c r="G103" s="16" t="s">
        <v>3800</v>
      </c>
      <c r="H103" s="168" t="s">
        <v>3403</v>
      </c>
      <c r="I103" s="169" t="s">
        <v>2760</v>
      </c>
      <c r="J103" s="103">
        <v>240</v>
      </c>
      <c r="K103" s="104"/>
      <c r="L103" s="105"/>
      <c r="M103" s="194"/>
      <c r="N103" s="106"/>
      <c r="O103" s="180" t="s">
        <v>2885</v>
      </c>
      <c r="P103" s="180" t="s">
        <v>2868</v>
      </c>
    </row>
    <row r="104" spans="2:16" ht="14.45" customHeight="1" x14ac:dyDescent="0.2">
      <c r="B104" s="360"/>
      <c r="C104" s="366"/>
      <c r="D104" s="363"/>
      <c r="E104" s="150" t="s">
        <v>1845</v>
      </c>
      <c r="F104" s="151" t="s">
        <v>3012</v>
      </c>
      <c r="G104" s="16" t="s">
        <v>3801</v>
      </c>
      <c r="H104" s="168" t="s">
        <v>3404</v>
      </c>
      <c r="I104" s="169" t="s">
        <v>2760</v>
      </c>
      <c r="J104" s="103">
        <v>257</v>
      </c>
      <c r="K104" s="104"/>
      <c r="L104" s="105"/>
      <c r="M104" s="194"/>
      <c r="N104" s="106"/>
      <c r="O104" s="180" t="s">
        <v>2885</v>
      </c>
      <c r="P104" s="180" t="s">
        <v>2868</v>
      </c>
    </row>
    <row r="105" spans="2:16" ht="14.45" customHeight="1" x14ac:dyDescent="0.2">
      <c r="B105" s="360"/>
      <c r="C105" s="366"/>
      <c r="D105" s="363"/>
      <c r="E105" s="150" t="s">
        <v>1845</v>
      </c>
      <c r="F105" s="151" t="s">
        <v>3013</v>
      </c>
      <c r="G105" s="16" t="s">
        <v>3802</v>
      </c>
      <c r="H105" s="168" t="s">
        <v>3405</v>
      </c>
      <c r="I105" s="169" t="s">
        <v>2760</v>
      </c>
      <c r="J105" s="103">
        <v>360</v>
      </c>
      <c r="K105" s="104"/>
      <c r="L105" s="105"/>
      <c r="M105" s="194"/>
      <c r="N105" s="106"/>
      <c r="O105" s="180" t="s">
        <v>2885</v>
      </c>
      <c r="P105" s="180" t="s">
        <v>2868</v>
      </c>
    </row>
    <row r="106" spans="2:16" ht="14.45" customHeight="1" x14ac:dyDescent="0.2">
      <c r="B106" s="360"/>
      <c r="C106" s="366"/>
      <c r="D106" s="362" t="s">
        <v>32</v>
      </c>
      <c r="E106" s="131" t="s">
        <v>7</v>
      </c>
      <c r="F106" s="132" t="s">
        <v>2522</v>
      </c>
      <c r="G106" s="133" t="s">
        <v>153</v>
      </c>
      <c r="H106" s="162" t="s">
        <v>2572</v>
      </c>
      <c r="I106" s="163" t="s">
        <v>316</v>
      </c>
      <c r="J106" s="134">
        <v>3344</v>
      </c>
      <c r="K106" s="135">
        <v>46108</v>
      </c>
      <c r="L106" s="136">
        <v>46136</v>
      </c>
      <c r="M106" s="191" t="s">
        <v>2946</v>
      </c>
      <c r="N106" s="137"/>
      <c r="O106" s="184" t="s">
        <v>2885</v>
      </c>
      <c r="P106" s="184" t="s">
        <v>2868</v>
      </c>
    </row>
    <row r="107" spans="2:16" ht="14.45" customHeight="1" x14ac:dyDescent="0.2">
      <c r="B107" s="360"/>
      <c r="C107" s="366"/>
      <c r="D107" s="363"/>
      <c r="E107" s="150" t="s">
        <v>2763</v>
      </c>
      <c r="F107" s="151" t="s">
        <v>219</v>
      </c>
      <c r="G107" s="16" t="s">
        <v>2781</v>
      </c>
      <c r="H107" s="168" t="s">
        <v>2782</v>
      </c>
      <c r="I107" s="169" t="s">
        <v>384</v>
      </c>
      <c r="J107" s="103">
        <v>1454</v>
      </c>
      <c r="K107" s="104">
        <v>46171</v>
      </c>
      <c r="L107" s="105">
        <v>46186</v>
      </c>
      <c r="M107" s="194" t="s">
        <v>2946</v>
      </c>
      <c r="N107" s="106"/>
      <c r="O107" s="180" t="s">
        <v>2885</v>
      </c>
      <c r="P107" s="180" t="s">
        <v>2868</v>
      </c>
    </row>
    <row r="108" spans="2:16" ht="14.45" customHeight="1" x14ac:dyDescent="0.2">
      <c r="B108" s="360"/>
      <c r="C108" s="366"/>
      <c r="D108" s="363"/>
      <c r="E108" s="150" t="s">
        <v>2763</v>
      </c>
      <c r="F108" s="151" t="s">
        <v>2618</v>
      </c>
      <c r="G108" s="16" t="s">
        <v>2784</v>
      </c>
      <c r="H108" s="168" t="s">
        <v>2785</v>
      </c>
      <c r="I108" s="169" t="s">
        <v>385</v>
      </c>
      <c r="J108" s="103">
        <v>2243</v>
      </c>
      <c r="K108" s="104">
        <v>46171</v>
      </c>
      <c r="L108" s="105">
        <v>46171</v>
      </c>
      <c r="M108" s="194" t="s">
        <v>2946</v>
      </c>
      <c r="N108" s="178"/>
      <c r="O108" s="180" t="s">
        <v>2885</v>
      </c>
      <c r="P108" s="180" t="s">
        <v>2868</v>
      </c>
    </row>
    <row r="109" spans="2:16" ht="14.45" customHeight="1" x14ac:dyDescent="0.2">
      <c r="B109" s="360"/>
      <c r="C109" s="366"/>
      <c r="D109" s="363"/>
      <c r="E109" s="150" t="s">
        <v>2763</v>
      </c>
      <c r="F109" s="151" t="s">
        <v>220</v>
      </c>
      <c r="G109" s="16" t="s">
        <v>2787</v>
      </c>
      <c r="H109" s="168" t="s">
        <v>2788</v>
      </c>
      <c r="I109" s="169" t="s">
        <v>386</v>
      </c>
      <c r="J109" s="103">
        <v>2204</v>
      </c>
      <c r="K109" s="104">
        <v>46171</v>
      </c>
      <c r="L109" s="105">
        <v>46186</v>
      </c>
      <c r="M109" s="194" t="s">
        <v>2946</v>
      </c>
      <c r="N109" s="178"/>
      <c r="O109" s="180" t="s">
        <v>2885</v>
      </c>
      <c r="P109" s="180" t="s">
        <v>2868</v>
      </c>
    </row>
    <row r="110" spans="2:16" ht="14.45" customHeight="1" x14ac:dyDescent="0.2">
      <c r="B110" s="360"/>
      <c r="C110" s="366"/>
      <c r="D110" s="363"/>
      <c r="E110" s="150" t="s">
        <v>1845</v>
      </c>
      <c r="F110" s="151" t="s">
        <v>3014</v>
      </c>
      <c r="G110" s="16" t="s">
        <v>3803</v>
      </c>
      <c r="H110" s="168" t="s">
        <v>3406</v>
      </c>
      <c r="I110" s="169" t="s">
        <v>2760</v>
      </c>
      <c r="J110" s="103">
        <v>1544</v>
      </c>
      <c r="K110" s="104"/>
      <c r="L110" s="105"/>
      <c r="M110" s="194"/>
      <c r="N110" s="178"/>
      <c r="O110" s="180" t="s">
        <v>2885</v>
      </c>
      <c r="P110" s="180" t="s">
        <v>2868</v>
      </c>
    </row>
    <row r="111" spans="2:16" ht="14.45" customHeight="1" x14ac:dyDescent="0.2">
      <c r="B111" s="360"/>
      <c r="C111" s="366"/>
      <c r="D111" s="363"/>
      <c r="E111" s="150" t="s">
        <v>1845</v>
      </c>
      <c r="F111" s="151" t="s">
        <v>3015</v>
      </c>
      <c r="G111" s="16" t="s">
        <v>3804</v>
      </c>
      <c r="H111" s="168" t="s">
        <v>3407</v>
      </c>
      <c r="I111" s="169" t="s">
        <v>2760</v>
      </c>
      <c r="J111" s="103">
        <v>499</v>
      </c>
      <c r="K111" s="104"/>
      <c r="L111" s="105"/>
      <c r="M111" s="194"/>
      <c r="N111" s="178"/>
      <c r="O111" s="180" t="s">
        <v>2885</v>
      </c>
      <c r="P111" s="180" t="s">
        <v>2868</v>
      </c>
    </row>
    <row r="112" spans="2:16" ht="14.45" customHeight="1" x14ac:dyDescent="0.2">
      <c r="B112" s="360"/>
      <c r="C112" s="366"/>
      <c r="D112" s="363"/>
      <c r="E112" s="150" t="s">
        <v>1845</v>
      </c>
      <c r="F112" s="151" t="s">
        <v>3016</v>
      </c>
      <c r="G112" s="16" t="s">
        <v>3805</v>
      </c>
      <c r="H112" s="168" t="s">
        <v>3408</v>
      </c>
      <c r="I112" s="169" t="s">
        <v>2760</v>
      </c>
      <c r="J112" s="103">
        <v>386</v>
      </c>
      <c r="K112" s="104"/>
      <c r="L112" s="105"/>
      <c r="M112" s="194"/>
      <c r="N112" s="178"/>
      <c r="O112" s="180" t="s">
        <v>2885</v>
      </c>
      <c r="P112" s="180" t="s">
        <v>2868</v>
      </c>
    </row>
    <row r="113" spans="2:16" ht="14.45" customHeight="1" x14ac:dyDescent="0.2">
      <c r="B113" s="360"/>
      <c r="C113" s="366"/>
      <c r="D113" s="363"/>
      <c r="E113" s="150" t="s">
        <v>1845</v>
      </c>
      <c r="F113" s="151" t="s">
        <v>3017</v>
      </c>
      <c r="G113" s="16" t="s">
        <v>3806</v>
      </c>
      <c r="H113" s="168" t="s">
        <v>3409</v>
      </c>
      <c r="I113" s="169" t="s">
        <v>2760</v>
      </c>
      <c r="J113" s="103">
        <v>627</v>
      </c>
      <c r="K113" s="104"/>
      <c r="L113" s="105"/>
      <c r="M113" s="194"/>
      <c r="N113" s="178"/>
      <c r="O113" s="180" t="s">
        <v>2885</v>
      </c>
      <c r="P113" s="180" t="s">
        <v>2868</v>
      </c>
    </row>
    <row r="114" spans="2:16" ht="14.45" customHeight="1" x14ac:dyDescent="0.2">
      <c r="B114" s="360"/>
      <c r="C114" s="366"/>
      <c r="D114" s="363"/>
      <c r="E114" s="150" t="s">
        <v>1845</v>
      </c>
      <c r="F114" s="151" t="s">
        <v>3018</v>
      </c>
      <c r="G114" s="16" t="s">
        <v>3807</v>
      </c>
      <c r="H114" s="168" t="s">
        <v>3410</v>
      </c>
      <c r="I114" s="169" t="s">
        <v>2760</v>
      </c>
      <c r="J114" s="103">
        <v>283</v>
      </c>
      <c r="K114" s="104"/>
      <c r="L114" s="105"/>
      <c r="M114" s="194"/>
      <c r="N114" s="178"/>
      <c r="O114" s="180" t="s">
        <v>2885</v>
      </c>
      <c r="P114" s="180" t="s">
        <v>2868</v>
      </c>
    </row>
    <row r="115" spans="2:16" ht="14.45" customHeight="1" x14ac:dyDescent="0.2">
      <c r="B115" s="360"/>
      <c r="C115" s="366"/>
      <c r="D115" s="363"/>
      <c r="E115" s="150" t="s">
        <v>1845</v>
      </c>
      <c r="F115" s="151" t="s">
        <v>3019</v>
      </c>
      <c r="G115" s="16" t="s">
        <v>3808</v>
      </c>
      <c r="H115" s="168" t="s">
        <v>3411</v>
      </c>
      <c r="I115" s="169" t="s">
        <v>2760</v>
      </c>
      <c r="J115" s="103">
        <v>391</v>
      </c>
      <c r="K115" s="104"/>
      <c r="L115" s="105"/>
      <c r="M115" s="194"/>
      <c r="N115" s="178"/>
      <c r="O115" s="180" t="s">
        <v>2885</v>
      </c>
      <c r="P115" s="180" t="s">
        <v>2868</v>
      </c>
    </row>
    <row r="116" spans="2:16" ht="14.45" customHeight="1" x14ac:dyDescent="0.2">
      <c r="B116" s="360"/>
      <c r="C116" s="366"/>
      <c r="D116" s="363"/>
      <c r="E116" s="150" t="s">
        <v>1845</v>
      </c>
      <c r="F116" s="151" t="s">
        <v>3024</v>
      </c>
      <c r="G116" s="16" t="s">
        <v>3813</v>
      </c>
      <c r="H116" s="168" t="s">
        <v>3416</v>
      </c>
      <c r="I116" s="169" t="s">
        <v>2760</v>
      </c>
      <c r="J116" s="103">
        <v>315</v>
      </c>
      <c r="K116" s="104"/>
      <c r="L116" s="105"/>
      <c r="M116" s="194"/>
      <c r="N116" s="178"/>
      <c r="O116" s="180" t="s">
        <v>2885</v>
      </c>
      <c r="P116" s="180" t="s">
        <v>2868</v>
      </c>
    </row>
    <row r="117" spans="2:16" ht="14.45" customHeight="1" x14ac:dyDescent="0.2">
      <c r="B117" s="360"/>
      <c r="C117" s="366"/>
      <c r="D117" s="363"/>
      <c r="E117" s="150" t="s">
        <v>1845</v>
      </c>
      <c r="F117" s="151" t="s">
        <v>3025</v>
      </c>
      <c r="G117" s="16" t="s">
        <v>3814</v>
      </c>
      <c r="H117" s="168" t="s">
        <v>3417</v>
      </c>
      <c r="I117" s="169" t="s">
        <v>2760</v>
      </c>
      <c r="J117" s="103">
        <v>448</v>
      </c>
      <c r="K117" s="104"/>
      <c r="L117" s="105"/>
      <c r="M117" s="194"/>
      <c r="N117" s="178"/>
      <c r="O117" s="180" t="s">
        <v>2885</v>
      </c>
      <c r="P117" s="180" t="s">
        <v>2868</v>
      </c>
    </row>
    <row r="118" spans="2:16" ht="14.45" customHeight="1" x14ac:dyDescent="0.2">
      <c r="B118" s="360"/>
      <c r="C118" s="366"/>
      <c r="D118" s="363"/>
      <c r="E118" s="150" t="s">
        <v>1845</v>
      </c>
      <c r="F118" s="151" t="s">
        <v>3026</v>
      </c>
      <c r="G118" s="16" t="s">
        <v>3815</v>
      </c>
      <c r="H118" s="168" t="s">
        <v>3418</v>
      </c>
      <c r="I118" s="169" t="s">
        <v>2760</v>
      </c>
      <c r="J118" s="103">
        <v>472</v>
      </c>
      <c r="K118" s="104"/>
      <c r="L118" s="105"/>
      <c r="M118" s="194"/>
      <c r="N118" s="178"/>
      <c r="O118" s="180" t="s">
        <v>2885</v>
      </c>
      <c r="P118" s="180" t="s">
        <v>2868</v>
      </c>
    </row>
    <row r="119" spans="2:16" ht="14.45" customHeight="1" x14ac:dyDescent="0.2">
      <c r="B119" s="360"/>
      <c r="C119" s="366"/>
      <c r="D119" s="363"/>
      <c r="E119" s="150" t="s">
        <v>1845</v>
      </c>
      <c r="F119" s="151" t="s">
        <v>3027</v>
      </c>
      <c r="G119" s="16" t="s">
        <v>3816</v>
      </c>
      <c r="H119" s="168" t="s">
        <v>3419</v>
      </c>
      <c r="I119" s="169" t="s">
        <v>2760</v>
      </c>
      <c r="J119" s="103">
        <v>312</v>
      </c>
      <c r="K119" s="104"/>
      <c r="L119" s="105"/>
      <c r="M119" s="194"/>
      <c r="N119" s="178"/>
      <c r="O119" s="180" t="s">
        <v>2885</v>
      </c>
      <c r="P119" s="180" t="s">
        <v>2868</v>
      </c>
    </row>
    <row r="120" spans="2:16" ht="14.45" customHeight="1" x14ac:dyDescent="0.2">
      <c r="B120" s="360"/>
      <c r="C120" s="366"/>
      <c r="D120" s="363"/>
      <c r="E120" s="150" t="s">
        <v>1845</v>
      </c>
      <c r="F120" s="151" t="s">
        <v>3028</v>
      </c>
      <c r="G120" s="16" t="s">
        <v>3817</v>
      </c>
      <c r="H120" s="168" t="s">
        <v>3420</v>
      </c>
      <c r="I120" s="169" t="s">
        <v>2760</v>
      </c>
      <c r="J120" s="103">
        <v>323</v>
      </c>
      <c r="K120" s="104"/>
      <c r="L120" s="105"/>
      <c r="M120" s="194"/>
      <c r="N120" s="178"/>
      <c r="O120" s="180" t="s">
        <v>2885</v>
      </c>
      <c r="P120" s="180" t="s">
        <v>2868</v>
      </c>
    </row>
    <row r="121" spans="2:16" ht="14.45" customHeight="1" x14ac:dyDescent="0.2">
      <c r="B121" s="360"/>
      <c r="C121" s="366"/>
      <c r="D121" s="363"/>
      <c r="E121" s="150" t="s">
        <v>1845</v>
      </c>
      <c r="F121" s="151" t="s">
        <v>3029</v>
      </c>
      <c r="G121" s="16" t="s">
        <v>3818</v>
      </c>
      <c r="H121" s="168" t="s">
        <v>3421</v>
      </c>
      <c r="I121" s="169" t="s">
        <v>2760</v>
      </c>
      <c r="J121" s="103">
        <v>651</v>
      </c>
      <c r="K121" s="104"/>
      <c r="L121" s="105"/>
      <c r="M121" s="194"/>
      <c r="N121" s="178"/>
      <c r="O121" s="180" t="s">
        <v>2885</v>
      </c>
      <c r="P121" s="180" t="s">
        <v>2868</v>
      </c>
    </row>
    <row r="122" spans="2:16" ht="14.45" customHeight="1" x14ac:dyDescent="0.2">
      <c r="B122" s="360"/>
      <c r="C122" s="366"/>
      <c r="D122" s="363"/>
      <c r="E122" s="150" t="s">
        <v>1845</v>
      </c>
      <c r="F122" s="151" t="s">
        <v>3030</v>
      </c>
      <c r="G122" s="16" t="s">
        <v>3819</v>
      </c>
      <c r="H122" s="168" t="s">
        <v>3422</v>
      </c>
      <c r="I122" s="169" t="s">
        <v>2760</v>
      </c>
      <c r="J122" s="103">
        <v>431</v>
      </c>
      <c r="K122" s="104"/>
      <c r="L122" s="105"/>
      <c r="M122" s="194"/>
      <c r="N122" s="178"/>
      <c r="O122" s="180" t="s">
        <v>2885</v>
      </c>
      <c r="P122" s="180" t="s">
        <v>2868</v>
      </c>
    </row>
    <row r="123" spans="2:16" ht="14.45" customHeight="1" x14ac:dyDescent="0.2">
      <c r="B123" s="360"/>
      <c r="C123" s="366"/>
      <c r="D123" s="362" t="s">
        <v>34</v>
      </c>
      <c r="E123" s="131" t="s">
        <v>7</v>
      </c>
      <c r="F123" s="132" t="s">
        <v>2522</v>
      </c>
      <c r="G123" s="133" t="s">
        <v>154</v>
      </c>
      <c r="H123" s="162" t="s">
        <v>2573</v>
      </c>
      <c r="I123" s="163" t="s">
        <v>317</v>
      </c>
      <c r="J123" s="134">
        <v>3640</v>
      </c>
      <c r="K123" s="135">
        <v>46108</v>
      </c>
      <c r="L123" s="136">
        <v>46136</v>
      </c>
      <c r="M123" s="191" t="s">
        <v>2947</v>
      </c>
      <c r="N123" s="137"/>
      <c r="O123" s="184" t="s">
        <v>2885</v>
      </c>
      <c r="P123" s="184" t="s">
        <v>2868</v>
      </c>
    </row>
    <row r="124" spans="2:16" ht="14.45" customHeight="1" x14ac:dyDescent="0.2">
      <c r="B124" s="360"/>
      <c r="C124" s="366"/>
      <c r="D124" s="363"/>
      <c r="E124" s="150" t="s">
        <v>2764</v>
      </c>
      <c r="F124" s="151" t="s">
        <v>2651</v>
      </c>
      <c r="G124" s="16" t="s">
        <v>267</v>
      </c>
      <c r="H124" s="168" t="s">
        <v>2468</v>
      </c>
      <c r="I124" s="169" t="s">
        <v>387</v>
      </c>
      <c r="J124" s="103">
        <v>2374</v>
      </c>
      <c r="K124" s="104">
        <v>46178</v>
      </c>
      <c r="L124" s="105"/>
      <c r="M124" s="194" t="s">
        <v>2947</v>
      </c>
      <c r="N124" s="106"/>
      <c r="O124" s="180" t="s">
        <v>2885</v>
      </c>
      <c r="P124" s="180" t="s">
        <v>2868</v>
      </c>
    </row>
    <row r="125" spans="2:16" ht="14.45" customHeight="1" x14ac:dyDescent="0.2">
      <c r="B125" s="360"/>
      <c r="C125" s="366"/>
      <c r="D125" s="363"/>
      <c r="E125" s="150" t="s">
        <v>2764</v>
      </c>
      <c r="F125" s="151" t="s">
        <v>2652</v>
      </c>
      <c r="G125" s="16" t="s">
        <v>268</v>
      </c>
      <c r="H125" s="168" t="s">
        <v>2469</v>
      </c>
      <c r="I125" s="169" t="s">
        <v>388</v>
      </c>
      <c r="J125" s="103">
        <v>2636</v>
      </c>
      <c r="K125" s="104">
        <v>46178</v>
      </c>
      <c r="L125" s="105"/>
      <c r="M125" s="194" t="s">
        <v>2947</v>
      </c>
      <c r="N125" s="106"/>
      <c r="O125" s="180" t="s">
        <v>2885</v>
      </c>
      <c r="P125" s="180" t="s">
        <v>2868</v>
      </c>
    </row>
    <row r="126" spans="2:16" ht="14.45" customHeight="1" x14ac:dyDescent="0.2">
      <c r="B126" s="360"/>
      <c r="C126" s="366"/>
      <c r="D126" s="363"/>
      <c r="E126" s="150" t="s">
        <v>1845</v>
      </c>
      <c r="F126" s="151" t="s">
        <v>3031</v>
      </c>
      <c r="G126" s="16" t="s">
        <v>3820</v>
      </c>
      <c r="H126" s="168" t="s">
        <v>3423</v>
      </c>
      <c r="I126" s="169" t="s">
        <v>2760</v>
      </c>
      <c r="J126" s="103">
        <v>374</v>
      </c>
      <c r="K126" s="104"/>
      <c r="L126" s="105"/>
      <c r="M126" s="194"/>
      <c r="N126" s="106"/>
      <c r="O126" s="180" t="s">
        <v>2885</v>
      </c>
      <c r="P126" s="180" t="s">
        <v>2868</v>
      </c>
    </row>
    <row r="127" spans="2:16" ht="14.45" customHeight="1" x14ac:dyDescent="0.2">
      <c r="B127" s="360"/>
      <c r="C127" s="366"/>
      <c r="D127" s="363"/>
      <c r="E127" s="150" t="s">
        <v>1845</v>
      </c>
      <c r="F127" s="151" t="s">
        <v>3032</v>
      </c>
      <c r="G127" s="16" t="s">
        <v>3821</v>
      </c>
      <c r="H127" s="168" t="s">
        <v>3424</v>
      </c>
      <c r="I127" s="169" t="s">
        <v>2760</v>
      </c>
      <c r="J127" s="103">
        <v>282</v>
      </c>
      <c r="K127" s="104"/>
      <c r="L127" s="105"/>
      <c r="M127" s="194"/>
      <c r="N127" s="106"/>
      <c r="O127" s="180" t="s">
        <v>2885</v>
      </c>
      <c r="P127" s="180" t="s">
        <v>2868</v>
      </c>
    </row>
    <row r="128" spans="2:16" ht="14.45" customHeight="1" x14ac:dyDescent="0.2">
      <c r="B128" s="360"/>
      <c r="C128" s="366"/>
      <c r="D128" s="363"/>
      <c r="E128" s="150" t="s">
        <v>1845</v>
      </c>
      <c r="F128" s="151" t="s">
        <v>3033</v>
      </c>
      <c r="G128" s="16" t="s">
        <v>3822</v>
      </c>
      <c r="H128" s="168" t="s">
        <v>3425</v>
      </c>
      <c r="I128" s="169" t="s">
        <v>2760</v>
      </c>
      <c r="J128" s="103">
        <v>298</v>
      </c>
      <c r="K128" s="104"/>
      <c r="L128" s="105"/>
      <c r="M128" s="194"/>
      <c r="N128" s="106"/>
      <c r="O128" s="180" t="s">
        <v>2885</v>
      </c>
      <c r="P128" s="180" t="s">
        <v>2868</v>
      </c>
    </row>
    <row r="129" spans="2:16" ht="14.45" customHeight="1" x14ac:dyDescent="0.2">
      <c r="B129" s="360"/>
      <c r="C129" s="366"/>
      <c r="D129" s="363"/>
      <c r="E129" s="150" t="s">
        <v>1845</v>
      </c>
      <c r="F129" s="151" t="s">
        <v>3034</v>
      </c>
      <c r="G129" s="16" t="s">
        <v>3823</v>
      </c>
      <c r="H129" s="168" t="s">
        <v>3426</v>
      </c>
      <c r="I129" s="169" t="s">
        <v>2760</v>
      </c>
      <c r="J129" s="103">
        <v>267</v>
      </c>
      <c r="K129" s="104"/>
      <c r="L129" s="105"/>
      <c r="M129" s="194"/>
      <c r="N129" s="106"/>
      <c r="O129" s="180" t="s">
        <v>2885</v>
      </c>
      <c r="P129" s="180" t="s">
        <v>2868</v>
      </c>
    </row>
    <row r="130" spans="2:16" ht="14.45" customHeight="1" x14ac:dyDescent="0.2">
      <c r="B130" s="360"/>
      <c r="C130" s="366"/>
      <c r="D130" s="363"/>
      <c r="E130" s="150" t="s">
        <v>1845</v>
      </c>
      <c r="F130" s="151" t="s">
        <v>3035</v>
      </c>
      <c r="G130" s="16" t="s">
        <v>3824</v>
      </c>
      <c r="H130" s="168" t="s">
        <v>3427</v>
      </c>
      <c r="I130" s="169" t="s">
        <v>2760</v>
      </c>
      <c r="J130" s="103">
        <v>274</v>
      </c>
      <c r="K130" s="104"/>
      <c r="L130" s="105"/>
      <c r="M130" s="194"/>
      <c r="N130" s="106"/>
      <c r="O130" s="180" t="s">
        <v>2885</v>
      </c>
      <c r="P130" s="180" t="s">
        <v>2868</v>
      </c>
    </row>
    <row r="131" spans="2:16" ht="14.45" customHeight="1" x14ac:dyDescent="0.2">
      <c r="B131" s="360"/>
      <c r="C131" s="366"/>
      <c r="D131" s="363"/>
      <c r="E131" s="150" t="s">
        <v>1845</v>
      </c>
      <c r="F131" s="151" t="s">
        <v>3036</v>
      </c>
      <c r="G131" s="16" t="s">
        <v>3825</v>
      </c>
      <c r="H131" s="168" t="s">
        <v>3428</v>
      </c>
      <c r="I131" s="169" t="s">
        <v>2760</v>
      </c>
      <c r="J131" s="103">
        <v>331</v>
      </c>
      <c r="K131" s="104"/>
      <c r="L131" s="105"/>
      <c r="M131" s="194"/>
      <c r="N131" s="106"/>
      <c r="O131" s="180" t="s">
        <v>2885</v>
      </c>
      <c r="P131" s="180" t="s">
        <v>2868</v>
      </c>
    </row>
    <row r="132" spans="2:16" ht="14.45" customHeight="1" x14ac:dyDescent="0.2">
      <c r="B132" s="360"/>
      <c r="C132" s="366"/>
      <c r="D132" s="363"/>
      <c r="E132" s="150" t="s">
        <v>1845</v>
      </c>
      <c r="F132" s="151" t="s">
        <v>3037</v>
      </c>
      <c r="G132" s="16" t="s">
        <v>3826</v>
      </c>
      <c r="H132" s="168" t="s">
        <v>3429</v>
      </c>
      <c r="I132" s="169" t="s">
        <v>2760</v>
      </c>
      <c r="J132" s="103">
        <v>417</v>
      </c>
      <c r="K132" s="104"/>
      <c r="L132" s="105"/>
      <c r="M132" s="194"/>
      <c r="N132" s="106"/>
      <c r="O132" s="180" t="s">
        <v>2885</v>
      </c>
      <c r="P132" s="180" t="s">
        <v>2868</v>
      </c>
    </row>
    <row r="133" spans="2:16" ht="14.45" customHeight="1" x14ac:dyDescent="0.2">
      <c r="B133" s="360"/>
      <c r="C133" s="366"/>
      <c r="D133" s="363"/>
      <c r="E133" s="150" t="s">
        <v>1845</v>
      </c>
      <c r="F133" s="151" t="s">
        <v>3038</v>
      </c>
      <c r="G133" s="16" t="s">
        <v>3827</v>
      </c>
      <c r="H133" s="168" t="s">
        <v>3430</v>
      </c>
      <c r="I133" s="169" t="s">
        <v>2760</v>
      </c>
      <c r="J133" s="103">
        <v>508</v>
      </c>
      <c r="K133" s="104"/>
      <c r="L133" s="105"/>
      <c r="M133" s="194"/>
      <c r="N133" s="106"/>
      <c r="O133" s="180" t="s">
        <v>2885</v>
      </c>
      <c r="P133" s="180" t="s">
        <v>2868</v>
      </c>
    </row>
    <row r="134" spans="2:16" ht="14.45" customHeight="1" x14ac:dyDescent="0.2">
      <c r="B134" s="360"/>
      <c r="C134" s="366"/>
      <c r="D134" s="363"/>
      <c r="E134" s="150" t="s">
        <v>1845</v>
      </c>
      <c r="F134" s="151" t="s">
        <v>3039</v>
      </c>
      <c r="G134" s="16" t="s">
        <v>3828</v>
      </c>
      <c r="H134" s="168" t="s">
        <v>3431</v>
      </c>
      <c r="I134" s="169" t="s">
        <v>2760</v>
      </c>
      <c r="J134" s="103">
        <v>621</v>
      </c>
      <c r="K134" s="104"/>
      <c r="L134" s="105"/>
      <c r="M134" s="194"/>
      <c r="N134" s="106"/>
      <c r="O134" s="180" t="s">
        <v>2885</v>
      </c>
      <c r="P134" s="180" t="s">
        <v>2868</v>
      </c>
    </row>
    <row r="135" spans="2:16" ht="14.45" customHeight="1" x14ac:dyDescent="0.2">
      <c r="B135" s="360"/>
      <c r="C135" s="366"/>
      <c r="D135" s="363"/>
      <c r="E135" s="150" t="s">
        <v>1845</v>
      </c>
      <c r="F135" s="151" t="s">
        <v>3040</v>
      </c>
      <c r="G135" s="16" t="s">
        <v>3829</v>
      </c>
      <c r="H135" s="168" t="s">
        <v>3432</v>
      </c>
      <c r="I135" s="169" t="s">
        <v>2760</v>
      </c>
      <c r="J135" s="103">
        <v>229</v>
      </c>
      <c r="K135" s="104"/>
      <c r="L135" s="105"/>
      <c r="M135" s="194"/>
      <c r="N135" s="106"/>
      <c r="O135" s="180" t="s">
        <v>2885</v>
      </c>
      <c r="P135" s="180" t="s">
        <v>2868</v>
      </c>
    </row>
    <row r="136" spans="2:16" ht="14.45" customHeight="1" x14ac:dyDescent="0.2">
      <c r="B136" s="360"/>
      <c r="C136" s="366"/>
      <c r="D136" s="363"/>
      <c r="E136" s="150" t="s">
        <v>1845</v>
      </c>
      <c r="F136" s="151" t="s">
        <v>3041</v>
      </c>
      <c r="G136" s="16" t="s">
        <v>3830</v>
      </c>
      <c r="H136" s="168" t="s">
        <v>3433</v>
      </c>
      <c r="I136" s="169" t="s">
        <v>2760</v>
      </c>
      <c r="J136" s="103">
        <v>252</v>
      </c>
      <c r="K136" s="104"/>
      <c r="L136" s="105"/>
      <c r="M136" s="194"/>
      <c r="N136" s="106"/>
      <c r="O136" s="180" t="s">
        <v>2885</v>
      </c>
      <c r="P136" s="180" t="s">
        <v>2868</v>
      </c>
    </row>
    <row r="137" spans="2:16" ht="14.45" customHeight="1" x14ac:dyDescent="0.2">
      <c r="B137" s="360"/>
      <c r="C137" s="366"/>
      <c r="D137" s="363"/>
      <c r="E137" s="150" t="s">
        <v>1845</v>
      </c>
      <c r="F137" s="151" t="s">
        <v>3042</v>
      </c>
      <c r="G137" s="16" t="s">
        <v>3831</v>
      </c>
      <c r="H137" s="168" t="s">
        <v>3434</v>
      </c>
      <c r="I137" s="169" t="s">
        <v>2760</v>
      </c>
      <c r="J137" s="103">
        <v>316</v>
      </c>
      <c r="K137" s="104"/>
      <c r="L137" s="105"/>
      <c r="M137" s="194"/>
      <c r="N137" s="106"/>
      <c r="O137" s="180" t="s">
        <v>2885</v>
      </c>
      <c r="P137" s="180" t="s">
        <v>2868</v>
      </c>
    </row>
    <row r="138" spans="2:16" ht="14.45" customHeight="1" x14ac:dyDescent="0.2">
      <c r="B138" s="360"/>
      <c r="C138" s="366"/>
      <c r="D138" s="363"/>
      <c r="E138" s="150" t="s">
        <v>1845</v>
      </c>
      <c r="F138" s="151" t="s">
        <v>3043</v>
      </c>
      <c r="G138" s="16" t="s">
        <v>3832</v>
      </c>
      <c r="H138" s="168" t="s">
        <v>3435</v>
      </c>
      <c r="I138" s="169" t="s">
        <v>2760</v>
      </c>
      <c r="J138" s="103">
        <v>365</v>
      </c>
      <c r="K138" s="104"/>
      <c r="L138" s="105"/>
      <c r="M138" s="194"/>
      <c r="N138" s="106"/>
      <c r="O138" s="180" t="s">
        <v>2885</v>
      </c>
      <c r="P138" s="180" t="s">
        <v>2868</v>
      </c>
    </row>
    <row r="139" spans="2:16" ht="14.45" customHeight="1" x14ac:dyDescent="0.2">
      <c r="B139" s="360"/>
      <c r="C139" s="366"/>
      <c r="D139" s="402" t="s">
        <v>36</v>
      </c>
      <c r="E139" s="131" t="s">
        <v>7</v>
      </c>
      <c r="F139" s="132" t="s">
        <v>2522</v>
      </c>
      <c r="G139" s="133" t="s">
        <v>155</v>
      </c>
      <c r="H139" s="162" t="s">
        <v>2574</v>
      </c>
      <c r="I139" s="163" t="s">
        <v>318</v>
      </c>
      <c r="J139" s="134">
        <v>1610</v>
      </c>
      <c r="K139" s="135">
        <v>46108</v>
      </c>
      <c r="L139" s="136">
        <v>46136</v>
      </c>
      <c r="M139" s="191" t="s">
        <v>2947</v>
      </c>
      <c r="N139" s="137"/>
      <c r="O139" s="184" t="s">
        <v>2885</v>
      </c>
      <c r="P139" s="184" t="s">
        <v>2868</v>
      </c>
    </row>
    <row r="140" spans="2:16" ht="14.45" customHeight="1" x14ac:dyDescent="0.2">
      <c r="B140" s="360"/>
      <c r="C140" s="366"/>
      <c r="D140" s="403"/>
      <c r="E140" s="150" t="s">
        <v>2764</v>
      </c>
      <c r="F140" s="151" t="s">
        <v>2653</v>
      </c>
      <c r="G140" s="16" t="s">
        <v>269</v>
      </c>
      <c r="H140" s="168" t="s">
        <v>2470</v>
      </c>
      <c r="I140" s="169" t="s">
        <v>389</v>
      </c>
      <c r="J140" s="103">
        <v>2275</v>
      </c>
      <c r="K140" s="104">
        <v>46178</v>
      </c>
      <c r="L140" s="105"/>
      <c r="M140" s="194" t="s">
        <v>2947</v>
      </c>
      <c r="N140" s="106"/>
      <c r="O140" s="180" t="s">
        <v>2885</v>
      </c>
      <c r="P140" s="180" t="s">
        <v>2868</v>
      </c>
    </row>
    <row r="141" spans="2:16" ht="14.45" customHeight="1" x14ac:dyDescent="0.2">
      <c r="B141" s="360"/>
      <c r="C141" s="366"/>
      <c r="D141" s="405"/>
      <c r="E141" s="152" t="s">
        <v>2764</v>
      </c>
      <c r="F141" s="153" t="s">
        <v>2654</v>
      </c>
      <c r="G141" s="50" t="s">
        <v>270</v>
      </c>
      <c r="H141" s="170" t="s">
        <v>2471</v>
      </c>
      <c r="I141" s="171" t="s">
        <v>390</v>
      </c>
      <c r="J141" s="107">
        <v>2598</v>
      </c>
      <c r="K141" s="108">
        <v>46178</v>
      </c>
      <c r="L141" s="109"/>
      <c r="M141" s="195" t="s">
        <v>2947</v>
      </c>
      <c r="N141" s="110"/>
      <c r="O141" s="186" t="s">
        <v>2885</v>
      </c>
      <c r="P141" s="186" t="s">
        <v>2868</v>
      </c>
    </row>
    <row r="142" spans="2:16" ht="14.45" customHeight="1" x14ac:dyDescent="0.2">
      <c r="B142" s="360"/>
      <c r="C142" s="366"/>
      <c r="D142" s="402" t="s">
        <v>38</v>
      </c>
      <c r="E142" s="131" t="s">
        <v>7</v>
      </c>
      <c r="F142" s="132" t="s">
        <v>2522</v>
      </c>
      <c r="G142" s="133" t="s">
        <v>156</v>
      </c>
      <c r="H142" s="162" t="s">
        <v>2575</v>
      </c>
      <c r="I142" s="163" t="s">
        <v>319</v>
      </c>
      <c r="J142" s="134">
        <v>1986</v>
      </c>
      <c r="K142" s="135">
        <v>46108</v>
      </c>
      <c r="L142" s="136">
        <v>46136</v>
      </c>
      <c r="M142" s="191" t="s">
        <v>2947</v>
      </c>
      <c r="N142" s="137"/>
      <c r="O142" s="184" t="s">
        <v>2885</v>
      </c>
      <c r="P142" s="184" t="s">
        <v>2868</v>
      </c>
    </row>
    <row r="143" spans="2:16" ht="14.45" customHeight="1" x14ac:dyDescent="0.2">
      <c r="B143" s="360"/>
      <c r="C143" s="366"/>
      <c r="D143" s="403"/>
      <c r="E143" s="150" t="s">
        <v>2764</v>
      </c>
      <c r="F143" s="151" t="s">
        <v>2655</v>
      </c>
      <c r="G143" s="16" t="s">
        <v>271</v>
      </c>
      <c r="H143" s="168" t="s">
        <v>2472</v>
      </c>
      <c r="I143" s="169" t="s">
        <v>391</v>
      </c>
      <c r="J143" s="103">
        <v>2512</v>
      </c>
      <c r="K143" s="104">
        <v>46178</v>
      </c>
      <c r="L143" s="105"/>
      <c r="M143" s="194" t="s">
        <v>2947</v>
      </c>
      <c r="N143" s="106"/>
      <c r="O143" s="180" t="s">
        <v>2885</v>
      </c>
      <c r="P143" s="180" t="s">
        <v>2868</v>
      </c>
    </row>
    <row r="144" spans="2:16" ht="14.45" customHeight="1" x14ac:dyDescent="0.2">
      <c r="B144" s="360"/>
      <c r="C144" s="366"/>
      <c r="D144" s="405"/>
      <c r="E144" s="122" t="s">
        <v>2764</v>
      </c>
      <c r="F144" s="123" t="s">
        <v>2656</v>
      </c>
      <c r="G144" s="12" t="s">
        <v>272</v>
      </c>
      <c r="H144" s="158" t="s">
        <v>2473</v>
      </c>
      <c r="I144" s="159" t="s">
        <v>392</v>
      </c>
      <c r="J144" s="95">
        <v>2649</v>
      </c>
      <c r="K144" s="96">
        <v>46178</v>
      </c>
      <c r="L144" s="97"/>
      <c r="M144" s="189" t="s">
        <v>2947</v>
      </c>
      <c r="N144" s="98"/>
      <c r="O144" s="181" t="s">
        <v>2885</v>
      </c>
      <c r="P144" s="181" t="s">
        <v>2868</v>
      </c>
    </row>
    <row r="145" spans="2:16" ht="14.45" customHeight="1" x14ac:dyDescent="0.2">
      <c r="B145" s="360"/>
      <c r="C145" s="366"/>
      <c r="D145" s="362" t="s">
        <v>40</v>
      </c>
      <c r="E145" s="131" t="s">
        <v>7</v>
      </c>
      <c r="F145" s="132" t="s">
        <v>2522</v>
      </c>
      <c r="G145" s="133" t="s">
        <v>157</v>
      </c>
      <c r="H145" s="162" t="s">
        <v>2576</v>
      </c>
      <c r="I145" s="163" t="s">
        <v>320</v>
      </c>
      <c r="J145" s="134">
        <v>3318</v>
      </c>
      <c r="K145" s="135">
        <v>46108</v>
      </c>
      <c r="L145" s="136">
        <v>46136</v>
      </c>
      <c r="M145" s="191" t="s">
        <v>2946</v>
      </c>
      <c r="N145" s="137"/>
      <c r="O145" s="184" t="s">
        <v>2885</v>
      </c>
      <c r="P145" s="184" t="s">
        <v>2868</v>
      </c>
    </row>
    <row r="146" spans="2:16" ht="14.45" customHeight="1" x14ac:dyDescent="0.2">
      <c r="B146" s="360"/>
      <c r="C146" s="366"/>
      <c r="D146" s="363"/>
      <c r="E146" s="150" t="s">
        <v>2763</v>
      </c>
      <c r="F146" s="151" t="s">
        <v>2619</v>
      </c>
      <c r="G146" s="16" t="s">
        <v>2941</v>
      </c>
      <c r="H146" s="168" t="s">
        <v>2942</v>
      </c>
      <c r="I146" s="169" t="s">
        <v>393</v>
      </c>
      <c r="J146" s="103">
        <v>2580</v>
      </c>
      <c r="K146" s="104">
        <v>46178</v>
      </c>
      <c r="L146" s="105">
        <v>46186</v>
      </c>
      <c r="M146" s="194" t="s">
        <v>2946</v>
      </c>
      <c r="N146" s="178"/>
      <c r="O146" s="180" t="s">
        <v>2885</v>
      </c>
      <c r="P146" s="180" t="s">
        <v>2868</v>
      </c>
    </row>
    <row r="147" spans="2:16" ht="14.45" customHeight="1" x14ac:dyDescent="0.2">
      <c r="B147" s="360"/>
      <c r="C147" s="366"/>
      <c r="D147" s="363"/>
      <c r="E147" s="150" t="s">
        <v>2763</v>
      </c>
      <c r="F147" s="151" t="s">
        <v>221</v>
      </c>
      <c r="G147" s="16" t="s">
        <v>2793</v>
      </c>
      <c r="H147" s="168" t="s">
        <v>2794</v>
      </c>
      <c r="I147" s="169" t="s">
        <v>394</v>
      </c>
      <c r="J147" s="103">
        <v>2016</v>
      </c>
      <c r="K147" s="104">
        <v>46178</v>
      </c>
      <c r="L147" s="105">
        <v>46186</v>
      </c>
      <c r="M147" s="194" t="s">
        <v>2946</v>
      </c>
      <c r="N147" s="106"/>
      <c r="O147" s="180" t="s">
        <v>2885</v>
      </c>
      <c r="P147" s="180" t="s">
        <v>2868</v>
      </c>
    </row>
    <row r="148" spans="2:16" ht="14.45" customHeight="1" x14ac:dyDescent="0.2">
      <c r="B148" s="360"/>
      <c r="C148" s="366"/>
      <c r="D148" s="363"/>
      <c r="E148" s="150" t="s">
        <v>1845</v>
      </c>
      <c r="F148" s="151" t="s">
        <v>3046</v>
      </c>
      <c r="G148" s="16" t="s">
        <v>3835</v>
      </c>
      <c r="H148" s="168" t="s">
        <v>3438</v>
      </c>
      <c r="I148" s="169" t="s">
        <v>2760</v>
      </c>
      <c r="J148" s="103">
        <v>1149</v>
      </c>
      <c r="K148" s="104"/>
      <c r="L148" s="105"/>
      <c r="M148" s="194"/>
      <c r="N148" s="106"/>
      <c r="O148" s="180" t="s">
        <v>2885</v>
      </c>
      <c r="P148" s="180" t="s">
        <v>2868</v>
      </c>
    </row>
    <row r="149" spans="2:16" ht="14.45" customHeight="1" x14ac:dyDescent="0.2">
      <c r="B149" s="360"/>
      <c r="C149" s="366"/>
      <c r="D149" s="363"/>
      <c r="E149" s="150" t="s">
        <v>1845</v>
      </c>
      <c r="F149" s="151" t="s">
        <v>3048</v>
      </c>
      <c r="G149" s="16" t="s">
        <v>3837</v>
      </c>
      <c r="H149" s="168" t="s">
        <v>3440</v>
      </c>
      <c r="I149" s="169" t="s">
        <v>2760</v>
      </c>
      <c r="J149" s="103">
        <v>503</v>
      </c>
      <c r="K149" s="104"/>
      <c r="L149" s="105"/>
      <c r="M149" s="194"/>
      <c r="N149" s="106"/>
      <c r="O149" s="180" t="s">
        <v>2885</v>
      </c>
      <c r="P149" s="180" t="s">
        <v>2868</v>
      </c>
    </row>
    <row r="150" spans="2:16" ht="14.45" customHeight="1" x14ac:dyDescent="0.2">
      <c r="B150" s="360"/>
      <c r="C150" s="366"/>
      <c r="D150" s="363"/>
      <c r="E150" s="150" t="s">
        <v>1845</v>
      </c>
      <c r="F150" s="151" t="s">
        <v>3049</v>
      </c>
      <c r="G150" s="16" t="s">
        <v>3838</v>
      </c>
      <c r="H150" s="168" t="s">
        <v>3441</v>
      </c>
      <c r="I150" s="169" t="s">
        <v>2760</v>
      </c>
      <c r="J150" s="103">
        <v>305</v>
      </c>
      <c r="K150" s="104"/>
      <c r="L150" s="105"/>
      <c r="M150" s="194"/>
      <c r="N150" s="106"/>
      <c r="O150" s="180" t="s">
        <v>2885</v>
      </c>
      <c r="P150" s="180" t="s">
        <v>2868</v>
      </c>
    </row>
    <row r="151" spans="2:16" ht="14.45" customHeight="1" x14ac:dyDescent="0.2">
      <c r="B151" s="360"/>
      <c r="C151" s="366"/>
      <c r="D151" s="363"/>
      <c r="E151" s="150" t="s">
        <v>1845</v>
      </c>
      <c r="F151" s="151" t="s">
        <v>3050</v>
      </c>
      <c r="G151" s="16" t="s">
        <v>3839</v>
      </c>
      <c r="H151" s="168" t="s">
        <v>3442</v>
      </c>
      <c r="I151" s="169" t="s">
        <v>2760</v>
      </c>
      <c r="J151" s="103">
        <v>391</v>
      </c>
      <c r="K151" s="104"/>
      <c r="L151" s="105"/>
      <c r="M151" s="194"/>
      <c r="N151" s="106"/>
      <c r="O151" s="180" t="s">
        <v>2885</v>
      </c>
      <c r="P151" s="180" t="s">
        <v>2868</v>
      </c>
    </row>
    <row r="152" spans="2:16" ht="14.45" customHeight="1" x14ac:dyDescent="0.2">
      <c r="B152" s="360"/>
      <c r="C152" s="366"/>
      <c r="D152" s="363"/>
      <c r="E152" s="150" t="s">
        <v>1845</v>
      </c>
      <c r="F152" s="151" t="s">
        <v>3051</v>
      </c>
      <c r="G152" s="16" t="s">
        <v>3840</v>
      </c>
      <c r="H152" s="168" t="s">
        <v>3443</v>
      </c>
      <c r="I152" s="169" t="s">
        <v>2760</v>
      </c>
      <c r="J152" s="103">
        <v>252</v>
      </c>
      <c r="K152" s="104"/>
      <c r="L152" s="105"/>
      <c r="M152" s="194"/>
      <c r="N152" s="106"/>
      <c r="O152" s="180" t="s">
        <v>2885</v>
      </c>
      <c r="P152" s="180" t="s">
        <v>2868</v>
      </c>
    </row>
    <row r="153" spans="2:16" ht="14.45" customHeight="1" x14ac:dyDescent="0.2">
      <c r="B153" s="360"/>
      <c r="C153" s="366"/>
      <c r="D153" s="363"/>
      <c r="E153" s="150" t="s">
        <v>1845</v>
      </c>
      <c r="F153" s="151" t="s">
        <v>3052</v>
      </c>
      <c r="G153" s="16" t="s">
        <v>3841</v>
      </c>
      <c r="H153" s="168" t="s">
        <v>3444</v>
      </c>
      <c r="I153" s="169" t="s">
        <v>2760</v>
      </c>
      <c r="J153" s="103">
        <v>668</v>
      </c>
      <c r="K153" s="104"/>
      <c r="L153" s="105"/>
      <c r="M153" s="194"/>
      <c r="N153" s="106"/>
      <c r="O153" s="180" t="s">
        <v>2885</v>
      </c>
      <c r="P153" s="180" t="s">
        <v>2868</v>
      </c>
    </row>
    <row r="154" spans="2:16" ht="14.45" customHeight="1" x14ac:dyDescent="0.2">
      <c r="B154" s="360"/>
      <c r="C154" s="366"/>
      <c r="D154" s="363"/>
      <c r="E154" s="150" t="s">
        <v>1845</v>
      </c>
      <c r="F154" s="151" t="s">
        <v>3053</v>
      </c>
      <c r="G154" s="16" t="s">
        <v>3842</v>
      </c>
      <c r="H154" s="168" t="s">
        <v>3445</v>
      </c>
      <c r="I154" s="169" t="s">
        <v>2760</v>
      </c>
      <c r="J154" s="103">
        <v>469</v>
      </c>
      <c r="K154" s="104"/>
      <c r="L154" s="105"/>
      <c r="M154" s="194"/>
      <c r="N154" s="106"/>
      <c r="O154" s="180" t="s">
        <v>2885</v>
      </c>
      <c r="P154" s="180" t="s">
        <v>2868</v>
      </c>
    </row>
    <row r="155" spans="2:16" ht="14.45" customHeight="1" x14ac:dyDescent="0.2">
      <c r="B155" s="360"/>
      <c r="C155" s="366"/>
      <c r="D155" s="363"/>
      <c r="E155" s="150" t="s">
        <v>1845</v>
      </c>
      <c r="F155" s="151" t="s">
        <v>3054</v>
      </c>
      <c r="G155" s="16" t="s">
        <v>3843</v>
      </c>
      <c r="H155" s="168" t="s">
        <v>3446</v>
      </c>
      <c r="I155" s="169" t="s">
        <v>2760</v>
      </c>
      <c r="J155" s="103">
        <v>655</v>
      </c>
      <c r="K155" s="104"/>
      <c r="L155" s="105"/>
      <c r="M155" s="194"/>
      <c r="N155" s="106"/>
      <c r="O155" s="180" t="s">
        <v>2885</v>
      </c>
      <c r="P155" s="180" t="s">
        <v>2868</v>
      </c>
    </row>
    <row r="156" spans="2:16" ht="14.45" customHeight="1" x14ac:dyDescent="0.2">
      <c r="B156" s="360"/>
      <c r="C156" s="366"/>
      <c r="D156" s="363"/>
      <c r="E156" s="150" t="s">
        <v>1845</v>
      </c>
      <c r="F156" s="151" t="s">
        <v>3055</v>
      </c>
      <c r="G156" s="16" t="s">
        <v>3844</v>
      </c>
      <c r="H156" s="168" t="s">
        <v>3447</v>
      </c>
      <c r="I156" s="169" t="s">
        <v>2760</v>
      </c>
      <c r="J156" s="103">
        <v>923</v>
      </c>
      <c r="K156" s="104"/>
      <c r="L156" s="105"/>
      <c r="M156" s="194"/>
      <c r="N156" s="106"/>
      <c r="O156" s="180" t="s">
        <v>2885</v>
      </c>
      <c r="P156" s="180" t="s">
        <v>2868</v>
      </c>
    </row>
    <row r="157" spans="2:16" ht="14.45" customHeight="1" x14ac:dyDescent="0.2">
      <c r="B157" s="360"/>
      <c r="C157" s="366"/>
      <c r="D157" s="362" t="s">
        <v>42</v>
      </c>
      <c r="E157" s="131" t="s">
        <v>7</v>
      </c>
      <c r="F157" s="132" t="s">
        <v>2522</v>
      </c>
      <c r="G157" s="133" t="s">
        <v>158</v>
      </c>
      <c r="H157" s="162" t="s">
        <v>2577</v>
      </c>
      <c r="I157" s="163" t="s">
        <v>321</v>
      </c>
      <c r="J157" s="134">
        <v>3621</v>
      </c>
      <c r="K157" s="135">
        <v>46108</v>
      </c>
      <c r="L157" s="136">
        <v>46136</v>
      </c>
      <c r="M157" s="191" t="s">
        <v>2947</v>
      </c>
      <c r="N157" s="137"/>
      <c r="O157" s="184" t="s">
        <v>2885</v>
      </c>
      <c r="P157" s="184" t="s">
        <v>2868</v>
      </c>
    </row>
    <row r="158" spans="2:16" ht="14.45" customHeight="1" x14ac:dyDescent="0.2">
      <c r="B158" s="360"/>
      <c r="C158" s="366"/>
      <c r="D158" s="363"/>
      <c r="E158" s="150" t="s">
        <v>2763</v>
      </c>
      <c r="F158" s="151" t="s">
        <v>2620</v>
      </c>
      <c r="G158" s="16" t="s">
        <v>222</v>
      </c>
      <c r="H158" s="168" t="s">
        <v>2474</v>
      </c>
      <c r="I158" s="169" t="s">
        <v>395</v>
      </c>
      <c r="J158" s="103">
        <v>2727</v>
      </c>
      <c r="K158" s="104">
        <v>46178</v>
      </c>
      <c r="L158" s="105"/>
      <c r="M158" s="194" t="s">
        <v>2947</v>
      </c>
      <c r="N158" s="106" t="s">
        <v>2876</v>
      </c>
      <c r="O158" s="180" t="s">
        <v>2885</v>
      </c>
      <c r="P158" s="180" t="s">
        <v>2868</v>
      </c>
    </row>
    <row r="159" spans="2:16" ht="14.45" customHeight="1" x14ac:dyDescent="0.2">
      <c r="B159" s="360"/>
      <c r="C159" s="366"/>
      <c r="D159" s="363"/>
      <c r="E159" s="150" t="s">
        <v>1845</v>
      </c>
      <c r="F159" s="151" t="s">
        <v>3044</v>
      </c>
      <c r="G159" s="16" t="s">
        <v>3833</v>
      </c>
      <c r="H159" s="168" t="s">
        <v>3436</v>
      </c>
      <c r="I159" s="169" t="s">
        <v>2760</v>
      </c>
      <c r="J159" s="103">
        <v>290</v>
      </c>
      <c r="K159" s="104"/>
      <c r="L159" s="105"/>
      <c r="M159" s="194"/>
      <c r="N159" s="106"/>
      <c r="O159" s="180" t="s">
        <v>2885</v>
      </c>
      <c r="P159" s="180" t="s">
        <v>2868</v>
      </c>
    </row>
    <row r="160" spans="2:16" ht="14.45" customHeight="1" x14ac:dyDescent="0.2">
      <c r="B160" s="360"/>
      <c r="C160" s="366"/>
      <c r="D160" s="363"/>
      <c r="E160" s="150" t="s">
        <v>1845</v>
      </c>
      <c r="F160" s="151" t="s">
        <v>3045</v>
      </c>
      <c r="G160" s="16" t="s">
        <v>3834</v>
      </c>
      <c r="H160" s="168" t="s">
        <v>3437</v>
      </c>
      <c r="I160" s="169" t="s">
        <v>2760</v>
      </c>
      <c r="J160" s="103">
        <v>254</v>
      </c>
      <c r="K160" s="104"/>
      <c r="L160" s="105"/>
      <c r="M160" s="194"/>
      <c r="N160" s="106"/>
      <c r="O160" s="180" t="s">
        <v>2885</v>
      </c>
      <c r="P160" s="180" t="s">
        <v>2868</v>
      </c>
    </row>
    <row r="161" spans="2:16" ht="14.45" customHeight="1" thickBot="1" x14ac:dyDescent="0.25">
      <c r="B161" s="360"/>
      <c r="C161" s="366"/>
      <c r="D161" s="363"/>
      <c r="E161" s="150" t="s">
        <v>1845</v>
      </c>
      <c r="F161" s="151" t="s">
        <v>3047</v>
      </c>
      <c r="G161" s="16" t="s">
        <v>3836</v>
      </c>
      <c r="H161" s="168" t="s">
        <v>3439</v>
      </c>
      <c r="I161" s="169" t="s">
        <v>2760</v>
      </c>
      <c r="J161" s="103">
        <v>525</v>
      </c>
      <c r="K161" s="104"/>
      <c r="L161" s="105"/>
      <c r="M161" s="194"/>
      <c r="N161" s="106"/>
      <c r="O161" s="180" t="s">
        <v>2885</v>
      </c>
      <c r="P161" s="180" t="s">
        <v>2868</v>
      </c>
    </row>
    <row r="162" spans="2:16" ht="14.45" customHeight="1" x14ac:dyDescent="0.2">
      <c r="B162" s="360"/>
      <c r="C162" s="365" t="s">
        <v>1693</v>
      </c>
      <c r="D162" s="47" t="s">
        <v>44</v>
      </c>
      <c r="E162" s="149" t="s">
        <v>7</v>
      </c>
      <c r="F162" s="140" t="s">
        <v>2564</v>
      </c>
      <c r="G162" s="141" t="s">
        <v>159</v>
      </c>
      <c r="H162" s="156" t="s">
        <v>2578</v>
      </c>
      <c r="I162" s="157" t="s">
        <v>322</v>
      </c>
      <c r="J162" s="118">
        <v>1953</v>
      </c>
      <c r="K162" s="119">
        <v>46114</v>
      </c>
      <c r="L162" s="120">
        <v>46137</v>
      </c>
      <c r="M162" s="188" t="s">
        <v>2947</v>
      </c>
      <c r="N162" s="121"/>
      <c r="O162" s="182" t="s">
        <v>2885</v>
      </c>
      <c r="P162" s="182" t="s">
        <v>2871</v>
      </c>
    </row>
    <row r="163" spans="2:16" ht="14.45" customHeight="1" x14ac:dyDescent="0.2">
      <c r="B163" s="360"/>
      <c r="C163" s="366"/>
      <c r="D163" s="362" t="s">
        <v>46</v>
      </c>
      <c r="E163" s="131" t="s">
        <v>7</v>
      </c>
      <c r="F163" s="132" t="s">
        <v>2564</v>
      </c>
      <c r="G163" s="133" t="s">
        <v>160</v>
      </c>
      <c r="H163" s="162" t="s">
        <v>2579</v>
      </c>
      <c r="I163" s="163" t="s">
        <v>323</v>
      </c>
      <c r="J163" s="134">
        <v>3845</v>
      </c>
      <c r="K163" s="135">
        <v>46114</v>
      </c>
      <c r="L163" s="136">
        <v>46137</v>
      </c>
      <c r="M163" s="191" t="s">
        <v>2945</v>
      </c>
      <c r="N163" s="137"/>
      <c r="O163" s="184" t="s">
        <v>2885</v>
      </c>
      <c r="P163" s="184" t="s">
        <v>2870</v>
      </c>
    </row>
    <row r="164" spans="2:16" ht="14.45" customHeight="1" x14ac:dyDescent="0.2">
      <c r="B164" s="360"/>
      <c r="C164" s="366"/>
      <c r="D164" s="363"/>
      <c r="E164" s="150" t="s">
        <v>2763</v>
      </c>
      <c r="F164" s="151" t="s">
        <v>224</v>
      </c>
      <c r="G164" s="16" t="s">
        <v>2813</v>
      </c>
      <c r="H164" s="168" t="s">
        <v>2814</v>
      </c>
      <c r="I164" s="169" t="s">
        <v>396</v>
      </c>
      <c r="J164" s="103">
        <v>2156</v>
      </c>
      <c r="K164" s="104">
        <v>46178</v>
      </c>
      <c r="L164" s="105"/>
      <c r="M164" s="194" t="s">
        <v>2945</v>
      </c>
      <c r="N164" s="106"/>
      <c r="O164" s="180" t="s">
        <v>2885</v>
      </c>
      <c r="P164" s="180" t="s">
        <v>2870</v>
      </c>
    </row>
    <row r="165" spans="2:16" ht="14.45" customHeight="1" x14ac:dyDescent="0.2">
      <c r="B165" s="360"/>
      <c r="C165" s="366"/>
      <c r="D165" s="363"/>
      <c r="E165" s="150" t="s">
        <v>2763</v>
      </c>
      <c r="F165" s="151" t="s">
        <v>2621</v>
      </c>
      <c r="G165" s="16" t="s">
        <v>2796</v>
      </c>
      <c r="H165" s="168" t="s">
        <v>2797</v>
      </c>
      <c r="I165" s="169" t="s">
        <v>397</v>
      </c>
      <c r="J165" s="103">
        <v>2069</v>
      </c>
      <c r="K165" s="104">
        <v>46178</v>
      </c>
      <c r="L165" s="105"/>
      <c r="M165" s="194" t="s">
        <v>2945</v>
      </c>
      <c r="N165" s="178"/>
      <c r="O165" s="180" t="s">
        <v>2885</v>
      </c>
      <c r="P165" s="180" t="s">
        <v>2870</v>
      </c>
    </row>
    <row r="166" spans="2:16" ht="14.45" customHeight="1" x14ac:dyDescent="0.2">
      <c r="B166" s="360"/>
      <c r="C166" s="366"/>
      <c r="D166" s="363"/>
      <c r="E166" s="150" t="s">
        <v>2763</v>
      </c>
      <c r="F166" s="151" t="s">
        <v>214</v>
      </c>
      <c r="G166" s="16" t="s">
        <v>2685</v>
      </c>
      <c r="H166" s="168" t="s">
        <v>2687</v>
      </c>
      <c r="I166" s="169" t="s">
        <v>398</v>
      </c>
      <c r="J166" s="103">
        <v>1836</v>
      </c>
      <c r="K166" s="104">
        <v>46178</v>
      </c>
      <c r="L166" s="105"/>
      <c r="M166" s="194" t="s">
        <v>2945</v>
      </c>
      <c r="N166" s="106"/>
      <c r="O166" s="180" t="s">
        <v>2885</v>
      </c>
      <c r="P166" s="180" t="s">
        <v>2870</v>
      </c>
    </row>
    <row r="167" spans="2:16" ht="14.45" customHeight="1" x14ac:dyDescent="0.2">
      <c r="B167" s="360"/>
      <c r="C167" s="366"/>
      <c r="D167" s="363"/>
      <c r="E167" s="150" t="s">
        <v>2763</v>
      </c>
      <c r="F167" s="151" t="s">
        <v>225</v>
      </c>
      <c r="G167" s="16" t="s">
        <v>223</v>
      </c>
      <c r="H167" s="168" t="s">
        <v>2475</v>
      </c>
      <c r="I167" s="169" t="s">
        <v>399</v>
      </c>
      <c r="J167" s="103">
        <v>2011</v>
      </c>
      <c r="K167" s="104">
        <v>46178</v>
      </c>
      <c r="L167" s="105"/>
      <c r="M167" s="194" t="s">
        <v>2945</v>
      </c>
      <c r="N167" s="106"/>
      <c r="O167" s="180" t="s">
        <v>2885</v>
      </c>
      <c r="P167" s="180" t="s">
        <v>2870</v>
      </c>
    </row>
    <row r="168" spans="2:16" ht="14.45" customHeight="1" x14ac:dyDescent="0.2">
      <c r="B168" s="360"/>
      <c r="C168" s="366"/>
      <c r="D168" s="363"/>
      <c r="E168" s="150" t="s">
        <v>1845</v>
      </c>
      <c r="F168" s="151" t="s">
        <v>3056</v>
      </c>
      <c r="G168" s="16" t="s">
        <v>3845</v>
      </c>
      <c r="H168" s="168" t="s">
        <v>3448</v>
      </c>
      <c r="I168" s="169" t="s">
        <v>2760</v>
      </c>
      <c r="J168" s="103">
        <v>571</v>
      </c>
      <c r="K168" s="104"/>
      <c r="L168" s="105"/>
      <c r="M168" s="194"/>
      <c r="N168" s="106"/>
      <c r="O168" s="180" t="s">
        <v>2885</v>
      </c>
      <c r="P168" s="180" t="s">
        <v>2870</v>
      </c>
    </row>
    <row r="169" spans="2:16" ht="14.45" customHeight="1" x14ac:dyDescent="0.2">
      <c r="B169" s="360"/>
      <c r="C169" s="366"/>
      <c r="D169" s="363"/>
      <c r="E169" s="150" t="s">
        <v>1845</v>
      </c>
      <c r="F169" s="151" t="s">
        <v>3057</v>
      </c>
      <c r="G169" s="16" t="s">
        <v>3846</v>
      </c>
      <c r="H169" s="168" t="s">
        <v>3449</v>
      </c>
      <c r="I169" s="169" t="s">
        <v>2760</v>
      </c>
      <c r="J169" s="103">
        <v>225</v>
      </c>
      <c r="K169" s="104"/>
      <c r="L169" s="105"/>
      <c r="M169" s="194"/>
      <c r="N169" s="106"/>
      <c r="O169" s="180" t="s">
        <v>2885</v>
      </c>
      <c r="P169" s="180" t="s">
        <v>2870</v>
      </c>
    </row>
    <row r="170" spans="2:16" ht="14.45" customHeight="1" x14ac:dyDescent="0.2">
      <c r="B170" s="360"/>
      <c r="C170" s="366"/>
      <c r="D170" s="363"/>
      <c r="E170" s="150" t="s">
        <v>1845</v>
      </c>
      <c r="F170" s="151" t="s">
        <v>3058</v>
      </c>
      <c r="G170" s="16" t="s">
        <v>3847</v>
      </c>
      <c r="H170" s="168" t="s">
        <v>3450</v>
      </c>
      <c r="I170" s="169" t="s">
        <v>2760</v>
      </c>
      <c r="J170" s="103">
        <v>329</v>
      </c>
      <c r="K170" s="104"/>
      <c r="L170" s="105"/>
      <c r="M170" s="194"/>
      <c r="N170" s="106"/>
      <c r="O170" s="180" t="s">
        <v>2885</v>
      </c>
      <c r="P170" s="180" t="s">
        <v>2870</v>
      </c>
    </row>
    <row r="171" spans="2:16" ht="14.45" customHeight="1" x14ac:dyDescent="0.2">
      <c r="B171" s="360"/>
      <c r="C171" s="366"/>
      <c r="D171" s="363"/>
      <c r="E171" s="150" t="s">
        <v>1845</v>
      </c>
      <c r="F171" s="151" t="s">
        <v>3059</v>
      </c>
      <c r="G171" s="16" t="s">
        <v>3848</v>
      </c>
      <c r="H171" s="168" t="s">
        <v>3451</v>
      </c>
      <c r="I171" s="169" t="s">
        <v>2760</v>
      </c>
      <c r="J171" s="103">
        <v>260</v>
      </c>
      <c r="K171" s="104"/>
      <c r="L171" s="105"/>
      <c r="M171" s="194"/>
      <c r="N171" s="106"/>
      <c r="O171" s="180" t="s">
        <v>2885</v>
      </c>
      <c r="P171" s="180" t="s">
        <v>2870</v>
      </c>
    </row>
    <row r="172" spans="2:16" ht="14.45" customHeight="1" x14ac:dyDescent="0.2">
      <c r="B172" s="360"/>
      <c r="C172" s="366"/>
      <c r="D172" s="363"/>
      <c r="E172" s="150" t="s">
        <v>1845</v>
      </c>
      <c r="F172" s="151" t="s">
        <v>3060</v>
      </c>
      <c r="G172" s="16" t="s">
        <v>3849</v>
      </c>
      <c r="H172" s="168" t="s">
        <v>3452</v>
      </c>
      <c r="I172" s="169" t="s">
        <v>2760</v>
      </c>
      <c r="J172" s="103">
        <v>514</v>
      </c>
      <c r="K172" s="104"/>
      <c r="L172" s="105"/>
      <c r="M172" s="194"/>
      <c r="N172" s="106"/>
      <c r="O172" s="180" t="s">
        <v>2885</v>
      </c>
      <c r="P172" s="180" t="s">
        <v>2870</v>
      </c>
    </row>
    <row r="173" spans="2:16" ht="14.45" customHeight="1" x14ac:dyDescent="0.2">
      <c r="B173" s="360"/>
      <c r="C173" s="366"/>
      <c r="D173" s="363"/>
      <c r="E173" s="150" t="s">
        <v>1845</v>
      </c>
      <c r="F173" s="151" t="s">
        <v>3061</v>
      </c>
      <c r="G173" s="16" t="s">
        <v>3850</v>
      </c>
      <c r="H173" s="168" t="s">
        <v>3453</v>
      </c>
      <c r="I173" s="169" t="s">
        <v>2760</v>
      </c>
      <c r="J173" s="103">
        <v>514</v>
      </c>
      <c r="K173" s="104"/>
      <c r="L173" s="105"/>
      <c r="M173" s="194"/>
      <c r="N173" s="106"/>
      <c r="O173" s="180" t="s">
        <v>2885</v>
      </c>
      <c r="P173" s="180" t="s">
        <v>2870</v>
      </c>
    </row>
    <row r="174" spans="2:16" ht="14.45" customHeight="1" x14ac:dyDescent="0.2">
      <c r="B174" s="360"/>
      <c r="C174" s="366"/>
      <c r="D174" s="363"/>
      <c r="E174" s="150" t="s">
        <v>1845</v>
      </c>
      <c r="F174" s="151" t="s">
        <v>3062</v>
      </c>
      <c r="G174" s="16" t="s">
        <v>3851</v>
      </c>
      <c r="H174" s="168" t="s">
        <v>3454</v>
      </c>
      <c r="I174" s="169" t="s">
        <v>2760</v>
      </c>
      <c r="J174" s="103">
        <v>280</v>
      </c>
      <c r="K174" s="104"/>
      <c r="L174" s="105"/>
      <c r="M174" s="194"/>
      <c r="N174" s="106"/>
      <c r="O174" s="180" t="s">
        <v>2885</v>
      </c>
      <c r="P174" s="180" t="s">
        <v>2870</v>
      </c>
    </row>
    <row r="175" spans="2:16" ht="14.45" customHeight="1" x14ac:dyDescent="0.2">
      <c r="B175" s="360"/>
      <c r="C175" s="366"/>
      <c r="D175" s="363"/>
      <c r="E175" s="150" t="s">
        <v>1845</v>
      </c>
      <c r="F175" s="151" t="s">
        <v>3063</v>
      </c>
      <c r="G175" s="16" t="s">
        <v>3852</v>
      </c>
      <c r="H175" s="168" t="s">
        <v>3455</v>
      </c>
      <c r="I175" s="169" t="s">
        <v>2760</v>
      </c>
      <c r="J175" s="103">
        <v>240</v>
      </c>
      <c r="K175" s="104"/>
      <c r="L175" s="105"/>
      <c r="M175" s="194"/>
      <c r="N175" s="106"/>
      <c r="O175" s="180" t="s">
        <v>2885</v>
      </c>
      <c r="P175" s="180" t="s">
        <v>2870</v>
      </c>
    </row>
    <row r="176" spans="2:16" ht="14.45" customHeight="1" x14ac:dyDescent="0.2">
      <c r="B176" s="360"/>
      <c r="C176" s="366"/>
      <c r="D176" s="363"/>
      <c r="E176" s="150" t="s">
        <v>1845</v>
      </c>
      <c r="F176" s="151" t="s">
        <v>3064</v>
      </c>
      <c r="G176" s="16" t="s">
        <v>3853</v>
      </c>
      <c r="H176" s="168" t="s">
        <v>3456</v>
      </c>
      <c r="I176" s="169" t="s">
        <v>2760</v>
      </c>
      <c r="J176" s="103">
        <v>343</v>
      </c>
      <c r="K176" s="104"/>
      <c r="L176" s="105"/>
      <c r="M176" s="194"/>
      <c r="N176" s="106"/>
      <c r="O176" s="180" t="s">
        <v>2885</v>
      </c>
      <c r="P176" s="180" t="s">
        <v>2870</v>
      </c>
    </row>
    <row r="177" spans="2:16" ht="14.45" customHeight="1" x14ac:dyDescent="0.2">
      <c r="B177" s="360"/>
      <c r="C177" s="366"/>
      <c r="D177" s="363"/>
      <c r="E177" s="150" t="s">
        <v>1845</v>
      </c>
      <c r="F177" s="151" t="s">
        <v>3065</v>
      </c>
      <c r="G177" s="16" t="s">
        <v>3854</v>
      </c>
      <c r="H177" s="168" t="s">
        <v>3457</v>
      </c>
      <c r="I177" s="169" t="s">
        <v>2760</v>
      </c>
      <c r="J177" s="103">
        <v>195</v>
      </c>
      <c r="K177" s="104"/>
      <c r="L177" s="105"/>
      <c r="M177" s="194"/>
      <c r="N177" s="106"/>
      <c r="O177" s="180" t="s">
        <v>2885</v>
      </c>
      <c r="P177" s="180" t="s">
        <v>2870</v>
      </c>
    </row>
    <row r="178" spans="2:16" ht="14.45" customHeight="1" x14ac:dyDescent="0.2">
      <c r="B178" s="360"/>
      <c r="C178" s="366"/>
      <c r="D178" s="363"/>
      <c r="E178" s="150" t="s">
        <v>1845</v>
      </c>
      <c r="F178" s="151" t="s">
        <v>3066</v>
      </c>
      <c r="G178" s="16" t="s">
        <v>3855</v>
      </c>
      <c r="H178" s="168" t="s">
        <v>3458</v>
      </c>
      <c r="I178" s="169" t="s">
        <v>2760</v>
      </c>
      <c r="J178" s="103">
        <v>285</v>
      </c>
      <c r="K178" s="104"/>
      <c r="L178" s="105"/>
      <c r="M178" s="194"/>
      <c r="N178" s="106"/>
      <c r="O178" s="180" t="s">
        <v>2885</v>
      </c>
      <c r="P178" s="180" t="s">
        <v>2870</v>
      </c>
    </row>
    <row r="179" spans="2:16" ht="14.45" customHeight="1" x14ac:dyDescent="0.2">
      <c r="B179" s="360"/>
      <c r="C179" s="366"/>
      <c r="D179" s="363"/>
      <c r="E179" s="150" t="s">
        <v>1845</v>
      </c>
      <c r="F179" s="151" t="s">
        <v>3067</v>
      </c>
      <c r="G179" s="16" t="s">
        <v>3856</v>
      </c>
      <c r="H179" s="168" t="s">
        <v>3459</v>
      </c>
      <c r="I179" s="169" t="s">
        <v>2760</v>
      </c>
      <c r="J179" s="103">
        <v>366</v>
      </c>
      <c r="K179" s="104"/>
      <c r="L179" s="105"/>
      <c r="M179" s="194"/>
      <c r="N179" s="106"/>
      <c r="O179" s="180" t="s">
        <v>2885</v>
      </c>
      <c r="P179" s="180" t="s">
        <v>2870</v>
      </c>
    </row>
    <row r="180" spans="2:16" ht="14.45" customHeight="1" x14ac:dyDescent="0.2">
      <c r="B180" s="360"/>
      <c r="C180" s="366"/>
      <c r="D180" s="363"/>
      <c r="E180" s="150" t="s">
        <v>1845</v>
      </c>
      <c r="F180" s="151" t="s">
        <v>3068</v>
      </c>
      <c r="G180" s="16" t="s">
        <v>3857</v>
      </c>
      <c r="H180" s="168" t="s">
        <v>3460</v>
      </c>
      <c r="I180" s="169" t="s">
        <v>2760</v>
      </c>
      <c r="J180" s="103">
        <v>311</v>
      </c>
      <c r="K180" s="104"/>
      <c r="L180" s="105"/>
      <c r="M180" s="194"/>
      <c r="N180" s="106"/>
      <c r="O180" s="180" t="s">
        <v>2885</v>
      </c>
      <c r="P180" s="180" t="s">
        <v>2870</v>
      </c>
    </row>
    <row r="181" spans="2:16" ht="14.45" customHeight="1" x14ac:dyDescent="0.2">
      <c r="B181" s="360"/>
      <c r="C181" s="366"/>
      <c r="D181" s="363"/>
      <c r="E181" s="150" t="s">
        <v>1845</v>
      </c>
      <c r="F181" s="151" t="s">
        <v>3069</v>
      </c>
      <c r="G181" s="16" t="s">
        <v>3858</v>
      </c>
      <c r="H181" s="168" t="s">
        <v>3461</v>
      </c>
      <c r="I181" s="169" t="s">
        <v>2760</v>
      </c>
      <c r="J181" s="103">
        <v>321</v>
      </c>
      <c r="K181" s="104"/>
      <c r="L181" s="105"/>
      <c r="M181" s="194"/>
      <c r="N181" s="106"/>
      <c r="O181" s="180" t="s">
        <v>2885</v>
      </c>
      <c r="P181" s="180" t="s">
        <v>2870</v>
      </c>
    </row>
    <row r="182" spans="2:16" ht="14.45" customHeight="1" x14ac:dyDescent="0.2">
      <c r="B182" s="360"/>
      <c r="C182" s="366"/>
      <c r="D182" s="363"/>
      <c r="E182" s="150" t="s">
        <v>1845</v>
      </c>
      <c r="F182" s="151" t="s">
        <v>3070</v>
      </c>
      <c r="G182" s="16" t="s">
        <v>3859</v>
      </c>
      <c r="H182" s="168" t="s">
        <v>3462</v>
      </c>
      <c r="I182" s="169" t="s">
        <v>2760</v>
      </c>
      <c r="J182" s="103">
        <v>318</v>
      </c>
      <c r="K182" s="104"/>
      <c r="L182" s="105"/>
      <c r="M182" s="194"/>
      <c r="N182" s="106"/>
      <c r="O182" s="180" t="s">
        <v>2885</v>
      </c>
      <c r="P182" s="180" t="s">
        <v>2870</v>
      </c>
    </row>
    <row r="183" spans="2:16" ht="14.45" customHeight="1" x14ac:dyDescent="0.2">
      <c r="B183" s="360"/>
      <c r="C183" s="366"/>
      <c r="D183" s="363"/>
      <c r="E183" s="150" t="s">
        <v>1845</v>
      </c>
      <c r="F183" s="151" t="s">
        <v>3071</v>
      </c>
      <c r="G183" s="16" t="s">
        <v>3860</v>
      </c>
      <c r="H183" s="168" t="s">
        <v>3463</v>
      </c>
      <c r="I183" s="169" t="s">
        <v>2760</v>
      </c>
      <c r="J183" s="103">
        <v>393</v>
      </c>
      <c r="K183" s="104"/>
      <c r="L183" s="105"/>
      <c r="M183" s="194"/>
      <c r="N183" s="106"/>
      <c r="O183" s="180" t="s">
        <v>2885</v>
      </c>
      <c r="P183" s="180" t="s">
        <v>2870</v>
      </c>
    </row>
    <row r="184" spans="2:16" ht="14.45" customHeight="1" x14ac:dyDescent="0.2">
      <c r="B184" s="360"/>
      <c r="C184" s="366"/>
      <c r="D184" s="363"/>
      <c r="E184" s="150" t="s">
        <v>1845</v>
      </c>
      <c r="F184" s="151" t="s">
        <v>3072</v>
      </c>
      <c r="G184" s="16" t="s">
        <v>3861</v>
      </c>
      <c r="H184" s="168" t="s">
        <v>3464</v>
      </c>
      <c r="I184" s="169" t="s">
        <v>2760</v>
      </c>
      <c r="J184" s="103">
        <v>404</v>
      </c>
      <c r="K184" s="104"/>
      <c r="L184" s="105"/>
      <c r="M184" s="194"/>
      <c r="N184" s="106"/>
      <c r="O184" s="180" t="s">
        <v>2885</v>
      </c>
      <c r="P184" s="180" t="s">
        <v>2870</v>
      </c>
    </row>
    <row r="185" spans="2:16" ht="14.45" customHeight="1" x14ac:dyDescent="0.2">
      <c r="B185" s="360"/>
      <c r="C185" s="366"/>
      <c r="D185" s="363"/>
      <c r="E185" s="150" t="s">
        <v>1845</v>
      </c>
      <c r="F185" s="151" t="s">
        <v>3073</v>
      </c>
      <c r="G185" s="16" t="s">
        <v>3862</v>
      </c>
      <c r="H185" s="168" t="s">
        <v>3465</v>
      </c>
      <c r="I185" s="169" t="s">
        <v>2760</v>
      </c>
      <c r="J185" s="103">
        <v>337</v>
      </c>
      <c r="K185" s="104"/>
      <c r="L185" s="105"/>
      <c r="M185" s="194"/>
      <c r="N185" s="106"/>
      <c r="O185" s="180" t="s">
        <v>2885</v>
      </c>
      <c r="P185" s="180" t="s">
        <v>2870</v>
      </c>
    </row>
    <row r="186" spans="2:16" ht="14.45" customHeight="1" x14ac:dyDescent="0.2">
      <c r="B186" s="360"/>
      <c r="C186" s="366"/>
      <c r="D186" s="363"/>
      <c r="E186" s="150" t="s">
        <v>1845</v>
      </c>
      <c r="F186" s="151" t="s">
        <v>3074</v>
      </c>
      <c r="G186" s="16" t="s">
        <v>3863</v>
      </c>
      <c r="H186" s="168" t="s">
        <v>3466</v>
      </c>
      <c r="I186" s="169" t="s">
        <v>2760</v>
      </c>
      <c r="J186" s="103">
        <v>433</v>
      </c>
      <c r="K186" s="104"/>
      <c r="L186" s="105"/>
      <c r="M186" s="194"/>
      <c r="N186" s="106"/>
      <c r="O186" s="180" t="s">
        <v>2885</v>
      </c>
      <c r="P186" s="180" t="s">
        <v>2870</v>
      </c>
    </row>
    <row r="187" spans="2:16" ht="14.45" customHeight="1" x14ac:dyDescent="0.2">
      <c r="B187" s="360"/>
      <c r="C187" s="366"/>
      <c r="D187" s="363"/>
      <c r="E187" s="150" t="s">
        <v>1845</v>
      </c>
      <c r="F187" s="151" t="s">
        <v>3075</v>
      </c>
      <c r="G187" s="16" t="s">
        <v>3864</v>
      </c>
      <c r="H187" s="168" t="s">
        <v>3467</v>
      </c>
      <c r="I187" s="169" t="s">
        <v>2760</v>
      </c>
      <c r="J187" s="103">
        <v>432</v>
      </c>
      <c r="K187" s="104"/>
      <c r="L187" s="105"/>
      <c r="M187" s="194"/>
      <c r="N187" s="106"/>
      <c r="O187" s="180" t="s">
        <v>2885</v>
      </c>
      <c r="P187" s="180" t="s">
        <v>2870</v>
      </c>
    </row>
    <row r="188" spans="2:16" ht="14.45" customHeight="1" x14ac:dyDescent="0.2">
      <c r="B188" s="360"/>
      <c r="C188" s="366"/>
      <c r="D188" s="363"/>
      <c r="E188" s="150" t="s">
        <v>1845</v>
      </c>
      <c r="F188" s="151" t="s">
        <v>3076</v>
      </c>
      <c r="G188" s="16" t="s">
        <v>3865</v>
      </c>
      <c r="H188" s="168" t="s">
        <v>3468</v>
      </c>
      <c r="I188" s="169" t="s">
        <v>2760</v>
      </c>
      <c r="J188" s="103">
        <v>228</v>
      </c>
      <c r="K188" s="104"/>
      <c r="L188" s="105"/>
      <c r="M188" s="194"/>
      <c r="N188" s="106"/>
      <c r="O188" s="180" t="s">
        <v>2885</v>
      </c>
      <c r="P188" s="180" t="s">
        <v>2870</v>
      </c>
    </row>
    <row r="189" spans="2:16" ht="14.45" customHeight="1" x14ac:dyDescent="0.2">
      <c r="B189" s="360"/>
      <c r="C189" s="366"/>
      <c r="D189" s="363"/>
      <c r="E189" s="150" t="s">
        <v>1845</v>
      </c>
      <c r="F189" s="151" t="s">
        <v>3077</v>
      </c>
      <c r="G189" s="16" t="s">
        <v>3866</v>
      </c>
      <c r="H189" s="168" t="s">
        <v>3469</v>
      </c>
      <c r="I189" s="169" t="s">
        <v>2760</v>
      </c>
      <c r="J189" s="103">
        <v>342</v>
      </c>
      <c r="K189" s="104"/>
      <c r="L189" s="105"/>
      <c r="M189" s="194"/>
      <c r="N189" s="106"/>
      <c r="O189" s="180" t="s">
        <v>2885</v>
      </c>
      <c r="P189" s="180" t="s">
        <v>2870</v>
      </c>
    </row>
    <row r="190" spans="2:16" ht="14.45" customHeight="1" x14ac:dyDescent="0.2">
      <c r="B190" s="360"/>
      <c r="C190" s="366"/>
      <c r="D190" s="363"/>
      <c r="E190" s="150" t="s">
        <v>1845</v>
      </c>
      <c r="F190" s="151" t="s">
        <v>2960</v>
      </c>
      <c r="G190" s="16" t="s">
        <v>3867</v>
      </c>
      <c r="H190" s="168" t="s">
        <v>3470</v>
      </c>
      <c r="I190" s="169" t="s">
        <v>2760</v>
      </c>
      <c r="J190" s="103">
        <v>175</v>
      </c>
      <c r="K190" s="104"/>
      <c r="L190" s="105"/>
      <c r="M190" s="194"/>
      <c r="N190" s="106"/>
      <c r="O190" s="180" t="s">
        <v>2885</v>
      </c>
      <c r="P190" s="180" t="s">
        <v>2870</v>
      </c>
    </row>
    <row r="191" spans="2:16" ht="14.45" customHeight="1" x14ac:dyDescent="0.2">
      <c r="B191" s="360"/>
      <c r="C191" s="366"/>
      <c r="D191" s="362" t="s">
        <v>48</v>
      </c>
      <c r="E191" s="131" t="s">
        <v>7</v>
      </c>
      <c r="F191" s="132" t="s">
        <v>2564</v>
      </c>
      <c r="G191" s="133" t="s">
        <v>161</v>
      </c>
      <c r="H191" s="162" t="s">
        <v>2580</v>
      </c>
      <c r="I191" s="163" t="s">
        <v>324</v>
      </c>
      <c r="J191" s="134">
        <v>2357</v>
      </c>
      <c r="K191" s="135">
        <v>46114</v>
      </c>
      <c r="L191" s="136">
        <v>46137</v>
      </c>
      <c r="M191" s="191" t="s">
        <v>2947</v>
      </c>
      <c r="N191" s="137"/>
      <c r="O191" s="184" t="s">
        <v>2885</v>
      </c>
      <c r="P191" s="184" t="s">
        <v>2870</v>
      </c>
    </row>
    <row r="192" spans="2:16" ht="14.45" customHeight="1" x14ac:dyDescent="0.2">
      <c r="B192" s="360"/>
      <c r="C192" s="366"/>
      <c r="D192" s="363"/>
      <c r="E192" s="150" t="s">
        <v>2763</v>
      </c>
      <c r="F192" s="151" t="s">
        <v>2622</v>
      </c>
      <c r="G192" s="16" t="s">
        <v>226</v>
      </c>
      <c r="H192" s="168" t="s">
        <v>2476</v>
      </c>
      <c r="I192" s="169" t="s">
        <v>400</v>
      </c>
      <c r="J192" s="103">
        <v>1744</v>
      </c>
      <c r="K192" s="104">
        <v>46178</v>
      </c>
      <c r="L192" s="105"/>
      <c r="M192" s="194" t="s">
        <v>2947</v>
      </c>
      <c r="N192" s="106"/>
      <c r="O192" s="180" t="s">
        <v>2885</v>
      </c>
      <c r="P192" s="180" t="s">
        <v>2870</v>
      </c>
    </row>
    <row r="193" spans="2:16" ht="14.45" customHeight="1" x14ac:dyDescent="0.2">
      <c r="B193" s="360"/>
      <c r="C193" s="366"/>
      <c r="D193" s="363"/>
      <c r="E193" s="150" t="s">
        <v>1845</v>
      </c>
      <c r="F193" s="151" t="s">
        <v>3083</v>
      </c>
      <c r="G193" s="16" t="s">
        <v>3873</v>
      </c>
      <c r="H193" s="168" t="s">
        <v>3476</v>
      </c>
      <c r="I193" s="169" t="s">
        <v>2760</v>
      </c>
      <c r="J193" s="103">
        <v>179</v>
      </c>
      <c r="K193" s="104"/>
      <c r="L193" s="105"/>
      <c r="M193" s="194"/>
      <c r="N193" s="106"/>
      <c r="O193" s="180" t="s">
        <v>2885</v>
      </c>
      <c r="P193" s="180" t="s">
        <v>2870</v>
      </c>
    </row>
    <row r="194" spans="2:16" ht="14.45" customHeight="1" x14ac:dyDescent="0.2">
      <c r="B194" s="360"/>
      <c r="C194" s="366"/>
      <c r="D194" s="362" t="s">
        <v>50</v>
      </c>
      <c r="E194" s="131" t="s">
        <v>7</v>
      </c>
      <c r="F194" s="132" t="s">
        <v>2564</v>
      </c>
      <c r="G194" s="133" t="s">
        <v>162</v>
      </c>
      <c r="H194" s="162" t="s">
        <v>2581</v>
      </c>
      <c r="I194" s="163" t="s">
        <v>325</v>
      </c>
      <c r="J194" s="134">
        <v>3640</v>
      </c>
      <c r="K194" s="135">
        <v>46114</v>
      </c>
      <c r="L194" s="136">
        <v>46137</v>
      </c>
      <c r="M194" s="191" t="s">
        <v>2947</v>
      </c>
      <c r="N194" s="137"/>
      <c r="O194" s="184" t="s">
        <v>2885</v>
      </c>
      <c r="P194" s="184" t="s">
        <v>2870</v>
      </c>
    </row>
    <row r="195" spans="2:16" ht="14.45" customHeight="1" x14ac:dyDescent="0.2">
      <c r="B195" s="360"/>
      <c r="C195" s="366"/>
      <c r="D195" s="363"/>
      <c r="E195" s="150" t="s">
        <v>2763</v>
      </c>
      <c r="F195" s="151" t="s">
        <v>2623</v>
      </c>
      <c r="G195" s="16" t="s">
        <v>2816</v>
      </c>
      <c r="H195" s="168" t="s">
        <v>2817</v>
      </c>
      <c r="I195" s="169" t="s">
        <v>401</v>
      </c>
      <c r="J195" s="103">
        <v>1826</v>
      </c>
      <c r="K195" s="104">
        <v>46178</v>
      </c>
      <c r="L195" s="105"/>
      <c r="M195" s="194" t="s">
        <v>2947</v>
      </c>
      <c r="N195" s="106"/>
      <c r="O195" s="180" t="s">
        <v>2885</v>
      </c>
      <c r="P195" s="180" t="s">
        <v>2870</v>
      </c>
    </row>
    <row r="196" spans="2:16" ht="14.45" customHeight="1" x14ac:dyDescent="0.2">
      <c r="B196" s="360"/>
      <c r="C196" s="366"/>
      <c r="D196" s="363"/>
      <c r="E196" s="150" t="s">
        <v>1845</v>
      </c>
      <c r="F196" s="151" t="s">
        <v>3078</v>
      </c>
      <c r="G196" s="16" t="s">
        <v>3868</v>
      </c>
      <c r="H196" s="168" t="s">
        <v>3471</v>
      </c>
      <c r="I196" s="169" t="s">
        <v>2760</v>
      </c>
      <c r="J196" s="103">
        <v>488</v>
      </c>
      <c r="K196" s="104"/>
      <c r="L196" s="105"/>
      <c r="M196" s="194"/>
      <c r="N196" s="106"/>
      <c r="O196" s="180" t="s">
        <v>2885</v>
      </c>
      <c r="P196" s="180" t="s">
        <v>2870</v>
      </c>
    </row>
    <row r="197" spans="2:16" ht="14.45" customHeight="1" x14ac:dyDescent="0.2">
      <c r="B197" s="360"/>
      <c r="C197" s="366"/>
      <c r="D197" s="363"/>
      <c r="E197" s="150" t="s">
        <v>1845</v>
      </c>
      <c r="F197" s="151" t="s">
        <v>3079</v>
      </c>
      <c r="G197" s="16" t="s">
        <v>3869</v>
      </c>
      <c r="H197" s="168" t="s">
        <v>3472</v>
      </c>
      <c r="I197" s="169" t="s">
        <v>2760</v>
      </c>
      <c r="J197" s="103">
        <v>270</v>
      </c>
      <c r="K197" s="104"/>
      <c r="L197" s="105"/>
      <c r="M197" s="194"/>
      <c r="N197" s="106"/>
      <c r="O197" s="180" t="s">
        <v>2885</v>
      </c>
      <c r="P197" s="180" t="s">
        <v>2870</v>
      </c>
    </row>
    <row r="198" spans="2:16" ht="14.45" customHeight="1" x14ac:dyDescent="0.2">
      <c r="B198" s="360"/>
      <c r="C198" s="366"/>
      <c r="D198" s="363"/>
      <c r="E198" s="150" t="s">
        <v>1845</v>
      </c>
      <c r="F198" s="151" t="s">
        <v>3080</v>
      </c>
      <c r="G198" s="16" t="s">
        <v>3870</v>
      </c>
      <c r="H198" s="168" t="s">
        <v>3473</v>
      </c>
      <c r="I198" s="169" t="s">
        <v>2760</v>
      </c>
      <c r="J198" s="103">
        <v>357</v>
      </c>
      <c r="K198" s="104"/>
      <c r="L198" s="105"/>
      <c r="M198" s="194"/>
      <c r="N198" s="106"/>
      <c r="O198" s="180" t="s">
        <v>2885</v>
      </c>
      <c r="P198" s="180" t="s">
        <v>2870</v>
      </c>
    </row>
    <row r="199" spans="2:16" ht="14.45" customHeight="1" x14ac:dyDescent="0.2">
      <c r="B199" s="360"/>
      <c r="C199" s="366"/>
      <c r="D199" s="363"/>
      <c r="E199" s="150" t="s">
        <v>1845</v>
      </c>
      <c r="F199" s="151" t="s">
        <v>3081</v>
      </c>
      <c r="G199" s="16" t="s">
        <v>3871</v>
      </c>
      <c r="H199" s="168" t="s">
        <v>3474</v>
      </c>
      <c r="I199" s="169" t="s">
        <v>2760</v>
      </c>
      <c r="J199" s="103">
        <v>243</v>
      </c>
      <c r="K199" s="104"/>
      <c r="L199" s="105"/>
      <c r="M199" s="194"/>
      <c r="N199" s="106"/>
      <c r="O199" s="180" t="s">
        <v>2885</v>
      </c>
      <c r="P199" s="180" t="s">
        <v>2870</v>
      </c>
    </row>
    <row r="200" spans="2:16" ht="14.45" customHeight="1" x14ac:dyDescent="0.2">
      <c r="B200" s="360"/>
      <c r="C200" s="366"/>
      <c r="D200" s="363"/>
      <c r="E200" s="150" t="s">
        <v>1845</v>
      </c>
      <c r="F200" s="151" t="s">
        <v>3082</v>
      </c>
      <c r="G200" s="16" t="s">
        <v>3872</v>
      </c>
      <c r="H200" s="168" t="s">
        <v>3475</v>
      </c>
      <c r="I200" s="169" t="s">
        <v>2760</v>
      </c>
      <c r="J200" s="103">
        <v>226</v>
      </c>
      <c r="K200" s="104"/>
      <c r="L200" s="105"/>
      <c r="M200" s="194"/>
      <c r="N200" s="106"/>
      <c r="O200" s="180" t="s">
        <v>2885</v>
      </c>
      <c r="P200" s="180" t="s">
        <v>2870</v>
      </c>
    </row>
    <row r="201" spans="2:16" ht="14.45" customHeight="1" x14ac:dyDescent="0.2">
      <c r="B201" s="360"/>
      <c r="C201" s="366"/>
      <c r="D201" s="363"/>
      <c r="E201" s="150" t="s">
        <v>1845</v>
      </c>
      <c r="F201" s="151" t="s">
        <v>3085</v>
      </c>
      <c r="G201" s="16" t="s">
        <v>3875</v>
      </c>
      <c r="H201" s="168" t="s">
        <v>3478</v>
      </c>
      <c r="I201" s="169" t="s">
        <v>2760</v>
      </c>
      <c r="J201" s="103">
        <v>236</v>
      </c>
      <c r="K201" s="104"/>
      <c r="L201" s="105"/>
      <c r="M201" s="194"/>
      <c r="N201" s="106"/>
      <c r="O201" s="180" t="s">
        <v>2885</v>
      </c>
      <c r="P201" s="180" t="s">
        <v>2870</v>
      </c>
    </row>
    <row r="202" spans="2:16" ht="14.45" customHeight="1" x14ac:dyDescent="0.2">
      <c r="B202" s="360"/>
      <c r="C202" s="366"/>
      <c r="D202" s="363"/>
      <c r="E202" s="150" t="s">
        <v>1845</v>
      </c>
      <c r="F202" s="151" t="s">
        <v>3086</v>
      </c>
      <c r="G202" s="16" t="s">
        <v>3876</v>
      </c>
      <c r="H202" s="168" t="s">
        <v>3479</v>
      </c>
      <c r="I202" s="169" t="s">
        <v>2760</v>
      </c>
      <c r="J202" s="103">
        <v>243</v>
      </c>
      <c r="K202" s="104"/>
      <c r="L202" s="105"/>
      <c r="M202" s="194"/>
      <c r="N202" s="106"/>
      <c r="O202" s="180" t="s">
        <v>2885</v>
      </c>
      <c r="P202" s="180" t="s">
        <v>2870</v>
      </c>
    </row>
    <row r="203" spans="2:16" ht="14.45" customHeight="1" x14ac:dyDescent="0.2">
      <c r="B203" s="360"/>
      <c r="C203" s="366"/>
      <c r="D203" s="363"/>
      <c r="E203" s="150" t="s">
        <v>1845</v>
      </c>
      <c r="F203" s="153" t="s">
        <v>3087</v>
      </c>
      <c r="G203" s="50" t="s">
        <v>3877</v>
      </c>
      <c r="H203" s="170" t="s">
        <v>3480</v>
      </c>
      <c r="I203" s="171" t="s">
        <v>2760</v>
      </c>
      <c r="J203" s="107">
        <v>665</v>
      </c>
      <c r="K203" s="104"/>
      <c r="L203" s="105"/>
      <c r="M203" s="194"/>
      <c r="N203" s="106"/>
      <c r="O203" s="180" t="s">
        <v>2885</v>
      </c>
      <c r="P203" s="180" t="s">
        <v>2870</v>
      </c>
    </row>
    <row r="204" spans="2:16" ht="14.45" customHeight="1" x14ac:dyDescent="0.2">
      <c r="B204" s="360"/>
      <c r="C204" s="366"/>
      <c r="D204" s="363"/>
      <c r="E204" s="150" t="s">
        <v>1845</v>
      </c>
      <c r="F204" s="151" t="s">
        <v>3088</v>
      </c>
      <c r="G204" s="16" t="s">
        <v>3878</v>
      </c>
      <c r="H204" s="168" t="s">
        <v>3481</v>
      </c>
      <c r="I204" s="169" t="s">
        <v>2760</v>
      </c>
      <c r="J204" s="103">
        <v>393</v>
      </c>
      <c r="K204" s="104"/>
      <c r="L204" s="105"/>
      <c r="M204" s="194"/>
      <c r="N204" s="106"/>
      <c r="O204" s="180" t="s">
        <v>2885</v>
      </c>
      <c r="P204" s="180" t="s">
        <v>2870</v>
      </c>
    </row>
    <row r="205" spans="2:16" ht="14.45" customHeight="1" x14ac:dyDescent="0.2">
      <c r="B205" s="360"/>
      <c r="C205" s="366"/>
      <c r="D205" s="363"/>
      <c r="E205" s="152" t="s">
        <v>1845</v>
      </c>
      <c r="F205" s="153" t="s">
        <v>3089</v>
      </c>
      <c r="G205" s="50" t="s">
        <v>3879</v>
      </c>
      <c r="H205" s="170" t="s">
        <v>3482</v>
      </c>
      <c r="I205" s="171" t="s">
        <v>2760</v>
      </c>
      <c r="J205" s="107">
        <v>311</v>
      </c>
      <c r="K205" s="108"/>
      <c r="L205" s="109"/>
      <c r="M205" s="195"/>
      <c r="N205" s="110" t="s">
        <v>4205</v>
      </c>
      <c r="O205" s="186" t="s">
        <v>2885</v>
      </c>
      <c r="P205" s="186" t="s">
        <v>2870</v>
      </c>
    </row>
    <row r="206" spans="2:16" ht="14.45" customHeight="1" x14ac:dyDescent="0.2">
      <c r="B206" s="360"/>
      <c r="C206" s="366"/>
      <c r="D206" s="363"/>
      <c r="E206" s="152" t="s">
        <v>1845</v>
      </c>
      <c r="F206" s="153" t="s">
        <v>3090</v>
      </c>
      <c r="G206" s="50" t="s">
        <v>3880</v>
      </c>
      <c r="H206" s="170" t="s">
        <v>3483</v>
      </c>
      <c r="I206" s="171" t="s">
        <v>2760</v>
      </c>
      <c r="J206" s="107">
        <v>225</v>
      </c>
      <c r="K206" s="108"/>
      <c r="L206" s="109"/>
      <c r="M206" s="195"/>
      <c r="N206" s="110"/>
      <c r="O206" s="186" t="s">
        <v>2885</v>
      </c>
      <c r="P206" s="186" t="s">
        <v>2870</v>
      </c>
    </row>
    <row r="207" spans="2:16" ht="14.45" customHeight="1" x14ac:dyDescent="0.2">
      <c r="B207" s="360"/>
      <c r="C207" s="366"/>
      <c r="D207" s="363"/>
      <c r="E207" s="152" t="s">
        <v>1845</v>
      </c>
      <c r="F207" s="153" t="s">
        <v>3091</v>
      </c>
      <c r="G207" s="50" t="s">
        <v>3881</v>
      </c>
      <c r="H207" s="170" t="s">
        <v>3484</v>
      </c>
      <c r="I207" s="171" t="s">
        <v>2760</v>
      </c>
      <c r="J207" s="107">
        <v>227</v>
      </c>
      <c r="K207" s="108"/>
      <c r="L207" s="109"/>
      <c r="M207" s="195"/>
      <c r="N207" s="110"/>
      <c r="O207" s="186" t="s">
        <v>2885</v>
      </c>
      <c r="P207" s="186" t="s">
        <v>2870</v>
      </c>
    </row>
    <row r="208" spans="2:16" ht="14.45" customHeight="1" x14ac:dyDescent="0.2">
      <c r="B208" s="360"/>
      <c r="C208" s="366"/>
      <c r="D208" s="363"/>
      <c r="E208" s="152" t="s">
        <v>1845</v>
      </c>
      <c r="F208" s="153" t="s">
        <v>3092</v>
      </c>
      <c r="G208" s="50" t="s">
        <v>3882</v>
      </c>
      <c r="H208" s="170" t="s">
        <v>3485</v>
      </c>
      <c r="I208" s="171" t="s">
        <v>2760</v>
      </c>
      <c r="J208" s="107">
        <v>256</v>
      </c>
      <c r="K208" s="108"/>
      <c r="L208" s="109"/>
      <c r="M208" s="195"/>
      <c r="N208" s="110"/>
      <c r="O208" s="186" t="s">
        <v>2885</v>
      </c>
      <c r="P208" s="186" t="s">
        <v>2870</v>
      </c>
    </row>
    <row r="209" spans="2:16" ht="14.45" customHeight="1" x14ac:dyDescent="0.2">
      <c r="B209" s="360"/>
      <c r="C209" s="366"/>
      <c r="D209" s="363"/>
      <c r="E209" s="152" t="s">
        <v>1845</v>
      </c>
      <c r="F209" s="153" t="s">
        <v>3093</v>
      </c>
      <c r="G209" s="50" t="s">
        <v>3883</v>
      </c>
      <c r="H209" s="170" t="s">
        <v>3486</v>
      </c>
      <c r="I209" s="171" t="s">
        <v>2760</v>
      </c>
      <c r="J209" s="107">
        <v>493</v>
      </c>
      <c r="K209" s="108"/>
      <c r="L209" s="109"/>
      <c r="M209" s="195"/>
      <c r="N209" s="110"/>
      <c r="O209" s="186" t="s">
        <v>2885</v>
      </c>
      <c r="P209" s="186" t="s">
        <v>2870</v>
      </c>
    </row>
    <row r="210" spans="2:16" ht="14.45" customHeight="1" x14ac:dyDescent="0.2">
      <c r="B210" s="360"/>
      <c r="C210" s="366"/>
      <c r="D210" s="362" t="s">
        <v>52</v>
      </c>
      <c r="E210" s="131" t="s">
        <v>7</v>
      </c>
      <c r="F210" s="132" t="s">
        <v>1843</v>
      </c>
      <c r="G210" s="133" t="s">
        <v>163</v>
      </c>
      <c r="H210" s="162" t="s">
        <v>2582</v>
      </c>
      <c r="I210" s="163" t="s">
        <v>326</v>
      </c>
      <c r="J210" s="134">
        <v>1957</v>
      </c>
      <c r="K210" s="135">
        <v>46114</v>
      </c>
      <c r="L210" s="136">
        <v>46137</v>
      </c>
      <c r="M210" s="191" t="s">
        <v>2947</v>
      </c>
      <c r="N210" s="137"/>
      <c r="O210" s="184" t="s">
        <v>2885</v>
      </c>
      <c r="P210" s="184" t="s">
        <v>2870</v>
      </c>
    </row>
    <row r="211" spans="2:16" ht="14.45" customHeight="1" x14ac:dyDescent="0.2">
      <c r="B211" s="360"/>
      <c r="C211" s="366"/>
      <c r="D211" s="363"/>
      <c r="E211" s="150" t="s">
        <v>1845</v>
      </c>
      <c r="F211" s="151" t="s">
        <v>3094</v>
      </c>
      <c r="G211" s="16" t="s">
        <v>3884</v>
      </c>
      <c r="H211" s="168" t="s">
        <v>3487</v>
      </c>
      <c r="I211" s="169" t="s">
        <v>2760</v>
      </c>
      <c r="J211" s="103">
        <v>283</v>
      </c>
      <c r="K211" s="104"/>
      <c r="L211" s="105"/>
      <c r="M211" s="194"/>
      <c r="N211" s="106"/>
      <c r="O211" s="180" t="s">
        <v>2885</v>
      </c>
      <c r="P211" s="180" t="s">
        <v>2870</v>
      </c>
    </row>
    <row r="212" spans="2:16" ht="14.45" customHeight="1" x14ac:dyDescent="0.2">
      <c r="B212" s="360"/>
      <c r="C212" s="366"/>
      <c r="D212" s="363"/>
      <c r="E212" s="150" t="s">
        <v>1845</v>
      </c>
      <c r="F212" s="151" t="s">
        <v>3095</v>
      </c>
      <c r="G212" s="16" t="s">
        <v>3885</v>
      </c>
      <c r="H212" s="168" t="s">
        <v>3488</v>
      </c>
      <c r="I212" s="169" t="s">
        <v>2760</v>
      </c>
      <c r="J212" s="103">
        <v>599</v>
      </c>
      <c r="K212" s="104"/>
      <c r="L212" s="105"/>
      <c r="M212" s="194"/>
      <c r="N212" s="106"/>
      <c r="O212" s="180" t="s">
        <v>2885</v>
      </c>
      <c r="P212" s="180" t="s">
        <v>2870</v>
      </c>
    </row>
    <row r="213" spans="2:16" ht="14.45" customHeight="1" x14ac:dyDescent="0.2">
      <c r="B213" s="360"/>
      <c r="C213" s="366"/>
      <c r="D213" s="362" t="s">
        <v>195</v>
      </c>
      <c r="E213" s="131" t="s">
        <v>7</v>
      </c>
      <c r="F213" s="132" t="s">
        <v>1843</v>
      </c>
      <c r="G213" s="133" t="s">
        <v>196</v>
      </c>
      <c r="H213" s="162" t="s">
        <v>2583</v>
      </c>
      <c r="I213" s="163" t="s">
        <v>327</v>
      </c>
      <c r="J213" s="134">
        <v>2643</v>
      </c>
      <c r="K213" s="135">
        <v>46114</v>
      </c>
      <c r="L213" s="136">
        <v>46137</v>
      </c>
      <c r="M213" s="191" t="s">
        <v>2947</v>
      </c>
      <c r="N213" s="137"/>
      <c r="O213" s="184" t="s">
        <v>2885</v>
      </c>
      <c r="P213" s="184" t="s">
        <v>2870</v>
      </c>
    </row>
    <row r="214" spans="2:16" ht="14.45" customHeight="1" x14ac:dyDescent="0.2">
      <c r="B214" s="360"/>
      <c r="C214" s="366"/>
      <c r="D214" s="363"/>
      <c r="E214" s="150" t="s">
        <v>2763</v>
      </c>
      <c r="F214" s="151" t="s">
        <v>2624</v>
      </c>
      <c r="G214" s="16" t="s">
        <v>2818</v>
      </c>
      <c r="H214" s="168" t="s">
        <v>2819</v>
      </c>
      <c r="I214" s="169" t="s">
        <v>402</v>
      </c>
      <c r="J214" s="103">
        <v>2239</v>
      </c>
      <c r="K214" s="104">
        <v>46178</v>
      </c>
      <c r="L214" s="105"/>
      <c r="M214" s="194" t="s">
        <v>2947</v>
      </c>
      <c r="N214" s="106"/>
      <c r="O214" s="180" t="s">
        <v>2885</v>
      </c>
      <c r="P214" s="180" t="s">
        <v>2870</v>
      </c>
    </row>
    <row r="215" spans="2:16" ht="14.45" customHeight="1" x14ac:dyDescent="0.2">
      <c r="B215" s="360"/>
      <c r="C215" s="366"/>
      <c r="D215" s="363"/>
      <c r="E215" s="150" t="s">
        <v>1845</v>
      </c>
      <c r="F215" s="151" t="s">
        <v>3084</v>
      </c>
      <c r="G215" s="16" t="s">
        <v>3874</v>
      </c>
      <c r="H215" s="168" t="s">
        <v>3477</v>
      </c>
      <c r="I215" s="169" t="s">
        <v>2760</v>
      </c>
      <c r="J215" s="103">
        <v>444</v>
      </c>
      <c r="K215" s="104"/>
      <c r="L215" s="105"/>
      <c r="M215" s="194"/>
      <c r="N215" s="106"/>
      <c r="O215" s="180" t="s">
        <v>2885</v>
      </c>
      <c r="P215" s="180" t="s">
        <v>2870</v>
      </c>
    </row>
    <row r="216" spans="2:16" ht="14.45" customHeight="1" x14ac:dyDescent="0.2">
      <c r="B216" s="360"/>
      <c r="C216" s="366"/>
      <c r="D216" s="363"/>
      <c r="E216" s="150" t="s">
        <v>1845</v>
      </c>
      <c r="F216" s="151" t="s">
        <v>3096</v>
      </c>
      <c r="G216" s="16" t="s">
        <v>3886</v>
      </c>
      <c r="H216" s="168" t="s">
        <v>3489</v>
      </c>
      <c r="I216" s="169" t="s">
        <v>2760</v>
      </c>
      <c r="J216" s="103">
        <v>359</v>
      </c>
      <c r="K216" s="104"/>
      <c r="L216" s="105"/>
      <c r="M216" s="194"/>
      <c r="N216" s="106"/>
      <c r="O216" s="180" t="s">
        <v>2885</v>
      </c>
      <c r="P216" s="180" t="s">
        <v>2870</v>
      </c>
    </row>
    <row r="217" spans="2:16" ht="14.45" customHeight="1" x14ac:dyDescent="0.2">
      <c r="B217" s="360"/>
      <c r="C217" s="366"/>
      <c r="D217" s="362" t="s">
        <v>54</v>
      </c>
      <c r="E217" s="131" t="s">
        <v>7</v>
      </c>
      <c r="F217" s="132" t="s">
        <v>1843</v>
      </c>
      <c r="G217" s="133" t="s">
        <v>164</v>
      </c>
      <c r="H217" s="162" t="s">
        <v>2584</v>
      </c>
      <c r="I217" s="163" t="s">
        <v>328</v>
      </c>
      <c r="J217" s="134">
        <v>3830</v>
      </c>
      <c r="K217" s="135">
        <v>46114</v>
      </c>
      <c r="L217" s="136">
        <v>46137</v>
      </c>
      <c r="M217" s="191" t="s">
        <v>2946</v>
      </c>
      <c r="N217" s="137"/>
      <c r="O217" s="184" t="s">
        <v>2885</v>
      </c>
      <c r="P217" s="184" t="s">
        <v>2870</v>
      </c>
    </row>
    <row r="218" spans="2:16" ht="14.45" customHeight="1" x14ac:dyDescent="0.2">
      <c r="B218" s="360"/>
      <c r="C218" s="366"/>
      <c r="D218" s="363"/>
      <c r="E218" s="150" t="s">
        <v>2763</v>
      </c>
      <c r="F218" s="151" t="s">
        <v>228</v>
      </c>
      <c r="G218" s="16" t="s">
        <v>2820</v>
      </c>
      <c r="H218" s="168" t="s">
        <v>2821</v>
      </c>
      <c r="I218" s="169" t="s">
        <v>403</v>
      </c>
      <c r="J218" s="103">
        <v>1834</v>
      </c>
      <c r="K218" s="104">
        <v>46178</v>
      </c>
      <c r="L218" s="105"/>
      <c r="M218" s="194" t="s">
        <v>2946</v>
      </c>
      <c r="N218" s="106"/>
      <c r="O218" s="180" t="s">
        <v>2885</v>
      </c>
      <c r="P218" s="180" t="s">
        <v>2870</v>
      </c>
    </row>
    <row r="219" spans="2:16" ht="14.45" customHeight="1" x14ac:dyDescent="0.2">
      <c r="B219" s="360"/>
      <c r="C219" s="366"/>
      <c r="D219" s="363"/>
      <c r="E219" s="150" t="s">
        <v>2763</v>
      </c>
      <c r="F219" s="151" t="s">
        <v>2625</v>
      </c>
      <c r="G219" s="16" t="s">
        <v>227</v>
      </c>
      <c r="H219" s="168" t="s">
        <v>2477</v>
      </c>
      <c r="I219" s="169" t="s">
        <v>404</v>
      </c>
      <c r="J219" s="103">
        <v>1974</v>
      </c>
      <c r="K219" s="104">
        <v>46178</v>
      </c>
      <c r="L219" s="105"/>
      <c r="M219" s="194" t="s">
        <v>2946</v>
      </c>
      <c r="N219" s="106"/>
      <c r="O219" s="180" t="s">
        <v>2885</v>
      </c>
      <c r="P219" s="180" t="s">
        <v>2870</v>
      </c>
    </row>
    <row r="220" spans="2:16" ht="14.45" customHeight="1" x14ac:dyDescent="0.2">
      <c r="B220" s="360"/>
      <c r="C220" s="366"/>
      <c r="D220" s="363"/>
      <c r="E220" s="150" t="s">
        <v>2763</v>
      </c>
      <c r="F220" s="151" t="s">
        <v>229</v>
      </c>
      <c r="G220" s="16" t="s">
        <v>2688</v>
      </c>
      <c r="H220" s="168" t="s">
        <v>2690</v>
      </c>
      <c r="I220" s="169" t="s">
        <v>405</v>
      </c>
      <c r="J220" s="103">
        <v>2549</v>
      </c>
      <c r="K220" s="104">
        <v>46178</v>
      </c>
      <c r="L220" s="105"/>
      <c r="M220" s="194" t="s">
        <v>2946</v>
      </c>
      <c r="N220" s="178"/>
      <c r="O220" s="180" t="s">
        <v>2885</v>
      </c>
      <c r="P220" s="180" t="s">
        <v>2870</v>
      </c>
    </row>
    <row r="221" spans="2:16" ht="14.45" customHeight="1" x14ac:dyDescent="0.2">
      <c r="B221" s="360"/>
      <c r="C221" s="366"/>
      <c r="D221" s="363"/>
      <c r="E221" s="150" t="s">
        <v>1845</v>
      </c>
      <c r="F221" s="151" t="s">
        <v>3098</v>
      </c>
      <c r="G221" s="16" t="s">
        <v>3888</v>
      </c>
      <c r="H221" s="168" t="s">
        <v>3491</v>
      </c>
      <c r="I221" s="169" t="s">
        <v>2760</v>
      </c>
      <c r="J221" s="103">
        <v>225</v>
      </c>
      <c r="K221" s="104"/>
      <c r="L221" s="105"/>
      <c r="M221" s="194"/>
      <c r="N221" s="178"/>
      <c r="O221" s="180" t="s">
        <v>2885</v>
      </c>
      <c r="P221" s="180" t="s">
        <v>2870</v>
      </c>
    </row>
    <row r="222" spans="2:16" ht="14.45" customHeight="1" x14ac:dyDescent="0.2">
      <c r="B222" s="360"/>
      <c r="C222" s="366"/>
      <c r="D222" s="363"/>
      <c r="E222" s="150" t="s">
        <v>1845</v>
      </c>
      <c r="F222" s="151" t="s">
        <v>3099</v>
      </c>
      <c r="G222" s="16" t="s">
        <v>3889</v>
      </c>
      <c r="H222" s="168" t="s">
        <v>3492</v>
      </c>
      <c r="I222" s="169" t="s">
        <v>2760</v>
      </c>
      <c r="J222" s="103">
        <v>386</v>
      </c>
      <c r="K222" s="104"/>
      <c r="L222" s="105"/>
      <c r="M222" s="194"/>
      <c r="N222" s="178"/>
      <c r="O222" s="180" t="s">
        <v>2885</v>
      </c>
      <c r="P222" s="180" t="s">
        <v>2870</v>
      </c>
    </row>
    <row r="223" spans="2:16" ht="14.45" customHeight="1" x14ac:dyDescent="0.2">
      <c r="B223" s="360"/>
      <c r="C223" s="366"/>
      <c r="D223" s="363"/>
      <c r="E223" s="150" t="s">
        <v>1845</v>
      </c>
      <c r="F223" s="151" t="s">
        <v>3100</v>
      </c>
      <c r="G223" s="16" t="s">
        <v>3890</v>
      </c>
      <c r="H223" s="168" t="s">
        <v>3493</v>
      </c>
      <c r="I223" s="169" t="s">
        <v>2760</v>
      </c>
      <c r="J223" s="103">
        <v>615</v>
      </c>
      <c r="K223" s="104"/>
      <c r="L223" s="105"/>
      <c r="M223" s="194"/>
      <c r="N223" s="178"/>
      <c r="O223" s="180" t="s">
        <v>2885</v>
      </c>
      <c r="P223" s="180" t="s">
        <v>2870</v>
      </c>
    </row>
    <row r="224" spans="2:16" ht="14.45" customHeight="1" x14ac:dyDescent="0.2">
      <c r="B224" s="360"/>
      <c r="C224" s="366"/>
      <c r="D224" s="363"/>
      <c r="E224" s="150" t="s">
        <v>1845</v>
      </c>
      <c r="F224" s="151" t="s">
        <v>3101</v>
      </c>
      <c r="G224" s="16" t="s">
        <v>3891</v>
      </c>
      <c r="H224" s="168" t="s">
        <v>3494</v>
      </c>
      <c r="I224" s="169" t="s">
        <v>2760</v>
      </c>
      <c r="J224" s="103">
        <v>631</v>
      </c>
      <c r="K224" s="104"/>
      <c r="L224" s="105"/>
      <c r="M224" s="194"/>
      <c r="N224" s="178"/>
      <c r="O224" s="180" t="s">
        <v>2885</v>
      </c>
      <c r="P224" s="180" t="s">
        <v>2870</v>
      </c>
    </row>
    <row r="225" spans="2:16" ht="14.45" customHeight="1" x14ac:dyDescent="0.2">
      <c r="B225" s="360"/>
      <c r="C225" s="366"/>
      <c r="D225" s="363"/>
      <c r="E225" s="150" t="s">
        <v>1845</v>
      </c>
      <c r="F225" s="151" t="s">
        <v>3102</v>
      </c>
      <c r="G225" s="16" t="s">
        <v>3892</v>
      </c>
      <c r="H225" s="168" t="s">
        <v>3495</v>
      </c>
      <c r="I225" s="169" t="s">
        <v>2760</v>
      </c>
      <c r="J225" s="103">
        <v>222</v>
      </c>
      <c r="K225" s="104"/>
      <c r="L225" s="105"/>
      <c r="M225" s="194"/>
      <c r="N225" s="178"/>
      <c r="O225" s="180" t="s">
        <v>2885</v>
      </c>
      <c r="P225" s="180" t="s">
        <v>2870</v>
      </c>
    </row>
    <row r="226" spans="2:16" ht="14.45" customHeight="1" x14ac:dyDescent="0.2">
      <c r="B226" s="360"/>
      <c r="C226" s="366"/>
      <c r="D226" s="363"/>
      <c r="E226" s="150" t="s">
        <v>1845</v>
      </c>
      <c r="F226" s="151" t="s">
        <v>3103</v>
      </c>
      <c r="G226" s="16" t="s">
        <v>3893</v>
      </c>
      <c r="H226" s="168" t="s">
        <v>3496</v>
      </c>
      <c r="I226" s="169" t="s">
        <v>2760</v>
      </c>
      <c r="J226" s="103">
        <v>166</v>
      </c>
      <c r="K226" s="104"/>
      <c r="L226" s="105"/>
      <c r="M226" s="194"/>
      <c r="N226" s="178"/>
      <c r="O226" s="180" t="s">
        <v>2885</v>
      </c>
      <c r="P226" s="180" t="s">
        <v>2870</v>
      </c>
    </row>
    <row r="227" spans="2:16" ht="14.45" customHeight="1" x14ac:dyDescent="0.2">
      <c r="B227" s="360"/>
      <c r="C227" s="366"/>
      <c r="D227" s="363"/>
      <c r="E227" s="150" t="s">
        <v>1845</v>
      </c>
      <c r="F227" s="151" t="s">
        <v>3104</v>
      </c>
      <c r="G227" s="16" t="s">
        <v>3894</v>
      </c>
      <c r="H227" s="168" t="s">
        <v>3497</v>
      </c>
      <c r="I227" s="169" t="s">
        <v>2760</v>
      </c>
      <c r="J227" s="103">
        <v>383</v>
      </c>
      <c r="K227" s="104"/>
      <c r="L227" s="105"/>
      <c r="M227" s="194"/>
      <c r="N227" s="178"/>
      <c r="O227" s="180" t="s">
        <v>2885</v>
      </c>
      <c r="P227" s="180" t="s">
        <v>2870</v>
      </c>
    </row>
    <row r="228" spans="2:16" ht="14.45" customHeight="1" x14ac:dyDescent="0.2">
      <c r="B228" s="360"/>
      <c r="C228" s="366"/>
      <c r="D228" s="363"/>
      <c r="E228" s="150" t="s">
        <v>1845</v>
      </c>
      <c r="F228" s="151" t="s">
        <v>3105</v>
      </c>
      <c r="G228" s="16" t="s">
        <v>3895</v>
      </c>
      <c r="H228" s="168" t="s">
        <v>3498</v>
      </c>
      <c r="I228" s="169" t="s">
        <v>2760</v>
      </c>
      <c r="J228" s="103">
        <v>380</v>
      </c>
      <c r="K228" s="104"/>
      <c r="L228" s="105"/>
      <c r="M228" s="194"/>
      <c r="N228" s="178"/>
      <c r="O228" s="180" t="s">
        <v>2885</v>
      </c>
      <c r="P228" s="180" t="s">
        <v>2870</v>
      </c>
    </row>
    <row r="229" spans="2:16" ht="14.45" customHeight="1" x14ac:dyDescent="0.2">
      <c r="B229" s="360"/>
      <c r="C229" s="366"/>
      <c r="D229" s="363"/>
      <c r="E229" s="150" t="s">
        <v>1845</v>
      </c>
      <c r="F229" s="151" t="s">
        <v>3106</v>
      </c>
      <c r="G229" s="16" t="s">
        <v>3896</v>
      </c>
      <c r="H229" s="168" t="s">
        <v>3499</v>
      </c>
      <c r="I229" s="169" t="s">
        <v>2760</v>
      </c>
      <c r="J229" s="103">
        <v>458</v>
      </c>
      <c r="K229" s="104"/>
      <c r="L229" s="105"/>
      <c r="M229" s="194"/>
      <c r="N229" s="178"/>
      <c r="O229" s="180" t="s">
        <v>2885</v>
      </c>
      <c r="P229" s="180" t="s">
        <v>2870</v>
      </c>
    </row>
    <row r="230" spans="2:16" ht="14.45" customHeight="1" x14ac:dyDescent="0.2">
      <c r="B230" s="360"/>
      <c r="C230" s="366"/>
      <c r="D230" s="363"/>
      <c r="E230" s="150" t="s">
        <v>1845</v>
      </c>
      <c r="F230" s="151" t="s">
        <v>3107</v>
      </c>
      <c r="G230" s="16" t="s">
        <v>3897</v>
      </c>
      <c r="H230" s="168" t="s">
        <v>3500</v>
      </c>
      <c r="I230" s="169" t="s">
        <v>2760</v>
      </c>
      <c r="J230" s="103">
        <v>441</v>
      </c>
      <c r="K230" s="104"/>
      <c r="L230" s="105"/>
      <c r="M230" s="194"/>
      <c r="N230" s="178"/>
      <c r="O230" s="180" t="s">
        <v>2885</v>
      </c>
      <c r="P230" s="180" t="s">
        <v>2870</v>
      </c>
    </row>
    <row r="231" spans="2:16" ht="14.45" customHeight="1" x14ac:dyDescent="0.2">
      <c r="B231" s="360"/>
      <c r="C231" s="366"/>
      <c r="D231" s="363"/>
      <c r="E231" s="150" t="s">
        <v>1845</v>
      </c>
      <c r="F231" s="151" t="s">
        <v>3108</v>
      </c>
      <c r="G231" s="16" t="s">
        <v>3898</v>
      </c>
      <c r="H231" s="168" t="s">
        <v>3501</v>
      </c>
      <c r="I231" s="169" t="s">
        <v>2760</v>
      </c>
      <c r="J231" s="103">
        <v>650</v>
      </c>
      <c r="K231" s="104"/>
      <c r="L231" s="105"/>
      <c r="M231" s="194"/>
      <c r="N231" s="178"/>
      <c r="O231" s="180" t="s">
        <v>2885</v>
      </c>
      <c r="P231" s="180" t="s">
        <v>2870</v>
      </c>
    </row>
    <row r="232" spans="2:16" ht="14.45" customHeight="1" x14ac:dyDescent="0.2">
      <c r="B232" s="360"/>
      <c r="C232" s="366"/>
      <c r="D232" s="363"/>
      <c r="E232" s="150" t="s">
        <v>1845</v>
      </c>
      <c r="F232" s="151" t="s">
        <v>3109</v>
      </c>
      <c r="G232" s="16" t="s">
        <v>3899</v>
      </c>
      <c r="H232" s="168" t="s">
        <v>3502</v>
      </c>
      <c r="I232" s="169" t="s">
        <v>2760</v>
      </c>
      <c r="J232" s="103">
        <v>170</v>
      </c>
      <c r="K232" s="104"/>
      <c r="L232" s="105"/>
      <c r="M232" s="194"/>
      <c r="N232" s="178"/>
      <c r="O232" s="180" t="s">
        <v>2885</v>
      </c>
      <c r="P232" s="180" t="s">
        <v>2870</v>
      </c>
    </row>
    <row r="233" spans="2:16" ht="14.45" customHeight="1" x14ac:dyDescent="0.2">
      <c r="B233" s="360"/>
      <c r="C233" s="366"/>
      <c r="D233" s="362" t="s">
        <v>56</v>
      </c>
      <c r="E233" s="131" t="s">
        <v>7</v>
      </c>
      <c r="F233" s="132" t="s">
        <v>1843</v>
      </c>
      <c r="G233" s="133" t="s">
        <v>165</v>
      </c>
      <c r="H233" s="162" t="s">
        <v>2585</v>
      </c>
      <c r="I233" s="163" t="s">
        <v>329</v>
      </c>
      <c r="J233" s="134">
        <v>2966</v>
      </c>
      <c r="K233" s="135">
        <v>46114</v>
      </c>
      <c r="L233" s="136">
        <v>46137</v>
      </c>
      <c r="M233" s="191" t="s">
        <v>2947</v>
      </c>
      <c r="N233" s="137"/>
      <c r="O233" s="184" t="s">
        <v>2885</v>
      </c>
      <c r="P233" s="184" t="s">
        <v>2870</v>
      </c>
    </row>
    <row r="234" spans="2:16" ht="14.45" customHeight="1" x14ac:dyDescent="0.2">
      <c r="B234" s="360"/>
      <c r="C234" s="366"/>
      <c r="D234" s="363"/>
      <c r="E234" s="150" t="s">
        <v>2764</v>
      </c>
      <c r="F234" s="151" t="s">
        <v>2657</v>
      </c>
      <c r="G234" s="16" t="s">
        <v>273</v>
      </c>
      <c r="H234" s="168" t="s">
        <v>2478</v>
      </c>
      <c r="I234" s="169" t="s">
        <v>406</v>
      </c>
      <c r="J234" s="103">
        <v>2338</v>
      </c>
      <c r="K234" s="104">
        <v>46178</v>
      </c>
      <c r="L234" s="105"/>
      <c r="M234" s="194" t="s">
        <v>2947</v>
      </c>
      <c r="N234" s="106"/>
      <c r="O234" s="180" t="s">
        <v>2885</v>
      </c>
      <c r="P234" s="180" t="s">
        <v>2870</v>
      </c>
    </row>
    <row r="235" spans="2:16" ht="14.45" customHeight="1" x14ac:dyDescent="0.2">
      <c r="B235" s="360"/>
      <c r="C235" s="366"/>
      <c r="D235" s="363"/>
      <c r="E235" s="150" t="s">
        <v>2764</v>
      </c>
      <c r="F235" s="151" t="s">
        <v>2658</v>
      </c>
      <c r="G235" s="16" t="s">
        <v>274</v>
      </c>
      <c r="H235" s="168" t="s">
        <v>2479</v>
      </c>
      <c r="I235" s="169" t="s">
        <v>407</v>
      </c>
      <c r="J235" s="103">
        <v>2307</v>
      </c>
      <c r="K235" s="104">
        <v>46178</v>
      </c>
      <c r="L235" s="105"/>
      <c r="M235" s="194" t="s">
        <v>2947</v>
      </c>
      <c r="N235" s="106"/>
      <c r="O235" s="180" t="s">
        <v>2885</v>
      </c>
      <c r="P235" s="180" t="s">
        <v>2870</v>
      </c>
    </row>
    <row r="236" spans="2:16" ht="14.45" customHeight="1" x14ac:dyDescent="0.2">
      <c r="B236" s="360"/>
      <c r="C236" s="366"/>
      <c r="D236" s="363"/>
      <c r="E236" s="150" t="s">
        <v>1845</v>
      </c>
      <c r="F236" s="151" t="s">
        <v>3110</v>
      </c>
      <c r="G236" s="16" t="s">
        <v>3900</v>
      </c>
      <c r="H236" s="168" t="s">
        <v>3503</v>
      </c>
      <c r="I236" s="169" t="s">
        <v>2760</v>
      </c>
      <c r="J236" s="103">
        <v>324</v>
      </c>
      <c r="K236" s="104"/>
      <c r="L236" s="105"/>
      <c r="M236" s="194"/>
      <c r="N236" s="106"/>
      <c r="O236" s="180" t="s">
        <v>2885</v>
      </c>
      <c r="P236" s="180" t="s">
        <v>2870</v>
      </c>
    </row>
    <row r="237" spans="2:16" ht="14.45" customHeight="1" x14ac:dyDescent="0.2">
      <c r="B237" s="360"/>
      <c r="C237" s="366"/>
      <c r="D237" s="363"/>
      <c r="E237" s="150" t="s">
        <v>1845</v>
      </c>
      <c r="F237" s="151" t="s">
        <v>3111</v>
      </c>
      <c r="G237" s="16" t="s">
        <v>3901</v>
      </c>
      <c r="H237" s="168" t="s">
        <v>3504</v>
      </c>
      <c r="I237" s="169" t="s">
        <v>2760</v>
      </c>
      <c r="J237" s="103">
        <v>598</v>
      </c>
      <c r="K237" s="104"/>
      <c r="L237" s="105"/>
      <c r="M237" s="194"/>
      <c r="N237" s="106"/>
      <c r="O237" s="180" t="s">
        <v>2885</v>
      </c>
      <c r="P237" s="180" t="s">
        <v>2870</v>
      </c>
    </row>
    <row r="238" spans="2:16" ht="14.45" customHeight="1" x14ac:dyDescent="0.2">
      <c r="B238" s="360"/>
      <c r="C238" s="366"/>
      <c r="D238" s="363"/>
      <c r="E238" s="150" t="s">
        <v>1845</v>
      </c>
      <c r="F238" s="151" t="s">
        <v>3112</v>
      </c>
      <c r="G238" s="16" t="s">
        <v>3902</v>
      </c>
      <c r="H238" s="168" t="s">
        <v>3505</v>
      </c>
      <c r="I238" s="169" t="s">
        <v>2760</v>
      </c>
      <c r="J238" s="103">
        <v>1764</v>
      </c>
      <c r="K238" s="104"/>
      <c r="L238" s="105"/>
      <c r="M238" s="194"/>
      <c r="N238" s="106"/>
      <c r="O238" s="180" t="s">
        <v>2885</v>
      </c>
      <c r="P238" s="180" t="s">
        <v>2870</v>
      </c>
    </row>
    <row r="239" spans="2:16" ht="14.45" customHeight="1" x14ac:dyDescent="0.2">
      <c r="B239" s="360"/>
      <c r="C239" s="366"/>
      <c r="D239" s="363"/>
      <c r="E239" s="150" t="s">
        <v>1845</v>
      </c>
      <c r="F239" s="151" t="s">
        <v>3113</v>
      </c>
      <c r="G239" s="16" t="s">
        <v>3903</v>
      </c>
      <c r="H239" s="168" t="s">
        <v>3506</v>
      </c>
      <c r="I239" s="169" t="s">
        <v>2760</v>
      </c>
      <c r="J239" s="103">
        <v>520</v>
      </c>
      <c r="K239" s="104"/>
      <c r="L239" s="105"/>
      <c r="M239" s="194"/>
      <c r="N239" s="106"/>
      <c r="O239" s="180" t="s">
        <v>2885</v>
      </c>
      <c r="P239" s="180" t="s">
        <v>2870</v>
      </c>
    </row>
    <row r="240" spans="2:16" ht="14.45" customHeight="1" thickBot="1" x14ac:dyDescent="0.25">
      <c r="B240" s="360"/>
      <c r="C240" s="367"/>
      <c r="D240" s="373"/>
      <c r="E240" s="152" t="s">
        <v>1845</v>
      </c>
      <c r="F240" s="153" t="s">
        <v>3114</v>
      </c>
      <c r="G240" s="50" t="s">
        <v>3904</v>
      </c>
      <c r="H240" s="170" t="s">
        <v>3507</v>
      </c>
      <c r="I240" s="171" t="s">
        <v>2760</v>
      </c>
      <c r="J240" s="107">
        <v>216</v>
      </c>
      <c r="K240" s="108"/>
      <c r="L240" s="109"/>
      <c r="M240" s="195"/>
      <c r="N240" s="110"/>
      <c r="O240" s="186" t="s">
        <v>2885</v>
      </c>
      <c r="P240" s="186" t="s">
        <v>2870</v>
      </c>
    </row>
    <row r="241" spans="2:16" ht="14.45" customHeight="1" x14ac:dyDescent="0.2">
      <c r="B241" s="360"/>
      <c r="C241" s="365" t="s">
        <v>1694</v>
      </c>
      <c r="D241" s="404" t="s">
        <v>1959</v>
      </c>
      <c r="E241" s="271" t="s">
        <v>7</v>
      </c>
      <c r="F241" s="272" t="s">
        <v>1844</v>
      </c>
      <c r="G241" s="273" t="s">
        <v>1960</v>
      </c>
      <c r="H241" s="274" t="s">
        <v>2586</v>
      </c>
      <c r="I241" s="275" t="s">
        <v>330</v>
      </c>
      <c r="J241" s="276">
        <v>2633</v>
      </c>
      <c r="K241" s="277">
        <v>46115</v>
      </c>
      <c r="L241" s="278">
        <v>46137</v>
      </c>
      <c r="M241" s="279" t="s">
        <v>2946</v>
      </c>
      <c r="N241" s="280"/>
      <c r="O241" s="281" t="s">
        <v>2885</v>
      </c>
      <c r="P241" s="281" t="s">
        <v>2873</v>
      </c>
    </row>
    <row r="242" spans="2:16" ht="14.45" customHeight="1" x14ac:dyDescent="0.2">
      <c r="B242" s="360"/>
      <c r="C242" s="366"/>
      <c r="D242" s="403"/>
      <c r="E242" s="248" t="s">
        <v>2763</v>
      </c>
      <c r="F242" s="249" t="s">
        <v>2626</v>
      </c>
      <c r="G242" s="250" t="s">
        <v>2807</v>
      </c>
      <c r="H242" s="251" t="s">
        <v>2808</v>
      </c>
      <c r="I242" s="252" t="s">
        <v>408</v>
      </c>
      <c r="J242" s="253">
        <v>2907</v>
      </c>
      <c r="K242" s="254">
        <v>46178</v>
      </c>
      <c r="L242" s="255"/>
      <c r="M242" s="256" t="s">
        <v>2946</v>
      </c>
      <c r="N242" s="257"/>
      <c r="O242" s="258" t="s">
        <v>2885</v>
      </c>
      <c r="P242" s="258" t="s">
        <v>2872</v>
      </c>
    </row>
    <row r="243" spans="2:16" ht="14.45" customHeight="1" x14ac:dyDescent="0.2">
      <c r="B243" s="360"/>
      <c r="C243" s="366"/>
      <c r="D243" s="403"/>
      <c r="E243" s="248" t="s">
        <v>1845</v>
      </c>
      <c r="F243" s="249" t="s">
        <v>3117</v>
      </c>
      <c r="G243" s="250" t="s">
        <v>3907</v>
      </c>
      <c r="H243" s="251" t="s">
        <v>3510</v>
      </c>
      <c r="I243" s="252" t="s">
        <v>2760</v>
      </c>
      <c r="J243" s="253">
        <v>454</v>
      </c>
      <c r="K243" s="254"/>
      <c r="L243" s="255"/>
      <c r="M243" s="256"/>
      <c r="N243" s="257"/>
      <c r="O243" s="258" t="s">
        <v>2885</v>
      </c>
      <c r="P243" s="258" t="s">
        <v>2872</v>
      </c>
    </row>
    <row r="244" spans="2:16" ht="14.45" customHeight="1" x14ac:dyDescent="0.2">
      <c r="B244" s="360"/>
      <c r="C244" s="366"/>
      <c r="D244" s="402" t="s">
        <v>59</v>
      </c>
      <c r="E244" s="237" t="s">
        <v>7</v>
      </c>
      <c r="F244" s="238" t="s">
        <v>1844</v>
      </c>
      <c r="G244" s="239" t="s">
        <v>166</v>
      </c>
      <c r="H244" s="240" t="s">
        <v>2587</v>
      </c>
      <c r="I244" s="241" t="s">
        <v>331</v>
      </c>
      <c r="J244" s="242">
        <v>2847</v>
      </c>
      <c r="K244" s="243">
        <v>46115</v>
      </c>
      <c r="L244" s="244">
        <v>46137</v>
      </c>
      <c r="M244" s="245" t="s">
        <v>2946</v>
      </c>
      <c r="N244" s="246"/>
      <c r="O244" s="247" t="s">
        <v>2885</v>
      </c>
      <c r="P244" s="247" t="s">
        <v>2872</v>
      </c>
    </row>
    <row r="245" spans="2:16" ht="14.45" customHeight="1" x14ac:dyDescent="0.2">
      <c r="B245" s="360"/>
      <c r="C245" s="366"/>
      <c r="D245" s="403"/>
      <c r="E245" s="248" t="s">
        <v>2764</v>
      </c>
      <c r="F245" s="249" t="s">
        <v>2660</v>
      </c>
      <c r="G245" s="250" t="s">
        <v>275</v>
      </c>
      <c r="H245" s="251" t="s">
        <v>2480</v>
      </c>
      <c r="I245" s="252" t="s">
        <v>409</v>
      </c>
      <c r="J245" s="253">
        <v>2810</v>
      </c>
      <c r="K245" s="254">
        <v>46178</v>
      </c>
      <c r="L245" s="255"/>
      <c r="M245" s="256" t="s">
        <v>2946</v>
      </c>
      <c r="N245" s="259"/>
      <c r="O245" s="258" t="s">
        <v>2885</v>
      </c>
      <c r="P245" s="258" t="s">
        <v>2872</v>
      </c>
    </row>
    <row r="246" spans="2:16" ht="14.45" customHeight="1" x14ac:dyDescent="0.2">
      <c r="B246" s="360"/>
      <c r="C246" s="366"/>
      <c r="D246" s="403"/>
      <c r="E246" s="248" t="s">
        <v>2764</v>
      </c>
      <c r="F246" s="249" t="s">
        <v>2659</v>
      </c>
      <c r="G246" s="250" t="s">
        <v>276</v>
      </c>
      <c r="H246" s="251" t="s">
        <v>2481</v>
      </c>
      <c r="I246" s="252" t="s">
        <v>410</v>
      </c>
      <c r="J246" s="253">
        <v>2667</v>
      </c>
      <c r="K246" s="254">
        <v>46178</v>
      </c>
      <c r="L246" s="255"/>
      <c r="M246" s="256" t="s">
        <v>2946</v>
      </c>
      <c r="N246" s="259"/>
      <c r="O246" s="258" t="s">
        <v>2885</v>
      </c>
      <c r="P246" s="258" t="s">
        <v>2872</v>
      </c>
    </row>
    <row r="247" spans="2:16" ht="14.45" customHeight="1" x14ac:dyDescent="0.2">
      <c r="B247" s="360"/>
      <c r="C247" s="366"/>
      <c r="D247" s="402" t="s">
        <v>61</v>
      </c>
      <c r="E247" s="237" t="s">
        <v>7</v>
      </c>
      <c r="F247" s="238" t="s">
        <v>1844</v>
      </c>
      <c r="G247" s="239" t="s">
        <v>167</v>
      </c>
      <c r="H247" s="240" t="s">
        <v>2588</v>
      </c>
      <c r="I247" s="241" t="s">
        <v>332</v>
      </c>
      <c r="J247" s="242">
        <v>3598</v>
      </c>
      <c r="K247" s="243">
        <v>46115</v>
      </c>
      <c r="L247" s="244">
        <v>46137</v>
      </c>
      <c r="M247" s="245" t="s">
        <v>2945</v>
      </c>
      <c r="N247" s="246"/>
      <c r="O247" s="247" t="s">
        <v>2885</v>
      </c>
      <c r="P247" s="247" t="s">
        <v>2872</v>
      </c>
    </row>
    <row r="248" spans="2:16" ht="14.45" customHeight="1" x14ac:dyDescent="0.2">
      <c r="B248" s="360"/>
      <c r="C248" s="366"/>
      <c r="D248" s="403"/>
      <c r="E248" s="248" t="s">
        <v>2763</v>
      </c>
      <c r="F248" s="249" t="s">
        <v>230</v>
      </c>
      <c r="G248" s="250" t="s">
        <v>231</v>
      </c>
      <c r="H248" s="251" t="s">
        <v>2482</v>
      </c>
      <c r="I248" s="252" t="s">
        <v>411</v>
      </c>
      <c r="J248" s="253">
        <v>2998</v>
      </c>
      <c r="K248" s="254">
        <v>46178</v>
      </c>
      <c r="L248" s="255"/>
      <c r="M248" s="256" t="s">
        <v>2945</v>
      </c>
      <c r="N248" s="257"/>
      <c r="O248" s="258" t="s">
        <v>2885</v>
      </c>
      <c r="P248" s="258" t="s">
        <v>2872</v>
      </c>
    </row>
    <row r="249" spans="2:16" ht="14.45" customHeight="1" x14ac:dyDescent="0.2">
      <c r="B249" s="360"/>
      <c r="C249" s="366"/>
      <c r="D249" s="403"/>
      <c r="E249" s="248" t="s">
        <v>2763</v>
      </c>
      <c r="F249" s="249" t="s">
        <v>2624</v>
      </c>
      <c r="G249" s="250" t="s">
        <v>2823</v>
      </c>
      <c r="H249" s="251" t="s">
        <v>2819</v>
      </c>
      <c r="I249" s="252" t="s">
        <v>402</v>
      </c>
      <c r="J249" s="253">
        <v>2239</v>
      </c>
      <c r="K249" s="254">
        <v>46178</v>
      </c>
      <c r="L249" s="255"/>
      <c r="M249" s="256" t="s">
        <v>2945</v>
      </c>
      <c r="N249" s="259"/>
      <c r="O249" s="258" t="s">
        <v>2885</v>
      </c>
      <c r="P249" s="258" t="s">
        <v>2872</v>
      </c>
    </row>
    <row r="250" spans="2:16" ht="14.45" customHeight="1" x14ac:dyDescent="0.2">
      <c r="B250" s="360"/>
      <c r="C250" s="366"/>
      <c r="D250" s="403"/>
      <c r="E250" s="248" t="s">
        <v>2763</v>
      </c>
      <c r="F250" s="249" t="s">
        <v>234</v>
      </c>
      <c r="G250" s="250" t="s">
        <v>232</v>
      </c>
      <c r="H250" s="251" t="s">
        <v>2483</v>
      </c>
      <c r="I250" s="252" t="s">
        <v>412</v>
      </c>
      <c r="J250" s="253">
        <v>2016</v>
      </c>
      <c r="K250" s="254">
        <v>46178</v>
      </c>
      <c r="L250" s="255"/>
      <c r="M250" s="256" t="s">
        <v>2945</v>
      </c>
      <c r="N250" s="259"/>
      <c r="O250" s="258" t="s">
        <v>2885</v>
      </c>
      <c r="P250" s="258" t="s">
        <v>2872</v>
      </c>
    </row>
    <row r="251" spans="2:16" ht="14.45" customHeight="1" x14ac:dyDescent="0.2">
      <c r="B251" s="360"/>
      <c r="C251" s="366"/>
      <c r="D251" s="403"/>
      <c r="E251" s="248" t="s">
        <v>1845</v>
      </c>
      <c r="F251" s="249" t="s">
        <v>3097</v>
      </c>
      <c r="G251" s="250" t="s">
        <v>3887</v>
      </c>
      <c r="H251" s="251" t="s">
        <v>3490</v>
      </c>
      <c r="I251" s="252" t="s">
        <v>2760</v>
      </c>
      <c r="J251" s="253">
        <v>298</v>
      </c>
      <c r="K251" s="254"/>
      <c r="L251" s="255"/>
      <c r="M251" s="256"/>
      <c r="N251" s="259" t="s">
        <v>4206</v>
      </c>
      <c r="O251" s="258" t="s">
        <v>2885</v>
      </c>
      <c r="P251" s="258" t="s">
        <v>2872</v>
      </c>
    </row>
    <row r="252" spans="2:16" ht="14.45" customHeight="1" x14ac:dyDescent="0.2">
      <c r="B252" s="360"/>
      <c r="C252" s="366"/>
      <c r="D252" s="403"/>
      <c r="E252" s="248" t="s">
        <v>1845</v>
      </c>
      <c r="F252" s="249" t="s">
        <v>3118</v>
      </c>
      <c r="G252" s="250" t="s">
        <v>3908</v>
      </c>
      <c r="H252" s="251" t="s">
        <v>3511</v>
      </c>
      <c r="I252" s="252" t="s">
        <v>2760</v>
      </c>
      <c r="J252" s="253">
        <v>240</v>
      </c>
      <c r="K252" s="254"/>
      <c r="L252" s="255"/>
      <c r="M252" s="256"/>
      <c r="N252" s="259"/>
      <c r="O252" s="258" t="s">
        <v>2885</v>
      </c>
      <c r="P252" s="258" t="s">
        <v>2872</v>
      </c>
    </row>
    <row r="253" spans="2:16" ht="14.45" customHeight="1" x14ac:dyDescent="0.2">
      <c r="B253" s="360"/>
      <c r="C253" s="366"/>
      <c r="D253" s="403"/>
      <c r="E253" s="248" t="s">
        <v>1845</v>
      </c>
      <c r="F253" s="249" t="s">
        <v>3119</v>
      </c>
      <c r="G253" s="250" t="s">
        <v>3909</v>
      </c>
      <c r="H253" s="251" t="s">
        <v>3512</v>
      </c>
      <c r="I253" s="252" t="s">
        <v>2760</v>
      </c>
      <c r="J253" s="253">
        <v>220</v>
      </c>
      <c r="K253" s="254"/>
      <c r="L253" s="255"/>
      <c r="M253" s="256"/>
      <c r="N253" s="259"/>
      <c r="O253" s="258" t="s">
        <v>2885</v>
      </c>
      <c r="P253" s="258" t="s">
        <v>2872</v>
      </c>
    </row>
    <row r="254" spans="2:16" ht="14.45" customHeight="1" x14ac:dyDescent="0.2">
      <c r="B254" s="360"/>
      <c r="C254" s="366"/>
      <c r="D254" s="403"/>
      <c r="E254" s="248" t="s">
        <v>1845</v>
      </c>
      <c r="F254" s="249" t="s">
        <v>3120</v>
      </c>
      <c r="G254" s="250" t="s">
        <v>3910</v>
      </c>
      <c r="H254" s="251" t="s">
        <v>3513</v>
      </c>
      <c r="I254" s="252" t="s">
        <v>2760</v>
      </c>
      <c r="J254" s="253">
        <v>259</v>
      </c>
      <c r="K254" s="254"/>
      <c r="L254" s="255"/>
      <c r="M254" s="256"/>
      <c r="N254" s="259"/>
      <c r="O254" s="258" t="s">
        <v>2885</v>
      </c>
      <c r="P254" s="258" t="s">
        <v>2872</v>
      </c>
    </row>
    <row r="255" spans="2:16" ht="14.45" customHeight="1" x14ac:dyDescent="0.2">
      <c r="B255" s="360"/>
      <c r="C255" s="366"/>
      <c r="D255" s="403"/>
      <c r="E255" s="248" t="s">
        <v>1845</v>
      </c>
      <c r="F255" s="249" t="s">
        <v>3121</v>
      </c>
      <c r="G255" s="250" t="s">
        <v>3911</v>
      </c>
      <c r="H255" s="251" t="s">
        <v>3514</v>
      </c>
      <c r="I255" s="252" t="s">
        <v>2760</v>
      </c>
      <c r="J255" s="253">
        <v>196</v>
      </c>
      <c r="K255" s="254"/>
      <c r="L255" s="255"/>
      <c r="M255" s="256"/>
      <c r="N255" s="259"/>
      <c r="O255" s="258" t="s">
        <v>2885</v>
      </c>
      <c r="P255" s="258" t="s">
        <v>2872</v>
      </c>
    </row>
    <row r="256" spans="2:16" ht="14.45" customHeight="1" x14ac:dyDescent="0.2">
      <c r="B256" s="360"/>
      <c r="C256" s="366"/>
      <c r="D256" s="403"/>
      <c r="E256" s="248" t="s">
        <v>1845</v>
      </c>
      <c r="F256" s="249" t="s">
        <v>3122</v>
      </c>
      <c r="G256" s="250" t="s">
        <v>3912</v>
      </c>
      <c r="H256" s="251" t="s">
        <v>3515</v>
      </c>
      <c r="I256" s="252" t="s">
        <v>2760</v>
      </c>
      <c r="J256" s="253">
        <v>246</v>
      </c>
      <c r="K256" s="254"/>
      <c r="L256" s="255"/>
      <c r="M256" s="256"/>
      <c r="N256" s="259"/>
      <c r="O256" s="258" t="s">
        <v>2885</v>
      </c>
      <c r="P256" s="258" t="s">
        <v>2872</v>
      </c>
    </row>
    <row r="257" spans="2:16" ht="14.45" customHeight="1" x14ac:dyDescent="0.2">
      <c r="B257" s="360"/>
      <c r="C257" s="366"/>
      <c r="D257" s="403"/>
      <c r="E257" s="248" t="s">
        <v>1845</v>
      </c>
      <c r="F257" s="249" t="s">
        <v>3123</v>
      </c>
      <c r="G257" s="250" t="s">
        <v>3913</v>
      </c>
      <c r="H257" s="251" t="s">
        <v>3516</v>
      </c>
      <c r="I257" s="252" t="s">
        <v>2760</v>
      </c>
      <c r="J257" s="253">
        <v>307</v>
      </c>
      <c r="K257" s="254"/>
      <c r="L257" s="255"/>
      <c r="M257" s="256"/>
      <c r="N257" s="259"/>
      <c r="O257" s="258" t="s">
        <v>2885</v>
      </c>
      <c r="P257" s="258" t="s">
        <v>2872</v>
      </c>
    </row>
    <row r="258" spans="2:16" ht="14.45" customHeight="1" x14ac:dyDescent="0.2">
      <c r="B258" s="360"/>
      <c r="C258" s="366"/>
      <c r="D258" s="403"/>
      <c r="E258" s="248" t="s">
        <v>1845</v>
      </c>
      <c r="F258" s="249" t="s">
        <v>3124</v>
      </c>
      <c r="G258" s="250" t="s">
        <v>3914</v>
      </c>
      <c r="H258" s="251" t="s">
        <v>3517</v>
      </c>
      <c r="I258" s="252" t="s">
        <v>2760</v>
      </c>
      <c r="J258" s="253">
        <v>291</v>
      </c>
      <c r="K258" s="254"/>
      <c r="L258" s="255"/>
      <c r="M258" s="256"/>
      <c r="N258" s="259"/>
      <c r="O258" s="258" t="s">
        <v>2885</v>
      </c>
      <c r="P258" s="258" t="s">
        <v>2872</v>
      </c>
    </row>
    <row r="259" spans="2:16" ht="14.45" customHeight="1" x14ac:dyDescent="0.2">
      <c r="B259" s="360"/>
      <c r="C259" s="366"/>
      <c r="D259" s="403"/>
      <c r="E259" s="248" t="s">
        <v>1845</v>
      </c>
      <c r="F259" s="249" t="s">
        <v>3125</v>
      </c>
      <c r="G259" s="250" t="s">
        <v>3915</v>
      </c>
      <c r="H259" s="251" t="s">
        <v>3518</v>
      </c>
      <c r="I259" s="252" t="s">
        <v>2760</v>
      </c>
      <c r="J259" s="253">
        <v>363</v>
      </c>
      <c r="K259" s="254"/>
      <c r="L259" s="255"/>
      <c r="M259" s="256"/>
      <c r="N259" s="259"/>
      <c r="O259" s="258" t="s">
        <v>2885</v>
      </c>
      <c r="P259" s="258" t="s">
        <v>2872</v>
      </c>
    </row>
    <row r="260" spans="2:16" ht="14.45" customHeight="1" x14ac:dyDescent="0.2">
      <c r="B260" s="360"/>
      <c r="C260" s="366"/>
      <c r="D260" s="403"/>
      <c r="E260" s="248" t="s">
        <v>1845</v>
      </c>
      <c r="F260" s="249" t="s">
        <v>3126</v>
      </c>
      <c r="G260" s="250" t="s">
        <v>3916</v>
      </c>
      <c r="H260" s="251" t="s">
        <v>3519</v>
      </c>
      <c r="I260" s="252" t="s">
        <v>2760</v>
      </c>
      <c r="J260" s="253">
        <v>397</v>
      </c>
      <c r="K260" s="254"/>
      <c r="L260" s="255"/>
      <c r="M260" s="256"/>
      <c r="N260" s="259"/>
      <c r="O260" s="258" t="s">
        <v>2885</v>
      </c>
      <c r="P260" s="258" t="s">
        <v>2872</v>
      </c>
    </row>
    <row r="261" spans="2:16" ht="14.45" customHeight="1" x14ac:dyDescent="0.2">
      <c r="B261" s="360"/>
      <c r="C261" s="366"/>
      <c r="D261" s="403"/>
      <c r="E261" s="248" t="s">
        <v>1845</v>
      </c>
      <c r="F261" s="249" t="s">
        <v>3127</v>
      </c>
      <c r="G261" s="250" t="s">
        <v>3917</v>
      </c>
      <c r="H261" s="251" t="s">
        <v>3520</v>
      </c>
      <c r="I261" s="252" t="s">
        <v>2760</v>
      </c>
      <c r="J261" s="253">
        <v>652</v>
      </c>
      <c r="K261" s="254"/>
      <c r="L261" s="255"/>
      <c r="M261" s="256" t="s">
        <v>2945</v>
      </c>
      <c r="N261" s="259"/>
      <c r="O261" s="258" t="s">
        <v>2885</v>
      </c>
      <c r="P261" s="258" t="s">
        <v>2872</v>
      </c>
    </row>
    <row r="262" spans="2:16" ht="14.45" customHeight="1" x14ac:dyDescent="0.2">
      <c r="B262" s="360"/>
      <c r="C262" s="366"/>
      <c r="D262" s="403"/>
      <c r="E262" s="248" t="s">
        <v>1845</v>
      </c>
      <c r="F262" s="249" t="s">
        <v>3128</v>
      </c>
      <c r="G262" s="250" t="s">
        <v>3918</v>
      </c>
      <c r="H262" s="251" t="s">
        <v>3521</v>
      </c>
      <c r="I262" s="252" t="s">
        <v>2760</v>
      </c>
      <c r="J262" s="253">
        <v>430</v>
      </c>
      <c r="K262" s="254"/>
      <c r="L262" s="255"/>
      <c r="M262" s="256" t="s">
        <v>2945</v>
      </c>
      <c r="N262" s="259"/>
      <c r="O262" s="258" t="s">
        <v>2885</v>
      </c>
      <c r="P262" s="258" t="s">
        <v>2872</v>
      </c>
    </row>
    <row r="263" spans="2:16" ht="14.45" customHeight="1" x14ac:dyDescent="0.2">
      <c r="B263" s="360"/>
      <c r="C263" s="366"/>
      <c r="D263" s="402" t="s">
        <v>63</v>
      </c>
      <c r="E263" s="237" t="s">
        <v>7</v>
      </c>
      <c r="F263" s="238" t="s">
        <v>1844</v>
      </c>
      <c r="G263" s="239" t="s">
        <v>168</v>
      </c>
      <c r="H263" s="240" t="s">
        <v>2589</v>
      </c>
      <c r="I263" s="241" t="s">
        <v>333</v>
      </c>
      <c r="J263" s="242">
        <v>3884</v>
      </c>
      <c r="K263" s="243">
        <v>46115</v>
      </c>
      <c r="L263" s="244">
        <v>46137</v>
      </c>
      <c r="M263" s="245" t="s">
        <v>2946</v>
      </c>
      <c r="N263" s="246"/>
      <c r="O263" s="247" t="s">
        <v>2885</v>
      </c>
      <c r="P263" s="247" t="s">
        <v>2872</v>
      </c>
    </row>
    <row r="264" spans="2:16" ht="14.45" customHeight="1" x14ac:dyDescent="0.2">
      <c r="B264" s="360"/>
      <c r="C264" s="366"/>
      <c r="D264" s="403"/>
      <c r="E264" s="248" t="s">
        <v>2763</v>
      </c>
      <c r="F264" s="249" t="s">
        <v>235</v>
      </c>
      <c r="G264" s="250" t="s">
        <v>2824</v>
      </c>
      <c r="H264" s="251" t="s">
        <v>2825</v>
      </c>
      <c r="I264" s="252" t="s">
        <v>413</v>
      </c>
      <c r="J264" s="253">
        <v>1720</v>
      </c>
      <c r="K264" s="254">
        <v>46178</v>
      </c>
      <c r="L264" s="255"/>
      <c r="M264" s="256" t="s">
        <v>2946</v>
      </c>
      <c r="N264" s="259"/>
      <c r="O264" s="258" t="s">
        <v>2885</v>
      </c>
      <c r="P264" s="258" t="s">
        <v>2872</v>
      </c>
    </row>
    <row r="265" spans="2:16" ht="14.45" customHeight="1" x14ac:dyDescent="0.2">
      <c r="B265" s="360"/>
      <c r="C265" s="366"/>
      <c r="D265" s="403"/>
      <c r="E265" s="248" t="s">
        <v>2763</v>
      </c>
      <c r="F265" s="249" t="s">
        <v>2627</v>
      </c>
      <c r="G265" s="250" t="s">
        <v>2827</v>
      </c>
      <c r="H265" s="251" t="s">
        <v>2828</v>
      </c>
      <c r="I265" s="252" t="s">
        <v>414</v>
      </c>
      <c r="J265" s="253">
        <v>1876</v>
      </c>
      <c r="K265" s="254">
        <v>46178</v>
      </c>
      <c r="L265" s="255"/>
      <c r="M265" s="256" t="s">
        <v>2946</v>
      </c>
      <c r="N265" s="259"/>
      <c r="O265" s="258" t="s">
        <v>2885</v>
      </c>
      <c r="P265" s="258" t="s">
        <v>2872</v>
      </c>
    </row>
    <row r="266" spans="2:16" ht="14.45" customHeight="1" x14ac:dyDescent="0.2">
      <c r="B266" s="360"/>
      <c r="C266" s="366"/>
      <c r="D266" s="403"/>
      <c r="E266" s="248" t="s">
        <v>1845</v>
      </c>
      <c r="F266" s="249" t="s">
        <v>3129</v>
      </c>
      <c r="G266" s="250" t="s">
        <v>3919</v>
      </c>
      <c r="H266" s="251" t="s">
        <v>3522</v>
      </c>
      <c r="I266" s="252" t="s">
        <v>2760</v>
      </c>
      <c r="J266" s="253">
        <v>609</v>
      </c>
      <c r="K266" s="254"/>
      <c r="L266" s="255"/>
      <c r="M266" s="256"/>
      <c r="N266" s="259"/>
      <c r="O266" s="258" t="s">
        <v>2885</v>
      </c>
      <c r="P266" s="258" t="s">
        <v>2872</v>
      </c>
    </row>
    <row r="267" spans="2:16" ht="14.45" customHeight="1" x14ac:dyDescent="0.2">
      <c r="B267" s="360"/>
      <c r="C267" s="366"/>
      <c r="D267" s="403"/>
      <c r="E267" s="248" t="s">
        <v>1845</v>
      </c>
      <c r="F267" s="249" t="s">
        <v>3130</v>
      </c>
      <c r="G267" s="250" t="s">
        <v>3920</v>
      </c>
      <c r="H267" s="251" t="s">
        <v>3523</v>
      </c>
      <c r="I267" s="252" t="s">
        <v>2760</v>
      </c>
      <c r="J267" s="253">
        <v>1008</v>
      </c>
      <c r="K267" s="254"/>
      <c r="L267" s="255"/>
      <c r="M267" s="256"/>
      <c r="N267" s="259"/>
      <c r="O267" s="258" t="s">
        <v>2885</v>
      </c>
      <c r="P267" s="258" t="s">
        <v>2872</v>
      </c>
    </row>
    <row r="268" spans="2:16" ht="14.45" customHeight="1" x14ac:dyDescent="0.2">
      <c r="B268" s="360"/>
      <c r="C268" s="366"/>
      <c r="D268" s="403"/>
      <c r="E268" s="248" t="s">
        <v>1845</v>
      </c>
      <c r="F268" s="249" t="s">
        <v>3131</v>
      </c>
      <c r="G268" s="250" t="s">
        <v>3921</v>
      </c>
      <c r="H268" s="251" t="s">
        <v>3524</v>
      </c>
      <c r="I268" s="252" t="s">
        <v>2760</v>
      </c>
      <c r="J268" s="253">
        <v>663</v>
      </c>
      <c r="K268" s="254"/>
      <c r="L268" s="255"/>
      <c r="M268" s="256"/>
      <c r="N268" s="259"/>
      <c r="O268" s="258" t="s">
        <v>2885</v>
      </c>
      <c r="P268" s="258" t="s">
        <v>2872</v>
      </c>
    </row>
    <row r="269" spans="2:16" ht="14.45" customHeight="1" x14ac:dyDescent="0.2">
      <c r="B269" s="360"/>
      <c r="C269" s="366"/>
      <c r="D269" s="403"/>
      <c r="E269" s="248" t="s">
        <v>1845</v>
      </c>
      <c r="F269" s="249" t="s">
        <v>3132</v>
      </c>
      <c r="G269" s="250" t="s">
        <v>3922</v>
      </c>
      <c r="H269" s="251" t="s">
        <v>3525</v>
      </c>
      <c r="I269" s="252" t="s">
        <v>2760</v>
      </c>
      <c r="J269" s="253">
        <v>679</v>
      </c>
      <c r="K269" s="254"/>
      <c r="L269" s="255"/>
      <c r="M269" s="256"/>
      <c r="N269" s="259"/>
      <c r="O269" s="258" t="s">
        <v>2885</v>
      </c>
      <c r="P269" s="258" t="s">
        <v>2872</v>
      </c>
    </row>
    <row r="270" spans="2:16" ht="14.45" customHeight="1" x14ac:dyDescent="0.2">
      <c r="B270" s="360"/>
      <c r="C270" s="366"/>
      <c r="D270" s="403"/>
      <c r="E270" s="248" t="s">
        <v>1845</v>
      </c>
      <c r="F270" s="249" t="s">
        <v>3133</v>
      </c>
      <c r="G270" s="250" t="s">
        <v>3923</v>
      </c>
      <c r="H270" s="251" t="s">
        <v>3526</v>
      </c>
      <c r="I270" s="252" t="s">
        <v>2760</v>
      </c>
      <c r="J270" s="253">
        <v>582</v>
      </c>
      <c r="K270" s="254"/>
      <c r="L270" s="255"/>
      <c r="M270" s="256"/>
      <c r="N270" s="259"/>
      <c r="O270" s="258" t="s">
        <v>2885</v>
      </c>
      <c r="P270" s="258" t="s">
        <v>2872</v>
      </c>
    </row>
    <row r="271" spans="2:16" ht="14.45" customHeight="1" x14ac:dyDescent="0.2">
      <c r="B271" s="360"/>
      <c r="C271" s="366"/>
      <c r="D271" s="403"/>
      <c r="E271" s="248" t="s">
        <v>1845</v>
      </c>
      <c r="F271" s="249" t="s">
        <v>3134</v>
      </c>
      <c r="G271" s="250" t="s">
        <v>3924</v>
      </c>
      <c r="H271" s="251" t="s">
        <v>3527</v>
      </c>
      <c r="I271" s="252" t="s">
        <v>2760</v>
      </c>
      <c r="J271" s="253">
        <v>520</v>
      </c>
      <c r="K271" s="254"/>
      <c r="L271" s="255"/>
      <c r="M271" s="256"/>
      <c r="N271" s="259"/>
      <c r="O271" s="258" t="s">
        <v>2885</v>
      </c>
      <c r="P271" s="258" t="s">
        <v>2872</v>
      </c>
    </row>
    <row r="272" spans="2:16" ht="14.45" customHeight="1" x14ac:dyDescent="0.2">
      <c r="B272" s="360"/>
      <c r="C272" s="366"/>
      <c r="D272" s="403"/>
      <c r="E272" s="248" t="s">
        <v>1845</v>
      </c>
      <c r="F272" s="249" t="s">
        <v>3135</v>
      </c>
      <c r="G272" s="250" t="s">
        <v>3925</v>
      </c>
      <c r="H272" s="251" t="s">
        <v>3528</v>
      </c>
      <c r="I272" s="252" t="s">
        <v>2760</v>
      </c>
      <c r="J272" s="253">
        <v>756</v>
      </c>
      <c r="K272" s="254"/>
      <c r="L272" s="255"/>
      <c r="M272" s="256"/>
      <c r="N272" s="259"/>
      <c r="O272" s="258" t="s">
        <v>2885</v>
      </c>
      <c r="P272" s="258" t="s">
        <v>2872</v>
      </c>
    </row>
    <row r="273" spans="2:16" ht="14.45" customHeight="1" x14ac:dyDescent="0.2">
      <c r="B273" s="360"/>
      <c r="C273" s="366"/>
      <c r="D273" s="403"/>
      <c r="E273" s="248" t="s">
        <v>1845</v>
      </c>
      <c r="F273" s="249" t="s">
        <v>3136</v>
      </c>
      <c r="G273" s="250" t="s">
        <v>3926</v>
      </c>
      <c r="H273" s="251" t="s">
        <v>3529</v>
      </c>
      <c r="I273" s="252" t="s">
        <v>2760</v>
      </c>
      <c r="J273" s="253">
        <v>499</v>
      </c>
      <c r="K273" s="254"/>
      <c r="L273" s="255"/>
      <c r="M273" s="256"/>
      <c r="N273" s="259"/>
      <c r="O273" s="258" t="s">
        <v>2885</v>
      </c>
      <c r="P273" s="258" t="s">
        <v>2872</v>
      </c>
    </row>
    <row r="274" spans="2:16" ht="14.45" customHeight="1" x14ac:dyDescent="0.2">
      <c r="B274" s="360"/>
      <c r="C274" s="366"/>
      <c r="D274" s="403"/>
      <c r="E274" s="248" t="s">
        <v>1845</v>
      </c>
      <c r="F274" s="249" t="s">
        <v>3137</v>
      </c>
      <c r="G274" s="250" t="s">
        <v>3927</v>
      </c>
      <c r="H274" s="251" t="s">
        <v>3530</v>
      </c>
      <c r="I274" s="252" t="s">
        <v>2760</v>
      </c>
      <c r="J274" s="253">
        <v>265</v>
      </c>
      <c r="K274" s="254"/>
      <c r="L274" s="255"/>
      <c r="M274" s="256"/>
      <c r="N274" s="259"/>
      <c r="O274" s="258" t="s">
        <v>2885</v>
      </c>
      <c r="P274" s="258" t="s">
        <v>2872</v>
      </c>
    </row>
    <row r="275" spans="2:16" ht="14.45" customHeight="1" x14ac:dyDescent="0.2">
      <c r="B275" s="360"/>
      <c r="C275" s="366"/>
      <c r="D275" s="403"/>
      <c r="E275" s="150" t="s">
        <v>1845</v>
      </c>
      <c r="F275" s="153" t="s">
        <v>3138</v>
      </c>
      <c r="G275" s="50" t="s">
        <v>3928</v>
      </c>
      <c r="H275" s="170" t="s">
        <v>3531</v>
      </c>
      <c r="I275" s="171" t="s">
        <v>2760</v>
      </c>
      <c r="J275" s="107">
        <v>380</v>
      </c>
      <c r="K275" s="254"/>
      <c r="L275" s="255"/>
      <c r="M275" s="256"/>
      <c r="N275" s="259" t="s">
        <v>4206</v>
      </c>
      <c r="O275" s="258" t="s">
        <v>2885</v>
      </c>
      <c r="P275" s="258" t="s">
        <v>2872</v>
      </c>
    </row>
    <row r="276" spans="2:16" ht="14.45" customHeight="1" x14ac:dyDescent="0.2">
      <c r="B276" s="360"/>
      <c r="C276" s="366"/>
      <c r="D276" s="403"/>
      <c r="E276" s="248" t="s">
        <v>1845</v>
      </c>
      <c r="F276" s="249" t="s">
        <v>3139</v>
      </c>
      <c r="G276" s="250" t="s">
        <v>3929</v>
      </c>
      <c r="H276" s="251" t="s">
        <v>3532</v>
      </c>
      <c r="I276" s="252" t="s">
        <v>2760</v>
      </c>
      <c r="J276" s="253">
        <v>379</v>
      </c>
      <c r="K276" s="254"/>
      <c r="L276" s="255"/>
      <c r="M276" s="256"/>
      <c r="N276" s="259"/>
      <c r="O276" s="258" t="s">
        <v>2885</v>
      </c>
      <c r="P276" s="258" t="s">
        <v>2872</v>
      </c>
    </row>
    <row r="277" spans="2:16" ht="14.45" customHeight="1" x14ac:dyDescent="0.2">
      <c r="B277" s="360"/>
      <c r="C277" s="366"/>
      <c r="D277" s="403"/>
      <c r="E277" s="248" t="s">
        <v>1845</v>
      </c>
      <c r="F277" s="249" t="s">
        <v>3140</v>
      </c>
      <c r="G277" s="250" t="s">
        <v>3930</v>
      </c>
      <c r="H277" s="251" t="s">
        <v>3533</v>
      </c>
      <c r="I277" s="252" t="s">
        <v>2760</v>
      </c>
      <c r="J277" s="253">
        <v>202</v>
      </c>
      <c r="K277" s="254"/>
      <c r="L277" s="255"/>
      <c r="M277" s="256"/>
      <c r="N277" s="259"/>
      <c r="O277" s="258" t="s">
        <v>2885</v>
      </c>
      <c r="P277" s="258" t="s">
        <v>2872</v>
      </c>
    </row>
    <row r="278" spans="2:16" ht="14.45" customHeight="1" x14ac:dyDescent="0.2">
      <c r="B278" s="360"/>
      <c r="C278" s="366"/>
      <c r="D278" s="402" t="s">
        <v>65</v>
      </c>
      <c r="E278" s="237" t="s">
        <v>7</v>
      </c>
      <c r="F278" s="238" t="s">
        <v>1844</v>
      </c>
      <c r="G278" s="239" t="s">
        <v>169</v>
      </c>
      <c r="H278" s="240" t="s">
        <v>2590</v>
      </c>
      <c r="I278" s="241" t="s">
        <v>334</v>
      </c>
      <c r="J278" s="242">
        <v>3809</v>
      </c>
      <c r="K278" s="243">
        <v>46115</v>
      </c>
      <c r="L278" s="244">
        <v>46137</v>
      </c>
      <c r="M278" s="245" t="s">
        <v>2947</v>
      </c>
      <c r="N278" s="246"/>
      <c r="O278" s="247" t="s">
        <v>2885</v>
      </c>
      <c r="P278" s="247" t="s">
        <v>2872</v>
      </c>
    </row>
    <row r="279" spans="2:16" ht="14.45" customHeight="1" x14ac:dyDescent="0.2">
      <c r="B279" s="360"/>
      <c r="C279" s="366"/>
      <c r="D279" s="403"/>
      <c r="E279" s="248" t="s">
        <v>2763</v>
      </c>
      <c r="F279" s="249" t="s">
        <v>2628</v>
      </c>
      <c r="G279" s="250" t="s">
        <v>236</v>
      </c>
      <c r="H279" s="251" t="s">
        <v>2484</v>
      </c>
      <c r="I279" s="252" t="s">
        <v>415</v>
      </c>
      <c r="J279" s="253">
        <v>2242</v>
      </c>
      <c r="K279" s="254">
        <v>46178</v>
      </c>
      <c r="L279" s="255"/>
      <c r="M279" s="256" t="s">
        <v>2947</v>
      </c>
      <c r="N279" s="259"/>
      <c r="O279" s="258" t="s">
        <v>2885</v>
      </c>
      <c r="P279" s="258" t="s">
        <v>2872</v>
      </c>
    </row>
    <row r="280" spans="2:16" ht="14.45" customHeight="1" x14ac:dyDescent="0.2">
      <c r="B280" s="360"/>
      <c r="C280" s="366"/>
      <c r="D280" s="403"/>
      <c r="E280" s="248" t="s">
        <v>1845</v>
      </c>
      <c r="F280" s="249" t="s">
        <v>3115</v>
      </c>
      <c r="G280" s="250" t="s">
        <v>3905</v>
      </c>
      <c r="H280" s="251" t="s">
        <v>3508</v>
      </c>
      <c r="I280" s="252" t="s">
        <v>2760</v>
      </c>
      <c r="J280" s="253">
        <v>252</v>
      </c>
      <c r="K280" s="254"/>
      <c r="L280" s="255"/>
      <c r="M280" s="256"/>
      <c r="N280" s="259"/>
      <c r="O280" s="258" t="s">
        <v>2885</v>
      </c>
      <c r="P280" s="258" t="s">
        <v>2872</v>
      </c>
    </row>
    <row r="281" spans="2:16" ht="14.45" customHeight="1" x14ac:dyDescent="0.2">
      <c r="B281" s="360"/>
      <c r="C281" s="366"/>
      <c r="D281" s="403"/>
      <c r="E281" s="248" t="s">
        <v>1845</v>
      </c>
      <c r="F281" s="249" t="s">
        <v>3116</v>
      </c>
      <c r="G281" s="250" t="s">
        <v>3906</v>
      </c>
      <c r="H281" s="251" t="s">
        <v>3509</v>
      </c>
      <c r="I281" s="252" t="s">
        <v>2760</v>
      </c>
      <c r="J281" s="253">
        <v>1030</v>
      </c>
      <c r="K281" s="254"/>
      <c r="L281" s="255"/>
      <c r="M281" s="256"/>
      <c r="N281" s="259"/>
      <c r="O281" s="258" t="s">
        <v>2885</v>
      </c>
      <c r="P281" s="258" t="s">
        <v>2872</v>
      </c>
    </row>
    <row r="282" spans="2:16" ht="14.45" customHeight="1" x14ac:dyDescent="0.2">
      <c r="B282" s="360"/>
      <c r="C282" s="366"/>
      <c r="D282" s="403"/>
      <c r="E282" s="248" t="s">
        <v>1845</v>
      </c>
      <c r="F282" s="249" t="s">
        <v>3141</v>
      </c>
      <c r="G282" s="250" t="s">
        <v>3931</v>
      </c>
      <c r="H282" s="251" t="s">
        <v>3534</v>
      </c>
      <c r="I282" s="252" t="s">
        <v>2760</v>
      </c>
      <c r="J282" s="253">
        <v>338</v>
      </c>
      <c r="K282" s="254"/>
      <c r="L282" s="255"/>
      <c r="M282" s="256"/>
      <c r="N282" s="259"/>
      <c r="O282" s="258" t="s">
        <v>2885</v>
      </c>
      <c r="P282" s="258" t="s">
        <v>2872</v>
      </c>
    </row>
    <row r="283" spans="2:16" ht="14.45" customHeight="1" x14ac:dyDescent="0.2">
      <c r="B283" s="360"/>
      <c r="C283" s="366"/>
      <c r="D283" s="403"/>
      <c r="E283" s="248" t="s">
        <v>1845</v>
      </c>
      <c r="F283" s="249" t="s">
        <v>3142</v>
      </c>
      <c r="G283" s="250" t="s">
        <v>3932</v>
      </c>
      <c r="H283" s="251" t="s">
        <v>3535</v>
      </c>
      <c r="I283" s="252" t="s">
        <v>2760</v>
      </c>
      <c r="J283" s="253">
        <v>256</v>
      </c>
      <c r="K283" s="254"/>
      <c r="L283" s="255"/>
      <c r="M283" s="256"/>
      <c r="N283" s="259"/>
      <c r="O283" s="258" t="s">
        <v>2885</v>
      </c>
      <c r="P283" s="258" t="s">
        <v>2872</v>
      </c>
    </row>
    <row r="284" spans="2:16" ht="14.45" customHeight="1" x14ac:dyDescent="0.2">
      <c r="B284" s="360"/>
      <c r="C284" s="366"/>
      <c r="D284" s="402" t="s">
        <v>67</v>
      </c>
      <c r="E284" s="237" t="s">
        <v>7</v>
      </c>
      <c r="F284" s="238" t="s">
        <v>2565</v>
      </c>
      <c r="G284" s="239" t="s">
        <v>170</v>
      </c>
      <c r="H284" s="240" t="s">
        <v>2591</v>
      </c>
      <c r="I284" s="241" t="s">
        <v>335</v>
      </c>
      <c r="J284" s="242">
        <v>3087</v>
      </c>
      <c r="K284" s="243">
        <v>46115</v>
      </c>
      <c r="L284" s="244">
        <v>46137</v>
      </c>
      <c r="M284" s="245" t="s">
        <v>2946</v>
      </c>
      <c r="N284" s="246"/>
      <c r="O284" s="247" t="s">
        <v>2885</v>
      </c>
      <c r="P284" s="247" t="s">
        <v>2872</v>
      </c>
    </row>
    <row r="285" spans="2:16" ht="14.45" customHeight="1" x14ac:dyDescent="0.2">
      <c r="B285" s="360"/>
      <c r="C285" s="366"/>
      <c r="D285" s="403"/>
      <c r="E285" s="248" t="s">
        <v>2763</v>
      </c>
      <c r="F285" s="249" t="s">
        <v>2626</v>
      </c>
      <c r="G285" s="250" t="s">
        <v>2807</v>
      </c>
      <c r="H285" s="251" t="s">
        <v>2808</v>
      </c>
      <c r="I285" s="252" t="s">
        <v>408</v>
      </c>
      <c r="J285" s="253">
        <v>2907</v>
      </c>
      <c r="K285" s="254">
        <v>46178</v>
      </c>
      <c r="L285" s="255"/>
      <c r="M285" s="256" t="s">
        <v>2946</v>
      </c>
      <c r="N285" s="259"/>
      <c r="O285" s="258" t="s">
        <v>2885</v>
      </c>
      <c r="P285" s="258" t="s">
        <v>2872</v>
      </c>
    </row>
    <row r="286" spans="2:16" ht="14.45" customHeight="1" x14ac:dyDescent="0.2">
      <c r="B286" s="360"/>
      <c r="C286" s="366"/>
      <c r="D286" s="403"/>
      <c r="E286" s="248" t="s">
        <v>1845</v>
      </c>
      <c r="F286" s="249" t="s">
        <v>3143</v>
      </c>
      <c r="G286" s="250" t="s">
        <v>3933</v>
      </c>
      <c r="H286" s="251" t="s">
        <v>3536</v>
      </c>
      <c r="I286" s="252" t="s">
        <v>2760</v>
      </c>
      <c r="J286" s="253">
        <v>346</v>
      </c>
      <c r="K286" s="254"/>
      <c r="L286" s="255"/>
      <c r="M286" s="256"/>
      <c r="N286" s="259"/>
      <c r="O286" s="258" t="s">
        <v>2885</v>
      </c>
      <c r="P286" s="258" t="s">
        <v>2872</v>
      </c>
    </row>
    <row r="287" spans="2:16" ht="14.45" customHeight="1" x14ac:dyDescent="0.2">
      <c r="B287" s="360"/>
      <c r="C287" s="366"/>
      <c r="D287" s="403"/>
      <c r="E287" s="248" t="s">
        <v>1845</v>
      </c>
      <c r="F287" s="249" t="s">
        <v>3144</v>
      </c>
      <c r="G287" s="250" t="s">
        <v>3934</v>
      </c>
      <c r="H287" s="251" t="s">
        <v>3537</v>
      </c>
      <c r="I287" s="252" t="s">
        <v>2760</v>
      </c>
      <c r="J287" s="253">
        <v>198</v>
      </c>
      <c r="K287" s="254"/>
      <c r="L287" s="255"/>
      <c r="M287" s="256"/>
      <c r="N287" s="259"/>
      <c r="O287" s="258" t="s">
        <v>2885</v>
      </c>
      <c r="P287" s="258" t="s">
        <v>2872</v>
      </c>
    </row>
    <row r="288" spans="2:16" ht="14.45" customHeight="1" x14ac:dyDescent="0.2">
      <c r="B288" s="360"/>
      <c r="C288" s="366"/>
      <c r="D288" s="403"/>
      <c r="E288" s="248" t="s">
        <v>1845</v>
      </c>
      <c r="F288" s="249" t="s">
        <v>3145</v>
      </c>
      <c r="G288" s="250" t="s">
        <v>3935</v>
      </c>
      <c r="H288" s="251" t="s">
        <v>3538</v>
      </c>
      <c r="I288" s="252" t="s">
        <v>2760</v>
      </c>
      <c r="J288" s="253">
        <v>539</v>
      </c>
      <c r="K288" s="254"/>
      <c r="L288" s="255"/>
      <c r="M288" s="256"/>
      <c r="N288" s="259"/>
      <c r="O288" s="258" t="s">
        <v>2885</v>
      </c>
      <c r="P288" s="258" t="s">
        <v>2872</v>
      </c>
    </row>
    <row r="289" spans="2:16" ht="14.45" customHeight="1" x14ac:dyDescent="0.2">
      <c r="B289" s="360"/>
      <c r="C289" s="366"/>
      <c r="D289" s="403"/>
      <c r="E289" s="248" t="s">
        <v>1845</v>
      </c>
      <c r="F289" s="249" t="s">
        <v>3146</v>
      </c>
      <c r="G289" s="250" t="s">
        <v>3936</v>
      </c>
      <c r="H289" s="251" t="s">
        <v>3539</v>
      </c>
      <c r="I289" s="252" t="s">
        <v>2760</v>
      </c>
      <c r="J289" s="253">
        <v>536</v>
      </c>
      <c r="K289" s="254"/>
      <c r="L289" s="255"/>
      <c r="M289" s="256"/>
      <c r="N289" s="259"/>
      <c r="O289" s="258" t="s">
        <v>2885</v>
      </c>
      <c r="P289" s="258" t="s">
        <v>2872</v>
      </c>
    </row>
    <row r="290" spans="2:16" ht="14.45" customHeight="1" x14ac:dyDescent="0.2">
      <c r="B290" s="360"/>
      <c r="C290" s="366"/>
      <c r="D290" s="403"/>
      <c r="E290" s="248" t="s">
        <v>1845</v>
      </c>
      <c r="F290" s="249" t="s">
        <v>3147</v>
      </c>
      <c r="G290" s="250" t="s">
        <v>3937</v>
      </c>
      <c r="H290" s="251" t="s">
        <v>3540</v>
      </c>
      <c r="I290" s="252" t="s">
        <v>2760</v>
      </c>
      <c r="J290" s="253">
        <v>727</v>
      </c>
      <c r="K290" s="254"/>
      <c r="L290" s="255"/>
      <c r="M290" s="256"/>
      <c r="N290" s="259"/>
      <c r="O290" s="258" t="s">
        <v>2885</v>
      </c>
      <c r="P290" s="258" t="s">
        <v>2872</v>
      </c>
    </row>
    <row r="291" spans="2:16" ht="14.45" customHeight="1" x14ac:dyDescent="0.2">
      <c r="B291" s="360"/>
      <c r="C291" s="366"/>
      <c r="D291" s="403"/>
      <c r="E291" s="248" t="s">
        <v>1845</v>
      </c>
      <c r="F291" s="249" t="s">
        <v>3148</v>
      </c>
      <c r="G291" s="250" t="s">
        <v>3938</v>
      </c>
      <c r="H291" s="251" t="s">
        <v>3541</v>
      </c>
      <c r="I291" s="252" t="s">
        <v>2760</v>
      </c>
      <c r="J291" s="253">
        <v>501</v>
      </c>
      <c r="K291" s="254"/>
      <c r="L291" s="255"/>
      <c r="M291" s="256"/>
      <c r="N291" s="259"/>
      <c r="O291" s="258" t="s">
        <v>2885</v>
      </c>
      <c r="P291" s="258" t="s">
        <v>2872</v>
      </c>
    </row>
    <row r="292" spans="2:16" ht="14.45" customHeight="1" thickBot="1" x14ac:dyDescent="0.25">
      <c r="B292" s="361"/>
      <c r="C292" s="367"/>
      <c r="D292" s="406"/>
      <c r="E292" s="304" t="s">
        <v>1845</v>
      </c>
      <c r="F292" s="305" t="s">
        <v>3149</v>
      </c>
      <c r="G292" s="306" t="s">
        <v>3939</v>
      </c>
      <c r="H292" s="307" t="s">
        <v>3542</v>
      </c>
      <c r="I292" s="308" t="s">
        <v>2760</v>
      </c>
      <c r="J292" s="309">
        <v>444</v>
      </c>
      <c r="K292" s="310"/>
      <c r="L292" s="311"/>
      <c r="M292" s="312"/>
      <c r="N292" s="313"/>
      <c r="O292" s="314" t="s">
        <v>2885</v>
      </c>
      <c r="P292" s="314" t="s">
        <v>2872</v>
      </c>
    </row>
    <row r="293" spans="2:16" ht="14.45" customHeight="1" x14ac:dyDescent="0.2">
      <c r="B293" s="359" t="s">
        <v>1688</v>
      </c>
      <c r="C293" s="366" t="s">
        <v>1695</v>
      </c>
      <c r="D293" s="234" t="s">
        <v>69</v>
      </c>
      <c r="E293" s="235" t="s">
        <v>7</v>
      </c>
      <c r="F293" s="315" t="s">
        <v>129</v>
      </c>
      <c r="G293" s="316" t="s">
        <v>171</v>
      </c>
      <c r="H293" s="196" t="s">
        <v>2534</v>
      </c>
      <c r="I293" s="197" t="s">
        <v>336</v>
      </c>
      <c r="J293" s="198">
        <v>3094</v>
      </c>
      <c r="K293" s="199">
        <v>46115</v>
      </c>
      <c r="L293" s="200">
        <v>46142</v>
      </c>
      <c r="M293" s="201" t="s">
        <v>2946</v>
      </c>
      <c r="N293" s="236"/>
      <c r="O293" s="202" t="s">
        <v>2886</v>
      </c>
      <c r="P293" s="202" t="s">
        <v>2875</v>
      </c>
    </row>
    <row r="294" spans="2:16" ht="14.45" customHeight="1" x14ac:dyDescent="0.2">
      <c r="B294" s="360"/>
      <c r="C294" s="366"/>
      <c r="D294" s="402" t="s">
        <v>71</v>
      </c>
      <c r="E294" s="237" t="s">
        <v>7</v>
      </c>
      <c r="F294" s="238" t="s">
        <v>129</v>
      </c>
      <c r="G294" s="239" t="s">
        <v>172</v>
      </c>
      <c r="H294" s="240" t="s">
        <v>2535</v>
      </c>
      <c r="I294" s="241" t="s">
        <v>337</v>
      </c>
      <c r="J294" s="242">
        <v>3183</v>
      </c>
      <c r="K294" s="243">
        <v>46115</v>
      </c>
      <c r="L294" s="244">
        <v>46142</v>
      </c>
      <c r="M294" s="245" t="s">
        <v>2946</v>
      </c>
      <c r="N294" s="246"/>
      <c r="O294" s="247" t="s">
        <v>2886</v>
      </c>
      <c r="P294" s="247" t="s">
        <v>2874</v>
      </c>
    </row>
    <row r="295" spans="2:16" ht="14.45" customHeight="1" x14ac:dyDescent="0.2">
      <c r="B295" s="360"/>
      <c r="C295" s="366"/>
      <c r="D295" s="403"/>
      <c r="E295" s="248" t="s">
        <v>1845</v>
      </c>
      <c r="F295" s="249" t="s">
        <v>3150</v>
      </c>
      <c r="G295" s="250" t="s">
        <v>3940</v>
      </c>
      <c r="H295" s="251" t="s">
        <v>3543</v>
      </c>
      <c r="I295" s="252" t="s">
        <v>2760</v>
      </c>
      <c r="J295" s="253">
        <v>377</v>
      </c>
      <c r="K295" s="254"/>
      <c r="L295" s="255"/>
      <c r="M295" s="256"/>
      <c r="N295" s="259"/>
      <c r="O295" s="258" t="s">
        <v>2886</v>
      </c>
      <c r="P295" s="258" t="s">
        <v>2874</v>
      </c>
    </row>
    <row r="296" spans="2:16" ht="14.45" customHeight="1" thickBot="1" x14ac:dyDescent="0.25">
      <c r="B296" s="360"/>
      <c r="C296" s="367"/>
      <c r="D296" s="406"/>
      <c r="E296" s="282" t="s">
        <v>1845</v>
      </c>
      <c r="F296" s="283" t="s">
        <v>3151</v>
      </c>
      <c r="G296" s="284" t="s">
        <v>3941</v>
      </c>
      <c r="H296" s="285" t="s">
        <v>3544</v>
      </c>
      <c r="I296" s="286" t="s">
        <v>2760</v>
      </c>
      <c r="J296" s="287">
        <v>357</v>
      </c>
      <c r="K296" s="288"/>
      <c r="L296" s="289"/>
      <c r="M296" s="290"/>
      <c r="N296" s="303"/>
      <c r="O296" s="291" t="s">
        <v>2886</v>
      </c>
      <c r="P296" s="291" t="s">
        <v>2874</v>
      </c>
    </row>
    <row r="297" spans="2:16" ht="14.45" customHeight="1" x14ac:dyDescent="0.2">
      <c r="B297" s="360"/>
      <c r="C297" s="365" t="s">
        <v>1696</v>
      </c>
      <c r="D297" s="404" t="s">
        <v>73</v>
      </c>
      <c r="E297" s="271" t="s">
        <v>7</v>
      </c>
      <c r="F297" s="272" t="s">
        <v>203</v>
      </c>
      <c r="G297" s="273" t="s">
        <v>173</v>
      </c>
      <c r="H297" s="274" t="s">
        <v>2536</v>
      </c>
      <c r="I297" s="275" t="s">
        <v>338</v>
      </c>
      <c r="J297" s="276">
        <v>3160</v>
      </c>
      <c r="K297" s="277">
        <v>46121</v>
      </c>
      <c r="L297" s="278">
        <v>46142</v>
      </c>
      <c r="M297" s="279" t="s">
        <v>2946</v>
      </c>
      <c r="N297" s="280"/>
      <c r="O297" s="281" t="s">
        <v>2886</v>
      </c>
      <c r="P297" s="281" t="s">
        <v>2894</v>
      </c>
    </row>
    <row r="298" spans="2:16" ht="14.45" customHeight="1" x14ac:dyDescent="0.2">
      <c r="B298" s="360"/>
      <c r="C298" s="366"/>
      <c r="D298" s="403"/>
      <c r="E298" s="248" t="s">
        <v>2763</v>
      </c>
      <c r="F298" s="249" t="s">
        <v>237</v>
      </c>
      <c r="G298" s="250" t="s">
        <v>2830</v>
      </c>
      <c r="H298" s="251" t="s">
        <v>2831</v>
      </c>
      <c r="I298" s="252" t="s">
        <v>416</v>
      </c>
      <c r="J298" s="253">
        <v>1968</v>
      </c>
      <c r="K298" s="254">
        <v>46185</v>
      </c>
      <c r="L298" s="255"/>
      <c r="M298" s="256" t="s">
        <v>2946</v>
      </c>
      <c r="N298" s="259"/>
      <c r="O298" s="258" t="s">
        <v>2886</v>
      </c>
      <c r="P298" s="258" t="s">
        <v>2893</v>
      </c>
    </row>
    <row r="299" spans="2:16" ht="14.45" customHeight="1" x14ac:dyDescent="0.2">
      <c r="B299" s="360"/>
      <c r="C299" s="366"/>
      <c r="D299" s="403"/>
      <c r="E299" s="248" t="s">
        <v>2763</v>
      </c>
      <c r="F299" s="249" t="s">
        <v>2629</v>
      </c>
      <c r="G299" s="250" t="s">
        <v>2833</v>
      </c>
      <c r="H299" s="251" t="s">
        <v>2834</v>
      </c>
      <c r="I299" s="252" t="s">
        <v>417</v>
      </c>
      <c r="J299" s="253">
        <v>2018</v>
      </c>
      <c r="K299" s="254">
        <v>46185</v>
      </c>
      <c r="L299" s="255"/>
      <c r="M299" s="256" t="s">
        <v>2946</v>
      </c>
      <c r="N299" s="259"/>
      <c r="O299" s="258" t="s">
        <v>2886</v>
      </c>
      <c r="P299" s="258" t="s">
        <v>2893</v>
      </c>
    </row>
    <row r="300" spans="2:16" ht="14.45" customHeight="1" x14ac:dyDescent="0.2">
      <c r="B300" s="360"/>
      <c r="C300" s="366"/>
      <c r="D300" s="403"/>
      <c r="E300" s="248" t="s">
        <v>2763</v>
      </c>
      <c r="F300" s="249" t="s">
        <v>238</v>
      </c>
      <c r="G300" s="250" t="s">
        <v>2802</v>
      </c>
      <c r="H300" s="251" t="s">
        <v>2803</v>
      </c>
      <c r="I300" s="252" t="s">
        <v>418</v>
      </c>
      <c r="J300" s="253">
        <v>2084</v>
      </c>
      <c r="K300" s="254">
        <v>46185</v>
      </c>
      <c r="L300" s="255"/>
      <c r="M300" s="256" t="s">
        <v>2946</v>
      </c>
      <c r="N300" s="259"/>
      <c r="O300" s="258" t="s">
        <v>2886</v>
      </c>
      <c r="P300" s="258" t="s">
        <v>2893</v>
      </c>
    </row>
    <row r="301" spans="2:16" ht="14.45" customHeight="1" x14ac:dyDescent="0.2">
      <c r="B301" s="360"/>
      <c r="C301" s="366"/>
      <c r="D301" s="403"/>
      <c r="E301" s="248" t="s">
        <v>1845</v>
      </c>
      <c r="F301" s="249" t="s">
        <v>3152</v>
      </c>
      <c r="G301" s="250" t="s">
        <v>3942</v>
      </c>
      <c r="H301" s="251" t="s">
        <v>3545</v>
      </c>
      <c r="I301" s="252" t="s">
        <v>2760</v>
      </c>
      <c r="J301" s="253">
        <v>397</v>
      </c>
      <c r="K301" s="254"/>
      <c r="L301" s="255"/>
      <c r="M301" s="256"/>
      <c r="N301" s="259"/>
      <c r="O301" s="258" t="s">
        <v>2886</v>
      </c>
      <c r="P301" s="258" t="s">
        <v>2893</v>
      </c>
    </row>
    <row r="302" spans="2:16" ht="14.45" customHeight="1" x14ac:dyDescent="0.2">
      <c r="B302" s="360"/>
      <c r="C302" s="366"/>
      <c r="D302" s="403"/>
      <c r="E302" s="248" t="s">
        <v>1845</v>
      </c>
      <c r="F302" s="249" t="s">
        <v>3153</v>
      </c>
      <c r="G302" s="250" t="s">
        <v>3943</v>
      </c>
      <c r="H302" s="251" t="s">
        <v>3546</v>
      </c>
      <c r="I302" s="252" t="s">
        <v>2760</v>
      </c>
      <c r="J302" s="253">
        <v>220</v>
      </c>
      <c r="K302" s="254"/>
      <c r="L302" s="255"/>
      <c r="M302" s="256"/>
      <c r="N302" s="259"/>
      <c r="O302" s="258" t="s">
        <v>2886</v>
      </c>
      <c r="P302" s="258" t="s">
        <v>2893</v>
      </c>
    </row>
    <row r="303" spans="2:16" ht="14.45" customHeight="1" x14ac:dyDescent="0.2">
      <c r="B303" s="360"/>
      <c r="C303" s="366"/>
      <c r="D303" s="403"/>
      <c r="E303" s="248" t="s">
        <v>1845</v>
      </c>
      <c r="F303" s="249" t="s">
        <v>3154</v>
      </c>
      <c r="G303" s="250" t="s">
        <v>3944</v>
      </c>
      <c r="H303" s="251" t="s">
        <v>3547</v>
      </c>
      <c r="I303" s="252" t="s">
        <v>2760</v>
      </c>
      <c r="J303" s="253">
        <v>152</v>
      </c>
      <c r="K303" s="254"/>
      <c r="L303" s="255"/>
      <c r="M303" s="256"/>
      <c r="N303" s="259"/>
      <c r="O303" s="258" t="s">
        <v>2886</v>
      </c>
      <c r="P303" s="258" t="s">
        <v>2893</v>
      </c>
    </row>
    <row r="304" spans="2:16" ht="14.45" customHeight="1" x14ac:dyDescent="0.2">
      <c r="B304" s="360"/>
      <c r="C304" s="366"/>
      <c r="D304" s="403"/>
      <c r="E304" s="248" t="s">
        <v>1845</v>
      </c>
      <c r="F304" s="249" t="s">
        <v>3155</v>
      </c>
      <c r="G304" s="250" t="s">
        <v>3945</v>
      </c>
      <c r="H304" s="251" t="s">
        <v>3548</v>
      </c>
      <c r="I304" s="252" t="s">
        <v>2760</v>
      </c>
      <c r="J304" s="253">
        <v>213</v>
      </c>
      <c r="K304" s="254"/>
      <c r="L304" s="255"/>
      <c r="M304" s="256"/>
      <c r="N304" s="259"/>
      <c r="O304" s="258" t="s">
        <v>2886</v>
      </c>
      <c r="P304" s="258" t="s">
        <v>2893</v>
      </c>
    </row>
    <row r="305" spans="2:16" ht="14.45" customHeight="1" x14ac:dyDescent="0.2">
      <c r="B305" s="360"/>
      <c r="C305" s="366"/>
      <c r="D305" s="403"/>
      <c r="E305" s="248" t="s">
        <v>1845</v>
      </c>
      <c r="F305" s="249" t="s">
        <v>3156</v>
      </c>
      <c r="G305" s="250" t="s">
        <v>3946</v>
      </c>
      <c r="H305" s="251" t="s">
        <v>3549</v>
      </c>
      <c r="I305" s="252" t="s">
        <v>2760</v>
      </c>
      <c r="J305" s="253">
        <v>308</v>
      </c>
      <c r="K305" s="254"/>
      <c r="L305" s="255"/>
      <c r="M305" s="256"/>
      <c r="N305" s="259"/>
      <c r="O305" s="258" t="s">
        <v>2886</v>
      </c>
      <c r="P305" s="258" t="s">
        <v>2893</v>
      </c>
    </row>
    <row r="306" spans="2:16" ht="14.45" customHeight="1" x14ac:dyDescent="0.2">
      <c r="B306" s="360"/>
      <c r="C306" s="366"/>
      <c r="D306" s="403"/>
      <c r="E306" s="248" t="s">
        <v>1845</v>
      </c>
      <c r="F306" s="249" t="s">
        <v>3157</v>
      </c>
      <c r="G306" s="250" t="s">
        <v>3947</v>
      </c>
      <c r="H306" s="251" t="s">
        <v>3550</v>
      </c>
      <c r="I306" s="252" t="s">
        <v>2760</v>
      </c>
      <c r="J306" s="253">
        <v>191</v>
      </c>
      <c r="K306" s="254"/>
      <c r="L306" s="255"/>
      <c r="M306" s="256"/>
      <c r="N306" s="259"/>
      <c r="O306" s="258" t="s">
        <v>2886</v>
      </c>
      <c r="P306" s="258" t="s">
        <v>2893</v>
      </c>
    </row>
    <row r="307" spans="2:16" ht="14.45" customHeight="1" x14ac:dyDescent="0.2">
      <c r="B307" s="360"/>
      <c r="C307" s="366"/>
      <c r="D307" s="403"/>
      <c r="E307" s="248" t="s">
        <v>1845</v>
      </c>
      <c r="F307" s="249" t="s">
        <v>3158</v>
      </c>
      <c r="G307" s="250" t="s">
        <v>3948</v>
      </c>
      <c r="H307" s="251" t="s">
        <v>3551</v>
      </c>
      <c r="I307" s="252" t="s">
        <v>2760</v>
      </c>
      <c r="J307" s="253">
        <v>194</v>
      </c>
      <c r="K307" s="254"/>
      <c r="L307" s="255"/>
      <c r="M307" s="256"/>
      <c r="N307" s="259"/>
      <c r="O307" s="258" t="s">
        <v>2886</v>
      </c>
      <c r="P307" s="258" t="s">
        <v>2893</v>
      </c>
    </row>
    <row r="308" spans="2:16" ht="14.45" customHeight="1" x14ac:dyDescent="0.2">
      <c r="B308" s="360"/>
      <c r="C308" s="366"/>
      <c r="D308" s="403"/>
      <c r="E308" s="248" t="s">
        <v>1845</v>
      </c>
      <c r="F308" s="249" t="s">
        <v>3159</v>
      </c>
      <c r="G308" s="250" t="s">
        <v>3949</v>
      </c>
      <c r="H308" s="251" t="s">
        <v>3552</v>
      </c>
      <c r="I308" s="252" t="s">
        <v>2760</v>
      </c>
      <c r="J308" s="253">
        <v>188</v>
      </c>
      <c r="K308" s="254"/>
      <c r="L308" s="255"/>
      <c r="M308" s="256"/>
      <c r="N308" s="259"/>
      <c r="O308" s="258" t="s">
        <v>2886</v>
      </c>
      <c r="P308" s="258" t="s">
        <v>2893</v>
      </c>
    </row>
    <row r="309" spans="2:16" ht="14.45" customHeight="1" x14ac:dyDescent="0.2">
      <c r="B309" s="360"/>
      <c r="C309" s="366"/>
      <c r="D309" s="403"/>
      <c r="E309" s="248" t="s">
        <v>1845</v>
      </c>
      <c r="F309" s="249" t="s">
        <v>3160</v>
      </c>
      <c r="G309" s="250" t="s">
        <v>3950</v>
      </c>
      <c r="H309" s="251" t="s">
        <v>3553</v>
      </c>
      <c r="I309" s="252" t="s">
        <v>2760</v>
      </c>
      <c r="J309" s="253">
        <v>305</v>
      </c>
      <c r="K309" s="254"/>
      <c r="L309" s="255"/>
      <c r="M309" s="256"/>
      <c r="N309" s="259"/>
      <c r="O309" s="258" t="s">
        <v>2886</v>
      </c>
      <c r="P309" s="258" t="s">
        <v>2893</v>
      </c>
    </row>
    <row r="310" spans="2:16" ht="14.45" customHeight="1" x14ac:dyDescent="0.2">
      <c r="B310" s="360"/>
      <c r="C310" s="366"/>
      <c r="D310" s="403"/>
      <c r="E310" s="248" t="s">
        <v>1845</v>
      </c>
      <c r="F310" s="249" t="s">
        <v>3161</v>
      </c>
      <c r="G310" s="250" t="s">
        <v>3951</v>
      </c>
      <c r="H310" s="251" t="s">
        <v>3554</v>
      </c>
      <c r="I310" s="252" t="s">
        <v>2760</v>
      </c>
      <c r="J310" s="253">
        <v>215</v>
      </c>
      <c r="K310" s="254"/>
      <c r="L310" s="255"/>
      <c r="M310" s="256"/>
      <c r="N310" s="259"/>
      <c r="O310" s="258" t="s">
        <v>2886</v>
      </c>
      <c r="P310" s="258" t="s">
        <v>2893</v>
      </c>
    </row>
    <row r="311" spans="2:16" ht="14.45" customHeight="1" x14ac:dyDescent="0.2">
      <c r="B311" s="360"/>
      <c r="C311" s="366"/>
      <c r="D311" s="403"/>
      <c r="E311" s="248" t="s">
        <v>1845</v>
      </c>
      <c r="F311" s="249" t="s">
        <v>3162</v>
      </c>
      <c r="G311" s="250" t="s">
        <v>3952</v>
      </c>
      <c r="H311" s="251" t="s">
        <v>3555</v>
      </c>
      <c r="I311" s="252" t="s">
        <v>2760</v>
      </c>
      <c r="J311" s="253">
        <v>237</v>
      </c>
      <c r="K311" s="254"/>
      <c r="L311" s="255"/>
      <c r="M311" s="256"/>
      <c r="N311" s="259"/>
      <c r="O311" s="258" t="s">
        <v>2886</v>
      </c>
      <c r="P311" s="258" t="s">
        <v>2893</v>
      </c>
    </row>
    <row r="312" spans="2:16" ht="14.45" customHeight="1" x14ac:dyDescent="0.2">
      <c r="B312" s="360"/>
      <c r="C312" s="366"/>
      <c r="D312" s="403"/>
      <c r="E312" s="248" t="s">
        <v>1845</v>
      </c>
      <c r="F312" s="249" t="s">
        <v>3163</v>
      </c>
      <c r="G312" s="250" t="s">
        <v>3953</v>
      </c>
      <c r="H312" s="251" t="s">
        <v>3556</v>
      </c>
      <c r="I312" s="252" t="s">
        <v>2760</v>
      </c>
      <c r="J312" s="253">
        <v>392</v>
      </c>
      <c r="K312" s="254"/>
      <c r="L312" s="255"/>
      <c r="M312" s="256"/>
      <c r="N312" s="259"/>
      <c r="O312" s="258" t="s">
        <v>2886</v>
      </c>
      <c r="P312" s="258" t="s">
        <v>2893</v>
      </c>
    </row>
    <row r="313" spans="2:16" ht="14.45" customHeight="1" x14ac:dyDescent="0.2">
      <c r="B313" s="360"/>
      <c r="C313" s="366"/>
      <c r="D313" s="403"/>
      <c r="E313" s="248" t="s">
        <v>1845</v>
      </c>
      <c r="F313" s="249" t="s">
        <v>3164</v>
      </c>
      <c r="G313" s="250" t="s">
        <v>3954</v>
      </c>
      <c r="H313" s="251" t="s">
        <v>3557</v>
      </c>
      <c r="I313" s="252" t="s">
        <v>2760</v>
      </c>
      <c r="J313" s="253">
        <v>334</v>
      </c>
      <c r="K313" s="254"/>
      <c r="L313" s="255"/>
      <c r="M313" s="256"/>
      <c r="N313" s="259"/>
      <c r="O313" s="258" t="s">
        <v>2886</v>
      </c>
      <c r="P313" s="258" t="s">
        <v>2893</v>
      </c>
    </row>
    <row r="314" spans="2:16" ht="14.45" customHeight="1" x14ac:dyDescent="0.2">
      <c r="B314" s="360"/>
      <c r="C314" s="366"/>
      <c r="D314" s="403"/>
      <c r="E314" s="248" t="s">
        <v>1845</v>
      </c>
      <c r="F314" s="249" t="s">
        <v>3165</v>
      </c>
      <c r="G314" s="250" t="s">
        <v>3955</v>
      </c>
      <c r="H314" s="251" t="s">
        <v>3558</v>
      </c>
      <c r="I314" s="252" t="s">
        <v>2760</v>
      </c>
      <c r="J314" s="253">
        <v>592</v>
      </c>
      <c r="K314" s="254"/>
      <c r="L314" s="255"/>
      <c r="M314" s="256"/>
      <c r="N314" s="259"/>
      <c r="O314" s="258" t="s">
        <v>2886</v>
      </c>
      <c r="P314" s="258" t="s">
        <v>2893</v>
      </c>
    </row>
    <row r="315" spans="2:16" ht="14.45" customHeight="1" x14ac:dyDescent="0.2">
      <c r="B315" s="360"/>
      <c r="C315" s="366"/>
      <c r="D315" s="403"/>
      <c r="E315" s="248" t="s">
        <v>1845</v>
      </c>
      <c r="F315" s="249" t="s">
        <v>3166</v>
      </c>
      <c r="G315" s="250" t="s">
        <v>3956</v>
      </c>
      <c r="H315" s="251" t="s">
        <v>3559</v>
      </c>
      <c r="I315" s="252" t="s">
        <v>2760</v>
      </c>
      <c r="J315" s="253">
        <v>194</v>
      </c>
      <c r="K315" s="254"/>
      <c r="L315" s="255"/>
      <c r="M315" s="256"/>
      <c r="N315" s="259"/>
      <c r="O315" s="258" t="s">
        <v>2886</v>
      </c>
      <c r="P315" s="258" t="s">
        <v>2893</v>
      </c>
    </row>
    <row r="316" spans="2:16" ht="14.45" customHeight="1" x14ac:dyDescent="0.2">
      <c r="B316" s="360"/>
      <c r="C316" s="366"/>
      <c r="D316" s="403"/>
      <c r="E316" s="248" t="s">
        <v>1845</v>
      </c>
      <c r="F316" s="249" t="s">
        <v>2951</v>
      </c>
      <c r="G316" s="250" t="s">
        <v>3957</v>
      </c>
      <c r="H316" s="251" t="s">
        <v>3560</v>
      </c>
      <c r="I316" s="252" t="s">
        <v>2760</v>
      </c>
      <c r="J316" s="253">
        <v>284</v>
      </c>
      <c r="K316" s="254"/>
      <c r="L316" s="255"/>
      <c r="M316" s="256"/>
      <c r="N316" s="259"/>
      <c r="O316" s="258" t="s">
        <v>2886</v>
      </c>
      <c r="P316" s="258" t="s">
        <v>2893</v>
      </c>
    </row>
    <row r="317" spans="2:16" ht="14.45" customHeight="1" x14ac:dyDescent="0.2">
      <c r="B317" s="360"/>
      <c r="C317" s="366"/>
      <c r="D317" s="403"/>
      <c r="E317" s="248" t="s">
        <v>1845</v>
      </c>
      <c r="F317" s="249" t="s">
        <v>3167</v>
      </c>
      <c r="G317" s="250" t="s">
        <v>3958</v>
      </c>
      <c r="H317" s="251" t="s">
        <v>3561</v>
      </c>
      <c r="I317" s="252" t="s">
        <v>2760</v>
      </c>
      <c r="J317" s="253">
        <v>236</v>
      </c>
      <c r="K317" s="254"/>
      <c r="L317" s="255"/>
      <c r="M317" s="256"/>
      <c r="N317" s="259"/>
      <c r="O317" s="258" t="s">
        <v>2886</v>
      </c>
      <c r="P317" s="258" t="s">
        <v>2893</v>
      </c>
    </row>
    <row r="318" spans="2:16" ht="14.45" customHeight="1" x14ac:dyDescent="0.2">
      <c r="B318" s="360"/>
      <c r="C318" s="366"/>
      <c r="D318" s="402" t="s">
        <v>75</v>
      </c>
      <c r="E318" s="237" t="s">
        <v>7</v>
      </c>
      <c r="F318" s="238" t="s">
        <v>203</v>
      </c>
      <c r="G318" s="239" t="s">
        <v>277</v>
      </c>
      <c r="H318" s="240" t="s">
        <v>2537</v>
      </c>
      <c r="I318" s="241" t="s">
        <v>339</v>
      </c>
      <c r="J318" s="242">
        <v>2719</v>
      </c>
      <c r="K318" s="243">
        <v>46121</v>
      </c>
      <c r="L318" s="244">
        <v>46142</v>
      </c>
      <c r="M318" s="245" t="s">
        <v>2946</v>
      </c>
      <c r="N318" s="246"/>
      <c r="O318" s="247" t="s">
        <v>2886</v>
      </c>
      <c r="P318" s="247" t="s">
        <v>2893</v>
      </c>
    </row>
    <row r="319" spans="2:16" ht="14.45" customHeight="1" x14ac:dyDescent="0.2">
      <c r="B319" s="360"/>
      <c r="C319" s="366"/>
      <c r="D319" s="403"/>
      <c r="E319" s="248" t="s">
        <v>2764</v>
      </c>
      <c r="F319" s="249" t="s">
        <v>2661</v>
      </c>
      <c r="G319" s="250" t="s">
        <v>278</v>
      </c>
      <c r="H319" s="251" t="s">
        <v>2486</v>
      </c>
      <c r="I319" s="252" t="s">
        <v>419</v>
      </c>
      <c r="J319" s="253">
        <v>2487</v>
      </c>
      <c r="K319" s="254">
        <v>46185</v>
      </c>
      <c r="L319" s="255"/>
      <c r="M319" s="256" t="s">
        <v>2946</v>
      </c>
      <c r="N319" s="259"/>
      <c r="O319" s="258" t="s">
        <v>2886</v>
      </c>
      <c r="P319" s="258" t="s">
        <v>2893</v>
      </c>
    </row>
    <row r="320" spans="2:16" ht="14.45" customHeight="1" x14ac:dyDescent="0.2">
      <c r="B320" s="360"/>
      <c r="C320" s="366"/>
      <c r="D320" s="403"/>
      <c r="E320" s="248" t="s">
        <v>2764</v>
      </c>
      <c r="F320" s="249" t="s">
        <v>2662</v>
      </c>
      <c r="G320" s="250" t="s">
        <v>279</v>
      </c>
      <c r="H320" s="251" t="s">
        <v>2487</v>
      </c>
      <c r="I320" s="252" t="s">
        <v>420</v>
      </c>
      <c r="J320" s="253">
        <v>2562</v>
      </c>
      <c r="K320" s="254">
        <v>46185</v>
      </c>
      <c r="L320" s="255"/>
      <c r="M320" s="256" t="s">
        <v>2946</v>
      </c>
      <c r="N320" s="259"/>
      <c r="O320" s="258" t="s">
        <v>2886</v>
      </c>
      <c r="P320" s="258" t="s">
        <v>2893</v>
      </c>
    </row>
    <row r="321" spans="2:16" ht="14.45" customHeight="1" x14ac:dyDescent="0.2">
      <c r="B321" s="360"/>
      <c r="C321" s="366"/>
      <c r="D321" s="403"/>
      <c r="E321" s="248" t="s">
        <v>1845</v>
      </c>
      <c r="F321" s="249" t="s">
        <v>3168</v>
      </c>
      <c r="G321" s="250" t="s">
        <v>3959</v>
      </c>
      <c r="H321" s="251" t="s">
        <v>3562</v>
      </c>
      <c r="I321" s="252" t="s">
        <v>2760</v>
      </c>
      <c r="J321" s="253">
        <v>231</v>
      </c>
      <c r="K321" s="254"/>
      <c r="L321" s="255"/>
      <c r="M321" s="256"/>
      <c r="N321" s="259"/>
      <c r="O321" s="258" t="s">
        <v>2886</v>
      </c>
      <c r="P321" s="258" t="s">
        <v>2893</v>
      </c>
    </row>
    <row r="322" spans="2:16" ht="14.45" customHeight="1" x14ac:dyDescent="0.2">
      <c r="B322" s="360"/>
      <c r="C322" s="366"/>
      <c r="D322" s="405"/>
      <c r="E322" s="282" t="s">
        <v>1845</v>
      </c>
      <c r="F322" s="283" t="s">
        <v>3169</v>
      </c>
      <c r="G322" s="284" t="s">
        <v>3960</v>
      </c>
      <c r="H322" s="285" t="s">
        <v>3563</v>
      </c>
      <c r="I322" s="286" t="s">
        <v>2760</v>
      </c>
      <c r="J322" s="287">
        <v>313</v>
      </c>
      <c r="K322" s="288"/>
      <c r="L322" s="289"/>
      <c r="M322" s="290"/>
      <c r="N322" s="303"/>
      <c r="O322" s="291" t="s">
        <v>2886</v>
      </c>
      <c r="P322" s="291" t="s">
        <v>2893</v>
      </c>
    </row>
    <row r="323" spans="2:16" ht="14.45" customHeight="1" x14ac:dyDescent="0.2">
      <c r="B323" s="360"/>
      <c r="C323" s="366"/>
      <c r="D323" s="402" t="s">
        <v>77</v>
      </c>
      <c r="E323" s="237" t="s">
        <v>7</v>
      </c>
      <c r="F323" s="238" t="s">
        <v>203</v>
      </c>
      <c r="G323" s="239" t="s">
        <v>174</v>
      </c>
      <c r="H323" s="240" t="s">
        <v>2538</v>
      </c>
      <c r="I323" s="241" t="s">
        <v>340</v>
      </c>
      <c r="J323" s="242">
        <v>4147</v>
      </c>
      <c r="K323" s="243">
        <v>46121</v>
      </c>
      <c r="L323" s="244">
        <v>46142</v>
      </c>
      <c r="M323" s="245" t="s">
        <v>2945</v>
      </c>
      <c r="N323" s="246"/>
      <c r="O323" s="247" t="s">
        <v>2886</v>
      </c>
      <c r="P323" s="247" t="s">
        <v>2893</v>
      </c>
    </row>
    <row r="324" spans="2:16" ht="14.45" customHeight="1" x14ac:dyDescent="0.2">
      <c r="B324" s="360"/>
      <c r="C324" s="366"/>
      <c r="D324" s="403"/>
      <c r="E324" s="248" t="s">
        <v>2763</v>
      </c>
      <c r="F324" s="249" t="s">
        <v>2630</v>
      </c>
      <c r="G324" s="250" t="s">
        <v>2805</v>
      </c>
      <c r="H324" s="251" t="s">
        <v>2806</v>
      </c>
      <c r="I324" s="252" t="s">
        <v>421</v>
      </c>
      <c r="J324" s="253">
        <v>1990</v>
      </c>
      <c r="K324" s="254">
        <v>46185</v>
      </c>
      <c r="L324" s="255"/>
      <c r="M324" s="256" t="s">
        <v>2945</v>
      </c>
      <c r="N324" s="259"/>
      <c r="O324" s="258" t="s">
        <v>2886</v>
      </c>
      <c r="P324" s="258" t="s">
        <v>2893</v>
      </c>
    </row>
    <row r="325" spans="2:16" ht="14.45" customHeight="1" x14ac:dyDescent="0.2">
      <c r="B325" s="360"/>
      <c r="C325" s="366"/>
      <c r="D325" s="403"/>
      <c r="E325" s="248" t="s">
        <v>1845</v>
      </c>
      <c r="F325" s="249" t="s">
        <v>3170</v>
      </c>
      <c r="G325" s="250" t="s">
        <v>3961</v>
      </c>
      <c r="H325" s="251" t="s">
        <v>3564</v>
      </c>
      <c r="I325" s="252" t="s">
        <v>2760</v>
      </c>
      <c r="J325" s="253">
        <v>178</v>
      </c>
      <c r="K325" s="254"/>
      <c r="L325" s="255"/>
      <c r="M325" s="256"/>
      <c r="N325" s="259"/>
      <c r="O325" s="258" t="s">
        <v>2886</v>
      </c>
      <c r="P325" s="258" t="s">
        <v>2893</v>
      </c>
    </row>
    <row r="326" spans="2:16" ht="14.45" customHeight="1" x14ac:dyDescent="0.2">
      <c r="B326" s="360"/>
      <c r="C326" s="366"/>
      <c r="D326" s="403"/>
      <c r="E326" s="248" t="s">
        <v>1845</v>
      </c>
      <c r="F326" s="249" t="s">
        <v>3171</v>
      </c>
      <c r="G326" s="250" t="s">
        <v>3962</v>
      </c>
      <c r="H326" s="251" t="s">
        <v>3565</v>
      </c>
      <c r="I326" s="252" t="s">
        <v>2760</v>
      </c>
      <c r="J326" s="253">
        <v>318</v>
      </c>
      <c r="K326" s="254"/>
      <c r="L326" s="255"/>
      <c r="M326" s="256"/>
      <c r="N326" s="259"/>
      <c r="O326" s="258" t="s">
        <v>2886</v>
      </c>
      <c r="P326" s="258" t="s">
        <v>2893</v>
      </c>
    </row>
    <row r="327" spans="2:16" ht="14.45" customHeight="1" x14ac:dyDescent="0.2">
      <c r="B327" s="360"/>
      <c r="C327" s="366"/>
      <c r="D327" s="403"/>
      <c r="E327" s="248" t="s">
        <v>1845</v>
      </c>
      <c r="F327" s="249" t="s">
        <v>3172</v>
      </c>
      <c r="G327" s="250" t="s">
        <v>3963</v>
      </c>
      <c r="H327" s="251" t="s">
        <v>3566</v>
      </c>
      <c r="I327" s="252" t="s">
        <v>2760</v>
      </c>
      <c r="J327" s="253">
        <v>242</v>
      </c>
      <c r="K327" s="254"/>
      <c r="L327" s="255"/>
      <c r="M327" s="256"/>
      <c r="N327" s="259"/>
      <c r="O327" s="258" t="s">
        <v>2886</v>
      </c>
      <c r="P327" s="258" t="s">
        <v>2893</v>
      </c>
    </row>
    <row r="328" spans="2:16" ht="14.45" customHeight="1" x14ac:dyDescent="0.2">
      <c r="B328" s="360"/>
      <c r="C328" s="366"/>
      <c r="D328" s="403"/>
      <c r="E328" s="248" t="s">
        <v>1845</v>
      </c>
      <c r="F328" s="249" t="s">
        <v>3173</v>
      </c>
      <c r="G328" s="250" t="s">
        <v>3964</v>
      </c>
      <c r="H328" s="251" t="s">
        <v>3567</v>
      </c>
      <c r="I328" s="252" t="s">
        <v>2760</v>
      </c>
      <c r="J328" s="253">
        <v>182</v>
      </c>
      <c r="K328" s="254"/>
      <c r="L328" s="255"/>
      <c r="M328" s="256"/>
      <c r="N328" s="259"/>
      <c r="O328" s="258" t="s">
        <v>2886</v>
      </c>
      <c r="P328" s="258" t="s">
        <v>2893</v>
      </c>
    </row>
    <row r="329" spans="2:16" ht="14.45" customHeight="1" x14ac:dyDescent="0.2">
      <c r="B329" s="360"/>
      <c r="C329" s="366"/>
      <c r="D329" s="403"/>
      <c r="E329" s="248" t="s">
        <v>1845</v>
      </c>
      <c r="F329" s="249" t="s">
        <v>3174</v>
      </c>
      <c r="G329" s="250" t="s">
        <v>3965</v>
      </c>
      <c r="H329" s="251" t="s">
        <v>3568</v>
      </c>
      <c r="I329" s="252" t="s">
        <v>2760</v>
      </c>
      <c r="J329" s="253">
        <v>204</v>
      </c>
      <c r="K329" s="254"/>
      <c r="L329" s="255"/>
      <c r="M329" s="256"/>
      <c r="N329" s="259"/>
      <c r="O329" s="258" t="s">
        <v>2886</v>
      </c>
      <c r="P329" s="258" t="s">
        <v>2893</v>
      </c>
    </row>
    <row r="330" spans="2:16" ht="14.45" customHeight="1" x14ac:dyDescent="0.2">
      <c r="B330" s="360"/>
      <c r="C330" s="366"/>
      <c r="D330" s="403"/>
      <c r="E330" s="248" t="s">
        <v>1845</v>
      </c>
      <c r="F330" s="249" t="s">
        <v>3175</v>
      </c>
      <c r="G330" s="250" t="s">
        <v>3966</v>
      </c>
      <c r="H330" s="251" t="s">
        <v>3569</v>
      </c>
      <c r="I330" s="252" t="s">
        <v>2760</v>
      </c>
      <c r="J330" s="253">
        <v>1121</v>
      </c>
      <c r="K330" s="254"/>
      <c r="L330" s="255"/>
      <c r="M330" s="256"/>
      <c r="N330" s="259"/>
      <c r="O330" s="258" t="s">
        <v>2886</v>
      </c>
      <c r="P330" s="258" t="s">
        <v>2893</v>
      </c>
    </row>
    <row r="331" spans="2:16" ht="14.45" customHeight="1" x14ac:dyDescent="0.2">
      <c r="B331" s="360"/>
      <c r="C331" s="366"/>
      <c r="D331" s="403"/>
      <c r="E331" s="248" t="s">
        <v>1845</v>
      </c>
      <c r="F331" s="249" t="s">
        <v>3176</v>
      </c>
      <c r="G331" s="250" t="s">
        <v>3967</v>
      </c>
      <c r="H331" s="251" t="s">
        <v>3570</v>
      </c>
      <c r="I331" s="252" t="s">
        <v>2760</v>
      </c>
      <c r="J331" s="253">
        <v>476</v>
      </c>
      <c r="K331" s="254"/>
      <c r="L331" s="255"/>
      <c r="M331" s="256"/>
      <c r="N331" s="259"/>
      <c r="O331" s="258" t="s">
        <v>2886</v>
      </c>
      <c r="P331" s="258" t="s">
        <v>2893</v>
      </c>
    </row>
    <row r="332" spans="2:16" ht="14.45" customHeight="1" x14ac:dyDescent="0.2">
      <c r="B332" s="360"/>
      <c r="C332" s="366"/>
      <c r="D332" s="403"/>
      <c r="E332" s="248" t="s">
        <v>1845</v>
      </c>
      <c r="F332" s="249" t="s">
        <v>3177</v>
      </c>
      <c r="G332" s="250" t="s">
        <v>3968</v>
      </c>
      <c r="H332" s="251" t="s">
        <v>3571</v>
      </c>
      <c r="I332" s="252" t="s">
        <v>2760</v>
      </c>
      <c r="J332" s="253">
        <v>285</v>
      </c>
      <c r="K332" s="254"/>
      <c r="L332" s="255"/>
      <c r="M332" s="256"/>
      <c r="N332" s="259"/>
      <c r="O332" s="258" t="s">
        <v>2886</v>
      </c>
      <c r="P332" s="258" t="s">
        <v>2893</v>
      </c>
    </row>
    <row r="333" spans="2:16" ht="14.45" customHeight="1" x14ac:dyDescent="0.2">
      <c r="B333" s="360"/>
      <c r="C333" s="366"/>
      <c r="D333" s="403"/>
      <c r="E333" s="248" t="s">
        <v>1845</v>
      </c>
      <c r="F333" s="249" t="s">
        <v>3178</v>
      </c>
      <c r="G333" s="250" t="s">
        <v>3969</v>
      </c>
      <c r="H333" s="251" t="s">
        <v>3572</v>
      </c>
      <c r="I333" s="252" t="s">
        <v>2760</v>
      </c>
      <c r="J333" s="253">
        <v>285</v>
      </c>
      <c r="K333" s="254"/>
      <c r="L333" s="255"/>
      <c r="M333" s="256"/>
      <c r="N333" s="259"/>
      <c r="O333" s="258" t="s">
        <v>2886</v>
      </c>
      <c r="P333" s="258" t="s">
        <v>2893</v>
      </c>
    </row>
    <row r="334" spans="2:16" ht="14.45" customHeight="1" x14ac:dyDescent="0.2">
      <c r="B334" s="360"/>
      <c r="C334" s="366"/>
      <c r="D334" s="403"/>
      <c r="E334" s="248" t="s">
        <v>1845</v>
      </c>
      <c r="F334" s="249" t="s">
        <v>3179</v>
      </c>
      <c r="G334" s="250" t="s">
        <v>3970</v>
      </c>
      <c r="H334" s="251" t="s">
        <v>3573</v>
      </c>
      <c r="I334" s="252" t="s">
        <v>2760</v>
      </c>
      <c r="J334" s="253">
        <v>207</v>
      </c>
      <c r="K334" s="254"/>
      <c r="L334" s="255"/>
      <c r="M334" s="256"/>
      <c r="N334" s="259"/>
      <c r="O334" s="258" t="s">
        <v>2886</v>
      </c>
      <c r="P334" s="258" t="s">
        <v>2893</v>
      </c>
    </row>
    <row r="335" spans="2:16" ht="14.45" customHeight="1" x14ac:dyDescent="0.2">
      <c r="B335" s="360"/>
      <c r="C335" s="366"/>
      <c r="D335" s="403"/>
      <c r="E335" s="248" t="s">
        <v>1845</v>
      </c>
      <c r="F335" s="249" t="s">
        <v>3180</v>
      </c>
      <c r="G335" s="250" t="s">
        <v>3971</v>
      </c>
      <c r="H335" s="251" t="s">
        <v>3574</v>
      </c>
      <c r="I335" s="252" t="s">
        <v>2760</v>
      </c>
      <c r="J335" s="253">
        <v>396</v>
      </c>
      <c r="K335" s="254"/>
      <c r="L335" s="255"/>
      <c r="M335" s="256"/>
      <c r="N335" s="259"/>
      <c r="O335" s="258" t="s">
        <v>2886</v>
      </c>
      <c r="P335" s="258" t="s">
        <v>2893</v>
      </c>
    </row>
    <row r="336" spans="2:16" ht="14.45" customHeight="1" thickBot="1" x14ac:dyDescent="0.25">
      <c r="B336" s="360"/>
      <c r="C336" s="367"/>
      <c r="D336" s="406"/>
      <c r="E336" s="282" t="s">
        <v>1845</v>
      </c>
      <c r="F336" s="283" t="s">
        <v>3181</v>
      </c>
      <c r="G336" s="284" t="s">
        <v>3972</v>
      </c>
      <c r="H336" s="285" t="s">
        <v>3575</v>
      </c>
      <c r="I336" s="286" t="s">
        <v>2760</v>
      </c>
      <c r="J336" s="287">
        <v>248</v>
      </c>
      <c r="K336" s="288"/>
      <c r="L336" s="289"/>
      <c r="M336" s="290"/>
      <c r="N336" s="303"/>
      <c r="O336" s="291" t="s">
        <v>2886</v>
      </c>
      <c r="P336" s="291" t="s">
        <v>2893</v>
      </c>
    </row>
    <row r="337" spans="2:16" ht="14.45" customHeight="1" x14ac:dyDescent="0.2">
      <c r="B337" s="360"/>
      <c r="C337" s="365" t="s">
        <v>1697</v>
      </c>
      <c r="D337" s="44" t="s">
        <v>2009</v>
      </c>
      <c r="E337" s="271" t="s">
        <v>7</v>
      </c>
      <c r="F337" s="272" t="s">
        <v>130</v>
      </c>
      <c r="G337" s="273" t="s">
        <v>299</v>
      </c>
      <c r="H337" s="274" t="s">
        <v>2539</v>
      </c>
      <c r="I337" s="275" t="s">
        <v>341</v>
      </c>
      <c r="J337" s="276">
        <v>2770</v>
      </c>
      <c r="K337" s="277">
        <v>46121</v>
      </c>
      <c r="L337" s="278">
        <v>46142</v>
      </c>
      <c r="M337" s="279" t="s">
        <v>2947</v>
      </c>
      <c r="N337" s="280"/>
      <c r="O337" s="281" t="s">
        <v>2886</v>
      </c>
      <c r="P337" s="281" t="s">
        <v>2896</v>
      </c>
    </row>
    <row r="338" spans="2:16" ht="14.45" customHeight="1" x14ac:dyDescent="0.2">
      <c r="B338" s="360"/>
      <c r="C338" s="366"/>
      <c r="D338" s="402" t="s">
        <v>79</v>
      </c>
      <c r="E338" s="237" t="s">
        <v>233</v>
      </c>
      <c r="F338" s="238" t="s">
        <v>130</v>
      </c>
      <c r="G338" s="239" t="s">
        <v>175</v>
      </c>
      <c r="H338" s="240" t="s">
        <v>2540</v>
      </c>
      <c r="I338" s="241" t="s">
        <v>342</v>
      </c>
      <c r="J338" s="242">
        <v>5757</v>
      </c>
      <c r="K338" s="243">
        <v>46121</v>
      </c>
      <c r="L338" s="244">
        <v>46142</v>
      </c>
      <c r="M338" s="245" t="s">
        <v>2947</v>
      </c>
      <c r="N338" s="246"/>
      <c r="O338" s="247" t="s">
        <v>2886</v>
      </c>
      <c r="P338" s="247" t="s">
        <v>2895</v>
      </c>
    </row>
    <row r="339" spans="2:16" ht="14.45" customHeight="1" x14ac:dyDescent="0.2">
      <c r="B339" s="360"/>
      <c r="C339" s="366"/>
      <c r="D339" s="403"/>
      <c r="E339" s="248" t="s">
        <v>2763</v>
      </c>
      <c r="F339" s="249" t="s">
        <v>240</v>
      </c>
      <c r="G339" s="250" t="s">
        <v>2790</v>
      </c>
      <c r="H339" s="251" t="s">
        <v>2791</v>
      </c>
      <c r="I339" s="252" t="s">
        <v>422</v>
      </c>
      <c r="J339" s="253">
        <v>2048</v>
      </c>
      <c r="K339" s="254">
        <v>46185</v>
      </c>
      <c r="L339" s="255"/>
      <c r="M339" s="256" t="s">
        <v>2947</v>
      </c>
      <c r="N339" s="257"/>
      <c r="O339" s="258" t="s">
        <v>2886</v>
      </c>
      <c r="P339" s="258" t="s">
        <v>2895</v>
      </c>
    </row>
    <row r="340" spans="2:16" ht="14.45" customHeight="1" x14ac:dyDescent="0.2">
      <c r="B340" s="360"/>
      <c r="C340" s="366"/>
      <c r="D340" s="403"/>
      <c r="E340" s="248" t="s">
        <v>2763</v>
      </c>
      <c r="F340" s="249" t="s">
        <v>2631</v>
      </c>
      <c r="G340" s="250" t="s">
        <v>2836</v>
      </c>
      <c r="H340" s="251" t="s">
        <v>2837</v>
      </c>
      <c r="I340" s="252" t="s">
        <v>423</v>
      </c>
      <c r="J340" s="253">
        <v>1842</v>
      </c>
      <c r="K340" s="254">
        <v>46185</v>
      </c>
      <c r="L340" s="255"/>
      <c r="M340" s="256" t="s">
        <v>2947</v>
      </c>
      <c r="N340" s="259"/>
      <c r="O340" s="258" t="s">
        <v>2886</v>
      </c>
      <c r="P340" s="258" t="s">
        <v>2895</v>
      </c>
    </row>
    <row r="341" spans="2:16" ht="14.45" customHeight="1" x14ac:dyDescent="0.2">
      <c r="B341" s="360"/>
      <c r="C341" s="366"/>
      <c r="D341" s="403"/>
      <c r="E341" s="248" t="s">
        <v>2763</v>
      </c>
      <c r="F341" s="249" t="s">
        <v>241</v>
      </c>
      <c r="G341" s="250" t="s">
        <v>239</v>
      </c>
      <c r="H341" s="251" t="s">
        <v>2488</v>
      </c>
      <c r="I341" s="252" t="s">
        <v>424</v>
      </c>
      <c r="J341" s="253">
        <v>2186</v>
      </c>
      <c r="K341" s="254">
        <v>46185</v>
      </c>
      <c r="L341" s="255"/>
      <c r="M341" s="256" t="s">
        <v>2947</v>
      </c>
      <c r="N341" s="259"/>
      <c r="O341" s="258" t="s">
        <v>2886</v>
      </c>
      <c r="P341" s="258" t="s">
        <v>2895</v>
      </c>
    </row>
    <row r="342" spans="2:16" ht="14.45" customHeight="1" x14ac:dyDescent="0.2">
      <c r="B342" s="360"/>
      <c r="C342" s="366"/>
      <c r="D342" s="403"/>
      <c r="E342" s="248" t="s">
        <v>2763</v>
      </c>
      <c r="F342" s="249" t="s">
        <v>242</v>
      </c>
      <c r="G342" s="250" t="s">
        <v>2839</v>
      </c>
      <c r="H342" s="251" t="s">
        <v>2840</v>
      </c>
      <c r="I342" s="252" t="s">
        <v>425</v>
      </c>
      <c r="J342" s="253">
        <v>1909</v>
      </c>
      <c r="K342" s="254">
        <v>46185</v>
      </c>
      <c r="L342" s="255"/>
      <c r="M342" s="256" t="s">
        <v>2947</v>
      </c>
      <c r="N342" s="259"/>
      <c r="O342" s="258" t="s">
        <v>2886</v>
      </c>
      <c r="P342" s="258" t="s">
        <v>2895</v>
      </c>
    </row>
    <row r="343" spans="2:16" ht="14.45" customHeight="1" x14ac:dyDescent="0.2">
      <c r="B343" s="360"/>
      <c r="C343" s="366"/>
      <c r="D343" s="403"/>
      <c r="E343" s="248" t="s">
        <v>1845</v>
      </c>
      <c r="F343" s="249" t="s">
        <v>3182</v>
      </c>
      <c r="G343" s="250" t="s">
        <v>3973</v>
      </c>
      <c r="H343" s="251" t="s">
        <v>3576</v>
      </c>
      <c r="I343" s="252" t="s">
        <v>2760</v>
      </c>
      <c r="J343" s="253">
        <v>1154</v>
      </c>
      <c r="K343" s="254"/>
      <c r="L343" s="255"/>
      <c r="M343" s="256"/>
      <c r="N343" s="259"/>
      <c r="O343" s="258" t="s">
        <v>2886</v>
      </c>
      <c r="P343" s="258" t="s">
        <v>2895</v>
      </c>
    </row>
    <row r="344" spans="2:16" ht="14.45" customHeight="1" x14ac:dyDescent="0.2">
      <c r="B344" s="360"/>
      <c r="C344" s="366"/>
      <c r="D344" s="403"/>
      <c r="E344" s="248" t="s">
        <v>1845</v>
      </c>
      <c r="F344" s="249" t="s">
        <v>3183</v>
      </c>
      <c r="G344" s="250" t="s">
        <v>3974</v>
      </c>
      <c r="H344" s="251" t="s">
        <v>3577</v>
      </c>
      <c r="I344" s="252" t="s">
        <v>2760</v>
      </c>
      <c r="J344" s="253">
        <v>173</v>
      </c>
      <c r="K344" s="254"/>
      <c r="L344" s="255"/>
      <c r="M344" s="256"/>
      <c r="N344" s="259"/>
      <c r="O344" s="258" t="s">
        <v>2886</v>
      </c>
      <c r="P344" s="258" t="s">
        <v>2895</v>
      </c>
    </row>
    <row r="345" spans="2:16" ht="14.45" customHeight="1" x14ac:dyDescent="0.2">
      <c r="B345" s="360"/>
      <c r="C345" s="366"/>
      <c r="D345" s="403"/>
      <c r="E345" s="248" t="s">
        <v>1845</v>
      </c>
      <c r="F345" s="249" t="s">
        <v>3184</v>
      </c>
      <c r="G345" s="250" t="s">
        <v>3975</v>
      </c>
      <c r="H345" s="251" t="s">
        <v>3578</v>
      </c>
      <c r="I345" s="252" t="s">
        <v>2760</v>
      </c>
      <c r="J345" s="253">
        <v>261</v>
      </c>
      <c r="K345" s="254"/>
      <c r="L345" s="255"/>
      <c r="M345" s="256"/>
      <c r="N345" s="259"/>
      <c r="O345" s="258" t="s">
        <v>2886</v>
      </c>
      <c r="P345" s="258" t="s">
        <v>2895</v>
      </c>
    </row>
    <row r="346" spans="2:16" ht="14.45" customHeight="1" x14ac:dyDescent="0.2">
      <c r="B346" s="360"/>
      <c r="C346" s="366"/>
      <c r="D346" s="403"/>
      <c r="E346" s="248" t="s">
        <v>1845</v>
      </c>
      <c r="F346" s="249" t="s">
        <v>3185</v>
      </c>
      <c r="G346" s="250" t="s">
        <v>3976</v>
      </c>
      <c r="H346" s="251" t="s">
        <v>3579</v>
      </c>
      <c r="I346" s="252" t="s">
        <v>2760</v>
      </c>
      <c r="J346" s="253">
        <v>305</v>
      </c>
      <c r="K346" s="254"/>
      <c r="L346" s="255"/>
      <c r="M346" s="256"/>
      <c r="N346" s="259"/>
      <c r="O346" s="258" t="s">
        <v>2886</v>
      </c>
      <c r="P346" s="258" t="s">
        <v>2895</v>
      </c>
    </row>
    <row r="347" spans="2:16" ht="14.45" customHeight="1" x14ac:dyDescent="0.2">
      <c r="B347" s="360"/>
      <c r="C347" s="366"/>
      <c r="D347" s="403"/>
      <c r="E347" s="248" t="s">
        <v>1845</v>
      </c>
      <c r="F347" s="249" t="s">
        <v>3186</v>
      </c>
      <c r="G347" s="250" t="s">
        <v>3977</v>
      </c>
      <c r="H347" s="251" t="s">
        <v>3580</v>
      </c>
      <c r="I347" s="252" t="s">
        <v>2760</v>
      </c>
      <c r="J347" s="253">
        <v>213</v>
      </c>
      <c r="K347" s="254"/>
      <c r="L347" s="255"/>
      <c r="M347" s="256"/>
      <c r="N347" s="259"/>
      <c r="O347" s="258" t="s">
        <v>2886</v>
      </c>
      <c r="P347" s="258" t="s">
        <v>2895</v>
      </c>
    </row>
    <row r="348" spans="2:16" ht="14.45" customHeight="1" x14ac:dyDescent="0.2">
      <c r="B348" s="360"/>
      <c r="C348" s="366"/>
      <c r="D348" s="403"/>
      <c r="E348" s="248" t="s">
        <v>1845</v>
      </c>
      <c r="F348" s="249" t="s">
        <v>3187</v>
      </c>
      <c r="G348" s="250" t="s">
        <v>3978</v>
      </c>
      <c r="H348" s="251" t="s">
        <v>3581</v>
      </c>
      <c r="I348" s="252" t="s">
        <v>2760</v>
      </c>
      <c r="J348" s="253">
        <v>606</v>
      </c>
      <c r="K348" s="254"/>
      <c r="L348" s="255"/>
      <c r="M348" s="256"/>
      <c r="N348" s="259"/>
      <c r="O348" s="258" t="s">
        <v>2886</v>
      </c>
      <c r="P348" s="258" t="s">
        <v>2895</v>
      </c>
    </row>
    <row r="349" spans="2:16" ht="14.45" customHeight="1" x14ac:dyDescent="0.2">
      <c r="B349" s="360"/>
      <c r="C349" s="366"/>
      <c r="D349" s="403"/>
      <c r="E349" s="248" t="s">
        <v>1845</v>
      </c>
      <c r="F349" s="249" t="s">
        <v>3188</v>
      </c>
      <c r="G349" s="250" t="s">
        <v>3979</v>
      </c>
      <c r="H349" s="251" t="s">
        <v>3582</v>
      </c>
      <c r="I349" s="252" t="s">
        <v>2760</v>
      </c>
      <c r="J349" s="253">
        <v>304</v>
      </c>
      <c r="K349" s="254"/>
      <c r="L349" s="255"/>
      <c r="M349" s="256"/>
      <c r="N349" s="259"/>
      <c r="O349" s="258" t="s">
        <v>2886</v>
      </c>
      <c r="P349" s="258" t="s">
        <v>2895</v>
      </c>
    </row>
    <row r="350" spans="2:16" ht="14.45" customHeight="1" x14ac:dyDescent="0.2">
      <c r="B350" s="360"/>
      <c r="C350" s="366"/>
      <c r="D350" s="403"/>
      <c r="E350" s="248" t="s">
        <v>1845</v>
      </c>
      <c r="F350" s="249" t="s">
        <v>3189</v>
      </c>
      <c r="G350" s="250" t="s">
        <v>3980</v>
      </c>
      <c r="H350" s="251" t="s">
        <v>3583</v>
      </c>
      <c r="I350" s="252" t="s">
        <v>2760</v>
      </c>
      <c r="J350" s="253">
        <v>376</v>
      </c>
      <c r="K350" s="254"/>
      <c r="L350" s="255"/>
      <c r="M350" s="256"/>
      <c r="N350" s="259"/>
      <c r="O350" s="258" t="s">
        <v>2886</v>
      </c>
      <c r="P350" s="258" t="s">
        <v>2895</v>
      </c>
    </row>
    <row r="351" spans="2:16" ht="14.45" customHeight="1" x14ac:dyDescent="0.2">
      <c r="B351" s="360"/>
      <c r="C351" s="366"/>
      <c r="D351" s="403"/>
      <c r="E351" s="248" t="s">
        <v>1845</v>
      </c>
      <c r="F351" s="249" t="s">
        <v>3190</v>
      </c>
      <c r="G351" s="250" t="s">
        <v>3981</v>
      </c>
      <c r="H351" s="251" t="s">
        <v>3584</v>
      </c>
      <c r="I351" s="252" t="s">
        <v>2760</v>
      </c>
      <c r="J351" s="253">
        <v>237</v>
      </c>
      <c r="K351" s="254"/>
      <c r="L351" s="255"/>
      <c r="M351" s="256"/>
      <c r="N351" s="259"/>
      <c r="O351" s="258" t="s">
        <v>2886</v>
      </c>
      <c r="P351" s="258" t="s">
        <v>2895</v>
      </c>
    </row>
    <row r="352" spans="2:16" ht="14.45" customHeight="1" x14ac:dyDescent="0.2">
      <c r="B352" s="360"/>
      <c r="C352" s="366"/>
      <c r="D352" s="403"/>
      <c r="E352" s="248" t="s">
        <v>1845</v>
      </c>
      <c r="F352" s="249" t="s">
        <v>3191</v>
      </c>
      <c r="G352" s="250" t="s">
        <v>3982</v>
      </c>
      <c r="H352" s="251" t="s">
        <v>3585</v>
      </c>
      <c r="I352" s="252" t="s">
        <v>2760</v>
      </c>
      <c r="J352" s="253">
        <v>404</v>
      </c>
      <c r="K352" s="254"/>
      <c r="L352" s="255"/>
      <c r="M352" s="256"/>
      <c r="N352" s="259"/>
      <c r="O352" s="258" t="s">
        <v>2886</v>
      </c>
      <c r="P352" s="258" t="s">
        <v>2895</v>
      </c>
    </row>
    <row r="353" spans="2:16" ht="14.45" customHeight="1" x14ac:dyDescent="0.2">
      <c r="B353" s="360"/>
      <c r="C353" s="366"/>
      <c r="D353" s="403"/>
      <c r="E353" s="248" t="s">
        <v>1845</v>
      </c>
      <c r="F353" s="249" t="s">
        <v>3192</v>
      </c>
      <c r="G353" s="250" t="s">
        <v>3983</v>
      </c>
      <c r="H353" s="251" t="s">
        <v>3586</v>
      </c>
      <c r="I353" s="252" t="s">
        <v>2760</v>
      </c>
      <c r="J353" s="253">
        <v>341</v>
      </c>
      <c r="K353" s="254"/>
      <c r="L353" s="255"/>
      <c r="M353" s="256"/>
      <c r="N353" s="259"/>
      <c r="O353" s="258" t="s">
        <v>2886</v>
      </c>
      <c r="P353" s="258" t="s">
        <v>2895</v>
      </c>
    </row>
    <row r="354" spans="2:16" ht="14.45" customHeight="1" x14ac:dyDescent="0.2">
      <c r="B354" s="360"/>
      <c r="C354" s="366"/>
      <c r="D354" s="403"/>
      <c r="E354" s="248" t="s">
        <v>1845</v>
      </c>
      <c r="F354" s="249" t="s">
        <v>3193</v>
      </c>
      <c r="G354" s="250" t="s">
        <v>3984</v>
      </c>
      <c r="H354" s="251" t="s">
        <v>3587</v>
      </c>
      <c r="I354" s="252" t="s">
        <v>2760</v>
      </c>
      <c r="J354" s="253">
        <v>454</v>
      </c>
      <c r="K354" s="254"/>
      <c r="L354" s="255"/>
      <c r="M354" s="256"/>
      <c r="N354" s="259"/>
      <c r="O354" s="258" t="s">
        <v>2886</v>
      </c>
      <c r="P354" s="258" t="s">
        <v>2895</v>
      </c>
    </row>
    <row r="355" spans="2:16" ht="14.45" customHeight="1" x14ac:dyDescent="0.2">
      <c r="B355" s="360"/>
      <c r="C355" s="366"/>
      <c r="D355" s="403"/>
      <c r="E355" s="248" t="s">
        <v>1845</v>
      </c>
      <c r="F355" s="249" t="s">
        <v>3194</v>
      </c>
      <c r="G355" s="250" t="s">
        <v>3985</v>
      </c>
      <c r="H355" s="251" t="s">
        <v>3588</v>
      </c>
      <c r="I355" s="252" t="s">
        <v>2760</v>
      </c>
      <c r="J355" s="253">
        <v>396</v>
      </c>
      <c r="K355" s="254"/>
      <c r="L355" s="255"/>
      <c r="M355" s="256"/>
      <c r="N355" s="259"/>
      <c r="O355" s="258" t="s">
        <v>2886</v>
      </c>
      <c r="P355" s="258" t="s">
        <v>2895</v>
      </c>
    </row>
    <row r="356" spans="2:16" ht="14.45" customHeight="1" x14ac:dyDescent="0.2">
      <c r="B356" s="360"/>
      <c r="C356" s="366"/>
      <c r="D356" s="403"/>
      <c r="E356" s="248" t="s">
        <v>1845</v>
      </c>
      <c r="F356" s="249" t="s">
        <v>3195</v>
      </c>
      <c r="G356" s="250" t="s">
        <v>3986</v>
      </c>
      <c r="H356" s="251" t="s">
        <v>3589</v>
      </c>
      <c r="I356" s="252" t="s">
        <v>2760</v>
      </c>
      <c r="J356" s="253">
        <v>681</v>
      </c>
      <c r="K356" s="254"/>
      <c r="L356" s="255"/>
      <c r="M356" s="256"/>
      <c r="N356" s="259"/>
      <c r="O356" s="258" t="s">
        <v>2886</v>
      </c>
      <c r="P356" s="258" t="s">
        <v>2895</v>
      </c>
    </row>
    <row r="357" spans="2:16" ht="14.45" customHeight="1" x14ac:dyDescent="0.2">
      <c r="B357" s="360"/>
      <c r="C357" s="366"/>
      <c r="D357" s="403"/>
      <c r="E357" s="248" t="s">
        <v>1845</v>
      </c>
      <c r="F357" s="249" t="s">
        <v>3196</v>
      </c>
      <c r="G357" s="250" t="s">
        <v>3987</v>
      </c>
      <c r="H357" s="251" t="s">
        <v>3590</v>
      </c>
      <c r="I357" s="252" t="s">
        <v>2760</v>
      </c>
      <c r="J357" s="253">
        <v>284</v>
      </c>
      <c r="K357" s="254"/>
      <c r="L357" s="255"/>
      <c r="M357" s="256"/>
      <c r="N357" s="259"/>
      <c r="O357" s="258" t="s">
        <v>2886</v>
      </c>
      <c r="P357" s="258" t="s">
        <v>2895</v>
      </c>
    </row>
    <row r="358" spans="2:16" ht="14.45" customHeight="1" x14ac:dyDescent="0.2">
      <c r="B358" s="360"/>
      <c r="C358" s="366"/>
      <c r="D358" s="403"/>
      <c r="E358" s="248" t="s">
        <v>1845</v>
      </c>
      <c r="F358" s="249" t="s">
        <v>3197</v>
      </c>
      <c r="G358" s="250" t="s">
        <v>3988</v>
      </c>
      <c r="H358" s="251" t="s">
        <v>3591</v>
      </c>
      <c r="I358" s="252" t="s">
        <v>2760</v>
      </c>
      <c r="J358" s="253">
        <v>855</v>
      </c>
      <c r="K358" s="254"/>
      <c r="L358" s="255"/>
      <c r="M358" s="256"/>
      <c r="N358" s="259"/>
      <c r="O358" s="258" t="s">
        <v>2886</v>
      </c>
      <c r="P358" s="258" t="s">
        <v>2895</v>
      </c>
    </row>
    <row r="359" spans="2:16" ht="14.45" customHeight="1" x14ac:dyDescent="0.2">
      <c r="B359" s="360"/>
      <c r="C359" s="366"/>
      <c r="D359" s="403"/>
      <c r="E359" s="248" t="s">
        <v>1845</v>
      </c>
      <c r="F359" s="249" t="s">
        <v>3198</v>
      </c>
      <c r="G359" s="250" t="s">
        <v>3989</v>
      </c>
      <c r="H359" s="251" t="s">
        <v>3592</v>
      </c>
      <c r="I359" s="252" t="s">
        <v>2760</v>
      </c>
      <c r="J359" s="253">
        <v>730</v>
      </c>
      <c r="K359" s="254"/>
      <c r="L359" s="255"/>
      <c r="M359" s="256"/>
      <c r="N359" s="259"/>
      <c r="O359" s="258" t="s">
        <v>2886</v>
      </c>
      <c r="P359" s="258" t="s">
        <v>2895</v>
      </c>
    </row>
    <row r="360" spans="2:16" ht="14.45" customHeight="1" x14ac:dyDescent="0.2">
      <c r="B360" s="360"/>
      <c r="C360" s="366"/>
      <c r="D360" s="403"/>
      <c r="E360" s="248" t="s">
        <v>1845</v>
      </c>
      <c r="F360" s="249" t="s">
        <v>3199</v>
      </c>
      <c r="G360" s="250" t="s">
        <v>3990</v>
      </c>
      <c r="H360" s="251" t="s">
        <v>3593</v>
      </c>
      <c r="I360" s="252" t="s">
        <v>2760</v>
      </c>
      <c r="J360" s="253">
        <v>336</v>
      </c>
      <c r="K360" s="254"/>
      <c r="L360" s="255"/>
      <c r="M360" s="256"/>
      <c r="N360" s="259"/>
      <c r="O360" s="258" t="s">
        <v>2886</v>
      </c>
      <c r="P360" s="258" t="s">
        <v>2895</v>
      </c>
    </row>
    <row r="361" spans="2:16" ht="14.45" customHeight="1" x14ac:dyDescent="0.2">
      <c r="B361" s="360"/>
      <c r="C361" s="366"/>
      <c r="D361" s="403"/>
      <c r="E361" s="248" t="s">
        <v>1845</v>
      </c>
      <c r="F361" s="249" t="s">
        <v>3200</v>
      </c>
      <c r="G361" s="250" t="s">
        <v>3991</v>
      </c>
      <c r="H361" s="251" t="s">
        <v>3594</v>
      </c>
      <c r="I361" s="252" t="s">
        <v>2760</v>
      </c>
      <c r="J361" s="253">
        <v>445</v>
      </c>
      <c r="K361" s="254"/>
      <c r="L361" s="255"/>
      <c r="M361" s="256"/>
      <c r="N361" s="259"/>
      <c r="O361" s="258" t="s">
        <v>2886</v>
      </c>
      <c r="P361" s="258" t="s">
        <v>2895</v>
      </c>
    </row>
    <row r="362" spans="2:16" ht="14.45" customHeight="1" x14ac:dyDescent="0.2">
      <c r="B362" s="360"/>
      <c r="C362" s="366"/>
      <c r="D362" s="403"/>
      <c r="E362" s="248" t="s">
        <v>1845</v>
      </c>
      <c r="F362" s="249" t="s">
        <v>3201</v>
      </c>
      <c r="G362" s="250" t="s">
        <v>3992</v>
      </c>
      <c r="H362" s="251" t="s">
        <v>3595</v>
      </c>
      <c r="I362" s="252" t="s">
        <v>2760</v>
      </c>
      <c r="J362" s="253">
        <v>779</v>
      </c>
      <c r="K362" s="254"/>
      <c r="L362" s="255"/>
      <c r="M362" s="256"/>
      <c r="N362" s="259"/>
      <c r="O362" s="258" t="s">
        <v>2886</v>
      </c>
      <c r="P362" s="258" t="s">
        <v>2895</v>
      </c>
    </row>
    <row r="363" spans="2:16" ht="14.45" customHeight="1" x14ac:dyDescent="0.2">
      <c r="B363" s="360"/>
      <c r="C363" s="366"/>
      <c r="D363" s="403"/>
      <c r="E363" s="248" t="s">
        <v>1845</v>
      </c>
      <c r="F363" s="249" t="s">
        <v>3202</v>
      </c>
      <c r="G363" s="250" t="s">
        <v>3993</v>
      </c>
      <c r="H363" s="251" t="s">
        <v>3596</v>
      </c>
      <c r="I363" s="252" t="s">
        <v>2760</v>
      </c>
      <c r="J363" s="253">
        <v>437</v>
      </c>
      <c r="K363" s="254"/>
      <c r="L363" s="255"/>
      <c r="M363" s="256"/>
      <c r="N363" s="259"/>
      <c r="O363" s="258" t="s">
        <v>2886</v>
      </c>
      <c r="P363" s="258" t="s">
        <v>2895</v>
      </c>
    </row>
    <row r="364" spans="2:16" ht="14.45" customHeight="1" x14ac:dyDescent="0.2">
      <c r="B364" s="360"/>
      <c r="C364" s="366"/>
      <c r="D364" s="403"/>
      <c r="E364" s="248" t="s">
        <v>1845</v>
      </c>
      <c r="F364" s="249" t="s">
        <v>3203</v>
      </c>
      <c r="G364" s="250" t="s">
        <v>3994</v>
      </c>
      <c r="H364" s="251" t="s">
        <v>3597</v>
      </c>
      <c r="I364" s="252" t="s">
        <v>2760</v>
      </c>
      <c r="J364" s="253">
        <v>314</v>
      </c>
      <c r="K364" s="254"/>
      <c r="L364" s="255"/>
      <c r="M364" s="256"/>
      <c r="N364" s="259"/>
      <c r="O364" s="258" t="s">
        <v>2886</v>
      </c>
      <c r="P364" s="258" t="s">
        <v>2895</v>
      </c>
    </row>
    <row r="365" spans="2:16" ht="14.45" customHeight="1" x14ac:dyDescent="0.2">
      <c r="B365" s="360"/>
      <c r="C365" s="366"/>
      <c r="D365" s="403"/>
      <c r="E365" s="248" t="s">
        <v>1845</v>
      </c>
      <c r="F365" s="249" t="s">
        <v>3204</v>
      </c>
      <c r="G365" s="250" t="s">
        <v>3995</v>
      </c>
      <c r="H365" s="251" t="s">
        <v>3598</v>
      </c>
      <c r="I365" s="252" t="s">
        <v>2760</v>
      </c>
      <c r="J365" s="253">
        <v>705</v>
      </c>
      <c r="K365" s="254"/>
      <c r="L365" s="255"/>
      <c r="M365" s="256"/>
      <c r="N365" s="259"/>
      <c r="O365" s="258" t="s">
        <v>2886</v>
      </c>
      <c r="P365" s="258" t="s">
        <v>2895</v>
      </c>
    </row>
    <row r="366" spans="2:16" ht="14.45" customHeight="1" x14ac:dyDescent="0.2">
      <c r="B366" s="360"/>
      <c r="C366" s="366"/>
      <c r="D366" s="403"/>
      <c r="E366" s="248" t="s">
        <v>1845</v>
      </c>
      <c r="F366" s="249" t="s">
        <v>3205</v>
      </c>
      <c r="G366" s="250" t="s">
        <v>3996</v>
      </c>
      <c r="H366" s="251" t="s">
        <v>3599</v>
      </c>
      <c r="I366" s="252" t="s">
        <v>2760</v>
      </c>
      <c r="J366" s="253">
        <v>161</v>
      </c>
      <c r="K366" s="254"/>
      <c r="L366" s="255"/>
      <c r="M366" s="256"/>
      <c r="N366" s="259"/>
      <c r="O366" s="258" t="s">
        <v>2886</v>
      </c>
      <c r="P366" s="258" t="s">
        <v>2895</v>
      </c>
    </row>
    <row r="367" spans="2:16" ht="14.45" customHeight="1" x14ac:dyDescent="0.2">
      <c r="B367" s="360"/>
      <c r="C367" s="366"/>
      <c r="D367" s="403"/>
      <c r="E367" s="248" t="s">
        <v>1845</v>
      </c>
      <c r="F367" s="249" t="s">
        <v>3206</v>
      </c>
      <c r="G367" s="250" t="s">
        <v>3997</v>
      </c>
      <c r="H367" s="251" t="s">
        <v>3600</v>
      </c>
      <c r="I367" s="252" t="s">
        <v>2760</v>
      </c>
      <c r="J367" s="253">
        <v>823</v>
      </c>
      <c r="K367" s="254"/>
      <c r="L367" s="255"/>
      <c r="M367" s="256"/>
      <c r="N367" s="259"/>
      <c r="O367" s="258" t="s">
        <v>2886</v>
      </c>
      <c r="P367" s="258" t="s">
        <v>2895</v>
      </c>
    </row>
    <row r="368" spans="2:16" ht="14.45" customHeight="1" x14ac:dyDescent="0.2">
      <c r="B368" s="360"/>
      <c r="C368" s="366"/>
      <c r="D368" s="403"/>
      <c r="E368" s="248" t="s">
        <v>1845</v>
      </c>
      <c r="F368" s="249" t="s">
        <v>3207</v>
      </c>
      <c r="G368" s="250" t="s">
        <v>3998</v>
      </c>
      <c r="H368" s="251" t="s">
        <v>3601</v>
      </c>
      <c r="I368" s="252" t="s">
        <v>2760</v>
      </c>
      <c r="J368" s="253">
        <v>523</v>
      </c>
      <c r="K368" s="254"/>
      <c r="L368" s="255"/>
      <c r="M368" s="256"/>
      <c r="N368" s="259"/>
      <c r="O368" s="258" t="s">
        <v>2886</v>
      </c>
      <c r="P368" s="258" t="s">
        <v>2895</v>
      </c>
    </row>
    <row r="369" spans="2:16" ht="14.45" customHeight="1" x14ac:dyDescent="0.2">
      <c r="B369" s="360"/>
      <c r="C369" s="366"/>
      <c r="D369" s="403"/>
      <c r="E369" s="248" t="s">
        <v>1845</v>
      </c>
      <c r="F369" s="249" t="s">
        <v>3208</v>
      </c>
      <c r="G369" s="250" t="s">
        <v>3999</v>
      </c>
      <c r="H369" s="251" t="s">
        <v>3602</v>
      </c>
      <c r="I369" s="252" t="s">
        <v>2760</v>
      </c>
      <c r="J369" s="253">
        <v>433</v>
      </c>
      <c r="K369" s="254"/>
      <c r="L369" s="255"/>
      <c r="M369" s="256"/>
      <c r="N369" s="259"/>
      <c r="O369" s="258" t="s">
        <v>2886</v>
      </c>
      <c r="P369" s="258" t="s">
        <v>2895</v>
      </c>
    </row>
    <row r="370" spans="2:16" ht="14.45" customHeight="1" x14ac:dyDescent="0.2">
      <c r="B370" s="360"/>
      <c r="C370" s="366"/>
      <c r="D370" s="403"/>
      <c r="E370" s="248" t="s">
        <v>1845</v>
      </c>
      <c r="F370" s="249" t="s">
        <v>3209</v>
      </c>
      <c r="G370" s="250" t="s">
        <v>4000</v>
      </c>
      <c r="H370" s="251" t="s">
        <v>3603</v>
      </c>
      <c r="I370" s="252" t="s">
        <v>2760</v>
      </c>
      <c r="J370" s="253">
        <v>691</v>
      </c>
      <c r="K370" s="254"/>
      <c r="L370" s="255"/>
      <c r="M370" s="256"/>
      <c r="N370" s="259"/>
      <c r="O370" s="258" t="s">
        <v>2886</v>
      </c>
      <c r="P370" s="258" t="s">
        <v>2895</v>
      </c>
    </row>
    <row r="371" spans="2:16" ht="14.45" customHeight="1" x14ac:dyDescent="0.2">
      <c r="B371" s="360"/>
      <c r="C371" s="366"/>
      <c r="D371" s="403"/>
      <c r="E371" s="248" t="s">
        <v>1845</v>
      </c>
      <c r="F371" s="249" t="s">
        <v>3210</v>
      </c>
      <c r="G371" s="250" t="s">
        <v>4001</v>
      </c>
      <c r="H371" s="251" t="s">
        <v>3604</v>
      </c>
      <c r="I371" s="252" t="s">
        <v>2760</v>
      </c>
      <c r="J371" s="253">
        <v>366</v>
      </c>
      <c r="K371" s="254"/>
      <c r="L371" s="255"/>
      <c r="M371" s="256"/>
      <c r="N371" s="259"/>
      <c r="O371" s="258" t="s">
        <v>2886</v>
      </c>
      <c r="P371" s="258" t="s">
        <v>2895</v>
      </c>
    </row>
    <row r="372" spans="2:16" ht="14.45" customHeight="1" x14ac:dyDescent="0.2">
      <c r="B372" s="360"/>
      <c r="C372" s="366"/>
      <c r="D372" s="403"/>
      <c r="E372" s="248" t="s">
        <v>1845</v>
      </c>
      <c r="F372" s="249" t="s">
        <v>3211</v>
      </c>
      <c r="G372" s="250" t="s">
        <v>4002</v>
      </c>
      <c r="H372" s="251" t="s">
        <v>3605</v>
      </c>
      <c r="I372" s="252" t="s">
        <v>2760</v>
      </c>
      <c r="J372" s="253">
        <v>281</v>
      </c>
      <c r="K372" s="254"/>
      <c r="L372" s="255"/>
      <c r="M372" s="256"/>
      <c r="N372" s="259"/>
      <c r="O372" s="258" t="s">
        <v>2886</v>
      </c>
      <c r="P372" s="258" t="s">
        <v>2895</v>
      </c>
    </row>
    <row r="373" spans="2:16" ht="14.45" customHeight="1" x14ac:dyDescent="0.2">
      <c r="B373" s="360"/>
      <c r="C373" s="366"/>
      <c r="D373" s="403"/>
      <c r="E373" s="248" t="s">
        <v>1845</v>
      </c>
      <c r="F373" s="249" t="s">
        <v>3212</v>
      </c>
      <c r="G373" s="250" t="s">
        <v>4003</v>
      </c>
      <c r="H373" s="251" t="s">
        <v>3606</v>
      </c>
      <c r="I373" s="252" t="s">
        <v>2760</v>
      </c>
      <c r="J373" s="253">
        <v>438</v>
      </c>
      <c r="K373" s="254"/>
      <c r="L373" s="255"/>
      <c r="M373" s="256"/>
      <c r="N373" s="259"/>
      <c r="O373" s="258" t="s">
        <v>2886</v>
      </c>
      <c r="P373" s="258" t="s">
        <v>2895</v>
      </c>
    </row>
    <row r="374" spans="2:16" ht="14.45" customHeight="1" x14ac:dyDescent="0.2">
      <c r="B374" s="360"/>
      <c r="C374" s="366"/>
      <c r="D374" s="403"/>
      <c r="E374" s="248" t="s">
        <v>1845</v>
      </c>
      <c r="F374" s="249" t="s">
        <v>3213</v>
      </c>
      <c r="G374" s="250" t="s">
        <v>4004</v>
      </c>
      <c r="H374" s="251" t="s">
        <v>3607</v>
      </c>
      <c r="I374" s="252" t="s">
        <v>2760</v>
      </c>
      <c r="J374" s="253">
        <v>371</v>
      </c>
      <c r="K374" s="254"/>
      <c r="L374" s="255"/>
      <c r="M374" s="256"/>
      <c r="N374" s="259"/>
      <c r="O374" s="258" t="s">
        <v>2886</v>
      </c>
      <c r="P374" s="258" t="s">
        <v>2895</v>
      </c>
    </row>
    <row r="375" spans="2:16" ht="14.45" customHeight="1" x14ac:dyDescent="0.2">
      <c r="B375" s="360"/>
      <c r="C375" s="366"/>
      <c r="D375" s="403"/>
      <c r="E375" s="248" t="s">
        <v>1845</v>
      </c>
      <c r="F375" s="249" t="s">
        <v>3214</v>
      </c>
      <c r="G375" s="250" t="s">
        <v>4005</v>
      </c>
      <c r="H375" s="251" t="s">
        <v>3608</v>
      </c>
      <c r="I375" s="252" t="s">
        <v>2760</v>
      </c>
      <c r="J375" s="253">
        <v>498</v>
      </c>
      <c r="K375" s="254"/>
      <c r="L375" s="255"/>
      <c r="M375" s="256"/>
      <c r="N375" s="259"/>
      <c r="O375" s="258" t="s">
        <v>2886</v>
      </c>
      <c r="P375" s="258" t="s">
        <v>2895</v>
      </c>
    </row>
    <row r="376" spans="2:16" ht="14.45" customHeight="1" x14ac:dyDescent="0.2">
      <c r="B376" s="360"/>
      <c r="C376" s="366"/>
      <c r="D376" s="403"/>
      <c r="E376" s="248" t="s">
        <v>1845</v>
      </c>
      <c r="F376" s="249" t="s">
        <v>3215</v>
      </c>
      <c r="G376" s="250" t="s">
        <v>4006</v>
      </c>
      <c r="H376" s="251" t="s">
        <v>3609</v>
      </c>
      <c r="I376" s="252" t="s">
        <v>2760</v>
      </c>
      <c r="J376" s="253">
        <v>468</v>
      </c>
      <c r="K376" s="254"/>
      <c r="L376" s="255"/>
      <c r="M376" s="256"/>
      <c r="N376" s="259"/>
      <c r="O376" s="258" t="s">
        <v>2886</v>
      </c>
      <c r="P376" s="258" t="s">
        <v>2895</v>
      </c>
    </row>
    <row r="377" spans="2:16" ht="14.45" customHeight="1" x14ac:dyDescent="0.2">
      <c r="B377" s="360"/>
      <c r="C377" s="366"/>
      <c r="D377" s="403"/>
      <c r="E377" s="248" t="s">
        <v>1845</v>
      </c>
      <c r="F377" s="249" t="s">
        <v>3216</v>
      </c>
      <c r="G377" s="250" t="s">
        <v>4007</v>
      </c>
      <c r="H377" s="251" t="s">
        <v>3610</v>
      </c>
      <c r="I377" s="252" t="s">
        <v>2760</v>
      </c>
      <c r="J377" s="253">
        <v>295</v>
      </c>
      <c r="K377" s="254"/>
      <c r="L377" s="255"/>
      <c r="M377" s="256"/>
      <c r="N377" s="259"/>
      <c r="O377" s="258" t="s">
        <v>2886</v>
      </c>
      <c r="P377" s="258" t="s">
        <v>2895</v>
      </c>
    </row>
    <row r="378" spans="2:16" ht="14.45" customHeight="1" x14ac:dyDescent="0.2">
      <c r="B378" s="360"/>
      <c r="C378" s="366"/>
      <c r="D378" s="403"/>
      <c r="E378" s="248" t="s">
        <v>1845</v>
      </c>
      <c r="F378" s="249" t="s">
        <v>3217</v>
      </c>
      <c r="G378" s="250" t="s">
        <v>4008</v>
      </c>
      <c r="H378" s="251" t="s">
        <v>3611</v>
      </c>
      <c r="I378" s="252" t="s">
        <v>2760</v>
      </c>
      <c r="J378" s="253">
        <v>491</v>
      </c>
      <c r="K378" s="254"/>
      <c r="L378" s="255"/>
      <c r="M378" s="256"/>
      <c r="N378" s="259"/>
      <c r="O378" s="258" t="s">
        <v>2886</v>
      </c>
      <c r="P378" s="258" t="s">
        <v>2895</v>
      </c>
    </row>
    <row r="379" spans="2:16" ht="14.45" customHeight="1" x14ac:dyDescent="0.2">
      <c r="B379" s="360"/>
      <c r="C379" s="366"/>
      <c r="D379" s="403"/>
      <c r="E379" s="248" t="s">
        <v>1845</v>
      </c>
      <c r="F379" s="249" t="s">
        <v>3218</v>
      </c>
      <c r="G379" s="250" t="s">
        <v>4009</v>
      </c>
      <c r="H379" s="251" t="s">
        <v>3612</v>
      </c>
      <c r="I379" s="252" t="s">
        <v>2760</v>
      </c>
      <c r="J379" s="253">
        <v>425</v>
      </c>
      <c r="K379" s="254"/>
      <c r="L379" s="255"/>
      <c r="M379" s="256"/>
      <c r="N379" s="259"/>
      <c r="O379" s="258" t="s">
        <v>2886</v>
      </c>
      <c r="P379" s="258" t="s">
        <v>2895</v>
      </c>
    </row>
    <row r="380" spans="2:16" ht="14.45" customHeight="1" x14ac:dyDescent="0.2">
      <c r="B380" s="360"/>
      <c r="C380" s="366"/>
      <c r="D380" s="403"/>
      <c r="E380" s="248" t="s">
        <v>1845</v>
      </c>
      <c r="F380" s="249" t="s">
        <v>3219</v>
      </c>
      <c r="G380" s="250" t="s">
        <v>4010</v>
      </c>
      <c r="H380" s="251" t="s">
        <v>3613</v>
      </c>
      <c r="I380" s="252" t="s">
        <v>2760</v>
      </c>
      <c r="J380" s="253">
        <v>288</v>
      </c>
      <c r="K380" s="254"/>
      <c r="L380" s="255"/>
      <c r="M380" s="256"/>
      <c r="N380" s="259"/>
      <c r="O380" s="258" t="s">
        <v>2886</v>
      </c>
      <c r="P380" s="258" t="s">
        <v>2895</v>
      </c>
    </row>
    <row r="381" spans="2:16" ht="14.45" customHeight="1" x14ac:dyDescent="0.2">
      <c r="B381" s="360"/>
      <c r="C381" s="366"/>
      <c r="D381" s="403"/>
      <c r="E381" s="248" t="s">
        <v>1845</v>
      </c>
      <c r="F381" s="249" t="s">
        <v>3220</v>
      </c>
      <c r="G381" s="250" t="s">
        <v>4011</v>
      </c>
      <c r="H381" s="251" t="s">
        <v>3614</v>
      </c>
      <c r="I381" s="252" t="s">
        <v>2760</v>
      </c>
      <c r="J381" s="253">
        <v>296</v>
      </c>
      <c r="K381" s="254"/>
      <c r="L381" s="255"/>
      <c r="M381" s="256"/>
      <c r="N381" s="259"/>
      <c r="O381" s="258" t="s">
        <v>2886</v>
      </c>
      <c r="P381" s="258" t="s">
        <v>2895</v>
      </c>
    </row>
    <row r="382" spans="2:16" ht="14.45" customHeight="1" x14ac:dyDescent="0.2">
      <c r="B382" s="360"/>
      <c r="C382" s="366"/>
      <c r="D382" s="403"/>
      <c r="E382" s="248" t="s">
        <v>1845</v>
      </c>
      <c r="F382" s="249" t="s">
        <v>3221</v>
      </c>
      <c r="G382" s="250" t="s">
        <v>4012</v>
      </c>
      <c r="H382" s="251" t="s">
        <v>3615</v>
      </c>
      <c r="I382" s="252" t="s">
        <v>2760</v>
      </c>
      <c r="J382" s="253">
        <v>320</v>
      </c>
      <c r="K382" s="254"/>
      <c r="L382" s="255"/>
      <c r="M382" s="256"/>
      <c r="N382" s="259"/>
      <c r="O382" s="258" t="s">
        <v>2886</v>
      </c>
      <c r="P382" s="258" t="s">
        <v>2895</v>
      </c>
    </row>
    <row r="383" spans="2:16" ht="14.45" customHeight="1" x14ac:dyDescent="0.2">
      <c r="B383" s="360"/>
      <c r="C383" s="366"/>
      <c r="D383" s="403"/>
      <c r="E383" s="248" t="s">
        <v>1845</v>
      </c>
      <c r="F383" s="249" t="s">
        <v>3222</v>
      </c>
      <c r="G383" s="250" t="s">
        <v>4013</v>
      </c>
      <c r="H383" s="251" t="s">
        <v>3616</v>
      </c>
      <c r="I383" s="252" t="s">
        <v>2760</v>
      </c>
      <c r="J383" s="253">
        <v>672</v>
      </c>
      <c r="K383" s="254"/>
      <c r="L383" s="255"/>
      <c r="M383" s="256"/>
      <c r="N383" s="259"/>
      <c r="O383" s="258" t="s">
        <v>2886</v>
      </c>
      <c r="P383" s="258" t="s">
        <v>2895</v>
      </c>
    </row>
    <row r="384" spans="2:16" ht="14.45" customHeight="1" x14ac:dyDescent="0.2">
      <c r="B384" s="360"/>
      <c r="C384" s="366"/>
      <c r="D384" s="403"/>
      <c r="E384" s="248" t="s">
        <v>1845</v>
      </c>
      <c r="F384" s="249" t="s">
        <v>3223</v>
      </c>
      <c r="G384" s="250" t="s">
        <v>4014</v>
      </c>
      <c r="H384" s="251" t="s">
        <v>3617</v>
      </c>
      <c r="I384" s="252" t="s">
        <v>2760</v>
      </c>
      <c r="J384" s="253">
        <v>324</v>
      </c>
      <c r="K384" s="254"/>
      <c r="L384" s="255"/>
      <c r="M384" s="256"/>
      <c r="N384" s="259"/>
      <c r="O384" s="258" t="s">
        <v>2886</v>
      </c>
      <c r="P384" s="258" t="s">
        <v>2895</v>
      </c>
    </row>
    <row r="385" spans="2:16" ht="14.45" customHeight="1" x14ac:dyDescent="0.2">
      <c r="B385" s="360"/>
      <c r="C385" s="366"/>
      <c r="D385" s="403"/>
      <c r="E385" s="248" t="s">
        <v>1845</v>
      </c>
      <c r="F385" s="249" t="s">
        <v>3224</v>
      </c>
      <c r="G385" s="250" t="s">
        <v>4015</v>
      </c>
      <c r="H385" s="251" t="s">
        <v>3618</v>
      </c>
      <c r="I385" s="252" t="s">
        <v>2760</v>
      </c>
      <c r="J385" s="253">
        <v>339</v>
      </c>
      <c r="K385" s="254"/>
      <c r="L385" s="255"/>
      <c r="M385" s="256"/>
      <c r="N385" s="259"/>
      <c r="O385" s="258" t="s">
        <v>2886</v>
      </c>
      <c r="P385" s="258" t="s">
        <v>2895</v>
      </c>
    </row>
    <row r="386" spans="2:16" ht="14.45" customHeight="1" x14ac:dyDescent="0.2">
      <c r="B386" s="360"/>
      <c r="C386" s="366"/>
      <c r="D386" s="403"/>
      <c r="E386" s="248" t="s">
        <v>1845</v>
      </c>
      <c r="F386" s="249" t="s">
        <v>3225</v>
      </c>
      <c r="G386" s="250" t="s">
        <v>4016</v>
      </c>
      <c r="H386" s="251" t="s">
        <v>3619</v>
      </c>
      <c r="I386" s="252" t="s">
        <v>2760</v>
      </c>
      <c r="J386" s="253">
        <v>312</v>
      </c>
      <c r="K386" s="254"/>
      <c r="L386" s="255"/>
      <c r="M386" s="256"/>
      <c r="N386" s="259"/>
      <c r="O386" s="258" t="s">
        <v>2886</v>
      </c>
      <c r="P386" s="258" t="s">
        <v>2895</v>
      </c>
    </row>
    <row r="387" spans="2:16" ht="14.45" customHeight="1" x14ac:dyDescent="0.2">
      <c r="B387" s="360"/>
      <c r="C387" s="366"/>
      <c r="D387" s="403"/>
      <c r="E387" s="248" t="s">
        <v>1845</v>
      </c>
      <c r="F387" s="249" t="s">
        <v>3226</v>
      </c>
      <c r="G387" s="250" t="s">
        <v>4017</v>
      </c>
      <c r="H387" s="251" t="s">
        <v>3620</v>
      </c>
      <c r="I387" s="252" t="s">
        <v>2760</v>
      </c>
      <c r="J387" s="253">
        <v>435</v>
      </c>
      <c r="K387" s="254"/>
      <c r="L387" s="255"/>
      <c r="M387" s="256"/>
      <c r="N387" s="259"/>
      <c r="O387" s="258" t="s">
        <v>2886</v>
      </c>
      <c r="P387" s="258" t="s">
        <v>2895</v>
      </c>
    </row>
    <row r="388" spans="2:16" ht="14.45" customHeight="1" x14ac:dyDescent="0.2">
      <c r="B388" s="360"/>
      <c r="C388" s="366"/>
      <c r="D388" s="403"/>
      <c r="E388" s="248" t="s">
        <v>1845</v>
      </c>
      <c r="F388" s="249" t="s">
        <v>3227</v>
      </c>
      <c r="G388" s="250" t="s">
        <v>4018</v>
      </c>
      <c r="H388" s="251" t="s">
        <v>3621</v>
      </c>
      <c r="I388" s="252" t="s">
        <v>2760</v>
      </c>
      <c r="J388" s="253">
        <v>180</v>
      </c>
      <c r="K388" s="254"/>
      <c r="L388" s="255"/>
      <c r="M388" s="256"/>
      <c r="N388" s="259"/>
      <c r="O388" s="258" t="s">
        <v>2886</v>
      </c>
      <c r="P388" s="258" t="s">
        <v>2895</v>
      </c>
    </row>
    <row r="389" spans="2:16" ht="14.45" customHeight="1" x14ac:dyDescent="0.2">
      <c r="B389" s="360"/>
      <c r="C389" s="366"/>
      <c r="D389" s="403"/>
      <c r="E389" s="248" t="s">
        <v>1845</v>
      </c>
      <c r="F389" s="249" t="s">
        <v>3228</v>
      </c>
      <c r="G389" s="250" t="s">
        <v>4019</v>
      </c>
      <c r="H389" s="251" t="s">
        <v>3622</v>
      </c>
      <c r="I389" s="252" t="s">
        <v>2760</v>
      </c>
      <c r="J389" s="253">
        <v>210</v>
      </c>
      <c r="K389" s="254"/>
      <c r="L389" s="255"/>
      <c r="M389" s="256"/>
      <c r="N389" s="259"/>
      <c r="O389" s="258" t="s">
        <v>2886</v>
      </c>
      <c r="P389" s="258" t="s">
        <v>2895</v>
      </c>
    </row>
    <row r="390" spans="2:16" ht="14.45" customHeight="1" x14ac:dyDescent="0.2">
      <c r="B390" s="360"/>
      <c r="C390" s="366"/>
      <c r="D390" s="403"/>
      <c r="E390" s="248" t="s">
        <v>1845</v>
      </c>
      <c r="F390" s="249" t="s">
        <v>3229</v>
      </c>
      <c r="G390" s="250" t="s">
        <v>4020</v>
      </c>
      <c r="H390" s="251" t="s">
        <v>3623</v>
      </c>
      <c r="I390" s="252" t="s">
        <v>2760</v>
      </c>
      <c r="J390" s="253">
        <v>293</v>
      </c>
      <c r="K390" s="254"/>
      <c r="L390" s="255"/>
      <c r="M390" s="256"/>
      <c r="N390" s="259"/>
      <c r="O390" s="258" t="s">
        <v>2886</v>
      </c>
      <c r="P390" s="258" t="s">
        <v>2895</v>
      </c>
    </row>
    <row r="391" spans="2:16" ht="14.45" customHeight="1" x14ac:dyDescent="0.2">
      <c r="B391" s="360"/>
      <c r="C391" s="366"/>
      <c r="D391" s="403"/>
      <c r="E391" s="248" t="s">
        <v>1845</v>
      </c>
      <c r="F391" s="249" t="s">
        <v>3230</v>
      </c>
      <c r="G391" s="250" t="s">
        <v>4021</v>
      </c>
      <c r="H391" s="251" t="s">
        <v>3624</v>
      </c>
      <c r="I391" s="252" t="s">
        <v>2760</v>
      </c>
      <c r="J391" s="253">
        <v>219</v>
      </c>
      <c r="K391" s="254"/>
      <c r="L391" s="255"/>
      <c r="M391" s="256"/>
      <c r="N391" s="259"/>
      <c r="O391" s="258" t="s">
        <v>2886</v>
      </c>
      <c r="P391" s="258" t="s">
        <v>2895</v>
      </c>
    </row>
    <row r="392" spans="2:16" ht="14.45" customHeight="1" x14ac:dyDescent="0.2">
      <c r="B392" s="360"/>
      <c r="C392" s="366"/>
      <c r="D392" s="403"/>
      <c r="E392" s="248" t="s">
        <v>1845</v>
      </c>
      <c r="F392" s="249" t="s">
        <v>3231</v>
      </c>
      <c r="G392" s="250" t="s">
        <v>4022</v>
      </c>
      <c r="H392" s="251" t="s">
        <v>3625</v>
      </c>
      <c r="I392" s="252" t="s">
        <v>2760</v>
      </c>
      <c r="J392" s="253">
        <v>774</v>
      </c>
      <c r="K392" s="254"/>
      <c r="L392" s="255"/>
      <c r="M392" s="256"/>
      <c r="N392" s="259"/>
      <c r="O392" s="258" t="s">
        <v>2886</v>
      </c>
      <c r="P392" s="258" t="s">
        <v>2895</v>
      </c>
    </row>
    <row r="393" spans="2:16" ht="14.45" customHeight="1" x14ac:dyDescent="0.2">
      <c r="B393" s="360"/>
      <c r="C393" s="366"/>
      <c r="D393" s="403"/>
      <c r="E393" s="248" t="s">
        <v>1845</v>
      </c>
      <c r="F393" s="249" t="s">
        <v>3232</v>
      </c>
      <c r="G393" s="250" t="s">
        <v>4023</v>
      </c>
      <c r="H393" s="251" t="s">
        <v>3626</v>
      </c>
      <c r="I393" s="252" t="s">
        <v>2760</v>
      </c>
      <c r="J393" s="253">
        <v>627</v>
      </c>
      <c r="K393" s="254"/>
      <c r="L393" s="255"/>
      <c r="M393" s="256"/>
      <c r="N393" s="259"/>
      <c r="O393" s="258" t="s">
        <v>2886</v>
      </c>
      <c r="P393" s="258" t="s">
        <v>2895</v>
      </c>
    </row>
    <row r="394" spans="2:16" ht="14.45" customHeight="1" x14ac:dyDescent="0.2">
      <c r="B394" s="360"/>
      <c r="C394" s="366"/>
      <c r="D394" s="403"/>
      <c r="E394" s="248" t="s">
        <v>1845</v>
      </c>
      <c r="F394" s="249" t="s">
        <v>3233</v>
      </c>
      <c r="G394" s="250" t="s">
        <v>4024</v>
      </c>
      <c r="H394" s="251" t="s">
        <v>3627</v>
      </c>
      <c r="I394" s="252" t="s">
        <v>2760</v>
      </c>
      <c r="J394" s="253">
        <v>309</v>
      </c>
      <c r="K394" s="254"/>
      <c r="L394" s="255"/>
      <c r="M394" s="256"/>
      <c r="N394" s="259"/>
      <c r="O394" s="258" t="s">
        <v>2886</v>
      </c>
      <c r="P394" s="258" t="s">
        <v>2895</v>
      </c>
    </row>
    <row r="395" spans="2:16" ht="14.45" customHeight="1" thickBot="1" x14ac:dyDescent="0.25">
      <c r="B395" s="361"/>
      <c r="C395" s="367"/>
      <c r="D395" s="406"/>
      <c r="E395" s="282" t="s">
        <v>1845</v>
      </c>
      <c r="F395" s="283" t="s">
        <v>3234</v>
      </c>
      <c r="G395" s="284" t="s">
        <v>4025</v>
      </c>
      <c r="H395" s="285" t="s">
        <v>3628</v>
      </c>
      <c r="I395" s="286" t="s">
        <v>2760</v>
      </c>
      <c r="J395" s="287">
        <v>322</v>
      </c>
      <c r="K395" s="288"/>
      <c r="L395" s="289"/>
      <c r="M395" s="290"/>
      <c r="N395" s="303"/>
      <c r="O395" s="291" t="s">
        <v>2886</v>
      </c>
      <c r="P395" s="291" t="s">
        <v>2895</v>
      </c>
    </row>
    <row r="396" spans="2:16" ht="14.45" customHeight="1" x14ac:dyDescent="0.2">
      <c r="B396" s="359" t="s">
        <v>1689</v>
      </c>
      <c r="C396" s="365" t="s">
        <v>1698</v>
      </c>
      <c r="D396" s="404" t="s">
        <v>81</v>
      </c>
      <c r="E396" s="271" t="s">
        <v>7</v>
      </c>
      <c r="F396" s="272" t="s">
        <v>131</v>
      </c>
      <c r="G396" s="273" t="s">
        <v>176</v>
      </c>
      <c r="H396" s="274" t="s">
        <v>2541</v>
      </c>
      <c r="I396" s="275" t="s">
        <v>343</v>
      </c>
      <c r="J396" s="276">
        <v>3719</v>
      </c>
      <c r="K396" s="277">
        <v>46121</v>
      </c>
      <c r="L396" s="278">
        <v>46142</v>
      </c>
      <c r="M396" s="279" t="s">
        <v>2946</v>
      </c>
      <c r="N396" s="280"/>
      <c r="O396" s="281" t="s">
        <v>2887</v>
      </c>
      <c r="P396" s="281" t="s">
        <v>2898</v>
      </c>
    </row>
    <row r="397" spans="2:16" ht="14.45" customHeight="1" x14ac:dyDescent="0.2">
      <c r="B397" s="360"/>
      <c r="C397" s="366"/>
      <c r="D397" s="403"/>
      <c r="E397" s="248" t="s">
        <v>2763</v>
      </c>
      <c r="F397" s="249" t="s">
        <v>244</v>
      </c>
      <c r="G397" s="250" t="s">
        <v>2800</v>
      </c>
      <c r="H397" s="251" t="s">
        <v>2801</v>
      </c>
      <c r="I397" s="252" t="s">
        <v>426</v>
      </c>
      <c r="J397" s="253">
        <v>2964</v>
      </c>
      <c r="K397" s="254">
        <v>46185</v>
      </c>
      <c r="L397" s="255"/>
      <c r="M397" s="256" t="s">
        <v>2946</v>
      </c>
      <c r="N397" s="257"/>
      <c r="O397" s="258" t="s">
        <v>2887</v>
      </c>
      <c r="P397" s="258" t="s">
        <v>2897</v>
      </c>
    </row>
    <row r="398" spans="2:16" ht="14.45" customHeight="1" x14ac:dyDescent="0.2">
      <c r="B398" s="360"/>
      <c r="C398" s="366"/>
      <c r="D398" s="403"/>
      <c r="E398" s="248" t="s">
        <v>2763</v>
      </c>
      <c r="F398" s="249" t="s">
        <v>2632</v>
      </c>
      <c r="G398" s="250" t="s">
        <v>243</v>
      </c>
      <c r="H398" s="251" t="s">
        <v>2489</v>
      </c>
      <c r="I398" s="252" t="s">
        <v>427</v>
      </c>
      <c r="J398" s="253">
        <v>2495</v>
      </c>
      <c r="K398" s="254">
        <v>46185</v>
      </c>
      <c r="L398" s="255"/>
      <c r="M398" s="256" t="s">
        <v>2946</v>
      </c>
      <c r="N398" s="257"/>
      <c r="O398" s="258" t="s">
        <v>2887</v>
      </c>
      <c r="P398" s="258" t="s">
        <v>2897</v>
      </c>
    </row>
    <row r="399" spans="2:16" ht="14.45" customHeight="1" x14ac:dyDescent="0.2">
      <c r="B399" s="360"/>
      <c r="C399" s="366"/>
      <c r="D399" s="403"/>
      <c r="E399" s="248" t="s">
        <v>2763</v>
      </c>
      <c r="F399" s="249" t="s">
        <v>245</v>
      </c>
      <c r="G399" s="250" t="s">
        <v>2842</v>
      </c>
      <c r="H399" s="251" t="s">
        <v>2843</v>
      </c>
      <c r="I399" s="252" t="s">
        <v>428</v>
      </c>
      <c r="J399" s="253">
        <v>2039</v>
      </c>
      <c r="K399" s="254">
        <v>46185</v>
      </c>
      <c r="L399" s="255"/>
      <c r="M399" s="256" t="s">
        <v>2946</v>
      </c>
      <c r="N399" s="259"/>
      <c r="O399" s="258" t="s">
        <v>2887</v>
      </c>
      <c r="P399" s="258" t="s">
        <v>2897</v>
      </c>
    </row>
    <row r="400" spans="2:16" ht="14.45" customHeight="1" x14ac:dyDescent="0.2">
      <c r="B400" s="360"/>
      <c r="C400" s="366"/>
      <c r="D400" s="403"/>
      <c r="E400" s="248" t="s">
        <v>1845</v>
      </c>
      <c r="F400" s="249" t="s">
        <v>3235</v>
      </c>
      <c r="G400" s="250" t="s">
        <v>4026</v>
      </c>
      <c r="H400" s="251" t="s">
        <v>3629</v>
      </c>
      <c r="I400" s="252" t="s">
        <v>2760</v>
      </c>
      <c r="J400" s="253">
        <v>368</v>
      </c>
      <c r="K400" s="254"/>
      <c r="L400" s="255"/>
      <c r="M400" s="256"/>
      <c r="N400" s="259"/>
      <c r="O400" s="258" t="s">
        <v>2887</v>
      </c>
      <c r="P400" s="258" t="s">
        <v>2897</v>
      </c>
    </row>
    <row r="401" spans="2:16" ht="14.45" customHeight="1" x14ac:dyDescent="0.2">
      <c r="B401" s="360"/>
      <c r="C401" s="366"/>
      <c r="D401" s="403"/>
      <c r="E401" s="248" t="s">
        <v>1845</v>
      </c>
      <c r="F401" s="249" t="s">
        <v>3236</v>
      </c>
      <c r="G401" s="250" t="s">
        <v>4027</v>
      </c>
      <c r="H401" s="251" t="s">
        <v>3630</v>
      </c>
      <c r="I401" s="252" t="s">
        <v>2760</v>
      </c>
      <c r="J401" s="253">
        <v>216</v>
      </c>
      <c r="K401" s="254"/>
      <c r="L401" s="255"/>
      <c r="M401" s="256"/>
      <c r="N401" s="259"/>
      <c r="O401" s="258" t="s">
        <v>2887</v>
      </c>
      <c r="P401" s="258" t="s">
        <v>2897</v>
      </c>
    </row>
    <row r="402" spans="2:16" ht="14.45" customHeight="1" x14ac:dyDescent="0.2">
      <c r="B402" s="360"/>
      <c r="C402" s="366"/>
      <c r="D402" s="403"/>
      <c r="E402" s="248" t="s">
        <v>1845</v>
      </c>
      <c r="F402" s="249" t="s">
        <v>3237</v>
      </c>
      <c r="G402" s="250" t="s">
        <v>4028</v>
      </c>
      <c r="H402" s="251" t="s">
        <v>3631</v>
      </c>
      <c r="I402" s="252" t="s">
        <v>2760</v>
      </c>
      <c r="J402" s="253">
        <v>429</v>
      </c>
      <c r="K402" s="254"/>
      <c r="L402" s="255"/>
      <c r="M402" s="256"/>
      <c r="N402" s="259"/>
      <c r="O402" s="258" t="s">
        <v>2887</v>
      </c>
      <c r="P402" s="258" t="s">
        <v>2897</v>
      </c>
    </row>
    <row r="403" spans="2:16" ht="14.45" customHeight="1" x14ac:dyDescent="0.2">
      <c r="B403" s="360"/>
      <c r="C403" s="366"/>
      <c r="D403" s="403"/>
      <c r="E403" s="248" t="s">
        <v>1845</v>
      </c>
      <c r="F403" s="249" t="s">
        <v>3238</v>
      </c>
      <c r="G403" s="250" t="s">
        <v>4029</v>
      </c>
      <c r="H403" s="251" t="s">
        <v>3632</v>
      </c>
      <c r="I403" s="252" t="s">
        <v>2760</v>
      </c>
      <c r="J403" s="253">
        <v>249</v>
      </c>
      <c r="K403" s="254"/>
      <c r="L403" s="255"/>
      <c r="M403" s="256"/>
      <c r="N403" s="259"/>
      <c r="O403" s="258" t="s">
        <v>2887</v>
      </c>
      <c r="P403" s="258" t="s">
        <v>2897</v>
      </c>
    </row>
    <row r="404" spans="2:16" ht="14.45" customHeight="1" x14ac:dyDescent="0.2">
      <c r="B404" s="360"/>
      <c r="C404" s="366"/>
      <c r="D404" s="403"/>
      <c r="E404" s="248" t="s">
        <v>1845</v>
      </c>
      <c r="F404" s="249" t="s">
        <v>3239</v>
      </c>
      <c r="G404" s="250" t="s">
        <v>4030</v>
      </c>
      <c r="H404" s="251" t="s">
        <v>3633</v>
      </c>
      <c r="I404" s="252" t="s">
        <v>2760</v>
      </c>
      <c r="J404" s="253">
        <v>364</v>
      </c>
      <c r="K404" s="254"/>
      <c r="L404" s="255"/>
      <c r="M404" s="256"/>
      <c r="N404" s="259"/>
      <c r="O404" s="258" t="s">
        <v>2887</v>
      </c>
      <c r="P404" s="258" t="s">
        <v>2897</v>
      </c>
    </row>
    <row r="405" spans="2:16" ht="14.45" customHeight="1" x14ac:dyDescent="0.2">
      <c r="B405" s="360"/>
      <c r="C405" s="366"/>
      <c r="D405" s="403"/>
      <c r="E405" s="248" t="s">
        <v>1845</v>
      </c>
      <c r="F405" s="249" t="s">
        <v>3240</v>
      </c>
      <c r="G405" s="250" t="s">
        <v>4031</v>
      </c>
      <c r="H405" s="251" t="s">
        <v>3634</v>
      </c>
      <c r="I405" s="252" t="s">
        <v>2760</v>
      </c>
      <c r="J405" s="253">
        <v>292</v>
      </c>
      <c r="K405" s="254"/>
      <c r="L405" s="255"/>
      <c r="M405" s="256"/>
      <c r="N405" s="259"/>
      <c r="O405" s="258" t="s">
        <v>2887</v>
      </c>
      <c r="P405" s="258" t="s">
        <v>2897</v>
      </c>
    </row>
    <row r="406" spans="2:16" ht="14.45" customHeight="1" x14ac:dyDescent="0.2">
      <c r="B406" s="360"/>
      <c r="C406" s="366"/>
      <c r="D406" s="403"/>
      <c r="E406" s="248" t="s">
        <v>1845</v>
      </c>
      <c r="F406" s="249" t="s">
        <v>3241</v>
      </c>
      <c r="G406" s="250" t="s">
        <v>4032</v>
      </c>
      <c r="H406" s="251" t="s">
        <v>3635</v>
      </c>
      <c r="I406" s="252" t="s">
        <v>2760</v>
      </c>
      <c r="J406" s="253">
        <v>402</v>
      </c>
      <c r="K406" s="254"/>
      <c r="L406" s="255"/>
      <c r="M406" s="256"/>
      <c r="N406" s="259"/>
      <c r="O406" s="258" t="s">
        <v>2887</v>
      </c>
      <c r="P406" s="258" t="s">
        <v>2897</v>
      </c>
    </row>
    <row r="407" spans="2:16" ht="14.45" customHeight="1" x14ac:dyDescent="0.2">
      <c r="B407" s="360"/>
      <c r="C407" s="366"/>
      <c r="D407" s="403"/>
      <c r="E407" s="248" t="s">
        <v>1845</v>
      </c>
      <c r="F407" s="249" t="s">
        <v>3242</v>
      </c>
      <c r="G407" s="250" t="s">
        <v>4033</v>
      </c>
      <c r="H407" s="251" t="s">
        <v>3636</v>
      </c>
      <c r="I407" s="252" t="s">
        <v>2760</v>
      </c>
      <c r="J407" s="253">
        <v>411</v>
      </c>
      <c r="K407" s="254"/>
      <c r="L407" s="255"/>
      <c r="M407" s="256"/>
      <c r="N407" s="259"/>
      <c r="O407" s="258" t="s">
        <v>2887</v>
      </c>
      <c r="P407" s="258" t="s">
        <v>2897</v>
      </c>
    </row>
    <row r="408" spans="2:16" ht="14.45" customHeight="1" x14ac:dyDescent="0.2">
      <c r="B408" s="360"/>
      <c r="C408" s="366"/>
      <c r="D408" s="403"/>
      <c r="E408" s="248" t="s">
        <v>1845</v>
      </c>
      <c r="F408" s="249" t="s">
        <v>3243</v>
      </c>
      <c r="G408" s="250" t="s">
        <v>4034</v>
      </c>
      <c r="H408" s="251" t="s">
        <v>3637</v>
      </c>
      <c r="I408" s="252" t="s">
        <v>2760</v>
      </c>
      <c r="J408" s="253">
        <v>460</v>
      </c>
      <c r="K408" s="254"/>
      <c r="L408" s="255"/>
      <c r="M408" s="256"/>
      <c r="N408" s="259"/>
      <c r="O408" s="258" t="s">
        <v>2887</v>
      </c>
      <c r="P408" s="258" t="s">
        <v>2897</v>
      </c>
    </row>
    <row r="409" spans="2:16" ht="14.45" customHeight="1" x14ac:dyDescent="0.2">
      <c r="B409" s="360"/>
      <c r="C409" s="366"/>
      <c r="D409" s="403"/>
      <c r="E409" s="248" t="s">
        <v>1845</v>
      </c>
      <c r="F409" s="249" t="s">
        <v>3244</v>
      </c>
      <c r="G409" s="250" t="s">
        <v>4035</v>
      </c>
      <c r="H409" s="251" t="s">
        <v>3638</v>
      </c>
      <c r="I409" s="252" t="s">
        <v>2760</v>
      </c>
      <c r="J409" s="253">
        <v>275</v>
      </c>
      <c r="K409" s="254"/>
      <c r="L409" s="255"/>
      <c r="M409" s="256"/>
      <c r="N409" s="259"/>
      <c r="O409" s="258" t="s">
        <v>2887</v>
      </c>
      <c r="P409" s="258" t="s">
        <v>2897</v>
      </c>
    </row>
    <row r="410" spans="2:16" ht="14.45" customHeight="1" x14ac:dyDescent="0.2">
      <c r="B410" s="360"/>
      <c r="C410" s="366"/>
      <c r="D410" s="403"/>
      <c r="E410" s="248" t="s">
        <v>1845</v>
      </c>
      <c r="F410" s="249" t="s">
        <v>3245</v>
      </c>
      <c r="G410" s="250" t="s">
        <v>4036</v>
      </c>
      <c r="H410" s="251" t="s">
        <v>3639</v>
      </c>
      <c r="I410" s="252" t="s">
        <v>2760</v>
      </c>
      <c r="J410" s="253">
        <v>259</v>
      </c>
      <c r="K410" s="254"/>
      <c r="L410" s="255"/>
      <c r="M410" s="256"/>
      <c r="N410" s="259"/>
      <c r="O410" s="258" t="s">
        <v>2887</v>
      </c>
      <c r="P410" s="258" t="s">
        <v>2897</v>
      </c>
    </row>
    <row r="411" spans="2:16" ht="14.45" customHeight="1" x14ac:dyDescent="0.2">
      <c r="B411" s="360"/>
      <c r="C411" s="366"/>
      <c r="D411" s="403"/>
      <c r="E411" s="248" t="s">
        <v>1845</v>
      </c>
      <c r="F411" s="249" t="s">
        <v>3246</v>
      </c>
      <c r="G411" s="250" t="s">
        <v>4037</v>
      </c>
      <c r="H411" s="251" t="s">
        <v>3640</v>
      </c>
      <c r="I411" s="252" t="s">
        <v>2760</v>
      </c>
      <c r="J411" s="253">
        <v>971</v>
      </c>
      <c r="K411" s="254"/>
      <c r="L411" s="255"/>
      <c r="M411" s="256"/>
      <c r="N411" s="259"/>
      <c r="O411" s="258" t="s">
        <v>2887</v>
      </c>
      <c r="P411" s="258" t="s">
        <v>2897</v>
      </c>
    </row>
    <row r="412" spans="2:16" ht="14.45" customHeight="1" x14ac:dyDescent="0.2">
      <c r="B412" s="360"/>
      <c r="C412" s="366"/>
      <c r="D412" s="405"/>
      <c r="E412" s="260" t="s">
        <v>1845</v>
      </c>
      <c r="F412" s="261" t="s">
        <v>3341</v>
      </c>
      <c r="G412" s="262" t="s">
        <v>4135</v>
      </c>
      <c r="H412" s="263" t="s">
        <v>3738</v>
      </c>
      <c r="I412" s="264" t="s">
        <v>2760</v>
      </c>
      <c r="J412" s="265">
        <v>298</v>
      </c>
      <c r="K412" s="266"/>
      <c r="L412" s="267"/>
      <c r="M412" s="268" t="s">
        <v>2946</v>
      </c>
      <c r="N412" s="269" t="s">
        <v>4207</v>
      </c>
      <c r="O412" s="270" t="s">
        <v>2887</v>
      </c>
      <c r="P412" s="270" t="s">
        <v>2897</v>
      </c>
    </row>
    <row r="413" spans="2:16" ht="14.45" customHeight="1" x14ac:dyDescent="0.2">
      <c r="B413" s="360"/>
      <c r="C413" s="366"/>
      <c r="D413" s="402" t="s">
        <v>83</v>
      </c>
      <c r="E413" s="292" t="s">
        <v>7</v>
      </c>
      <c r="F413" s="293" t="s">
        <v>131</v>
      </c>
      <c r="G413" s="294" t="s">
        <v>177</v>
      </c>
      <c r="H413" s="295" t="s">
        <v>2542</v>
      </c>
      <c r="I413" s="296" t="s">
        <v>344</v>
      </c>
      <c r="J413" s="297">
        <v>5217</v>
      </c>
      <c r="K413" s="298">
        <v>46121</v>
      </c>
      <c r="L413" s="299">
        <v>46142</v>
      </c>
      <c r="M413" s="300" t="s">
        <v>2945</v>
      </c>
      <c r="N413" s="301"/>
      <c r="O413" s="302" t="s">
        <v>2887</v>
      </c>
      <c r="P413" s="302" t="s">
        <v>2897</v>
      </c>
    </row>
    <row r="414" spans="2:16" ht="14.45" customHeight="1" x14ac:dyDescent="0.2">
      <c r="B414" s="360"/>
      <c r="C414" s="366"/>
      <c r="D414" s="403"/>
      <c r="E414" s="248" t="s">
        <v>2763</v>
      </c>
      <c r="F414" s="249" t="s">
        <v>246</v>
      </c>
      <c r="G414" s="250" t="s">
        <v>2845</v>
      </c>
      <c r="H414" s="251" t="s">
        <v>2846</v>
      </c>
      <c r="I414" s="252" t="s">
        <v>429</v>
      </c>
      <c r="J414" s="253">
        <v>1922</v>
      </c>
      <c r="K414" s="254">
        <v>46185</v>
      </c>
      <c r="L414" s="255"/>
      <c r="M414" s="256" t="s">
        <v>2945</v>
      </c>
      <c r="N414" s="259"/>
      <c r="O414" s="258" t="s">
        <v>2887</v>
      </c>
      <c r="P414" s="258" t="s">
        <v>2897</v>
      </c>
    </row>
    <row r="415" spans="2:16" ht="14.45" customHeight="1" x14ac:dyDescent="0.2">
      <c r="B415" s="360"/>
      <c r="C415" s="366"/>
      <c r="D415" s="403"/>
      <c r="E415" s="248" t="s">
        <v>2763</v>
      </c>
      <c r="F415" s="249" t="s">
        <v>2633</v>
      </c>
      <c r="G415" s="250" t="s">
        <v>2848</v>
      </c>
      <c r="H415" s="251" t="s">
        <v>2849</v>
      </c>
      <c r="I415" s="252" t="s">
        <v>430</v>
      </c>
      <c r="J415" s="253">
        <v>1653</v>
      </c>
      <c r="K415" s="254">
        <v>46185</v>
      </c>
      <c r="L415" s="255"/>
      <c r="M415" s="256" t="s">
        <v>2945</v>
      </c>
      <c r="N415" s="259"/>
      <c r="O415" s="258" t="s">
        <v>2887</v>
      </c>
      <c r="P415" s="258" t="s">
        <v>2897</v>
      </c>
    </row>
    <row r="416" spans="2:16" ht="14.45" customHeight="1" x14ac:dyDescent="0.2">
      <c r="B416" s="360"/>
      <c r="C416" s="366"/>
      <c r="D416" s="403"/>
      <c r="E416" s="248" t="s">
        <v>1845</v>
      </c>
      <c r="F416" s="249" t="s">
        <v>3247</v>
      </c>
      <c r="G416" s="250" t="s">
        <v>4038</v>
      </c>
      <c r="H416" s="251" t="s">
        <v>3641</v>
      </c>
      <c r="I416" s="252" t="s">
        <v>2760</v>
      </c>
      <c r="J416" s="253">
        <v>134</v>
      </c>
      <c r="K416" s="254"/>
      <c r="L416" s="255"/>
      <c r="M416" s="256"/>
      <c r="N416" s="259"/>
      <c r="O416" s="258" t="s">
        <v>2887</v>
      </c>
      <c r="P416" s="258" t="s">
        <v>2897</v>
      </c>
    </row>
    <row r="417" spans="2:16" ht="14.45" customHeight="1" x14ac:dyDescent="0.2">
      <c r="B417" s="360"/>
      <c r="C417" s="366"/>
      <c r="D417" s="403"/>
      <c r="E417" s="248" t="s">
        <v>1845</v>
      </c>
      <c r="F417" s="249" t="s">
        <v>2954</v>
      </c>
      <c r="G417" s="250" t="s">
        <v>4039</v>
      </c>
      <c r="H417" s="251" t="s">
        <v>3642</v>
      </c>
      <c r="I417" s="252" t="s">
        <v>2760</v>
      </c>
      <c r="J417" s="253">
        <v>243</v>
      </c>
      <c r="K417" s="254"/>
      <c r="L417" s="255"/>
      <c r="M417" s="256"/>
      <c r="N417" s="259"/>
      <c r="O417" s="258" t="s">
        <v>2887</v>
      </c>
      <c r="P417" s="258" t="s">
        <v>2897</v>
      </c>
    </row>
    <row r="418" spans="2:16" ht="14.45" customHeight="1" x14ac:dyDescent="0.2">
      <c r="B418" s="360"/>
      <c r="C418" s="366"/>
      <c r="D418" s="403"/>
      <c r="E418" s="248" t="s">
        <v>1845</v>
      </c>
      <c r="F418" s="249" t="s">
        <v>3248</v>
      </c>
      <c r="G418" s="250" t="s">
        <v>4040</v>
      </c>
      <c r="H418" s="251" t="s">
        <v>3643</v>
      </c>
      <c r="I418" s="252" t="s">
        <v>2760</v>
      </c>
      <c r="J418" s="253">
        <v>173</v>
      </c>
      <c r="K418" s="254"/>
      <c r="L418" s="255"/>
      <c r="M418" s="256"/>
      <c r="N418" s="259"/>
      <c r="O418" s="258" t="s">
        <v>2887</v>
      </c>
      <c r="P418" s="258" t="s">
        <v>2897</v>
      </c>
    </row>
    <row r="419" spans="2:16" ht="14.45" customHeight="1" x14ac:dyDescent="0.2">
      <c r="B419" s="360"/>
      <c r="C419" s="366"/>
      <c r="D419" s="403"/>
      <c r="E419" s="248" t="s">
        <v>1845</v>
      </c>
      <c r="F419" s="249" t="s">
        <v>3249</v>
      </c>
      <c r="G419" s="250" t="s">
        <v>4041</v>
      </c>
      <c r="H419" s="251" t="s">
        <v>3644</v>
      </c>
      <c r="I419" s="252" t="s">
        <v>2760</v>
      </c>
      <c r="J419" s="253">
        <v>214</v>
      </c>
      <c r="K419" s="254"/>
      <c r="L419" s="255"/>
      <c r="M419" s="256"/>
      <c r="N419" s="259"/>
      <c r="O419" s="258" t="s">
        <v>2887</v>
      </c>
      <c r="P419" s="258" t="s">
        <v>2897</v>
      </c>
    </row>
    <row r="420" spans="2:16" ht="14.45" customHeight="1" x14ac:dyDescent="0.2">
      <c r="B420" s="360"/>
      <c r="C420" s="366"/>
      <c r="D420" s="403"/>
      <c r="E420" s="248" t="s">
        <v>1845</v>
      </c>
      <c r="F420" s="249" t="s">
        <v>3250</v>
      </c>
      <c r="G420" s="250" t="s">
        <v>4042</v>
      </c>
      <c r="H420" s="251" t="s">
        <v>3645</v>
      </c>
      <c r="I420" s="252" t="s">
        <v>2760</v>
      </c>
      <c r="J420" s="253">
        <v>394</v>
      </c>
      <c r="K420" s="254"/>
      <c r="L420" s="255"/>
      <c r="M420" s="256"/>
      <c r="N420" s="259"/>
      <c r="O420" s="258" t="s">
        <v>2887</v>
      </c>
      <c r="P420" s="258" t="s">
        <v>2897</v>
      </c>
    </row>
    <row r="421" spans="2:16" ht="14.45" customHeight="1" x14ac:dyDescent="0.2">
      <c r="B421" s="360"/>
      <c r="C421" s="366"/>
      <c r="D421" s="403"/>
      <c r="E421" s="248" t="s">
        <v>1845</v>
      </c>
      <c r="F421" s="249" t="s">
        <v>3251</v>
      </c>
      <c r="G421" s="250" t="s">
        <v>4043</v>
      </c>
      <c r="H421" s="251" t="s">
        <v>3646</v>
      </c>
      <c r="I421" s="252" t="s">
        <v>2760</v>
      </c>
      <c r="J421" s="253">
        <v>485</v>
      </c>
      <c r="K421" s="254"/>
      <c r="L421" s="255"/>
      <c r="M421" s="256"/>
      <c r="N421" s="259"/>
      <c r="O421" s="258" t="s">
        <v>2887</v>
      </c>
      <c r="P421" s="258" t="s">
        <v>2897</v>
      </c>
    </row>
    <row r="422" spans="2:16" ht="14.45" customHeight="1" thickBot="1" x14ac:dyDescent="0.25">
      <c r="B422" s="360"/>
      <c r="C422" s="367"/>
      <c r="D422" s="406"/>
      <c r="E422" s="304" t="s">
        <v>1845</v>
      </c>
      <c r="F422" s="305" t="s">
        <v>3252</v>
      </c>
      <c r="G422" s="306" t="s">
        <v>4044</v>
      </c>
      <c r="H422" s="307" t="s">
        <v>3647</v>
      </c>
      <c r="I422" s="308" t="s">
        <v>2760</v>
      </c>
      <c r="J422" s="309">
        <v>528</v>
      </c>
      <c r="K422" s="310"/>
      <c r="L422" s="311"/>
      <c r="M422" s="312"/>
      <c r="N422" s="313"/>
      <c r="O422" s="314" t="s">
        <v>2887</v>
      </c>
      <c r="P422" s="314" t="s">
        <v>2897</v>
      </c>
    </row>
    <row r="423" spans="2:16" ht="14.45" customHeight="1" x14ac:dyDescent="0.2">
      <c r="B423" s="360"/>
      <c r="C423" s="366" t="s">
        <v>1699</v>
      </c>
      <c r="D423" s="403" t="s">
        <v>85</v>
      </c>
      <c r="E423" s="292" t="s">
        <v>7</v>
      </c>
      <c r="F423" s="293" t="s">
        <v>132</v>
      </c>
      <c r="G423" s="294" t="s">
        <v>178</v>
      </c>
      <c r="H423" s="295" t="s">
        <v>2543</v>
      </c>
      <c r="I423" s="296" t="s">
        <v>345</v>
      </c>
      <c r="J423" s="297">
        <v>5343</v>
      </c>
      <c r="K423" s="298">
        <v>46122</v>
      </c>
      <c r="L423" s="299">
        <v>46143</v>
      </c>
      <c r="M423" s="300" t="s">
        <v>2945</v>
      </c>
      <c r="N423" s="301"/>
      <c r="O423" s="302" t="s">
        <v>2887</v>
      </c>
      <c r="P423" s="302" t="s">
        <v>2900</v>
      </c>
    </row>
    <row r="424" spans="2:16" ht="14.45" customHeight="1" x14ac:dyDescent="0.2">
      <c r="B424" s="360"/>
      <c r="C424" s="366"/>
      <c r="D424" s="403"/>
      <c r="E424" s="248" t="s">
        <v>2763</v>
      </c>
      <c r="F424" s="249" t="s">
        <v>253</v>
      </c>
      <c r="G424" s="250" t="s">
        <v>2691</v>
      </c>
      <c r="H424" s="251" t="s">
        <v>2693</v>
      </c>
      <c r="I424" s="252" t="s">
        <v>431</v>
      </c>
      <c r="J424" s="253">
        <v>1817</v>
      </c>
      <c r="K424" s="254">
        <v>46185</v>
      </c>
      <c r="L424" s="255"/>
      <c r="M424" s="256" t="s">
        <v>2946</v>
      </c>
      <c r="N424" s="259"/>
      <c r="O424" s="258" t="s">
        <v>2887</v>
      </c>
      <c r="P424" s="258" t="s">
        <v>2899</v>
      </c>
    </row>
    <row r="425" spans="2:16" ht="14.45" customHeight="1" x14ac:dyDescent="0.2">
      <c r="B425" s="360"/>
      <c r="C425" s="366"/>
      <c r="D425" s="403"/>
      <c r="E425" s="248" t="s">
        <v>2763</v>
      </c>
      <c r="F425" s="249" t="s">
        <v>2634</v>
      </c>
      <c r="G425" s="250" t="s">
        <v>247</v>
      </c>
      <c r="H425" s="251" t="s">
        <v>2490</v>
      </c>
      <c r="I425" s="252" t="s">
        <v>432</v>
      </c>
      <c r="J425" s="253">
        <v>2184</v>
      </c>
      <c r="K425" s="254">
        <v>46185</v>
      </c>
      <c r="L425" s="255"/>
      <c r="M425" s="256" t="s">
        <v>2945</v>
      </c>
      <c r="N425" s="259"/>
      <c r="O425" s="258" t="s">
        <v>2887</v>
      </c>
      <c r="P425" s="258" t="s">
        <v>2899</v>
      </c>
    </row>
    <row r="426" spans="2:16" ht="14.45" customHeight="1" x14ac:dyDescent="0.2">
      <c r="B426" s="360"/>
      <c r="C426" s="366"/>
      <c r="D426" s="403"/>
      <c r="E426" s="248" t="s">
        <v>2763</v>
      </c>
      <c r="F426" s="249" t="s">
        <v>254</v>
      </c>
      <c r="G426" s="250" t="s">
        <v>248</v>
      </c>
      <c r="H426" s="251" t="s">
        <v>2491</v>
      </c>
      <c r="I426" s="252" t="s">
        <v>433</v>
      </c>
      <c r="J426" s="253">
        <v>2469</v>
      </c>
      <c r="K426" s="254">
        <v>46185</v>
      </c>
      <c r="L426" s="255"/>
      <c r="M426" s="256" t="s">
        <v>2945</v>
      </c>
      <c r="N426" s="257"/>
      <c r="O426" s="258" t="s">
        <v>2887</v>
      </c>
      <c r="P426" s="258" t="s">
        <v>2899</v>
      </c>
    </row>
    <row r="427" spans="2:16" ht="14.45" customHeight="1" x14ac:dyDescent="0.2">
      <c r="B427" s="360"/>
      <c r="C427" s="366"/>
      <c r="D427" s="403"/>
      <c r="E427" s="248" t="s">
        <v>2763</v>
      </c>
      <c r="F427" s="249" t="s">
        <v>255</v>
      </c>
      <c r="G427" s="250" t="s">
        <v>249</v>
      </c>
      <c r="H427" s="251" t="s">
        <v>2492</v>
      </c>
      <c r="I427" s="252" t="s">
        <v>434</v>
      </c>
      <c r="J427" s="253">
        <v>2169</v>
      </c>
      <c r="K427" s="254">
        <v>46185</v>
      </c>
      <c r="L427" s="255"/>
      <c r="M427" s="256" t="s">
        <v>2945</v>
      </c>
      <c r="N427" s="259"/>
      <c r="O427" s="258" t="s">
        <v>2887</v>
      </c>
      <c r="P427" s="258" t="s">
        <v>2899</v>
      </c>
    </row>
    <row r="428" spans="2:16" ht="14.45" customHeight="1" x14ac:dyDescent="0.2">
      <c r="B428" s="360"/>
      <c r="C428" s="366"/>
      <c r="D428" s="403"/>
      <c r="E428" s="248" t="s">
        <v>2763</v>
      </c>
      <c r="F428" s="249" t="s">
        <v>256</v>
      </c>
      <c r="G428" s="250" t="s">
        <v>250</v>
      </c>
      <c r="H428" s="251" t="s">
        <v>2493</v>
      </c>
      <c r="I428" s="252" t="s">
        <v>435</v>
      </c>
      <c r="J428" s="253">
        <v>2630</v>
      </c>
      <c r="K428" s="254">
        <v>46185</v>
      </c>
      <c r="L428" s="255"/>
      <c r="M428" s="256" t="s">
        <v>2945</v>
      </c>
      <c r="N428" s="257"/>
      <c r="O428" s="258" t="s">
        <v>2887</v>
      </c>
      <c r="P428" s="258" t="s">
        <v>2899</v>
      </c>
    </row>
    <row r="429" spans="2:16" ht="14.45" customHeight="1" x14ac:dyDescent="0.2">
      <c r="B429" s="360"/>
      <c r="C429" s="366"/>
      <c r="D429" s="403"/>
      <c r="E429" s="248" t="s">
        <v>2763</v>
      </c>
      <c r="F429" s="249" t="s">
        <v>218</v>
      </c>
      <c r="G429" s="250" t="s">
        <v>2779</v>
      </c>
      <c r="H429" s="251" t="s">
        <v>2778</v>
      </c>
      <c r="I429" s="252" t="s">
        <v>383</v>
      </c>
      <c r="J429" s="253">
        <v>2467</v>
      </c>
      <c r="K429" s="254">
        <v>46185</v>
      </c>
      <c r="L429" s="255"/>
      <c r="M429" s="256" t="s">
        <v>2945</v>
      </c>
      <c r="N429" s="259"/>
      <c r="O429" s="258" t="s">
        <v>2887</v>
      </c>
      <c r="P429" s="258" t="s">
        <v>2899</v>
      </c>
    </row>
    <row r="430" spans="2:16" ht="14.45" customHeight="1" x14ac:dyDescent="0.2">
      <c r="B430" s="360"/>
      <c r="C430" s="366"/>
      <c r="D430" s="403"/>
      <c r="E430" s="248" t="s">
        <v>2763</v>
      </c>
      <c r="F430" s="249" t="s">
        <v>257</v>
      </c>
      <c r="G430" s="250" t="s">
        <v>251</v>
      </c>
      <c r="H430" s="251" t="s">
        <v>2494</v>
      </c>
      <c r="I430" s="252" t="s">
        <v>436</v>
      </c>
      <c r="J430" s="253">
        <v>2199</v>
      </c>
      <c r="K430" s="254">
        <v>46185</v>
      </c>
      <c r="L430" s="255"/>
      <c r="M430" s="256" t="s">
        <v>2945</v>
      </c>
      <c r="N430" s="257"/>
      <c r="O430" s="258" t="s">
        <v>2887</v>
      </c>
      <c r="P430" s="258" t="s">
        <v>2899</v>
      </c>
    </row>
    <row r="431" spans="2:16" ht="14.45" customHeight="1" x14ac:dyDescent="0.2">
      <c r="B431" s="360"/>
      <c r="C431" s="366"/>
      <c r="D431" s="403"/>
      <c r="E431" s="248" t="s">
        <v>2763</v>
      </c>
      <c r="F431" s="249" t="s">
        <v>258</v>
      </c>
      <c r="G431" s="250" t="s">
        <v>252</v>
      </c>
      <c r="H431" s="251" t="s">
        <v>2495</v>
      </c>
      <c r="I431" s="252" t="s">
        <v>437</v>
      </c>
      <c r="J431" s="253">
        <v>1975</v>
      </c>
      <c r="K431" s="254">
        <v>46185</v>
      </c>
      <c r="L431" s="255"/>
      <c r="M431" s="256" t="s">
        <v>2945</v>
      </c>
      <c r="N431" s="259"/>
      <c r="O431" s="258" t="s">
        <v>2887</v>
      </c>
      <c r="P431" s="258" t="s">
        <v>2899</v>
      </c>
    </row>
    <row r="432" spans="2:16" ht="14.45" customHeight="1" x14ac:dyDescent="0.2">
      <c r="B432" s="360"/>
      <c r="C432" s="366"/>
      <c r="D432" s="403"/>
      <c r="E432" s="248" t="s">
        <v>2764</v>
      </c>
      <c r="F432" s="249" t="s">
        <v>2663</v>
      </c>
      <c r="G432" s="250" t="s">
        <v>2716</v>
      </c>
      <c r="H432" s="251" t="s">
        <v>2611</v>
      </c>
      <c r="I432" s="252" t="s">
        <v>2593</v>
      </c>
      <c r="J432" s="253">
        <v>2634</v>
      </c>
      <c r="K432" s="254">
        <v>46185</v>
      </c>
      <c r="L432" s="255"/>
      <c r="M432" s="256" t="s">
        <v>2945</v>
      </c>
      <c r="N432" s="259"/>
      <c r="O432" s="258" t="s">
        <v>2887</v>
      </c>
      <c r="P432" s="258" t="s">
        <v>2899</v>
      </c>
    </row>
    <row r="433" spans="2:16" ht="14.45" customHeight="1" x14ac:dyDescent="0.2">
      <c r="B433" s="360"/>
      <c r="C433" s="366"/>
      <c r="D433" s="403"/>
      <c r="E433" s="248" t="s">
        <v>1845</v>
      </c>
      <c r="F433" s="249" t="s">
        <v>3253</v>
      </c>
      <c r="G433" s="250" t="s">
        <v>4045</v>
      </c>
      <c r="H433" s="251" t="s">
        <v>3648</v>
      </c>
      <c r="I433" s="252" t="s">
        <v>2760</v>
      </c>
      <c r="J433" s="253">
        <v>373</v>
      </c>
      <c r="K433" s="254"/>
      <c r="L433" s="255"/>
      <c r="M433" s="256" t="s">
        <v>2945</v>
      </c>
      <c r="N433" s="259"/>
      <c r="O433" s="258" t="s">
        <v>2887</v>
      </c>
      <c r="P433" s="258" t="s">
        <v>2899</v>
      </c>
    </row>
    <row r="434" spans="2:16" ht="14.45" customHeight="1" x14ac:dyDescent="0.2">
      <c r="B434" s="360"/>
      <c r="C434" s="366"/>
      <c r="D434" s="403"/>
      <c r="E434" s="248" t="s">
        <v>1845</v>
      </c>
      <c r="F434" s="249" t="s">
        <v>3254</v>
      </c>
      <c r="G434" s="250" t="s">
        <v>4046</v>
      </c>
      <c r="H434" s="251" t="s">
        <v>3649</v>
      </c>
      <c r="I434" s="252" t="s">
        <v>2760</v>
      </c>
      <c r="J434" s="253">
        <v>172</v>
      </c>
      <c r="K434" s="254"/>
      <c r="L434" s="255"/>
      <c r="M434" s="256" t="s">
        <v>2945</v>
      </c>
      <c r="N434" s="259"/>
      <c r="O434" s="258" t="s">
        <v>2887</v>
      </c>
      <c r="P434" s="258" t="s">
        <v>2899</v>
      </c>
    </row>
    <row r="435" spans="2:16" ht="14.45" customHeight="1" x14ac:dyDescent="0.2">
      <c r="B435" s="360"/>
      <c r="C435" s="366"/>
      <c r="D435" s="403"/>
      <c r="E435" s="248" t="s">
        <v>1845</v>
      </c>
      <c r="F435" s="249" t="s">
        <v>3255</v>
      </c>
      <c r="G435" s="250" t="s">
        <v>4047</v>
      </c>
      <c r="H435" s="251" t="s">
        <v>3650</v>
      </c>
      <c r="I435" s="252" t="s">
        <v>2760</v>
      </c>
      <c r="J435" s="253">
        <v>423</v>
      </c>
      <c r="K435" s="254"/>
      <c r="L435" s="255"/>
      <c r="M435" s="256" t="s">
        <v>2945</v>
      </c>
      <c r="N435" s="259"/>
      <c r="O435" s="258" t="s">
        <v>2887</v>
      </c>
      <c r="P435" s="258" t="s">
        <v>2899</v>
      </c>
    </row>
    <row r="436" spans="2:16" ht="14.45" customHeight="1" x14ac:dyDescent="0.2">
      <c r="B436" s="360"/>
      <c r="C436" s="366"/>
      <c r="D436" s="403"/>
      <c r="E436" s="248" t="s">
        <v>1845</v>
      </c>
      <c r="F436" s="249" t="s">
        <v>3256</v>
      </c>
      <c r="G436" s="250" t="s">
        <v>4048</v>
      </c>
      <c r="H436" s="251" t="s">
        <v>3651</v>
      </c>
      <c r="I436" s="252" t="s">
        <v>2760</v>
      </c>
      <c r="J436" s="253">
        <v>602</v>
      </c>
      <c r="K436" s="254"/>
      <c r="L436" s="255"/>
      <c r="M436" s="256" t="s">
        <v>2945</v>
      </c>
      <c r="N436" s="259"/>
      <c r="O436" s="258" t="s">
        <v>2887</v>
      </c>
      <c r="P436" s="258" t="s">
        <v>2899</v>
      </c>
    </row>
    <row r="437" spans="2:16" ht="14.45" customHeight="1" x14ac:dyDescent="0.2">
      <c r="B437" s="360"/>
      <c r="C437" s="366"/>
      <c r="D437" s="403"/>
      <c r="E437" s="248" t="s">
        <v>1845</v>
      </c>
      <c r="F437" s="249" t="s">
        <v>3257</v>
      </c>
      <c r="G437" s="250" t="s">
        <v>4049</v>
      </c>
      <c r="H437" s="251" t="s">
        <v>3652</v>
      </c>
      <c r="I437" s="252" t="s">
        <v>2760</v>
      </c>
      <c r="J437" s="253">
        <v>247</v>
      </c>
      <c r="K437" s="254"/>
      <c r="L437" s="255"/>
      <c r="M437" s="256" t="s">
        <v>2945</v>
      </c>
      <c r="N437" s="259"/>
      <c r="O437" s="258" t="s">
        <v>2887</v>
      </c>
      <c r="P437" s="258" t="s">
        <v>2899</v>
      </c>
    </row>
    <row r="438" spans="2:16" ht="14.45" customHeight="1" x14ac:dyDescent="0.2">
      <c r="B438" s="360"/>
      <c r="C438" s="366"/>
      <c r="D438" s="403"/>
      <c r="E438" s="248" t="s">
        <v>1845</v>
      </c>
      <c r="F438" s="249" t="s">
        <v>3258</v>
      </c>
      <c r="G438" s="250" t="s">
        <v>4050</v>
      </c>
      <c r="H438" s="251" t="s">
        <v>3653</v>
      </c>
      <c r="I438" s="252" t="s">
        <v>2760</v>
      </c>
      <c r="J438" s="253">
        <v>412</v>
      </c>
      <c r="K438" s="254"/>
      <c r="L438" s="255"/>
      <c r="M438" s="256" t="s">
        <v>2945</v>
      </c>
      <c r="N438" s="259"/>
      <c r="O438" s="258" t="s">
        <v>2887</v>
      </c>
      <c r="P438" s="258" t="s">
        <v>2899</v>
      </c>
    </row>
    <row r="439" spans="2:16" ht="14.45" customHeight="1" x14ac:dyDescent="0.2">
      <c r="B439" s="360"/>
      <c r="C439" s="366"/>
      <c r="D439" s="403"/>
      <c r="E439" s="248" t="s">
        <v>1845</v>
      </c>
      <c r="F439" s="249" t="s">
        <v>2995</v>
      </c>
      <c r="G439" s="250" t="s">
        <v>4051</v>
      </c>
      <c r="H439" s="251" t="s">
        <v>3654</v>
      </c>
      <c r="I439" s="252" t="s">
        <v>2760</v>
      </c>
      <c r="J439" s="253">
        <v>408</v>
      </c>
      <c r="K439" s="254"/>
      <c r="L439" s="255"/>
      <c r="M439" s="256" t="s">
        <v>2945</v>
      </c>
      <c r="N439" s="259"/>
      <c r="O439" s="258" t="s">
        <v>2887</v>
      </c>
      <c r="P439" s="258" t="s">
        <v>2899</v>
      </c>
    </row>
    <row r="440" spans="2:16" ht="14.45" customHeight="1" x14ac:dyDescent="0.2">
      <c r="B440" s="360"/>
      <c r="C440" s="366"/>
      <c r="D440" s="403"/>
      <c r="E440" s="248" t="s">
        <v>1845</v>
      </c>
      <c r="F440" s="249" t="s">
        <v>3259</v>
      </c>
      <c r="G440" s="250" t="s">
        <v>4052</v>
      </c>
      <c r="H440" s="251" t="s">
        <v>3655</v>
      </c>
      <c r="I440" s="252" t="s">
        <v>2760</v>
      </c>
      <c r="J440" s="253">
        <v>229</v>
      </c>
      <c r="K440" s="254"/>
      <c r="L440" s="255"/>
      <c r="M440" s="256" t="s">
        <v>2945</v>
      </c>
      <c r="N440" s="259"/>
      <c r="O440" s="258" t="s">
        <v>2887</v>
      </c>
      <c r="P440" s="258" t="s">
        <v>2899</v>
      </c>
    </row>
    <row r="441" spans="2:16" ht="14.45" customHeight="1" x14ac:dyDescent="0.2">
      <c r="B441" s="360"/>
      <c r="C441" s="366"/>
      <c r="D441" s="403"/>
      <c r="E441" s="248" t="s">
        <v>1845</v>
      </c>
      <c r="F441" s="249" t="s">
        <v>3260</v>
      </c>
      <c r="G441" s="250" t="s">
        <v>4053</v>
      </c>
      <c r="H441" s="251" t="s">
        <v>3656</v>
      </c>
      <c r="I441" s="252" t="s">
        <v>2760</v>
      </c>
      <c r="J441" s="253">
        <v>606</v>
      </c>
      <c r="K441" s="254"/>
      <c r="L441" s="255"/>
      <c r="M441" s="256" t="s">
        <v>2945</v>
      </c>
      <c r="N441" s="259"/>
      <c r="O441" s="258" t="s">
        <v>2887</v>
      </c>
      <c r="P441" s="258" t="s">
        <v>2899</v>
      </c>
    </row>
    <row r="442" spans="2:16" ht="14.45" customHeight="1" x14ac:dyDescent="0.2">
      <c r="B442" s="360"/>
      <c r="C442" s="366"/>
      <c r="D442" s="403"/>
      <c r="E442" s="248" t="s">
        <v>1845</v>
      </c>
      <c r="F442" s="249" t="s">
        <v>3261</v>
      </c>
      <c r="G442" s="250" t="s">
        <v>4054</v>
      </c>
      <c r="H442" s="251" t="s">
        <v>3657</v>
      </c>
      <c r="I442" s="252" t="s">
        <v>2760</v>
      </c>
      <c r="J442" s="253">
        <v>302</v>
      </c>
      <c r="K442" s="254"/>
      <c r="L442" s="255"/>
      <c r="M442" s="256" t="s">
        <v>2945</v>
      </c>
      <c r="N442" s="259"/>
      <c r="O442" s="258" t="s">
        <v>2887</v>
      </c>
      <c r="P442" s="258" t="s">
        <v>2899</v>
      </c>
    </row>
    <row r="443" spans="2:16" ht="14.45" customHeight="1" x14ac:dyDescent="0.2">
      <c r="B443" s="360"/>
      <c r="C443" s="366"/>
      <c r="D443" s="403"/>
      <c r="E443" s="248" t="s">
        <v>1845</v>
      </c>
      <c r="F443" s="249" t="s">
        <v>3262</v>
      </c>
      <c r="G443" s="250" t="s">
        <v>4055</v>
      </c>
      <c r="H443" s="251" t="s">
        <v>3658</v>
      </c>
      <c r="I443" s="252" t="s">
        <v>2760</v>
      </c>
      <c r="J443" s="253">
        <v>279</v>
      </c>
      <c r="K443" s="254"/>
      <c r="L443" s="255"/>
      <c r="M443" s="256" t="s">
        <v>2945</v>
      </c>
      <c r="N443" s="259"/>
      <c r="O443" s="258" t="s">
        <v>2887</v>
      </c>
      <c r="P443" s="258" t="s">
        <v>2899</v>
      </c>
    </row>
    <row r="444" spans="2:16" ht="14.45" customHeight="1" x14ac:dyDescent="0.2">
      <c r="B444" s="360"/>
      <c r="C444" s="366"/>
      <c r="D444" s="403"/>
      <c r="E444" s="248" t="s">
        <v>1845</v>
      </c>
      <c r="F444" s="249" t="s">
        <v>3263</v>
      </c>
      <c r="G444" s="250" t="s">
        <v>4056</v>
      </c>
      <c r="H444" s="251" t="s">
        <v>3659</v>
      </c>
      <c r="I444" s="252" t="s">
        <v>2760</v>
      </c>
      <c r="J444" s="253">
        <v>414</v>
      </c>
      <c r="K444" s="254"/>
      <c r="L444" s="255"/>
      <c r="M444" s="256" t="s">
        <v>2945</v>
      </c>
      <c r="N444" s="259"/>
      <c r="O444" s="258" t="s">
        <v>2887</v>
      </c>
      <c r="P444" s="258" t="s">
        <v>2899</v>
      </c>
    </row>
    <row r="445" spans="2:16" ht="14.45" customHeight="1" x14ac:dyDescent="0.2">
      <c r="B445" s="360"/>
      <c r="C445" s="366"/>
      <c r="D445" s="403"/>
      <c r="E445" s="248" t="s">
        <v>1845</v>
      </c>
      <c r="F445" s="249" t="s">
        <v>3264</v>
      </c>
      <c r="G445" s="250" t="s">
        <v>4057</v>
      </c>
      <c r="H445" s="251" t="s">
        <v>3660</v>
      </c>
      <c r="I445" s="252" t="s">
        <v>2760</v>
      </c>
      <c r="J445" s="253">
        <v>339</v>
      </c>
      <c r="K445" s="254"/>
      <c r="L445" s="255"/>
      <c r="M445" s="256" t="s">
        <v>2945</v>
      </c>
      <c r="N445" s="259"/>
      <c r="O445" s="258" t="s">
        <v>2887</v>
      </c>
      <c r="P445" s="258" t="s">
        <v>2899</v>
      </c>
    </row>
    <row r="446" spans="2:16" ht="14.45" customHeight="1" x14ac:dyDescent="0.2">
      <c r="B446" s="360"/>
      <c r="C446" s="366"/>
      <c r="D446" s="403"/>
      <c r="E446" s="248" t="s">
        <v>1845</v>
      </c>
      <c r="F446" s="249" t="s">
        <v>3265</v>
      </c>
      <c r="G446" s="250" t="s">
        <v>4058</v>
      </c>
      <c r="H446" s="251" t="s">
        <v>3661</v>
      </c>
      <c r="I446" s="252" t="s">
        <v>2760</v>
      </c>
      <c r="J446" s="253">
        <v>521</v>
      </c>
      <c r="K446" s="254"/>
      <c r="L446" s="255"/>
      <c r="M446" s="256" t="s">
        <v>2945</v>
      </c>
      <c r="N446" s="259"/>
      <c r="O446" s="258" t="s">
        <v>2887</v>
      </c>
      <c r="P446" s="258" t="s">
        <v>2899</v>
      </c>
    </row>
    <row r="447" spans="2:16" ht="14.45" customHeight="1" x14ac:dyDescent="0.2">
      <c r="B447" s="360"/>
      <c r="C447" s="366"/>
      <c r="D447" s="403"/>
      <c r="E447" s="248" t="s">
        <v>1845</v>
      </c>
      <c r="F447" s="249" t="s">
        <v>3266</v>
      </c>
      <c r="G447" s="250" t="s">
        <v>4059</v>
      </c>
      <c r="H447" s="251" t="s">
        <v>3662</v>
      </c>
      <c r="I447" s="252" t="s">
        <v>2760</v>
      </c>
      <c r="J447" s="253">
        <v>316</v>
      </c>
      <c r="K447" s="254"/>
      <c r="L447" s="255"/>
      <c r="M447" s="256" t="s">
        <v>2945</v>
      </c>
      <c r="N447" s="259"/>
      <c r="O447" s="258" t="s">
        <v>2887</v>
      </c>
      <c r="P447" s="258" t="s">
        <v>2899</v>
      </c>
    </row>
    <row r="448" spans="2:16" ht="14.45" customHeight="1" x14ac:dyDescent="0.2">
      <c r="B448" s="360"/>
      <c r="C448" s="366"/>
      <c r="D448" s="403"/>
      <c r="E448" s="248" t="s">
        <v>1845</v>
      </c>
      <c r="F448" s="249" t="s">
        <v>3267</v>
      </c>
      <c r="G448" s="250" t="s">
        <v>4060</v>
      </c>
      <c r="H448" s="251" t="s">
        <v>3663</v>
      </c>
      <c r="I448" s="252" t="s">
        <v>2760</v>
      </c>
      <c r="J448" s="253">
        <v>443</v>
      </c>
      <c r="K448" s="254"/>
      <c r="L448" s="255"/>
      <c r="M448" s="256" t="s">
        <v>2945</v>
      </c>
      <c r="N448" s="259"/>
      <c r="O448" s="258" t="s">
        <v>2887</v>
      </c>
      <c r="P448" s="258" t="s">
        <v>2899</v>
      </c>
    </row>
    <row r="449" spans="2:16" ht="14.45" customHeight="1" x14ac:dyDescent="0.2">
      <c r="B449" s="360"/>
      <c r="C449" s="366"/>
      <c r="D449" s="403"/>
      <c r="E449" s="248" t="s">
        <v>1845</v>
      </c>
      <c r="F449" s="249" t="s">
        <v>3268</v>
      </c>
      <c r="G449" s="250" t="s">
        <v>4061</v>
      </c>
      <c r="H449" s="251" t="s">
        <v>3664</v>
      </c>
      <c r="I449" s="252" t="s">
        <v>2760</v>
      </c>
      <c r="J449" s="253">
        <v>704</v>
      </c>
      <c r="K449" s="254"/>
      <c r="L449" s="255"/>
      <c r="M449" s="256" t="s">
        <v>2945</v>
      </c>
      <c r="N449" s="259"/>
      <c r="O449" s="258" t="s">
        <v>2887</v>
      </c>
      <c r="P449" s="258" t="s">
        <v>2899</v>
      </c>
    </row>
    <row r="450" spans="2:16" ht="14.45" customHeight="1" x14ac:dyDescent="0.2">
      <c r="B450" s="360"/>
      <c r="C450" s="366"/>
      <c r="D450" s="403"/>
      <c r="E450" s="248" t="s">
        <v>1845</v>
      </c>
      <c r="F450" s="249" t="s">
        <v>3269</v>
      </c>
      <c r="G450" s="250" t="s">
        <v>4062</v>
      </c>
      <c r="H450" s="251" t="s">
        <v>3665</v>
      </c>
      <c r="I450" s="252" t="s">
        <v>2760</v>
      </c>
      <c r="J450" s="253">
        <v>657</v>
      </c>
      <c r="K450" s="254"/>
      <c r="L450" s="255"/>
      <c r="M450" s="256" t="s">
        <v>2945</v>
      </c>
      <c r="N450" s="259"/>
      <c r="O450" s="258" t="s">
        <v>2887</v>
      </c>
      <c r="P450" s="258" t="s">
        <v>2899</v>
      </c>
    </row>
    <row r="451" spans="2:16" ht="14.45" customHeight="1" x14ac:dyDescent="0.2">
      <c r="B451" s="360"/>
      <c r="C451" s="366"/>
      <c r="D451" s="403"/>
      <c r="E451" s="248" t="s">
        <v>1845</v>
      </c>
      <c r="F451" s="249" t="s">
        <v>3270</v>
      </c>
      <c r="G451" s="250" t="s">
        <v>4063</v>
      </c>
      <c r="H451" s="251" t="s">
        <v>3666</v>
      </c>
      <c r="I451" s="252" t="s">
        <v>2760</v>
      </c>
      <c r="J451" s="253">
        <v>284</v>
      </c>
      <c r="K451" s="254"/>
      <c r="L451" s="255"/>
      <c r="M451" s="256" t="s">
        <v>2945</v>
      </c>
      <c r="N451" s="259"/>
      <c r="O451" s="258" t="s">
        <v>2887</v>
      </c>
      <c r="P451" s="258" t="s">
        <v>2899</v>
      </c>
    </row>
    <row r="452" spans="2:16" ht="14.45" customHeight="1" x14ac:dyDescent="0.2">
      <c r="B452" s="360"/>
      <c r="C452" s="366"/>
      <c r="D452" s="402" t="s">
        <v>87</v>
      </c>
      <c r="E452" s="237" t="s">
        <v>7</v>
      </c>
      <c r="F452" s="238" t="s">
        <v>132</v>
      </c>
      <c r="G452" s="239" t="s">
        <v>179</v>
      </c>
      <c r="H452" s="240" t="s">
        <v>2544</v>
      </c>
      <c r="I452" s="241" t="s">
        <v>346</v>
      </c>
      <c r="J452" s="242">
        <v>5242</v>
      </c>
      <c r="K452" s="243">
        <v>46122</v>
      </c>
      <c r="L452" s="244">
        <v>46143</v>
      </c>
      <c r="M452" s="245" t="s">
        <v>2945</v>
      </c>
      <c r="N452" s="246"/>
      <c r="O452" s="247" t="s">
        <v>2887</v>
      </c>
      <c r="P452" s="247" t="s">
        <v>2899</v>
      </c>
    </row>
    <row r="453" spans="2:16" ht="14.45" customHeight="1" x14ac:dyDescent="0.2">
      <c r="B453" s="360"/>
      <c r="C453" s="366"/>
      <c r="D453" s="403"/>
      <c r="E453" s="248" t="s">
        <v>2763</v>
      </c>
      <c r="F453" s="249" t="s">
        <v>261</v>
      </c>
      <c r="G453" s="250" t="s">
        <v>259</v>
      </c>
      <c r="H453" s="251" t="s">
        <v>2496</v>
      </c>
      <c r="I453" s="252" t="s">
        <v>438</v>
      </c>
      <c r="J453" s="253">
        <v>2005</v>
      </c>
      <c r="K453" s="254">
        <v>46185</v>
      </c>
      <c r="L453" s="255"/>
      <c r="M453" s="256" t="s">
        <v>2945</v>
      </c>
      <c r="N453" s="259"/>
      <c r="O453" s="258" t="s">
        <v>2887</v>
      </c>
      <c r="P453" s="258" t="s">
        <v>2899</v>
      </c>
    </row>
    <row r="454" spans="2:16" ht="14.45" customHeight="1" x14ac:dyDescent="0.2">
      <c r="B454" s="360"/>
      <c r="C454" s="366"/>
      <c r="D454" s="403"/>
      <c r="E454" s="248" t="s">
        <v>2763</v>
      </c>
      <c r="F454" s="249" t="s">
        <v>2635</v>
      </c>
      <c r="G454" s="250" t="s">
        <v>2810</v>
      </c>
      <c r="H454" s="251" t="s">
        <v>2811</v>
      </c>
      <c r="I454" s="252" t="s">
        <v>439</v>
      </c>
      <c r="J454" s="253">
        <v>1837</v>
      </c>
      <c r="K454" s="254">
        <v>46185</v>
      </c>
      <c r="L454" s="255"/>
      <c r="M454" s="256" t="s">
        <v>2945</v>
      </c>
      <c r="N454" s="259"/>
      <c r="O454" s="258" t="s">
        <v>2887</v>
      </c>
      <c r="P454" s="258" t="s">
        <v>2899</v>
      </c>
    </row>
    <row r="455" spans="2:16" ht="14.45" customHeight="1" x14ac:dyDescent="0.2">
      <c r="B455" s="360"/>
      <c r="C455" s="366"/>
      <c r="D455" s="403"/>
      <c r="E455" s="248" t="s">
        <v>2763</v>
      </c>
      <c r="F455" s="249" t="s">
        <v>211</v>
      </c>
      <c r="G455" s="250" t="s">
        <v>2694</v>
      </c>
      <c r="H455" s="251" t="s">
        <v>2696</v>
      </c>
      <c r="I455" s="252" t="s">
        <v>440</v>
      </c>
      <c r="J455" s="253">
        <v>4038</v>
      </c>
      <c r="K455" s="254">
        <v>46185</v>
      </c>
      <c r="L455" s="255"/>
      <c r="M455" s="256" t="s">
        <v>2945</v>
      </c>
      <c r="N455" s="257"/>
      <c r="O455" s="258" t="s">
        <v>2887</v>
      </c>
      <c r="P455" s="258" t="s">
        <v>2899</v>
      </c>
    </row>
    <row r="456" spans="2:16" ht="14.45" customHeight="1" x14ac:dyDescent="0.2">
      <c r="B456" s="360"/>
      <c r="C456" s="366"/>
      <c r="D456" s="403"/>
      <c r="E456" s="248" t="s">
        <v>2763</v>
      </c>
      <c r="F456" s="249" t="s">
        <v>262</v>
      </c>
      <c r="G456" s="250" t="s">
        <v>260</v>
      </c>
      <c r="H456" s="251" t="s">
        <v>2497</v>
      </c>
      <c r="I456" s="252" t="s">
        <v>441</v>
      </c>
      <c r="J456" s="253">
        <v>2100</v>
      </c>
      <c r="K456" s="254">
        <v>46185</v>
      </c>
      <c r="L456" s="255"/>
      <c r="M456" s="256" t="s">
        <v>2945</v>
      </c>
      <c r="N456" s="259"/>
      <c r="O456" s="258" t="s">
        <v>2887</v>
      </c>
      <c r="P456" s="258" t="s">
        <v>2899</v>
      </c>
    </row>
    <row r="457" spans="2:16" ht="14.45" customHeight="1" x14ac:dyDescent="0.2">
      <c r="B457" s="360"/>
      <c r="C457" s="366"/>
      <c r="D457" s="403"/>
      <c r="E457" s="248" t="s">
        <v>1845</v>
      </c>
      <c r="F457" s="249" t="s">
        <v>3271</v>
      </c>
      <c r="G457" s="250" t="s">
        <v>4064</v>
      </c>
      <c r="H457" s="251" t="s">
        <v>3667</v>
      </c>
      <c r="I457" s="252" t="s">
        <v>2760</v>
      </c>
      <c r="J457" s="253">
        <v>418</v>
      </c>
      <c r="K457" s="254"/>
      <c r="L457" s="255"/>
      <c r="M457" s="256" t="s">
        <v>2945</v>
      </c>
      <c r="N457" s="259"/>
      <c r="O457" s="258" t="s">
        <v>2887</v>
      </c>
      <c r="P457" s="258" t="s">
        <v>2899</v>
      </c>
    </row>
    <row r="458" spans="2:16" ht="14.45" customHeight="1" x14ac:dyDescent="0.2">
      <c r="B458" s="360"/>
      <c r="C458" s="366"/>
      <c r="D458" s="403"/>
      <c r="E458" s="248" t="s">
        <v>1845</v>
      </c>
      <c r="F458" s="249" t="s">
        <v>3272</v>
      </c>
      <c r="G458" s="250" t="s">
        <v>4065</v>
      </c>
      <c r="H458" s="251" t="s">
        <v>3668</v>
      </c>
      <c r="I458" s="252" t="s">
        <v>2760</v>
      </c>
      <c r="J458" s="253">
        <v>477</v>
      </c>
      <c r="K458" s="254"/>
      <c r="L458" s="255"/>
      <c r="M458" s="256" t="s">
        <v>2945</v>
      </c>
      <c r="N458" s="259"/>
      <c r="O458" s="258" t="s">
        <v>2887</v>
      </c>
      <c r="P458" s="258" t="s">
        <v>2899</v>
      </c>
    </row>
    <row r="459" spans="2:16" ht="14.45" customHeight="1" x14ac:dyDescent="0.2">
      <c r="B459" s="360"/>
      <c r="C459" s="366"/>
      <c r="D459" s="403"/>
      <c r="E459" s="248" t="s">
        <v>1845</v>
      </c>
      <c r="F459" s="249" t="s">
        <v>3273</v>
      </c>
      <c r="G459" s="250" t="s">
        <v>4066</v>
      </c>
      <c r="H459" s="251" t="s">
        <v>3669</v>
      </c>
      <c r="I459" s="252" t="s">
        <v>2760</v>
      </c>
      <c r="J459" s="253">
        <v>272</v>
      </c>
      <c r="K459" s="254"/>
      <c r="L459" s="255"/>
      <c r="M459" s="256" t="s">
        <v>2945</v>
      </c>
      <c r="N459" s="259"/>
      <c r="O459" s="258" t="s">
        <v>2887</v>
      </c>
      <c r="P459" s="258" t="s">
        <v>2899</v>
      </c>
    </row>
    <row r="460" spans="2:16" ht="14.45" customHeight="1" x14ac:dyDescent="0.2">
      <c r="B460" s="360"/>
      <c r="C460" s="366"/>
      <c r="D460" s="403"/>
      <c r="E460" s="248" t="s">
        <v>1845</v>
      </c>
      <c r="F460" s="249" t="s">
        <v>3274</v>
      </c>
      <c r="G460" s="250" t="s">
        <v>4067</v>
      </c>
      <c r="H460" s="251" t="s">
        <v>3670</v>
      </c>
      <c r="I460" s="252" t="s">
        <v>2760</v>
      </c>
      <c r="J460" s="253">
        <v>422</v>
      </c>
      <c r="K460" s="254"/>
      <c r="L460" s="255"/>
      <c r="M460" s="256" t="s">
        <v>2945</v>
      </c>
      <c r="N460" s="259"/>
      <c r="O460" s="258" t="s">
        <v>2887</v>
      </c>
      <c r="P460" s="258" t="s">
        <v>2899</v>
      </c>
    </row>
    <row r="461" spans="2:16" ht="14.45" customHeight="1" x14ac:dyDescent="0.2">
      <c r="B461" s="360"/>
      <c r="C461" s="366"/>
      <c r="D461" s="403"/>
      <c r="E461" s="248" t="s">
        <v>1845</v>
      </c>
      <c r="F461" s="249" t="s">
        <v>3275</v>
      </c>
      <c r="G461" s="250" t="s">
        <v>4068</v>
      </c>
      <c r="H461" s="251" t="s">
        <v>3671</v>
      </c>
      <c r="I461" s="252" t="s">
        <v>2760</v>
      </c>
      <c r="J461" s="253">
        <v>450</v>
      </c>
      <c r="K461" s="254"/>
      <c r="L461" s="255"/>
      <c r="M461" s="256" t="s">
        <v>2945</v>
      </c>
      <c r="N461" s="259"/>
      <c r="O461" s="258" t="s">
        <v>2887</v>
      </c>
      <c r="P461" s="258" t="s">
        <v>2899</v>
      </c>
    </row>
    <row r="462" spans="2:16" ht="14.45" customHeight="1" x14ac:dyDescent="0.2">
      <c r="B462" s="360"/>
      <c r="C462" s="366"/>
      <c r="D462" s="403"/>
      <c r="E462" s="248" t="s">
        <v>1845</v>
      </c>
      <c r="F462" s="249" t="s">
        <v>3276</v>
      </c>
      <c r="G462" s="250" t="s">
        <v>4069</v>
      </c>
      <c r="H462" s="251" t="s">
        <v>3672</v>
      </c>
      <c r="I462" s="252" t="s">
        <v>2760</v>
      </c>
      <c r="J462" s="253">
        <v>319</v>
      </c>
      <c r="K462" s="254"/>
      <c r="L462" s="255"/>
      <c r="M462" s="256" t="s">
        <v>2945</v>
      </c>
      <c r="N462" s="259"/>
      <c r="O462" s="258" t="s">
        <v>2887</v>
      </c>
      <c r="P462" s="258" t="s">
        <v>2899</v>
      </c>
    </row>
    <row r="463" spans="2:16" ht="14.45" customHeight="1" x14ac:dyDescent="0.2">
      <c r="B463" s="360"/>
      <c r="C463" s="366"/>
      <c r="D463" s="403"/>
      <c r="E463" s="248" t="s">
        <v>1845</v>
      </c>
      <c r="F463" s="249" t="s">
        <v>3277</v>
      </c>
      <c r="G463" s="250" t="s">
        <v>4070</v>
      </c>
      <c r="H463" s="251" t="s">
        <v>3673</v>
      </c>
      <c r="I463" s="252" t="s">
        <v>2760</v>
      </c>
      <c r="J463" s="253">
        <v>608</v>
      </c>
      <c r="K463" s="254"/>
      <c r="L463" s="255"/>
      <c r="M463" s="256" t="s">
        <v>2945</v>
      </c>
      <c r="N463" s="259"/>
      <c r="O463" s="258" t="s">
        <v>2887</v>
      </c>
      <c r="P463" s="258" t="s">
        <v>2899</v>
      </c>
    </row>
    <row r="464" spans="2:16" ht="14.45" customHeight="1" x14ac:dyDescent="0.2">
      <c r="B464" s="360"/>
      <c r="C464" s="366"/>
      <c r="D464" s="403"/>
      <c r="E464" s="248" t="s">
        <v>1845</v>
      </c>
      <c r="F464" s="249" t="s">
        <v>3278</v>
      </c>
      <c r="G464" s="250" t="s">
        <v>4071</v>
      </c>
      <c r="H464" s="251" t="s">
        <v>3674</v>
      </c>
      <c r="I464" s="252" t="s">
        <v>2760</v>
      </c>
      <c r="J464" s="253">
        <v>333</v>
      </c>
      <c r="K464" s="254"/>
      <c r="L464" s="255"/>
      <c r="M464" s="256" t="s">
        <v>2945</v>
      </c>
      <c r="N464" s="259"/>
      <c r="O464" s="258" t="s">
        <v>2887</v>
      </c>
      <c r="P464" s="258" t="s">
        <v>2899</v>
      </c>
    </row>
    <row r="465" spans="2:16" ht="14.45" customHeight="1" x14ac:dyDescent="0.2">
      <c r="B465" s="360"/>
      <c r="C465" s="366"/>
      <c r="D465" s="403"/>
      <c r="E465" s="248" t="s">
        <v>1845</v>
      </c>
      <c r="F465" s="249" t="s">
        <v>3279</v>
      </c>
      <c r="G465" s="250" t="s">
        <v>4072</v>
      </c>
      <c r="H465" s="251" t="s">
        <v>3675</v>
      </c>
      <c r="I465" s="252" t="s">
        <v>2760</v>
      </c>
      <c r="J465" s="253">
        <v>553</v>
      </c>
      <c r="K465" s="254"/>
      <c r="L465" s="255"/>
      <c r="M465" s="256" t="s">
        <v>2945</v>
      </c>
      <c r="N465" s="259"/>
      <c r="O465" s="258" t="s">
        <v>2887</v>
      </c>
      <c r="P465" s="258" t="s">
        <v>2899</v>
      </c>
    </row>
    <row r="466" spans="2:16" ht="14.45" customHeight="1" x14ac:dyDescent="0.2">
      <c r="B466" s="360"/>
      <c r="C466" s="366"/>
      <c r="D466" s="403"/>
      <c r="E466" s="248" t="s">
        <v>1845</v>
      </c>
      <c r="F466" s="249" t="s">
        <v>3280</v>
      </c>
      <c r="G466" s="250" t="s">
        <v>4073</v>
      </c>
      <c r="H466" s="251" t="s">
        <v>3676</v>
      </c>
      <c r="I466" s="252" t="s">
        <v>2760</v>
      </c>
      <c r="J466" s="253">
        <v>408</v>
      </c>
      <c r="K466" s="254"/>
      <c r="L466" s="255"/>
      <c r="M466" s="256" t="s">
        <v>2945</v>
      </c>
      <c r="N466" s="259"/>
      <c r="O466" s="258" t="s">
        <v>2887</v>
      </c>
      <c r="P466" s="258" t="s">
        <v>2899</v>
      </c>
    </row>
    <row r="467" spans="2:16" ht="14.45" customHeight="1" x14ac:dyDescent="0.2">
      <c r="B467" s="360"/>
      <c r="C467" s="366"/>
      <c r="D467" s="403"/>
      <c r="E467" s="248" t="s">
        <v>1845</v>
      </c>
      <c r="F467" s="249" t="s">
        <v>3281</v>
      </c>
      <c r="G467" s="250" t="s">
        <v>4074</v>
      </c>
      <c r="H467" s="251" t="s">
        <v>3677</v>
      </c>
      <c r="I467" s="252" t="s">
        <v>2760</v>
      </c>
      <c r="J467" s="253">
        <v>285</v>
      </c>
      <c r="K467" s="254"/>
      <c r="L467" s="255"/>
      <c r="M467" s="256" t="s">
        <v>2945</v>
      </c>
      <c r="N467" s="259"/>
      <c r="O467" s="258" t="s">
        <v>2887</v>
      </c>
      <c r="P467" s="258" t="s">
        <v>2899</v>
      </c>
    </row>
    <row r="468" spans="2:16" ht="14.45" customHeight="1" x14ac:dyDescent="0.2">
      <c r="B468" s="360"/>
      <c r="C468" s="366"/>
      <c r="D468" s="403"/>
      <c r="E468" s="248" t="s">
        <v>1845</v>
      </c>
      <c r="F468" s="249" t="s">
        <v>3282</v>
      </c>
      <c r="G468" s="250" t="s">
        <v>4075</v>
      </c>
      <c r="H468" s="251" t="s">
        <v>3678</v>
      </c>
      <c r="I468" s="252" t="s">
        <v>2760</v>
      </c>
      <c r="J468" s="253">
        <v>413</v>
      </c>
      <c r="K468" s="254"/>
      <c r="L468" s="255"/>
      <c r="M468" s="256" t="s">
        <v>2945</v>
      </c>
      <c r="N468" s="259"/>
      <c r="O468" s="258" t="s">
        <v>2887</v>
      </c>
      <c r="P468" s="258" t="s">
        <v>2899</v>
      </c>
    </row>
    <row r="469" spans="2:16" ht="14.45" customHeight="1" x14ac:dyDescent="0.2">
      <c r="B469" s="360"/>
      <c r="C469" s="366"/>
      <c r="D469" s="403"/>
      <c r="E469" s="248" t="s">
        <v>1845</v>
      </c>
      <c r="F469" s="249" t="s">
        <v>3283</v>
      </c>
      <c r="G469" s="250" t="s">
        <v>4076</v>
      </c>
      <c r="H469" s="251" t="s">
        <v>3679</v>
      </c>
      <c r="I469" s="252" t="s">
        <v>2760</v>
      </c>
      <c r="J469" s="253">
        <v>394</v>
      </c>
      <c r="K469" s="254"/>
      <c r="L469" s="255"/>
      <c r="M469" s="256" t="s">
        <v>2945</v>
      </c>
      <c r="N469" s="259"/>
      <c r="O469" s="258" t="s">
        <v>2887</v>
      </c>
      <c r="P469" s="258" t="s">
        <v>2899</v>
      </c>
    </row>
    <row r="470" spans="2:16" ht="14.45" customHeight="1" x14ac:dyDescent="0.2">
      <c r="B470" s="360"/>
      <c r="C470" s="366"/>
      <c r="D470" s="403"/>
      <c r="E470" s="248" t="s">
        <v>1845</v>
      </c>
      <c r="F470" s="249" t="s">
        <v>3284</v>
      </c>
      <c r="G470" s="250" t="s">
        <v>4077</v>
      </c>
      <c r="H470" s="251" t="s">
        <v>3680</v>
      </c>
      <c r="I470" s="252" t="s">
        <v>2760</v>
      </c>
      <c r="J470" s="253">
        <v>365</v>
      </c>
      <c r="K470" s="254"/>
      <c r="L470" s="255"/>
      <c r="M470" s="256" t="s">
        <v>2945</v>
      </c>
      <c r="N470" s="259"/>
      <c r="O470" s="258" t="s">
        <v>2887</v>
      </c>
      <c r="P470" s="258" t="s">
        <v>2899</v>
      </c>
    </row>
    <row r="471" spans="2:16" ht="14.45" customHeight="1" x14ac:dyDescent="0.2">
      <c r="B471" s="360"/>
      <c r="C471" s="366"/>
      <c r="D471" s="403"/>
      <c r="E471" s="248" t="s">
        <v>1845</v>
      </c>
      <c r="F471" s="249" t="s">
        <v>3285</v>
      </c>
      <c r="G471" s="250" t="s">
        <v>4078</v>
      </c>
      <c r="H471" s="251" t="s">
        <v>3681</v>
      </c>
      <c r="I471" s="252" t="s">
        <v>2760</v>
      </c>
      <c r="J471" s="253">
        <v>458</v>
      </c>
      <c r="K471" s="254"/>
      <c r="L471" s="255"/>
      <c r="M471" s="256" t="s">
        <v>2945</v>
      </c>
      <c r="N471" s="259"/>
      <c r="O471" s="258" t="s">
        <v>2887</v>
      </c>
      <c r="P471" s="258" t="s">
        <v>2899</v>
      </c>
    </row>
    <row r="472" spans="2:16" ht="14.45" customHeight="1" x14ac:dyDescent="0.2">
      <c r="B472" s="360"/>
      <c r="C472" s="366"/>
      <c r="D472" s="403"/>
      <c r="E472" s="248" t="s">
        <v>1845</v>
      </c>
      <c r="F472" s="249" t="s">
        <v>3286</v>
      </c>
      <c r="G472" s="250" t="s">
        <v>4079</v>
      </c>
      <c r="H472" s="251" t="s">
        <v>3682</v>
      </c>
      <c r="I472" s="252" t="s">
        <v>2760</v>
      </c>
      <c r="J472" s="253">
        <v>435</v>
      </c>
      <c r="K472" s="254"/>
      <c r="L472" s="255"/>
      <c r="M472" s="256" t="s">
        <v>2945</v>
      </c>
      <c r="N472" s="259"/>
      <c r="O472" s="258" t="s">
        <v>2887</v>
      </c>
      <c r="P472" s="258" t="s">
        <v>2899</v>
      </c>
    </row>
    <row r="473" spans="2:16" ht="14.45" customHeight="1" x14ac:dyDescent="0.2">
      <c r="B473" s="360"/>
      <c r="C473" s="366"/>
      <c r="D473" s="403"/>
      <c r="E473" s="248" t="s">
        <v>1845</v>
      </c>
      <c r="F473" s="249" t="s">
        <v>3287</v>
      </c>
      <c r="G473" s="250" t="s">
        <v>4080</v>
      </c>
      <c r="H473" s="251" t="s">
        <v>3683</v>
      </c>
      <c r="I473" s="252" t="s">
        <v>2760</v>
      </c>
      <c r="J473" s="253">
        <v>358</v>
      </c>
      <c r="K473" s="254"/>
      <c r="L473" s="255"/>
      <c r="M473" s="256" t="s">
        <v>2945</v>
      </c>
      <c r="N473" s="259"/>
      <c r="O473" s="258" t="s">
        <v>2887</v>
      </c>
      <c r="P473" s="258" t="s">
        <v>2899</v>
      </c>
    </row>
    <row r="474" spans="2:16" ht="14.45" customHeight="1" x14ac:dyDescent="0.2">
      <c r="B474" s="360"/>
      <c r="C474" s="366"/>
      <c r="D474" s="403"/>
      <c r="E474" s="248" t="s">
        <v>1845</v>
      </c>
      <c r="F474" s="249" t="s">
        <v>3288</v>
      </c>
      <c r="G474" s="250" t="s">
        <v>4081</v>
      </c>
      <c r="H474" s="251" t="s">
        <v>3684</v>
      </c>
      <c r="I474" s="252" t="s">
        <v>2760</v>
      </c>
      <c r="J474" s="253">
        <v>381</v>
      </c>
      <c r="K474" s="254"/>
      <c r="L474" s="255"/>
      <c r="M474" s="256" t="s">
        <v>2945</v>
      </c>
      <c r="N474" s="259"/>
      <c r="O474" s="258" t="s">
        <v>2887</v>
      </c>
      <c r="P474" s="258" t="s">
        <v>2899</v>
      </c>
    </row>
    <row r="475" spans="2:16" ht="14.45" customHeight="1" x14ac:dyDescent="0.2">
      <c r="B475" s="360"/>
      <c r="C475" s="366"/>
      <c r="D475" s="403"/>
      <c r="E475" s="248" t="s">
        <v>1845</v>
      </c>
      <c r="F475" s="249" t="s">
        <v>3289</v>
      </c>
      <c r="G475" s="250" t="s">
        <v>4082</v>
      </c>
      <c r="H475" s="251" t="s">
        <v>3685</v>
      </c>
      <c r="I475" s="252" t="s">
        <v>2760</v>
      </c>
      <c r="J475" s="253">
        <v>642</v>
      </c>
      <c r="K475" s="254"/>
      <c r="L475" s="255"/>
      <c r="M475" s="256" t="s">
        <v>2945</v>
      </c>
      <c r="N475" s="259"/>
      <c r="O475" s="258" t="s">
        <v>2887</v>
      </c>
      <c r="P475" s="258" t="s">
        <v>2899</v>
      </c>
    </row>
    <row r="476" spans="2:16" ht="14.45" customHeight="1" x14ac:dyDescent="0.2">
      <c r="B476" s="360"/>
      <c r="C476" s="366"/>
      <c r="D476" s="402" t="s">
        <v>89</v>
      </c>
      <c r="E476" s="237" t="s">
        <v>7</v>
      </c>
      <c r="F476" s="238" t="s">
        <v>132</v>
      </c>
      <c r="G476" s="239" t="s">
        <v>180</v>
      </c>
      <c r="H476" s="240" t="s">
        <v>2545</v>
      </c>
      <c r="I476" s="241" t="s">
        <v>347</v>
      </c>
      <c r="J476" s="242">
        <v>3628</v>
      </c>
      <c r="K476" s="243">
        <v>46122</v>
      </c>
      <c r="L476" s="244">
        <v>46143</v>
      </c>
      <c r="M476" s="245" t="s">
        <v>2946</v>
      </c>
      <c r="N476" s="246"/>
      <c r="O476" s="247" t="s">
        <v>2887</v>
      </c>
      <c r="P476" s="247" t="s">
        <v>2899</v>
      </c>
    </row>
    <row r="477" spans="2:16" ht="14.45" customHeight="1" x14ac:dyDescent="0.2">
      <c r="B477" s="360"/>
      <c r="C477" s="366"/>
      <c r="D477" s="403"/>
      <c r="E477" s="248" t="s">
        <v>2763</v>
      </c>
      <c r="F477" s="249" t="s">
        <v>213</v>
      </c>
      <c r="G477" s="250" t="s">
        <v>210</v>
      </c>
      <c r="H477" s="251" t="s">
        <v>2466</v>
      </c>
      <c r="I477" s="252" t="s">
        <v>377</v>
      </c>
      <c r="J477" s="253">
        <v>1901</v>
      </c>
      <c r="K477" s="254">
        <v>46185</v>
      </c>
      <c r="L477" s="255"/>
      <c r="M477" s="256" t="s">
        <v>2946</v>
      </c>
      <c r="N477" s="259"/>
      <c r="O477" s="258" t="s">
        <v>2887</v>
      </c>
      <c r="P477" s="258" t="s">
        <v>2899</v>
      </c>
    </row>
    <row r="478" spans="2:16" ht="14.45" customHeight="1" x14ac:dyDescent="0.2">
      <c r="B478" s="360"/>
      <c r="C478" s="366"/>
      <c r="D478" s="403"/>
      <c r="E478" s="248" t="s">
        <v>1845</v>
      </c>
      <c r="F478" s="249" t="s">
        <v>3290</v>
      </c>
      <c r="G478" s="250" t="s">
        <v>4083</v>
      </c>
      <c r="H478" s="251" t="s">
        <v>3686</v>
      </c>
      <c r="I478" s="252" t="s">
        <v>2760</v>
      </c>
      <c r="J478" s="253">
        <v>266</v>
      </c>
      <c r="K478" s="254"/>
      <c r="L478" s="255"/>
      <c r="M478" s="256"/>
      <c r="N478" s="259"/>
      <c r="O478" s="258" t="s">
        <v>2887</v>
      </c>
      <c r="P478" s="258" t="s">
        <v>2899</v>
      </c>
    </row>
    <row r="479" spans="2:16" ht="14.45" customHeight="1" x14ac:dyDescent="0.2">
      <c r="B479" s="360"/>
      <c r="C479" s="366"/>
      <c r="D479" s="403"/>
      <c r="E479" s="248" t="s">
        <v>1845</v>
      </c>
      <c r="F479" s="249" t="s">
        <v>3291</v>
      </c>
      <c r="G479" s="250" t="s">
        <v>4084</v>
      </c>
      <c r="H479" s="251" t="s">
        <v>3687</v>
      </c>
      <c r="I479" s="252" t="s">
        <v>2760</v>
      </c>
      <c r="J479" s="253">
        <v>312</v>
      </c>
      <c r="K479" s="254"/>
      <c r="L479" s="255"/>
      <c r="M479" s="256"/>
      <c r="N479" s="259"/>
      <c r="O479" s="258" t="s">
        <v>2887</v>
      </c>
      <c r="P479" s="258" t="s">
        <v>2899</v>
      </c>
    </row>
    <row r="480" spans="2:16" ht="14.45" customHeight="1" x14ac:dyDescent="0.2">
      <c r="B480" s="360"/>
      <c r="C480" s="366"/>
      <c r="D480" s="403"/>
      <c r="E480" s="248" t="s">
        <v>1845</v>
      </c>
      <c r="F480" s="249" t="s">
        <v>3292</v>
      </c>
      <c r="G480" s="250" t="s">
        <v>4085</v>
      </c>
      <c r="H480" s="251" t="s">
        <v>3688</v>
      </c>
      <c r="I480" s="252" t="s">
        <v>2760</v>
      </c>
      <c r="J480" s="253">
        <v>455</v>
      </c>
      <c r="K480" s="254"/>
      <c r="L480" s="255"/>
      <c r="M480" s="256"/>
      <c r="N480" s="259"/>
      <c r="O480" s="258" t="s">
        <v>2887</v>
      </c>
      <c r="P480" s="258" t="s">
        <v>2899</v>
      </c>
    </row>
    <row r="481" spans="2:16" ht="14.45" customHeight="1" x14ac:dyDescent="0.2">
      <c r="B481" s="360"/>
      <c r="C481" s="366"/>
      <c r="D481" s="403"/>
      <c r="E481" s="248" t="s">
        <v>1845</v>
      </c>
      <c r="F481" s="249" t="s">
        <v>3293</v>
      </c>
      <c r="G481" s="250" t="s">
        <v>4086</v>
      </c>
      <c r="H481" s="251" t="s">
        <v>3689</v>
      </c>
      <c r="I481" s="252" t="s">
        <v>2760</v>
      </c>
      <c r="J481" s="253">
        <v>443</v>
      </c>
      <c r="K481" s="254"/>
      <c r="L481" s="255"/>
      <c r="M481" s="256"/>
      <c r="N481" s="259"/>
      <c r="O481" s="258" t="s">
        <v>2887</v>
      </c>
      <c r="P481" s="258" t="s">
        <v>2899</v>
      </c>
    </row>
    <row r="482" spans="2:16" ht="14.45" customHeight="1" thickBot="1" x14ac:dyDescent="0.25">
      <c r="B482" s="361"/>
      <c r="C482" s="367"/>
      <c r="D482" s="406"/>
      <c r="E482" s="282" t="s">
        <v>1845</v>
      </c>
      <c r="F482" s="283" t="s">
        <v>3294</v>
      </c>
      <c r="G482" s="284" t="s">
        <v>4087</v>
      </c>
      <c r="H482" s="285" t="s">
        <v>3690</v>
      </c>
      <c r="I482" s="286" t="s">
        <v>2760</v>
      </c>
      <c r="J482" s="287">
        <v>346</v>
      </c>
      <c r="K482" s="288"/>
      <c r="L482" s="289"/>
      <c r="M482" s="290"/>
      <c r="N482" s="303"/>
      <c r="O482" s="291" t="s">
        <v>2887</v>
      </c>
      <c r="P482" s="291" t="s">
        <v>2899</v>
      </c>
    </row>
    <row r="483" spans="2:16" ht="14.45" customHeight="1" x14ac:dyDescent="0.2">
      <c r="B483" s="359" t="s">
        <v>1690</v>
      </c>
      <c r="C483" s="365" t="s">
        <v>1700</v>
      </c>
      <c r="D483" s="44" t="s">
        <v>91</v>
      </c>
      <c r="E483" s="271" t="s">
        <v>7</v>
      </c>
      <c r="F483" s="272" t="s">
        <v>134</v>
      </c>
      <c r="G483" s="273" t="s">
        <v>181</v>
      </c>
      <c r="H483" s="274" t="s">
        <v>2546</v>
      </c>
      <c r="I483" s="275" t="s">
        <v>348</v>
      </c>
      <c r="J483" s="276">
        <v>2743</v>
      </c>
      <c r="K483" s="277">
        <v>46122</v>
      </c>
      <c r="L483" s="278">
        <v>46143</v>
      </c>
      <c r="M483" s="279" t="s">
        <v>2946</v>
      </c>
      <c r="N483" s="280"/>
      <c r="O483" s="281" t="s">
        <v>2888</v>
      </c>
      <c r="P483" s="281" t="s">
        <v>2902</v>
      </c>
    </row>
    <row r="484" spans="2:16" ht="14.45" customHeight="1" x14ac:dyDescent="0.2">
      <c r="B484" s="360"/>
      <c r="C484" s="366"/>
      <c r="D484" s="402" t="s">
        <v>93</v>
      </c>
      <c r="E484" s="237" t="s">
        <v>7</v>
      </c>
      <c r="F484" s="238" t="s">
        <v>133</v>
      </c>
      <c r="G484" s="239" t="s">
        <v>182</v>
      </c>
      <c r="H484" s="240" t="s">
        <v>2547</v>
      </c>
      <c r="I484" s="241" t="s">
        <v>349</v>
      </c>
      <c r="J484" s="242">
        <v>3520</v>
      </c>
      <c r="K484" s="243">
        <v>46122</v>
      </c>
      <c r="L484" s="244">
        <v>46143</v>
      </c>
      <c r="M484" s="245" t="s">
        <v>2946</v>
      </c>
      <c r="N484" s="246"/>
      <c r="O484" s="247" t="s">
        <v>2888</v>
      </c>
      <c r="P484" s="247" t="s">
        <v>2901</v>
      </c>
    </row>
    <row r="485" spans="2:16" ht="14.45" customHeight="1" x14ac:dyDescent="0.2">
      <c r="B485" s="360"/>
      <c r="C485" s="366"/>
      <c r="D485" s="403"/>
      <c r="E485" s="248" t="s">
        <v>2764</v>
      </c>
      <c r="F485" s="249" t="s">
        <v>2664</v>
      </c>
      <c r="G485" s="250" t="s">
        <v>280</v>
      </c>
      <c r="H485" s="251" t="s">
        <v>2498</v>
      </c>
      <c r="I485" s="252" t="s">
        <v>442</v>
      </c>
      <c r="J485" s="253">
        <v>2441</v>
      </c>
      <c r="K485" s="254">
        <v>46192</v>
      </c>
      <c r="L485" s="255"/>
      <c r="M485" s="256" t="s">
        <v>2946</v>
      </c>
      <c r="N485" s="259"/>
      <c r="O485" s="258" t="s">
        <v>2888</v>
      </c>
      <c r="P485" s="258" t="s">
        <v>2901</v>
      </c>
    </row>
    <row r="486" spans="2:16" ht="14.45" customHeight="1" x14ac:dyDescent="0.2">
      <c r="B486" s="360"/>
      <c r="C486" s="366"/>
      <c r="D486" s="403"/>
      <c r="E486" s="248" t="s">
        <v>2764</v>
      </c>
      <c r="F486" s="249" t="s">
        <v>2665</v>
      </c>
      <c r="G486" s="250" t="s">
        <v>281</v>
      </c>
      <c r="H486" s="251" t="s">
        <v>2499</v>
      </c>
      <c r="I486" s="252" t="s">
        <v>443</v>
      </c>
      <c r="J486" s="253">
        <v>2594</v>
      </c>
      <c r="K486" s="254">
        <v>46192</v>
      </c>
      <c r="L486" s="255"/>
      <c r="M486" s="256" t="s">
        <v>2946</v>
      </c>
      <c r="N486" s="259"/>
      <c r="O486" s="258" t="s">
        <v>2888</v>
      </c>
      <c r="P486" s="258" t="s">
        <v>2901</v>
      </c>
    </row>
    <row r="487" spans="2:16" ht="14.45" customHeight="1" x14ac:dyDescent="0.2">
      <c r="B487" s="360"/>
      <c r="C487" s="366"/>
      <c r="D487" s="403"/>
      <c r="E487" s="248" t="s">
        <v>1845</v>
      </c>
      <c r="F487" s="249" t="s">
        <v>3295</v>
      </c>
      <c r="G487" s="250" t="s">
        <v>4088</v>
      </c>
      <c r="H487" s="251" t="s">
        <v>3691</v>
      </c>
      <c r="I487" s="252" t="s">
        <v>2760</v>
      </c>
      <c r="J487" s="253">
        <v>336</v>
      </c>
      <c r="K487" s="254"/>
      <c r="L487" s="255"/>
      <c r="M487" s="256"/>
      <c r="N487" s="259"/>
      <c r="O487" s="258" t="s">
        <v>2888</v>
      </c>
      <c r="P487" s="258" t="s">
        <v>2901</v>
      </c>
    </row>
    <row r="488" spans="2:16" ht="14.45" customHeight="1" x14ac:dyDescent="0.2">
      <c r="B488" s="360"/>
      <c r="C488" s="366"/>
      <c r="D488" s="403"/>
      <c r="E488" s="248" t="s">
        <v>1845</v>
      </c>
      <c r="F488" s="249" t="s">
        <v>3296</v>
      </c>
      <c r="G488" s="250" t="s">
        <v>4089</v>
      </c>
      <c r="H488" s="251" t="s">
        <v>3692</v>
      </c>
      <c r="I488" s="252" t="s">
        <v>2760</v>
      </c>
      <c r="J488" s="253">
        <v>461</v>
      </c>
      <c r="K488" s="254"/>
      <c r="L488" s="255"/>
      <c r="M488" s="256"/>
      <c r="N488" s="259"/>
      <c r="O488" s="258" t="s">
        <v>2888</v>
      </c>
      <c r="P488" s="258" t="s">
        <v>2901</v>
      </c>
    </row>
    <row r="489" spans="2:16" ht="14.45" customHeight="1" x14ac:dyDescent="0.2">
      <c r="B489" s="360"/>
      <c r="C489" s="366"/>
      <c r="D489" s="403"/>
      <c r="E489" s="248" t="s">
        <v>1845</v>
      </c>
      <c r="F489" s="249" t="s">
        <v>3297</v>
      </c>
      <c r="G489" s="250" t="s">
        <v>4090</v>
      </c>
      <c r="H489" s="251" t="s">
        <v>3693</v>
      </c>
      <c r="I489" s="252" t="s">
        <v>2760</v>
      </c>
      <c r="J489" s="253">
        <v>693</v>
      </c>
      <c r="K489" s="254"/>
      <c r="L489" s="255"/>
      <c r="M489" s="256"/>
      <c r="N489" s="259"/>
      <c r="O489" s="258" t="s">
        <v>2888</v>
      </c>
      <c r="P489" s="258" t="s">
        <v>2901</v>
      </c>
    </row>
    <row r="490" spans="2:16" ht="14.45" customHeight="1" x14ac:dyDescent="0.2">
      <c r="B490" s="360"/>
      <c r="C490" s="366"/>
      <c r="D490" s="403"/>
      <c r="E490" s="248" t="s">
        <v>1845</v>
      </c>
      <c r="F490" s="249" t="s">
        <v>3298</v>
      </c>
      <c r="G490" s="250" t="s">
        <v>4091</v>
      </c>
      <c r="H490" s="251" t="s">
        <v>3694</v>
      </c>
      <c r="I490" s="252" t="s">
        <v>2760</v>
      </c>
      <c r="J490" s="253">
        <v>484</v>
      </c>
      <c r="K490" s="254"/>
      <c r="L490" s="255"/>
      <c r="M490" s="256"/>
      <c r="N490" s="259"/>
      <c r="O490" s="258" t="s">
        <v>2888</v>
      </c>
      <c r="P490" s="258" t="s">
        <v>2901</v>
      </c>
    </row>
    <row r="491" spans="2:16" ht="14.45" customHeight="1" x14ac:dyDescent="0.2">
      <c r="B491" s="360"/>
      <c r="C491" s="366"/>
      <c r="D491" s="403"/>
      <c r="E491" s="248" t="s">
        <v>1845</v>
      </c>
      <c r="F491" s="249" t="s">
        <v>3299</v>
      </c>
      <c r="G491" s="250" t="s">
        <v>4092</v>
      </c>
      <c r="H491" s="251" t="s">
        <v>3695</v>
      </c>
      <c r="I491" s="252" t="s">
        <v>2760</v>
      </c>
      <c r="J491" s="253">
        <v>497</v>
      </c>
      <c r="K491" s="254"/>
      <c r="L491" s="255"/>
      <c r="M491" s="256"/>
      <c r="N491" s="259"/>
      <c r="O491" s="258" t="s">
        <v>2888</v>
      </c>
      <c r="P491" s="258" t="s">
        <v>2901</v>
      </c>
    </row>
    <row r="492" spans="2:16" ht="14.45" customHeight="1" x14ac:dyDescent="0.2">
      <c r="B492" s="360"/>
      <c r="C492" s="366"/>
      <c r="D492" s="403"/>
      <c r="E492" s="248" t="s">
        <v>1845</v>
      </c>
      <c r="F492" s="249" t="s">
        <v>3300</v>
      </c>
      <c r="G492" s="250" t="s">
        <v>4093</v>
      </c>
      <c r="H492" s="251" t="s">
        <v>3696</v>
      </c>
      <c r="I492" s="252" t="s">
        <v>2760</v>
      </c>
      <c r="J492" s="253">
        <v>450</v>
      </c>
      <c r="K492" s="254"/>
      <c r="L492" s="255"/>
      <c r="M492" s="256"/>
      <c r="N492" s="259"/>
      <c r="O492" s="258" t="s">
        <v>2888</v>
      </c>
      <c r="P492" s="258" t="s">
        <v>2901</v>
      </c>
    </row>
    <row r="493" spans="2:16" ht="14.45" customHeight="1" x14ac:dyDescent="0.2">
      <c r="B493" s="360"/>
      <c r="C493" s="366"/>
      <c r="D493" s="403"/>
      <c r="E493" s="248" t="s">
        <v>1845</v>
      </c>
      <c r="F493" s="249" t="s">
        <v>3301</v>
      </c>
      <c r="G493" s="250" t="s">
        <v>4094</v>
      </c>
      <c r="H493" s="251" t="s">
        <v>3697</v>
      </c>
      <c r="I493" s="252" t="s">
        <v>2760</v>
      </c>
      <c r="J493" s="253">
        <v>810</v>
      </c>
      <c r="K493" s="254"/>
      <c r="L493" s="255"/>
      <c r="M493" s="256"/>
      <c r="N493" s="259"/>
      <c r="O493" s="258" t="s">
        <v>2888</v>
      </c>
      <c r="P493" s="258" t="s">
        <v>2901</v>
      </c>
    </row>
    <row r="494" spans="2:16" ht="14.45" customHeight="1" x14ac:dyDescent="0.2">
      <c r="B494" s="360"/>
      <c r="C494" s="366"/>
      <c r="D494" s="402" t="s">
        <v>95</v>
      </c>
      <c r="E494" s="237" t="s">
        <v>7</v>
      </c>
      <c r="F494" s="238" t="s">
        <v>133</v>
      </c>
      <c r="G494" s="239" t="s">
        <v>183</v>
      </c>
      <c r="H494" s="240" t="s">
        <v>2548</v>
      </c>
      <c r="I494" s="241" t="s">
        <v>350</v>
      </c>
      <c r="J494" s="242">
        <v>2525</v>
      </c>
      <c r="K494" s="243">
        <v>46122</v>
      </c>
      <c r="L494" s="244">
        <v>46143</v>
      </c>
      <c r="M494" s="245" t="s">
        <v>2946</v>
      </c>
      <c r="N494" s="246"/>
      <c r="O494" s="247" t="s">
        <v>2888</v>
      </c>
      <c r="P494" s="247" t="s">
        <v>2901</v>
      </c>
    </row>
    <row r="495" spans="2:16" ht="14.45" customHeight="1" x14ac:dyDescent="0.2">
      <c r="B495" s="360"/>
      <c r="C495" s="366"/>
      <c r="D495" s="403"/>
      <c r="E495" s="248" t="s">
        <v>2763</v>
      </c>
      <c r="F495" s="249" t="s">
        <v>2636</v>
      </c>
      <c r="G495" s="250" t="s">
        <v>263</v>
      </c>
      <c r="H495" s="251" t="s">
        <v>2500</v>
      </c>
      <c r="I495" s="252" t="s">
        <v>444</v>
      </c>
      <c r="J495" s="253">
        <v>2690</v>
      </c>
      <c r="K495" s="254">
        <v>46192</v>
      </c>
      <c r="L495" s="255"/>
      <c r="M495" s="256" t="s">
        <v>2946</v>
      </c>
      <c r="N495" s="259"/>
      <c r="O495" s="258" t="s">
        <v>2888</v>
      </c>
      <c r="P495" s="258" t="s">
        <v>2901</v>
      </c>
    </row>
    <row r="496" spans="2:16" ht="14.45" customHeight="1" x14ac:dyDescent="0.2">
      <c r="B496" s="360"/>
      <c r="C496" s="366"/>
      <c r="D496" s="403"/>
      <c r="E496" s="248" t="s">
        <v>1845</v>
      </c>
      <c r="F496" s="249" t="s">
        <v>3302</v>
      </c>
      <c r="G496" s="250" t="s">
        <v>4095</v>
      </c>
      <c r="H496" s="251" t="s">
        <v>3698</v>
      </c>
      <c r="I496" s="252" t="s">
        <v>2760</v>
      </c>
      <c r="J496" s="253">
        <v>423</v>
      </c>
      <c r="K496" s="254"/>
      <c r="L496" s="255"/>
      <c r="M496" s="256"/>
      <c r="N496" s="259"/>
      <c r="O496" s="258" t="s">
        <v>2888</v>
      </c>
      <c r="P496" s="258" t="s">
        <v>2901</v>
      </c>
    </row>
    <row r="497" spans="2:16" ht="14.45" customHeight="1" thickBot="1" x14ac:dyDescent="0.25">
      <c r="B497" s="360"/>
      <c r="C497" s="366"/>
      <c r="D497" s="403"/>
      <c r="E497" s="248" t="s">
        <v>1845</v>
      </c>
      <c r="F497" s="249" t="s">
        <v>3303</v>
      </c>
      <c r="G497" s="250" t="s">
        <v>4096</v>
      </c>
      <c r="H497" s="251" t="s">
        <v>3699</v>
      </c>
      <c r="I497" s="252" t="s">
        <v>2760</v>
      </c>
      <c r="J497" s="253">
        <v>442</v>
      </c>
      <c r="K497" s="254"/>
      <c r="L497" s="255"/>
      <c r="M497" s="256"/>
      <c r="N497" s="259"/>
      <c r="O497" s="258" t="s">
        <v>2888</v>
      </c>
      <c r="P497" s="258" t="s">
        <v>2901</v>
      </c>
    </row>
    <row r="498" spans="2:16" ht="14.45" customHeight="1" x14ac:dyDescent="0.2">
      <c r="B498" s="360"/>
      <c r="C498" s="365" t="s">
        <v>1701</v>
      </c>
      <c r="D498" s="404" t="s">
        <v>1804</v>
      </c>
      <c r="E498" s="271" t="s">
        <v>7</v>
      </c>
      <c r="F498" s="272" t="s">
        <v>136</v>
      </c>
      <c r="G498" s="273" t="s">
        <v>1805</v>
      </c>
      <c r="H498" s="274" t="s">
        <v>2549</v>
      </c>
      <c r="I498" s="275" t="s">
        <v>351</v>
      </c>
      <c r="J498" s="325">
        <v>2523</v>
      </c>
      <c r="K498" s="321">
        <v>46128</v>
      </c>
      <c r="L498" s="278">
        <v>46128</v>
      </c>
      <c r="M498" s="279" t="s">
        <v>2946</v>
      </c>
      <c r="N498" s="280"/>
      <c r="O498" s="281" t="s">
        <v>2888</v>
      </c>
      <c r="P498" s="281" t="s">
        <v>2904</v>
      </c>
    </row>
    <row r="499" spans="2:16" ht="14.45" customHeight="1" x14ac:dyDescent="0.2">
      <c r="B499" s="360"/>
      <c r="C499" s="366"/>
      <c r="D499" s="405"/>
      <c r="E499" s="260" t="s">
        <v>1845</v>
      </c>
      <c r="F499" s="261" t="s">
        <v>3304</v>
      </c>
      <c r="G499" s="262" t="s">
        <v>4097</v>
      </c>
      <c r="H499" s="263" t="s">
        <v>3700</v>
      </c>
      <c r="I499" s="264" t="s">
        <v>2760</v>
      </c>
      <c r="J499" s="327">
        <v>244</v>
      </c>
      <c r="K499" s="322"/>
      <c r="L499" s="267"/>
      <c r="M499" s="268"/>
      <c r="N499" s="269"/>
      <c r="O499" s="270" t="s">
        <v>2888</v>
      </c>
      <c r="P499" s="270" t="s">
        <v>2903</v>
      </c>
    </row>
    <row r="500" spans="2:16" ht="14.45" customHeight="1" x14ac:dyDescent="0.2">
      <c r="B500" s="360"/>
      <c r="C500" s="366"/>
      <c r="D500" s="363" t="s">
        <v>99</v>
      </c>
      <c r="E500" s="223" t="s">
        <v>7</v>
      </c>
      <c r="F500" s="317" t="s">
        <v>135</v>
      </c>
      <c r="G500" s="318" t="s">
        <v>184</v>
      </c>
      <c r="H500" s="229" t="s">
        <v>2550</v>
      </c>
      <c r="I500" s="230" t="s">
        <v>352</v>
      </c>
      <c r="J500" s="328">
        <v>2766</v>
      </c>
      <c r="K500" s="323">
        <v>46128</v>
      </c>
      <c r="L500" s="231">
        <v>46128</v>
      </c>
      <c r="M500" s="232" t="s">
        <v>2946</v>
      </c>
      <c r="N500" s="225"/>
      <c r="O500" s="233" t="s">
        <v>2888</v>
      </c>
      <c r="P500" s="233" t="s">
        <v>2903</v>
      </c>
    </row>
    <row r="501" spans="2:16" ht="14.45" customHeight="1" x14ac:dyDescent="0.2">
      <c r="B501" s="360"/>
      <c r="C501" s="366"/>
      <c r="D501" s="363"/>
      <c r="E501" s="150" t="s">
        <v>2763</v>
      </c>
      <c r="F501" s="151" t="s">
        <v>2637</v>
      </c>
      <c r="G501" s="16" t="s">
        <v>2851</v>
      </c>
      <c r="H501" s="168" t="s">
        <v>2852</v>
      </c>
      <c r="I501" s="169" t="s">
        <v>445</v>
      </c>
      <c r="J501" s="154">
        <v>1903</v>
      </c>
      <c r="K501" s="155">
        <v>46192</v>
      </c>
      <c r="L501" s="105"/>
      <c r="M501" s="194" t="s">
        <v>2946</v>
      </c>
      <c r="N501" s="106"/>
      <c r="O501" s="180" t="s">
        <v>2888</v>
      </c>
      <c r="P501" s="180" t="s">
        <v>2903</v>
      </c>
    </row>
    <row r="502" spans="2:16" ht="14.45" customHeight="1" x14ac:dyDescent="0.2">
      <c r="B502" s="360"/>
      <c r="C502" s="366"/>
      <c r="D502" s="363"/>
      <c r="E502" s="223" t="s">
        <v>1845</v>
      </c>
      <c r="F502" s="319" t="s">
        <v>3305</v>
      </c>
      <c r="G502" s="10" t="s">
        <v>4098</v>
      </c>
      <c r="H502" s="229" t="s">
        <v>3701</v>
      </c>
      <c r="I502" s="230" t="s">
        <v>2760</v>
      </c>
      <c r="J502" s="328">
        <v>257</v>
      </c>
      <c r="K502" s="323"/>
      <c r="L502" s="231"/>
      <c r="M502" s="232"/>
      <c r="N502" s="225"/>
      <c r="O502" s="233" t="s">
        <v>2888</v>
      </c>
      <c r="P502" s="233" t="s">
        <v>2903</v>
      </c>
    </row>
    <row r="503" spans="2:16" ht="14.45" customHeight="1" x14ac:dyDescent="0.2">
      <c r="B503" s="360"/>
      <c r="C503" s="366"/>
      <c r="D503" s="363"/>
      <c r="E503" s="223" t="s">
        <v>1845</v>
      </c>
      <c r="F503" s="319" t="s">
        <v>3306</v>
      </c>
      <c r="G503" s="10" t="s">
        <v>4099</v>
      </c>
      <c r="H503" s="229" t="s">
        <v>3702</v>
      </c>
      <c r="I503" s="230" t="s">
        <v>2760</v>
      </c>
      <c r="J503" s="328">
        <v>306</v>
      </c>
      <c r="K503" s="323"/>
      <c r="L503" s="231"/>
      <c r="M503" s="232"/>
      <c r="N503" s="225"/>
      <c r="O503" s="233" t="s">
        <v>2888</v>
      </c>
      <c r="P503" s="233" t="s">
        <v>2903</v>
      </c>
    </row>
    <row r="504" spans="2:16" ht="14.45" customHeight="1" x14ac:dyDescent="0.2">
      <c r="B504" s="360"/>
      <c r="C504" s="366"/>
      <c r="D504" s="363"/>
      <c r="E504" s="223" t="s">
        <v>1845</v>
      </c>
      <c r="F504" s="319" t="s">
        <v>3307</v>
      </c>
      <c r="G504" s="10" t="s">
        <v>4100</v>
      </c>
      <c r="H504" s="229" t="s">
        <v>3703</v>
      </c>
      <c r="I504" s="230" t="s">
        <v>2760</v>
      </c>
      <c r="J504" s="328">
        <v>584</v>
      </c>
      <c r="K504" s="323"/>
      <c r="L504" s="231"/>
      <c r="M504" s="232"/>
      <c r="N504" s="225"/>
      <c r="O504" s="233" t="s">
        <v>2888</v>
      </c>
      <c r="P504" s="233" t="s">
        <v>2903</v>
      </c>
    </row>
    <row r="505" spans="2:16" ht="14.45" customHeight="1" x14ac:dyDescent="0.2">
      <c r="B505" s="360"/>
      <c r="C505" s="366"/>
      <c r="D505" s="363"/>
      <c r="E505" s="223" t="s">
        <v>1845</v>
      </c>
      <c r="F505" s="319" t="s">
        <v>3308</v>
      </c>
      <c r="G505" s="10" t="s">
        <v>4101</v>
      </c>
      <c r="H505" s="229" t="s">
        <v>3704</v>
      </c>
      <c r="I505" s="230" t="s">
        <v>2760</v>
      </c>
      <c r="J505" s="328">
        <v>332</v>
      </c>
      <c r="K505" s="323"/>
      <c r="L505" s="231"/>
      <c r="M505" s="232"/>
      <c r="N505" s="225"/>
      <c r="O505" s="233" t="s">
        <v>2888</v>
      </c>
      <c r="P505" s="233" t="s">
        <v>2903</v>
      </c>
    </row>
    <row r="506" spans="2:16" ht="14.45" customHeight="1" x14ac:dyDescent="0.2">
      <c r="B506" s="360"/>
      <c r="C506" s="366"/>
      <c r="D506" s="402" t="s">
        <v>101</v>
      </c>
      <c r="E506" s="237" t="s">
        <v>7</v>
      </c>
      <c r="F506" s="238" t="s">
        <v>135</v>
      </c>
      <c r="G506" s="239" t="s">
        <v>185</v>
      </c>
      <c r="H506" s="240" t="s">
        <v>2551</v>
      </c>
      <c r="I506" s="241" t="s">
        <v>353</v>
      </c>
      <c r="J506" s="329">
        <v>2384</v>
      </c>
      <c r="K506" s="324">
        <v>46128</v>
      </c>
      <c r="L506" s="244">
        <v>46128</v>
      </c>
      <c r="M506" s="245" t="s">
        <v>2946</v>
      </c>
      <c r="N506" s="246"/>
      <c r="O506" s="247" t="s">
        <v>2888</v>
      </c>
      <c r="P506" s="247" t="s">
        <v>2903</v>
      </c>
    </row>
    <row r="507" spans="2:16" ht="14.45" customHeight="1" x14ac:dyDescent="0.2">
      <c r="B507" s="360"/>
      <c r="C507" s="366"/>
      <c r="D507" s="403"/>
      <c r="E507" s="248" t="s">
        <v>2764</v>
      </c>
      <c r="F507" s="249" t="s">
        <v>2666</v>
      </c>
      <c r="G507" s="250" t="s">
        <v>282</v>
      </c>
      <c r="H507" s="251" t="s">
        <v>2501</v>
      </c>
      <c r="I507" s="252" t="s">
        <v>446</v>
      </c>
      <c r="J507" s="326">
        <v>2430</v>
      </c>
      <c r="K507" s="320">
        <v>46192</v>
      </c>
      <c r="L507" s="255"/>
      <c r="M507" s="256" t="s">
        <v>2946</v>
      </c>
      <c r="N507" s="259"/>
      <c r="O507" s="258" t="s">
        <v>2888</v>
      </c>
      <c r="P507" s="258" t="s">
        <v>2903</v>
      </c>
    </row>
    <row r="508" spans="2:16" ht="14.45" customHeight="1" x14ac:dyDescent="0.2">
      <c r="B508" s="360"/>
      <c r="C508" s="366"/>
      <c r="D508" s="403"/>
      <c r="E508" s="248" t="s">
        <v>2764</v>
      </c>
      <c r="F508" s="249" t="s">
        <v>2667</v>
      </c>
      <c r="G508" s="250" t="s">
        <v>283</v>
      </c>
      <c r="H508" s="251" t="s">
        <v>2502</v>
      </c>
      <c r="I508" s="252" t="s">
        <v>447</v>
      </c>
      <c r="J508" s="326">
        <v>2546</v>
      </c>
      <c r="K508" s="320">
        <v>46192</v>
      </c>
      <c r="L508" s="255"/>
      <c r="M508" s="256" t="s">
        <v>2946</v>
      </c>
      <c r="N508" s="259"/>
      <c r="O508" s="258" t="s">
        <v>2888</v>
      </c>
      <c r="P508" s="258" t="s">
        <v>2903</v>
      </c>
    </row>
    <row r="509" spans="2:16" ht="14.45" customHeight="1" x14ac:dyDescent="0.2">
      <c r="B509" s="360"/>
      <c r="C509" s="366"/>
      <c r="D509" s="403"/>
      <c r="E509" s="248" t="s">
        <v>1845</v>
      </c>
      <c r="F509" s="249" t="s">
        <v>3309</v>
      </c>
      <c r="G509" s="250" t="s">
        <v>4102</v>
      </c>
      <c r="H509" s="251" t="s">
        <v>3705</v>
      </c>
      <c r="I509" s="252" t="s">
        <v>2760</v>
      </c>
      <c r="J509" s="326">
        <v>481</v>
      </c>
      <c r="K509" s="320"/>
      <c r="L509" s="255"/>
      <c r="M509" s="256"/>
      <c r="N509" s="259"/>
      <c r="O509" s="258" t="s">
        <v>2888</v>
      </c>
      <c r="P509" s="258" t="s">
        <v>2903</v>
      </c>
    </row>
    <row r="510" spans="2:16" ht="14.45" customHeight="1" x14ac:dyDescent="0.2">
      <c r="B510" s="360"/>
      <c r="C510" s="366"/>
      <c r="D510" s="403"/>
      <c r="E510" s="248" t="s">
        <v>1845</v>
      </c>
      <c r="F510" s="249" t="s">
        <v>3310</v>
      </c>
      <c r="G510" s="250" t="s">
        <v>4103</v>
      </c>
      <c r="H510" s="251" t="s">
        <v>3706</v>
      </c>
      <c r="I510" s="252" t="s">
        <v>2760</v>
      </c>
      <c r="J510" s="326">
        <v>250</v>
      </c>
      <c r="K510" s="320"/>
      <c r="L510" s="255"/>
      <c r="M510" s="256"/>
      <c r="N510" s="259"/>
      <c r="O510" s="258" t="s">
        <v>2888</v>
      </c>
      <c r="P510" s="258" t="s">
        <v>2903</v>
      </c>
    </row>
    <row r="511" spans="2:16" ht="14.45" customHeight="1" x14ac:dyDescent="0.2">
      <c r="B511" s="360"/>
      <c r="C511" s="366"/>
      <c r="D511" s="403"/>
      <c r="E511" s="248" t="s">
        <v>1845</v>
      </c>
      <c r="F511" s="249" t="s">
        <v>3311</v>
      </c>
      <c r="G511" s="250" t="s">
        <v>4104</v>
      </c>
      <c r="H511" s="251" t="s">
        <v>3707</v>
      </c>
      <c r="I511" s="252" t="s">
        <v>2760</v>
      </c>
      <c r="J511" s="326">
        <v>262</v>
      </c>
      <c r="K511" s="320"/>
      <c r="L511" s="255"/>
      <c r="M511" s="256"/>
      <c r="N511" s="259"/>
      <c r="O511" s="258" t="s">
        <v>2888</v>
      </c>
      <c r="P511" s="258" t="s">
        <v>2903</v>
      </c>
    </row>
    <row r="512" spans="2:16" ht="14.45" customHeight="1" x14ac:dyDescent="0.2">
      <c r="B512" s="360"/>
      <c r="C512" s="366"/>
      <c r="D512" s="403"/>
      <c r="E512" s="248" t="s">
        <v>1845</v>
      </c>
      <c r="F512" s="249" t="s">
        <v>3312</v>
      </c>
      <c r="G512" s="250" t="s">
        <v>4105</v>
      </c>
      <c r="H512" s="251" t="s">
        <v>3708</v>
      </c>
      <c r="I512" s="252" t="s">
        <v>2760</v>
      </c>
      <c r="J512" s="326">
        <v>472</v>
      </c>
      <c r="K512" s="320"/>
      <c r="L512" s="255"/>
      <c r="M512" s="256"/>
      <c r="N512" s="259"/>
      <c r="O512" s="258" t="s">
        <v>2888</v>
      </c>
      <c r="P512" s="258" t="s">
        <v>2903</v>
      </c>
    </row>
    <row r="513" spans="2:16" ht="14.45" customHeight="1" x14ac:dyDescent="0.2">
      <c r="B513" s="360"/>
      <c r="C513" s="366"/>
      <c r="D513" s="403"/>
      <c r="E513" s="248" t="s">
        <v>1845</v>
      </c>
      <c r="F513" s="249" t="s">
        <v>3313</v>
      </c>
      <c r="G513" s="250" t="s">
        <v>4106</v>
      </c>
      <c r="H513" s="251" t="s">
        <v>3709</v>
      </c>
      <c r="I513" s="252" t="s">
        <v>2760</v>
      </c>
      <c r="J513" s="326">
        <v>525</v>
      </c>
      <c r="K513" s="320"/>
      <c r="L513" s="255"/>
      <c r="M513" s="256"/>
      <c r="N513" s="259"/>
      <c r="O513" s="258" t="s">
        <v>2888</v>
      </c>
      <c r="P513" s="258" t="s">
        <v>2903</v>
      </c>
    </row>
    <row r="514" spans="2:16" ht="14.45" customHeight="1" x14ac:dyDescent="0.2">
      <c r="B514" s="360"/>
      <c r="C514" s="366"/>
      <c r="D514" s="403"/>
      <c r="E514" s="248" t="s">
        <v>1845</v>
      </c>
      <c r="F514" s="249" t="s">
        <v>3028</v>
      </c>
      <c r="G514" s="250" t="s">
        <v>4107</v>
      </c>
      <c r="H514" s="251" t="s">
        <v>3710</v>
      </c>
      <c r="I514" s="252" t="s">
        <v>2760</v>
      </c>
      <c r="J514" s="326">
        <v>263</v>
      </c>
      <c r="K514" s="320"/>
      <c r="L514" s="255"/>
      <c r="M514" s="256"/>
      <c r="N514" s="259"/>
      <c r="O514" s="258" t="s">
        <v>2888</v>
      </c>
      <c r="P514" s="258" t="s">
        <v>2903</v>
      </c>
    </row>
    <row r="515" spans="2:16" ht="14.45" customHeight="1" x14ac:dyDescent="0.2">
      <c r="B515" s="360"/>
      <c r="C515" s="366"/>
      <c r="D515" s="403"/>
      <c r="E515" s="248" t="s">
        <v>1845</v>
      </c>
      <c r="F515" s="249" t="s">
        <v>3314</v>
      </c>
      <c r="G515" s="250" t="s">
        <v>4108</v>
      </c>
      <c r="H515" s="251" t="s">
        <v>3711</v>
      </c>
      <c r="I515" s="252" t="s">
        <v>2760</v>
      </c>
      <c r="J515" s="326">
        <v>371</v>
      </c>
      <c r="K515" s="320"/>
      <c r="L515" s="255"/>
      <c r="M515" s="256"/>
      <c r="N515" s="259"/>
      <c r="O515" s="258" t="s">
        <v>2888</v>
      </c>
      <c r="P515" s="258" t="s">
        <v>2903</v>
      </c>
    </row>
    <row r="516" spans="2:16" ht="14.45" customHeight="1" x14ac:dyDescent="0.2">
      <c r="B516" s="360"/>
      <c r="C516" s="366"/>
      <c r="D516" s="402" t="s">
        <v>103</v>
      </c>
      <c r="E516" s="237" t="s">
        <v>7</v>
      </c>
      <c r="F516" s="238" t="s">
        <v>135</v>
      </c>
      <c r="G516" s="239" t="s">
        <v>186</v>
      </c>
      <c r="H516" s="240" t="s">
        <v>2552</v>
      </c>
      <c r="I516" s="241" t="s">
        <v>354</v>
      </c>
      <c r="J516" s="329">
        <v>2614</v>
      </c>
      <c r="K516" s="324">
        <v>46128</v>
      </c>
      <c r="L516" s="244">
        <v>46128</v>
      </c>
      <c r="M516" s="245" t="s">
        <v>2946</v>
      </c>
      <c r="N516" s="246"/>
      <c r="O516" s="247" t="s">
        <v>2888</v>
      </c>
      <c r="P516" s="247" t="s">
        <v>2903</v>
      </c>
    </row>
    <row r="517" spans="2:16" ht="14.45" customHeight="1" x14ac:dyDescent="0.2">
      <c r="B517" s="360"/>
      <c r="C517" s="366"/>
      <c r="D517" s="403"/>
      <c r="E517" s="248" t="s">
        <v>2764</v>
      </c>
      <c r="F517" s="249" t="s">
        <v>2668</v>
      </c>
      <c r="G517" s="250" t="s">
        <v>2697</v>
      </c>
      <c r="H517" s="251" t="s">
        <v>2699</v>
      </c>
      <c r="I517" s="252" t="s">
        <v>448</v>
      </c>
      <c r="J517" s="326">
        <v>2827</v>
      </c>
      <c r="K517" s="320">
        <v>46192</v>
      </c>
      <c r="L517" s="255"/>
      <c r="M517" s="256" t="s">
        <v>2947</v>
      </c>
      <c r="N517" s="259"/>
      <c r="O517" s="258" t="s">
        <v>2888</v>
      </c>
      <c r="P517" s="258" t="s">
        <v>2903</v>
      </c>
    </row>
    <row r="518" spans="2:16" ht="14.45" customHeight="1" x14ac:dyDescent="0.2">
      <c r="B518" s="360"/>
      <c r="C518" s="366"/>
      <c r="D518" s="403"/>
      <c r="E518" s="248" t="s">
        <v>2764</v>
      </c>
      <c r="F518" s="249" t="s">
        <v>2669</v>
      </c>
      <c r="G518" s="250" t="s">
        <v>284</v>
      </c>
      <c r="H518" s="251" t="s">
        <v>2503</v>
      </c>
      <c r="I518" s="252" t="s">
        <v>449</v>
      </c>
      <c r="J518" s="326">
        <v>2577</v>
      </c>
      <c r="K518" s="320">
        <v>46192</v>
      </c>
      <c r="L518" s="255"/>
      <c r="M518" s="256" t="s">
        <v>2946</v>
      </c>
      <c r="N518" s="259"/>
      <c r="O518" s="258" t="s">
        <v>2888</v>
      </c>
      <c r="P518" s="258" t="s">
        <v>2903</v>
      </c>
    </row>
    <row r="519" spans="2:16" ht="14.45" customHeight="1" thickBot="1" x14ac:dyDescent="0.25">
      <c r="B519" s="360"/>
      <c r="C519" s="366"/>
      <c r="D519" s="403"/>
      <c r="E519" s="248" t="s">
        <v>1845</v>
      </c>
      <c r="F519" s="249" t="s">
        <v>3315</v>
      </c>
      <c r="G519" s="250" t="s">
        <v>4109</v>
      </c>
      <c r="H519" s="251" t="s">
        <v>3712</v>
      </c>
      <c r="I519" s="252" t="s">
        <v>2760</v>
      </c>
      <c r="J519" s="326">
        <v>506</v>
      </c>
      <c r="K519" s="320"/>
      <c r="L519" s="255"/>
      <c r="M519" s="256"/>
      <c r="N519" s="259"/>
      <c r="O519" s="258" t="s">
        <v>2888</v>
      </c>
      <c r="P519" s="258" t="s">
        <v>2903</v>
      </c>
    </row>
    <row r="520" spans="2:16" ht="14.45" customHeight="1" x14ac:dyDescent="0.2">
      <c r="B520" s="360"/>
      <c r="C520" s="365" t="s">
        <v>1702</v>
      </c>
      <c r="D520" s="404" t="s">
        <v>105</v>
      </c>
      <c r="E520" s="271" t="s">
        <v>7</v>
      </c>
      <c r="F520" s="272" t="s">
        <v>138</v>
      </c>
      <c r="G520" s="273" t="s">
        <v>187</v>
      </c>
      <c r="H520" s="274" t="s">
        <v>2553</v>
      </c>
      <c r="I520" s="275" t="s">
        <v>355</v>
      </c>
      <c r="J520" s="325">
        <v>2519</v>
      </c>
      <c r="K520" s="321">
        <v>46128</v>
      </c>
      <c r="L520" s="278">
        <v>46128</v>
      </c>
      <c r="M520" s="279" t="s">
        <v>2946</v>
      </c>
      <c r="N520" s="280"/>
      <c r="O520" s="281" t="s">
        <v>2888</v>
      </c>
      <c r="P520" s="281" t="s">
        <v>2906</v>
      </c>
    </row>
    <row r="521" spans="2:16" ht="14.45" customHeight="1" x14ac:dyDescent="0.2">
      <c r="B521" s="360"/>
      <c r="C521" s="366"/>
      <c r="D521" s="403"/>
      <c r="E521" s="248" t="s">
        <v>1845</v>
      </c>
      <c r="F521" s="249" t="s">
        <v>3316</v>
      </c>
      <c r="G521" s="250" t="s">
        <v>4110</v>
      </c>
      <c r="H521" s="251" t="s">
        <v>3713</v>
      </c>
      <c r="I521" s="252" t="s">
        <v>2760</v>
      </c>
      <c r="J521" s="326">
        <v>336</v>
      </c>
      <c r="K521" s="320"/>
      <c r="L521" s="255"/>
      <c r="M521" s="256"/>
      <c r="N521" s="259"/>
      <c r="O521" s="258" t="s">
        <v>2888</v>
      </c>
      <c r="P521" s="258" t="s">
        <v>2905</v>
      </c>
    </row>
    <row r="522" spans="2:16" ht="14.45" customHeight="1" x14ac:dyDescent="0.2">
      <c r="B522" s="360"/>
      <c r="C522" s="366"/>
      <c r="D522" s="402" t="s">
        <v>107</v>
      </c>
      <c r="E522" s="237" t="s">
        <v>7</v>
      </c>
      <c r="F522" s="238" t="s">
        <v>137</v>
      </c>
      <c r="G522" s="239" t="s">
        <v>188</v>
      </c>
      <c r="H522" s="240" t="s">
        <v>2554</v>
      </c>
      <c r="I522" s="241" t="s">
        <v>356</v>
      </c>
      <c r="J522" s="329">
        <v>3265</v>
      </c>
      <c r="K522" s="324">
        <v>46128</v>
      </c>
      <c r="L522" s="244">
        <v>46128</v>
      </c>
      <c r="M522" s="245" t="s">
        <v>2946</v>
      </c>
      <c r="N522" s="246"/>
      <c r="O522" s="247" t="s">
        <v>2888</v>
      </c>
      <c r="P522" s="247" t="s">
        <v>2905</v>
      </c>
    </row>
    <row r="523" spans="2:16" ht="14.45" customHeight="1" x14ac:dyDescent="0.2">
      <c r="B523" s="360"/>
      <c r="C523" s="366"/>
      <c r="D523" s="403"/>
      <c r="E523" s="248" t="s">
        <v>2764</v>
      </c>
      <c r="F523" s="249" t="s">
        <v>2670</v>
      </c>
      <c r="G523" s="250" t="s">
        <v>285</v>
      </c>
      <c r="H523" s="251" t="s">
        <v>2504</v>
      </c>
      <c r="I523" s="252" t="s">
        <v>450</v>
      </c>
      <c r="J523" s="326">
        <v>2586</v>
      </c>
      <c r="K523" s="320">
        <v>46192</v>
      </c>
      <c r="L523" s="255"/>
      <c r="M523" s="256" t="s">
        <v>2946</v>
      </c>
      <c r="N523" s="259"/>
      <c r="O523" s="258" t="s">
        <v>2888</v>
      </c>
      <c r="P523" s="258" t="s">
        <v>2905</v>
      </c>
    </row>
    <row r="524" spans="2:16" ht="14.45" customHeight="1" x14ac:dyDescent="0.2">
      <c r="B524" s="360"/>
      <c r="C524" s="366"/>
      <c r="D524" s="403"/>
      <c r="E524" s="248" t="s">
        <v>2764</v>
      </c>
      <c r="F524" s="249" t="s">
        <v>2671</v>
      </c>
      <c r="G524" s="250" t="s">
        <v>2949</v>
      </c>
      <c r="H524" s="251" t="s">
        <v>2950</v>
      </c>
      <c r="I524" s="252" t="s">
        <v>451</v>
      </c>
      <c r="J524" s="326">
        <v>2871</v>
      </c>
      <c r="K524" s="320">
        <v>46192</v>
      </c>
      <c r="L524" s="255"/>
      <c r="M524" s="256" t="s">
        <v>2946</v>
      </c>
      <c r="N524" s="259"/>
      <c r="O524" s="258" t="s">
        <v>2888</v>
      </c>
      <c r="P524" s="258" t="s">
        <v>2905</v>
      </c>
    </row>
    <row r="525" spans="2:16" ht="14.45" customHeight="1" x14ac:dyDescent="0.2">
      <c r="B525" s="360"/>
      <c r="C525" s="366"/>
      <c r="D525" s="403"/>
      <c r="E525" s="248" t="s">
        <v>1845</v>
      </c>
      <c r="F525" s="249" t="s">
        <v>3317</v>
      </c>
      <c r="G525" s="250" t="s">
        <v>4111</v>
      </c>
      <c r="H525" s="251" t="s">
        <v>3714</v>
      </c>
      <c r="I525" s="252" t="s">
        <v>2760</v>
      </c>
      <c r="J525" s="326">
        <v>1004</v>
      </c>
      <c r="K525" s="320"/>
      <c r="L525" s="255"/>
      <c r="M525" s="256"/>
      <c r="N525" s="259"/>
      <c r="O525" s="258" t="s">
        <v>2888</v>
      </c>
      <c r="P525" s="258" t="s">
        <v>2905</v>
      </c>
    </row>
    <row r="526" spans="2:16" ht="14.45" customHeight="1" x14ac:dyDescent="0.2">
      <c r="B526" s="360"/>
      <c r="C526" s="366"/>
      <c r="D526" s="403"/>
      <c r="E526" s="248" t="s">
        <v>1845</v>
      </c>
      <c r="F526" s="249" t="s">
        <v>3318</v>
      </c>
      <c r="G526" s="250" t="s">
        <v>4112</v>
      </c>
      <c r="H526" s="251" t="s">
        <v>3715</v>
      </c>
      <c r="I526" s="252" t="s">
        <v>2760</v>
      </c>
      <c r="J526" s="326">
        <v>523</v>
      </c>
      <c r="K526" s="320"/>
      <c r="L526" s="255"/>
      <c r="M526" s="256"/>
      <c r="N526" s="259"/>
      <c r="O526" s="258" t="s">
        <v>2888</v>
      </c>
      <c r="P526" s="258" t="s">
        <v>2905</v>
      </c>
    </row>
    <row r="527" spans="2:16" ht="14.45" customHeight="1" x14ac:dyDescent="0.2">
      <c r="B527" s="360"/>
      <c r="C527" s="366"/>
      <c r="D527" s="403"/>
      <c r="E527" s="248" t="s">
        <v>1845</v>
      </c>
      <c r="F527" s="249" t="s">
        <v>3319</v>
      </c>
      <c r="G527" s="250" t="s">
        <v>4113</v>
      </c>
      <c r="H527" s="251" t="s">
        <v>3716</v>
      </c>
      <c r="I527" s="252" t="s">
        <v>2760</v>
      </c>
      <c r="J527" s="326">
        <v>504</v>
      </c>
      <c r="K527" s="320"/>
      <c r="L527" s="255"/>
      <c r="M527" s="256"/>
      <c r="N527" s="259"/>
      <c r="O527" s="258" t="s">
        <v>2888</v>
      </c>
      <c r="P527" s="258" t="s">
        <v>2905</v>
      </c>
    </row>
    <row r="528" spans="2:16" ht="14.45" customHeight="1" x14ac:dyDescent="0.2">
      <c r="B528" s="360"/>
      <c r="C528" s="366"/>
      <c r="D528" s="402" t="s">
        <v>197</v>
      </c>
      <c r="E528" s="237" t="s">
        <v>7</v>
      </c>
      <c r="F528" s="238" t="s">
        <v>137</v>
      </c>
      <c r="G528" s="239" t="s">
        <v>198</v>
      </c>
      <c r="H528" s="240" t="s">
        <v>2555</v>
      </c>
      <c r="I528" s="241" t="s">
        <v>357</v>
      </c>
      <c r="J528" s="329">
        <v>2558</v>
      </c>
      <c r="K528" s="324">
        <v>46128</v>
      </c>
      <c r="L528" s="244">
        <v>46128</v>
      </c>
      <c r="M528" s="245" t="s">
        <v>2946</v>
      </c>
      <c r="N528" s="246"/>
      <c r="O528" s="247" t="s">
        <v>2888</v>
      </c>
      <c r="P528" s="247" t="s">
        <v>2905</v>
      </c>
    </row>
    <row r="529" spans="2:16" ht="14.45" customHeight="1" x14ac:dyDescent="0.2">
      <c r="B529" s="360"/>
      <c r="C529" s="366"/>
      <c r="D529" s="403"/>
      <c r="E529" s="248" t="s">
        <v>2764</v>
      </c>
      <c r="F529" s="249" t="s">
        <v>2672</v>
      </c>
      <c r="G529" s="250" t="s">
        <v>286</v>
      </c>
      <c r="H529" s="251" t="s">
        <v>2505</v>
      </c>
      <c r="I529" s="252" t="s">
        <v>452</v>
      </c>
      <c r="J529" s="326">
        <v>2771</v>
      </c>
      <c r="K529" s="320">
        <v>46192</v>
      </c>
      <c r="L529" s="255"/>
      <c r="M529" s="256" t="s">
        <v>2946</v>
      </c>
      <c r="N529" s="259"/>
      <c r="O529" s="258" t="s">
        <v>2888</v>
      </c>
      <c r="P529" s="258" t="s">
        <v>2905</v>
      </c>
    </row>
    <row r="530" spans="2:16" ht="14.45" customHeight="1" x14ac:dyDescent="0.2">
      <c r="B530" s="360"/>
      <c r="C530" s="366"/>
      <c r="D530" s="403"/>
      <c r="E530" s="248" t="s">
        <v>2764</v>
      </c>
      <c r="F530" s="249" t="s">
        <v>2673</v>
      </c>
      <c r="G530" s="250" t="s">
        <v>287</v>
      </c>
      <c r="H530" s="251" t="s">
        <v>2506</v>
      </c>
      <c r="I530" s="252" t="s">
        <v>453</v>
      </c>
      <c r="J530" s="326">
        <v>2641</v>
      </c>
      <c r="K530" s="320">
        <v>46192</v>
      </c>
      <c r="L530" s="255"/>
      <c r="M530" s="256" t="s">
        <v>2946</v>
      </c>
      <c r="N530" s="259"/>
      <c r="O530" s="258" t="s">
        <v>2888</v>
      </c>
      <c r="P530" s="258" t="s">
        <v>2905</v>
      </c>
    </row>
    <row r="531" spans="2:16" ht="14.45" customHeight="1" x14ac:dyDescent="0.2">
      <c r="B531" s="360"/>
      <c r="C531" s="366"/>
      <c r="D531" s="403"/>
      <c r="E531" s="248" t="s">
        <v>1845</v>
      </c>
      <c r="F531" s="249" t="s">
        <v>3320</v>
      </c>
      <c r="G531" s="250" t="s">
        <v>4114</v>
      </c>
      <c r="H531" s="251" t="s">
        <v>3717</v>
      </c>
      <c r="I531" s="252" t="s">
        <v>2760</v>
      </c>
      <c r="J531" s="326">
        <v>344</v>
      </c>
      <c r="K531" s="320"/>
      <c r="L531" s="255"/>
      <c r="M531" s="256"/>
      <c r="N531" s="259"/>
      <c r="O531" s="258" t="s">
        <v>2888</v>
      </c>
      <c r="P531" s="258" t="s">
        <v>2905</v>
      </c>
    </row>
    <row r="532" spans="2:16" ht="14.45" customHeight="1" x14ac:dyDescent="0.2">
      <c r="B532" s="360"/>
      <c r="C532" s="366"/>
      <c r="D532" s="403"/>
      <c r="E532" s="248" t="s">
        <v>1845</v>
      </c>
      <c r="F532" s="249" t="s">
        <v>3321</v>
      </c>
      <c r="G532" s="250" t="s">
        <v>4115</v>
      </c>
      <c r="H532" s="251" t="s">
        <v>3718</v>
      </c>
      <c r="I532" s="252" t="s">
        <v>2760</v>
      </c>
      <c r="J532" s="326">
        <v>829</v>
      </c>
      <c r="K532" s="320"/>
      <c r="L532" s="255"/>
      <c r="M532" s="256"/>
      <c r="N532" s="259"/>
      <c r="O532" s="258" t="s">
        <v>2888</v>
      </c>
      <c r="P532" s="258" t="s">
        <v>2905</v>
      </c>
    </row>
    <row r="533" spans="2:16" ht="14.45" customHeight="1" x14ac:dyDescent="0.2">
      <c r="B533" s="360"/>
      <c r="C533" s="366"/>
      <c r="D533" s="402" t="s">
        <v>109</v>
      </c>
      <c r="E533" s="237" t="s">
        <v>7</v>
      </c>
      <c r="F533" s="238" t="s">
        <v>137</v>
      </c>
      <c r="G533" s="239" t="s">
        <v>199</v>
      </c>
      <c r="H533" s="240" t="s">
        <v>2556</v>
      </c>
      <c r="I533" s="241" t="s">
        <v>358</v>
      </c>
      <c r="J533" s="329">
        <v>2545</v>
      </c>
      <c r="K533" s="324">
        <v>46128</v>
      </c>
      <c r="L533" s="244">
        <v>46128</v>
      </c>
      <c r="M533" s="245" t="s">
        <v>2946</v>
      </c>
      <c r="N533" s="246"/>
      <c r="O533" s="247" t="s">
        <v>2888</v>
      </c>
      <c r="P533" s="247" t="s">
        <v>2905</v>
      </c>
    </row>
    <row r="534" spans="2:16" ht="14.45" customHeight="1" x14ac:dyDescent="0.2">
      <c r="B534" s="360"/>
      <c r="C534" s="366"/>
      <c r="D534" s="403"/>
      <c r="E534" s="248" t="s">
        <v>2764</v>
      </c>
      <c r="F534" s="249" t="s">
        <v>2674</v>
      </c>
      <c r="G534" s="250" t="s">
        <v>288</v>
      </c>
      <c r="H534" s="251" t="s">
        <v>2507</v>
      </c>
      <c r="I534" s="252" t="s">
        <v>454</v>
      </c>
      <c r="J534" s="326">
        <v>2843</v>
      </c>
      <c r="K534" s="320">
        <v>46192</v>
      </c>
      <c r="L534" s="255"/>
      <c r="M534" s="256" t="s">
        <v>2947</v>
      </c>
      <c r="N534" s="259"/>
      <c r="O534" s="258" t="s">
        <v>2888</v>
      </c>
      <c r="P534" s="258" t="s">
        <v>2905</v>
      </c>
    </row>
    <row r="535" spans="2:16" ht="14.45" customHeight="1" x14ac:dyDescent="0.2">
      <c r="B535" s="360"/>
      <c r="C535" s="366"/>
      <c r="D535" s="403"/>
      <c r="E535" s="248" t="s">
        <v>2764</v>
      </c>
      <c r="F535" s="249" t="s">
        <v>2675</v>
      </c>
      <c r="G535" s="250" t="s">
        <v>289</v>
      </c>
      <c r="H535" s="251" t="s">
        <v>2508</v>
      </c>
      <c r="I535" s="252" t="s">
        <v>455</v>
      </c>
      <c r="J535" s="326">
        <v>2712</v>
      </c>
      <c r="K535" s="320">
        <v>46192</v>
      </c>
      <c r="L535" s="255"/>
      <c r="M535" s="256" t="s">
        <v>2946</v>
      </c>
      <c r="N535" s="259"/>
      <c r="O535" s="258" t="s">
        <v>2888</v>
      </c>
      <c r="P535" s="258" t="s">
        <v>2905</v>
      </c>
    </row>
    <row r="536" spans="2:16" ht="14.45" customHeight="1" x14ac:dyDescent="0.2">
      <c r="B536" s="360"/>
      <c r="C536" s="366"/>
      <c r="D536" s="403"/>
      <c r="E536" s="248" t="s">
        <v>1845</v>
      </c>
      <c r="F536" s="249" t="s">
        <v>3322</v>
      </c>
      <c r="G536" s="250" t="s">
        <v>4116</v>
      </c>
      <c r="H536" s="251" t="s">
        <v>3719</v>
      </c>
      <c r="I536" s="252" t="s">
        <v>2760</v>
      </c>
      <c r="J536" s="326">
        <v>595</v>
      </c>
      <c r="K536" s="320"/>
      <c r="L536" s="255"/>
      <c r="M536" s="256"/>
      <c r="N536" s="259"/>
      <c r="O536" s="258" t="s">
        <v>2888</v>
      </c>
      <c r="P536" s="258" t="s">
        <v>2905</v>
      </c>
    </row>
    <row r="537" spans="2:16" ht="14.45" customHeight="1" x14ac:dyDescent="0.2">
      <c r="B537" s="360"/>
      <c r="C537" s="366"/>
      <c r="D537" s="403"/>
      <c r="E537" s="248" t="s">
        <v>1845</v>
      </c>
      <c r="F537" s="249" t="s">
        <v>3323</v>
      </c>
      <c r="G537" s="250" t="s">
        <v>4117</v>
      </c>
      <c r="H537" s="251" t="s">
        <v>3720</v>
      </c>
      <c r="I537" s="252" t="s">
        <v>2760</v>
      </c>
      <c r="J537" s="326">
        <v>1060</v>
      </c>
      <c r="K537" s="320"/>
      <c r="L537" s="255"/>
      <c r="M537" s="256"/>
      <c r="N537" s="259"/>
      <c r="O537" s="258" t="s">
        <v>2888</v>
      </c>
      <c r="P537" s="258" t="s">
        <v>2905</v>
      </c>
    </row>
    <row r="538" spans="2:16" ht="14.45" customHeight="1" x14ac:dyDescent="0.2">
      <c r="B538" s="360"/>
      <c r="C538" s="366"/>
      <c r="D538" s="403"/>
      <c r="E538" s="248" t="s">
        <v>1845</v>
      </c>
      <c r="F538" s="249" t="s">
        <v>3324</v>
      </c>
      <c r="G538" s="250" t="s">
        <v>4118</v>
      </c>
      <c r="H538" s="251" t="s">
        <v>3721</v>
      </c>
      <c r="I538" s="252" t="s">
        <v>2760</v>
      </c>
      <c r="J538" s="326">
        <v>388</v>
      </c>
      <c r="K538" s="320"/>
      <c r="L538" s="255"/>
      <c r="M538" s="256"/>
      <c r="N538" s="259"/>
      <c r="O538" s="258" t="s">
        <v>2888</v>
      </c>
      <c r="P538" s="258" t="s">
        <v>2905</v>
      </c>
    </row>
    <row r="539" spans="2:16" ht="14.45" customHeight="1" thickBot="1" x14ac:dyDescent="0.25">
      <c r="B539" s="360"/>
      <c r="C539" s="366"/>
      <c r="D539" s="403"/>
      <c r="E539" s="248" t="s">
        <v>1845</v>
      </c>
      <c r="F539" s="249" t="s">
        <v>3325</v>
      </c>
      <c r="G539" s="250" t="s">
        <v>4119</v>
      </c>
      <c r="H539" s="251" t="s">
        <v>3722</v>
      </c>
      <c r="I539" s="252" t="s">
        <v>2760</v>
      </c>
      <c r="J539" s="326">
        <v>777</v>
      </c>
      <c r="K539" s="320"/>
      <c r="L539" s="255"/>
      <c r="M539" s="256"/>
      <c r="N539" s="259"/>
      <c r="O539" s="258" t="s">
        <v>2888</v>
      </c>
      <c r="P539" s="258" t="s">
        <v>2905</v>
      </c>
    </row>
    <row r="540" spans="2:16" ht="14.45" customHeight="1" x14ac:dyDescent="0.2">
      <c r="B540" s="360"/>
      <c r="C540" s="365" t="s">
        <v>1703</v>
      </c>
      <c r="D540" s="404" t="s">
        <v>111</v>
      </c>
      <c r="E540" s="271" t="s">
        <v>7</v>
      </c>
      <c r="F540" s="272" t="s">
        <v>140</v>
      </c>
      <c r="G540" s="273" t="s">
        <v>189</v>
      </c>
      <c r="H540" s="274" t="s">
        <v>2557</v>
      </c>
      <c r="I540" s="275" t="s">
        <v>359</v>
      </c>
      <c r="J540" s="325">
        <v>2933</v>
      </c>
      <c r="K540" s="321">
        <v>46129</v>
      </c>
      <c r="L540" s="278">
        <v>46129</v>
      </c>
      <c r="M540" s="279" t="s">
        <v>2946</v>
      </c>
      <c r="N540" s="280"/>
      <c r="O540" s="281" t="s">
        <v>2888</v>
      </c>
      <c r="P540" s="281" t="s">
        <v>2908</v>
      </c>
    </row>
    <row r="541" spans="2:16" ht="14.45" customHeight="1" x14ac:dyDescent="0.2">
      <c r="B541" s="360"/>
      <c r="C541" s="366"/>
      <c r="D541" s="403"/>
      <c r="E541" s="248" t="s">
        <v>1845</v>
      </c>
      <c r="F541" s="249" t="s">
        <v>3326</v>
      </c>
      <c r="G541" s="250" t="s">
        <v>4120</v>
      </c>
      <c r="H541" s="251" t="s">
        <v>3723</v>
      </c>
      <c r="I541" s="252" t="s">
        <v>2760</v>
      </c>
      <c r="J541" s="326">
        <v>295</v>
      </c>
      <c r="K541" s="320"/>
      <c r="L541" s="255"/>
      <c r="M541" s="256"/>
      <c r="N541" s="259"/>
      <c r="O541" s="258" t="s">
        <v>2888</v>
      </c>
      <c r="P541" s="258" t="s">
        <v>2907</v>
      </c>
    </row>
    <row r="542" spans="2:16" ht="14.45" customHeight="1" x14ac:dyDescent="0.2">
      <c r="B542" s="360"/>
      <c r="C542" s="366"/>
      <c r="D542" s="403"/>
      <c r="E542" s="248" t="s">
        <v>1845</v>
      </c>
      <c r="F542" s="249" t="s">
        <v>3327</v>
      </c>
      <c r="G542" s="250" t="s">
        <v>4121</v>
      </c>
      <c r="H542" s="251" t="s">
        <v>3724</v>
      </c>
      <c r="I542" s="252" t="s">
        <v>2760</v>
      </c>
      <c r="J542" s="326">
        <v>254</v>
      </c>
      <c r="K542" s="320"/>
      <c r="L542" s="255"/>
      <c r="M542" s="256"/>
      <c r="N542" s="259"/>
      <c r="O542" s="258" t="s">
        <v>2888</v>
      </c>
      <c r="P542" s="258" t="s">
        <v>2907</v>
      </c>
    </row>
    <row r="543" spans="2:16" ht="14.45" customHeight="1" x14ac:dyDescent="0.2">
      <c r="B543" s="360"/>
      <c r="C543" s="366"/>
      <c r="D543" s="403"/>
      <c r="E543" s="248" t="s">
        <v>1845</v>
      </c>
      <c r="F543" s="249" t="s">
        <v>3328</v>
      </c>
      <c r="G543" s="250" t="s">
        <v>4122</v>
      </c>
      <c r="H543" s="251" t="s">
        <v>3725</v>
      </c>
      <c r="I543" s="252" t="s">
        <v>2760</v>
      </c>
      <c r="J543" s="326">
        <v>312</v>
      </c>
      <c r="K543" s="320"/>
      <c r="L543" s="255"/>
      <c r="M543" s="256"/>
      <c r="N543" s="259"/>
      <c r="O543" s="258" t="s">
        <v>2888</v>
      </c>
      <c r="P543" s="258" t="s">
        <v>2907</v>
      </c>
    </row>
    <row r="544" spans="2:16" ht="14.45" customHeight="1" x14ac:dyDescent="0.2">
      <c r="B544" s="360"/>
      <c r="C544" s="366"/>
      <c r="D544" s="403"/>
      <c r="E544" s="248" t="s">
        <v>1845</v>
      </c>
      <c r="F544" s="249" t="s">
        <v>3329</v>
      </c>
      <c r="G544" s="250" t="s">
        <v>4123</v>
      </c>
      <c r="H544" s="251" t="s">
        <v>3726</v>
      </c>
      <c r="I544" s="252" t="s">
        <v>2760</v>
      </c>
      <c r="J544" s="326">
        <v>323</v>
      </c>
      <c r="K544" s="320"/>
      <c r="L544" s="255"/>
      <c r="M544" s="256"/>
      <c r="N544" s="259"/>
      <c r="O544" s="258" t="s">
        <v>2888</v>
      </c>
      <c r="P544" s="258" t="s">
        <v>2907</v>
      </c>
    </row>
    <row r="545" spans="2:16" ht="14.45" customHeight="1" x14ac:dyDescent="0.2">
      <c r="B545" s="360"/>
      <c r="C545" s="366"/>
      <c r="D545" s="403"/>
      <c r="E545" s="248" t="s">
        <v>1845</v>
      </c>
      <c r="F545" s="249" t="s">
        <v>3330</v>
      </c>
      <c r="G545" s="250" t="s">
        <v>4124</v>
      </c>
      <c r="H545" s="251" t="s">
        <v>3727</v>
      </c>
      <c r="I545" s="252" t="s">
        <v>2760</v>
      </c>
      <c r="J545" s="326">
        <v>240</v>
      </c>
      <c r="K545" s="320"/>
      <c r="L545" s="255"/>
      <c r="M545" s="256"/>
      <c r="N545" s="259"/>
      <c r="O545" s="258" t="s">
        <v>2888</v>
      </c>
      <c r="P545" s="258" t="s">
        <v>2907</v>
      </c>
    </row>
    <row r="546" spans="2:16" ht="14.45" customHeight="1" x14ac:dyDescent="0.2">
      <c r="B546" s="360"/>
      <c r="C546" s="366"/>
      <c r="D546" s="402" t="s">
        <v>113</v>
      </c>
      <c r="E546" s="237" t="s">
        <v>7</v>
      </c>
      <c r="F546" s="238" t="s">
        <v>139</v>
      </c>
      <c r="G546" s="239" t="s">
        <v>190</v>
      </c>
      <c r="H546" s="240" t="s">
        <v>2558</v>
      </c>
      <c r="I546" s="241" t="s">
        <v>360</v>
      </c>
      <c r="J546" s="329">
        <v>2727</v>
      </c>
      <c r="K546" s="324">
        <v>46129</v>
      </c>
      <c r="L546" s="244">
        <v>46129</v>
      </c>
      <c r="M546" s="245" t="s">
        <v>2946</v>
      </c>
      <c r="N546" s="246"/>
      <c r="O546" s="247" t="s">
        <v>2888</v>
      </c>
      <c r="P546" s="247" t="s">
        <v>2907</v>
      </c>
    </row>
    <row r="547" spans="2:16" ht="14.45" customHeight="1" x14ac:dyDescent="0.2">
      <c r="B547" s="360"/>
      <c r="C547" s="366"/>
      <c r="D547" s="403"/>
      <c r="E547" s="248" t="s">
        <v>2764</v>
      </c>
      <c r="F547" s="249" t="s">
        <v>2676</v>
      </c>
      <c r="G547" s="250" t="s">
        <v>290</v>
      </c>
      <c r="H547" s="251" t="s">
        <v>2509</v>
      </c>
      <c r="I547" s="252" t="s">
        <v>456</v>
      </c>
      <c r="J547" s="326">
        <v>2450</v>
      </c>
      <c r="K547" s="320">
        <v>46192</v>
      </c>
      <c r="L547" s="255"/>
      <c r="M547" s="256" t="s">
        <v>2946</v>
      </c>
      <c r="N547" s="259"/>
      <c r="O547" s="258" t="s">
        <v>2888</v>
      </c>
      <c r="P547" s="258" t="s">
        <v>2907</v>
      </c>
    </row>
    <row r="548" spans="2:16" ht="14.45" customHeight="1" thickBot="1" x14ac:dyDescent="0.25">
      <c r="B548" s="360"/>
      <c r="C548" s="366"/>
      <c r="D548" s="403"/>
      <c r="E548" s="248" t="s">
        <v>2764</v>
      </c>
      <c r="F548" s="249" t="s">
        <v>2677</v>
      </c>
      <c r="G548" s="250" t="s">
        <v>291</v>
      </c>
      <c r="H548" s="251" t="s">
        <v>2510</v>
      </c>
      <c r="I548" s="252" t="s">
        <v>457</v>
      </c>
      <c r="J548" s="326">
        <v>2404</v>
      </c>
      <c r="K548" s="320">
        <v>46192</v>
      </c>
      <c r="L548" s="255"/>
      <c r="M548" s="256" t="s">
        <v>2946</v>
      </c>
      <c r="N548" s="259"/>
      <c r="O548" s="258" t="s">
        <v>2888</v>
      </c>
      <c r="P548" s="258" t="s">
        <v>2907</v>
      </c>
    </row>
    <row r="549" spans="2:16" ht="14.45" customHeight="1" x14ac:dyDescent="0.2">
      <c r="B549" s="359" t="s">
        <v>1691</v>
      </c>
      <c r="C549" s="410" t="s">
        <v>2765</v>
      </c>
      <c r="D549" s="44" t="s">
        <v>115</v>
      </c>
      <c r="E549" s="271" t="s">
        <v>7</v>
      </c>
      <c r="F549" s="272" t="s">
        <v>142</v>
      </c>
      <c r="G549" s="273" t="s">
        <v>191</v>
      </c>
      <c r="H549" s="274" t="s">
        <v>2559</v>
      </c>
      <c r="I549" s="275" t="s">
        <v>361</v>
      </c>
      <c r="J549" s="325">
        <v>2528</v>
      </c>
      <c r="K549" s="321">
        <v>46129</v>
      </c>
      <c r="L549" s="278">
        <v>46129</v>
      </c>
      <c r="M549" s="279" t="s">
        <v>2946</v>
      </c>
      <c r="N549" s="280"/>
      <c r="O549" s="281" t="s">
        <v>2889</v>
      </c>
      <c r="P549" s="281" t="s">
        <v>2910</v>
      </c>
    </row>
    <row r="550" spans="2:16" ht="14.45" customHeight="1" x14ac:dyDescent="0.2">
      <c r="B550" s="360"/>
      <c r="C550" s="411"/>
      <c r="D550" s="402" t="s">
        <v>117</v>
      </c>
      <c r="E550" s="237" t="s">
        <v>7</v>
      </c>
      <c r="F550" s="238" t="s">
        <v>141</v>
      </c>
      <c r="G550" s="239" t="s">
        <v>192</v>
      </c>
      <c r="H550" s="240" t="s">
        <v>2560</v>
      </c>
      <c r="I550" s="241" t="s">
        <v>362</v>
      </c>
      <c r="J550" s="329">
        <v>2717</v>
      </c>
      <c r="K550" s="324">
        <v>46129</v>
      </c>
      <c r="L550" s="244">
        <v>46129</v>
      </c>
      <c r="M550" s="245" t="s">
        <v>2946</v>
      </c>
      <c r="N550" s="246"/>
      <c r="O550" s="247" t="s">
        <v>2889</v>
      </c>
      <c r="P550" s="247" t="s">
        <v>2909</v>
      </c>
    </row>
    <row r="551" spans="2:16" ht="14.45" customHeight="1" x14ac:dyDescent="0.2">
      <c r="B551" s="360"/>
      <c r="C551" s="411"/>
      <c r="D551" s="403"/>
      <c r="E551" s="248" t="s">
        <v>2764</v>
      </c>
      <c r="F551" s="249" t="s">
        <v>2678</v>
      </c>
      <c r="G551" s="250" t="s">
        <v>292</v>
      </c>
      <c r="H551" s="251" t="s">
        <v>2511</v>
      </c>
      <c r="I551" s="252" t="s">
        <v>458</v>
      </c>
      <c r="J551" s="326">
        <v>2703</v>
      </c>
      <c r="K551" s="320">
        <v>46192</v>
      </c>
      <c r="L551" s="255"/>
      <c r="M551" s="256" t="s">
        <v>2946</v>
      </c>
      <c r="N551" s="259"/>
      <c r="O551" s="258" t="s">
        <v>2889</v>
      </c>
      <c r="P551" s="258" t="s">
        <v>2909</v>
      </c>
    </row>
    <row r="552" spans="2:16" ht="14.45" customHeight="1" x14ac:dyDescent="0.2">
      <c r="B552" s="360"/>
      <c r="C552" s="411"/>
      <c r="D552" s="405"/>
      <c r="E552" s="260" t="s">
        <v>2764</v>
      </c>
      <c r="F552" s="261" t="s">
        <v>2679</v>
      </c>
      <c r="G552" s="262" t="s">
        <v>293</v>
      </c>
      <c r="H552" s="263" t="s">
        <v>2512</v>
      </c>
      <c r="I552" s="264" t="s">
        <v>459</v>
      </c>
      <c r="J552" s="327">
        <v>2730</v>
      </c>
      <c r="K552" s="322">
        <v>46192</v>
      </c>
      <c r="L552" s="267"/>
      <c r="M552" s="268" t="s">
        <v>2946</v>
      </c>
      <c r="N552" s="269"/>
      <c r="O552" s="270" t="s">
        <v>2889</v>
      </c>
      <c r="P552" s="270" t="s">
        <v>2909</v>
      </c>
    </row>
    <row r="553" spans="2:16" ht="14.45" customHeight="1" x14ac:dyDescent="0.2">
      <c r="B553" s="360"/>
      <c r="C553" s="411"/>
      <c r="D553" s="402" t="s">
        <v>119</v>
      </c>
      <c r="E553" s="237" t="s">
        <v>7</v>
      </c>
      <c r="F553" s="238" t="s">
        <v>2680</v>
      </c>
      <c r="G553" s="239" t="s">
        <v>193</v>
      </c>
      <c r="H553" s="240" t="s">
        <v>2561</v>
      </c>
      <c r="I553" s="241" t="s">
        <v>363</v>
      </c>
      <c r="J553" s="329">
        <v>3477</v>
      </c>
      <c r="K553" s="324">
        <v>46129</v>
      </c>
      <c r="L553" s="244">
        <v>46129</v>
      </c>
      <c r="M553" s="245" t="s">
        <v>2946</v>
      </c>
      <c r="N553" s="246"/>
      <c r="O553" s="247" t="s">
        <v>2889</v>
      </c>
      <c r="P553" s="247" t="s">
        <v>2909</v>
      </c>
    </row>
    <row r="554" spans="2:16" ht="14.45" customHeight="1" x14ac:dyDescent="0.2">
      <c r="B554" s="360"/>
      <c r="C554" s="411"/>
      <c r="D554" s="403"/>
      <c r="E554" s="248" t="s">
        <v>2764</v>
      </c>
      <c r="F554" s="249" t="s">
        <v>2681</v>
      </c>
      <c r="G554" s="250" t="s">
        <v>294</v>
      </c>
      <c r="H554" s="251" t="s">
        <v>2513</v>
      </c>
      <c r="I554" s="252" t="s">
        <v>460</v>
      </c>
      <c r="J554" s="326">
        <v>3051</v>
      </c>
      <c r="K554" s="320">
        <v>46192</v>
      </c>
      <c r="L554" s="255"/>
      <c r="M554" s="256" t="s">
        <v>2946</v>
      </c>
      <c r="N554" s="259"/>
      <c r="O554" s="258" t="s">
        <v>2889</v>
      </c>
      <c r="P554" s="258" t="s">
        <v>2909</v>
      </c>
    </row>
    <row r="555" spans="2:16" ht="14.45" customHeight="1" x14ac:dyDescent="0.2">
      <c r="B555" s="360"/>
      <c r="C555" s="411"/>
      <c r="D555" s="403"/>
      <c r="E555" s="248" t="s">
        <v>2764</v>
      </c>
      <c r="F555" s="249" t="s">
        <v>2682</v>
      </c>
      <c r="G555" s="250" t="s">
        <v>295</v>
      </c>
      <c r="H555" s="251" t="s">
        <v>2514</v>
      </c>
      <c r="I555" s="252" t="s">
        <v>461</v>
      </c>
      <c r="J555" s="326">
        <v>2823</v>
      </c>
      <c r="K555" s="320">
        <v>46192</v>
      </c>
      <c r="L555" s="255"/>
      <c r="M555" s="256" t="s">
        <v>2946</v>
      </c>
      <c r="N555" s="259"/>
      <c r="O555" s="258" t="s">
        <v>2889</v>
      </c>
      <c r="P555" s="258" t="s">
        <v>2909</v>
      </c>
    </row>
    <row r="556" spans="2:16" ht="14.45" customHeight="1" x14ac:dyDescent="0.2">
      <c r="B556" s="360"/>
      <c r="C556" s="411"/>
      <c r="D556" s="403"/>
      <c r="E556" s="248" t="s">
        <v>1845</v>
      </c>
      <c r="F556" s="249" t="s">
        <v>3331</v>
      </c>
      <c r="G556" s="250" t="s">
        <v>4125</v>
      </c>
      <c r="H556" s="251" t="s">
        <v>3728</v>
      </c>
      <c r="I556" s="252" t="s">
        <v>2760</v>
      </c>
      <c r="J556" s="326">
        <v>287</v>
      </c>
      <c r="K556" s="320"/>
      <c r="L556" s="255"/>
      <c r="M556" s="256"/>
      <c r="N556" s="259"/>
      <c r="O556" s="258" t="s">
        <v>2889</v>
      </c>
      <c r="P556" s="258" t="s">
        <v>2909</v>
      </c>
    </row>
    <row r="557" spans="2:16" ht="14.45" customHeight="1" x14ac:dyDescent="0.2">
      <c r="B557" s="360"/>
      <c r="C557" s="411"/>
      <c r="D557" s="403"/>
      <c r="E557" s="248" t="s">
        <v>1845</v>
      </c>
      <c r="F557" s="249" t="s">
        <v>3332</v>
      </c>
      <c r="G557" s="250" t="s">
        <v>4126</v>
      </c>
      <c r="H557" s="251" t="s">
        <v>3729</v>
      </c>
      <c r="I557" s="252" t="s">
        <v>2760</v>
      </c>
      <c r="J557" s="326">
        <v>683</v>
      </c>
      <c r="K557" s="320"/>
      <c r="L557" s="255"/>
      <c r="M557" s="256"/>
      <c r="N557" s="259"/>
      <c r="O557" s="258" t="s">
        <v>2889</v>
      </c>
      <c r="P557" s="258" t="s">
        <v>2909</v>
      </c>
    </row>
    <row r="558" spans="2:16" ht="14.45" customHeight="1" x14ac:dyDescent="0.2">
      <c r="B558" s="360"/>
      <c r="C558" s="411"/>
      <c r="D558" s="403"/>
      <c r="E558" s="248" t="s">
        <v>1845</v>
      </c>
      <c r="F558" s="249" t="s">
        <v>3333</v>
      </c>
      <c r="G558" s="250" t="s">
        <v>4127</v>
      </c>
      <c r="H558" s="251" t="s">
        <v>3730</v>
      </c>
      <c r="I558" s="252" t="s">
        <v>2760</v>
      </c>
      <c r="J558" s="326">
        <v>1370</v>
      </c>
      <c r="K558" s="320"/>
      <c r="L558" s="255"/>
      <c r="M558" s="256"/>
      <c r="N558" s="259"/>
      <c r="O558" s="258" t="s">
        <v>2889</v>
      </c>
      <c r="P558" s="258" t="s">
        <v>2909</v>
      </c>
    </row>
    <row r="559" spans="2:16" ht="14.45" customHeight="1" x14ac:dyDescent="0.2">
      <c r="B559" s="360"/>
      <c r="C559" s="411"/>
      <c r="D559" s="403"/>
      <c r="E559" s="248" t="s">
        <v>1845</v>
      </c>
      <c r="F559" s="249" t="s">
        <v>3334</v>
      </c>
      <c r="G559" s="250" t="s">
        <v>4128</v>
      </c>
      <c r="H559" s="251" t="s">
        <v>3731</v>
      </c>
      <c r="I559" s="252" t="s">
        <v>2760</v>
      </c>
      <c r="J559" s="326">
        <v>336</v>
      </c>
      <c r="K559" s="320"/>
      <c r="L559" s="255"/>
      <c r="M559" s="256"/>
      <c r="N559" s="259"/>
      <c r="O559" s="258" t="s">
        <v>2889</v>
      </c>
      <c r="P559" s="258" t="s">
        <v>2909</v>
      </c>
    </row>
    <row r="560" spans="2:16" ht="14.45" customHeight="1" x14ac:dyDescent="0.2">
      <c r="B560" s="360"/>
      <c r="C560" s="411"/>
      <c r="D560" s="403"/>
      <c r="E560" s="248" t="s">
        <v>1845</v>
      </c>
      <c r="F560" s="249" t="s">
        <v>3335</v>
      </c>
      <c r="G560" s="250" t="s">
        <v>4129</v>
      </c>
      <c r="H560" s="251" t="s">
        <v>3732</v>
      </c>
      <c r="I560" s="252" t="s">
        <v>2760</v>
      </c>
      <c r="J560" s="326">
        <v>641</v>
      </c>
      <c r="K560" s="320"/>
      <c r="L560" s="255"/>
      <c r="M560" s="256"/>
      <c r="N560" s="259"/>
      <c r="O560" s="258" t="s">
        <v>2889</v>
      </c>
      <c r="P560" s="258" t="s">
        <v>2909</v>
      </c>
    </row>
    <row r="561" spans="2:16" ht="14.45" customHeight="1" x14ac:dyDescent="0.2">
      <c r="B561" s="360"/>
      <c r="C561" s="411"/>
      <c r="D561" s="403"/>
      <c r="E561" s="248" t="s">
        <v>1845</v>
      </c>
      <c r="F561" s="249" t="s">
        <v>3336</v>
      </c>
      <c r="G561" s="250" t="s">
        <v>4130</v>
      </c>
      <c r="H561" s="251" t="s">
        <v>3733</v>
      </c>
      <c r="I561" s="252" t="s">
        <v>2760</v>
      </c>
      <c r="J561" s="326">
        <v>461</v>
      </c>
      <c r="K561" s="320"/>
      <c r="L561" s="255"/>
      <c r="M561" s="256"/>
      <c r="N561" s="259"/>
      <c r="O561" s="258" t="s">
        <v>2889</v>
      </c>
      <c r="P561" s="258" t="s">
        <v>2909</v>
      </c>
    </row>
    <row r="562" spans="2:16" ht="14.45" customHeight="1" x14ac:dyDescent="0.2">
      <c r="B562" s="360"/>
      <c r="C562" s="411"/>
      <c r="D562" s="403"/>
      <c r="E562" s="248" t="s">
        <v>1845</v>
      </c>
      <c r="F562" s="249" t="s">
        <v>3337</v>
      </c>
      <c r="G562" s="250" t="s">
        <v>4131</v>
      </c>
      <c r="H562" s="251" t="s">
        <v>3734</v>
      </c>
      <c r="I562" s="252" t="s">
        <v>2760</v>
      </c>
      <c r="J562" s="326">
        <v>387</v>
      </c>
      <c r="K562" s="320"/>
      <c r="L562" s="255"/>
      <c r="M562" s="256"/>
      <c r="N562" s="259"/>
      <c r="O562" s="258" t="s">
        <v>2889</v>
      </c>
      <c r="P562" s="258" t="s">
        <v>2909</v>
      </c>
    </row>
    <row r="563" spans="2:16" ht="14.45" customHeight="1" x14ac:dyDescent="0.2">
      <c r="B563" s="360"/>
      <c r="C563" s="411"/>
      <c r="D563" s="403"/>
      <c r="E563" s="248" t="s">
        <v>1845</v>
      </c>
      <c r="F563" s="249" t="s">
        <v>3338</v>
      </c>
      <c r="G563" s="250" t="s">
        <v>4132</v>
      </c>
      <c r="H563" s="251" t="s">
        <v>3735</v>
      </c>
      <c r="I563" s="252" t="s">
        <v>2760</v>
      </c>
      <c r="J563" s="326">
        <v>982</v>
      </c>
      <c r="K563" s="320"/>
      <c r="L563" s="255"/>
      <c r="M563" s="256"/>
      <c r="N563" s="259"/>
      <c r="O563" s="258" t="s">
        <v>2889</v>
      </c>
      <c r="P563" s="258" t="s">
        <v>2909</v>
      </c>
    </row>
    <row r="564" spans="2:16" ht="14.45" customHeight="1" x14ac:dyDescent="0.2">
      <c r="B564" s="360"/>
      <c r="C564" s="411"/>
      <c r="D564" s="405"/>
      <c r="E564" s="260" t="s">
        <v>1845</v>
      </c>
      <c r="F564" s="261" t="s">
        <v>3339</v>
      </c>
      <c r="G564" s="262" t="s">
        <v>4133</v>
      </c>
      <c r="H564" s="263" t="s">
        <v>3736</v>
      </c>
      <c r="I564" s="264" t="s">
        <v>2760</v>
      </c>
      <c r="J564" s="327">
        <v>762</v>
      </c>
      <c r="K564" s="322"/>
      <c r="L564" s="267"/>
      <c r="M564" s="268"/>
      <c r="N564" s="269"/>
      <c r="O564" s="270" t="s">
        <v>2889</v>
      </c>
      <c r="P564" s="270" t="s">
        <v>2909</v>
      </c>
    </row>
    <row r="565" spans="2:16" ht="14.45" customHeight="1" x14ac:dyDescent="0.2">
      <c r="B565" s="360"/>
      <c r="C565" s="411"/>
      <c r="D565" s="402" t="s">
        <v>121</v>
      </c>
      <c r="E565" s="237" t="s">
        <v>7</v>
      </c>
      <c r="F565" s="238" t="s">
        <v>2680</v>
      </c>
      <c r="G565" s="239" t="s">
        <v>141</v>
      </c>
      <c r="H565" s="240" t="s">
        <v>2562</v>
      </c>
      <c r="I565" s="241" t="s">
        <v>364</v>
      </c>
      <c r="J565" s="329">
        <v>2616</v>
      </c>
      <c r="K565" s="324">
        <v>46129</v>
      </c>
      <c r="L565" s="244">
        <v>46129</v>
      </c>
      <c r="M565" s="245" t="s">
        <v>2946</v>
      </c>
      <c r="N565" s="246"/>
      <c r="O565" s="247" t="s">
        <v>2889</v>
      </c>
      <c r="P565" s="247" t="s">
        <v>2909</v>
      </c>
    </row>
    <row r="566" spans="2:16" ht="14.45" customHeight="1" x14ac:dyDescent="0.2">
      <c r="B566" s="360"/>
      <c r="C566" s="411"/>
      <c r="D566" s="403"/>
      <c r="E566" s="248" t="s">
        <v>2764</v>
      </c>
      <c r="F566" s="249" t="s">
        <v>2683</v>
      </c>
      <c r="G566" s="250" t="s">
        <v>296</v>
      </c>
      <c r="H566" s="251" t="s">
        <v>2515</v>
      </c>
      <c r="I566" s="252" t="s">
        <v>462</v>
      </c>
      <c r="J566" s="326">
        <v>2774</v>
      </c>
      <c r="K566" s="320">
        <v>46192</v>
      </c>
      <c r="L566" s="255"/>
      <c r="M566" s="256" t="s">
        <v>2946</v>
      </c>
      <c r="N566" s="259"/>
      <c r="O566" s="258" t="s">
        <v>2889</v>
      </c>
      <c r="P566" s="258" t="s">
        <v>2909</v>
      </c>
    </row>
    <row r="567" spans="2:16" ht="14.45" customHeight="1" x14ac:dyDescent="0.2">
      <c r="B567" s="360"/>
      <c r="C567" s="411"/>
      <c r="D567" s="403"/>
      <c r="E567" s="248" t="s">
        <v>2764</v>
      </c>
      <c r="F567" s="249" t="s">
        <v>2684</v>
      </c>
      <c r="G567" s="250" t="s">
        <v>297</v>
      </c>
      <c r="H567" s="251" t="s">
        <v>2516</v>
      </c>
      <c r="I567" s="252" t="s">
        <v>463</v>
      </c>
      <c r="J567" s="326">
        <v>2836</v>
      </c>
      <c r="K567" s="320">
        <v>46192</v>
      </c>
      <c r="L567" s="255"/>
      <c r="M567" s="256" t="s">
        <v>2946</v>
      </c>
      <c r="N567" s="259"/>
      <c r="O567" s="258" t="s">
        <v>2889</v>
      </c>
      <c r="P567" s="258" t="s">
        <v>2909</v>
      </c>
    </row>
    <row r="568" spans="2:16" ht="14.45" customHeight="1" x14ac:dyDescent="0.2">
      <c r="B568" s="360"/>
      <c r="C568" s="411"/>
      <c r="D568" s="405"/>
      <c r="E568" s="260" t="s">
        <v>1845</v>
      </c>
      <c r="F568" s="261" t="s">
        <v>3340</v>
      </c>
      <c r="G568" s="262" t="s">
        <v>4134</v>
      </c>
      <c r="H568" s="263" t="s">
        <v>3737</v>
      </c>
      <c r="I568" s="264" t="s">
        <v>2760</v>
      </c>
      <c r="J568" s="327">
        <v>489</v>
      </c>
      <c r="K568" s="322"/>
      <c r="L568" s="267"/>
      <c r="M568" s="268"/>
      <c r="N568" s="269"/>
      <c r="O568" s="270" t="s">
        <v>2889</v>
      </c>
      <c r="P568" s="270" t="s">
        <v>2909</v>
      </c>
    </row>
    <row r="569" spans="2:16" ht="14.45" customHeight="1" x14ac:dyDescent="0.2">
      <c r="B569" s="360"/>
      <c r="C569" s="411"/>
      <c r="D569" s="403" t="s">
        <v>123</v>
      </c>
      <c r="E569" s="292" t="s">
        <v>7</v>
      </c>
      <c r="F569" s="293" t="s">
        <v>141</v>
      </c>
      <c r="G569" s="294" t="s">
        <v>194</v>
      </c>
      <c r="H569" s="295" t="s">
        <v>2563</v>
      </c>
      <c r="I569" s="296" t="s">
        <v>365</v>
      </c>
      <c r="J569" s="330">
        <v>2119</v>
      </c>
      <c r="K569" s="331">
        <v>46129</v>
      </c>
      <c r="L569" s="299">
        <v>46129</v>
      </c>
      <c r="M569" s="300" t="s">
        <v>2946</v>
      </c>
      <c r="N569" s="301"/>
      <c r="O569" s="302" t="s">
        <v>2889</v>
      </c>
      <c r="P569" s="302" t="s">
        <v>2909</v>
      </c>
    </row>
    <row r="570" spans="2:16" ht="14.45" customHeight="1" x14ac:dyDescent="0.2">
      <c r="B570" s="360"/>
      <c r="C570" s="411"/>
      <c r="D570" s="403"/>
      <c r="E570" s="292" t="s">
        <v>2764</v>
      </c>
      <c r="F570" s="332" t="s">
        <v>4196</v>
      </c>
      <c r="G570" s="333" t="s">
        <v>4197</v>
      </c>
      <c r="H570" s="295" t="s">
        <v>2517</v>
      </c>
      <c r="I570" s="296" t="s">
        <v>4198</v>
      </c>
      <c r="J570" s="330">
        <v>2934</v>
      </c>
      <c r="K570" s="331">
        <v>46192</v>
      </c>
      <c r="L570" s="299"/>
      <c r="M570" s="300" t="s">
        <v>2947</v>
      </c>
      <c r="N570" s="301"/>
      <c r="O570" s="302" t="s">
        <v>2889</v>
      </c>
      <c r="P570" s="302" t="s">
        <v>2909</v>
      </c>
    </row>
    <row r="571" spans="2:16" ht="14.45" customHeight="1" x14ac:dyDescent="0.2">
      <c r="B571" s="360"/>
      <c r="C571" s="411"/>
      <c r="D571" s="403"/>
      <c r="E571" s="292" t="s">
        <v>2764</v>
      </c>
      <c r="F571" s="332" t="s">
        <v>4199</v>
      </c>
      <c r="G571" s="333" t="s">
        <v>4200</v>
      </c>
      <c r="H571" s="295" t="s">
        <v>4201</v>
      </c>
      <c r="I571" s="296" t="s">
        <v>4202</v>
      </c>
      <c r="J571" s="330">
        <v>3023</v>
      </c>
      <c r="K571" s="331">
        <v>46192</v>
      </c>
      <c r="L571" s="299"/>
      <c r="M571" s="300" t="s">
        <v>2947</v>
      </c>
      <c r="N571" s="301"/>
      <c r="O571" s="302" t="s">
        <v>2889</v>
      </c>
      <c r="P571" s="302" t="s">
        <v>2909</v>
      </c>
    </row>
    <row r="572" spans="2:16" ht="14.45" customHeight="1" x14ac:dyDescent="0.2">
      <c r="B572" s="360"/>
      <c r="C572" s="411"/>
      <c r="D572" s="403"/>
      <c r="E572" s="292" t="s">
        <v>1845</v>
      </c>
      <c r="F572" s="332" t="s">
        <v>3342</v>
      </c>
      <c r="G572" s="333" t="s">
        <v>4136</v>
      </c>
      <c r="H572" s="295" t="s">
        <v>3739</v>
      </c>
      <c r="I572" s="296" t="s">
        <v>2760</v>
      </c>
      <c r="J572" s="330">
        <v>761</v>
      </c>
      <c r="K572" s="331"/>
      <c r="L572" s="299"/>
      <c r="M572" s="300"/>
      <c r="N572" s="301"/>
      <c r="O572" s="302" t="s">
        <v>2889</v>
      </c>
      <c r="P572" s="302" t="s">
        <v>2909</v>
      </c>
    </row>
    <row r="573" spans="2:16" ht="14.45" customHeight="1" thickBot="1" x14ac:dyDescent="0.25">
      <c r="B573" s="361"/>
      <c r="C573" s="412"/>
      <c r="D573" s="406"/>
      <c r="E573" s="334" t="s">
        <v>1845</v>
      </c>
      <c r="F573" s="335" t="s">
        <v>3343</v>
      </c>
      <c r="G573" s="336" t="s">
        <v>4137</v>
      </c>
      <c r="H573" s="337" t="s">
        <v>3740</v>
      </c>
      <c r="I573" s="338" t="s">
        <v>2760</v>
      </c>
      <c r="J573" s="339">
        <v>307</v>
      </c>
      <c r="K573" s="340"/>
      <c r="L573" s="341"/>
      <c r="M573" s="342"/>
      <c r="N573" s="343"/>
      <c r="O573" s="344" t="s">
        <v>2889</v>
      </c>
      <c r="P573" s="344" t="s">
        <v>2909</v>
      </c>
    </row>
  </sheetData>
  <autoFilter ref="B3:P573" xr:uid="{F57D865F-BD60-45D0-89B6-13302F5EE262}"/>
  <mergeCells count="83">
    <mergeCell ref="D476:D482"/>
    <mergeCell ref="D452:D475"/>
    <mergeCell ref="D423:D451"/>
    <mergeCell ref="C396:C422"/>
    <mergeCell ref="D413:D422"/>
    <mergeCell ref="D396:D412"/>
    <mergeCell ref="D338:D395"/>
    <mergeCell ref="C297:C336"/>
    <mergeCell ref="D323:D336"/>
    <mergeCell ref="D318:D322"/>
    <mergeCell ref="D297:D317"/>
    <mergeCell ref="B90:B292"/>
    <mergeCell ref="C241:C292"/>
    <mergeCell ref="D284:D292"/>
    <mergeCell ref="D278:D283"/>
    <mergeCell ref="D263:D277"/>
    <mergeCell ref="D244:D246"/>
    <mergeCell ref="D241:D243"/>
    <mergeCell ref="C90:C161"/>
    <mergeCell ref="D157:D161"/>
    <mergeCell ref="D145:D156"/>
    <mergeCell ref="D194:D209"/>
    <mergeCell ref="D191:D193"/>
    <mergeCell ref="D163:D190"/>
    <mergeCell ref="D139:D141"/>
    <mergeCell ref="D142:D144"/>
    <mergeCell ref="D106:D122"/>
    <mergeCell ref="D217:D232"/>
    <mergeCell ref="D213:D216"/>
    <mergeCell ref="D90:D99"/>
    <mergeCell ref="D100:D105"/>
    <mergeCell ref="D123:D138"/>
    <mergeCell ref="D210:D212"/>
    <mergeCell ref="D47:D53"/>
    <mergeCell ref="D54:D69"/>
    <mergeCell ref="D70:D89"/>
    <mergeCell ref="C47:C89"/>
    <mergeCell ref="B20:B89"/>
    <mergeCell ref="D21:D30"/>
    <mergeCell ref="C293:C296"/>
    <mergeCell ref="B293:B395"/>
    <mergeCell ref="C337:C395"/>
    <mergeCell ref="B483:B548"/>
    <mergeCell ref="B549:B573"/>
    <mergeCell ref="C483:C497"/>
    <mergeCell ref="C423:C482"/>
    <mergeCell ref="B396:B482"/>
    <mergeCell ref="D569:D573"/>
    <mergeCell ref="C549:C573"/>
    <mergeCell ref="D565:D568"/>
    <mergeCell ref="D553:D564"/>
    <mergeCell ref="D550:D552"/>
    <mergeCell ref="D247:D262"/>
    <mergeCell ref="D294:D296"/>
    <mergeCell ref="C162:C240"/>
    <mergeCell ref="D233:D240"/>
    <mergeCell ref="O2:P2"/>
    <mergeCell ref="B2:D2"/>
    <mergeCell ref="D4:D5"/>
    <mergeCell ref="C18:C19"/>
    <mergeCell ref="K2:L2"/>
    <mergeCell ref="E2:G2"/>
    <mergeCell ref="H2:J2"/>
    <mergeCell ref="B4:B19"/>
    <mergeCell ref="D7:D17"/>
    <mergeCell ref="C4:C17"/>
    <mergeCell ref="C20:C46"/>
    <mergeCell ref="D31:D46"/>
    <mergeCell ref="D494:D497"/>
    <mergeCell ref="D484:D493"/>
    <mergeCell ref="D498:D499"/>
    <mergeCell ref="C498:C519"/>
    <mergeCell ref="D500:D505"/>
    <mergeCell ref="D506:D515"/>
    <mergeCell ref="D516:D519"/>
    <mergeCell ref="D528:D532"/>
    <mergeCell ref="D522:D527"/>
    <mergeCell ref="D520:D521"/>
    <mergeCell ref="D540:D545"/>
    <mergeCell ref="C540:C548"/>
    <mergeCell ref="D546:D548"/>
    <mergeCell ref="D533:D539"/>
    <mergeCell ref="C520:C539"/>
  </mergeCells>
  <phoneticPr fontId="3" type="noConversion"/>
  <conditionalFormatting sqref="K203:P203 E4:P202 K275:P275 E204:P274 E276:P573">
    <cfRule type="expression" dxfId="3" priority="4">
      <formula>CELL("ROW")=ROW()</formula>
    </cfRule>
  </conditionalFormatting>
  <conditionalFormatting sqref="E203:J203">
    <cfRule type="expression" dxfId="2" priority="2">
      <formula>CELL("ROW")=ROW()</formula>
    </cfRule>
  </conditionalFormatting>
  <conditionalFormatting sqref="E275:J275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E4:E573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M4:M573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2026-07-01T02:00:52Z</dcterms:modified>
  <cp:category/>
  <cp:contentStatus/>
</cp:coreProperties>
</file>