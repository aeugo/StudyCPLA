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2.노동법2\99.통합\"/>
    </mc:Choice>
  </mc:AlternateContent>
  <xr:revisionPtr revIDLastSave="0" documentId="13_ncr:1_{60AE5BC1-E6BD-4156-BD9D-500FD164CE38}"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19" r:id="rId2"/>
    <sheet name="관련법령" sheetId="18" r:id="rId3"/>
    <sheet name="기출빈도" sheetId="20" r:id="rId4"/>
    <sheet name="기출문제" sheetId="15" r:id="rId5"/>
    <sheet name="테스트" sheetId="13" r:id="rId6"/>
  </sheets>
  <definedNames>
    <definedName name="_xlnm._FilterDatabase" localSheetId="4" hidden="1">기출문제!$B$3:$I$3123</definedName>
    <definedName name="_xlnm._FilterDatabase" localSheetId="3" hidden="1">기출빈도!$B$3:$V$40</definedName>
    <definedName name="_xlnm._FilterDatabase" localSheetId="1" hidden="1">통합목록!$B$3:$N$59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41" i="20" l="1"/>
  <c r="V5" i="20" l="1"/>
  <c r="V6" i="20"/>
  <c r="V7" i="20"/>
  <c r="H7" i="20" s="1"/>
  <c r="V8" i="20"/>
  <c r="P8" i="20" s="1"/>
  <c r="V9" i="20"/>
  <c r="V10" i="20"/>
  <c r="V11" i="20"/>
  <c r="V12" i="20"/>
  <c r="N12" i="20" s="1"/>
  <c r="V13" i="20"/>
  <c r="V14" i="20"/>
  <c r="H14" i="20" s="1"/>
  <c r="V15" i="20"/>
  <c r="P15" i="20" s="1"/>
  <c r="V16" i="20"/>
  <c r="V17" i="20"/>
  <c r="H17" i="20" s="1"/>
  <c r="V18" i="20"/>
  <c r="V19" i="20"/>
  <c r="V20" i="20"/>
  <c r="V21" i="20"/>
  <c r="V22" i="20"/>
  <c r="V23" i="20"/>
  <c r="V24" i="20"/>
  <c r="V25" i="20"/>
  <c r="V26" i="20"/>
  <c r="V27" i="20"/>
  <c r="O27" i="20" s="1"/>
  <c r="V28" i="20"/>
  <c r="V29" i="20"/>
  <c r="V30" i="20"/>
  <c r="P30" i="20" s="1"/>
  <c r="V31" i="20"/>
  <c r="K31" i="20" s="1"/>
  <c r="V32" i="20"/>
  <c r="V33" i="20"/>
  <c r="V34" i="20"/>
  <c r="V35" i="20"/>
  <c r="J35" i="20" s="1"/>
  <c r="V36" i="20"/>
  <c r="Q36" i="20" s="1"/>
  <c r="V37" i="20"/>
  <c r="V38" i="20"/>
  <c r="N38" i="20" s="1"/>
  <c r="V39" i="20"/>
  <c r="E39" i="20" s="1"/>
  <c r="V40" i="20"/>
  <c r="K28" i="20"/>
  <c r="L23" i="20"/>
  <c r="L19" i="20"/>
  <c r="E18" i="20"/>
  <c r="V4" i="20"/>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S38" i="20" l="1"/>
  <c r="O30" i="20"/>
  <c r="Q38" i="20"/>
  <c r="P38" i="20"/>
  <c r="K23" i="20"/>
  <c r="O38" i="20"/>
  <c r="P18" i="20"/>
  <c r="M38" i="20"/>
  <c r="I38" i="20"/>
  <c r="H38" i="20"/>
  <c r="M12" i="20"/>
  <c r="G38" i="20"/>
  <c r="E38" i="20"/>
  <c r="E40" i="20" s="1"/>
  <c r="O8" i="20"/>
  <c r="O39" i="20"/>
  <c r="S7" i="20"/>
  <c r="T38" i="20"/>
  <c r="I35" i="20"/>
  <c r="G7" i="20"/>
  <c r="F4" i="20"/>
  <c r="E4" i="20"/>
  <c r="N4" i="20"/>
  <c r="O4" i="20"/>
  <c r="H32" i="20"/>
  <c r="T32" i="20"/>
  <c r="I32" i="20"/>
  <c r="J32" i="20"/>
  <c r="K32" i="20"/>
  <c r="L32" i="20"/>
  <c r="M32" i="20"/>
  <c r="N32" i="20"/>
  <c r="O32" i="20"/>
  <c r="P32" i="20"/>
  <c r="E32" i="20"/>
  <c r="Q32" i="20"/>
  <c r="F32" i="20"/>
  <c r="R32" i="20"/>
  <c r="T17" i="20"/>
  <c r="H26" i="20"/>
  <c r="T26" i="20"/>
  <c r="I26" i="20"/>
  <c r="J26" i="20"/>
  <c r="K26" i="20"/>
  <c r="L26" i="20"/>
  <c r="M26" i="20"/>
  <c r="N26" i="20"/>
  <c r="O26" i="20"/>
  <c r="P26" i="20"/>
  <c r="E26" i="20"/>
  <c r="Q26" i="20"/>
  <c r="F26" i="20"/>
  <c r="R26" i="20"/>
  <c r="M16" i="20"/>
  <c r="N16" i="20"/>
  <c r="O16" i="20"/>
  <c r="P16" i="20"/>
  <c r="E16" i="20"/>
  <c r="Q16" i="20"/>
  <c r="D16" i="20"/>
  <c r="F16" i="20"/>
  <c r="R16" i="20"/>
  <c r="G16" i="20"/>
  <c r="S16" i="20"/>
  <c r="H16" i="20"/>
  <c r="T16" i="20"/>
  <c r="I16" i="20"/>
  <c r="J16" i="20"/>
  <c r="K16" i="20"/>
  <c r="L28" i="20"/>
  <c r="M28" i="20"/>
  <c r="N28" i="20"/>
  <c r="O28" i="20"/>
  <c r="P28" i="20"/>
  <c r="E28" i="20"/>
  <c r="Q28" i="20"/>
  <c r="F28" i="20"/>
  <c r="R28" i="20"/>
  <c r="G28" i="20"/>
  <c r="S28" i="20"/>
  <c r="H28" i="20"/>
  <c r="T28" i="20"/>
  <c r="I28" i="20"/>
  <c r="J28" i="20"/>
  <c r="Q39" i="20"/>
  <c r="S26" i="20"/>
  <c r="L16" i="20"/>
  <c r="N5" i="20"/>
  <c r="G5" i="20"/>
  <c r="S5" i="20"/>
  <c r="F11" i="20"/>
  <c r="R11" i="20"/>
  <c r="G11" i="20"/>
  <c r="S11" i="20"/>
  <c r="H11" i="20"/>
  <c r="T11" i="20"/>
  <c r="I11" i="20"/>
  <c r="J11" i="20"/>
  <c r="K11" i="20"/>
  <c r="L11" i="20"/>
  <c r="M11" i="20"/>
  <c r="N11" i="20"/>
  <c r="O11" i="20"/>
  <c r="P11" i="20"/>
  <c r="P22" i="20"/>
  <c r="E22" i="20"/>
  <c r="Q22" i="20"/>
  <c r="F22" i="20"/>
  <c r="R22" i="20"/>
  <c r="G22" i="20"/>
  <c r="S22" i="20"/>
  <c r="H22" i="20"/>
  <c r="T22" i="20"/>
  <c r="I22" i="20"/>
  <c r="J22" i="20"/>
  <c r="K22" i="20"/>
  <c r="L22" i="20"/>
  <c r="M22" i="20"/>
  <c r="N22" i="20"/>
  <c r="H24" i="20"/>
  <c r="T24" i="20"/>
  <c r="I24" i="20"/>
  <c r="J24" i="20"/>
  <c r="K24" i="20"/>
  <c r="L24" i="20"/>
  <c r="M24" i="20"/>
  <c r="N24" i="20"/>
  <c r="O24" i="20"/>
  <c r="P24" i="20"/>
  <c r="E24" i="20"/>
  <c r="Q24" i="20"/>
  <c r="F24" i="20"/>
  <c r="R24" i="20"/>
  <c r="F36" i="20"/>
  <c r="R36" i="20"/>
  <c r="G36" i="20"/>
  <c r="S36" i="20"/>
  <c r="H36" i="20"/>
  <c r="T36" i="20"/>
  <c r="I36" i="20"/>
  <c r="J36" i="20"/>
  <c r="K36" i="20"/>
  <c r="L36" i="20"/>
  <c r="M36" i="20"/>
  <c r="N36" i="20"/>
  <c r="O36" i="20"/>
  <c r="P36" i="20"/>
  <c r="P39" i="20"/>
  <c r="G26" i="20"/>
  <c r="T14" i="20"/>
  <c r="M39" i="20"/>
  <c r="E36" i="20"/>
  <c r="S24" i="20"/>
  <c r="L39" i="20"/>
  <c r="G24" i="20"/>
  <c r="L9" i="20"/>
  <c r="M9" i="20"/>
  <c r="N9" i="20"/>
  <c r="O9" i="20"/>
  <c r="P9" i="20"/>
  <c r="E9" i="20"/>
  <c r="Q9" i="20"/>
  <c r="F9" i="20"/>
  <c r="R9" i="20"/>
  <c r="G9" i="20"/>
  <c r="S9" i="20"/>
  <c r="H9" i="20"/>
  <c r="T9" i="20"/>
  <c r="I9" i="20"/>
  <c r="J9" i="20"/>
  <c r="I14" i="20"/>
  <c r="J14" i="20"/>
  <c r="K14" i="20"/>
  <c r="L14" i="20"/>
  <c r="M14" i="20"/>
  <c r="N14" i="20"/>
  <c r="O14" i="20"/>
  <c r="P14" i="20"/>
  <c r="E14" i="20"/>
  <c r="Q14" i="20"/>
  <c r="F14" i="20"/>
  <c r="R14" i="20"/>
  <c r="G14" i="20"/>
  <c r="S14" i="20"/>
  <c r="E15" i="20"/>
  <c r="Q15" i="20"/>
  <c r="F15" i="20"/>
  <c r="R15" i="20"/>
  <c r="G15" i="20"/>
  <c r="S15" i="20"/>
  <c r="H15" i="20"/>
  <c r="T15" i="20"/>
  <c r="I15" i="20"/>
  <c r="J15" i="20"/>
  <c r="K15" i="20"/>
  <c r="L15" i="20"/>
  <c r="M15" i="20"/>
  <c r="N15" i="20"/>
  <c r="O15" i="20"/>
  <c r="P27" i="20"/>
  <c r="E27" i="20"/>
  <c r="Q27" i="20"/>
  <c r="F27" i="20"/>
  <c r="R27" i="20"/>
  <c r="G27" i="20"/>
  <c r="S27" i="20"/>
  <c r="H27" i="20"/>
  <c r="T27" i="20"/>
  <c r="I27" i="20"/>
  <c r="J27" i="20"/>
  <c r="K27" i="20"/>
  <c r="L27" i="20"/>
  <c r="M27" i="20"/>
  <c r="N27" i="20"/>
  <c r="I39" i="20"/>
  <c r="S32" i="20"/>
  <c r="K9" i="20"/>
  <c r="G32" i="20"/>
  <c r="O22" i="20"/>
  <c r="D27" i="20"/>
  <c r="Q11" i="20"/>
  <c r="I17" i="20"/>
  <c r="J17" i="20"/>
  <c r="K17" i="20"/>
  <c r="L17" i="20"/>
  <c r="M17" i="20"/>
  <c r="N17" i="20"/>
  <c r="O17" i="20"/>
  <c r="P17" i="20"/>
  <c r="E17" i="20"/>
  <c r="Q17" i="20"/>
  <c r="F17" i="20"/>
  <c r="R17" i="20"/>
  <c r="G17" i="20"/>
  <c r="S17" i="20"/>
  <c r="D15" i="20"/>
  <c r="M19" i="20"/>
  <c r="N19" i="20"/>
  <c r="O19" i="20"/>
  <c r="P19" i="20"/>
  <c r="E19" i="20"/>
  <c r="Q19" i="20"/>
  <c r="F19" i="20"/>
  <c r="R19" i="20"/>
  <c r="G19" i="20"/>
  <c r="S19" i="20"/>
  <c r="H19" i="20"/>
  <c r="T19" i="20"/>
  <c r="I19" i="20"/>
  <c r="J19" i="20"/>
  <c r="K19" i="20"/>
  <c r="L31" i="20"/>
  <c r="M31" i="20"/>
  <c r="N31" i="20"/>
  <c r="O31" i="20"/>
  <c r="P31" i="20"/>
  <c r="E31" i="20"/>
  <c r="Q31" i="20"/>
  <c r="F31" i="20"/>
  <c r="R31" i="20"/>
  <c r="G31" i="20"/>
  <c r="S31" i="20"/>
  <c r="H31" i="20"/>
  <c r="T31" i="20"/>
  <c r="I31" i="20"/>
  <c r="J31" i="20"/>
  <c r="J39" i="20"/>
  <c r="K39" i="20"/>
  <c r="N39" i="20"/>
  <c r="N40" i="20" s="1"/>
  <c r="F39" i="20"/>
  <c r="R39" i="20"/>
  <c r="G39" i="20"/>
  <c r="S39" i="20"/>
  <c r="H39" i="20"/>
  <c r="T39" i="20"/>
  <c r="D28" i="20"/>
  <c r="E11" i="20"/>
  <c r="L38" i="20"/>
  <c r="T35" i="20"/>
  <c r="H35" i="20"/>
  <c r="N30" i="20"/>
  <c r="J23" i="20"/>
  <c r="O18" i="20"/>
  <c r="L12" i="20"/>
  <c r="N8" i="20"/>
  <c r="R7" i="20"/>
  <c r="F7" i="20"/>
  <c r="K38" i="20"/>
  <c r="S35" i="20"/>
  <c r="G35" i="20"/>
  <c r="M30" i="20"/>
  <c r="I23" i="20"/>
  <c r="N18" i="20"/>
  <c r="K12" i="20"/>
  <c r="M8" i="20"/>
  <c r="Q7" i="20"/>
  <c r="E7" i="20"/>
  <c r="J38" i="20"/>
  <c r="R35" i="20"/>
  <c r="F35" i="20"/>
  <c r="L30" i="20"/>
  <c r="T23" i="20"/>
  <c r="H23" i="20"/>
  <c r="M18" i="20"/>
  <c r="J12" i="20"/>
  <c r="L8" i="20"/>
  <c r="P7" i="20"/>
  <c r="Q35" i="20"/>
  <c r="E35" i="20"/>
  <c r="K30" i="20"/>
  <c r="S23" i="20"/>
  <c r="G23" i="20"/>
  <c r="L18" i="20"/>
  <c r="I12" i="20"/>
  <c r="K8" i="20"/>
  <c r="O7" i="20"/>
  <c r="P35" i="20"/>
  <c r="J30" i="20"/>
  <c r="R23" i="20"/>
  <c r="F23" i="20"/>
  <c r="K18" i="20"/>
  <c r="T12" i="20"/>
  <c r="H12" i="20"/>
  <c r="J8" i="20"/>
  <c r="N7" i="20"/>
  <c r="O35" i="20"/>
  <c r="I30" i="20"/>
  <c r="Q23" i="20"/>
  <c r="E23" i="20"/>
  <c r="J18" i="20"/>
  <c r="S12" i="20"/>
  <c r="G12" i="20"/>
  <c r="I8" i="20"/>
  <c r="M7" i="20"/>
  <c r="R38" i="20"/>
  <c r="F38" i="20"/>
  <c r="N35" i="20"/>
  <c r="T30" i="20"/>
  <c r="H30" i="20"/>
  <c r="P23" i="20"/>
  <c r="I18" i="20"/>
  <c r="R12" i="20"/>
  <c r="F12" i="20"/>
  <c r="T8" i="20"/>
  <c r="H8" i="20"/>
  <c r="L7" i="20"/>
  <c r="M35" i="20"/>
  <c r="S30" i="20"/>
  <c r="G30" i="20"/>
  <c r="O23" i="20"/>
  <c r="T18" i="20"/>
  <c r="H18" i="20"/>
  <c r="Q12" i="20"/>
  <c r="E12" i="20"/>
  <c r="S8" i="20"/>
  <c r="G8" i="20"/>
  <c r="K7" i="20"/>
  <c r="L35" i="20"/>
  <c r="R30" i="20"/>
  <c r="F30" i="20"/>
  <c r="N23" i="20"/>
  <c r="S18" i="20"/>
  <c r="G18" i="20"/>
  <c r="P12" i="20"/>
  <c r="R8" i="20"/>
  <c r="F8" i="20"/>
  <c r="J7" i="20"/>
  <c r="K35" i="20"/>
  <c r="Q30" i="20"/>
  <c r="E30" i="20"/>
  <c r="M23" i="20"/>
  <c r="R18" i="20"/>
  <c r="F18" i="20"/>
  <c r="O12" i="20"/>
  <c r="Q8" i="20"/>
  <c r="E8" i="20"/>
  <c r="I7" i="20"/>
  <c r="Q18" i="20"/>
  <c r="T7" i="20"/>
  <c r="M5" i="20"/>
  <c r="Q4" i="20"/>
  <c r="L5" i="20"/>
  <c r="P4" i="20"/>
  <c r="K5" i="20"/>
  <c r="J5" i="20"/>
  <c r="I5" i="20"/>
  <c r="M4" i="20"/>
  <c r="T5" i="20"/>
  <c r="H5" i="20"/>
  <c r="L4" i="20"/>
  <c r="K4" i="20"/>
  <c r="F5" i="20"/>
  <c r="J4" i="20"/>
  <c r="Q5" i="20"/>
  <c r="E5" i="20"/>
  <c r="I4" i="20"/>
  <c r="R5" i="20"/>
  <c r="P5" i="20"/>
  <c r="T4" i="20"/>
  <c r="H4" i="20"/>
  <c r="O5" i="20"/>
  <c r="S4" i="20"/>
  <c r="G4" i="20"/>
  <c r="R4" i="20"/>
  <c r="D17" i="20"/>
  <c r="D18" i="20"/>
  <c r="D30" i="20"/>
  <c r="D38" i="20"/>
  <c r="D4" i="20"/>
  <c r="D19" i="20"/>
  <c r="D31" i="20"/>
  <c r="D39" i="20"/>
  <c r="D5" i="20"/>
  <c r="D32" i="20"/>
  <c r="D11" i="20"/>
  <c r="D22" i="20"/>
  <c r="D12" i="20"/>
  <c r="D23" i="20"/>
  <c r="D35" i="20"/>
  <c r="D24" i="20"/>
  <c r="D36" i="20"/>
  <c r="D7" i="20"/>
  <c r="D8" i="20"/>
  <c r="D9" i="20"/>
  <c r="D14" i="20"/>
  <c r="D26" i="20"/>
  <c r="N59" i="19"/>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O6" i="20" l="1"/>
  <c r="S6" i="20"/>
  <c r="N6" i="20"/>
  <c r="E6" i="20"/>
  <c r="F6" i="20"/>
  <c r="P34" i="20"/>
  <c r="L40" i="20"/>
  <c r="O34" i="20"/>
  <c r="R40" i="20"/>
  <c r="T40" i="20"/>
  <c r="F40" i="20"/>
  <c r="K40" i="20"/>
  <c r="H40" i="20"/>
  <c r="D40" i="20"/>
  <c r="J40" i="20"/>
  <c r="I40" i="20"/>
  <c r="M40" i="20"/>
  <c r="O40" i="20"/>
  <c r="P40" i="20"/>
  <c r="Q40" i="20"/>
  <c r="S40" i="20"/>
  <c r="G40" i="20"/>
  <c r="N29" i="20"/>
  <c r="T29" i="20"/>
  <c r="H29" i="20"/>
  <c r="I29" i="20"/>
  <c r="M29" i="20"/>
  <c r="G29" i="20"/>
  <c r="G34" i="20"/>
  <c r="O29" i="20"/>
  <c r="S34" i="20"/>
  <c r="T37" i="20"/>
  <c r="G10" i="20"/>
  <c r="S10" i="20"/>
  <c r="L6" i="20"/>
  <c r="H6" i="20"/>
  <c r="T34" i="20"/>
  <c r="S29" i="20"/>
  <c r="R6" i="20"/>
  <c r="P37" i="20"/>
  <c r="L34" i="20"/>
  <c r="J6" i="20"/>
  <c r="H10" i="20"/>
  <c r="M34" i="20"/>
  <c r="M37" i="20"/>
  <c r="L29" i="20"/>
  <c r="M10" i="20"/>
  <c r="J37" i="20"/>
  <c r="G37" i="20"/>
  <c r="K10" i="20"/>
  <c r="S37" i="20"/>
  <c r="E37" i="20"/>
  <c r="G6" i="20"/>
  <c r="D29" i="20"/>
  <c r="N34" i="20"/>
  <c r="O10" i="20"/>
  <c r="I37" i="20"/>
  <c r="M6" i="20"/>
  <c r="H34" i="20"/>
  <c r="L10" i="20"/>
  <c r="K37" i="20"/>
  <c r="N37" i="20"/>
  <c r="D37" i="20"/>
  <c r="H21" i="20"/>
  <c r="P21" i="20"/>
  <c r="Q25" i="20"/>
  <c r="H25" i="20"/>
  <c r="L13" i="20"/>
  <c r="K34" i="20"/>
  <c r="S21" i="20"/>
  <c r="E25" i="20"/>
  <c r="K13" i="20"/>
  <c r="S25" i="20"/>
  <c r="J29" i="20"/>
  <c r="K29" i="20"/>
  <c r="I25" i="20"/>
  <c r="G21" i="20"/>
  <c r="P25" i="20"/>
  <c r="G25" i="20"/>
  <c r="J13" i="20"/>
  <c r="D21" i="20"/>
  <c r="Q37" i="20"/>
  <c r="Q34" i="20"/>
  <c r="O25" i="20"/>
  <c r="I13" i="20"/>
  <c r="R34" i="20"/>
  <c r="T10" i="20"/>
  <c r="N10" i="20"/>
  <c r="E34" i="20"/>
  <c r="Q21" i="20"/>
  <c r="L37" i="20"/>
  <c r="R13" i="20"/>
  <c r="T13" i="20"/>
  <c r="R29" i="20"/>
  <c r="F34" i="20"/>
  <c r="D10" i="20"/>
  <c r="J10" i="20"/>
  <c r="N21" i="20"/>
  <c r="K21" i="20"/>
  <c r="F13" i="20"/>
  <c r="N25" i="20"/>
  <c r="H13" i="20"/>
  <c r="J21" i="20"/>
  <c r="O21" i="20"/>
  <c r="F29" i="20"/>
  <c r="D25" i="20"/>
  <c r="F37" i="20"/>
  <c r="E10" i="20"/>
  <c r="M21" i="20"/>
  <c r="Q13" i="20"/>
  <c r="M25" i="20"/>
  <c r="S13" i="20"/>
  <c r="Q29" i="20"/>
  <c r="D13" i="20"/>
  <c r="R37" i="20"/>
  <c r="Q10" i="20"/>
  <c r="J34" i="20"/>
  <c r="L21" i="20"/>
  <c r="K25" i="20"/>
  <c r="E13" i="20"/>
  <c r="L25" i="20"/>
  <c r="G13" i="20"/>
  <c r="E29" i="20"/>
  <c r="D34" i="20"/>
  <c r="P10" i="20"/>
  <c r="I34" i="20"/>
  <c r="R21" i="20"/>
  <c r="P13" i="20"/>
  <c r="P29" i="20"/>
  <c r="O37" i="20"/>
  <c r="H37" i="20"/>
  <c r="F21" i="20"/>
  <c r="J25" i="20"/>
  <c r="O13" i="20"/>
  <c r="F10" i="20"/>
  <c r="I21" i="20"/>
  <c r="R25" i="20"/>
  <c r="N13" i="20"/>
  <c r="I10" i="20"/>
  <c r="R10" i="20"/>
  <c r="T21" i="20"/>
  <c r="E21" i="20"/>
  <c r="F25" i="20"/>
  <c r="T25" i="20"/>
  <c r="M13" i="20"/>
  <c r="I6" i="20"/>
  <c r="D6" i="20"/>
  <c r="P6" i="20"/>
  <c r="K6" i="20"/>
  <c r="Q6" i="20"/>
  <c r="T6" i="20"/>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L41" i="20" l="1"/>
  <c r="H41" i="20"/>
  <c r="T41" i="20"/>
  <c r="Q41" i="20"/>
  <c r="J41" i="20"/>
  <c r="K41" i="20"/>
  <c r="G41" i="20"/>
  <c r="F41" i="20"/>
  <c r="M41" i="20"/>
  <c r="P41" i="20"/>
  <c r="E41" i="20"/>
  <c r="D41" i="20"/>
  <c r="R41" i="20"/>
  <c r="N41" i="20"/>
  <c r="I41" i="20"/>
  <c r="S41" i="20"/>
  <c r="O41" i="20"/>
</calcChain>
</file>

<file path=xl/sharedStrings.xml><?xml version="1.0" encoding="utf-8"?>
<sst xmlns="http://schemas.openxmlformats.org/spreadsheetml/2006/main" count="15212" uniqueCount="3676">
  <si>
    <t>년도</t>
    <phoneticPr fontId="2" type="noConversion"/>
  </si>
  <si>
    <t>번호</t>
    <phoneticPr fontId="2" type="noConversion"/>
  </si>
  <si>
    <t>내용</t>
    <phoneticPr fontId="2" type="noConversion"/>
  </si>
  <si>
    <t>정답</t>
    <phoneticPr fontId="2" type="noConversion"/>
  </si>
  <si>
    <t>026</t>
  </si>
  <si>
    <t>027</t>
  </si>
  <si>
    <t>028</t>
  </si>
  <si>
    <t>029</t>
  </si>
  <si>
    <t>030</t>
  </si>
  <si>
    <t>031</t>
  </si>
  <si>
    <t>032</t>
  </si>
  <si>
    <t>033</t>
  </si>
  <si>
    <t>034</t>
  </si>
  <si>
    <t>035</t>
  </si>
  <si>
    <t>036</t>
  </si>
  <si>
    <t>037</t>
  </si>
  <si>
    <t>038</t>
  </si>
  <si>
    <t>039</t>
  </si>
  <si>
    <t>040</t>
  </si>
  <si>
    <t>다음 중 옳지 않은 것은?</t>
  </si>
  <si>
    <t>ㄱ, ㄴ</t>
  </si>
  <si>
    <t>ㄱ</t>
  </si>
  <si>
    <t>ㄱ, ㄴ, ㄷ</t>
  </si>
  <si>
    <t>국가는 근로의 의무의 내용과 조건을 민주주의원칙에 따라 법률로 정한다.</t>
  </si>
  <si>
    <t>1개</t>
  </si>
  <si>
    <t>ㄱ, ㄷ</t>
  </si>
  <si>
    <t>ㄱ: 10, ㄴ: 15</t>
  </si>
  <si>
    <t>국가는 법률이 정하는 바에 의하여 최저임금제를 시행하여야 한다.</t>
  </si>
  <si>
    <t>소정근로시간</t>
  </si>
  <si>
    <t>ㄷ, ㄹ</t>
  </si>
  <si>
    <t>ㄴ</t>
  </si>
  <si>
    <t>ㄱ, ㄴ, ㄹ</t>
  </si>
  <si>
    <t>ㄴ, ㄹ</t>
  </si>
  <si>
    <t>ㄷ</t>
  </si>
  <si>
    <t>2개</t>
  </si>
  <si>
    <t>ㄱ, ㄹ</t>
  </si>
  <si>
    <t>근로자란 직업의 종류를 불문하고 임금・급료 기타 이에 준하는 수입에 의하여 생활하는 자를 말한다.</t>
  </si>
  <si>
    <t>연소자의 근로는 특별한 보호를 받는다.</t>
  </si>
  <si>
    <t>ㄴ, ㄷ</t>
  </si>
  <si>
    <t>ㄱ, ㄷ, ㄹ</t>
  </si>
  <si>
    <t>위원의 임기는 3년으로 하되, 연임할 수 있다.</t>
  </si>
  <si>
    <t>3개</t>
  </si>
  <si>
    <t>ㄱ: 15, ㄴ: 15</t>
  </si>
  <si>
    <t>ㄱ, ㄹ, ㅁ</t>
  </si>
  <si>
    <t>ㄴ, ㄷ, ㄹ</t>
  </si>
  <si>
    <t>4개</t>
  </si>
  <si>
    <t>ㄱ: 15, ㄴ: 30</t>
  </si>
  <si>
    <t>국가는 사회적・경제적 방법으로 근로자의 고용의 증진과 적정임금의 보장에 노력하여야 한다.</t>
  </si>
  <si>
    <t>여자의 근로는 특별한 보호를 받는다.</t>
  </si>
  <si>
    <t>ㄱ, ㄴ, ㄷ, ㄹ</t>
  </si>
  <si>
    <t>5개</t>
  </si>
  <si>
    <t>ㄱ: 30, ㄴ: 30</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</si>
  <si>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</si>
  <si>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</si>
  <si>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</si>
  <si>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</si>
  <si>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</si>
  <si>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</si>
  <si>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</si>
  <si>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</si>
  <si>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</si>
  <si>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</si>
  <si>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</si>
  <si>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</si>
  <si>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</si>
  <si>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</si>
  <si>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</si>
  <si>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</si>
  <si>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</si>
  <si>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</si>
  <si>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</si>
  <si>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</si>
  <si>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</si>
  <si>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</si>
  <si>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</si>
  <si>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</si>
  <si>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</si>
  <si>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</si>
  <si>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</si>
  <si>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</si>
  <si>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</si>
  <si>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</si>
  <si>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</si>
  <si>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</si>
  <si>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</si>
  <si>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</si>
  <si>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</si>
  <si>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</si>
  <si>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</si>
  <si>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</si>
  <si>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</si>
  <si>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</si>
  <si>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</si>
  <si>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</si>
  <si>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</si>
  <si>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</si>
  <si>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</si>
  <si>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</si>
  <si>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</si>
  <si>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</si>
  <si>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</si>
  <si>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</si>
  <si>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</si>
  <si>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</si>
  <si>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</si>
  <si>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</si>
  <si>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</si>
  <si>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</si>
  <si>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</si>
  <si>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</si>
  <si>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</si>
  <si>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</si>
  <si>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노동조합 및 노동관계조정법의 연혁에 관한 설명으로 옳지 않은 것은?</t>
  </si>
  <si>
    <t>헌법상 노동3권에 관한 설명으로 옳지 않은 것은? (다툼이 있으면 판례에 따름)</t>
  </si>
  <si>
    <t>노동조합 및 노동관계조정법령상 노동조합에 관한 설명으로 옳지 않은 것은?</t>
  </si>
  <si>
    <t>노동조합 및 노동관계조정법상 노동조합의 설립에 관한 설명으로 옳지 않은 것은?</t>
  </si>
  <si>
    <t>노동조합 및 노동관계조정법상 노동조합의 관리에 관한 설명으로 옳은 것은?</t>
  </si>
  <si>
    <t>노동조합 및 노동관계조정법령상 근로시간면제심의위원회에 관한 설명으로 옳은 것은?</t>
  </si>
  <si>
    <t>노동조합 및 노동관계조정법령상 노동조합의 관리에 관한 설명으로 옳지 않은 것은?</t>
  </si>
  <si>
    <t>노동조합 및 노동관계조정법령상 노동조합의 해산에 관한 설명으로 옳지 않은 것은?</t>
  </si>
  <si>
    <t>노동조합 및 노동관계조정법령상 교섭단위 결정 등에 관한 설명으로 옳지 않은 것은?</t>
  </si>
  <si>
    <t>노동조합 및 노동관계조정법상 단체교섭 및 단체협약에 관한 설명으로 옳지 않은 것은? (다툼이 있으면 판례에 따름)</t>
  </si>
  <si>
    <t>노동조합 및 노동관계조정법상 부당노동행위에 관한 설명으로 옳은 것은 모두 몇 개인가?
○ 사용자의 부당노동행위로 인하여 그 권리를 침해당한 근로자 또는 노동조합은 노동위원회에 그 구제를 신청할 수 있다.
○ 노동위원회는 부당노동행위 구제신청을 받은 때에는 지체없이 필요한 조사와 관계 당사자의 심문을 하여야 한다.
○ 근로자가 노동조합의 업무를 위한 정당한 행위를 한 것을 이유로 그 근로자에게 불이익을 주는 사용자의 행위는 부당노동행위에 해당한다.
○ 부당노동행위 구제의 신청은 부당노동행위가 있은 날(계속하는 행위는 그 종료일)부터 3월 이내에 이를 행하여야 한다.</t>
  </si>
  <si>
    <t>노동조합 및 노동관계조정법상 부당노동행위에 관한 설명으로 옳지 않은 것은? (다툼이 있으면 판례에 따름)</t>
  </si>
  <si>
    <t>노동조합 및 노동관계조정법상 단체협약 등에 관한 설명으로 옳지 않은 것은?</t>
  </si>
  <si>
    <t>노동조합 및 노동관계조정법령상 교섭창구 단일화 절차에 관한 설명으로 옳지 않은 것은? (다툼이 있으면 판례에 따름)</t>
  </si>
  <si>
    <t>노동조합 및 노동관계조정법상 위반 행위에 대하여 벌칙이 적용되지 않는 것은?</t>
  </si>
  <si>
    <t>노동조합 및 노동관계조정법령상 쟁의행위에 관한 설명으로 옳지 않은 것은?</t>
  </si>
  <si>
    <t>노동조합 및 노동관계조정법상 쟁의행위에 관한 설명으로 옳지 않은 것은?</t>
  </si>
  <si>
    <t>노동조합 및 노동관계조정법령상 필수유지업무에 관한 설명으로 옳지 않은 것은?</t>
  </si>
  <si>
    <t>노동조합 및 노동관계조정법령상 사적 조정・중재에 관한 설명으로 옳지 않은 것은?</t>
  </si>
  <si>
    <t>노동조합 및 노동관계조정법상 노동쟁의의 조정 등에 관한 설명이다. ( )에 들어갈 내용으로 옳은 것은?
○ 조정위원회는 조정안이 관계 당사자의 쌍방에 의하여 수락된 후 그 해석 또는 이행방법에 관하여 관계 당사자간에 의견의 불일치가 있어 명확한 견해의 제시를 요청받은 때에는 그 요청을 받은 날부터 (ㄱ)일 이내에 명확한 견해를 제시하여야 한다.
○ 노동쟁의가 중재에 회부된 때에는 그 날부터 (ㄴ)일간은 쟁의행위를 할 수 없다.
○ 관계 당사자는 긴급조정의 결정이 공표된 때에는 즉시 쟁의행위를 중지하여야 하며, 공표일부터 (ㄷ)일이 경과하지 아니하면 쟁의행위를 재개할 수 없다.</t>
  </si>
  <si>
    <t>노동조합 및 노동관계조정법상 노동쟁의의 조정에 관한 설명으로 옳은 것은?</t>
  </si>
  <si>
    <t>노동조합 및 노동관계조정법령상 중재재정에 관한 설명으로 옳지 않은 것은?</t>
  </si>
  <si>
    <t>노동조합 및 노동관계조정법상 필수공익사업에 해당하지 않는 사업을 모두 고른 것은?
ㄱ. 철도사업 
ㄴ. 수도사업 
ㄷ. 공중위생사업 
ㄹ. 조폐사업 
ㅁ. 방송사업</t>
  </si>
  <si>
    <t>근로자참여 및 협력증진에 관한 법률상 노사협의회의 운영에 관한 설명으로 옳지 않은 것은?</t>
  </si>
  <si>
    <t>근로자참여 및 협력증진에 관한 법률상 벌칙 등에 관한 설명으로 옳지 않은 것은?</t>
  </si>
  <si>
    <t>근로자참여 및 협력증진에 관한 법률상 노사협의회의 협의 사항으로 옳은 것은?</t>
  </si>
  <si>
    <t>노동위원회법상 노동위원회의 화해의 권고 등에 관한 설명으로 옳지 않은 것은?</t>
  </si>
  <si>
    <t>노동위원회법상 노동위원회의 공시송달에 관한 설명으로 옳은 것은?</t>
  </si>
  <si>
    <t>노동위원회법상 노동위원회의 권한 등에 관한 설명으로 옳지 않은 것은?</t>
  </si>
  <si>
    <t>노동위원회법상 위원이 해당 사건에 관한 직무집행에서 제척(除斥)되는 경우를 모두 고른 것은?
ㄱ. 위원이 해당 사건의 당사자와 친족이었던 경우
ㄴ. 위원이 해당 사건에 관하여 진술한 경우
ㄷ. 위원이 당사자의 대리인으로서 업무에 관여하였던 경우
ㄹ. 위원 또는 위원이 속한 법인, 단체 또는 법률사무소가 해당 사건의 원인이 된 처분 또는 부작위에 관여한 경우</t>
  </si>
  <si>
    <t>근로자참여 및 협력증진에 관한 법률상 고충처리에 관한 설명으로 옳은 것은?</t>
  </si>
  <si>
    <t>교원의 노동조합 설립 및 운영 등에 관한 법률의 내용으로 옳지 않은 것은?</t>
  </si>
  <si>
    <t>교원의 노동조합 설립 및 운영 등에 관한 법령상 근무시간 면제에 관한 설명으로 옳지 않은 것은?</t>
  </si>
  <si>
    <t>공무원의 노동조합 설립 및 운영 등에 관한 법률의 내용으로 옳은 것은?</t>
  </si>
  <si>
    <t>공무원의 노동조합 설립 및 운영 등에 관한 법률상 단체교섭 및 단체협약에 관한 설명으로 옳지 않은 것은?</t>
  </si>
  <si>
    <t>공무원의 노동조합 설립 및 운영 등에 관한 법률상 조정 및 중재에 관한 설명으로 옳은 것은?</t>
  </si>
  <si>
    <t>노동조합 및 노동관계조정법의 내용 중 공무원의 노동조합 설립 및 운영 등에 관한 법률에 적용되는 것으로 옳은 것은?</t>
  </si>
  <si>
    <t>교원의 노동조합 설립 및 운영 등에 관한 법령상 단체교섭에 관한 설명으로 옳지 않은 것은?</t>
  </si>
  <si>
    <t>교원의 노동조합 설립 및 운영 등에 관한 법률상 조정 및 중재에 관한 설명으로 옳은 것은?</t>
  </si>
  <si>
    <t>노동조합 및 노동관계조정법상 총회 및 대의원회의 회의 등에 관한 설명으로 옳지 않은 것은?</t>
  </si>
  <si>
    <t>노동조합 및 노동관계조정법상 근로시간 면제에 관한 설명으로 옳은 것은 몇 개인가?
○ 근로시간면제심의위원회는 「노동위원회법」에 따른 중앙노동위원회에 둔다.
○ 고용노동부장관이 고시한 근로시간 면제 한도를 초과하는 내용의 단체협약은 그 초과한 부분에 한정하여 무효로 한다.
○ 근로시간면제심의위원회는 성별을 고려하여 구성한다.
○ 고용노동부장관은 통보받은 근로시간 면제 한도를 합리적인 범위 내에서 조정하여 고시할 수 있다.</t>
  </si>
  <si>
    <t>노동조합 및 노동관계조정법상 노동조합의 관리 등에 관한 설명으로 옳지 않은 것은?</t>
  </si>
  <si>
    <t>노동조합 및 노동관계조정법령상 노동조합에 관한 설명으로 옳지 않은 것은? (다툼이 있으면 판례에 따름)</t>
  </si>
  <si>
    <t>노동조합 및 노동관계조정법상 노동조합의 규약 및 규정에 관한 설명으로 옳지 않은 것은? (다툼이 있으면 판례에 따름)</t>
  </si>
  <si>
    <t>노동조합 및 노동관계조정법령상 노동조합에 관한 설명으로 옳은 것은? (다툼이 있으면 판례에 따름)</t>
  </si>
  <si>
    <t>노동조합 및 노동관계조정법상 노동조합과 조합원 등에 관한 설명으로 옳은 것은? (다툼이 있으면 판례에 따름)</t>
  </si>
  <si>
    <t>노동조합 및 노동관계조정법상 노동조합의 해산에 관한 설명으로 옳지 않은 것은?</t>
  </si>
  <si>
    <t>노동조합 및 노동관계조정법령상 공정대표의무 등에 관한 설명으로 옳지 않은 것은? (다툼이 있으면 판례에 따름)</t>
  </si>
  <si>
    <t>노동조합 및 노동관계조정법령상 단체교섭 및 단체협약에 관한 설명으로 옳은 것은?</t>
  </si>
  <si>
    <t>노동조합 및 노동관계조정법령상 쟁의행위에 관한 설명으로 옳지 않은 것은? (다툼이 있으면 판례에 따름)</t>
  </si>
  <si>
    <t>노동조합 및 노동관계조정법령상 필수유지업무 및 필수유지업무협정 등에 관한 설명으로 옳지 않은 것은?</t>
  </si>
  <si>
    <t>노동조합 및 노동관계조정법상 쟁의행위에 관한 설명으로 옳지 않은 것은? (다툼이 있으면 판례에 따름)</t>
  </si>
  <si>
    <t>노동조합 및 노동관계조정법상 공익사업등의 우선적 취급에 관한 규정에서 ( )에 들어갈 내용으로 옳은 것은?
○ 제51조(공익사업등의 우선적 취급) 국가・지방자치단체・국공영기업체・방위산업체 및 공익사업에 있어서의 ( )은(는) 우선적으로 취급하고 신속히 처리하여야 한다.</t>
  </si>
  <si>
    <t>노동조합 및 노동관계조정법상 노동쟁의 조정에 관한 설명으로 옳은 것은?</t>
  </si>
  <si>
    <t>노동조합 및 노동관계조정법상 부당노동행위에 관한 설명으로 옳은 것은? (다툼이 있으면 판례에 따름)</t>
  </si>
  <si>
    <t>근로자참여 및 협력증진에 관한 법률상 노사협의회에 관한 설명으로 옳지 않은 것은?</t>
  </si>
  <si>
    <t>근로자참여 및 협력증진에 관한 법령상 노사협의회의 위원 등에 관한 설명으로 옳지 않은 것은?</t>
  </si>
  <si>
    <t>노동위원회법상 노동위원회에 관한 설명으로 옳은 것을 모두 고른 것은?
ㄱ. 중앙노동위원회와 지방노동위원회는 고용노동부장관 소속으로 둔다.
ㄴ. 특별노동위원회는 관계 법률에서 정하는 사항을 관장하기 위하여 필요한 경우에 해당 사항을 관장하는 중앙행정기관의 장 소속으로 둔다.
ㄷ. 중앙노동위원회 위원장은 중앙노동위원회 및 지방노동위원회의 예산・인사・교육훈련, 그 밖의 행정사무를 총괄한다.
ㄹ. 노동위원회 위원장은 해당 노동위원회의 공익위원이 되며, 심판사건, 차별적 처우 시정사건을 담당하되 조정사건은 담당할 수 없다.</t>
  </si>
  <si>
    <t>노동위원회법상 노동위원회에 관한 설명으로 옳은 것은?</t>
  </si>
  <si>
    <t>공무원의 노동조합 설립 및 운영 등에 관한 법률에 관한 설명으로 옳지 않은 것은?</t>
  </si>
  <si>
    <t>교원의 노동조합 설립 및 운영 등에 관한 법률에 관한 설명으로 옳지 않은 것은?</t>
  </si>
  <si>
    <t>노동법 등의 연혁에 관한 설명으로 옳지 않은 것은?</t>
  </si>
  <si>
    <t>헌법상 노동3권에 관한 설명으로 옳지 않은 것은?</t>
  </si>
  <si>
    <t>노동조합 및 노동관계조정법령에 관한 설명이다. ( )에 들어갈 숫자로 옳은 것은?
○ 노동조합의 대표자는 제3조 각 호의 등기사항이 변경된 경우에는 변경 후 (ㄱ)주일 이내에 주된 사무소 의 소재지에서 변경사항을 등기해야 한다.
○ 행정관청은 설립신고서 또는 규약이 기재사항의 누락 등으로 보완이 필요한 경우 (ㄴ)일 이내의 기간을 정하여 보완을 요구하여야 한다.
○ 노동조합은 매년 (ㄷ)회 이상 총회를 개최하여야 한다.</t>
  </si>
  <si>
    <t>노동조합 및 노동관계조정법상 노동조합에 관한 설명으로 옳지 않은 것은?</t>
  </si>
  <si>
    <t>노동조합 및 노동관계조정법상 기한이 다른 하나는?</t>
  </si>
  <si>
    <t>노동조합 및 노동관계조정법령에 관한 설명으로 옳지 않은 것은? (다툼이 있으면 판례에 따름)</t>
  </si>
  <si>
    <t>노동조합 및 노동관계조정법령상 단체교섭 및 단체협약에 관한 설명으로 옳지 않은 것은? (다툼이 있으면 판례에 따름)</t>
  </si>
  <si>
    <t>노동조합 및 노동관계조정법령상 교섭창구 단일화 절차 등에 관한 설명으로 옳지 않은 것은?</t>
  </si>
  <si>
    <t>노동조합 및 노동관계조정법령상 교섭단위 결정 등에 관한 설명으로 옳은 것은?</t>
  </si>
  <si>
    <t>노동조합 및 노동관계조정법령상 단체협약에 관한 설명으로 옳지 않은 것은?</t>
  </si>
  <si>
    <t>노동조합 및 노동관계조정법령상 단체교섭 및 단체협약에 관한 설명이다. ( )에 들어갈 내용으로 옳은 것은?
○ 교섭창구 단일화 절차에 따라 결정된 교섭대표노동조합은 그 결정이 있은 후 사용자와 체결한 첫 번째 단체협약의 효력이 발생한 날을 기준으로 (ㄱ)년이 되는 날까지 그 교섭대표노동조합의 지위를 유지한다.
○ 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(ㄴ)월전까지 상대방에게 통고함으로써 종전의 단체협약을 해지할 수 있다.</t>
  </si>
  <si>
    <t>노동조합 및 노동관계조정법상 단체협약에 관한 설명으로 옳지 않은 것은? (다툼이 있으면 판례에 따름)</t>
  </si>
  <si>
    <t>노동조합 및 노동관계조정법상 노동위원회가 행하는 노동쟁의의 조정 등에 관한 설명으로 옳지 않은 것은?</t>
  </si>
  <si>
    <t>노동조합 및 노동관계조정법상 노동위원회가 행하는 노동쟁의의 중재에 관한 설명으로 옳은 것은?</t>
  </si>
  <si>
    <t>노동조합 및 노동관계조정법상 필수공익사업에 해당하는 것을 모두 고른 것은?
ㄱ. 공중위생사업
ㄴ. 통신사업
ㄷ. 방송사업
ㄹ. 한국은행사업
ㅁ. 조폐사업
ㅂ. 병원사업</t>
  </si>
  <si>
    <t>노동조합 및 노동관계조정법상 사용자의 직장폐쇄에 관한 설명으로 옳지 않은 것은? (다툼이 있으면 판례에 따름)</t>
  </si>
  <si>
    <t>노동조합 및 노동관계조정법령상 노동조합이 쟁의행위를 하고자 할 경우에 행정관청과 관할노동위원회에 신고하여야 할 사항이 아닌 것은?</t>
  </si>
  <si>
    <t>노동조합 및 노동관계조정법상 쟁의행위에 관한 설명으로 옳은 것은?</t>
  </si>
  <si>
    <t>노동조합 및 노동관계조정법상 부당노동행위에 관한 설명으로 옳지 않은 것은?</t>
  </si>
  <si>
    <t>노동조합 및 노동관계조정법 제81조(부당노동행위)제1항제4호단서에 따른 "노동조합의 자주적인 운영 또는 활동을 침해할 위험" 여부를 판단할 때 고려하여야 하는 사항이 아닌 것은?</t>
  </si>
  <si>
    <t>노동조합 및 노동관계조정법상 부당노동행위 구제에 관한 설명으로 옳은 것은?</t>
  </si>
  <si>
    <t>노동위원회법상 노동위원회에 관한 설명으로 옳지 않은 것은?</t>
  </si>
  <si>
    <t>교원의 노동조합 설립 및 운영 등에 관한 법률에 관한 설명으로 옳은 것은?</t>
  </si>
  <si>
    <t>근로자참여 및 협력증진에 관한 법령상 노사협의회에 관한 설명으로 옳지 않은 것은? (다툼이 있으면 판례에 따름)</t>
  </si>
  <si>
    <t>우리나라 노동법 등의 연혁에 관한 설명으로 옳은 것을 모두 고른 것은?
ㄱ. 우리나라는 1991년에 국제노동기구(ILO)에 가입하였다.
ㄴ. 1980년에 제정된 「노사협의회법」에서 노사협의회 설치에 대한 내용을 추가하였다.
ㄷ. 2005년에 「공무원의 노동조합 설립 및 운영 등에 관한 법률」이 제정되었다.
ㄹ. 1953년에 제정된 「노동조합법」에서는 사용자 및 노동조합의 부당노동행위금지와 그 위반에 대한 처벌을 규정하였다.</t>
  </si>
  <si>
    <t>노동조합 및 노동관계조정법에 관한 설명으로 옳지 않은 것은? (다툼이 있으면 판례에 따름)</t>
  </si>
  <si>
    <t>노동조합 및 노동관계조정법령상 노동조합의 설립 등에 관한 설명으로 옳지 않은 것은?</t>
  </si>
  <si>
    <t>노동조합 및 노동관계조정법상 노동조합의 규약에 기재하여야 하는 사항으로 명시되어 있지 않은 것은?</t>
  </si>
  <si>
    <t xml:space="preserve">노동조합 및 노동관계조정법상 노동조합의 운영 등에 관한 설명으로 옳지 않은 것은? </t>
  </si>
  <si>
    <t>노동조합 및 노동관계조정법상 단체교섭 등에 관한 설명으로 옳지 않은 것은? (다툼이 있으면 판례에 따름)</t>
  </si>
  <si>
    <t xml:space="preserve">노동조합 및 노동관계조정법령상 단체협약에 관한 설명으로 옳지 않은 것은? (다툼이 있으면 판례에 따름) </t>
  </si>
  <si>
    <t>노동조합 및 노동관계조정법상 교섭대표노동조합 등에 관한 설명으로 옳지 않은 것은? (다툼이 있으면 판례에 따름)</t>
  </si>
  <si>
    <t>노동조합 및 노동관계조정법상 공정대표의무에 관한 설명으로 옳지 않은 것은? (다툼이 있으면 판례에 따름)</t>
  </si>
  <si>
    <t>노동조합 및 노동관계조정법상 노동조합에 관한 설명으로 옳지 않은 것은? (다툼이 있으면 판례에 따름)</t>
  </si>
  <si>
    <t>노동조합 및 노동관계조정법상 직장폐쇄 등에 관한 설명으로 옳지 않은 것은?</t>
  </si>
  <si>
    <t>노동조합 및 노동관계조정법령상 쟁의행위 등에 관한 설명으로 옳지 않은 것은? (다툼이 있으면 판례에 따름)</t>
  </si>
  <si>
    <t>노동조합 및 노동관계조정법령상 필수유지업무 등에 관한 설명으로 옳지 않은 것은?</t>
  </si>
  <si>
    <t>다음 노동조합 및 노동관계조정법 조항의 규정을 위반한 자에 대해 동법에 벌칙 규정이 없는 것은?</t>
  </si>
  <si>
    <t>노동조합 및 노동관계조정법상 노동쟁의의 조정 등에 관한 설명으로 옳지 않은 것은?</t>
  </si>
  <si>
    <t>노동조합 및 노동관계조정법상 노동쟁의의 조정 등에 관한 설명이다. ( )에 들어갈 내용으로 옳은 것은?
○ 노동쟁의가 중재에 회부된 때에는 그 날부터 (ㄱ)일간은 쟁의행위를 할 수 없다.
○ 관계 당사자는 긴급조정의 결정이 공표된 때에는 즉시 쟁의행위를 중지하여야 하며, 공표일부터 (ㄴ)일이 경과하지 아니하면 쟁의행위를 재개할 수 없다.</t>
  </si>
  <si>
    <t>노동조합 및 노동관계조정법상 부당노동행위 구제에 관한 설명으로 옳지 않은 것은?</t>
  </si>
  <si>
    <t>노동조합 및 노동관계조정법상 공익사업 등의 조정에 관한 특칙의 내용으로 옳지 않은 것은?</t>
  </si>
  <si>
    <t>헌법상 노동3권에 대한 설명으로 옳지 않은 것은? (다툼이 있으면 판례에 따름)</t>
  </si>
  <si>
    <t>우리나라가 비준한 ILO 협약을 모두 고른 것은?
ㄱ. 강제근로에 관한 협약(제29호)
ㄴ. 공업 및 상업부문에서 근로감독에 관한 협약(제81호)
ㄷ. 결사의 자유 및 단결권 보호에 관한 협약(제87호)
ㄹ. 동일가치에 대한 남녀근로자의 동등보수에 관한 협약(제100호)
ㅁ. 가혹한 형태의 아동노동 철폐에 관한 협약(제182호)</t>
  </si>
  <si>
    <t>노동조합 및 노동관계조정법령상 설립신고증을 교부받은 노동조합이 아닌 근로자단체의 법적 지위에 관한 설명으로 옳지 않은 것은?</t>
  </si>
  <si>
    <t>노동조합 및 노동관계조정법 제9조(차별대우의 금지)의 규정이다. ( )에 명시되어 있는 내용이 아닌 것은?
○ 노동조합의 조합원은 어떠한 경우에도 ( )에 의하여 차별대우를 받지 아니한다.</t>
  </si>
  <si>
    <t>노동조합 및 노동관계조정법령상 교섭단위 결정에 관한 설명으로 옳은 것은?</t>
  </si>
  <si>
    <t>노동조합 및 노동관계조정법상 이해관계인의 신청이 있는 경우에 한하여 행정관청이 노동위원회의 의결을 얻어 시정을 명할 수 있는 경우는?</t>
  </si>
  <si>
    <t>노동조합 및 노동관계조정법상 근로시간면제심의위원회(이하 "위원회"라 한다)에 관한 설명으로 옳지 않은 것은?</t>
  </si>
  <si>
    <t>노동조합 및 노동관계조정법령상 단체교섭에 관한 설명으로 옳지 않은 것은?</t>
  </si>
  <si>
    <t>상시근로자 100명을 고용하고 있는 A사업장에는 갑, 을, 병, 정 노동조합이 설립되어 있으며 각각 26명, 15명, 14명, 5명의 조합원이 가입되어 있다. 정 노동조합을 제외한 갑, 을, 병 3개의 노동조합이 교섭창구 단일화 절차에 참여하였다. 사용자가 교섭창구 단일화 절차를 거치지 아니하기로 별도로 동의하지 아니한 상황에서 자율적으로 결정하는 기한 내에 교섭대표노동조합을 결정하지 못한 경우 교섭대표노동조합이 될 수 없는 것은?</t>
  </si>
  <si>
    <t>노동조합 및 노동관계조정법상 단체협약에 관한 설명으로 옳지 않은 것은?</t>
  </si>
  <si>
    <t>노동조합 및 노동관계조정법상 필수유지업무에 관한 설명으로 옳지 않은 것은? (다툼이 있으면 판례에 따름)</t>
  </si>
  <si>
    <t>노동조합 및 노동관계조정법령상 사용자의 채용제한에 관한 내용으로 옳지 않은 것은?</t>
  </si>
  <si>
    <t>노동조합 및 노동관계조정법상 노동쟁의의 조정(調停)에 관한 설명으로 옳지 않은 것은?</t>
  </si>
  <si>
    <t>노동조합 및 노동관계조정법상 노동쟁의의 중재에 관한 설명으로 옳은 것은?</t>
  </si>
  <si>
    <t>노동조합 및 노동관계조정법상 긴급조정에 관한 설명으로 옳지 않은 것은?</t>
  </si>
  <si>
    <t>노동조합 및 노동관계조정법상 필수공익사업에 해당하는 것을 모두 고른 것은?
ㄱ. 도시철도사업
ㄴ. 공중위생사업
ㄷ. 혈액공급사업
ㄹ. 방송사업
ㅁ. 은행사업
ㅂ. 석유공급사업</t>
  </si>
  <si>
    <t>공무원의 노동조합 설립 및 운영 등에 관한 법률의 내용으로 옳지 않은 것은?</t>
  </si>
  <si>
    <t>노동관계법의 제정이 빠른 순서로 옳게 나열된 것은?
ㄱ. 파견근로자 보호 등에 관한 법률
ㄴ. 기간제 및 단시간근로자 보호 등에 관한 법률
ㄷ. 공무원의 노동조합 설립 및 운영 등에 관한 법률
ㄹ. 교원의 노동조합 설립 및 운영 등에 관한 법률</t>
  </si>
  <si>
    <t>노동조합 및 노동관계조정법령상 근로자와 사용자에 관한 설명으로 옳지 않은 것은? (다툼이 있으면 판례에 따름)</t>
  </si>
  <si>
    <t>노동조합 및 노동관계조정법령에 의하여 설립된 노동조합에 관한 설명으로 옳은 것은 모두 몇 개인가?
○ 노동위원회에 노동쟁의의 조정 및 부당노동행위의 구제를 신청할 수 있다.
○ 노동조합의 규약이 정하는 바에 의하여 법인으로 할 수 있다.
○ 노동조합이라는 명칭을 사용할 수 있다.
○ 노동조합에 대하여는 그 사업체를 포함하여 세법이 정하는 바에 따라 조세를 부과하지 아니한다.</t>
  </si>
  <si>
    <t>노동조합 및 노동관계조정법령상 노동조합 규약의 의무적 기재사항이 아닌 것은?</t>
  </si>
  <si>
    <t>노동조합 및 노동관계조정법령상 근로시간 면제 제도에 관한 설명으로 옳지 않은 것은? (다툼이 있으면 판례에 따름)</t>
  </si>
  <si>
    <t>노동조합 및 노동관계조정법령상 노동조합 활동에 관한 설명으로 옳지 않은 것은? (다툼이 있으면 판례에 따름)</t>
  </si>
  <si>
    <t>노동조합 및 노동관계조정법령상 단체교섭에 관한 설명으로 옳지 않은 것은? (다툼이 있으면 판례에 따름)</t>
  </si>
  <si>
    <t>노동조합 및 노동관계조정법령상 공정대표의무에 관한 설명으로 옳지 않은 것은? (다툼이 있으면 판례에 따름)</t>
  </si>
  <si>
    <t>노동조합 및 노동관계조정법령상 교섭창구 단일화 제도에 관한 설명으로 옳은 것은? (다툼이 있으면 판례에 따름)</t>
  </si>
  <si>
    <t>노동조합 및 노동관계조정법령상 단체협약에 관한 설명으로 옳지 않은 것은? (다툼이 있으면 판례에 따름)</t>
  </si>
  <si>
    <t>노동조합 및 노동관계조정법령상 단체협약 내용을 위반한 경우 형사처벌의 대상이 아닌 것은?</t>
  </si>
  <si>
    <t>노동조합 및 노동관계조정법령상 단체협약의 해석에 관한 설명으로 옳지 않은 것은? (다툼이 있으면 판례에 따름)</t>
  </si>
  <si>
    <t>노동조합 및 노동관계조정법령상 노동쟁의 조정의 기본 원칙으로 옳지 않은 것은?</t>
  </si>
  <si>
    <t>노동조합 및 노동관계조정법령상 조정 및 중재에 관한 설명으로 옳은 것은?</t>
  </si>
  <si>
    <t>노동조합 및 노동관계조정법령상 쟁의행위와 임금에 관한 설명으로 옳지 않은 것은? (다툼이 있으면 판례에 따름)</t>
  </si>
  <si>
    <t>노동조합 및 노동관계조정법령상 직장폐쇄에 관한 설명으로 옳지 않은 것은? (다툼이 있으면 판례에 따름)</t>
  </si>
  <si>
    <t>노동조합 및 노동관계조정법령상 부당노동행위에 관한 설명으로 옳지 않은 것은? (다툼이 있으면 판례에 따름)</t>
  </si>
  <si>
    <t>노동조합 및 노동관계조정법령상 부당노동행위 구제제도에 관한 설명으로 옳지 않은 것은? (다툼이 있으면 판례에 따름)</t>
  </si>
  <si>
    <t>근로자참여 및 협력증진에 관한 법률상 사용자가 노사협의회 정기회의에 보고할 사항이 아닌 것은?</t>
  </si>
  <si>
    <t>교원의 노동조합 설립 및 운영 등에 관한 법률의 설명으로 옳은 것은?</t>
  </si>
  <si>
    <t>공무원의 노동조합 설립 및 운영 등에 관한 법률의 설명으로 옳지 않은 것은?</t>
  </si>
  <si>
    <t>헌법상 근로3권에 관한 설명으로 옳지 않은 것은? (다툼이 있으면 판례에 따름)</t>
  </si>
  <si>
    <t>각국 노동법의 연혁에 관한 설명으로 옳지 않은 것은?</t>
  </si>
  <si>
    <t>노동조합 및 노동관계조정법령상 노동조합 총회의 의결사항 중 '재적조합원 과반수의 출석과 출석조합원 3분의 2이상의 찬성'으로 의결해야 하는 사항이 아닌 것은?</t>
  </si>
  <si>
    <t>노동조합 및 노동관계조정법령상 단체교섭 등에 관한 설명으로 옳지 않은 것은? (다툼이 있으면 판례에 따름)</t>
  </si>
  <si>
    <t>노동조합 및 노동관계조정법령상 교섭단위 분리에 관한 설명으로 옳지 않은 것은?</t>
  </si>
  <si>
    <t>노동조합 및 노동관계조정법령상 단체협약의 지역적 구속력에 관한 설명으로 옳은 것은?</t>
  </si>
  <si>
    <t>노동조합 및 노동관계조정법령상 사용자의 채용제한에 관한 설명으로 옳은 것을 모두 고른 것은?
ㄱ. 필수공익사업의 사용자는 쟁의행위 기간 중에 한하여 그 쟁의행위로 중단된 업무의 수행을 위하여 당해 사업과 관계없는 자를 채용할 수 있으나 그 수의 제한이 있다.
ㄴ. 필수공익사업의 사용자라 하더라도 쟁의행위 기간 중에 그 쟁의행위로 중단된 업무를 도급 줄 수 없다.
ㄷ. 필수공익사업의 파업참가자 수는 근로의무가 있는 근로시간 중 파업참가를 이유로 근로의 일부 또는 전부를 제공하지 아니한 자의 수를 1일 단위로 산정한다.
ㄹ. 사용자는 당해 사업과 관계있는 자라 하더라도 비노동조합원을 쟁의기간 중 쟁의행위로 중단된 업무의 수행을 위하여 대체할 수 없다.</t>
  </si>
  <si>
    <t>노동조합 및 노동관계조정법령상 조정 및 중재에 관한 설명으로 옳지 않은 것은?</t>
  </si>
  <si>
    <t>노동조합 및 노동관계조정법령상 긴급조정에 관한 설명으로 옳지 않은 것은?</t>
  </si>
  <si>
    <t>노동조합 및 노동관계조정법령상 필수유지업무가 아닌 것은?</t>
  </si>
  <si>
    <t>노동조합 및 노동관계조정법령상 부당노동행위 구제에 관한 설명으로 옳은 것은?</t>
  </si>
  <si>
    <t>노동조합 및 노동관계조정법령상 사용자가 중앙노동위원회의 구제명령에 대하여 행정소송을 제기한 경우 그 구제명령에 관한 설명으로 옳지 않은 것은?</t>
  </si>
  <si>
    <t>공무원의 노동조합 설립 및 운영에 관한 법률의 내용으로 옳지 않은 것은?</t>
  </si>
  <si>
    <t>교원의 노동조합 설립 및 운영에 관한 법률의 내용으로 옳지 않은 것은?</t>
  </si>
  <si>
    <t>노동3권에 관한 설명으로 옳지 않은 것은? (다툼이 있으면 판례에 따름)</t>
  </si>
  <si>
    <t>제헌헌법(헌법 제1호, 1948. 7. 17. 제정)에 명시된 내용이 아닌 것은?</t>
  </si>
  <si>
    <t>노동조합 및 노동관계조정법령상 단체협약의 채무적 부분에 해당하는 것은?</t>
  </si>
  <si>
    <t>노동조합 및 노동관계조정법령상 실질적 요건과 형식적 요건을 모두 갖춘 노동조합에게만 적용되는 것을 모두 고른 것은? (다툼이 있으면 판례에 따름)
ㄱ. 단체교섭권
ㄴ. 단체협약체결권
ㄷ. 노동쟁의 조정신청권
ㄹ. 부당노동행위 구제신청권
ㅁ. 법인격 취득</t>
  </si>
  <si>
    <t>노동조합 및 노동관계조정법령상 노동조합의 관리에 관한 설명이다. ( )에 들어갈 내용으로 옳은 것은?
○ 행정관청은 노동조합에 총회 또는 대의원회의 소집권자가 없는 경우에 조합원 또는 대의원의 3분의 1 이상이 회의에 부의할 사항을 제시하고 소집권자의 지명을 요구한 때에는 (ㄱ)일 이내에 회의의 소집권자를 지명하여야 한다.
○ 총회 또는 대의원회는 회의개최일 (ㄴ)일 전까지 그 회의에 부의할 사항을 공고하고 규약에 정한 방법에 의하여 소집하여야 한다.</t>
  </si>
  <si>
    <t>노동조합 및 노동관계조정법령상 단체교섭 및 단체협약에 관한 설명으로 옳지 않은 것을 모두 고른 것은? (다툼이 있으면 판례에 따름)
ㄱ. 단체교섭의 결과 노사가 특정의 노동조합이 유일한 교섭주체임을 인정하는 취지의 단체협약을 체결했다면 노사자치원리에 따라 유효하다.
ㄴ. 노동관계당사자는 교섭이나 단체협약 체결의 권한을 위임하는 경우에는 교섭사항과 교섭범위를 정하지 않고 교섭 진행 과정에서 구체화시키면 충분하다.
ㄷ. 노동조합의 대표자가 사용자와 단체교섭 결과 합의에 이른 경우에 단체교섭위원들이 연명으로 서명하지 않는 한 단체협약을 체결할 수 없도록 규정한 노동조합 규약은「노동조합 및 노동관계조정법」에 위반되지 않는다.
ㄹ. 단체교섭권의 위임이 이루어진 경우에는 그 위임 후 이를 해지하는 등의 별개의 의사표시가 없더라도 노동조합의 단체교섭권한은 여전히 수임자의 단체교섭권한과 중복하여 경합적으로 남아 있다.</t>
  </si>
  <si>
    <t>노동조합 및 노동관계조정법령에 관한 설명으로 옳은 것은? (다툼이 있으면 판례에 따름)</t>
  </si>
  <si>
    <t>노동조합 및 노동관계조정법령상 부당노동행위로서의 경비원조에 해당하는 것을 모두 고른 것은? (다툼이 있으면 판례에 따름)
ㄱ. 노동조합에게 매월 상당한 금액의 돈을 지급하는 행위
ㄴ. 단순히 노조전임자에 불과할 뿐 근로시간 면제자로 지정된 바 없는 근로자에게 급여를 지원하는 행위
ㄷ. 최소한의 규모의 노동조합사무소의 제공
ㄹ. 근로자의 후생자금을 위한 기금의 기부</t>
  </si>
  <si>
    <t>노동조합 및 노동관계조정법령상 교섭대표노동조합에 관한 설명으로 옳지 않은 것은?</t>
  </si>
  <si>
    <t>노동조합 및 노동관계조정법령상 노동쟁의의 조정에 관한 설명으로 옳지 않은 것은?</t>
  </si>
  <si>
    <t>노동조합 및 노동관계조정법령상 필수유지업무에 관한 설명으로 옳은 것은?</t>
  </si>
  <si>
    <t>노동조합 및 노동관계조정법령상 노동조합의 조직변경에 관한 설명으로 옳지 않은 것은? (다툼이 있으면 판례에 따름)</t>
  </si>
  <si>
    <t>노동조합 및 노동관계조정법령상 단체협약에 관한 설명으로 옳은 것은? (다툼이 있으면 판례에 따름)</t>
  </si>
  <si>
    <t>노동조합 및 노동관계조정법령상 명시적으로 서면을 요구하지 않는 것은?</t>
  </si>
  <si>
    <t>노동조합 및 노동관계조정법령상 쟁의행위의 절차에 관한 설명으로 옳지 않은 것은? (다툼이 있으면 판례에 따름)</t>
  </si>
  <si>
    <t>노동조합 및 노동관계조정법령상 근로시간면제자 등에 관한 설명으로 옳지 않은 것은? (다툼이 있으면 판례에 따름)</t>
  </si>
  <si>
    <t>노동조합 및 노동관계조정법령 위반 행위에 대하여 벌칙이 적용되지 않는 것을 모두 고른 것은?
ㄱ. 노동조합의 대표자가 성별, 연령을 이유로 조합원에게 차별대우를 한 경우
ㄴ. 사용자가 노동조합의 대표자와의 단체교섭을 정당한 이유 없이 거부하는 행위를 한 경우
ㄷ. 서면으로 작성하여 당사자 쌍방이 서명한 단체협약의 내용 중 사용자가 휴일에 관한 사항을 위반한 경우
ㄹ.「노동조합 및 노동관계조정법」에 의하여 설립된 노동조합이 아님에도 노동조합이라는 명칭을 사용한 경우</t>
  </si>
  <si>
    <t>노동조합 및 노동관계조정법령에 관한 설명으로 옳은 것은 모두 몇 개인가? (다툼이 있으면 판례에 따름)
○ 조합원은 노동조합이 주도하지 않더라도 쟁의행위를 할 수 있다.
○ 근로자는 쟁의행위 기간 중에는 현행범 외에는「노동조합 및 노동관계조정법」위반을 이유로 구속되지 아니한다.
○ 노동조합이 사업장의 안전보호시설의 정상적인 운영을 정지하는 쟁의행위를 하는 경우 사태가 급박하지 않더라도 행정관청은 직권으로 그 행위를 중지할 것을 통보할 수 있다.
○ 파업기간 중 파업참가자에게 임금을 지급하기로 한 단체협약상의 규정이 있더라도 사용자는 파업참가자에게 임금지급의무가 없다.
○ 「방위사업법」에 의하여 지정된 주요방위산업체에 종사하는 모든 근로자는 쟁의행위를 할 수 없다.</t>
  </si>
  <si>
    <t>노동조합 및 노동관계조정법령에 관한 설명이다. ( )에 들어갈 내용으로 옳은 것은?
○ 노동조합은 설립신고된 사항중 노동조합의 명칭에 해당하는 사항에 변경이 있는 때에는 그 날부터 (ㄱ)일 이내에 행정관청에게 변경신고를 하여야 한다.
○ 필수공익사업의 사용자는 쟁의행위기간 중에 당해 사업 또는 사업장 파업참가자의 100분의 (ㄴ)을 초과하지 않는 범위 안에서 당해 사업과 관계없는 자를 채용 또는 대체하거나 그 업무를 도급 또는 하도급 줄 수 있다.</t>
  </si>
  <si>
    <t>노동조합 및 노동관계조정법령상 필수공익사업에 해당하지 않는 것은?</t>
  </si>
  <si>
    <t>노동조합 및 노동관계조정법령상 점거가 금지되는 시설로 옳은 것을 모두 고른 것은?
ㄱ. 전기시설
ㄴ. 철도의 차량
ㄷ. 항행안전시설
ㄹ. 항공기</t>
  </si>
  <si>
    <t>교원의 노동조합 설립 및 운영 등에 관한 법률의 내용으로 옳은 것은?</t>
  </si>
  <si>
    <t>헌법에 명시된 노동3권에 관한 규정으로 옳은 것을 모두 고른 것은?
ㄱ. 공무원인 근로자는 법률이 정하는 자에 한하여 단결권・단체교섭권 및 단체행동권을 가진다.
ㄴ. 법률이 정하는 주요방위산업체에 종사하는 근로자의 단결권은 법률이 정하는 바에 따라 이를 제한하거나 인정하지 아니할 수 있다.
ㄷ. 노동조합의 조합원은 어떠한 경우에도 인종, 종교, 성별, 연령, 신체적 조건, 고용형태, 정당 또는 신분에 의하여 차별대우를 받지 아니한다.</t>
  </si>
  <si>
    <t>우리나라 노동법의 연혁에 관한 설명으로 옳은 것은?</t>
  </si>
  <si>
    <t>노동조합 및 노동관계조정법령상 노동조합 대표자 및 총회에 관한 설명으로 옳지 않은 것은?</t>
  </si>
  <si>
    <t>노동조합 및 노동관계조정법령상 교섭창구 단일화 제도에 관한 설명으로 옳은 것은?</t>
  </si>
  <si>
    <t>노동조합 및 노동관계조정법령상 단체교섭에 관한 설명으로 옳은 것은? (다툼이 있으면 판례에 따름)</t>
  </si>
  <si>
    <t>노동조합 및 노동관계조정법령상 교섭단위 결정 및 공정대표의무에 관한 설명으로 옳지 않은 것은?</t>
  </si>
  <si>
    <t>노동조합 및 노동관계조정법령상 단체협약 중 규범적 부분에 해당하는 것은?</t>
  </si>
  <si>
    <t>노동조합 및 노동관계조정법령상 노동쟁의의 조정(調整)에 관한 설명으로 옳지 않은 것은?</t>
  </si>
  <si>
    <t>노동조합 및 노동관계조정법령상 부당노동행위 구제명령의 확정에 관한 내용이다. ( )안에 들어갈 내용으로 옳은 것은?
○ 중앙노동위원회의 재심판정에 대하여 관계 당사자는 그 재심판정서의 송달을 받은 날부터 ( )일 이내에 행정소송법이 정하는 바에 의하여 소를 제기할 수 있다.</t>
  </si>
  <si>
    <t>노동조합 및 노동관계조정법령상 부당노동행위에 관한 설명으로 옳지 않은 것은?</t>
  </si>
  <si>
    <t>근로자참여 및 협력증진에 관한 법률의 내용으로 옳지 않은 것은?</t>
  </si>
  <si>
    <t>헌법 제32조에서 명시적으로 규정하고 있는 내용이 아닌 것은?</t>
  </si>
  <si>
    <t>노동조합 및 노동관계조정법상 노동조합의 설립 등에 관한 설명으로 옳지 않은 것은?</t>
  </si>
  <si>
    <t>노동조합 및 노동관계조정법상 노동조합의 해산 사유가 아닌 것은?</t>
  </si>
  <si>
    <t>단체협약 내용으로서 그 위반한 자에 대하여 노동조합 및 노동관계조정법상 형사처벌의 대상 사항이 아닌 것은?</t>
  </si>
  <si>
    <t>노동조합 및 노동관계조정법상 용어의 정의로 옳지 않은 것은?</t>
  </si>
  <si>
    <t>노동조합 및 노동관계조정법상 노동조합의 총회 등에 관한 설명으로 옳지 않은 것은?</t>
  </si>
  <si>
    <t>노동조합 및 노동관계조정법상 단체협약 등에 관한 설명으로 옳지 않은 것은? (다툼이 있으면 판례에 따름)</t>
  </si>
  <si>
    <t>노동조합 및 노동관계조정법상 교섭 및 단체협약 체결권한에 관한 설명으로 옳지 않은 것은?</t>
  </si>
  <si>
    <t>노동조합 및 노동관계조정법상 단체협약의 효력 등에 관한 설명으로 옳지 않은 것은? (다툼이 있으면 판례에 따름)</t>
  </si>
  <si>
    <t>노동조합 및 노동관계조정법상 교섭단위결정 등에 관한 설명으로 옳지 않은 것은?</t>
  </si>
  <si>
    <t>노동조합 및 노동관계조정법상 노동조합 전임자 등에 관한 설명으로 옳지 않은 것은? (다툼이 있으면 판례에 따름)</t>
  </si>
  <si>
    <t>노동조합 및 노동관계조정법상 노동조합 회계감사 등에 관한 설명으로 옳지 않은 것은?</t>
  </si>
  <si>
    <t>사용자의 행위 중에서 노동조합 및 노동관계조정법상 부당노동행위 유형으로 명시되어 있지 않은 행위는?</t>
  </si>
  <si>
    <t>노동조합 및 노동관계조정법상 부당노동행위 구제절차 등에 관한 설명으로 옳지 않은 것은?</t>
  </si>
  <si>
    <t>노동조합 및 노동관계조정법상 쟁의행위 등에 관한 설명으로 옳지 않은 것은? (다툼이 있으면 판례에 따름)</t>
  </si>
  <si>
    <t>노동조합 및 노동관계조정법상 필수유지업무에 관한 설명으로 옳지 않은 것은?</t>
  </si>
  <si>
    <t>노동조합 및 노동관계조정법상 공정대표의무 등에 관한 설명으로 옳지 않은 것은?</t>
  </si>
  <si>
    <t>헌법재판소의 노동3권 해석에 관한 설명으로 옳지 않은 것은?</t>
  </si>
  <si>
    <t>노동조합 및 노동관계조정법상 근로자 및 사용자의 개념에 관한 설명으로 옳지 않은 것은? (다툼이 있으면 판례에 의함)</t>
  </si>
  <si>
    <t>노동조합 및 노동관계조정법상 총회 또는 대의원회에 관한 설명으로 옳지 않은 것은? (다툼이 있으면 판례에 의함)</t>
  </si>
  <si>
    <t>노동조합 및 노동관계조정법상 노동조합 전임자 및 근로시간 면제 한도에 관한 설명으로 옳지 않은 것은? (다툼이 있으면 판례에 의함)</t>
  </si>
  <si>
    <t>노동조합 및 노동관계조정법령상 연합단체인 노동조합에 관한 설명으로 옳지 않은 것은?</t>
  </si>
  <si>
    <t>노동조합 및 노동관계조정법상 노동조합의 설립에 관한 설명으로 옳지 않은 것은? (다툼이 있으면 판례에 의함)</t>
  </si>
  <si>
    <t>노동조합 및 노동관계조정법상 조합원의 직접・비밀・무기명투표에 의하여야 하는 것을 모두 고른 것은?
ㄱ. 규약의 제정・변경
ㄴ. 임원의 선거・해임
ㄷ. 대의원의 선출
ㄹ. 노동조합의 쟁의행위 실시</t>
  </si>
  <si>
    <t>노동조합 및 노동관계조정법상 단체교섭에 관한 설명으로 옳지 않은 것은? (다툼이 있으면 판례에 의함)</t>
  </si>
  <si>
    <t>노동조합 및 노동관계조정법상 교섭창구 단일화에 관한 설명으로 옳지 않은 것은?</t>
  </si>
  <si>
    <t>노동조합 및 노동관계조정법상 단체교섭의 당사자가 될 수 있는 자로 옳지 않은 것은?</t>
  </si>
  <si>
    <t>노동조합 및 노동관계조정법상 단체협약에 관한 설명으로 옳은 것은? (다툼이 있으면 판례에 의함)</t>
  </si>
  <si>
    <t>노동조합 및 노동관계조정법상 단체협약의 효력에 관한 설명으로 옳은 것은? (다툼이 있으면 판례에 의함)</t>
  </si>
  <si>
    <t>노동조합 및 노동관계조정법상 직장폐쇄에 관한 설명으로 옳지 않은 것은? (다툼이 있으면 판례에 의함)</t>
  </si>
  <si>
    <t>쟁의행위에 관한 설명으로 옳지 않은 것은? (다툼이 있으면 판례에 의함)</t>
  </si>
  <si>
    <t>노동조합 및 노동관계조정법령상 노동쟁의의 조정(調整)에 관한 설명으로 옳은 것은?</t>
  </si>
  <si>
    <t>부당노동행위에 관한 설명으로 옳지 않은 것은? (다툼이 있으면 판례에 의함)</t>
  </si>
  <si>
    <t>노동조합 및 노동관계조정법상 부당노동행위 구제제도에 관한 설명으로 옳지 않은 것은?</t>
  </si>
  <si>
    <t>근로자참여 및 협력증진에 관한 법률상 노사협의회의 의결사항으로 옳은 것은?</t>
  </si>
  <si>
    <t>헌법상 노동기본권 등에 관한 설명으로 옳지 않은 것은?</t>
  </si>
  <si>
    <t>단체협약에 관한 설명으로 옳은 것은? (다툼이 있는 경우에는 판례에 의함)</t>
  </si>
  <si>
    <t>노동조합 및 노동관계조정법상 노동조합 전임자제도에 관한 설명으로 옳지 않은 것은? (다툼이 있는 경우에는 판례에 의함)</t>
  </si>
  <si>
    <t>필수공익사업의 쟁의행위 시 사용자의 채용제한에 관한 설명이다. ( )안에 들어갈 내용으로 옳은 것은?
필수공익사업의 사용자는 쟁의행위 기간 중에 한하여 당해 사업과 관계없는 자를 당해 사업 또는 사업장 (ㄱ)의 (ㄴ)을 초과하지 않는 범위 안에서 채용 또는 대체하거나 도급 또는 하도급 줄 수 있다.</t>
  </si>
  <si>
    <t>노동조합 및 노동관계조정법의 목적에서 명시적으로 규정되지 않은 것은?</t>
  </si>
  <si>
    <t>쟁의행위에 관한 설명으로 옳지 않은 것은? (다툼이 있는 경우에는 판례에 의함)</t>
  </si>
  <si>
    <t>노동쟁의조정제도에 관한 설명으로 옳지 않은 것은? (다툼이 있는 경우에는 판례에 의함)</t>
  </si>
  <si>
    <t>부당노동행위 구제에 관한 설명으로 옳지 않은 것은?</t>
  </si>
  <si>
    <t>노동조합의 해산에 관한 설명으로 옳지 않은 것은?</t>
  </si>
  <si>
    <t>노동조합 및 노동관계조정법상 필수공익사업에 해당하는 것은?</t>
  </si>
  <si>
    <t>노동조합의 설립 또는 관리에 관한 설명으로 옳지 않은 것은?</t>
  </si>
  <si>
    <t>교섭창구 단일화제도에 관한 설명으로 옳지 않은 것은?</t>
  </si>
  <si>
    <t>노동조합 및 노동관계조정법상 노동조합의 회계에 관한 설명으로 옳지 않은 것은?</t>
  </si>
  <si>
    <t>직장폐쇄에 관한 설명으로 옳지 않은 것은? (다툼이 있는 경우에는 판례에 의함)</t>
  </si>
  <si>
    <t>근로시간면제심의위원회에 관한 설명으로 옳은 것은?</t>
  </si>
  <si>
    <t>노동조합 및 노동관계조정법령상 쟁의행위에 관한 설명으로 옳은 것은? (다툼이 있는 경우에는 판례에 의함)</t>
  </si>
  <si>
    <t>노동조합 및 노동관계조정법상 중재에 관한 설명으로 옳지 않은 것은?</t>
  </si>
  <si>
    <t>노동조합 및 노동관계조정법상 노동조합 설립에 관한 설명으로 옳지 않은 것은?</t>
  </si>
  <si>
    <t>노동조합 총회 또는 임시총회에 관한 설명으로 옳지 않은 것은?</t>
  </si>
  <si>
    <t>근로자참여 및 협력증진에 관한 법률상 노사협의회의 구성 등에 관한 설명으로 옳지 않은 것은?</t>
  </si>
  <si>
    <t>노동위원회법상 화해의 권고 등에 관한 설명으로 옳지 않은 것은?</t>
  </si>
  <si>
    <t>노동3권에 관한 설명으로 옳지 않은 것은?</t>
  </si>
  <si>
    <t>노동법의 법원(法源)에 관한 설명으로 옳지 않은 것은? (다툼이 있는 경우에는 판례에 의함)</t>
  </si>
  <si>
    <t>연합단체인 노동조합이 설립신고를 하여야 하는 행정관청으로 옳은 것은?</t>
  </si>
  <si>
    <t>단체협약에 관한 설명으로 옳은 것을 모두 고른 것은? (다툼이 있는 경우에는 판례에 의함)
ㄱ. 단체협약상 조합원 해고에 관해서 노동조합의 동의를 받아야 한다는 조항이 있는 경우라 하더라도 노동조합의 동의 없이 이루어진 조합원 해고처분이 항상 무효가 되는 것은 아니다.
ㄴ. 단체협약상 평화의무는 노동조합 스스로 단체협약 내용을 유효기간 도중에 변경하기 위한 쟁의행위를 하지 않아야 할 뿐 아니라 그 구성원이 그러한 쟁의행위를 하지 않도록 통제해야 할 의무를 포함한다.
ㄷ. 근로조건을 불리하게 변경하는 내용의 단체협약의 효력이 인정되지만 현저히 합리성을 결하여 노동조합의 목적을 벗어난 것으로 볼 수 있는 특별한 사정이 있는 경우에는 그러한 단체협약은 무효가 된다.
ㄹ. 경영난이 심각한 상황 하에서 노동조합과 사용자가 조합원에 대한 체불임금을 포기하도록 하는 내용의 단체협약을 체결한 경우 근로자들의 개별적인 동의가 없더라도 효력이 인정된다.</t>
  </si>
  <si>
    <t>노동조합의 변동에 관한 설명으로 옳지 않은 것은? (다툼이 있는 경우에는 판례에 의함)</t>
  </si>
  <si>
    <t>노동조합의 조합활동에 관한 설명으로 옳지 않은 것은? (다툼이 있는 경우에는 판례에 의함)</t>
  </si>
  <si>
    <t>단체교섭에 관한 설명으로 옳은 것은? (다툼이 있는 경우에는 판례에 의함)</t>
  </si>
  <si>
    <t>교섭대표노동조합의 지위와 권한에 관한 설명으로 옳지 않은 것은?</t>
  </si>
  <si>
    <t>노동조합 및 노동관계조정법상 공정대표의무에 관한 설명으로 옳은 것은?</t>
  </si>
  <si>
    <t>단체협약의 효력에 관한 설명으로 옳지 않은 것은? (다툼이 있는 경우에는 판례에 의함)</t>
  </si>
  <si>
    <t>단체협약에 위반하는 경우 벌칙이 적용되지 않는 사항은?</t>
  </si>
  <si>
    <t>노동조합 및 노동관계조정법상 근로자의 노동조합 가입에 관한 설명으로 옳은 것은? (다툼이 있는 경우에는 판례에 의함)</t>
  </si>
  <si>
    <t>쟁의행위의 책임에 관한 설명으로 옳지 않은 것은? (다툼이 있는 경우에는 판례에 의함)</t>
  </si>
  <si>
    <t>점거하는 형태로 쟁의행위를 할 수 있는 시설에 해당하는 것은?</t>
  </si>
  <si>
    <t>쟁의행위의 정당성에 관한 설명으로 옳은 것을 모두 고른 것은? (다툼이 있는 경우에는 판례에 의함)
ㄱ. 쟁의행위를 함에 있어 조합원의 직접・비밀・무기명투표에 의한 조합원 과반수의 찬성결정이라는 절차를 거쳐야 하며, 그 절차를 위반한 쟁의행위는 그 절차를 따를 수 없는 객관적인 사정이 인정되지 아니하는 한 정당성이 상실된다.
ㄴ. 하나의 쟁의행위에서 추구되는 목적이 여러 가지이고 그 중 일부가 정당하지 못한 경우에는 주된 목적 내지 진정한 목적의 당부에 의하여 그 쟁의목적의 당부를 판단하여야 한다.
ㄷ. 직장점거의 범위가 직장 또는 사업장시설의 일부분이고 사용자측의 출입이나 관리지배를 배제하지 않는 병존적인 점거에 지나지 않을 때에는 정당한 쟁의행위로 볼 수 있다.
ㄹ. 노동조합이 사용자에게 다소 무리한 임금인상을 요구함으로써 발생한 쟁의행위는 목적의 정당성을 인정할 수 없다.</t>
  </si>
  <si>
    <t>부당노동행위에 관한 설명으로 옳지 않은 것은? (다툼이 있는 경우에는 판례에 의함)</t>
  </si>
  <si>
    <t>노동쟁의조정제도에 관한 설명으로 옳지 않은 것은?</t>
  </si>
  <si>
    <t>노동쟁의의 조정(調停)에 관한 설명으로 옳지 않은 것은?</t>
  </si>
  <si>
    <t>부당노동행위 구제제도에 관한 설명으로 옳지 않은 것은?</t>
  </si>
  <si>
    <t>공무원의 노동조합 설립 및 운영 등에 관한 법률에 관한 설명으로 옳은 것은?</t>
  </si>
  <si>
    <t>근로자참여 및 협력증진에 관한 법률에 관한 설명으로 옳은 것은?</t>
  </si>
  <si>
    <t>노동위원회에 관한 설명으로 옳지 않은 것은?</t>
  </si>
  <si>
    <t>우리나라 노동법의 연혁 등에 관한 설명으로 옳지 않은 것은?</t>
  </si>
  <si>
    <t>국제노동기구(ILO) 협약 중 우리나라가 비준한 것이 아닌 것은?</t>
  </si>
  <si>
    <t>노동조합 및 노동관계조정법상 노동쟁의의 조정에 관한 설명으로 옳지 않은 것은?</t>
  </si>
  <si>
    <t>노동조합 및 노동관계조정법상 중재에 관한 설명으로 옳은 것은?</t>
  </si>
  <si>
    <t>노동조합 및 노동관계조정법상 필수유지업무에 관한 설명으로 옳은 것은?</t>
  </si>
  <si>
    <t>쟁의행위의 정당성에 관한 설명으로 옳지 않은 것은? (다툼이 있는 경우에는 판례에 의함)</t>
  </si>
  <si>
    <t>직장폐쇄에 관한 설명으로 옳은 것은? (다툼이 있는 경우에는 판례에 의함)</t>
  </si>
  <si>
    <t>단체협약에 관한 설명으로 옳지 않은 것은? (다툼이 있는 경우에는 판례에 의함)</t>
  </si>
  <si>
    <t>노동조합 및 노동관계조정법상 단체협약의 효력 및 유효기간에 관한 설명으로 옳지 않은 것은? (다툼이 있는 경우에는 판례에 의함)</t>
  </si>
  <si>
    <t>노동조합 및 노동관계조정법상 용어의 정의에 관한 설명으로 옳지 않은 것은?</t>
  </si>
  <si>
    <t>노동조합의 규약 또는 결의처분에 대한 시정명령에 관한 설명으로 옳지 않은 것은?</t>
  </si>
  <si>
    <t>노동조합 및 노동관계조정법상 노동조합 설립신고서의 기재사항이 아닌 것은?</t>
  </si>
  <si>
    <t>노동조합 및 노동관계조정법상 명시된 노동조합의 해산사유가 아닌 것은?</t>
  </si>
  <si>
    <t>노동조합 및 노동관계조정법상 노동조합이 조합설립일부터 30일 이내에 그 주된 사무소에 비치하여야 할 서류가 아닌 것은?</t>
  </si>
  <si>
    <t>노동조합 및 노동관계조정법상 노동조합의 총회 및 대의원회에 관한 설명으로 옳은 것은?</t>
  </si>
  <si>
    <t>노동조합 및 노동관계조정법상 노동조합 전임자 및 근로시간면제제도에 관한 설명으로 옳은 것은? (다툼이 있는 경우에는 판례에 의함)</t>
  </si>
  <si>
    <t>부당노동행위 구제에 관한 설명으로 옳은 것은?</t>
  </si>
  <si>
    <t>중앙노동위원회의 관장사건 또는 권한이 아닌 것은?</t>
  </si>
  <si>
    <t>노사협의회제도에 관한 설명으로 옳은 것은?</t>
  </si>
  <si>
    <t>교원의 노동조합 설립 및 운영에 관한 법률에 관한 설명으로 옳은 것은?</t>
  </si>
  <si>
    <t>공무원 노동조합에 관한 설명으로 옳지 않은 것은?</t>
  </si>
  <si>
    <t>노동3권에 관한 설명으로 옳은 것은? (다툼이 있는 경우에는 판례에 의함)</t>
  </si>
  <si>
    <t>노동3권의 주체에 관한 설명으로 옳은 것은?</t>
  </si>
  <si>
    <t>노동조합 및 노동관계조정법상 노동조합의 설립과 관리에 관한 설명으로 옳은 것은? (다툼이 있는 경우에는 판례에 의함)</t>
  </si>
  <si>
    <t>노동조합 및 노동관계조정법상 노동조합의 해산에 관한 설명으로 옳은 것은?</t>
  </si>
  <si>
    <t>노동조합의 통제권에 관한 설명으로 옳지 않은 것은? (다툼이 있는 경우에는 판례에 의함)</t>
  </si>
  <si>
    <t>노동조합 및 노동관계조정법상 노동조합의 회계운영에 관한 설명으로 옳은 것은?</t>
  </si>
  <si>
    <t>노동조합 및 노동관계조정법상 단체협약의 작성 및 유효기간에 관한 설명으로 옳은 것은?</t>
  </si>
  <si>
    <t>노동조합 및 노동관계조정법상 단체교섭에 관한 설명으로 옳은 것은? (다툼이 있는 경우에는 판례에 의함)</t>
  </si>
  <si>
    <t>노동조합 및 노동관계조정법상 노동조합의 총회에 관한 설명으로 옳지 않은 것은?</t>
  </si>
  <si>
    <t>노동조합 및 노동관계조정법상 단체협약의 일반적・지역적 구속력에 관한 설명으로 옳은 것은? (다툼이 있는 경우에는 판례에 의함)</t>
  </si>
  <si>
    <t>노동조합 및 노동관계조정법상 단체협약의 효력과 해석에 관한 설명으로 옳은 것은? (다툼이 있는 경우에는 판례에 의함)</t>
  </si>
  <si>
    <t>노동조합 및 노동관계조정법상 노동위원회의 조정에 관한 설명으로 옳지 않은 것은?</t>
  </si>
  <si>
    <t>노동조합 및 노동관계조정법상 사적 조정 또는 중재에 관한 설명으로 옳은 것은?</t>
  </si>
  <si>
    <t>노동조합 및 노동관계조정법상 기간이 다른 하나는?</t>
  </si>
  <si>
    <t>노동조합 및 노동관계조정법상 긴급조정에 관한 설명으로 옳은 것은? (다툼이 있는 경우에는 판례에 의함)</t>
  </si>
  <si>
    <t>노동조합 및 노동관계조정법상 필수유지업무협정 및 결정에 관한 설명으로 옳은 것은?</t>
  </si>
  <si>
    <t>노동조합 및 노동관계조정법상 부당노동행위로 인정될 수 있는 것은 모두 몇 개인가? (다툼이 있는 경우에는 판례에 의함)
ㄱ. 사용자가 조합활동에 적극적인 조합원에게 본인의 의사에 반하여 연장근로를 할 수 있는 기회를 인정하지 않는 경우
ㄴ. 사용자가 근로자의 조합활동을 혐오하거나 방해하려는 의사로 노동조합 간부를 승진시켜 조합원 자격을 잃게 한 경우
ㄷ. 사용자가 부당노동행위의 의사로 노동조합에 지배・개입을 하였으나 조합원의 집단적 탈퇴 등 단결권 침해의 결과는 발생하지 않은 경우
ㄹ. 사용자가 우월적 지위를 이용하여 사내방송, 게시문을 통해 의견을 표명함으로써 노동조합 운영에 영향을 미친 경우
ㅁ. 하청업체 소속 근로자의 기본적 노동조건에 실질적인 지배력을 행사하고 있는 원청회사가 실제로 하청업체 소속 근로자의 노동조합에 지배・개입한 경우</t>
  </si>
  <si>
    <t>노동조합 및 노동관계조정법상 직장폐쇄에 관한 설명으로 옳지 않은 것은? (다툼이 있는 경우에는 판례에 의함)</t>
  </si>
  <si>
    <t>노동조합 및 노동관계조정법상 부당노동행위제도의 실효성 확보 방안에 관한 설명으로 옳은 것은?</t>
  </si>
  <si>
    <t>사법적(司法的) 구제절차 및 부당해고 구제절차와 비교할 때 부당노동행위 구제절차의 특징에 관한 설명으로 옳지 않은 것은? (다툼이 있는 경우에는 판례에 의함)</t>
  </si>
  <si>
    <t>부당노동행위 구제신청을 할 수 있는 자를 모두 고른 것은?
ㄱ. 조합활동을 이유로 불이익취급을 당한 조합원인 근로자
ㄴ. 조합활동을 이유로 불이익취급을 당한 조합원인 근로자가 가입하고 있는 노동조합
ㄷ. 노동조합에 가입하려다가 불이익취급을 당한 조합원이 아닌 근로자
ㄹ. 조합원이 아닌 근로자가 노동조합에 가입하려다가 불이익취급을 당한 경우, 그 근로자가 가입하려던 노동조합</t>
  </si>
  <si>
    <t>근로자참여 및 협력증진에 관한 법률에 관한 설명으로 옳지 않은 것은?</t>
  </si>
  <si>
    <t>노동위원회의 권한에 관한 설명으로 옳은 것은?</t>
  </si>
  <si>
    <t>노동위원회법상 화해에 관한 설명으로 옳은 것은?</t>
  </si>
  <si>
    <t>우리나라 노동법과 관련된 설명으로 옳지 않은 것은?</t>
  </si>
  <si>
    <t>근로3권에 관한 설명으로 옳지 않은 것은?</t>
  </si>
  <si>
    <t>필수공익사업에 관한 설명으로 옳지 않은 것은?</t>
  </si>
  <si>
    <t>부당노동행위에 관한 설명으로 옳지 않은 것은? (다툼이 있는 경우 판례에 의함)</t>
  </si>
  <si>
    <t>노동조합의 해산과 관련된 설명으로 옳지 않은 것은?</t>
  </si>
  <si>
    <t>노동조합의 규약에 관한 설명으로 옳은 것은?</t>
  </si>
  <si>
    <t>노동조합의 임원 또는 조합원에 관한 설명으로 옳지 않은 것은?</t>
  </si>
  <si>
    <t>노동조합의 총회에 관한 설명으로 옳지 않은 것은?</t>
  </si>
  <si>
    <t>노동조합에 관한 설명으로 옳은 것은?</t>
  </si>
  <si>
    <t>노동조합 및 노동관계조정법상 전임자와 관련된 설명으로 옳지 않은 것은? (다툼이 있는 경우 판례에 의함)</t>
  </si>
  <si>
    <t>단체협약의 작성에 관한 설명으로 옳지 않은 것은?</t>
  </si>
  <si>
    <t>노동조합 및 노동관계조정법상 단체협약의 내용 중 그 위반행위에 대하여 벌칙이 규정되지 않은 것은?</t>
  </si>
  <si>
    <t>단체교섭의 성실교섭의무에 관한 설명으로 옳지 않은 것은? (다툼이 있는 경우 판례에 의함)</t>
  </si>
  <si>
    <t>단체협약의 유효기간에 관한 내용으로 옳지 않은 것은?</t>
  </si>
  <si>
    <t>다음 설명 중 옳지 않은 것은?</t>
  </si>
  <si>
    <t>노동조합 및 노동관계조정법상 허용되는 쟁의행위는?</t>
  </si>
  <si>
    <t>필수공익사업이 아닌 경우 쟁의행위기간 중 대체근로에 관한 설명으로 옳지 않은 것은?</t>
  </si>
  <si>
    <t>긴급조정제도에 관한 설명으로 옳지 않은 것은?</t>
  </si>
  <si>
    <t>노동조합 및 노동관계조정법상 부당노동행위에 대한 설명으로 옳은 것은?</t>
  </si>
  <si>
    <t>노동조합 및 노동관계조정법상 노동조합의 운영에 관한 설명으로 옳은 것은?</t>
  </si>
  <si>
    <t>노동조합의 해산사유로서 옳지 않은 것은?</t>
  </si>
  <si>
    <t>노동조합의 활동과 관련된 설명으로 옳은 것은? (다툼이 있는 경우에는 판례에 의함)</t>
  </si>
  <si>
    <t>노동조합 및 노동관계조정법상 노동조합의 총회에 관한 기술로 옳은 것은?</t>
  </si>
  <si>
    <t>근로의 권리와 관련하여 헌법상 명시된 내용이 아닌 것은?</t>
  </si>
  <si>
    <t>노동조합 및 노동관계조정법상 긴급조정과 관련된 설명으로 옳지 않은 것은?</t>
  </si>
  <si>
    <t>노동조합 및 노동관계조정법상 노동조합에 관한 설명으로 옳은 것은? (다툼이 있는 경우 판례에 의함)</t>
  </si>
  <si>
    <t>노동조합 및 노동관계조정법상 부당노동행위 구제에 관한 설명 중 옳은 것은? (다툼이 있는 경우 판례에 의함)</t>
  </si>
  <si>
    <t>다음 중 노동위원회의 부문별위원회에 해당하지 않는 것은?</t>
  </si>
  <si>
    <t>노동조합의 단체교섭에 관한 설명으로 옳은 것은? (다툼이 있는 경우에는 판례에 의함)</t>
  </si>
  <si>
    <t>노동조합 및 노동관계조정법상 노동쟁의의 조정에 대한 설명으로 옳은 것은?</t>
  </si>
  <si>
    <t>노동조합의 임원과 전임자에 관련된 기술로서 옳은 것은? (다툼이 있는 경우에는 판례에 의함)</t>
  </si>
  <si>
    <t>필수유지업무에 대한 설명으로 옳지 않은 것은?</t>
  </si>
  <si>
    <t>노동조합 및 노동관계조정법상 사적 조정(私的 調整)에 관한 기술 중 옳지 않은 것은?</t>
  </si>
  <si>
    <t>노동조합 및 노동관계조정법상의 용어에 대한 설명으로 옳지 않은 것은?</t>
  </si>
  <si>
    <t>노동3권에 대한 설명으로 옳은 것은?</t>
  </si>
  <si>
    <t>ILO 필라델피아 선언의 주요 내용이 아닌 것은?</t>
  </si>
  <si>
    <t>노동위원회의 권한에 대한 설명으로 옳은 것은?</t>
  </si>
  <si>
    <t>근로자참여 및 협력증진에 관한 법률상 노사협의회에 관한 설명으로 옳은 것은?</t>
  </si>
  <si>
    <t>노동조합 및 노동관계조정법상 노동조합규약의 필요적 기재사항이 아닌 것은?</t>
  </si>
  <si>
    <t>우리나라 노동관련법의 역사에 관한 기술로서 옳지 않은 것은?</t>
  </si>
  <si>
    <t>노동조합 및 노동관계조정법상 쟁의행위와 관련된 설명으로 옳지 않은 것은?</t>
  </si>
  <si>
    <t>다음 중 적법한 쟁의행위의 수단으로 볼 수 있는 것은? (다툼이 있는 경우에는 판례에 의함)</t>
  </si>
  <si>
    <t>1953년 제정된 「노동조합법」에는 복수노조 금지조항이 있었다.</t>
  </si>
  <si>
    <t>노동3권은 근로조건의 향상을 위한다는 생존권의 존재목적에 비추어 볼 때 노동3권 가운데에서도 단체교섭권이 가장 중핵적 권리이다.</t>
  </si>
  <si>
    <t>사업 또는 사업장에 종사하는 근로자(이하 "종사근로자"라 한다)인 조합원이 해고되어 노동위원회에 부당노동행위의 구제신청을 한 경우에는 중앙노동위원회의 재심판정이 있을 때까지 종사근로자로 본다.</t>
  </si>
  <si>
    <t>노동조합의 설립신고서에는 목적과 사업을 기재해야 한다.</t>
  </si>
  <si>
    <t>노동조합은 조합원 명부를 3년간 보존하여야 한다.</t>
  </si>
  <si>
    <t>근로시간면제심의위원회는 근로시간 면제 한도를 심의・의결하고, 3년마다 그 적정성 여부를 재심의하여 의결해야 한다.</t>
  </si>
  <si>
    <t>근로자는 사용자의 동의가 있는 경우에는 사용자로부터 급여를 지급받으면서 근로계약 소정의 근로를 제공하지 아니하고 노동조합의 업무에 종사할 수 있다.</t>
  </si>
  <si>
    <t>노동조합의 임원이 없고 계속하여 1년 이상 조합원으로부터 조합비를 징수한 사실이 없어서 행정관청이 노동위원회의 의결을 얻은 경우 노동조합은 해산한다.</t>
  </si>
  <si>
    <t>노동조합 또는 사용자는 사용자가 교섭요구 사실을 공고하기 전에는 노동위원회에 교섭단위를 분리하는 결정을 신청할 수 없다.</t>
  </si>
  <si>
    <t>노동조합과 사용자 또는 사용자단체는 정당한 이유없이 교섭 또는 단체협약의 체결을 거부하거나 해태하여서는 아니된다.</t>
  </si>
  <si>
    <t>0개</t>
  </si>
  <si>
    <t>사용자는 노동조합의 운영비를 원조하는 행위를 할 수 없으나, 노동조합의 자주적인 운영 또는 활동을 침해할 위험이 없는 범위에서의 운영비 원조행위는 할 수 있다.</t>
  </si>
  <si>
    <t>노동위원회는 단체협약중 위법한 내용이 있는 경우에는 그 시정을 명할 수 있다.</t>
  </si>
  <si>
    <t>교섭대표노동조합과 사용자는 교섭창구 단일화 절차에 참여한 노동조합 또는 그 조합원 간에 합리적 이유 없이 차별을 하여서는 아니 된다.</t>
  </si>
  <si>
    <t>노동조합은 해당 사업 또는 사업장에 단체협약이 2개 이상 있는 경우에는 먼저 이르는 단체협약의 유효기간 만료일 이전 3개월이 되는 날부터 사용자에게 교섭을 요구할 수 있다.</t>
  </si>
  <si>
    <t>조합원이 노동조합에 의하여 주도되지 아니한 쟁의행위를 한 경우</t>
  </si>
  <si>
    <t>작업시설의 손상이나 원료・제품의 변질 또는 부패를 방지하기 위한 작업은 쟁의행위기간중에도 정상적으로 수행되어야 한다.</t>
  </si>
  <si>
    <t>노동조합은 쟁의행위 기간에 대한 임금의 지급을 요구하여 이를 관철할 목적으로 쟁의행위를 하여서는 아니된다.</t>
  </si>
  <si>
    <t>객실승무 업무는 항공운수사업의 필수유지업무에 해당한다.</t>
  </si>
  <si>
    <t>사적 조정의 신고는 조정이 진행되기 전에 하여야 한다.</t>
  </si>
  <si>
    <t>ㄱ: 7, ㄴ: 7, ㄷ: 10</t>
  </si>
  <si>
    <t>조정위원회의 조정위원은 당해 노동위원회의 공익을 대표하는 위원중에서 관계 당사자의 합의로 선정한 자에 대하여 그 노동위원회의 위원장이 지명한다.</t>
  </si>
  <si>
    <t>중재재정은 서면으로 작성하며 그 서면에는 효력발생 기일을 명시하여야 한다.</t>
  </si>
  <si>
    <t>노사협의회는 3개월마다 정기적으로 회의를 개최하여야 하며, 필요에 따라 임시회의를 개최할 수 있다.</t>
  </si>
  <si>
    <t>제4조(노사협의회의 설치) 제1항에 따른 노사협의회의 설치를 정당한 사유 없이 거부하거나 방해한 자는 1천만원 이하의 벌금에 처한다.</t>
  </si>
  <si>
    <t>인력계획에 관한 사항</t>
  </si>
  <si>
    <t>노동위원회는 「노동조합 및 노동관계조정법」제84조에 따른 판정・명령 또는 결정이 있기 전까지 관계 당사자의 신청을 받아 화해를 권고하거나 화해안을 제시할 수 있다.</t>
  </si>
  <si>
    <t>노동위원회는 서류의 송달을 받아야 할 자의 주소가 분명하지 아니한 경우에는 공시송달을 하여야 한다.</t>
  </si>
  <si>
    <t>노동위원회는 그 사무집행을 위하여 필요하다고 인정하는 경우에 관계 행정기관에 협조를 요청할 수 있으며, 협조를 요청받은 관계 행정기관은 특별한 사유가 없으면 이에 따라야 한다.</t>
  </si>
  <si>
    <t>고충처리위원이 처리하기 곤란한 사항은 노사협의회의 회의에 부쳐 협의 처리한다.</t>
  </si>
  <si>
    <t>교원의 노동조합은 어떠한 정치활동도 하여서는 아니 된다.</t>
  </si>
  <si>
    <t>근무시간 면제 시간 및 사용인원의 한도를 정하기 위하여 경제사회노동위원회에 교원근무시간면제심의위원회를 둔다.</t>
  </si>
  <si>
    <t>교원과 교육공무원은 공무원의 노동조합에 가입할 수 없다.</t>
  </si>
  <si>
    <t>공무원의 노동조합 설립 및 운영 등에 관한 법률은 단체교섭에 대하여 개별교섭방식만을 인정하고 있다.</t>
  </si>
  <si>
    <t>단체교섭이 결렬된 경우 이를 조정・중재하기 위하여 중앙노동위원회에 특별조정위원회를 둔다.</t>
  </si>
  <si>
    <t>공정대표의무 등 (노동조합 및 노동관계조정법 제29조의4)</t>
  </si>
  <si>
    <t>노동조합의 대표자는 교섭하려는 사항에 대하여 권한을 가진 자에게 서면으로 교섭을 요구하여야 한다.</t>
  </si>
  <si>
    <t>중앙노동위원회가 제시한 조정안을 당사자의 어느 한쪽이라도 거부한 경우 중앙노동위원회는 중재를 하며, 중재기간에 대하여는 법률의 정함이 없다.</t>
  </si>
  <si>
    <t>총회에서 임원의 선임에 관한 사항을 의결할 때에는 재적조합원 과반수의 출석과 출석조합원 3분의 2 이상의 찬성이 있어야 한다.</t>
  </si>
  <si>
    <t>연합단체인 노동조합은 조합설립일부터 30일 이내에 그 구성단체의 명칭을 기재한 명부를 작성하여 그 주된 사무소에 비치하여야 한다.</t>
  </si>
  <si>
    <t>근로조건의 결정권이 있는 독립된 사업 또는 사업장에 조직된 노동단체는 지부・분회 등 명칭이 무엇이든 상관없이 노동조합의 설립신고를 할 수 있다.</t>
  </si>
  <si>
    <t>행정관청은 노동조합의 규약이 노동관계법령에 위반한 경우에는 고용노동부장관의 승인을 받아 그 시정을 명할 수 있다.</t>
  </si>
  <si>
    <t>노동조합을 법인으로 하려는 때에는 그 주된 사무소의 소재지를 관할하는 행정관청에 등기해야 한다.</t>
  </si>
  <si>
    <t>사업 또는 사업장에 종사하는 근로자가 아닌 노동조합의 조합원은 사용자의 사업 운영 지장 여부와 무관하게 사업 또는 사업장 내에서 노동조합 활동을 할 수 없다.</t>
  </si>
  <si>
    <t>교섭대표노동조합을 결정하여야 하는 단위는 하나의 사업 또는 사업장으로 한다.</t>
  </si>
  <si>
    <t>노동조합이 해산한 때에는 그 대표자는 해산한 날부터 30일 이내에 행정관청에게 이를 신고하여야 한다.</t>
  </si>
  <si>
    <t>교섭창구 단일화 절차에 참여한 노동조합은 단체협약의 내용의 일부가 공정대표의무에 위반되는 경우에는 단체협약 체결일부터 3개월 이내에 그 시정을 요청할 수 있다.</t>
  </si>
  <si>
    <t>교섭대표노동조합의 대표자는 교섭요구와 무관하게 사업장 내 모든 노동조합 또는 조합원을 위하여 사용자와 교섭하고 단체협약을 체결할 권한을 가진다.</t>
  </si>
  <si>
    <t>노동조합은 사용자의 점유를 배제하여 조업을 방해하는 형태로 쟁의행위를 해서는 아니 된다.</t>
  </si>
  <si>
    <t>철도 차량 운행에 필요한 통신시설을 유지・관리하는 업무는 철도사업의 필수유지업무에 해당한다.</t>
  </si>
  <si>
    <t>조합원은 노동조합에 의하여 주도되지 아니한 쟁의행위를 하여서는 아니 된다.</t>
  </si>
  <si>
    <t>쟁의행위의 조정</t>
  </si>
  <si>
    <t>사적조정등을 수행하는 자는 노동관계 당사자로부터 수수료, 수당 및 여비 등을 받을 수 있다.</t>
  </si>
  <si>
    <t>부당노동행위에 대한 입증책임은 사용자가 부담한다.</t>
  </si>
  <si>
    <t>노사협의회란 근로자와 사용자가 참여와 협력을 통하여 근로자의 복지증진과 기업의 건전한 발전을 도모하기 위하여 구성하는 협의기구를 말한다.</t>
  </si>
  <si>
    <t>노사협의회는 근로자와 사용자를 대표하는 같은 수의 위원으로 구성하여야 하며 위원수에 대한 제한이 있다.</t>
  </si>
  <si>
    <t>중앙노동위원회 및 지방노동위원회에는 사무처를 둔다.</t>
  </si>
  <si>
    <t>공무원은 노동조합 활동을 할 때 다른 법령에서 규정하는 공무원의 의무에 반하는 행위를 하여서는 아니 된다.</t>
  </si>
  <si>
    <t>교원으로 임용되어 근무하였던 사람으로서 노동조합 규약으로 정하는 사람은 노동조합에 가입할 수 있다.</t>
  </si>
  <si>
    <t>우리나라의 「노동위원회법」은 1953년에 처음 제정되었다.</t>
  </si>
  <si>
    <t>헌법재판소는 노동3권의 법적 성격을 사회적 보호기능을 담당하는 자유권 또는 사회권적 성격을 띤 자유권이라고 보는 입장을 취하고 있다.</t>
  </si>
  <si>
    <t>ㄱ: 1, ㄴ: 10, ㄷ: 1</t>
  </si>
  <si>
    <t>행정관청은 노동조합의 결의가 규약에 위반된다고 인정할 경우에는 이해관계인의 신청이 있는 경우에 한하여 노동위원회의 의결을 얻어 그 시정을 명할 수 있다.</t>
  </si>
  <si>
    <t>노동조합의 처분이 노동관계 법령에 위반하여 행정관청의 시정명령을 받은 노동조합이 이를 이행하여야 할 기한</t>
  </si>
  <si>
    <t>근로자는 단체협약으로 정하거나 사용자의 동의가 있는 경우에는 사용자 또는 노동조합으로부터 급여를 지급받으면서 근로계약 소정의 근로를 제공하지 아니하고 노동조합의 업무에 종사할 수 있다.</t>
  </si>
  <si>
    <t>노동조합은 정당한 이유없이 교섭 또는 단체협약의 체결을 거부하거나 해태하여서는 아니 된다.</t>
  </si>
  <si>
    <t>하나의 사업장에서 조직형태에 관계없이 근로자가 설립하거나 가입한 노동조합이 2개 이상인 경우 노동조합은 교섭대표노동조합을 정하여 교섭을 요구하여야 한다.</t>
  </si>
  <si>
    <t>행정관청은 단체협약중 위법한 내용이 있는 경우에는 노동위원회의 의결을 얻어 그 시정을 명할 수 있다.</t>
  </si>
  <si>
    <t>ㄱ: 2, ㄴ: 2</t>
  </si>
  <si>
    <t>노동조합은 신의에 따라 성실히 교섭하고 단체협약을 체결하여야 하며 그 권한을 남용하여서는 아니 된다.</t>
  </si>
  <si>
    <t>노동위원회는 관계 당사자의 일방이 노동쟁의의 조정을 신청한 때에는 지체없이 조정을 개시하여야 한다.</t>
  </si>
  <si>
    <t>노동쟁의가 중재에 회부된 때에는 그 날부터 20일간은 쟁의행위를 할 수 없다.</t>
  </si>
  <si>
    <t>ㄱ, ㄹ, ㅂ</t>
  </si>
  <si>
    <t>사용자의 직장폐쇄가 정당한 쟁의행위로 평가받는 경우에는 사업장 내의 노조사무실 등 정상적인 노조활동에 필요한 시설이라 하더라도 조합원의 출입은 허용되지 않는다.</t>
  </si>
  <si>
    <t>쟁의행위의 목적</t>
  </si>
  <si>
    <t>근로자는 쟁의행위 기간중에는 어떠한 경우라도 노동조합 및 노동관계조정법 위반을 이유로 구속되지 아니한다.</t>
  </si>
  <si>
    <t>근로자의 쟁의행위가 정당한 것으로 인정받기 위해서는 그 목적이 근로조건의 향상을 위한 노사간의 자치적 교섭을 조성하는 데에 있어야 한다.</t>
  </si>
  <si>
    <t>근로시간 면제한도를 초과하여 사용자가 급여를 지급하더라도 부당노동행위가 성립하지 않는다.</t>
  </si>
  <si>
    <t>원조된 운영비의 관리방법 및 사용처</t>
  </si>
  <si>
    <t>사용자의 부당노동행위로 인하여 그 권리를 침해당한 근로자는 노동위원회에 그 구제를 신청할 수 없다.</t>
  </si>
  <si>
    <t>공익위원은 해당 노동위원회 위원장, 노동조합 및 사용자단체가 각각 추천한 사람 중에서 노동조합과 사용자단체가 순차적으로 배제하고 남은 사람을 위촉대상 공익위원으로 한다.</t>
  </si>
  <si>
    <t>정부교섭대표는 다른 정부교섭대표와 공동으로 교섭할 수 있지만, 다른 정부교섭대표에게 교섭 및 단체협약 체결 권한을 위임할 수 없다.</t>
  </si>
  <si>
    <t>초・중등교육법에 따른 교원은 개별학교 단위로 노동조합을 설립할 수 있다.</t>
  </si>
  <si>
    <t>노사협의회는 근로조건에 대한 결정권이 있는 사업이나 사업장 단위로 설치하여야 한다.</t>
  </si>
  <si>
    <t>사용자라 함은 사업주, 사업의 경영담당자 또는 그 사업의 근로자에 관한 사항에 대하여 사업주를 위하여 행동하는 자를 말한다.</t>
  </si>
  <si>
    <t>행정관청은 설립신고서에 규약이 첨부되어 있지 아니한 경우에는 설립신고서를 반려하여야 한다.</t>
  </si>
  <si>
    <t>회의에 관한 사항</t>
  </si>
  <si>
    <t>단체협약에 관한 사항은 총회의 의결을 거쳐야 한다.</t>
  </si>
  <si>
    <t>노동조합과 사용자 또는 사용자단체는 정당한 이유없이 단체협약의 체결을 거부하거나 해태하여서는 아니 된다.</t>
  </si>
  <si>
    <t>교섭대표노동조합의 대표자는 교섭을 요구한 모든 노동조합 또는 조합원을 위하여 사용자와 교섭하고 단체협약을 체결할 권한을 가진다.</t>
  </si>
  <si>
    <t>단체협약에 자동연장협정 규정이 있더라도 당초의 유효기간이 만료된 후 3월까지에 한하여 단체협약의 효력이 유효하다.</t>
  </si>
  <si>
    <t>교섭대표노동조합은 교섭창구 단일화 절차에 참여한 노동조합 또는 그 조합원 간에 합리적 이유 없이 차별을 하여서는 아니 된다.</t>
  </si>
  <si>
    <t>조직형태의 변경에 관한 사항은 총회에서 재적조합원 과반수의 출석과 출석조합원 3분의 2 이상의 찬성이 있어야 한다.</t>
  </si>
  <si>
    <t>「방위사업법」에 의하여 지정된 주요방위산업체에 종사하는 근로자 중 방산물자의 완성에 필요한 개량 업무에 종사하는 자는 쟁의행위를 할 수 없다.</t>
  </si>
  <si>
    <t>노동조합의 쟁의행위에 대한 방어적인 목적을 벗어나 적극적으로 노동조합의 조직력을 약화시키기 위한 목적 등을 갖는 공격적 직장폐쇄는 정당성이 인정될 수 없다.</t>
  </si>
  <si>
    <t>하나의 쟁의행위에서 추구되는 목적이 여러 가지이고 그 중 일부가 정당하지 못한 경우에는 주된 목적 내지 진정한 목적의 당부에 의하여 그 쟁의목적의 당부를 판단하여야 한다.</t>
  </si>
  <si>
    <t>필수공익사업의 모든 업무는 필수유지업무에 해당한다.</t>
  </si>
  <si>
    <t>노동위원회는 관계 당사자 쌍방의 신청이 있는 경우에는 조정위원회에 갈음하여 단독조정인에게 조정을 행하게 할 수 있다.</t>
  </si>
  <si>
    <t>ㄱ: 10, ㄴ: 10</t>
  </si>
  <si>
    <t>부당노동행위 구제의 신청은 부당노동행위가 있은 날(계속하는 행위는 그 종료일)부터 3월 이내에 이를 행하여야 한다.</t>
  </si>
  <si>
    <t>노동조합을 조직하려고 하였다는 이유로 근로자에 대하여 한 부당노동행위에 대하여는 후에 설립된 노동조합은 독자적인 구제신청권을 가지지 않는다.</t>
  </si>
  <si>
    <t>의료사업은 공익사업에 해당한다.</t>
  </si>
  <si>
    <t>노동위원회 상임위원은 심판사건을 담당할 수 있으나, 차별적 처우 시정사건을 담당할 수 없다.</t>
  </si>
  <si>
    <t>노사협의회는 근로자와 사용자를 대표하는 같은 수의 위원으로 구성하되, 각 3명 이상 10명 이하로 한다.</t>
  </si>
  <si>
    <t>교원의 노동조합을 설립하려는 사람은 교육부장관에게 설립신고서를 제출하여야 한다.</t>
  </si>
  <si>
    <t>노동조합과 그 조합원은 정치활동을 하여서는 아니 된다.</t>
  </si>
  <si>
    <t>근로자는 근로조건의 향상을 위하여 자주적인 단결권・단체교섭권 및 단체행동권을 가진다.</t>
  </si>
  <si>
    <t>노동위원회에 노동쟁의의 조정(調停)을 신청할 수 없다.</t>
  </si>
  <si>
    <t>국적</t>
  </si>
  <si>
    <t>노동위원회는 사용자의 신청을 받아 교섭단위를 분리하는 결정을 할 수 없다.</t>
  </si>
  <si>
    <t>노동조합의 결의 또는 처분이 규약에 위반된다고 인정할 경우</t>
  </si>
  <si>
    <t>근로시간 면제 한도를 정하기 위하여 위원회를 경제사회노동위원회에 둔다.</t>
  </si>
  <si>
    <t>규약에서 정한 해산사유가 발생한 경우에 노동조합은 해산한다.</t>
  </si>
  <si>
    <t>교섭대표노동조합의 대표자는 교섭을 요구한 모든 노동조합을 위하여 사용자와 교섭하고 단체협약을 체결할 권한을 가진다.</t>
  </si>
  <si>
    <t>갑, 을, 병의 연합</t>
  </si>
  <si>
    <t>단체협약은 서면으로 작성하여 당사자 쌍방이 서명 또는 날인하여야 한다.</t>
  </si>
  <si>
    <t>쟁의행위 자체의 정당성과 이를 구성하거나 부수되는 개개의 행위의 정당성은 구별되어야 하므로 일부 소수의 근로자가 폭력행위 등의 위법행위를 하였다고 하더라도 전체로서의 쟁의행위가 위법하게 되는 것은 아니다.</t>
  </si>
  <si>
    <t>필수유지업무란 필수공익사업의 업무 중 그 업무가 정지되거나 폐지되는 경우 공중의 생명・건강 또는 신체의 안전이나 공중의 일상생활을 현저히 위태롭게 하는 업무로서 대통령령이 정하는 업무를 말한다.</t>
  </si>
  <si>
    <t>사용자는 쟁의행위 기간중 그 쟁의행위로 중단된 업무를 도급 또는 하도급 줄 수 없다.</t>
  </si>
  <si>
    <t>직장폐쇄는 사용자의 쟁의행위로서 노동조합이 쟁의행위를 개시하기 전에도 직장폐쇄를 할 수 있다.</t>
  </si>
  <si>
    <t>노동위원회는 관계 당사자의 일방이 노동쟁의의 조정을 신청한 때에는 지체없이 조정을 개시하여야 하며 관계 당사자 쌍방은 이에 성실히 임하여야 한다.</t>
  </si>
  <si>
    <t>노동쟁의의 조정(調整)에서 사적 중재는 허용되지 않는다.</t>
  </si>
  <si>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</si>
  <si>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사용자가 근로자를 해고함에 있어서 표면적으로 내세우는 해고사유와는 달리 실질적으로 근로자의 정당한 조합활동을 이유로 해고한 것으로 인정되는 경우에는 그 해고는 부당노동행위라고 보아야 한다.</t>
  </si>
  <si>
    <t>지방노동위원회의 구제명령 또는 기각결정에 불복이 있는 관계 당사자는 그 명령서 또는 결정서의 송달을 받은 날부터 10일 이내에 중앙노동위원회에 그 재심을 신청할 수 있다.</t>
  </si>
  <si>
    <t>노동조합을 설립하려는 사람은 고용노동부장관에게 설립신고서를 제출하여야 한다.</t>
  </si>
  <si>
    <t>노동조합과 그 조합원은 정치활동을 하여서는 아니 되며, 파업, 태업 또는 그 밖에 업무의 정상적인 운영을 방해하는 일체의 행위를 하여서는 아니 된다.</t>
  </si>
  <si>
    <t>노사협의회는 근로조건에 대한 결정권이 있는 사업이나 사업장 단위로 설치하여야 한다. 다만, 상시(常時) 30명 미만의 근로자를 사용하는 사업이나 사업장은 그러하지 아니하다.</t>
  </si>
  <si>
    <t>노동위원회는 중앙노동위원회, 지방노동위원회 및 특별노동위원회로 구분한다.</t>
  </si>
  <si>
    <t>ㄱ - ㄹ - ㄷ - ㄴ</t>
  </si>
  <si>
    <t>노동3권은 국가안전보장・질서유지 또는 공공복리를 위하여 필요한 경우 법률로써 제한할 수 있다.</t>
  </si>
  <si>
    <t>구직 중인 자도 노동3권을 보장할 필요성이 있는 한 근로자에 포함된다.</t>
  </si>
  <si>
    <t>단체협약에 관한 사항</t>
  </si>
  <si>
    <t>근로시간 면제 한도를 정하기 위하여 근로시간면제심의위원회를 "경제사회노동위원회"에 둔다.</t>
  </si>
  <si>
    <t>노동조합 규약에서 정한 해산사유가 발생한 경우에 노동조합은 해산한다.</t>
  </si>
  <si>
    <t>사업장 내의 노동조합 활동은 사용자의 시설관리권에 바탕을 둔 합리적인 규율이나 제약에 따라야 한다.</t>
  </si>
  <si>
    <t>노동조합 대표자는 그 노동조합 또는 조합원을 위하여 사용자나 사용자단체와 교섭할 권한을 가진다.</t>
  </si>
  <si>
    <t>사용자는 교섭창구 단일화 절차에 참여한 노동조합 또는 그 조합원 간에 합리적 이유없이 차별을 하여서는 아니 된다.</t>
  </si>
  <si>
    <t>하나의 사업 또는 사업장 단위에서 유일하게 존재하는 노동조합이 교섭창구 단일화 절차를 형식적으로 거쳤다면 교섭대표노동조합의 지위를 취득할 수 있다.</t>
  </si>
  <si>
    <t>퇴직금에 관한 사항</t>
  </si>
  <si>
    <t>단체협약과 같은 처분문서를 해석함에 있어서는 명문의 규정을 근로자에게 불리하게 변형 해석할 수 없다.</t>
  </si>
  <si>
    <t>공익사업에 있어서의 노동쟁의의 조정은 우선적으로 취급하고 신속히 처리하도록 노력하여야 한다.</t>
  </si>
  <si>
    <t>노동위원회는 조정위원회 또는 단독조정인이 조정의 종료를 결정한 후에도 노동쟁의 해결을 위하여 조정을 할 수 있다.</t>
  </si>
  <si>
    <t>근로자는 쟁의행위 기간중에는 현행범외에는 노동조합 및 노동관계조정법 위반을 이유로 구속되지 아니한다.</t>
  </si>
  <si>
    <t>사용자는 쟁의행위에 참가하여 근로를 제공하지 아니한 근로자에 대하여는 그 기간중의 임금을 지급할 의무가 없다.</t>
  </si>
  <si>
    <t>직장폐쇄가 사용자의 정당한 쟁의행위로 인정되는 경우 사용자는 직장폐쇄 기간 동안 대상 근로자에 대한 임금지불의무를 면한다.</t>
  </si>
  <si>
    <t>부당노동행위에 대한 증명책임은 이를 주장하는 근로자 또는 노동조합에 있다.</t>
  </si>
  <si>
    <t>노동위원회의 사용자에 대한 부당노동행위 구제명령은 사용자에게 공법상의 의무를 부담시킬 뿐, 직접 노사간의 사법상의 법률관계를 발생 또는 변경시키는 것은 아니다.</t>
  </si>
  <si>
    <t>경영계획 전반 및 실적에 관한 사항</t>
  </si>
  <si>
    <t>노동조합은 교육제도 개선을 목적으로 하는 정치활동을 할 수 있다.</t>
  </si>
  <si>
    <t>대법원은 근로3권 중에 단체교섭권이 중핵적 권리라는 입장을 취하고 있다.</t>
  </si>
  <si>
    <t>우리나라의 제헌헌법에는 근로자의 단결에 관한 규정이 없었다.</t>
  </si>
  <si>
    <t>최소한의 규모라 하더라도 사용자로부터 노동조합사무소를 제공받은 경우에는 노동조합으로 보지 아니한다.</t>
  </si>
  <si>
    <t>규약이 정하는 바에 의하여 법인으로 할 수 있다.</t>
  </si>
  <si>
    <t>규약의 변경</t>
  </si>
  <si>
    <t>노동조합의 대표자는 단체교섭의 당사자이다.</t>
  </si>
  <si>
    <t>단체교섭의 대상에 해당하는지 여부는 헌법과 노동조합 및 노동관계조정법상 근로자에게 단체교섭권을 보장한 취지에 비추어 판단하여야 한다.</t>
  </si>
  <si>
    <t>하나의 사업 또는 사업장에 2개 이상의 노동조합이 있더라도 교섭대표노동조합을 자율적으로 결정하는 기한 내에 사용자가 교섭창구 단일화 절차를 거치지 아니하기로 동의한 경우에는 해당 노동조합은 사용자와 개별적으로 교섭할 수 있다.</t>
  </si>
  <si>
    <t>하나의 사업 또는 사업장에서 교섭단위를 분리할 필요가 있다고 인정되는 경우에 노동위원회는 노동관계 당사자의 신청을 받아 교섭단위를 분리하는 결정을 할 수 있다.</t>
  </si>
  <si>
    <t>단체협약에 정한 근로자의 대우에 관한 기준에 위반하는 취업규칙 또는 근로계약의 부분은 무효로 한다.</t>
  </si>
  <si>
    <t>단체협약에 그 유효기간을 정하지 아니한 경우 그 유효기간은 3년으로 한다.</t>
  </si>
  <si>
    <t>하나의 지역에 있어서 종업하는 동종의 근로자 3분의 2 이상이 하나의 단체협약의 적용을 받게 된 때에 행정관청이 법령에 따라 당해 단체협약의 지역적 구속력 적용을 결정하면 당해 지역에서 종업하는 다른 동종의 근로자와 그 사용자에 대하여도 당해 단체협약이 적용된다.</t>
  </si>
  <si>
    <t>교섭대표노동조합이 결정된 경우에는 교섭대표노동조합의 전체 조합원의 직접・비밀・무기명투표에 의한 과반수의 찬성으로 결정하지 아니하면 쟁의행위를 할 수 없다.</t>
  </si>
  <si>
    <t>단체교섭사항이 될 수 없는 사항을 달성하려는 쟁의행위는 그 목적의 정당성을 인정할 수 없다.</t>
  </si>
  <si>
    <t>조정이 이루어진 경우에 그 내용은 단체협약과 동일한 효력을 가진다.</t>
  </si>
  <si>
    <t>고용노동부장관은 쟁의행위가 그 성질이 특별한 것으로서 현저히 국민경제를 해하거나 국민의 일상생활을 위태롭게 할 위험이 현존하는 때에는 긴급조정의 결정을 할 수 있다.</t>
  </si>
  <si>
    <t>철도사업의 업무 중 철도 차량의 운전업무</t>
  </si>
  <si>
    <t>부당노동행위로 그 권리를 침해당한 근로자는 노동조합을 통해서만 노동위원회에 구제를 신청할 수 있다.</t>
  </si>
  <si>
    <t>관할법원은 중앙노동위원회의 신청에 의하여 판결이 확정될 때까지 중앙노동위원회 구제명령의 전부 또는 일부를 이행하도록 명할 수 있다.</t>
  </si>
  <si>
    <t>정당한 해고사유가 있어 근로자를 해고한 경우에 있어서는 비록 사용자에게 반노동조합의사가 추정된다고 하더라도 부당노동행위에 해당한다고 할 수 없다.</t>
  </si>
  <si>
    <t>특별노동위원회는 관계 법률에서 정하는 사항을 관장하기 위하여 필요한 경우에 해당 사항을 관장하는 중앙행정기관의 장 소속으로 둔다.</t>
  </si>
  <si>
    <t>법령상 '사실상 노무에 종사하는 공무원'은 공무원의 노동조합 설립 및 운영에 관한 법률에 따른 공무원의 노동조합에 가입할 수 없다.</t>
  </si>
  <si>
    <t>「고등교육법」에 따른 교원(강사 제외)은 개별학교 단위, 시・도 단위 또는 전국 단위로 노동조합을 설립할 수 있다.</t>
  </si>
  <si>
    <t>노사협의회는 근로조건에 대한 결정권이 있는 사업이나 사업장 단위로 설치하여야 한다. 다만, 상시 30명 미만의 근로자를 사용하는 사업이나 사업장은 그러하지 아니하다.</t>
  </si>
  <si>
    <t>개인택시운전자는 노동3권의 주체가 될 수 없다.</t>
  </si>
  <si>
    <t>근로조건의 기준은 법률로써 정한다.</t>
  </si>
  <si>
    <t>휴가에 관한 조항</t>
  </si>
  <si>
    <t>ㄱ: 10 ㄴ: 5</t>
  </si>
  <si>
    <t>출입국관리 법령에 따른 취업자격이 없는 외국인이 타인과의 사용종속관계하에서 근로를 제공하고 그 대가로 임금 등을 받아 생활하는 경우,「노동조합 및 노동관계조정법」상 근로자에 해당한다.</t>
  </si>
  <si>
    <t>사적중재에 의하여 해결하기로 한 경우 쟁의행위의 금지기간은 중재를 개시한 날부터 기산한다.</t>
  </si>
  <si>
    <t>필수유지업무에 대한 쟁의행위의 제한 규정을 위반한 자는 2년 이하의 징역 또는 2천만원 이하의 벌금에 처한다.</t>
  </si>
  <si>
    <t>노동조합이 존속 중에 그 조합원의 범위를 변경하는 조직변경은 변경 전후 노동조합의 실질적 동일성이 인정되는 범위 내에서 인정된다.</t>
  </si>
  <si>
    <t>단체협약은 특별한 사정이 없는 한 명문의 규정을 근로자에게 불리하게 해석할 수 있다.</t>
  </si>
  <si>
    <t>단체협약의 작성</t>
  </si>
  <si>
    <t>노동조합의 쟁의행위는 그 조합원의 직접・비밀・무기명투표에 의한 조합원 과반수의 찬성으로 결정하지 아니하면 이를 행할 수 없다.</t>
  </si>
  <si>
    <t>근로시간면제자는 사업 또는 사업장별로 종사근로자인 조합원 수 등을 고려하여 근로시간 면제 한도를 초과하지 아니하는 범위에서 임금의 손실 없이 노동조합의 유지・관리업무를 할 수 있다.</t>
  </si>
  <si>
    <t>ㄱ: 15 ㄴ: 15</t>
  </si>
  <si>
    <t>철도사업</t>
  </si>
  <si>
    <t>근로조건에 대한 결정권이 있는 상시 30명 이상의 근로자를 사용하는 사업이나 사업장 단위로 설치하여야 한다.</t>
  </si>
  <si>
    <t>교원은 전국 단위로만 노동조합을 설립하여야 한다.</t>
  </si>
  <si>
    <t>정부교섭대표는 효율적인 교섭을 위하여 필요한 경우 정부교섭대표가 아닌 관계기관의 장으로 하여금 교섭에 참여하게 할 수 있다.</t>
  </si>
  <si>
    <t>둘 이상의 관할구역에 걸친 사건은 신청인의 주소지를 관할하는 지방노동위원회가 관장한다.</t>
  </si>
  <si>
    <t>노동조합법, 노동쟁의조정법은 1953년에 제정되었다.</t>
  </si>
  <si>
    <t>근로조건의 결정권이 있는 독립된 사업 또는 사업장에 조직된 노동단체는 지부・분회 등 명칭여하에 불구하고 노동조합의 설립신고를 할 수 없다.</t>
  </si>
  <si>
    <t>노동조합의 대표자는 총회의 의장이 된다.</t>
  </si>
  <si>
    <t>교섭대표노동조합의 대표자는 해당 교섭단위 내의 비조합원을 포함한 모든 근로자를 위하여 사용자와 교섭하고 단체협약을 체결할 권한을 가진다.</t>
  </si>
  <si>
    <t>단체교섭의 노동조합측 당사자는 해당 노동조합의 대표자이다.</t>
  </si>
  <si>
    <t>교섭단위는 하나의 사업 또는 사업장으로 한다.</t>
  </si>
  <si>
    <t>일반적으로 구성원인 근로자의 노동조건 기타 근로자의 대우에 관한 사항으로 사용자가 처분할 수 있는 사항은 단체교섭의 대상에 해당한다.</t>
  </si>
  <si>
    <t>근로조건을 불리하게 변경하는 내용의 단체협약이 현저히 합리성을 결하여 노동조합의 목적을 벗어난 것으로 볼 수 있는 특별한 사정이 있는 경우에는 그러한 합의는 무효이다.</t>
  </si>
  <si>
    <t>조합비 공제</t>
  </si>
  <si>
    <t>단체협약에 3년을 초과하는 유효기간을 정한 경우에 그 유효기간은 3년으로 한다.</t>
  </si>
  <si>
    <t>재해부조</t>
  </si>
  <si>
    <t>중앙노동위원회는 고용노동부장관으로부터 긴급조정 결정의 통고를 받은 때에는 지체없이 조정을 개시하여야 한다.</t>
  </si>
  <si>
    <t>사적 조정 등을 수행하는 자는 노동관계 당사자로부터 수수료 등을 받을 수 없다.</t>
  </si>
  <si>
    <t>쟁의행위는 그 쟁의행위와 관계없는 자 또는 근로를 제공하고자 하는 자의 출입・조업 기타 정상적인 업무를 방해하는 방법으로 행하여져서는 아니 된다.</t>
  </si>
  <si>
    <t>단체협약의 내용중 쟁의행위에 관한 사항을 위반한 자는 1천만원 이하의 벌금에 처한다.</t>
  </si>
  <si>
    <t>사용자는 노동조합이 쟁의행위를 개시하기 이전이라도 직장폐쇄를 할 수 있다.</t>
  </si>
  <si>
    <t>부당노동행위금지규정은 효력규정인 강행법규이므로 이에 위반된 법률행위는 사법상으로도 그 효력이 없다.</t>
  </si>
  <si>
    <t>사용자가 중앙노동위원회의 재심판정에 대하여 행정소송을 제기한 경우에 관할법원은 중앙노동위원회의 신청에 의하여 결정으로써, 판결이 확정될 때까지 중앙노동위원회의 구제명령의 전부 또는 일부를 이행하도록 명할 수 있다.</t>
  </si>
  <si>
    <t>근로자란 근로기준법상 근로자를 말한다.</t>
  </si>
  <si>
    <t>노동조합과 그 조합원은 정치활동을 할 수 있다.</t>
  </si>
  <si>
    <t>「고등교육법」에 따른 교원은 시・도 단위 또는 전국 단위로만 노동조합을 설립할 수 있다.</t>
  </si>
  <si>
    <t>중앙노동위원회는 둘 이상의 지방노동위원회의 관할구역에 걸친 노동쟁의의 조정(調整)사건을 관장한다.</t>
  </si>
  <si>
    <t>연합단체인 노동조합을 설립하고자 하는 자는 설립신고서를 고용노동부장관에게 제출하여야 한다.</t>
  </si>
  <si>
    <t>규약에서 정한 해산사유가 발생한 경우</t>
  </si>
  <si>
    <t>복리후생비에 관한 사항</t>
  </si>
  <si>
    <t>"근로자"라 함은 직업의 종류를 불문하고 임금・급료 기타 이에 준하는 수입에 의하여 생활하는 자를 말한다.</t>
  </si>
  <si>
    <t>노동조합은 규약으로 총회에 갈음할 대의원회를 둘 수 있다.</t>
  </si>
  <si>
    <t>하나의 지역에 있어서 종업하는 동종의 근로자 3분의 2 이상이 하나의 단체협약의 적용을 받게 된 때에는 노동위원회는 그 직권으로 당해 지역에서 종업하는 다른 동종의 근로자와 그 사용자에 대하여도 당해 단체협약을 적용한다는 결정을 할 수 있다.</t>
  </si>
  <si>
    <t>단체협약에는 3년을 초과하는 유효기간을 정할 수 없다.</t>
  </si>
  <si>
    <t>교섭대표노동조합 결정단위는 하나의 사업 또는 사업장으로 한다.</t>
  </si>
  <si>
    <t>근로자는 노동조합 규약으로 정하거나 사용자의 동의가 있는 경우에는 노동조합의 업무에만 종사할 수 있다.</t>
  </si>
  <si>
    <t>노동조합의 대표자는 그 회계감사원으로 하여금 6월에 1회 이상 당해 노동조합의 모든 재원 및 용도 등에 대한 회계감사를 실시하게 하고 그 내용과 감사결과를 전체 조합원에게 공개하여야 한다.</t>
  </si>
  <si>
    <t>근로자가 노동조합의 업무를 위한 정당한 행위를 한 것을 이유로 그 근로자를 해고하는 행위</t>
  </si>
  <si>
    <t>부당노동행위로 인하여 그 권리를 침해당한 근로자는 노동위원회에 그 구제를 신청할 수 있다.</t>
  </si>
  <si>
    <t>노동조합은 그 대표자가 필요하다고 판단하는 경우 조합원의 찬반 투표 없이 쟁의행위를 할 수 있다.</t>
  </si>
  <si>
    <t>사용자가 적법하게 직장폐쇄를 하게 되면, 사용자의 사업장에 대한 물권적 지배권이 전면적으로 회복된다.</t>
  </si>
  <si>
    <t>필수유지업무라 함은 필수공익사업의 업무 중 그 업무가 정지되거나 폐지되는 경우 공중의 생명・건강 또는 신체의 안전이나 공중의 일상생활을 현저히 위태롭게 하는 업무로서 대통령령이 정하는 업무를 말한다.</t>
  </si>
  <si>
    <t>공무원은 임용권자의 동의를 받아 노동조합의 업무에만 종사할 수 있다.</t>
  </si>
  <si>
    <t>노동위원회는 중앙노동위원회・지방노동위원회 및 특별노동위원회로 구분한다.</t>
  </si>
  <si>
    <t>노사협의회에 의장을 두며, 의장은 위원 중에서 호선(互選)한다.</t>
  </si>
  <si>
    <t>노동조합 및 노동관계조정법상 노동조합 설립신고서 반려제도는 헌법상 금지된 단체결성에 대한 허가제에 해당하지 않는다.</t>
  </si>
  <si>
    <t>근로자란 임금, 급료 그 밖에 이에 준하는 수입으로 생활하는 자를 말한다.</t>
  </si>
  <si>
    <t>대의원의 임기는 규약으로 정하되 3년을 초과할 수 없다.</t>
  </si>
  <si>
    <t>노동조합은 근로시간 면제 한도를 초과하는 급여지급을 요구하고 이를 관철할 목적으로 쟁의행위를 하여서는 아니 된다.</t>
  </si>
  <si>
    <t>산업별 연합단체인 노동조합을 설립하고자 하는 자는 신고서에 규약을 첨부하여 고용노동부장관에게 제출하여야 한다.</t>
  </si>
  <si>
    <t>행정관청은 접수한 노동조합 설립신고서의 기재사항이 누락된 경우에는 설립신고서를 반려하여야 한다.</t>
  </si>
  <si>
    <t>노동조합의 대표자가 사용자와 단체협약의 내용을 합의한 후 다시 협약안의 가부에 관하여 조합원총회의 의결을 거치도록 하는 소위 인준투표제는 위법하다.</t>
  </si>
  <si>
    <t>공동교섭대표단에 참여할 수 있는 노동조합은 그 조합원 수가 교섭창구 단일화 절차에 참여한 노동조합의 전체 조합원 100분의 10 이상인 노동조합이다.</t>
  </si>
  <si>
    <t>노동조합 대표자</t>
  </si>
  <si>
    <t>기존의 근로조건을 불리하게 변경하는 내용의 단체협약을 체결하기 위해서는 조합원인 근로자들로부터 개별적인 동의나 수권을 받아야 한다.</t>
  </si>
  <si>
    <t>동종의 근로자 반수 이상이 하나의 단체협약의 적용을 받게 된 때에는 지역적 구속력을 적용한다는 결정을 할 수 있다.</t>
  </si>
  <si>
    <t>직장폐쇄는 노동조합이 쟁의행위를 개시한 이후에만 행할 수 있다.</t>
  </si>
  <si>
    <t>필수유지업무란 필수공익사업의 업무 중 고용노동부장관이 정하는 업무를 말한다.</t>
  </si>
  <si>
    <t>정당성이 없는 쟁의행위는 불법행위를 구성하고 이로 말미암아 손해를 입은 사용자는 노동조합이나 근로자에 대하여 그 손해배상을 청구할 수 있다.</t>
  </si>
  <si>
    <t>노동위원회는 직권으로 조정위원회에 갈음하여 단독조정인에게 조정을 행하게 할 수 있다.</t>
  </si>
  <si>
    <t>사용자의 행위가 부당노동행위에 해당한다는 점은 이를 주장하는 근로자 또는 노동조합이 증명하여야 한다.</t>
  </si>
  <si>
    <t>소속 조합원으로 가입하려고 하는 것을 이유로 근로자에 대해 사용자가 불이익취급을 한 경우 노동조합은 자신의 명의로 부당노동행위 구제신청을 할 수 없다.</t>
  </si>
  <si>
    <t>부당노동행위에 대하여 구제주의 이외에 처벌주의를 병용하는 입법정책을 취하고 있다.</t>
  </si>
  <si>
    <t>중앙노동위원회 및 지방노동위원회는 고용노동부장관 소속하에 둔다.</t>
  </si>
  <si>
    <t>근로자의 교육훈련 및 능력개발 기본계획의 수립</t>
  </si>
  <si>
    <t>공무원은 임용권자의 동의를 받아 노동조합으로부터 급여를 지급받으면서 노동조합의 업무에만 종사할 수 있다.</t>
  </si>
  <si>
    <t>교원의 노동쟁의를 조정・중재하기 위하여 지방노동위원회에 교원 노동관계 조정위원회를 둔다.</t>
  </si>
  <si>
    <t>국가는 근로자의 고용의 증진과 적정임금의 보장에 노력하여야 한다.</t>
  </si>
  <si>
    <t>단체협약의 내용 중 재해부조에 관한 사항을 위반한 자는 1천만원 이하의 벌금에 처한다.</t>
  </si>
  <si>
    <t>전임자라 할지라도 사용자와의 사이에 기본적 노사관계는 유지되는 것이다.</t>
  </si>
  <si>
    <t>ㄱ : 조합원, ㄴ : 100분의 30</t>
  </si>
  <si>
    <t>"사용자단체"라 함은 노동관계에 관하여 그 구성원인 사용자에 대하여 조정 또는 규제할 수 있는 권한을 가진 사용자의 단체를 말한다.</t>
  </si>
  <si>
    <t>노동조합의 사회적 책임</t>
  </si>
  <si>
    <t>사용자는 쟁의행위에 참가하여 근로를 제공하지 아니한 근로자에 대하여는 그 기간 중의 임금을 지급할 의무가 없다.</t>
  </si>
  <si>
    <t>공익사업에 있어서의 노동쟁의의 조정은 우선적으로 취급하고 신속히 처리하여야 한다.</t>
  </si>
  <si>
    <t>부당노동행위로 그 권리를 침해당한 근로자 또는 노동조합은 부당노동행위가 있은 날로부터 3월 이내에 노동위원회에 그 구제를 신청할 수 있다.</t>
  </si>
  <si>
    <t>노동조합의 임원은 있으나 노동조합으로서의 활동을 1년 이상 하지 아니한 것으로 인정되는 경우에는 노동조합은 해산한다.</t>
  </si>
  <si>
    <t>시외버스 여객운수사업</t>
  </si>
  <si>
    <t>노동조합은 소속된 연합단체의 명칭에 변경이 있는 때에는 그 날부터 30일 이내에 행정관청에게 변경신고를 하여야 한다.</t>
  </si>
  <si>
    <t>교섭창구단일화제도는 교섭대표노동조합이 되지 못한 소수 노동조합의 단체교섭권을 제한하고 있지만, 단체교섭권의 실질적인 보장을 위한 불가피한 제도라고 볼 수 있다는 것이 헌법재판소의 입장이다.</t>
  </si>
  <si>
    <t>노동조합의 대표자는 그 회계감사원으로 하여금 6월에 1회 이상 회계감사를 실시하게 하고 그 내용과 감사결과를 전체 근로자에게 공개하여야 한다.</t>
  </si>
  <si>
    <t>사용자는 노동조합이 쟁의행위를 개시한 이후에만 직장폐쇄를 할 수 있다.</t>
  </si>
  <si>
    <t>근로시간 면제 한도를 정하기 위하여 근로시간면제심의위원회를 대통령소속하에 둔다.</t>
  </si>
  <si>
    <t>직장 또는 사업장시설을 전면적・배타적으로 점거하여 조합원 이외의 자의 출입을 저지하는 형태의 쟁의행위도 허용된다.</t>
  </si>
  <si>
    <t>노동위원회는 관계 당사자의 일방이 단체협약에 의하여 중재를 신청한 때에는 중재를 행한다.</t>
  </si>
  <si>
    <t>행정관청은 설립신고서를 접수한 때에는 보완을 요구하거나 반려하는 경우를 제외하고는 3일 이내에 신고증을 교부하여야 한다.</t>
  </si>
  <si>
    <t>노동조합의 대표자는 필요하다고 인정할 때에는 임시총회를 소집할 수 있다.</t>
  </si>
  <si>
    <t>노동위원회는 사용자가 근로자위원의 선출에 개입하거나 방해하는 경우에는 그 시정을 명할 수 있다.</t>
  </si>
  <si>
    <t>노동위원회는 노동조합 및 노동관계조정법 제84조의 규정에 따른 판정・명령 또는 결정이 있기 전까지 관계 당사자의 신청 또는 직권에 의하여 화해를 권고하거나 화해안을 제시할 수 있다.</t>
  </si>
  <si>
    <t>교원의 노동조합은 교원의 근로조건과 사회적 지위에 관계되는 내용에 대해서는 정치활동을 할 수 있다.</t>
  </si>
  <si>
    <t>국가와 지방자치단체는 공무원이 전임자임을 이유로 승급이나 그 밖에 신분과 관련하여 불리한 처우를 하여서는 아니 된다.</t>
  </si>
  <si>
    <t>제헌헌법은 근로자의 단결, 단체교섭과 단체행동의 자유는 법률의 범위 내에서 보장된다고 규정하였다.</t>
  </si>
  <si>
    <t>노동관행의 법원성이 인정되는 경우 임금청구의 기초로 삼을 수 있다.</t>
  </si>
  <si>
    <t>고용노동부장관</t>
  </si>
  <si>
    <t>노동조합은 규약에서 정한 해산사유가 발생한 경우에는 해산한다.</t>
  </si>
  <si>
    <t>조합원이 노동조합의 결의 없이 한 독자적 행위는 노동조합의 묵시적인 수권만 으로는 노동조합의 업무를 위한 행위로 볼 수 없다.</t>
  </si>
  <si>
    <t>단체교섭권에 단체협약체결권은 포함되지 않는다.</t>
  </si>
  <si>
    <t>조합원은 교섭대표노동조합에 의해 주도되지 않는 쟁의행위를 할 수 없다.</t>
  </si>
  <si>
    <t>교섭대표노동조합은 교섭창구 단일화 절차에 참여한 노동조합과 참여하지 않는 노동조합 간에 합리적 이유 없이 차별을 하여서는 아니 된다.</t>
  </si>
  <si>
    <t>단체협약 내에 근로조건 기타 근로자의 대우에 관한 기준을 정한 부분은 규범적 효력이 인정된다.</t>
  </si>
  <si>
    <t>근로자는 자유로이 노동조합을 조직하거나 이에 가입할 수 있으므로 어떠한 경우에도 근로자의 노동조합 가입을 강제할 수 없다.</t>
  </si>
  <si>
    <t>노동조합 간부와 노동조합 자체에 대하여는 불법쟁의행위로 인한 손해배상책임을 묻지 않으면서, 조합원 개인에게만 손해배상청구를 유지하는 것은 소권의 남용이 아니다.</t>
  </si>
  <si>
    <t>도시철도의 차량</t>
  </si>
  <si>
    <t>사용자의 단체교섭 거부행위가 건전한 사회통념이나 사회상규상 용인될 수 없는 정도에 이른 것으로 인정되는 경우에는 그 단체교섭 거부행위는 부당노동행위로서 단체교섭권을 침해하는 위법한 행위로 평가되어 불법행위의 요건을 충족한다.</t>
  </si>
  <si>
    <t>노동위원회는 조정신청내용이 노동조합 및 노동관계조정법에 의한 조정 또는 중재의 대상이 아니라고 인정할 경우에는 그 사유와 다른 해결방법을 알려주어야 한다.</t>
  </si>
  <si>
    <t>사용자의 의견표명이 노동조합의 조직이나 운영 및 활동을 지배하거나 이에 개입하는 의사가 인정되는 경우에는 부당노동행위가 성립한다.</t>
  </si>
  <si>
    <t>근로자는 쟁의행위 기간 중에는 현행범 외에는 노동조합 및 노동관계조정법 위반을 이유로 구속되지 아니한다.</t>
  </si>
  <si>
    <t>노동위원회는 조정의 종료가 결정된 후에도 조정을 할 수 있다.</t>
  </si>
  <si>
    <t>노동위원회는 부당노동행위 구제신청을 받은 때에는 지체없이 필요한 조사와 관계 당사자의 심문을 하여야 한다.</t>
  </si>
  <si>
    <t>노동조합 전임자에 대하여는 그 기간 중 휴직명령을 받은 것으로 본다.</t>
  </si>
  <si>
    <t>교원 노동관계 조정위원회의 조정담당 공익위원은 중앙노동위원회 위원장이 지명한다.</t>
  </si>
  <si>
    <t>노사협의회는 근로자와 사용자를 대표하는 같은 수의 위원으로 구성하되 각 3명 이상 15명 이하로 한다.</t>
  </si>
  <si>
    <t>2이상의 지방노동위원회의 관할구역에 걸친 노동쟁의의 조정사건은 주된 사업장의 소재지를 관할하는 지방노동위원회에서 관장한다.</t>
  </si>
  <si>
    <t>근로기준법, 노동조합법, 노동위원회법, 노동쟁의조정법은 같은 해에 제정되었다.</t>
  </si>
  <si>
    <t>결사의 자유 및 단결권 보호에 관한 협약(제87호)</t>
  </si>
  <si>
    <t>노동조합 및 노동관계조정법상의 노동조합이 아니면 노동쟁의의 조정을 신청할 수 없다.</t>
  </si>
  <si>
    <t>노동위원회는 필수공익사업에 있어서 노동위원회 위원장이 특별조정위원회의 권고에 의하여 중재에 회부한다는 결정을 한 때에는 중재를 행하여야 한다.</t>
  </si>
  <si>
    <t>혈액공급사업</t>
  </si>
  <si>
    <t>필수유지업무라 함은 필수공익사업의 업무 중 그 업무가 정지되거나 폐지되는 경우 공중의 생명・건강 또는 신체의 안전이나 공중의 일상생활을 현저히 위태롭게 하는 업무로서 단체협약이 정하는 업무를 말한다.</t>
  </si>
  <si>
    <t>노동조합은 그 조합원의 직접・비밀・무기명투표에 의한 조합원 과반수의 찬성으로 결정하지 아니하면 쟁의행위를 행할 수 없다.</t>
  </si>
  <si>
    <t>단체협약에서 이미 정한 근로조건이나 기타 사항의 변경・개폐를 요구하는 쟁의행위를 단체협약의 유효기간 중에 하여서는 아니된다는 이른바 평화의무를 위반하여 이루어진 쟁의행위는 노사관계를 평화적・자주적으로 규율하기 위한 단체협약의 본질적 기능을 해치는 것일 뿐 아니라 노사관계에서 요구되는 신의성실의 원칙에도 반하는 것이므로 정당성이 없다.</t>
  </si>
  <si>
    <t>직장폐쇄는 쟁의행위에 해당하므로 사용자는 헌법상 단체행동권의 주체가 된다.</t>
  </si>
  <si>
    <t>취업규칙 또는 근로계약의 일부분이 단체협약에 정한 근로조건 기타 근로자의 대우에 관한 기준에 위반하는 경우 취업규칙 또는 근로계약 전부를 무효로 한다.</t>
  </si>
  <si>
    <t>단체협약은 특약에 의하여 일정 범위의 근로자에 대하여만 적용하기로 정하고 있는 등의 특별한 사정이 없는 한 협약당사자로 된 노동조합의 조합원 모두에게 현실적으로 적용되는 것이 원칙이다.</t>
  </si>
  <si>
    <t>직업의 종류를 불문하고 임금・급료 기타 이에 준하는 수입에 의하여 생활하는 자는 근로자이다.</t>
  </si>
  <si>
    <t>노동조합의 규약이 노동관계법령에 위반한 경우 그 시정을 명할 수 있는 기관은 행정관청이다.</t>
  </si>
  <si>
    <t>주된 사무소의 소재지</t>
  </si>
  <si>
    <t>단체협약에서 정한 해산사유가 발생한 경우</t>
  </si>
  <si>
    <t>규약</t>
  </si>
  <si>
    <t>기금의 설치・관리 또는 처분에 관한 사항은 총회의 의결사항이 아니다.</t>
  </si>
  <si>
    <t>노동조합 전임자를 노동조합이 요구하면 사용자는 당연히 인정할 의무가 있다.</t>
  </si>
  <si>
    <t>노동조합이 당해 사업장에 종사하는 근로자의 3분의 2 이상을 대표하고 있을 때 근로자가 그 노동조합의 조합원이 될 것을 고용조건으로 하는 단체협약의 체결은 부당노동행위가 아니다.</t>
  </si>
  <si>
    <t>근로자 개인에 대한 부당노동행위라 하더라도 그 구제의 신청은 노동조합을 통해서만 가능하다.</t>
  </si>
  <si>
    <t>특별노동위원회의 처분에 대한 재심사건</t>
  </si>
  <si>
    <t>노사협의회는 매월 정기적으로 회의를 개최하여야 한다.</t>
  </si>
  <si>
    <t>중앙노동위원회는 그 제시한 조정안을 당사자의 어느 한쪽이라도 거부한 경우 중재를 한다.</t>
  </si>
  <si>
    <t>공무원 노동조합과 그 조합원은 정치활동을 하여서는 아니된다.</t>
  </si>
  <si>
    <t>노동조합은 물론 근로자 개인도 단체교섭권을 행사할 수 있다.</t>
  </si>
  <si>
    <t>주요 방위산업체에 종사하는 근로자는 노동조합을 결성할 수 없다.</t>
  </si>
  <si>
    <t>노동조합 설립신고서에는 조합원의 성명과 주소를 기재하여야 한다.</t>
  </si>
  <si>
    <t>노동조합이 규약에서 정한 해산사유가 발생하여 해산한 때에는 그 대표자는 해산한 날로부터 30일 이내에 행정관청에게 이를 신고하여야 한다.</t>
  </si>
  <si>
    <t>노동조합이 공직선거에서 특정정당의 후보자를 지지하는 방침에 따르지 아니하는 조합원에게 통제권 차원에서 불이익을 예고하는 행위는 허용된다.</t>
  </si>
  <si>
    <t>노동조합의 대표자는 그 회계감사원으로 하여금 6월에 1회 이상 회계감사를 실시하게 하고 감사결과를 전체 조합원에게 공개하여야 한다.</t>
  </si>
  <si>
    <t>단체협약은 반드시 이를 서면으로 작성하여야 하는 것은 아니다.</t>
  </si>
  <si>
    <t>노동조합의 대표자는 단체교섭의 당사자로서 사용자와 교섭할 수 있는 지위에 있다.</t>
  </si>
  <si>
    <t>총회의 의장은 노동조합의 대표자가 된다.</t>
  </si>
  <si>
    <t>하나의 사업장에서 일반적 구속력이 인정되기 위해서는 상시 사용되는 동종의 근로자 3분의 2 이상이 하나의 단체협약의 적용을 받아야 한다.</t>
  </si>
  <si>
    <t>특별한 사정이 없는 한 근로조건을 불리하게 변경하는 내용의 단체협약체결은 근로조건의 유지・개선이라는 단결의 목적에 반하므로 무효이다.</t>
  </si>
  <si>
    <t>노동위원회는 관계 당사자의 일방이 노동쟁의의 조정을 신청한 때에는 지체 없이 조정을 개시하여야 한다.</t>
  </si>
  <si>
    <t>사적조정을 수행하는 자에 대한 자격의 제한은 없다.</t>
  </si>
  <si>
    <t>공익사업에 있어서 노동위원회의 쟁의조정 연장기간</t>
  </si>
  <si>
    <t>필수공익사업에 한하여 긴급조정을 결정할 수 있다.</t>
  </si>
  <si>
    <t>모든 은행사업장에서 노동조합과 사용자는 필수유지업무협정을 체결하여야 한다.</t>
  </si>
  <si>
    <t>일반적으로는 힘에서 우위에 있는 사용자에게 쟁의권을 인정할 필요는 없다 할 것이나, 사용자측에게 노동조합의 압력을 저지하고 힘의 균형을 회복하기 위한 대항・방위 수단으로 쟁의권을 인정하는 것이 형평의 원칙에 맞는다.</t>
  </si>
  <si>
    <t>사용자가 중앙노동위원회의 판정에 불복하여 행정소송을 제기한 경우 관할법원은 직권으로 중앙노동위원회의 구제명령의 전부 또는 일부를 이행하도록 명할 수 있다.</t>
  </si>
  <si>
    <t>부당노동행위에 관하여 우선적으로 노동위원회의 구제절차를 거쳐야 하며 사법적 구제절차는 부당노동행위 구제절차를 통하여 구제받지 못한 경우에 한하여 인정된다.</t>
  </si>
  <si>
    <t>교원은 전국단위로만 노동조합을 설립할 수 있다.</t>
  </si>
  <si>
    <t>공무원 노동관계에서도 일정한 요건 하에서 공무원이 조합원이 될 것을 고용조건으로 하는 단체협약이 체결될 수 있다.</t>
  </si>
  <si>
    <t>노사협의회는 근로조건의 결정권이 있는 사업 또는 사업장 단위로 설치하여야 하지만, 하나의 사업에 지역을 달리하는 사업장이 있는 경우에는 별도로 노사협의회를 설치할 수 있다.</t>
  </si>
  <si>
    <t>노동위원회는 부당노동행위 구제신청이 있는 때 직권으로 증인을 출석하게 하여 필요한 질문을 할 수 있다.</t>
  </si>
  <si>
    <t>근로조건에 대한 결정권이 있는 사업이나 사업장 단위로 설치된다.</t>
  </si>
  <si>
    <t>노동부장관은 노동위원회의 운영에 관한 규칙제정권을 가진다.</t>
  </si>
  <si>
    <t>적법한 화해조서는 민사소송법에 따른 재판상 화해의 효력을 갖는다.</t>
  </si>
  <si>
    <t>노동조합법이 처음 제정된 것은 1953년이다.</t>
  </si>
  <si>
    <t>영국이 상대적으로 이른 시기에 노사관계를 규율하기 위한 노동법을 제정하게 된 것은 세계 최초로 산업혁명이 일어났다는 사실과 무관하지 않다.</t>
  </si>
  <si>
    <t>헌법재판소의 다수 의견은 근로3권 가운데 가장 중핵적인 권리는 단체행동권이라고 보고 있다.</t>
  </si>
  <si>
    <t>필수유지업무란 필수공익사업의 업무 중 그 업무가 정지되거나 폐지되는 경우 공중의 생명, 건강 또는 신체의 안전이나 공중의 일상생활을 현저히 위태롭게 하는 업무로서 대통령령이 정하는 업무를 말한다.</t>
  </si>
  <si>
    <t>사용자가 노동조합에 최소한의 규모의 조합사무소를 제공하는 것은 부당노동행위의 예외에 해당된다.</t>
  </si>
  <si>
    <t>노동조합만이 부당노동행위 구제신청을 할 수 있다.</t>
  </si>
  <si>
    <t>노동조합의 규약상 집행위원회의 의결에 의하여 노동조합을 해산하도록 규정한 조항은 무효이다.</t>
  </si>
  <si>
    <t>노동조합의 재정에 관한 장부와 서류는 5년간 보존하여야 한다.</t>
  </si>
  <si>
    <t>항상 사용자의 이익을 대표하여 행동하는 자의 참가를 허용하는 경우 노동조합으로 보지 아니한다.</t>
  </si>
  <si>
    <t>노동조합의 규약에 관한 내용은 사용자와 협의하여 작성한다.</t>
  </si>
  <si>
    <t>노동조합의 모든 조합원은 대의원회에서 안건에 관하여 표결할 권리가 있다.</t>
  </si>
  <si>
    <t>노동조합은 매년 1회 이상 총회를 개최하여야 하며, 노동조합의 대표자는 총회의 의장이 된다.</t>
  </si>
  <si>
    <t>노동조합의 조합원은 성별에 의한 차별대우뿐만 아니라 고용형태에 의한 차별대우도 받지 아니한다.</t>
  </si>
  <si>
    <t>전임제는 사용자와 근로자 사이의 근로계약관계에 있어서 근로자의 대우에 관하여 정한 근로조건으로 보는 것이 판례의 입장이다.</t>
  </si>
  <si>
    <t>쟁의행위에 관한 사항</t>
  </si>
  <si>
    <t>교섭담당자의 현실적인 회견을 통한 대화 없이 문서의 접수・회신이나 전화 등을 통한 대화는 성실교섭이라 할 수 없다.</t>
  </si>
  <si>
    <t>단체협약에는 2년을 초과하는 유효기간을 정할 수 없다.</t>
  </si>
  <si>
    <t>노동관계 당사자는 노동쟁의가 발생한 때에는 어느 일방이 이를 상대방에게 서면으로 통보하여야 한다.</t>
  </si>
  <si>
    <t>조합원의 직접・비밀・기명투표에 의하여 조합원 과반수의 찬성으로 결정된 쟁의행위</t>
  </si>
  <si>
    <t>쟁의행위로 중단된 업무에 한정하여 대체근로가 금지된다.</t>
  </si>
  <si>
    <t>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</si>
  <si>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부당노동행위에 대해서는 노동위원회가 직권으로 구제할 수 있다.</t>
  </si>
  <si>
    <t>노동조합은 결산결과를 1년에 1회 이상 노동위원회에 보고하여야 한다.</t>
  </si>
  <si>
    <t>노동조합의 활동이 부실한 경우</t>
  </si>
  <si>
    <t>조합원인 간호사가 근무 중에 무단으로 위생복 위에 노동조합의 구호가 적힌 주황색 셔츠를 착용하는 것은 평상시 조합활동으로서 허용된다.</t>
  </si>
  <si>
    <t>노동조합은 6개월에 1회 이상 총회를 개최하여야 한다.</t>
  </si>
  <si>
    <t>최저임금제의 시행</t>
  </si>
  <si>
    <t>노동부장관은 쟁의행위가 공익사업에 관한 것으로서 현저히 국민경제를 해하는 때에는 긴급조정의 결정을 할 수 있다.</t>
  </si>
  <si>
    <t>조합원의 직접・비밀・무기명 투표에 의해 선출되지 아니한 지부대의원들이 총회에 갈음하는 대의원회의 대의원을 선출하는 것은 무효이다.</t>
  </si>
  <si>
    <t>노동조합의 구제신청권은 근로자 개인의 구제신청권을 대리하는 것이다.</t>
  </si>
  <si>
    <t>조정위원회</t>
  </si>
  <si>
    <t>특정 노동조합에 가입한 근로자가 소수라는 것은 사용자가 단체교섭을 거부할 수 있는 정당한 이유가 되지 않는다.</t>
  </si>
  <si>
    <t>방위산업체에 있어서 노동쟁의의 조정은 우선적으로 취급하고 신속하게 처리하여야 한다.</t>
  </si>
  <si>
    <t>임원의 임기는 규약으로 정하되 4년을 초과할 수 없다.</t>
  </si>
  <si>
    <t>필수유지업무에 대한 쟁의행위의 제한은 필수공익사업에 한하여 고려될 수 있다.</t>
  </si>
  <si>
    <t>사적 조정에서 조정의 기산일은 조정신청일이며 조정전치주의가 적용된다.</t>
  </si>
  <si>
    <t>단체협약의 당사자는 단체협약의 체결일부터 20일 이내에 그 단체협약을 행정관청에게 신고하여야 한다.</t>
  </si>
  <si>
    <t>근로자'라 함은 직업의 종류를 불문하고 임금․급료 기타 이에 준하는 수입에 의하여 생활하는 자를 말한다.</t>
  </si>
  <si>
    <t>사용자는 단결권의 주체로서 사용자단체를 조직할 수 있다.</t>
  </si>
  <si>
    <t>노동은 상품이 아니다.</t>
  </si>
  <si>
    <t>노동위원회는 그 권한에 속하는 업무를 노동부장관의 지휘를 받아 수행한다.</t>
  </si>
  <si>
    <t>상시 30인 이상의 근로자를 사용하는 모든 사업(장)에는 노사협의회를 설치하여야 한다.</t>
  </si>
  <si>
    <t>노동조합의 해산 및 규약변경에 관한 사항</t>
  </si>
  <si>
    <t>제헌헌법은 근로자의 이익균점권을 명시적으로 보장하였다.</t>
  </si>
  <si>
    <t>자동차부품제조업체의 사용자는 쟁의행위기간 중 쟁의행위로 중단된 업무의 수행을 위해 당해 사업과 관계없는 자를 채용할 수 없다.</t>
  </si>
  <si>
    <t>원료・제품의 변질을 방지하는 작업의 중지</t>
  </si>
  <si>
    <t>1953년 제정된 「노동쟁의조정법」에는 쟁의행위 민사면책조항이 있었다.</t>
  </si>
  <si>
    <t>노동3권의 사회권적 성격은 입법조치를 통하여 근로자의 헌법적 권리를 보장할 국가의 의무에 있다.</t>
  </si>
  <si>
    <t>동일한 등기소의 관할구역안에서 주된 사무소를 이전한 경우에는 그 이전한 날부터 3주 이내에 변경등기를 해야 한다.</t>
  </si>
  <si>
    <t>노동조합은 매년 1월 31일까지 전년도 12월 31일 현재의 조합원수를 행정관청에 통보하여야 한다.</t>
  </si>
  <si>
    <t>예산・결산에 관한 사항은 총회에서 재적조합원 과반수의 출석과 출석조합원 3분의 2 이상의 찬성으로 의결한다.</t>
  </si>
  <si>
    <t>근로시간면제심의위원회 위원장은 근로시간면제심의위원회가 의결한 사항을 고용노동부장관에게 즉시 통보하여야 한다.</t>
  </si>
  <si>
    <t>노동조합이 특정 조합원에 관한 사항을 의결할 경우에는 그 조합원은 표결권이 없다.</t>
  </si>
  <si>
    <t>합병 또는 분할로 소멸한 경우 노동조합은 해산한다.</t>
  </si>
  <si>
    <t>노동위원회는 법령에 따라 교섭단위 분리의 결정 신청을 받은 때에는 해당 사업 또는 사업장의 모든 노동조합과 사용자에게 그 내용을 통지하여야 한다.</t>
  </si>
  <si>
    <t>단체협약의 유효기간이 만료되는 때를 전후하여 당사자 쌍방이 새로운 단체협약을 체결하고자 단체교섭을 계속하였음에도 불구하고 새로운 단체협약이 체결되지 아니한 경우에는 별도의 약정이 있더라도 종전의 단체협약은 그 효력만료일부터 3월까지 계속 효력을 갖는다.</t>
  </si>
  <si>
    <t>노동조합 및 노동관계조정법 제81조(부당노동행위) 제1항 제4호 단서에 따른 "노동조합의 자주적인 운영 또는 활동을 침해할 위험" 여부를 판단할 때 원조된 운영비 금액과 원조방법을 고려할 필요가 없다.</t>
  </si>
  <si>
    <t>노동조합의 대표자는 그 노동조합 또는 조합원을 위하여 사용자나 사용자단체와 교섭하고 단체협약을 체결할 권한을 가진다.</t>
  </si>
  <si>
    <t>사용자가 단체협약 등에 따라 교섭대표노동조합에게 상시적으로 사용할 수 있는 노동조합 사무실을 제공한 이상, 특별한 사정이 없는 한 교섭창구 단일화 절차에 참여한 다른 노동조합에게도 반드시 일률적이거나 비례적이지는 않더라도 상시적으로 사용할 수 있는 일정한 공간을 노동조합 사무실로 제공하여야 한다.</t>
  </si>
  <si>
    <t>하나의 사업 또는 사업장 단위에서 유일하게 존재하는 노동조합은, 설령 노동조합 및 노동관계조정법 및 그 시행령이 정한 절차를 형식적으로 거쳤다고 하더라도, 교섭대표노동조합의 지위를 취득할 수 없다.</t>
  </si>
  <si>
    <t>노동조합 및 노동관계조정법에 의하여 설립된 노동조합이 아니면서 노동조합이라는 명칭을 사용한 경우</t>
  </si>
  <si>
    <t>행정관청은 쟁의행위가 그 쟁의행위와 관계없는 자의 정상적인 업무를 방해하는 방법으로 행하여지는 경우 즉시 관할 노동위원회에 신고하여야 한다.</t>
  </si>
  <si>
    <t>「방위사업법」에 의하여 지정된 주요방위산업체에 종사하는 근로자중 전력, 용수 및 주로 방산물자를 생산하는 업무에 종사하는 자는 쟁의행위를 할 수 없다.</t>
  </si>
  <si>
    <t>필수유지업무의 정당한 유지・운영을 정지・폐지 또는 방해하는 쟁의행위는 할 수 없다.</t>
  </si>
  <si>
    <t>노동관계 당사자는 사적 조정에 의하여 노동쟁의를 해결하기로 한 때에는 이를 노동위원회에 신고하여야 한다.</t>
  </si>
  <si>
    <t>ㄱ: 7, ㄴ: 15, ㄷ: 30</t>
  </si>
  <si>
    <t>노동위원회의 위원장은 조정위원회의 구성이 어려운 경우 노동위원회의 각 근로자를 대표하는 위원, 사용자를 대표하는 위원 및 공익을 대표하는 위원 각 1인씩 3인을 조정위원으로 지명할 수 있다.</t>
  </si>
  <si>
    <t>중재재정의 해석 또는 이행방법에 관하여 관계 당사자간에 의견의 불일치가 있는 때에는 당해 중재위원회의 해석에 따르며 그 해석은 중재재정과 동일한 효력을 가진다.</t>
  </si>
  <si>
    <t>노사협의회 의장은 회의 개최 7일 전에 회의 일시, 장소, 의제 등을 각 위원에게 통보하여야 한다.</t>
  </si>
  <si>
    <t>제24조(의결 사항의 이행)를 위반하여 노사협의회에서 의결된 사항을 정당한 사유 없이 이행하지 아니한 자는 1천만원 이하의 벌금에 처한다.</t>
  </si>
  <si>
    <t>근로자의 복지증진</t>
  </si>
  <si>
    <t>노동위원회는 「노동조합 및 노동관계조정법」제84조에 따른 판정・명령 또는 결정이 있기 전까지 직권으로 화해를 권고하거나 화해안을 제시할 수 있다.</t>
  </si>
  <si>
    <t>노동위원회는 서류의 송달을 받아야 할 자의 주소가 통상적인 방법으로 확인할 수 없어 서류의 송달이 곤란한 경우에는 공시송달을 하여야 한다.</t>
  </si>
  <si>
    <t>노동위원회는 관계 행정기관으로 하여금 근로조건의 개선에 필요한 조치를 하도록 명령하여야 한다.</t>
  </si>
  <si>
    <t>고충처리위원은 노사를 대표하는 5명 이내의 위원으로 구성한다.</t>
  </si>
  <si>
    <t>교원은 임용권자의 동의를 받아 노동조합으로부터 급여를 지급받으면서 노동조합의 업무에만 종사할 수 있다.</t>
  </si>
  <si>
    <t>「고등교육법」에 따른 교원에 대해서는 시・도 단위를 기준으로 근무시간 면제 한도를 심의・의결한다.</t>
  </si>
  <si>
    <t>업무의 주된 내용이 다른 공무원에 대하여 지휘・감독권을 행사하거나 다른 공무원의 업무를 총괄하는 업무에 종사하는 공무원 중 대통령령으로 정하는 공무원은 공무원의 노동조합에 가입할 수 없다.</t>
  </si>
  <si>
    <t>단체협약의 유효기간은 3년을 초과하지 않는 범위에서 노사가 합의하여 정할 수 있다.</t>
  </si>
  <si>
    <t>중앙노동위원회 위원장이 직권으로 중재에 회부한다는 결정을 하는 경우 지체 없이 중재를 한다.</t>
  </si>
  <si>
    <t>일반적 구속력 (노동조합 및 노동관계조정법 제35조)</t>
  </si>
  <si>
    <t>관계 당사자 쌍방의 동의를 얻은 경우에는 교원 노동관계 조정위원회에 갈음하여 단독조정인에게 조정을 행하게 할 수 있다.</t>
  </si>
  <si>
    <t>연합단체인 노동조합의 대표자는 그 구성단체의 3분의 1 이상이 회의에 부의할 사항을 제시하고 회의의 소집을 요구한 때에는 지체없이 임시총회 또는 임시대의원회를 소집하여야 한다.</t>
  </si>
  <si>
    <t>노동조합의 대표자는 그 회계감사원으로 하여금 3월에 1회 이상 당해 노동조합의 현재의 경리상황 등에 대한 회계감사를 실시하게 하여야 한다.</t>
  </si>
  <si>
    <t>주로 정치운동을 목적으로 하는 경우에는 노동조합의 설립신고를 마치고 신고증을 교부받았다고 하더라도, 그러한 단체는 적법한 노동조합으로 인정받지 못할 수 있다.</t>
  </si>
  <si>
    <t>노동조합이 규약에 따라 자체적으로 마련한 선거관리규정은 조합민주주의를 실현하기 위한 강행법규에 적합한 범위 내에서는 일종의 자치적 법규범으로서 국가법질서 내에서 법적 효력을 가진다.</t>
  </si>
  <si>
    <t>노동조합은 그 규약으로 조합비를 납부하지 아니하는 조합원의 권리를 제한할 수 있다.</t>
  </si>
  <si>
    <t>유니언 숍 협정이 체결된 사업장의 사용자는 단체협약에 명문 규정이 있는 경우에도 노동조합에서 제명된 것을 이유로 근로자에게 신분상 불이익한 행위를 할 수 없다.</t>
  </si>
  <si>
    <t>노동위원회는 사용자의 신청을 받아 교섭단위를 분리하는 결정을 할 수 있다.</t>
  </si>
  <si>
    <t>총회의 해산결의가 있는 경우 노동조합은 해산한다.</t>
  </si>
  <si>
    <t>교섭대표노동조합과 사용자는 교섭창구 단일화 절차에 참여한 노동조합의 조합원 간에 합리적 이유 없이 차별을 하여서는 아니 된다.</t>
  </si>
  <si>
    <t>교섭대표노동조합이 결정된 후 교섭창구단일화절차가 개시된 날부터 1년 동안 단체협약을 체결하지 못한 경우에는 어느 노동조합이든지 사용자에게 교섭을 요구할 수 있다.</t>
  </si>
  <si>
    <t>쟁의행위가 사업장의 안전보호시설에 대하여 정상적인 운영을 방해하는 행위로 행하여지는 경우에 사용자가 행정관청과 관할 노동위원회에 하여야 할 신고는 전화로도 가능하다.</t>
  </si>
  <si>
    <t>필수유지업무협정은 노동관계 당사자가 서면으로 체결하여야 하고, 쌍방이 서명 또는 날인하여야 한다.</t>
  </si>
  <si>
    <t>노동조합은 쟁의행위가 적법하게 수행될 수 있도록 지도・관리・통제할 책임이 있다.</t>
  </si>
  <si>
    <t>부당노동행위의 구제</t>
  </si>
  <si>
    <t>노동관계 당사자가 노동쟁의를 단체협약에서 정하는 바에 따라 해결하기로 한 경우 이를 행정관청에 신고하여야 한다.</t>
  </si>
  <si>
    <t>노동위원회가 부당노동행위의 구제신청을 받고 심문을 할 때에는 그 직권으로 증인을 출석하게 하여 필요한 사항을 질문할 수 있다.</t>
  </si>
  <si>
    <t>사업장 내 근로자 감시 설비의 설치는 노사협의회가 협의하여야 할 사항에 해당한다.</t>
  </si>
  <si>
    <t>노사협의회의 근로자위원의 선출에 입후보하려는 사람은 해당 사업이나 사업장의 근로자여야 한다.</t>
  </si>
  <si>
    <t>중앙노동위원회 상임위원은 사무처장을 겸직할 수 없다.</t>
  </si>
  <si>
    <t>교정・수사 등 공공의 안녕과 국가안전보장에 관한 업무에 종사하는 공무원은 노동조합에 가입할 수 없다.</t>
  </si>
  <si>
    <t>전임자는 그 전임기간 중 전임자임을 이유로 승급 또는 그 밖의 신분상의 불이익을 받지 아니한다.</t>
  </si>
  <si>
    <t>우리나라는 1991년에 국제노동기구(ILO)에 가입하였다.</t>
  </si>
  <si>
    <t>ㄱ: 2, ㄴ: 10, ㄷ: 1</t>
  </si>
  <si>
    <t>노동조합의 합병・분할 또는 해산, 조직형태 변경을 위해서는 총회의 의결을 거쳐야 한다.</t>
  </si>
  <si>
    <t>노동조합에 임시총회 소집권자가 없는 경우 행정관청의 회의소집권자 지명 기한</t>
  </si>
  <si>
    <t>노동조합의 하부단체인 분회나 지부가 독자적인 규약 및 집행기관을 가지고 독립된 조직체로서 활동을 하는 경우 당해 조직이나 그 조합원에 고유한 사항에 대하여는 독자적으로 단체교섭하고 단체협약을 체결할 수 있다.</t>
  </si>
  <si>
    <t>사용자로부터 교섭의 체결에 관한 권한을 위임받은 자는 그 사용자를 위하여 위임받은 범위안에서 그 권한을 행사할 수 있다.</t>
  </si>
  <si>
    <t>교섭대표노동조합을 자율적으로 결정하는 기한 내에 사용자가 교섭창구 단일화 절차를 거치지 아니하기로 동의한 경우에는 사용자는 교섭을 요구한 모든 노동조합과 성실히 교섭하여야 한다.</t>
  </si>
  <si>
    <t>노동조합 또는 사용자는 분리된 교섭단위를 통합하여 교섭하려는 경우에는 노동위원회에 분리된 교섭단위를 통합하는 결정을 신청할 수 없다.</t>
  </si>
  <si>
    <t>하나의 사업장에 상시 사용되는 동종의 근로자 반수 이상이 하나의 단체협약의 적용을 받게 된 때에는 행정관청은 직권으로 다른 동종의 근로자에 대하여도 당해 단체협약을 적용한다는 결정을 하여야 한다.</t>
  </si>
  <si>
    <t>ㄱ: 2, ㄴ: 3</t>
  </si>
  <si>
    <t>단체협약에 정한 근로조건 기타 근로자의 대우에 관한 기준에 위반하는 취업규칙 또는 근로계약의 부분은 무효로 한다.</t>
  </si>
  <si>
    <t>조정은 조정의 신청이 있은 날부터 일반사업에 있어서는 10일, 공익사업에 있어서는 15일 이내에 종료하여야 한다.</t>
  </si>
  <si>
    <t>관계 당사자의 일방이 단체협약에 의하여 중재를 신청한 때에도 노동위원회는 중재를 행한다.</t>
  </si>
  <si>
    <t>ㄴ, ㄷ, ㅁ</t>
  </si>
  <si>
    <t>직장폐쇄의 개시 자체는 정당하더라도 근로자가 쟁의행위를 중단하고 진정으로 업무에 복귀할 의사를 표시하였음에도 사용자가 직장폐쇄를 계속 유지하면서 공격적 직장폐쇄의 성격으로 변질된 경우에는 그 이후의 직장폐쇄는 정당성을 상실하게 된다.</t>
  </si>
  <si>
    <t>쟁의행위의 일시</t>
  </si>
  <si>
    <t>노동조합의 쟁의행위는 직접・비밀・무기명투표에 의한 종사근로자인 조합원 과반수의 찬성으로 결정하지 아니하면 이를 행할 수 없다.</t>
  </si>
  <si>
    <t>노동조합 및 노동관계조정법상 적법한 절차를 거친 후 이루어진 쟁의행위에 대하여 쟁의발생 신고절차의 미준수만을 이유로 그 정당성을 부정할 수는 없다.</t>
  </si>
  <si>
    <t>사용자가 근로자의 후생자금을 위해 기금을 기부하는 경우에 부당노동행위가 성립하지 않는다.</t>
  </si>
  <si>
    <t>원조된 운영비가 노동조합의 총지출에서 차지하는 비율</t>
  </si>
  <si>
    <t>노동위원회가 관계 당사자의 심문을 할 때에는 관계당사자의 신청 없이는 증인을 출석하게 하여 필요한 사항을 질문할 수 없다.</t>
  </si>
  <si>
    <t>관계 당사자 양쪽이 모두 단독심판을 신청하거나 단독심판으로 처리하는 것에 동의한 경우 단독심판으로 사건을 처리할 수 있다.</t>
  </si>
  <si>
    <t>전임자에 대하여는 그 기간 중 「국가공무원법」 제71조 또는 「지방공무원법」 제63조에 따라 휴직명령을 하여야 한다.</t>
  </si>
  <si>
    <t>교원으로 임용되어 근무하였던 사람은 규약에 정함이 있더라도 노동조합에 가입할 수 없다.</t>
  </si>
  <si>
    <t>하나의 사업에 종사하는 전체 근로자 수가 30명 이상이면 해당 근로자가 지역별로 분산되어 있더라도 그 주된 사무소에 노사협의회를 설치하여야 한다.</t>
  </si>
  <si>
    <t>사용자단체라 함은 노동관계에 관하여 그 구성원인 사용자에 대하여 조정 또는 규제할 수 있는 권한을 가진 사용자의 단체를 말한다.</t>
  </si>
  <si>
    <t>노동조합이 신고증을 교부받은 경우에는 설립신고서가 접수된 때에 설립된 것으로 본다.</t>
  </si>
  <si>
    <t>규약변경에 관한 사항</t>
  </si>
  <si>
    <t>대의원은 조합원의 직접・비밀・무기명투표에 의하여 선출되어야 한다.</t>
  </si>
  <si>
    <t>노동조합의 하부단체인 분회나 지부가 독자적인 규약 및 집행기관을 가지고 독립된 조직체로서 활동을 하더라도 당해 조직이나 그 조합원에 고유한 사항에 대하여 독자적으로 단체교섭하고 단체협약을 체결할 수는 없다.</t>
  </si>
  <si>
    <t>이미 구체적으로 지급청구권이 발생한 임금은 노동조합이 근로자들로부터 개별적인 동의나 수권을 받지 않더라도, 단체협약만으로 이에 대한 반환이나 포기 및 지급유예와 같은 처분행위를 할 수 있다.</t>
  </si>
  <si>
    <t>교섭대표노동조합 결정 절차에 참여한 모든 노동조합은 대통령령으로 정하는 기한 내에 자율적으로 교섭대표노동조합을 정한다.</t>
  </si>
  <si>
    <t>단체협약의 내용 중 임금・복리후생비, 퇴직금에 관한 사항을 위반한 자는 1천만원 이하의 벌금에 처한다.</t>
  </si>
  <si>
    <t>교섭창구 단일화 절차에 참여한 노동조합은 교섭대표노동조합이 공정대표의무를 위반하여 차별한 경우에는 그 행위가 있은 날(단체협약 내용의 일부 또는 전부가 공정대표의무에 위반되는 경우에는 단체협약 체결일을 말한다)부터 3개월 이내에 대통령령으로 정하는 방법과 절차에 따라 노동위원회에 그 시정을 요청할 수 있다.</t>
  </si>
  <si>
    <t>노동조합이 존속 중에 그 조합원의 범위를 변경하는 조직변경은 변경 전후의 조합의 실질적 동일성이 인정되는 범위 내에서 인정된다.</t>
  </si>
  <si>
    <t>근로자는 쟁의행위 기간 중에는 현행범외에는 노동조합 및 노동관계조정법 위반을 이유로 구속되지 아니한다.</t>
  </si>
  <si>
    <t>적법하게 사업장을 점거 중인 근로자들이 사용자로부터 퇴거 요구를 받고도 이에 불응한 채 직장점거를 계속하면 직장폐쇄의 정당성 여부와 관계없이 퇴거불응죄가 성립한다.</t>
  </si>
  <si>
    <t>산업별 노동조합의 경우에는 총파업이 아닌 이상 쟁의행위를 예정하고 있는 당해 지부나 분회소속 조합원의 과반수의 찬성이 있으면 쟁의행위는 절차적으로 적법하다.</t>
  </si>
  <si>
    <t>필수유지업무협정에는 노동관계 당사자 쌍방이 서명 또는 날인하여야 한다.</t>
  </si>
  <si>
    <t>조정서의 내용은 단체협약과 동일한 효력을 가진다.</t>
  </si>
  <si>
    <t>단체협약 등 노사 간 합의에 의한 경우라도 타당한 근거 없이 과다하게 책정된 급여를 근로시간 면제자에게 지급하는 사용자의 행위는 부당노동행위가 될 수 있다.</t>
  </si>
  <si>
    <t>방송사업은 필수공익사업에 해당한다.</t>
  </si>
  <si>
    <t>지방노동위원회 공익위원은 중앙노동위원회 위원장의 제청으로 고용노동부장관이 위촉한다.</t>
  </si>
  <si>
    <t>노사협의회는 3개월마다 정기적으로 회의를 개최하여야 한다.</t>
  </si>
  <si>
    <t>교원의 노동조합과 그 조합원은 업무의 정상적인 운영을 방해하는 어떠한 쟁의행위도 하여서는 아니 된다.</t>
  </si>
  <si>
    <t>정부교섭대표는 효율적인 교섭을 위하여 필요한 경우 다른 정부교섭대표와 공동으로 교섭하거나, 다른 정부교섭대표에게 교섭 및 단체협약 체결 권한을 위임할 수 있다.</t>
  </si>
  <si>
    <t>공무원인 근로자는 법률이 정하는 자에 한하여 단결권・단체교섭권 및 단체행동권을 가진다.</t>
  </si>
  <si>
    <t>ㄱ, ㄹ, ㄷ, ㅁ</t>
  </si>
  <si>
    <t>노동조합이라는 명칭을 사용할 수 없다.</t>
  </si>
  <si>
    <t>성별</t>
  </si>
  <si>
    <t>노동조합의 결의 또는 처분이 노동관계법령에 위반된다고 인정할 경우</t>
  </si>
  <si>
    <t>근로시간 면제 한도는 위원회가 심의・의결한 바에 따라 고용노동부장관이 고시하되, 3년마다 그 적정성 여부를 재심의하여 결정할 수 있다.</t>
  </si>
  <si>
    <t>노동조합이 합병으로 소멸한 경우에 노동조합은 해산한다.</t>
  </si>
  <si>
    <t>노동조합으로부터 단체교섭에 관한 권한을 위임받은 자는 자유롭게 권한을 행사할 수 있다.</t>
  </si>
  <si>
    <t>갑, 병의 연합</t>
  </si>
  <si>
    <t>단체협약의 당사자는 단체협약의 체결일부터 15일 이내에 이를 행정관청에 신고하여야 한다.</t>
  </si>
  <si>
    <t>노동위원회는 사업장의 안전보호시설에 대하여 정상적인 유지・운영을 정지・폐지 또는 방해하는 쟁의행위에 해당한다고 인정하는 경우 직권으로 그 행위를 중지할 것을 통보하여야 한다.</t>
  </si>
  <si>
    <t>노동관계 당사자는 필수유지업무의 필요 최소한의 유지・운영 수준, 대상직무 및 필요인원 등을 정한 협정을 서면으로 체결하여야 한다.</t>
  </si>
  <si>
    <t>필수공익사업의 사용자는 쟁의행위 기간 중에 한하여 당해 사업과 관계없는 자를 채용 또는 대체할 수 있다.</t>
  </si>
  <si>
    <t>노동조합은 쟁의행위 기간에 대한 임금의 지급을 요구하여 이를 관철할 목적으로 쟁의행위를 하여서는 아니 된다.</t>
  </si>
  <si>
    <t>조정은 그 신청이 있은 날부터 일반사업에 있어서는 10일 이내에, 공익사업에 있어서는 15일 이내에 종료하여야 한다.</t>
  </si>
  <si>
    <t>중재재정은 서면으로 작성하여 이를 행하며 그 서면에는 효력발생 기일을 명시하여야 한다.</t>
  </si>
  <si>
    <t>고용노동부장관은 긴급조정을 결정한 때에는 지체없이 그 이유를 붙여 이를 공표함과 동시에 중앙노동위원회와 관계 당사자에게 각각 통고하여야 한다.</t>
  </si>
  <si>
    <t>근로자에 대한 인사고과가 상여금의 지급기준이 되는 사업장에서 사용자가 특정 노동조합의 조합원이라는 이유로 다른 노동조합의 조합원 또는 비조합원보다 불리하게 인사고과를 하여 상여금을 적게 지급하는 불이익을 주었다면 그러한 사용자의 행위도 부당노동행위에 해당할 수 있다.</t>
  </si>
  <si>
    <t>ㄱ, ㄷ, ㅂ</t>
  </si>
  <si>
    <t>중앙노동위원회의 재심판정에 대하여 관계 당사자는 그 재심판정서의 송달을 받은 날부터 15일 이내에 행정소송법이 정하는 바에 의하여 소를 제기할 수 있다.</t>
  </si>
  <si>
    <t>노동조합의 대표자는 그 노동조합 또는 조합원의 임금, 근무 조건, 후생복지 등 경제적・사회적 지위 향상에 관하여 교육부장관, 시・도 교육감과 교섭하고 단체협약을 체결할 권한을 가진다.</t>
  </si>
  <si>
    <t>교정・수사 또는 그 밖에 이와 유사한 업무에 종사하는 공무원은 노동조합에 가입할 수 없다.</t>
  </si>
  <si>
    <t>중앙노동위원회와 지방노동위원회는 고용노동부장관 소속으로 둔다.</t>
  </si>
  <si>
    <t>ㄴ - ㄱ - ㄷ - ㄹ</t>
  </si>
  <si>
    <t>단결권은 단결할 자유만을 가리키고, 단결하지 아니할 자유는 일반적 행동의 자유 또는 결사의 자유에 그 근거가 있다.</t>
  </si>
  <si>
    <t>규율과 통제에 관한 사항</t>
  </si>
  <si>
    <t>근로시간 면제자에게 급여를 지급하는 행위는 특별한 사정이 없는 한 부당노동행위가 되지 않는 것이 원칙이다.</t>
  </si>
  <si>
    <t>노동조합의 임원이 없고 노동조합으로서의 활동을 1년 이상 하지 아니한 것으로 인정되는 경우로서 행정관청이 노동위원회의 의결을 얻은 경우에 노동조합은 해산한다.</t>
  </si>
  <si>
    <t>노동조합 활동은 근로조건의 유지 개선과 근로자의 경제적 지위의 향상을 도모하기 위하여 필요하고 근로자들의 단결 강화에 도움이 되는 행위이어야 한다.</t>
  </si>
  <si>
    <t>단위노동조합이 당해 노동조합이 가입한 상부단체인 연합단체에 단체교섭권한을 위임한 경우 단위노동조합의 단체교섭권한은 소멸한다.</t>
  </si>
  <si>
    <t>노동조합은 교섭대표노동조합이 공정대표의무를 위반하여 차별한 경우에는 그 행위가 있은 날부터 6개월 이내에 노동위원회에 그 시정을 요청할 수 있다.</t>
  </si>
  <si>
    <t>교섭창구 단일화 절차에 따라 결정된 교섭대표노동조합이 그 결정된 날부터 6개월 동안 단체협약을 체결하지 못한 경우에는 어느 노동조합이든지 사용자에게 교섭을 요구할 수 있다.</t>
  </si>
  <si>
    <t>근로계약에 규정되지 아니한 사항은 단체협약에 정한 기준에 의한다.</t>
  </si>
  <si>
    <t>휴가에 관한 사항</t>
  </si>
  <si>
    <t>단체협약의 해석에 관한 지방노동위원회의 제시 견해가 위법 또는 월권에 의한 경우에는 중앙노동위원회에 재심을 신청할 수 있다.</t>
  </si>
  <si>
    <t>노동관계 당사자는 노동쟁의가 발생한 때에는 이를 자주적으로 해결하도록 노력하여야 한다.</t>
  </si>
  <si>
    <t>노동쟁의가 노동위원회의 중재에 회부된 때에는 그 날부터 10일간은 쟁의행위를 할 수 없다.</t>
  </si>
  <si>
    <t>방위사업법에 의하여 지정된 주요방위산업체에 종사하는 근로자중 전력, 용수 및 주로 방산물자를 생산하는 업무에 종사하는 자는 쟁의행위를 할 수 없다.</t>
  </si>
  <si>
    <t>근로기준법상 유급휴일에 대한 법리는 휴직 등과 동일하게 근로자의 근로제공의무 등의 주된 권리・의무가 정지되어 근로자의 임금청구권이 발생하지 아니하는 쟁의행위인 파업에도 적용된다.</t>
  </si>
  <si>
    <t>사용자의 직장폐쇄는 근로자의 쟁의행위에 대한 방어수단으로서 상당성이 있어야만 사용자의 정당한 쟁의행위로 인정할 수 있다.</t>
  </si>
  <si>
    <t>사용자가 근로자를 해고함에 있어서 표면적으로 내세우는 해고사유와는 달리 실질적으로 근로자의 정당한 조합활동을 이유로 해고한 것으로 인정되는 경우에는 그 해고는 부당노동행위로 보아야 한다.</t>
  </si>
  <si>
    <t>사용자의 부당노동행위로 인하여 그 권리를 침해당한 근로자 또는 노동조합은 부당노동행위가 있은 날(계속하는 행위는 그 종료일)부터 3월 이내에 구제를 신청해야 한다.</t>
  </si>
  <si>
    <t>사내근로복지기금의 설치에 관한 사항</t>
  </si>
  <si>
    <t>노동위원회는 관계 행정기관으로 하여금 근로조건의 개선에 필요한 조치를 하도록 권고할 수 있고, 권고를 받은 관계 행정기관은 특별한 사유가 없으면 이에 따라야 한다.</t>
  </si>
  <si>
    <t>노동조합을 설립하려는 사람은 교육부장관에게 설립신고서를 제출하여야 한다.</t>
  </si>
  <si>
    <t>정부교섭대표는 교섭을 요구하는 노동조합이 둘 이상인 경우에는 해당 노동조합에 교섭창구를 단일화하도록 요청할 수 있고, 교섭창구가 단일화될 때까지 교섭을 거부할 수 있다.</t>
  </si>
  <si>
    <t>법률이 정하는 주요방위산업체에 종사하는 근로자의 단체행동권은 법률이 정하는 바에 의하여 이를 제한하거나 인정하지 아니할 수 있다.</t>
  </si>
  <si>
    <t>독일의 1919년 바이마르헌법은 단결의 자유를 명문화하였다.</t>
  </si>
  <si>
    <t>복리사업만을 목적으로 하는 경우에는 노동조합으로 보지 아니한다.</t>
  </si>
  <si>
    <t>노동조합에 대하여는 그 사업체를 제외하고는 세법이 정하는 바에 따라 조세를 부과하지 아니한다.</t>
  </si>
  <si>
    <t>해산</t>
  </si>
  <si>
    <t>사용자단체는 법령에 따라 교섭 또는 단체협약의 체결에 관한 권한을 위임하는 경우에는 교섭사항과 권한범위를 정하여 위임하여야 한다.</t>
  </si>
  <si>
    <t>근로조건 그 자체는 아니지만 근로조건과 밀접한 관련을 가지는 사항은 사용자의 경영권을 근본적으로 제약하지 않는 경우 단체교섭 대상이 될 수 있다.</t>
  </si>
  <si>
    <t>노동조합 교섭요구 사실의 공고는 사용자가 법령에 따라 교섭을 요구받은 날부터 7일간 하여야 한다.</t>
  </si>
  <si>
    <t>노동위원회는 노동관계 당사자 양쪽의 신청이 있으면 교섭단위를 분리하는 결정을 하여야 한다.</t>
  </si>
  <si>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</si>
  <si>
    <t>단체협약의 해석에 관하여 관계 당사자 간에 의견의 불일치가 있는 때에는 당사자 쌍방은 고용노동부에 그 해석에 관한 견해의 제시를 요청할 수 있다.</t>
  </si>
  <si>
    <t>행정관청은 직권으로 노동위원회의 의결을 얻어 단체협약의 지역적 구속력 적용 결정을 할 수 없다.</t>
  </si>
  <si>
    <t>쟁의행위는 생산 기타 주요업무에 관련되는 시설과 이에 준하는 시설로서 대통령령이 정하는 시설을 점거하는 형태로 이를 행할 수 없다.</t>
  </si>
  <si>
    <t>고용노동부장관은 긴급조정의 결정을 하고자 할 때에는 미리 중앙노동위원회 위원장의 의견을 들어야 한다.</t>
  </si>
  <si>
    <t>통신사업의 업무 중 기간망의 운영・관리업무</t>
  </si>
  <si>
    <t>부당노동행위가 계속하는 행위인 경우에는 그 종료일부터 6월 이내에 구제신청을 하여야 한다.</t>
  </si>
  <si>
    <t>관할법원은 당사자의 신청이나 직권으로 중앙노동위원회 구제명령의 이행을 명한 결정을 취소할 수 있다.</t>
  </si>
  <si>
    <t>영업활동을 하지 아니하는 노조전임자를 다른 영업사원과 동일하게 판매실적에 따른 승격기준만을 적용하여 승격에서 배제한 것은 부당노동행위에 해당한다.</t>
  </si>
  <si>
    <t>둘 이상의 지방노동위원회의 관할구역에 걸친 노동쟁의의 조정사건은 주된 사업장의 소재지를 관할하는 지방노동위원회에서 관장한다.</t>
  </si>
  <si>
    <t>공무원의 노동조합은 정치활동을 하여서는 아니 된다.</t>
  </si>
  <si>
    <t>교원의 노동조합의 전임자는 그 전임기간 중 전임자임을 이유로 승급 또는 그 밖의 신분상의 불이익을 받지 아니하며, 임용권자로부터 급여를 받을 수 있다.</t>
  </si>
  <si>
    <t>단결권은 단결할 자유만을 가리킬 뿐이고, 단결하지 아니할 자유는 이에 포함되지 않는다.</t>
  </si>
  <si>
    <t>여자와 소년의 근로는 특별한 보호를 받는다.</t>
  </si>
  <si>
    <t>승진 및 승급에 관한 조항</t>
  </si>
  <si>
    <t>ㄱ: 10 ㄴ: 7</t>
  </si>
  <si>
    <t>행정관청이 노동조합의 설립신고서를 접수한 때부터 3일 이내에 설립신고서의 반려 또는 보완지시가 없는 경우에는 설립신고증의 교부가 없어도 노동조합이 성립된 것으로 본다.</t>
  </si>
  <si>
    <t>노동관계 당사자는 사적조정등에 의하여 노동쟁의를 해결하기로 한 때에는 이를 고용노동부장관에게 신고하여야 한다.</t>
  </si>
  <si>
    <t>필수유지업무란 국민경제에 미치는 영향이 크거나 공중의 일상생활을 현저히 위태롭게 하는 업무를 말한다.</t>
  </si>
  <si>
    <t>어느 사업장의 근로자로 구성된 노동조합이 다른 사업장의 노동조합을 결성하거나 그 조직형태 등을 결정할 수는 없다.</t>
  </si>
  <si>
    <t>단체협약 중 근로조건 기타 근로자의 대우에 관하여 정한 부분은 근로자와 사용자 사이의 근로계약관계를 직접 규율하는 효력을 가진다.</t>
  </si>
  <si>
    <t>행정관청에 대한 노동조합의 쟁의행위 신고</t>
  </si>
  <si>
    <t>교섭대표노동조합이 결정된 경우에는 그 절차에 참여한 노동조합의 전체 조합원(해당 사업 또는 사업장 소속 조합원으로 한정)의 직접・비밀・무기명투표에 의한 과반수의 찬성으로 결정하지 아니하면 쟁의행위를 할 수 없다.</t>
  </si>
  <si>
    <t>근로시간 면제 한도를 정하기 위하여 근로시간면제심의위원회를 고용노동부에 둔다.</t>
  </si>
  <si>
    <t>ㄱ: 30 ㄴ: 30</t>
  </si>
  <si>
    <t>조폐사업</t>
  </si>
  <si>
    <t>하나의 사업에 지역을 달리하는 사업장이 있을 경우에는 그 사업장에도 설치할 수 있다.</t>
  </si>
  <si>
    <t>노동조합을 설립하려는 사람은 교육부장관에게 설립신고서를 제출해야 한다.</t>
  </si>
  <si>
    <t>노동조합은 단체교섭을 위하여 노동조합의 조합원 외의 자를 교섭위원으로 구성할 수 있다.</t>
  </si>
  <si>
    <t>노동위원회는 접수된 사건이 다른 노동위원회의 관할인 경우에는 지체 없이 해당 사건을 관할 노동위원회로 이송하여야 한다.</t>
  </si>
  <si>
    <t>부당노동행위 제도는 최초 도입된 이후 현재까지 구제주의와 처벌주의를 병행하고 있다.</t>
  </si>
  <si>
    <t>노동조합의 대표자는 필요하다고 인정할 때에는 임시총회 또는 임시대의원회를 소집할 수 있다.</t>
  </si>
  <si>
    <t>교섭대표노동조합 결정 절차에 참여한 노동조합들이 교섭대표노동조합을 자율적으로 결정하는 기한 내에 교섭창구 단일화 절차를 거치지 아니하기로 합의한 경우에 사용자는 개별교섭에 응하여야 한다.</t>
  </si>
  <si>
    <t>노동조합은 단체협약의 체결에 관한 권한을 위임할 수 없다.</t>
  </si>
  <si>
    <t>노동위원회는 노동관계 당사자의 신청이나 직권으로 교섭단위를 분리하는 결정을 할 수 있다.</t>
  </si>
  <si>
    <t>정리해고나 사업조직의 통폐합 등 기업의 구조조정의 실시 여부는 경영주체에 의한 고도의 경영상 결단에 속하는 사항으로서 이는 원칙적으로 단체교섭의 대상이 될 수 없다.</t>
  </si>
  <si>
    <t>사용자가 노동조합과의 협상에 따라 정리해고를 제한하기로 하는 내용의 단체협약을 체결하였다면 특별한 사정이 없는 한 그 단체협약이 강행법규나 사회질서에 위배된다고 볼 수 없다.</t>
  </si>
  <si>
    <t>단체협약의 당사자는 단체협약의 체결일부터 15일 이내에 이를 행정관청에게 신고하여야 한다.</t>
  </si>
  <si>
    <t>편의제공</t>
  </si>
  <si>
    <t>관계 당사자는 긴급조정의 결정이 공표된 때에는 즉시 쟁의행위를 중지하여야 하며, 공표일부터 30일이 경과하지 아니하면 쟁의행위를 재개할 수 없다.</t>
  </si>
  <si>
    <t>사적 조정 등에 의하여 조정 또는 중재가 이루어진 경우 그 내용은 단체협약과 동일한 효력을 가진다.</t>
  </si>
  <si>
    <t>단체협약이 새로 체결된 직후부터 뚜렷한 무효사유를 내세우지도 아니한 채 단체협약의 전면 무효화를 주장하면서 평화의무에 위반되는 쟁의행위를 행하는 것은 이미 노동조합활동으로서의 정당성을 결여한 것이다.</t>
  </si>
  <si>
    <t>노동조합은 규약에 쟁의행위와 관련된 찬반투표 결과의 공개, 투표자 명부 및 투표용지 등의 보존・열람에 관한 사항을 기재하여야 한다.</t>
  </si>
  <si>
    <t>사용자는 직장폐쇄를 할 경우에는 미리 행정관청 및 노동위원회에 각각 신고하여야 한다.</t>
  </si>
  <si>
    <t>지배・개입으로서의 부당노동행위의 성립에 반드시 근로자의 단결권의 침해라는 결과의 발생까지 요하는 것은 아니다.</t>
  </si>
  <si>
    <t>노동위원회는 부당노동행위 구제신청의 심문을 함에 있어서는 관계 당사자에 대하여 증거의 제출과 증인에 대한 반대심문을 할 수 있는 충분한 기회를 주어야 한다.</t>
  </si>
  <si>
    <t>노동조합을 설립하려는 사람은 행정자치부장관에게 설립신고서를 제출하여야 한다.</t>
  </si>
  <si>
    <t>교원은 임용권자의 동의가 있는 경우에는 노동조합의 업무에만 종사할 수 있다.</t>
  </si>
  <si>
    <t>노동위원회는 판정・명령 또는 결정이 있기 전까지 관계 당사자의 신청이 있는 경우에 한하여 화해를 권고할 수 있다.</t>
  </si>
  <si>
    <t>설립신고서를 접수한 행정관청은 반려・보완사유가 없는 경우 3일 이내에 신고증을 교부하여야 한다.</t>
  </si>
  <si>
    <t>합병 또는 분할로 소멸한 경우</t>
  </si>
  <si>
    <t>단체협약의 당사자는 체결일부터 15일 이내에 노동위원회에 단체협약을 신고하여야 한다.</t>
  </si>
  <si>
    <t>재해부조에 관한 사항</t>
  </si>
  <si>
    <t>"사용자"라 함은 사업주, 사업의 경영담당자 또는 그 사업의 근로자에 관한 사항에 대하여 사업주를 위하여 행동하는 자를 말한다.</t>
  </si>
  <si>
    <t>노동조합 임원을 해임하고자 하는 경우에는 총회에서 재적 조합원 과반수 출석과 출석 조합원 3분의 2 이상의 찬성이 있어야 한다.</t>
  </si>
  <si>
    <t>교섭대표노동조합이 결정된 날부터 그 교섭대표노동조합이 6개월 동안 단체협약을 체결하지 못한 경우에는 어느 노동조합이든지 사용자에게 교섭을 요구할 수 있다.</t>
  </si>
  <si>
    <t>단체협약에 그 유효기간을 정하지 아니한 경우에 그 유효기간은 3년으로 한다.</t>
  </si>
  <si>
    <t>하나의 사업장에서 현격한 근로조건의 차이 등을 고려하여 교섭단위를 분리할 필요가 있다고 인정되는 경우에 노동위원회는 노동관계 당사자의 양쪽 또는 어느 한 쪽의 신청을 받아 교섭단위를 분리하는 결정을 할 수 있다.</t>
  </si>
  <si>
    <t>노동조합 전임자는 사용자와 기본적 노사관계를 유지하고 근로자 신분을 그대로 가진다.</t>
  </si>
  <si>
    <t>노동조합의 회계감사원은 필요하다고 인정할 경우에는 당해 노동조합의 회계감사를 실시하되 그 결과를 공개하여서는 아니된다.</t>
  </si>
  <si>
    <t>노동조합의 대표자와의 단체협약체결 기타의 단체교섭을 정당한 이유 없이 해태하는 행위</t>
  </si>
  <si>
    <t>부당노동행위의 구제 신청은 부당노동행위가 있은 날(계속하는 행위는 그 종료일)부터 3월 이내에 이를 행하여야 한다.</t>
  </si>
  <si>
    <t>조정은 조정의 신청이 있은 날부터 일반사업에 있어서는 10일 이내에 종료하여야 한다.</t>
  </si>
  <si>
    <t>사용자는 직장폐쇄를 할 경우에는 미리 행정관청 또는 노동위원회 어느 한 곳에 신고하여야 한다.</t>
  </si>
  <si>
    <t>고용노동부장관은 긴급조정의 결정을 하고자 할 때에는 미리 중앙노동위원회의 의결을 거쳐야 한다.</t>
  </si>
  <si>
    <t>필수유지업무협정은 노동관계 당사자 쌍방이 서명 또는 날인하여야 하는 것은 아니다.</t>
  </si>
  <si>
    <t>사용자는 교섭창구 단일화 절차에 참여한 노동조합 또는 그 조합원 간에 합리적 이유 없이 차별을 하여서는 아니 된다.</t>
  </si>
  <si>
    <t>정부교섭대표는 법령 등에 따라 스스로 관리하거나 결정할 수 있는 권한을 가진 사항에 대하여 노동조합이 교섭을 요구할 때에는 정당한 사유가 없으면 이에 응하여야 한다.</t>
  </si>
  <si>
    <t>교원은 임용권자의 동의를 받아 노동조합으로부터 급여를 지급받을 수 있다.</t>
  </si>
  <si>
    <t>노동위원회 위원의 임기는 3년으로 하되, 연임할 수 있다.</t>
  </si>
  <si>
    <t>사용자는 근로자위원의 업무를 위하여 장소의 사용 등 기본적인 편의를 제공하여야 한다.</t>
  </si>
  <si>
    <t>헌법상 단결권에는 소극적 단결권, 즉 단결하지 아니할 자유가 포함되지 않는다.</t>
  </si>
  <si>
    <t>근로기준법상 근로자의 개념과 동일하다.</t>
  </si>
  <si>
    <t>임원의 선거에 있어서 출석조합원 과반수의 찬성을 얻은 자가 없는 경우에는 규약이 정하는 바에 따라 결선투표를 실시하여 다수의 찬성을 얻은 자를 임원으로 선출할 수 있다.</t>
  </si>
  <si>
    <t>근로시간 면제 한도는 고용노동부장관이 고시하되, 근로시간면제심의위원회가 2년 마다 그 적정성 여부를 재심의하여 결정하여야 한다.</t>
  </si>
  <si>
    <t>단위노동조합이 연합단체인 노동조합에 가입하는 경우에는 그 연합단체인 노동조합의 규약이 정하는 의무를 성실하게 이행하여야 한다.</t>
  </si>
  <si>
    <t>행정관청이 설립신고서를 접수한 때에는 반려・보완사유가 없을 경우 3일 이내에 신고증을 교부하여야 한다.</t>
  </si>
  <si>
    <t>노동조합의 구성원인 근로자의 노동조건 기타 근로자의 대우 또는 당해 단체적 노사관계의 운영에 관한 사항으로 사용자가 처분할 수 있는 사항은 단체교섭의 대상이 된다.</t>
  </si>
  <si>
    <t>단위노동조합</t>
  </si>
  <si>
    <t>단체협약의 내용 중 편의제공에 관한 사항을 위반한 자에 대해서는 벌칙규정이 적용된다.</t>
  </si>
  <si>
    <t>단체협약에 1년을 초과하는 유효기간을 정할 수 없다.</t>
  </si>
  <si>
    <t>사용자는 정당한 이유없이 단체협약의 체결을 거부하거나 해태하여서는 아니된다.</t>
  </si>
  <si>
    <t>사용자는 직장폐쇄를 한 이후에 지체 없이 행정관청 및 노동위원회에 신고하여야 한다.</t>
  </si>
  <si>
    <t>노동관계 당사자는 필수유지업무협정을 서면으로 체결하여야 한다.</t>
  </si>
  <si>
    <t>정당성 없는 쟁의행위로 인하여 손해를 입은 사용자는 노동조합의 책임 외에 불법행위를 기획, 지시, 지도하는 등으로 주도한 조합의 간부들 개인에 대하여도 책임을 지울 수 있다.</t>
  </si>
  <si>
    <t>공익사업에 있어서 특별조정위원회 위원은 그 노동위원회의 공익을 대표하는 위원 중에서 노동조합과 사용자가 추천한 자 중에서 고용노동부장관이 지명한다.</t>
  </si>
  <si>
    <t>부당노동행위 의사가 존재하는지 여부는 이를 추정할 수 있는 객관적 사정을 종합하여 판단한다.</t>
  </si>
  <si>
    <t>사용자가 연설 등을 통하여 의견을 표명하는 경우 노동조합의 조직이나 운영을 지배하거나 이에 개입하는 의사가 인정된다면 부당노동행위가 성립할 수 있다.</t>
  </si>
  <si>
    <t>노동위원회는 관계 당사자에 대하여 증거의 제출과 증인에 대한 반대심문을 할 수 있는 충분한 기회를 주어야 한다.</t>
  </si>
  <si>
    <t>2이상의 지방노동위원회의 관할구역에 걸친 노동쟁의의 조정사건은 중앙노동위원회가 관장한다.</t>
  </si>
  <si>
    <t>사업장 내 근로자 감시 설비의 설치</t>
  </si>
  <si>
    <t>노동조합을 설립하려는 사람은 행정안전부장관에게 설립신고서를 제출하여야 한다.</t>
  </si>
  <si>
    <t>교원은 소속 학교 단위로 노동조합을 설립할 수 있다.</t>
  </si>
  <si>
    <t>여자의 근로는 특별한 보호를 받으며 고용・임금 및 근로조건에 있어서 부당한 차별을 받지 아니한다.</t>
  </si>
  <si>
    <t>기간의 정함이 없는 단체협약은 무효이다.</t>
  </si>
  <si>
    <t>사용자가 전임자의 노동조합 활동을 방해하려는 의사로 전임자를 승진에서 배제시킨 것은 부당노동행위에 해당한다.</t>
  </si>
  <si>
    <t>ㄱ : 근로자, ㄴ : 100분의 50</t>
  </si>
  <si>
    <t>"노동쟁의"라 함은 근로자와 사용자 또는 사용자단체간에 임금・근로시간・복지・해고 기타 대우 등 근로조건의 결정에 관한 주장의 불일치로 인하여 발생한 분쟁상태를 말한다.</t>
  </si>
  <si>
    <t>노동관계의 공정한 조정</t>
  </si>
  <si>
    <t>작업시설의 손상이나 원료・제품의 변질 또는 부패를 방지하기 위한 작업은 쟁의행위 기간 중에도 정상적으로 수행되어야 한다.</t>
  </si>
  <si>
    <t>사적 조정 등을 수행하는 자는 노동관계 당사자로부터 수수료, 수당 및 여비 등을 받을 수 있다.</t>
  </si>
  <si>
    <t>노동위원회가 구제신청을 받고 관계 당사자를 심문할 때 관계 당사자의 신청에 의하거나 그 직권으로 증인을 출석하게 하여 필요한 사항을 질문할 수 있다.</t>
  </si>
  <si>
    <t>노동조합은 노동조합의 규약에 해산에 관한 사항을 기재하여야 한다.</t>
  </si>
  <si>
    <t>여객선운항사업</t>
  </si>
  <si>
    <t>재정에 관한 장부와 서류는 3년간 보존하여야 하나, 회의록은 그러하지 아니하다.</t>
  </si>
  <si>
    <t>공동교섭대표단에 참여할 수 있는 노동조합은 그 조합원 수가 교섭창구 단일화절차에 참여한 노동조합의 전체 조합원 100분의 10 이상인 노동조합으로 한다.</t>
  </si>
  <si>
    <t>노동조합의 대표자는 조합원의 요구가 있을 때에는 결산결과와 운영상황을 열람하게 하여야 한다.</t>
  </si>
  <si>
    <t>직장폐쇄는 사용자와 근로자의 교섭태도와 교섭과정, 근로자의 쟁의행위의 목적과 방법 및 그로 인하여 사용자가 받는 타격의 정도 등 구체적인 사정에 비추어 노동조합의 쟁의행위에 대한 방어수단으로서 상당성이 있어야만 사용자의 정당한 쟁의행위로 인정될 수 있다.</t>
  </si>
  <si>
    <t>근로시간 면제 한도는 근로시간면제심의위원회가 심의・의결한 바에 따라 위원장이 고시한다.</t>
  </si>
  <si>
    <t>노동조합은 쟁의행위를 하고자 할 경우에는 관할노동위원회에 쟁의행위의 일시・장소・참가인원 및 그 방법을 미리 서면․구두 또는 전화 기타의 적당한 방법으로 통보하여야 한다.</t>
  </si>
  <si>
    <t>노동쟁의가 중재에 회부된 때에는 그 날부터 일반사업에 있어서는 10일, 공익사업에 있어서는 15일간은 쟁의행위를 할 수 없다.</t>
  </si>
  <si>
    <t>행정관청은 설립신고서 또는 규약이 기재사항의 누락 등으로 보완이 필요한 경우에는 대통령령이 정하는 바에 따라 20일 이내의 기간을 정하여 보완을 요구하여야 한다.</t>
  </si>
  <si>
    <t>노동조합의 대표자는 조합원의 3분의 1 이상이 회의에 부의할 사항을 제시하고 회의의 소집을 요구한 때에는 지체없이 임시총회를 소집하여야 한다.</t>
  </si>
  <si>
    <t>노사협의회에 의장을 두며, 의장은 위원 중에서 호선한다.</t>
  </si>
  <si>
    <t>노동위원회는 화해안을 작성함에 있어서 관계 당사자의 의견을 충분히 들어야 한다.</t>
  </si>
  <si>
    <t>교원의 노동조합을 설립하려는 사람은 고용노동부장관에게 설립신고서를 제출하여야 한다.</t>
  </si>
  <si>
    <t>교정・수사 업무에 종사하는 6급 이하의 공무원은 노동조합에 가입할 수 있다.</t>
  </si>
  <si>
    <t>헌법상 단결권은 단결할 자유만을 가리킬 뿐이고, 단결하지 아니할 자유는 이에 포함되지 않는다는 것이 헌법재판소의 입장이다.</t>
  </si>
  <si>
    <t>헌법에 의하여 체결・공포된 ILO협약은 국내법과 동일한 효력을 갖는다.</t>
  </si>
  <si>
    <t>주된 사무소 소재지의 지방자치단체장</t>
  </si>
  <si>
    <t>노동조합을 합병하기 위해서는 재적조합원 과반수의 출석과 출석조합원 3분의 2 이상의 찬성이 있어야 한다.</t>
  </si>
  <si>
    <t>유인물의 배포가 정당한 노동조합의 활동에 해당되는 경우라면 사용자는 비록 취업규칙 등에서 허가제를 채택하고 있다 하더라도 이를 이유로 유인물의 배포를 금지할 수 없다.</t>
  </si>
  <si>
    <t>노동조합은 신의에 따라 성실히 교섭할 의무는 없다.</t>
  </si>
  <si>
    <t>교섭대표노동조합은 필수유지업무협정이 체결되는 경우 사용자에게 필수유지업무에 근무하는 조합원 중 쟁의행위기간 동안 근무하여야 할 조합원을 통보하여야 한다.</t>
  </si>
  <si>
    <t>공정대표의무는 교섭대표노동조합뿐만 아니라 사용자도 부담한다.</t>
  </si>
  <si>
    <t>단체협약에 단체협약의 규정에 의하지 아니하고 조합원을 징계할 수 없다고 규정한 경우, 사용자는 취업규칙에 새로운 징계사유를 정하여 조합원을 징계할 수 없다.</t>
  </si>
  <si>
    <t>안전보건에 관한 사항</t>
  </si>
  <si>
    <t>근로자가 두 개 이상의 노동조합에 가입하는 것은 허용된다.</t>
  </si>
  <si>
    <t>불법쟁의행위를 기획・지시 하는 등 이를 주도한 노동조합 간부 개인이 그 배상책임을 지는 배상액의 범위는 불법쟁의행위와 상당인과관계에 있는 모든 손해이다.</t>
  </si>
  <si>
    <t>임원 회의실</t>
  </si>
  <si>
    <t>사용자가 근로자의 노동조합활동을 혐오하거나 노동조합활동을 방해하려는 의사로 노동조합활동에 적극적으로 관여하는 근로자를 승진시켜 조합원 자격을 잃게
한 경우에는 부당노동행위가 성립될 수 있다.</t>
  </si>
  <si>
    <t>노동관계 당사자는 중재재정의 해석 또는 이행방법에 관하여 당사자 간에 의견의 불일치가 있는 경우에는 당해 중재위원회에 그 해석 또는 이행방법에 관한 명확한 견해의 제시를 요청할 수 있다.</t>
  </si>
  <si>
    <t>산업별 노동조합이 지회에 한정한 쟁의행위를 예정하고 지회에 소속된 조합원을 대상으로 찬반투표를 실시하여 그 조합원 과반수의 찬성을 얻어 쟁의행위를 한 것은 정당성이 없으므로 사업주가 쟁의행위 기간 중에 근로자를 신규 채용한 것은 부당노동행위에 해당하지 않는다.</t>
  </si>
  <si>
    <t>안전보호시설의 운영을 방해하는 행위가 있었다 하더라도 사전에 필요한 안전조치를 취하는 등으로 사람의 생명이나 신체에 대한 위험이 전혀 발생하지 않는 경우에는 노동조합 및 노동관계조정법 위반죄가 성립하지 않는다.</t>
  </si>
  <si>
    <t>노동위원회는 필요하다고 인정하는 경우 조정기간의 연장을 결정할 수 있다.</t>
  </si>
  <si>
    <t>노동조합은 제3자에게 단체교섭 및 단체협약 체결 권한을 위임할 수 있다.</t>
  </si>
  <si>
    <t>교원의 노동조합은 일체의 정치활동을 하여서는 아니 된다.</t>
  </si>
  <si>
    <t>근로자위원 및 사용자위원의 임기는 3년이고 연임은 허용되지 않는다.</t>
  </si>
  <si>
    <t>중앙노동위원회의 처분에 대한 소는 중앙노동위원회위원장을 피고로 하여 제기하여야 한다.</t>
  </si>
  <si>
    <t>근로3권은 제헌헌법부터 기본권으로 규정되었다.</t>
  </si>
  <si>
    <t>고용 및 직업상의 차별에 관한 협약(제111호)</t>
  </si>
  <si>
    <t>노동쟁의의 조정은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</si>
  <si>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사적 중재를 수행하는 자는 노동관계 당사자로부터 수수료, 수당 및 여비 등을 받아서는 아니된다.</t>
  </si>
  <si>
    <t>은행 및 조폐사업</t>
  </si>
  <si>
    <t>필수유지업무의 정당한 유지・운영을 정지・폐지하는 행위는 쟁의행위로서 행할 수 없으나, 방해하는 행위는 쟁의행위로서 이를 행할 수 있다.</t>
  </si>
  <si>
    <t>방위사업법에 의하여 지정된 주요방위산업체에 종사하는 근로자 중 전력, 용수 및 주로 방산물자를 생산하는 업무에 종사하는 자는 쟁의행위를 행할 수 없다.</t>
  </si>
  <si>
    <t>지역별・산업별・업종별 노동조합의 경우에는 총파업이 아닌 이상 쟁의행위를 예정하고 있는 당해 지부나 분회소속 조합원의 과반수의 찬성이 있으면 쟁의행위는 절차적으로 적법하다고 보아야 할 것이고, 쟁의행위와 무관한 지부나 분회의 조합원을 포함한 전체 조합원의 과반수 이상의 찬성을 요하는 것은 아니다.</t>
  </si>
  <si>
    <t>사용자는 노동조합이 쟁의행위를 개시하기 직전 또는 개시한 직후에만 직장폐쇄를 할 수 있다.</t>
  </si>
  <si>
    <t>단체협약의 해석 또는 이행방법에 관하여 관계 당사자간에 의견의 불일치가 있는 때에는 당사자 쌍방 또는 단체협약에 정하는 바에 의하여 어느 일방이 노동위원회에 그 해석 또는 이행방법에 관한 견해의 제시를 요청할 수 있다.</t>
  </si>
  <si>
    <t>복리사업만을 목적으로 하는 경우에도 노동조합으로 볼 수 있다.</t>
  </si>
  <si>
    <t>노동조합의 대표자는 그 노동조합 또는 조합원을 위하여 사용자나 사용자단체와 교섭할 권한을 가지는 것이므로 그 권한을 위임할 수 없다.</t>
  </si>
  <si>
    <t>노동조합의 규약이 노동관계법령에 위반한 경우 그 시정을 명하려면 이해관계인의 신청이 필요하다.</t>
  </si>
  <si>
    <t>임원의 주소</t>
  </si>
  <si>
    <t>합병으로 소멸한 경우</t>
  </si>
  <si>
    <t>설립신고증</t>
  </si>
  <si>
    <t>노동조합은 매년 2회 이상 총회를 개최하여야 한다.</t>
  </si>
  <si>
    <t>사용자는 근로시간면제심의위원회에서 결정된 근로시간면제 한도에 대해서는 단체협약이나 사용자의 동의와 무관하게 반드시 전임자에게 급여를 지급할 의무를 부담한다.</t>
  </si>
  <si>
    <t>단체협약상 유니언 숍 협정을 체결하고 있는 경우 사용자가 그 노동조합을 탈퇴한 근로자를 해고하지 않는다면 그 자체가 노동조합에 대한 지배・개입의 부당노동행위가 된다.</t>
  </si>
  <si>
    <t>부당노동행위 구제의 신청은 부당노동행위가 있은 날부터 3월 이내, 계속하는 행위는 그 종료일로부터 6월 이내에 각각 이를 행하여야 한다.</t>
  </si>
  <si>
    <t>2이상의 지방노동위원회의 관할구역에 걸친 노동쟁의의 조정사건</t>
  </si>
  <si>
    <t>노사협의회의 의장은 근로자위원과 사용자위원 중 각 1인을 공동의장으로 하여야 한다.</t>
  </si>
  <si>
    <t>사립학교의 경우 그 설립・경영자는 노동조합의 교섭요구에 대하여 개별적으로 응해야 한다.</t>
  </si>
  <si>
    <t>5급 이하의 공무원은 노동조합에 가입할 수 있다.</t>
  </si>
  <si>
    <t>실업자는 노동3권의 주체가 될 수 없다.</t>
  </si>
  <si>
    <t>모든 교원은 노동조합을 결성할 수 있다.</t>
  </si>
  <si>
    <t>조합원의 대의원 선출에 있어 간접적인 선출방법을 정한 규약은 무효이다.</t>
  </si>
  <si>
    <t>노동조합의 설립신고서가 반려되면 노동조합은 해산된다.</t>
  </si>
  <si>
    <t>노동조합 총회의 결의로 조합원을 제명한 처분은 사법심사의 대상이 될 수 있다.</t>
  </si>
  <si>
    <t>노동조합의 회계감사원은 필요하다고 인정할 경우 회계감사를 실시할 수 있으나 감사결과를 공개하려면 총회나 대의원회의 사전승인이 필요하다.</t>
  </si>
  <si>
    <t>단체협약 체결일로부터 30일 이내에 이를 행정관청에 신고하여야 한다.</t>
  </si>
  <si>
    <t>교섭에 관한 권한을 위임한 때에는 그 사실을 행정관청과 상대방에게 통보하여야 한다.</t>
  </si>
  <si>
    <t>규약의 제정과 변경에 관한 사항은 총회의 의결사항이다.</t>
  </si>
  <si>
    <t>하나의 사업장에서 일반적 구속력이 인정되어 단체협약이 적용되는 '동종의 근로자'라 함은 당해 단체협약의 규정에 의하여 그 협약의 적용이 예상되는 자를 가리킨다.</t>
  </si>
  <si>
    <t>단체협약의 해석에 관하여 단체협약 당사자 어느 일방이 노동위원회에 견해의 제시를 요청한 경우, 노동위원회는 요청받은 그 날로부터 15일 이내에 명확한 견해를 제시해야 한다.</t>
  </si>
  <si>
    <t>조정위원회의 위원장은 원칙적으로 공익을 대표하는 조정위원이 된다.</t>
  </si>
  <si>
    <t>노동위원회의 조정이 개시된 이후에도 사적 조정 또는 중재가 가능하다.</t>
  </si>
  <si>
    <t>중앙노동위원회의 부당노동행위재심판정에 대한 제소기간</t>
  </si>
  <si>
    <t>긴급조정의 결정이 공표된 때에는 노동조합은 공표의 사실을 안 날로부터 10일 이내에 쟁의행위를 중지하여야 한다.</t>
  </si>
  <si>
    <t>필수유지업무협정이 체결되지 아니하는 때에는 노동위원회가 직권으로 필수유지업무의 필요 최소한의 유지・운영수준, 대상직무 및 필요인원 등을 결정하여야 한다.</t>
  </si>
  <si>
    <t>정당한 직장폐쇄를 했더라도 사용자는 근로를 희망하는 근로자에게 직장폐쇄기간 동안의 임금 전액을 지불할 의무가 있다.</t>
  </si>
  <si>
    <t>확정판결 전에 중앙노동위원회의 구제명령의 전부 또는 일부를 이행하도록 한 법원의 명령에 위반한 사용자는 형벌에 처한다.</t>
  </si>
  <si>
    <t>근로기준법에 의한 부당해고구제 재심판정을 다투는 소송에 있어서 해고의 정당성에 관한 증명책임은 이를 주장하는 자가 부담하는데 비하여, 불이익취급에 의한 부당노동행위라는 사실의 주장 및 증명책임은 부당노동행위임을 주장하는 자에게 있다.</t>
  </si>
  <si>
    <t>노동쟁의의 조정은 신청을 받은 날부터 15일 이내에 마쳐야 한다.</t>
  </si>
  <si>
    <t>공무원은 임용권자의 동의를 얻어 노동조합의 업무에만 종사할 수 있다.</t>
  </si>
  <si>
    <t>위원은 비상임․무보수이지만, 노사협의회에 출석한 시간에 대해서는 근로한 것으로 본다.</t>
  </si>
  <si>
    <t>사용자가 직장폐쇄를 하면서 미리 노동위원회에 이를 신고하지 아니하면 노동위원회는 과태료를 부과할 수 있다.</t>
  </si>
  <si>
    <t>당해 사업 또는 사업장의 근로자의 과반수로 조직된 노동조합이 있는 경우 근로자위원은 노동조합의 대표자와 그 노동조합이 위촉하는 자로 한다.</t>
  </si>
  <si>
    <t>중앙노동위원회위원장은 지방노동위원회 위원을 위촉할 권한을 갖고 있다.</t>
  </si>
  <si>
    <t>노동위원회는 화해조서를 작성하여 관계당사자에게 화해를 권고하여야 한다.</t>
  </si>
  <si>
    <t>과거 노동조합의 조직을 기업별로 강제하던 시기가 있었다.</t>
  </si>
  <si>
    <t>독일에서는 1918년 바이마르(Weimar) 헌법에 의하여 단결권을 명문으로 보장하였다.</t>
  </si>
  <si>
    <t>단결권의 주체에는 근로자뿐만 아니라 노동조합도 포함된다.</t>
  </si>
  <si>
    <t>노동관계 당사자는 쟁의행위 기간 동안 필수유지업무의 정당한 유지·운영을 위하여 필수유지업무의 필요 최소한의 유지・운영 수준, 대상직무 및 필요인원 등을 정한 협정을 서면으로 체결하여야 한다.</t>
  </si>
  <si>
    <t>노동조합 및 노동관계조정법에 의해 설립되지 아니한 근로자단체인 이른바 법외노조의 경우 모든 구성원은 부당노동행위구제신청을 할 수 없다.</t>
  </si>
  <si>
    <t>노동위원회는 구제신청을 받은 경우 10일 이내에 필요한 조사와 관계 당사자의 심문을 하여야 한다.</t>
  </si>
  <si>
    <t>노동조합의 임원이 없고 노동조합으로서의 활동을 1년 이상 하지 아니한 것으로 인정되는 경우로서 행정관청이 노동위원회의 의결을 얻은 경우 노동조합은 해산한다.</t>
  </si>
  <si>
    <t>노동조합의 조직형태의 변경에 관한 사항은 총회의 의결사항이며 재적조합원 과반수의 출석과 출석조합원 과반수의 찬성으로 의결하여야 한다.</t>
  </si>
  <si>
    <t>경비의 주된 부분을 사용자로부터 원조받는 경우 노동조합으로 보지 아니한다.</t>
  </si>
  <si>
    <t>규약의 제정・변경은 조합원총회의 의결사항이며, 재적조합원 과반수의 출석과 출석조합원 3분의 2 이상의 찬성이 있어야 한다.</t>
  </si>
  <si>
    <t>노동조합의 규약으로 임원의 임기를 3년 이내로 정할 수 있다.</t>
  </si>
  <si>
    <t>합병・분할에 관한 사항은 총회의 의결을 거쳐야 한다.</t>
  </si>
  <si>
    <t>법인인 노동조합에 대하여는 노동조합 및 노동관계조정법에 규정된 것을 제외하고는 민법 중 재단법인에 관한 규정을 적용한다.</t>
  </si>
  <si>
    <t>근로자는 단체협약으로 정하거나 사용자의 동의가 있는 경우에는 근로계약 소정의 근로를 제공하지 아니하고 노동조합의 업무에만 종사할 수 있다.</t>
  </si>
  <si>
    <t>판례는 단체협약 작성시 날인 대신 무인을 한 경우라도 단체협약의 진정성과 명확성이 담보되는 이상 유효하다는 입장이다.</t>
  </si>
  <si>
    <t>조합원에 관한 사항</t>
  </si>
  <si>
    <t>사용자에게 처분권한이 없는 사항에 대하여 노동조합이 교섭을 요구하는 경우에도 사용자는 당해 교섭사항에 대한 교섭을 거부할 수 없다.</t>
  </si>
  <si>
    <t>단체협약에 유효기간을 정하지 아니한 경우 그 유효기간은 2년으로 한다.</t>
  </si>
  <si>
    <t>방위사업법에 의하여 지정된 주요방위산업체에 종사하는 근로자 중 전력, 용수 및 주로 방산물자를 생산하는 업무에 종사하는 자의 쟁의행위</t>
  </si>
  <si>
    <t>파업에 참가하지 아니한 근로자 및 사용자에 의한 대체근로는 허용된다.</t>
  </si>
  <si>
    <t>노동부장관은 긴급조정의 결정을 하고자 할 때에는 미리 중앙노동위원회위원장의 의견을 들어야 한다.</t>
  </si>
  <si>
    <t>부당노동행위 구제신청은 부당노동행위가 있은 날로부터 1개월 이내에 하여야 한다.</t>
  </si>
  <si>
    <t>노동조합은 쟁의행위 찬반투표 결과의 공개에 관한 사항을 규약으로 정할 의무가 있다.</t>
  </si>
  <si>
    <t>합병으로 인해 소멸한 경우</t>
  </si>
  <si>
    <t>사용자의 명예를 훼손하는 내용의 유인물을 근무시간 외에 사업장 밖에서 배포하였다면 그 정당성이 인정된다.</t>
  </si>
  <si>
    <t>규약의 변경에 관한 사항은 조합원의 직접・비밀・무기명투표에 의하여 결정하여야 한다.</t>
  </si>
  <si>
    <t>연소자 근로의 특별보호</t>
  </si>
  <si>
    <t>노동부장관은 긴급조정의 결정을 하고자 할 때에는 미리 중앙노동위원회 위원장의 의견을 들어야 한다.</t>
  </si>
  <si>
    <t>운영경비를 주로 사용자로부터 원조 받는 경우라도 노동조합으로 본다.</t>
  </si>
  <si>
    <t>중앙노동위원회의 구제명령에 대하여 행정소송법상 취소소송을 제기할 수는 없다.</t>
  </si>
  <si>
    <t>차별시정위원회</t>
  </si>
  <si>
    <t>노동조합 대표자의 협약체결권을 조합총회의 사후 추인의 방법으로 제한하는 규약은 유효하다.</t>
  </si>
  <si>
    <t>노동위원회에 의한 공적 조정이 사적 조정보다 우선한다.</t>
  </si>
  <si>
    <t>노동조합 전임자의 수는 법으로 그 상한을 정하고 있다.</t>
  </si>
  <si>
    <t>노동관계 당사자는 쟁의행위기간 동안 필수유지업무의 정당한 유지・운영을 위하여 필수유지업무협정을 서면으로 체결하여야 한다.</t>
  </si>
  <si>
    <t>사적 조정에 의하여 노동쟁의를 해결하기로 한 때에는 이를 노동위원회에 신고하여야 한다.</t>
  </si>
  <si>
    <t>단체협약에는 1년을 초과하는 유효기간을 정할 수 없다.</t>
  </si>
  <si>
    <t>사용자단체'라 함은 노동관계에 관하여 그 구성원인 사용자에 대하여 조정 또는 규제할 수 있는 권한을 가진 사용자의 단체를 말한다.</t>
  </si>
  <si>
    <t>공무원인 근로자의 노동3권은 법률이 정하는 자에 한하여 인정된다.</t>
  </si>
  <si>
    <t>사회의 지속적인 진보를 위하여 표현 및 결사의 자유는 보장되어야 한다.</t>
  </si>
  <si>
    <t>노동위원회는 관계행정기관으로 하여금 근로조건의 개선에 관하여 필요한 조치를 하도록 명령할 수 있다.</t>
  </si>
  <si>
    <t>직무발명에 관한 근로자 보상에 관한 사항은 노사협의회의 협의사항이다.</t>
  </si>
  <si>
    <t>노동조합의 회의 및 회계, 임원의 선거절차에 관한 사항</t>
  </si>
  <si>
    <t>제3공화국에서는 산별노조를 금지하고 기업별노조를 법적으로 강제하였다.</t>
  </si>
  <si>
    <t>식품가공업체의 사용자는 쟁의행위기간 중 그 쟁의행위로 중단된 업무를 하도급 줄 수 없다.</t>
  </si>
  <si>
    <t>회사 전산실의 상당기간 폐쇄</t>
  </si>
  <si>
    <t>1963년 개정된 「노동조합법」에는 노동조합의 정치활동 금지 규정이 신설되었다.</t>
  </si>
  <si>
    <t>근로자의 단결하지 않을 자유, 즉 소극적 단결권은 개인의 자기결정의 이념에 따라 적극적 단결권과 동등하게 보장되어야 한다는 것이 헌법재판소의 입장이다.</t>
  </si>
  <si>
    <t>하나의 사업 또는 사업장을 대상으로 조직된 노동조합의 대의원은 그 사업 또는 사업장에 종사하는 조합원 중에서 선출하여야 한다.</t>
  </si>
  <si>
    <t>근로시간면제심의위원회 위원의 임기는 3년으로 한다.</t>
  </si>
  <si>
    <t>노동조합의 대표자는 그 회계감사원으로 하여금 회계연도마다 당해 노동조합의 모든 재원 및 용도, 주요한 기부자의 성명, 현재의 경리 상황등에 대한 회계감사를 실시하게 하고 그 내용과 감사결과를 전체 조합원에게 공개하여야 한다.</t>
  </si>
  <si>
    <t>총회 또는 대의원회의 해산결의가 있는 경우 노동조합은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</si>
  <si>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</si>
  <si>
    <t>단체협약의 일반적 구속력으로서 그 적용을 받게 되는 '동종의 근로자'라 함은 당해 단체협약의 규정에 의하여 그 협약의 적용이 예상되는 자를 가리키며, 단체협약의 규정에 의하여 조합원의 자격이 없는 자는 단체협약의 적용이 예상된다고 할 수 없어 단체협약의 적용을 받지 아니한다.</t>
  </si>
  <si>
    <t>노동위원회는 부당노동행위가 성립한다고 판정한 때에는 사용자에게 구제명령을 발하여야 하며, 부당노동행위가 성립되지 아니한다고 판정한 때에는 그 구제신청을 기각하는 결정을 하여야 한다.</t>
  </si>
  <si>
    <t>단체협약의 당사자는 단체협약의 체결일부터 15일 이내에 단체협약을 행정관청에게 신고하여야 한다.</t>
  </si>
  <si>
    <t>노동조합과 사용자 또는 사용자단체는 신의에 따라 성실히 교섭하고 단체협약을 체결하여야 하며 그 권한을 남용하여서는 아니 된다.</t>
  </si>
  <si>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</si>
  <si>
    <t>노동조합이 사용자의 점유를 배제하여 조업을 방해하는 형태로 쟁의행위를 한 경우</t>
  </si>
  <si>
    <t>쟁의행위는 근로를 제공하고자 하는 자의 출입・조업을 방해하는 방법으로 행하여져서는 아니된다.</t>
  </si>
  <si>
    <t>노동관계 당사자는 쟁의행위기간 동안 필수유지업무의 정당한 유지・운영을 위하여 필수유지업무협정을 쌍방이 서명 또는 날인하여 서면으로 체결하여야 한다.</t>
  </si>
  <si>
    <t>사적 조정에 의하여 조정이 이루어진 경우에 그 내용은 단체협약과 동일한 효력을 가진다.</t>
  </si>
  <si>
    <t>ㄱ: 10, ㄴ: 10, ㄷ: 15</t>
  </si>
  <si>
    <t>단독조정인은 그 노동위원회의 공익을 대표하는 위원중에서 노동조합과 사용자가 순차적으로 배제하고 남은 4인 내지 6인중에서 노동위원회의 위원장이 지명한다.</t>
  </si>
  <si>
    <t>중앙노동위원회는 지방노동위원회 또는 특별노동위원회의 중재재정을 재심한 때에는 지체 없이 그 재심결정서를 관계 당사자와 관계 노동위원회에 각각 송달해야 한다.</t>
  </si>
  <si>
    <t>노사협의회는 그 조직과 운영에 관한 규정을 제정하고 노사협의회를 설치한 날부터 30일 이내에 고용노동부장관에게 제출하여야 한다.</t>
  </si>
  <si>
    <t>제25조(임의 중재) 제2항을 위반하여 중재 결정의 내용을 정당한 사유 없이 이행하지 아니한 자는 1천만원 이하의 벌금에 처한다.</t>
  </si>
  <si>
    <t>사내근로복지기금의 설치</t>
  </si>
  <si>
    <t>노동위원회는 관계 당사자가 화해안을 수락하였을 때에는 화해조서를 작성하여야 한다.</t>
  </si>
  <si>
    <t>공시송달은 노동위원회의 게시판이나 인터넷 홈페이지에 게시하는 방법으로 하며, 게시한 날부터 14일이 지난 때에 효력이 발생한다.</t>
  </si>
  <si>
    <t>중앙노동위원회는 지방노동위원회 또는 특별노동위원회에 대하여 노동위원회의 사무처리에 관한 기본방침 및 법령의 해석에 관하여 필요한 지시를 할 수 있다.</t>
  </si>
  <si>
    <t>고충처리위원은 근로자로부터 고충사항을 청취한 경우에는 15일 이내에 조치 사항과 그 밖의 처리결과를 해당 근로자에게 통보하여야 한다.</t>
  </si>
  <si>
    <t>교원의 노동조합과 그 조합원은 노동운동이나 그 밖에 공무 외의 일을 위한 어떠한 집단행위도 하여서는 아니 된다.</t>
  </si>
  <si>
    <t>교원근무시간면제심의위원회는 3년마다 근무시간 면제 한도의 적정성 여부를 재심의하여 의결할 수 있다.</t>
  </si>
  <si>
    <t>교정・수사 등 공공의 안녕과 국가안전보장에 관한 업무에 종사하는 공무원은 공무원의 노동조합에 가입할 수 있다.</t>
  </si>
  <si>
    <t>정부교섭대표는 교섭을 요구하는 노동조합이 둘 이상인 경우에는 해당 노동조합에 교섭창구를 단일화하도록 요청할 수 있으며, 교섭창구가 단일화된 때에는 교섭에 응하여야 한다.</t>
  </si>
  <si>
    <t>관계 당사자는 중앙노동위원회의 중재재정이 위법하거나 월권에 의한 것이라고 인정하는 경우에는 중재재정서를 송달받은 날부터 30일 이내에 중앙노동위원회 위원장을 피고로 하여 행정소송을 제기할 수 있다.</t>
  </si>
  <si>
    <t>조정의 전치 (노동조합 및 노동관계조정법 제45조)</t>
  </si>
  <si>
    <t>교섭위원의 수는 교섭노동조합의 조직 규모 등을 고려하여 정하되, 10명 이내로 한다.</t>
  </si>
  <si>
    <t>조정은 신청을 받은 날부터 30일 이내에 마쳐야 하며, 다만 당사자들이 합의한 경우에는 30일 이내의 범위에서 조정기간을 연장할 수 있다.</t>
  </si>
  <si>
    <t>노동조합은 재정에 관한 장부와 서류를 3년간 보존하여야 한다.</t>
  </si>
  <si>
    <t>「노동조합 및 노동관계조정법」상 노동조합이 아님을 통보하는 것을 행정입법으로 규정하려면 반드시 법률의 명시적이고 구체적인 위임이 있어야 한다.</t>
  </si>
  <si>
    <t>노동조합의 총회가 규약의 제・개정결의를 통하여 총회에 갈음할 대의원회를 두고 규약의 개정에 관한 사항을 대의원회의 의결사항으로 정한 경우라도 이로써 총회의 규약개정권한이 소멸된다고 볼 수 없다.</t>
  </si>
  <si>
    <t>「노동조합 및 노동관계조정법」에 의하여 설립되지 아니한 노동조합도 노동위원회에 노동쟁의의 조정을 신청할 수 있다.</t>
  </si>
  <si>
    <t>유니언 숍 협정에 따라 사용자가 노동조합을 탈퇴한 근로자를 해고한 경우에 해고된 근로자가 조합원지위확인을 구하는 소를 제기하여 승소하면 그 해고는 취소된 것으로 본다.</t>
  </si>
  <si>
    <t>노동위원회는 노동조합의 신청을 받아 분리된 교섭단위를 통합하는 결정을 할 수 있다.</t>
  </si>
  <si>
    <t>분할로 소멸한 경우 노동조합은 해산한다.</t>
  </si>
  <si>
    <t>노동위원회는 공정대표의무 위반의 시정 신청을 받은 때에는 지체 없이 필요한 조사와 관계 당사자에 대한 심문(審問)을 하여야 한다.</t>
  </si>
  <si>
    <t>ㄱ: 15, ㄴ: 2</t>
  </si>
  <si>
    <t>노동조합으로부터 적법한 교섭요구를 받은 사용자는 그 요구를 받은 날부터 5일간 그 교섭요구 사실을 공고하여야 한다.</t>
  </si>
  <si>
    <t>피케팅은 파업에 가담하지 않고 조업을 계속하려는 자에 대하여 평화적 설득, 구두와 문서에 의한 언어적 설득의 범위 내에서 정당성이 인정되는 것이 원칙이고, 위력에 의한 물리적 강제는 정당화될 수 없다.</t>
  </si>
  <si>
    <t>노동관계 당사자 쌍방 또는 일방은 필수유지업무협정이 체결되지 아니하는 때에는 노동위원회에 필수유지업무의 대상직무 등의 결정을 신청하여야 한다.</t>
  </si>
  <si>
    <t>조합원의 민주적 의사결정이 실질적으로 확보된 때에는 쟁의행위 찬반투표절차를 거치지 아니하였다는 사정만으로 쟁의행위의 정당성이 상실되지 아니한다.</t>
  </si>
  <si>
    <t>단체협약의 해석</t>
  </si>
  <si>
    <t>노동관계 당사자가 단체협약이 정하는 바에 따라 노동쟁의의 조정을 한 경우 그 내용은 재판상 화해와 같은 효력을 가진다.</t>
  </si>
  <si>
    <t>부당노동행위를 한 사용자는 3년 이하의 징역 또는 3천만원 이하의 벌금에 처한다.</t>
  </si>
  <si>
    <t>사용자는 고충처리위원회에서 의결되지 아니한 사항에 대하여는 노사협의회의 의결을 거쳐야 한다.</t>
  </si>
  <si>
    <t>노사협의회의 근로자위원의 결원이 생기면 30일 이내에 보궐위원을 위촉하거나 선출하되, 근로자의 과반수로 구성된 노동조합이 조직되어 있지 아니한 사업 또는 사업장에서는 근로자위원 선출 투표에서 선출되지 못한 사람 중 득표 순에 따른 차점자를 근로자위원으로 할 수 있다.</t>
  </si>
  <si>
    <t>부문별 위원회 위원장은 부문별 위원회의 원활한 운영을 위하여 필요하다고 인정하는 경우에 주심위원을 지명하여 사건의 처리를 주관하게 하여야 한다.</t>
  </si>
  <si>
    <t>단체협약의 내용 중 법령・조례 또는 예산에 의하여 규정되는 내용과 법령 또는 조례에 의하여 위임을 받아 규정되는 내용은 단체협약으로서의 효력을 가지지 아니한다.</t>
  </si>
  <si>
    <t>단체교섭이 결렬된 경우 중앙노동위원회는 당사자 양쪽이 조정을 신청하는 경우에 한하여 조정을 시작할 수 있다.</t>
  </si>
  <si>
    <t>우리나라의 「공무원의 노동조합 설립 및 운영 등에 관한 법률」은 「교원의 노동조합 설립 및 운영 등에 관한 법률」보다 먼저 제정되었다.</t>
  </si>
  <si>
    <t>헌법재판소는 노동조합의 적극적 단결권은 근로자 개인의 단결하지 않을 자유보다 중시된다고 할 것이고, 또 노동조합에게 위와 같은 조직강제권을 부여한다고 하여 이를 근로자의 단결하지 아니할 자유의 본질적인 내용을 침해하는 것으로 단정할 수는 없다는 입장을 취하고 있다.</t>
  </si>
  <si>
    <t>ㄱ: 3, ㄴ: 20, ㄷ: 1</t>
  </si>
  <si>
    <t>총회는 임원의 해임에 관한 사항을 재적조합원 과반수의 출석과 출석조합원 3분의 2 이상의 찬성으로 의결한다.</t>
  </si>
  <si>
    <t>노동조합의 대표자가 회의의 소집을 고의로 기피하거나 이를 해태하여 조합원 또는 대의원의 3분의 1 이상이 소집권자의 지명을 요구할 때 행정관청의 노동위원회에 대한 의결 요청 기한</t>
  </si>
  <si>
    <t>교섭대표노동조합의 대표자는 단체협약 체결 여부에 대해 원칙적으로 소수노동조합이나 그 조합원의 의사에 기속된다고 볼 수 없다.</t>
  </si>
  <si>
    <t>교섭대표노동조합을 자율적으로 결정하는 기한까지 교섭대표노동조합을 정하지 못하고 사용자의 동의를 얻지 못한 경우에는 교섭창구 단일화 절차에 참여한 노동조합의 종사 근로자가 아닌 조합원을 포함한 전체 조합원 과반수로 조직된 노동조합이 교섭대표노동조합이 된다.</t>
  </si>
  <si>
    <t>노동위원회는 노동관계 당사자의 어느 한쪽이 신청한 경우에는 교섭단위를 분리하는 결정을 할 수 없다.</t>
  </si>
  <si>
    <t>ㄱ: 2, ㄴ: 6</t>
  </si>
  <si>
    <t>단체협약의 당사자인 노동조합은 단체협약의 유효기간 중에 단체협약에서 정한 근로조건 등에 관한 내용의 변경이나 폐지를 요구하는 쟁의행위를 행하지 않을 평화의무를 지고 있다.</t>
  </si>
  <si>
    <t>노동위원회는 조정신청 전에는 교섭을 주선하는 등 관계 당사자의 자주적인 분쟁해결을 지원할 수 없다.</t>
  </si>
  <si>
    <t>중재는 조정을 거치지 않으면 신청할 수 없다.</t>
  </si>
  <si>
    <t>ㄴ, ㄹ, ㅂ</t>
  </si>
  <si>
    <t>사용자의 직장폐쇄는 근로자측의 쟁의행위에 대한 대항・방위 수단으로서 상당성이 인정되는 경우에 한하여 정당한 쟁의행위로 평가받을 수 있다.</t>
  </si>
  <si>
    <t>쟁의행위의 장소</t>
  </si>
  <si>
    <t>노동조합은 쟁의행위의 본질상 사용자의 점유를 배제하여 조업을 방해하는 형태로 쟁의행위를 할 수 있다.</t>
  </si>
  <si>
    <t>쟁의행위 수단으로서 피케팅은 파업에 가담하지 않고 조업을 계속하려는 자에 대하여 평화적 설득, 구두와 문서에 의한 언어적 설득의 범위 내에서 정당성이 인정되는 것이 원칙이다.</t>
  </si>
  <si>
    <t>노동조합이 해당 사업장에 종사하는 근로자의 3분의 2 이상을 대표하고 있을 때에 근로자가 그 노동조합의 조합원이 될 것을 고용조건으로 하는 단체협약의 체결은 부당노동행위에 해당하지 않는다.</t>
  </si>
  <si>
    <t>원조된 운영비 금액과 원조방법</t>
  </si>
  <si>
    <t>부당노동행위 구제의 신청은 계속하는 부당노동행위의 경우 그 종료일부터 3월 이내에 행하여야 한다.</t>
  </si>
  <si>
    <t>노동위원회 위원의 임기는 3년으로 하되, 연임할 수 없다.</t>
  </si>
  <si>
    <t>정부교섭대표는 법령 등에 따라 스스로 관리하거나 결정할 수 있는 권한을 가진 사항에 대하여 노동조합이 교섭을 요구할 때에는 정당한 사유가 없으면 그 요구에 따라야 한다.</t>
  </si>
  <si>
    <t>노동조합과 그 조합원은 파업, 태업 또는 그 밖에 업무의 정상적인 운영을 방해하는 쟁의행위를 할 수 있다.</t>
  </si>
  <si>
    <t>근로자의 교육훈련 및 능력개발 기본계획의 수립에 대하여는 노사협의회의 의결을 거쳐야 한다.</t>
  </si>
  <si>
    <t>노동조합 및 노동관계조정법상 근로자에 해당하는지는 근로조건을 보호할 필요성이 있는지의 관점에서 판단하여야 하므로, 동법상의 근로자는 근로기준법상 근로자에 한정된다.</t>
  </si>
  <si>
    <t>노동조합은 설립신고된 사항 중 대표자의 성명에 변경이 있는 때에는 그 날부터 30일 이내에 행정관청에게 변경신고를 하여야 한다.</t>
  </si>
  <si>
    <t>소속된 연합단체가 있는 경우에는 그 명칭</t>
  </si>
  <si>
    <t>행정관청은 노동조합의 규약이 노동관계법령에 위반한 경우에는 직권으로 그 시정을 명할 수 있다.</t>
  </si>
  <si>
    <t>일반적으로 구성원인 근로자의 노동조건 기타 근로자의 대우 또는 당해 단체적 노사관계의 운영에 관한 사항으로 사용자가 처분할 수 있는 사항은 단체교섭의 대상인 단체교섭사항에 해당한다.</t>
  </si>
  <si>
    <t>단체협약의 당사자는 단체협약의 체결일부터 15일 이내에 당사자 쌍방의 연명으로 단체협약을 행정관청에게 신고하여야 한다.</t>
  </si>
  <si>
    <t>교섭창구 단일화 절차에서 교섭대표노동조합이 가지는 대표권은 법령에서 특별히 권한으로 규정하지 아니한 이상 단체교섭 및 단체협약 체결(보충교섭이나 보충협약 체결을 포함한다)과 체결된 단체협약의 구체적인 이행과정에만 미치는 것이고, 이와 무관하게 노사관계 전반에까지 당연히 미친다고 볼 수는 없다.</t>
  </si>
  <si>
    <t>행정관청은 단체협약 중 위법한 내용이 있는 경우에는 노동위원회의 의결을 얻어 그 시정을 명할 수 있다.</t>
  </si>
  <si>
    <t>노동위원회는 공정대표의무 위반의 시정 신청에 대하여 합리적 이유 없이 차별하였다고 인정한 때에는 그 시정에 필요한 명령을 하여야 한다.</t>
  </si>
  <si>
    <t>산업별 노동조합의 지회는 산업별 노동조합의 활동을 위한 내부적인 조직에 그치더라도 총회의 결의를 통하여 그 소속을 변경하고 독립한 기업별 노동조합으로 전환할 수 있다.</t>
  </si>
  <si>
    <t>교섭대표노동조합이 결정된 경우에는 그 절차에 참여한 노동조합의 전체 조합원(해당 사업 또는 사업장 소속 조합원으로 한정한다)의 직접・비밀・무기명투표에 의한 과반수의 찬성으로 결정하지 아니하면 쟁의행위를 할 수 없다.</t>
  </si>
  <si>
    <t>조합원의 과반수의 찬성결정을 거치지 아니하고 쟁의행위에 나아간 경우 조합원의 민주적 의사결정이 실질적으로 확보되었다면 쟁의행위가 정당성을 상실하지 않는다.</t>
  </si>
  <si>
    <t>노동위원회는 노동조합 및 노동관계조정법상의 규정에 따라 필수유지업무 수준 등 결정을 하면 지체 없이 이를 서면으로 노동관계 당사자에게 통보하여야 한다.</t>
  </si>
  <si>
    <t>사용자의 부당노동행위로 인하여 그 권리를 침해당한 노동조합은 노동위원회에 그 구제를 신청할 수 있다.</t>
  </si>
  <si>
    <t>근로자가 노동조합의 업무를 위한 정당한 행위를 한 것을 이유로 그 근로자에게 불이익을 주는 사용자의 행위는 부당노동행위에 해당한다.</t>
  </si>
  <si>
    <t>공익사업의 노동쟁의의 조정을 위하여 노동위원회에 특별조정위원회를 둔다.</t>
  </si>
  <si>
    <t>노동위원회 처분의 효력은 판정・명령・결정 또는 재심판정을 한 날부터 발생한다.</t>
  </si>
  <si>
    <t>노사협의회 의장은 노사 일방의 대표자가 회의의 목적을 문서로 밝혀 회의의 소집을 요구하면 그 요구에 따라야 한다.</t>
  </si>
  <si>
    <t>교원의 노동쟁의를 조정・중재하기 위하여 중앙노동위원회에 교원 노동관계 조정위원회를 둔다.</t>
  </si>
  <si>
    <t>노동조합은 단체교섭을 위하여 노동조합의 대표자와 조합원으로 교섭위원을 구성하여야 한다.</t>
  </si>
  <si>
    <t>단체교섭권은 사실행위로서의 단체교섭의 권한 외에 교섭한 결과에 따라 단체협약을 체결할 권한을 포함한다.</t>
  </si>
  <si>
    <t>단체교섭 거부를 이유로 노동위원회에 부당노동행위의 구제를 신청할 수 있다.</t>
  </si>
  <si>
    <t>연령</t>
  </si>
  <si>
    <t>사용자가 교섭요구 사실을 공고한 경우에는 교섭대표노동조합이 결정된 날 이후부터 교섭단위 분리 신청을 할 수 없다.</t>
  </si>
  <si>
    <t>노동조합의 규약이 노동관계법령에 위반한 경우</t>
  </si>
  <si>
    <t>위원회는 노동계와 경영계가 추천하는 위원 각5명, 정부가 추천하는 공익위원 5명으로 구성된다.</t>
  </si>
  <si>
    <t>노동조합의 임원이 없고 노동조합으로서의 활동을 1년 이상 하지 아니한 경우에 노동조합은 해산한다.</t>
  </si>
  <si>
    <t>사용자는 단체교섭에 관한 권한을 위임한 때에는 그 사실을 노동조합에게 통보하여야 한다.</t>
  </si>
  <si>
    <t>을의 위임을 받은 갑</t>
  </si>
  <si>
    <t>행정관청은 단체협약중 위법・부당한 내용이 있는 경우에는 노동위원회의 의결을 얻어 그 시정을 명하여야 한다.</t>
  </si>
  <si>
    <t>필수공익사업의 경우 사용자는 당해 사업 또는 사업장 파업참가자의 100분의 50을 초과하지 않는 범위 안에서 도급 또는 하도급 줄 수 있다.</t>
  </si>
  <si>
    <t>근로자가 쟁의행위를 중단하고 진정으로 업무에 복귀할 의사를 표시하였음에도 사용자가 직장폐쇄를 계속 유지하면서 근로자의 쟁의행위에 대한 방어적인 목적에서 벗어나 공격적 직장폐쇄의 성격으로 변질된 경우에는 그 이후의 직장폐쇄는 정당성을 상실한다.</t>
  </si>
  <si>
    <t>근로자를 대표하는 조정위원은 사용자가 추천하는 당해 노동위원회의 위원중에서 그 노동위원회의 위원장이 지명하여야 한다.</t>
  </si>
  <si>
    <t>중재위원회 위원장은 중재위원 중에서 당해 노동위원회 위원장이 지명한다.</t>
  </si>
  <si>
    <t>지배・개입으로서의 부당노동행위가 성립하기 위해서는 근로자의 단결권의 침해라는 결과의 발생을 요한다.</t>
  </si>
  <si>
    <t>ㄱ, ㅁ, ㅂ</t>
  </si>
  <si>
    <t>노동위원회의 판정・명령 및 결정은 서면으로 하되, 이를 당해 사용자와 신청인에게 각각 교부하여야 한다.</t>
  </si>
  <si>
    <t>노동조합의 대표자가 사립학교 설립・경영자와 교섭하고 단체협약을 체결할 경우 사립학교 설립・경영자가 개별적으로 교섭에 응하여야 한다.</t>
  </si>
  <si>
    <t>공무원은 임용권자의 동의를 받아 노동조합의 업무에만 종사할 수 있으며, 동의를 받아 노동조합의 업무에만 종사하는 사람에 대하여는 그 기간 중 휴직명령을 하여야 한다.</t>
  </si>
  <si>
    <t>노사협의회에 의장을 두며, 의장은 위원 중에서 사용자가 지명한다. 이 경우 근로자위원과 사용자위원 중 각 1명을 공동의장으로 할 수 있다.</t>
  </si>
  <si>
    <t>노동위원회는 그 권한에 속하는 업무를 독립적으로 수행한다.</t>
  </si>
  <si>
    <t>ㄷ - ㄴ - ㄹ - ㄱ</t>
  </si>
  <si>
    <t>노동위원회의 부당노동행위 구제명령을 이행할 수 있는 법률적 또는 사실적인 권한이나 능력을 가지는 지위에 있더라도 직접고용관계에 있지 않는 한 사용자에 해당한다고 볼 수 없다.</t>
  </si>
  <si>
    <t>근로시간 면제자에 대한 급여는 사회통념상 수긍할 만한 합리적인 범위를 초과할 정도로 과다하지 않더라도 근로의 대가로 볼 수 없다.</t>
  </si>
  <si>
    <t>노동조합 활동은 취업규칙이나 단체협약에 별도의 허용규정이 있더라도 취업시간 외에 행하여져야 한다.</t>
  </si>
  <si>
    <t>노동조합과 사용자 또는 사용자단체는 신의에 따라 성실히 교섭하여야 한다.</t>
  </si>
  <si>
    <t>공정대표의무 위반에 대한 형사벌칙 규정이 없다.</t>
  </si>
  <si>
    <t>하나의 사업 또는 사업장에서 교섭단위를 분리할 필요가 있다고 인정되는 경우에 노동관계 당사자는 합의를 통하여 교섭단위를 분리할 수 있다.</t>
  </si>
  <si>
    <t>단체협약의 해석에 관하여 관계 당사자간에 의견의 불일치가 있는 때에는 노동위원회가 직권으로 그 해석에 관한 견해를 제시할 수 있다.</t>
  </si>
  <si>
    <t>국가 및 지방자치단체는 노동관계 당사자간에 노동관계에 관한 주장이 일치하지 아니할 경우에 쟁의행위를 가능한 한 예방하고 노동쟁의의 신속・공정한 해결에 노력하여야 한다.</t>
  </si>
  <si>
    <t>노동쟁의의 중재를 위하여 당해 노동위원회의 위원중에서 사용자를 대표하는 자, 근로자를 대표하는 자 및 공익을 대표하는 자 각 1인으로 구성된 중재위원회를 둔다.</t>
  </si>
  <si>
    <t>작업시설의 손상이나 원료・제품의 변질 또는 부패를 방지하기 위한 작업은 쟁의행위 기간중에도 정상적으로 수행되어야 한다.</t>
  </si>
  <si>
    <t>근로를 불완전하게 제공하는 형태의 쟁의행위인 태업도 근로제공이 일부 정지되는 것이라고 할 수 있으므로 무노동 무임금 원칙이 적용된다.</t>
  </si>
  <si>
    <t>직장폐쇄의 개시 자체가 정당하면 근로자의 쟁의행위에 대한 방어적인 목적에서 벗어나 공격적 직장폐쇄의 성격으로 변질되었더라도 정당성이 상실되는 것은 아니다.</t>
  </si>
  <si>
    <t>불이익 취급의 부당노동행위는 현실적인 행위나 조치로 나타날 것을 요하지 않으므로 그 근로자에게 향후 불이익한 대우를 하겠다는 의사를 말로써 표시하는 것으로 성립한다.</t>
  </si>
  <si>
    <t>노동위원회는 부당노동행위에 대한 심문을 함에 있어서는 관계 당사자에 대하여 증거의 제출과 증인에 대한 반대심문을 할 수 있는 충분한 기회를 주어야 한다.</t>
  </si>
  <si>
    <t>분기별 생산계획과 실적에 관한 사항</t>
  </si>
  <si>
    <t>노동위원회의 처분의 효력은 판정서・명령서・결정서를 송달받은 날부터 발생한다.</t>
  </si>
  <si>
    <t>노동조합과 그 조합원은 파업을 제외한 그 밖의 쟁의행위를 할 수 있다.</t>
  </si>
  <si>
    <t>노동조합의 대표자는 정부교섭대표와 교섭하려는 경우에는 교섭하려는 사항에 대하여 권한을 가진 정부교섭대표에게 서면으로 교섭을 요구하여야 한다.</t>
  </si>
  <si>
    <t>헌법재판소는 단체교섭권은 어떠한 제약도 허용되지 아니하는 절대적인 권리가 아니라는 입장을 취하고 있다.</t>
  </si>
  <si>
    <t>미국의 1935년 와그너법은 근로자의 단결권・단체교섭권・단체행동권을 명문화하였다.</t>
  </si>
  <si>
    <t>항상 사용자의 이익을 대표하여 행동하는 자의 참가를 허용하는 경우에는 노동조합으로 보지 아니한다.</t>
  </si>
  <si>
    <t>규약에는 임원의 규약위반에 대한 탄핵에 관한 사항을 기재하여야 한다.</t>
  </si>
  <si>
    <t>분할</t>
  </si>
  <si>
    <t>노동조합과 사용자 또는 사용자단체는 법령에 따라 교섭 또는 단체협약의 체결에 관한 권한을 위임한 때에는 그 사실을 상대방에게 통보하여야 한다.</t>
  </si>
  <si>
    <t>보건에 관한 사항은 노사협의회의 협의사항일 뿐 단체교섭 대상이 될 수 없다.</t>
  </si>
  <si>
    <t>교섭대표노동조합이 그 결정된 날부터 1년 동안 단체협약을 체결하지 못한 경우에는 어느 노동조합이든지 사용자에게 교섭을 요구할 수 있다.</t>
  </si>
  <si>
    <t>일반적 구속력과 관련하여 사업장 단위로 체결되는 단체협약의 적용범위가 특정되지 않았거나 단체협약 조항이 모든 직종에 걸쳐서 공통적으로 적용되는 경우에는 직종의 구분 없이 사업장 내의 모든 근로자가 동종의 근로자에 해당된다.</t>
  </si>
  <si>
    <t>단체협약의 당사자는 단체협약의 체결일부터 15일 이내에 당사자 쌍방의 연명으로 단체협약을 행정관청에 신고하여야 한다.</t>
  </si>
  <si>
    <t>단체협약의 당사자 쌍방의 신청으로 행정관청이 단체협약의 지역적 구속력 적용 결정을 하는 경우에는 노동위원회의 의결을 얻지 아니할 수 있다.</t>
  </si>
  <si>
    <t>사업장의 안전보호시설에 대하여 정상적인 유지・운영을 방해하는 행위는 쟁의행위로서 이를 행할 수 없다.</t>
  </si>
  <si>
    <t>쟁의행위의 목적 중 일부가 정당하지 못한 경우에는 주된 목적 내지 진정한 목적의 당부에 의하여 그 쟁의 목적의 당부를 판단하여야 한다.</t>
  </si>
  <si>
    <t>노동쟁의가 중재에 회부된 때에는 그 날부터 15일간은 쟁의행위를 할 수 없다.</t>
  </si>
  <si>
    <t>긴급조정이 결정되면 관계 당사자는 즉시 쟁의행위를 중지하여야 하며, 결정일 부터 30일이 경과하지 아니하면 쟁의행위를 재개할 수 없다.</t>
  </si>
  <si>
    <t>항공운수사업의 업무 중 창정비 업무</t>
  </si>
  <si>
    <t>지방노동위원회의 구제명령에 불복이 있는 관계 당사자는 그 명령서의 송달을 받은 날부터 15일 이내에 중앙노동위원회에 재심을 신청할 수 있다.</t>
  </si>
  <si>
    <t>관할법원이 중앙노동위원회 구제명령의 이행을 명한 경우 그 명령을 위반한 자에 대하여는 노동조합 및 노동관계조정법상 벌금형이 규정되어 있다.</t>
  </si>
  <si>
    <t>노동조합이 당해 사업장에 종사하는 근로자의 3분의 2 이상을 대표하고 있을 때에는 근로자가 그 노동조합의 조합원이 될 것을 고용조건으로 하는 단체협약의 체결은 부당노동행위에 해당하지 아니한다.</t>
  </si>
  <si>
    <t>지방노동위원회의 근로자위원은 노동조합이 추천한 사람 중에서 지방노동위원회 위원장의 제청으로 중앙노동위원회 위원장이 위촉한다.</t>
  </si>
  <si>
    <t>다른 공무원에 대하여 지휘・감독권을 행사하는 6급 이하의 일반직공무원은 공무원의 노동조합에 가입할 수 있다.</t>
  </si>
  <si>
    <t>법령에 따른 단체교섭을 하는 경우에 관계 당사자는 국민여론과 학부모의 의견을 수렴하여 성실하게 교섭하여야 한다.</t>
  </si>
  <si>
    <t>중앙노동위원회 위원장은 노사협의회 위원으로서의 직무수행과 관련하여 사용자가 근로자위원에게 불이익을 주는 처분을 하는 경우에는 그 시정을 명할 수 있다.</t>
  </si>
  <si>
    <t>단체교섭권의 정당한 행사에 대해서는 민・형사상 책임이 면제된다.</t>
  </si>
  <si>
    <t>국가는 사회적・경제적 방법으로 근로자의 고용의 증진에 노력하여야 한다.</t>
  </si>
  <si>
    <t>퇴직금에 관한 조항</t>
  </si>
  <si>
    <t>ㄱ: 15 ㄴ: 7</t>
  </si>
  <si>
    <t>노동조합설립신고서의 보완을 요구하거나 그 신고서를 반려하는 경우에는 노동위원회의 의결을 거쳐야 한다.</t>
  </si>
  <si>
    <t>교섭대표노동조합이 결정된 날부터 1년 동안 단체협약을 체결하지 못한 경우에도 교섭대표노동조합만이 사용자에게 교섭을 요구할 수 있다.</t>
  </si>
  <si>
    <t>필수유지업무협정은 서면으로 작성하여 노동관계 당사자 쌍방이 서명 또는 날인하여야 한다.</t>
  </si>
  <si>
    <t>노동조합의 조직형태 변경은 총회에서 재적조합원 과반수의 출석과 출석조합원 3분의 2 이상의 찬성이 있어야 한다.</t>
  </si>
  <si>
    <t>근로조건을 불리하게 변경하는 내용의 단체협약이 현저히 합리성을 결하여 노동조합의 목적을 벗어난 것으로 볼 수 있는 경우와 같은 특별한 사정이 없는 한 그러한 노사간의 합의를 무효라고 볼 수는 없으나, 노동조합으로서는 그러한 합의를 위하여 사전에 근로자들로부터 개별적인 동의나 수권을 받아야 한다.</t>
  </si>
  <si>
    <t>상대방에 대한 노동쟁의 발생의 통보</t>
  </si>
  <si>
    <t>업종별 노동조합의 경우에는 총파업이 아닌 이상 쟁의행위를 예정하고 있는 당해 지부나 분회소속 조합원의 과반수의 찬성이 있으면 쟁의행위는 절차적으로 적법하다.</t>
  </si>
  <si>
    <t>노동조합 전임자라 할지라도 단체협약에 노동조합 전임자에 관하여 특별한 규정을 두거나 특별한 관행이 존재하지 아니하는 한 출・퇴근에 대한 사규의 적용을 받는다.</t>
  </si>
  <si>
    <t>ㄱ: 30 ㄴ: 50</t>
  </si>
  <si>
    <t>근로자위원은 근로자의 과반수로 조직된 노동조합이 있는 경우에는 노동조합의 대표자와 그 노동조합이 위촉하는 자로 한다.</t>
  </si>
  <si>
    <t>교원은 교육부장관의 허가가 있는 경우 노동조합의 업무에만 종사할 수 있다.</t>
  </si>
  <si>
    <t>단체교섭이 결렬된 경우에는 당사자 어느 한쪽 또는 양쪽은 중앙노동위원회에 조정을 신청할 수 있다.</t>
  </si>
  <si>
    <t>중앙노동위원회 근로자위원은 노동조합이 추천한 사람 중에서 고용노동부장관의 제청으로 대통령이 위촉한다.</t>
  </si>
  <si>
    <t>미국의 와그너법을 수용하여 사용자와 노동조합을 부당노동행위 주체로 인정하고 있다.</t>
  </si>
  <si>
    <t>노동조합 및 노동관계조정법에 의하여 설립된 노동조합이 아니더라도 노동위원회에 부당노동행위의 구제를 신청할 수 있다.</t>
  </si>
  <si>
    <t>교섭대표노동조합이 결정된 날로부터 6개월 동안 단체협약을 체결하지 못한 경우 어느 노동조합이든지 사용자에게 교섭을 요구할 수 있다.</t>
  </si>
  <si>
    <t>사용자는 쟁의기간 중이라는 사정만을 이유로 단체교섭을 거부할 수 있다.</t>
  </si>
  <si>
    <t>노동조합 또는 사용자는 교섭단위를 분리하여 교섭하려는 경우에는 사용자가 교섭요구 사실을 공고하기 전에도 노동위원회에 교섭단위 분리의 결정을 신청할 수 있다.</t>
  </si>
  <si>
    <t>단위노동조합이 상부단체인 연합단체에 단체교섭권한을 위임한 경우에 그 위임의 범위 내에서는 단체교섭권한이 없다.</t>
  </si>
  <si>
    <t>단체협약의 개정에도 불구하고 종전의 단체협약과 동일한 내용의 취업규칙이 있을 경우에 개정된 단체협약에는 당연히 취업규칙상의 유리한 조건의 적용을 배제하고 개정된 단체협약이 우선적으로 적용된다는 내용의 합의가 포함된 것으로 보아야 한다.</t>
  </si>
  <si>
    <t>단체교섭의 절차</t>
  </si>
  <si>
    <t>단체협약의 해석에 관하여 관계 당사자간에 의견의 불일치가 있는 때에는 당사자 쌍방 또는 단체협약에 정하는 바에 의하여 어느 일방이 노동위원회에 그 해석에 관한 견해의 제시를 요청할 수 있다.</t>
  </si>
  <si>
    <t>휴게시간</t>
  </si>
  <si>
    <t>중앙노동위원회의 위원장은 조정이 성립될 가망이 없다고 인정한 경우에는 공익위원의 의견을 들어 그 사건을 중재에 회부할 것인가의 여부를 결정하여야 한다.</t>
  </si>
  <si>
    <t>국가・지방자치단체・국공영기업체・방위산업체 및 공익사업에 있어서의 노동쟁의의 조정은 우선적으로 취급하고 신속히 처리하여야 한다.</t>
  </si>
  <si>
    <t>임금인상 주장을 관철하기 위하여 종래 통상적으로 실시해 오던 휴일근무를 집단적으로 거부하여 회사업무의 정상적인 운영을 저해하더라도 이는 쟁의행위에 해당하지 않는다.</t>
  </si>
  <si>
    <t>사용자는 쟁의행위 기간중 그 쟁의행위로 중단된 업무의 수행을 위하여 당해 사업과 관계있는 자를 채용 또는 대체할 수 없다.</t>
  </si>
  <si>
    <t>단순히 노동조합이 사용자에게 다소 무리한 임금인상을 요구함으로써 분쟁이 발생하였고, 노동조합의 쟁의행위 결과 사용자의 정상적인 업무수행이 저해되었다면, 노동조합의 쟁의행위는 그것만으로 정당성이 결여된다.</t>
  </si>
  <si>
    <t>직장폐쇄가 정당한 쟁의행위로 평가받을 때 사용자는 직장폐쇄 기간 동안의 대상 근로자에 대한 임금 지급의무를 면한다.</t>
  </si>
  <si>
    <t>노동조합을 조직하려고 하였다는 이유로 근로자에 대하여 한 부당노동행위에 대하여 후에 설립된 노동조합은 독자적인 구제신청권을 가지지 않는다.</t>
  </si>
  <si>
    <t>노동위원회의 구제명령・기각결정 또는 재심판정은 중앙노동위원회에의 재심신청이나 행정소송의 제기에 의하여 그 효력이 정지되지 아니한다.</t>
  </si>
  <si>
    <t>사용자는 근로자의 교육훈련 및 능력개발 기본계획의 수립에 대하여는 노사협의회의 의결을 거쳐야 한다.</t>
  </si>
  <si>
    <t>정부교섭대표는 다른 정부교섭대표에게 교섭 및 단체협약 체결 권한을 위임할 수 없다.</t>
  </si>
  <si>
    <t>노동조합과 그 조합원은 파업, 태업 또는 그 밖에 업무의 정상적인 운영을 방해하는 일체의 쟁의행위를 하여서는 아니 된다.</t>
  </si>
  <si>
    <t>노동위원회는 관계 행정기관으로 하여금 근로조건의 개선에 필요한 조치를 하도록 권고할 수 있다.</t>
  </si>
  <si>
    <t>총회 또는 대의원회의 해산결의가 있는 경우</t>
  </si>
  <si>
    <t>임원의 선거에 있어서 재적 조합원 과반수의 찬성을 얻은 자가 없는 경우에는 결선투표에서 다수의 찬성을 얻은 자를 임원으로 선출할 수 있다.</t>
  </si>
  <si>
    <t>노사간의 협상을 통해 사용자가 그 해고 권한을 제한하기로 합의하고 노동조합이 동의할 경우에 한하여 해고권을 행사하겠다는 의미로 해고의 사전 합의 조항을 단체협약에 두었다면, 그러한 절차를 거치지 아니한 해고처분은 원칙적으로 무효이다.</t>
  </si>
  <si>
    <t>노동조합과 사용자로부터 교섭 또는 단체협약의 체결에 관한 권한을 위임받은 자는 그 노동조합과 사용자를 위하여 위임받은 범위 안에서 그 권한을 행사할 수 있다.</t>
  </si>
  <si>
    <t>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효력만료일부터 6월까지 계속 효력을 갖는다.</t>
  </si>
  <si>
    <t>노동위원회의 교섭단위분리결정에 대하여는 불복할 수 없다.</t>
  </si>
  <si>
    <t>사용자는 노동조합 전임자의 정당한 노동조합 활동을 제한하여서는 아니 된다.</t>
  </si>
  <si>
    <t>노동조합의 대표자는 회계연도마다 결산결과와 운영상황을 공표하여야 한다.</t>
  </si>
  <si>
    <t>근로자가 노동조합에 가입하려는 행위를 이유로 그 근로자에게 불이익을 주는 행위</t>
  </si>
  <si>
    <t>특별노동위원회의 구제명령에 불복이 있는 관계 당사자는 그 명령서의 송달을 받은 날부터 10일 이내에 중앙노동위원회에 그 재심을 신청할 수 있다.</t>
  </si>
  <si>
    <t>사업장의 안전보호시설에 대하여 정상적인 유지・운영을 정지・폐지 또는 방해하는 행위는 쟁의행위로서 이를 행할 수 없다.</t>
  </si>
  <si>
    <t>조정기간은 관계 당사자의 일방의 신청으로 공익사업에 있어서는 15일 이내에서 연장할 수 있다.</t>
  </si>
  <si>
    <t>사업장시설의 점거는 그 점거의 범위가 사업장시설의 일부분이고 사용자측의 출입이나 관리지배를 배제하지 않는 병존적인 점거에 지나지 않을 때에는 정당한 쟁의행위로 볼 수 있다.</t>
  </si>
  <si>
    <t>긴급조정 결정의 공표는 신문・라디오 기타 공중이 신속히 알 수 있는 방법으로 하여야 한다.</t>
  </si>
  <si>
    <t>노동관계 당사자 쌍방 또는 일방은 필수유지업무협정이 체결되지 아니하는 때에는 노동위원회에 필수유지업무의 필요 최소한의 유지・운영 수준, 대상직무 및 필요인원 등의 결정을 신청하여야 한다.</t>
  </si>
  <si>
    <t>노동조합의 조합원은 교섭대표노동조합이 공정대표의무를 위반하여 차별한 경우에는 그 행위가 있은 날부터 6개월 이내에 대통령령으로 정하는 방법과 절차에 따라 노동위원회에 그 시정을 요청할 수 있다.</t>
  </si>
  <si>
    <t>위원장 또는 상임위원이 궐위되어 후임자를 임명한 경우 후임자의 임기는 새로이 시작된다.</t>
  </si>
  <si>
    <t>위원은 비상임・무보수로 한다.</t>
  </si>
  <si>
    <t>노동3권은 자유권적 측면과 생존권적 측면을 동시에 가지고 있다.</t>
  </si>
  <si>
    <t>직접고용관계에 있지 않은 사업주라 하더라도 부당노동행위 구제명령을 이행할 주체로서의 사용자에 해당되는 경우가 있다.</t>
  </si>
  <si>
    <t>연합단체의 설립・가입 또는 탈퇴에 관한 사항은 총회의 의결을 거쳐야 한다.</t>
  </si>
  <si>
    <t>전임자가 담당하는 노동조합 업무가 사용자의 사업과는 무관한 상부 또는 연합관계에 있는 노동단체와 관련된 활동이라면 그 활동에 따른 재해는 업무상 재해에 해당되지 않는다.</t>
  </si>
  <si>
    <t>노동조합은 소속된 연합단체가 있는 경우에 그 명칭을 규약에 기재하여야 한다.</t>
  </si>
  <si>
    <t>쟁의행위 중이더라도 노동조합 측으로부터 새로운 타협안이 제시되는 등 교섭재개가 의미 있을 것으로 기대할 만한 사정변경이 생긴 경우에는 사용자로서는 다시 단체교섭에 응하여야 한다.</t>
  </si>
  <si>
    <t>교섭대표노동조합을 결정하여야 하는 단위는 노동위원회가 교섭단위를 분리하는 결정을 하지 않는 한, 하나의 사업 또는 사업장으로 한다.</t>
  </si>
  <si>
    <t>연합단체인 노동조합</t>
  </si>
  <si>
    <t>단체협약과 취업규칙이 동일한 내용의 근로조건을 규정하고 있었으나, 단체협약만이 불리하게 개정된 경우에는 보다 유리한 내용을 규정하고 있는 취업규칙이 우선적으로 적용된다.</t>
  </si>
  <si>
    <t>단체협약의 유효기간이 경과한 후에도 새로운 단체협약이 체결되지 아니한 때에 는 새로운 단체협약이 체결될 때까지 종전 단체협약의 효력을 존속시킨다는 취지의 약정은 무효이다.</t>
  </si>
  <si>
    <t>단체협약의 당사자는 체결일부터 15일 이내에 노동위원회에 신고하여야 한다.</t>
  </si>
  <si>
    <t>사용자는 적법한 직장폐쇄를 한 경우에 임금지급의무를 면한다.</t>
  </si>
  <si>
    <t>필수유지업무협정에는 필수유지업무의 필요 최소한의 유지・운영 수준, 대상 직무 및 필요인원 등을 정하여야 한다.</t>
  </si>
  <si>
    <t>근로자들이 집단적으로 근로의 제공을 거부하여 사용자의 정상적인 업무운영을 저해하고 손해를 발생하게 한 행위는 당연히 위력에 해당하여 정당한 쟁의행위로서의 위법성이 조각되는 경우가 아닌 한 업무방해죄를 구성한다.</t>
  </si>
  <si>
    <t>조정안이 관계 당사자에 의하여 수락된 때에는 조정위원 전원 또는 단독조정인은 조정서를 작성하고 관계 당사자와 함께 서명 또는 날인하여야 하며 조정서의 내용은 단체협약과 동일한 효력을 가진다.</t>
  </si>
  <si>
    <t>고용노동부장관은 긴급조정을 결정한 때에는 지체 없이 그 이유를 붙여 이를 공표함과 동시에 중앙노동위원회와 관계 당사자에게 각각 통고하여야 한다.</t>
  </si>
  <si>
    <t>부당노동행위가 성립되기 위해서는 근로자의 단결권의 침해라는 결과의 발생이 요구된다.</t>
  </si>
  <si>
    <t>부당노동행위는 노동위원회에 그 구제신청을 할 수 있고, 이와 별도로 불이익처분이 부당노동행위에 해당함을 이유로 민사소송을 제기할 수 있다.</t>
  </si>
  <si>
    <t>구제명령은 재심 또는 행정소송에 의하여 그 효력이 정지되지 아니한다.</t>
  </si>
  <si>
    <t>고용노동부장관은 중앙노동위원회 및 지방노동위원회의 예산・인사・교육훈련 기타 행정사무를 총괄하며, 소속공무원을 지휘・감독한다.</t>
  </si>
  <si>
    <t>기업의 경제적・재정적 상황</t>
  </si>
  <si>
    <t>교원은 교육부장관의 허가를 받은 경우에 한하여 노동조합의 업무에만 종사할 수 있다.</t>
  </si>
  <si>
    <t>단체협약안의 가부에 관하여 조합원총회의 의결을 거치도록 노동조합 규약에서 정하고 있다면 총회의 의결을 거치지 아니한 단체협약은 무효이다.</t>
  </si>
  <si>
    <t>근로자는 단체협약에 정한 바가 없더라도 사용자의 동의가 있는 경우에는 근로계약 소정의 근로를 제공하지 아니하고 노동조합의 업무에만 종사할 수 있다.</t>
  </si>
  <si>
    <t>ㄱ : 근로자, ㄴ : 100분의 30</t>
  </si>
  <si>
    <t>"쟁의행위"라 함은 파업・태업・직장폐쇄 기타 노동관계 당사자가 그 주장을 관철할 목적으로 행하는 행위와 이에 대항하는 행위로서 업무의 정상적인 운영을 저해하는 행위를 말한다.</t>
  </si>
  <si>
    <t>노동쟁의의 예방</t>
  </si>
  <si>
    <t>쟁의행위에서 추구되는 목적이 여러 가지이고 그 중 일부가 정당하지 못한 경우에는 주된 목적 내지 진정한 목적의 당부에 의하여 그 쟁의목적의 당부를 판단하여야 한다.</t>
  </si>
  <si>
    <t>중재위원회 위원장은 중재위원 중에서 호선한다.</t>
  </si>
  <si>
    <t>지방노동위원회 또는 특별노동위원회의 구제명령 또는 기각결정에 불복이 있는 관계 당사자는 그 명령서 또는 결정서의 송달을 받은 날부터 15일 이내에 중앙노동위원회에 그 재심을 신청할 수 있다.</t>
  </si>
  <si>
    <t>노동조합의 해산에 관한 사항은 총회에서 재적조합원 과반수의 출석과 출석조합원 3분의 2 이상의 찬성이 있어야 한다.</t>
  </si>
  <si>
    <t>시내버스 여객운수사업</t>
  </si>
  <si>
    <t>총회는 매년 1회 이상 개최하여야 하며 노동조합의 대표자가 총회의 의장이 된다.</t>
  </si>
  <si>
    <t>공동교섭대표단의 구성에 합의하지 못할 경우에 노동위원회는 사용자 또는 해당 노동조합의 신청에 따라 조합원 비율을 고려하여 이를 결정할 수 있다.</t>
  </si>
  <si>
    <t>사용자가 직장폐쇄를 할 경우에는 사후에 행정관청 및 노동위원회에 각각 신고하여야 한다.</t>
  </si>
  <si>
    <t>근로시간 면제 한도는 2년마다 그 적정성 여부를 재심의하여 결정할 수 있다.</t>
  </si>
  <si>
    <t>사업장의 안전보호시설에 대하여 정상적인 유지․운영을 정지․폐지 또는 방해하는 행위는 쟁의행위로서 이를 행할 수 있다.</t>
  </si>
  <si>
    <t>단체협약의 유효기간에 관하여 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</si>
  <si>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노동쟁의의 중재 또는 재심을 위하여 노동위원회에 중재위원 3인으로 구성한 중재위원회를 둔다.</t>
  </si>
  <si>
    <t>행정관청은 설립신고서에 규약이 첨부되어 있지 아니한 경우 보완을 요구함이 없이 반려하여야 한다.</t>
  </si>
  <si>
    <t>연합단체인 노동조합의 대표자는 그 구성단체의 3분의 1 이상이 회의에 부의할 사항을 제시하고 회의의 소집을 요구한 때에는 지체없이 임시총회를 소집하여야 한다.</t>
  </si>
  <si>
    <t>노사협의회 위원은 임기가 끝난 경우라도 후임자가 선출될 때까지 계속 그 직무를 담당한다.</t>
  </si>
  <si>
    <t>노동위원회는 관계 당사자가 화해안을 수락한 때에는 화해조서를 작성할 수 있다.</t>
  </si>
  <si>
    <t>교원의 노동조합은 공립학교교원의 경우는 전국단위로, 사립학교교원의 경우는 학교단위로 설립할 수 있다.</t>
  </si>
  <si>
    <t>공무원 노동관계 조정위원회는 공무원 노동관계의 조정・중재를 전담하는 7명 이내의 공익위원으로 구성한다.</t>
  </si>
  <si>
    <t>현행법상 단체행동권이 인정되는 공무원이 있다.</t>
  </si>
  <si>
    <t>단체협약에 정한 근로조건에 위반하는 취업규칙의 부분은 무효로 한다.</t>
  </si>
  <si>
    <t>법무부장관</t>
  </si>
  <si>
    <t>기존 노동조합에서 다수의 조합원이 탈퇴하여 새로운 노동조합을 설립할 경우, 기존 노동조합의 재산은 탈퇴조합원 수에 비례하여 신설 노동조합에 승계된다.</t>
  </si>
  <si>
    <t>취업규칙이나 단체협약에 별도의 허용규정이 있거나 관행 또는 사용자의 승낙이 있는 경우 외에는 취업시간 외에 행하여져야 한다.</t>
  </si>
  <si>
    <t>단체교섭권을 위임한 단체교섭당사자는 수임자와 경합적으로 단체교섭권을 갖는다.</t>
  </si>
  <si>
    <t>교섭대표노동조합은 쟁의행위 기간에 대한 임금의 지급을 요구하여 이를 관철할 목적으로 쟁의행위를 하여서는 아니된다.</t>
  </si>
  <si>
    <t>공정대표의무 위반에 대해서 벌칙이 적용된다.</t>
  </si>
  <si>
    <t>조합원에게 적용되는 면직기준을 취업규칙의 면직기준보다 불이익하게 개정한 단체협약의 효력은 단체협약의 본질적 기능을 침해하는 것으로 무효이다.</t>
  </si>
  <si>
    <t>편의제공에 관한 사항</t>
  </si>
  <si>
    <t>조합원 가입범위를 정한 단체협약의 규정은 무효이다.</t>
  </si>
  <si>
    <t>일반조합원이 불법쟁의행위시 노동조합의 지시에 따라 단순히 노무를 정지한 것만으로는 노동조합과 함께 공동불법행위의 민사책임을 진다고 할 수 없다.</t>
  </si>
  <si>
    <t>전기・전산 또는 통신시설</t>
  </si>
  <si>
    <t>근로자가 연장근로를 희망할 경우 회사에서 반드시 이를 허가하여야 할 의무는 없으므로, 특정 근로자가 파업에 참가하였거나 노조활동에 적극적이라는 이유로 해당 근로자에게 연장근로를 거부하였어도 부당노동행위에 해당할 수 없다.</t>
  </si>
  <si>
    <t>원청회사가 사내 하청업체 근로자들의 기본적인 노동조건 등에 관하여 실질적이면서 구체적으로 지배・결정할 수 있는 지위에 있다면 부당노동행위의 시정을 명하는 구제명령을 이행할 주체로서의 사용자에 해당할 수 있다.</t>
  </si>
  <si>
    <t>필수공익사업의 사용자는 쟁의행위 기간 동안 그 사업장 파업참가자의 100분의 50을 초과하지 않는 범위 내에서 하도급을 줄 수 있다.</t>
  </si>
  <si>
    <t>조정안이 관계 당사자에 의하여 수락된 때에는 조정위원 전원 또는 단독조정인은 조정서를 작성하고 관계 당사자와 함께 서명 또는 날인하여야 한다.</t>
  </si>
  <si>
    <t>노동위원회는 직권으로 증인을 출석하게 하여 필요한 사항을 질문할 수 있다.</t>
  </si>
  <si>
    <t>조직 대상을 같이하는 둘 이상의 노동조합이 설립되어 있는 경우에 노동조합은 교섭창구를 단일화하여 단체교섭을 요구하여야 한다.</t>
  </si>
  <si>
    <t>단체교섭이 결렬된 경우에는 관계 당사자 어느 한쪽은 단체협약에 의하여 중재를 신청할 수 있다.</t>
  </si>
  <si>
    <t>노사협의회는 1년마다 정기적으로 회의를 개최하여야 하고 필요에 따라 임시회의를 개최할 수 있다.</t>
  </si>
  <si>
    <t>노동위원회는 그 처분에 관하여 당사자에게 서면으로 통지하여야 한다.</t>
  </si>
  <si>
    <t>노사협의회제도는 노동조합법에 규정된 적이 있었다.</t>
  </si>
  <si>
    <t>석면 사용 안전에 관한 협약(제162호)</t>
  </si>
  <si>
    <t>노동위원회는 관계 당사자의 일방만이 노동쟁의의 조정을 신청한 때에는 조정을 개시할 수 없다.</t>
  </si>
  <si>
    <t>노동관계 당사자가 쌍방의 합의 또는 단체협약이 정하는 바에 따라 사적 중재에 의하여 노동쟁의를 해결하기로 한 때에는 이를 노동위원회에 신고하여야 한다.</t>
  </si>
  <si>
    <t>방송사업</t>
  </si>
  <si>
    <t>노동관계 당사자는 쟁의행위기간 동안 필수유지업무의 정당한 유지・운영을 위하여 필수유지업무의 필요 최소한의 유지・운영 수준, 대상직무 및 필요인원 등을 정한 협정을 체결하여야 하며, 이때 그 협정이 반드시 서면에 의하여야 하는 것은 아니다.</t>
  </si>
  <si>
    <t>쟁의행위에서 추구되는 목적이 여러 가지이고 그 중 일부가 정당하지 못한 경우 주된 목적 내지 진정한 목적의 당부에 따라 그 정당성 여부를 판단하여야 한다.</t>
  </si>
  <si>
    <t>사용자는 직장폐쇄를 할 경우에는 미리 행정관청 또는 노동위원회에 신고하여야 한다.</t>
  </si>
  <si>
    <t>단체협약은 서면으로 작성하여 당사자 쌍방이 서명 또는 날인하여야 하며, 단체협약의 당사자는 단체협약의 체결일부터 15일 이내에 이를 행정관청에게 신고하여야 한다.</t>
  </si>
  <si>
    <t>당사자가 단체협약의 만료시에 그 협약의 갱신협정을 체결하는 경우 갱신되는 단체협약의 유효기간은 2년을 초과할 수 없다.</t>
  </si>
  <si>
    <t>사용자에는 그 사업의 근로자에 관한 사항에 대하여 사업주를 위하여 행동하는 자가 포함된다.</t>
  </si>
  <si>
    <t>단체교섭에 대한 사용자의 거부나 해태에 정당한 이유가 있는지 여부는 노동조합 측의 교섭권자, 노동조합 측이 요구하는 교섭시간, 교섭장소 및 그의 교섭태도 등을 종합하여 사회통념상 사용자에게 단체교섭의무의 이행을 기대하는 것이 어렵다고 인정되는지 여부에 따라 판단하여야 한다.</t>
  </si>
  <si>
    <t>노동조합의 규약이 노동관계법령에 위반한 경우 그 시정을 명하려면 노동위원회의 의결이 필요하다.</t>
  </si>
  <si>
    <t>해산에 관한 사항</t>
  </si>
  <si>
    <t>분할로 소멸한 경우</t>
  </si>
  <si>
    <t>재정에 관한 장부</t>
  </si>
  <si>
    <t>대의원의 임기는 규약으로 정하되 2년을 초과할 수 없다.</t>
  </si>
  <si>
    <t>근로시간면제 한도는 근로시간면제심의위원회가 심의・의결한 바에 따라 고용노동부장관이 고시하되, 3년마다 그 적정성 여부를 재심의하여 결정할 수 있다.</t>
  </si>
  <si>
    <t>근로자의 기본적인 근로조건 등에 관하여 그 근로자를 고용한 사업주로서의 권한과 책임을 일정 부분 담당하고 있다고 볼 정도로 실질적이고 구체적으로 지배・결정할 수 있는 지위에 있는 자가, 노동조합을 조직 또는 운영하는 것을 지배하거나 이에 개입하는 등으로 부당노동행위를 하였다면 그 시정을 명하는 구제명령을 이행하여야 할 사용자에 해당한다.</t>
  </si>
  <si>
    <t>지방노동위원회의 부당노동행위 구제명령 또는 기각결정에 불복이 있는 관계 당사자는 그 명령서 또는 결정서의 송달을 받은 날부터 15일 이내에 중앙노동위원회에 그 재심을 신청할 수 있다.</t>
  </si>
  <si>
    <t>지방노동위원회 또는 특별노동위원회에 대하여 노동위원회의 사무처리에 관한 기본방침 및 법령의 해석에 관하여 필요한 지시권</t>
  </si>
  <si>
    <t>사용자는 생산성 향상과 성과배분에 관한 사항에 대하여는 노사협의회의 의결을 거쳐야 한다.</t>
  </si>
  <si>
    <t>노동조합은 교섭위원을 노동조합의 대표자와 그 조합원 및 제3자로 구성하여야 한다.</t>
  </si>
  <si>
    <t>국가와 지방자치단체는 전임자에게 그 전임기간 중 보수를 지급하여서는 아니된다.</t>
  </si>
  <si>
    <t>노동조합으로서의 실질을 갖추고 있더라도 설립신고를 하지 아니한 노동조합은 헌법상 단체행동권을 향유할 수 없다.</t>
  </si>
  <si>
    <t>사실상의 노무에 종사하는 공무원은 쟁의행위가 금지된다.</t>
  </si>
  <si>
    <t>노동조합 임원의 임기는 규약으로 정하되 2년을 초과할 수 없다.</t>
  </si>
  <si>
    <t>노동조합의 임원이 없고 노동조합으로서의 활동을 1년 이상 하지 아니한 것으로 인정되는 경우에는 행정관청의 청구로 법원이 노동조합의 해산을 선고할 수 있다.</t>
  </si>
  <si>
    <t>조합원이 결산결과를 열람하기 위해서는 재적조합원 3분의 1 이상의 동의가 있어야 한다.</t>
  </si>
  <si>
    <t>행정관청에 대한 단체협약의 신고는 단체협약의 효력요건이 아니다.</t>
  </si>
  <si>
    <t>교섭할 권한'이라고 함은 사실행위로서의 단체교섭을 할 수 있는 권한을 말하고, 교섭한 결과에 따라 단체협약을 체결할 권한까지를 포함하는 것은 아니다.</t>
  </si>
  <si>
    <t>임원 선거에서 재적조합원 과반수의 출석과 출석조합원 과반수의 찬성을 얻은 자가 없는 경우에는 규약이 정하는 바에 따라 결선투표를 실시하여 다수의 찬성을 얻은 자를 임원으로 선출할 수 있다.</t>
  </si>
  <si>
    <t>하나의 사업장에서 일반적 구속력이 인정되는 경우 행정관청은 지체 없이 이를 공고하여야 한다.</t>
  </si>
  <si>
    <t>단체협약의 이행방법에 관하여 노동위원회가 제시한 견해는 협약 당사자가 동의하면 중재재정과 동일한 효력을 가지게 된다.</t>
  </si>
  <si>
    <t>노동위원회는 그 직권으로 조정위원회에 갈음하여 단독조정인에게 조정을 행하게 할 수 있다.</t>
  </si>
  <si>
    <t>노동관계 당사자는 사적조정에 의하여 노동쟁의를 해결하기로 한 때에는 이를 행정관청에 신고하여야 한다.</t>
  </si>
  <si>
    <t>수락된 조정안의 해석에 관한 조정위원회의 견해제시기간</t>
  </si>
  <si>
    <t>긴급조정을 결정한 때에는 지체 없이 이를 공표하여야 하지만, 이때 그 이유까지 공표할 필요는 없다.</t>
  </si>
  <si>
    <t>중앙노동위원회의 필수유지업무에 관한 결정에 대해서 노동관계 당사자는 행정소송을 제기하여 이에 불복할 수 있다.</t>
  </si>
  <si>
    <t>부당노동행위를 한 사용자에 대하여는 피해자의 명시적인 의사와 다르게 공소를 제기할 수 없다.</t>
  </si>
  <si>
    <t>해고에 대해 부당노동행위 구제신청을 하면서 그와는 별도로 그 해고가 부당해고에 해당됨을 이유로 부당해고구제 신청을 할 수 있다.</t>
  </si>
  <si>
    <t>교원 노동조합과 그 조합원은 업무의 정상적인 운영을 저해하는 일체의 쟁의행위를 하여서는 아니된다.</t>
  </si>
  <si>
    <t>공무원 노동조합은 정치활동을 할 수 없지만 조합원인 공무원은 정치활동을 할 수 있다.</t>
  </si>
  <si>
    <t>근로자위원의 일정한 자료에 대한 사전 요구에 사용자는 성실히 응해야 하지만, 기업의 경영․영업상 비밀에 해당하는 경우에는 그러하지 아니하다.</t>
  </si>
  <si>
    <t>중앙노동위원회는 당사자의 신청 또는 직권으로 지방노동위원회의 처분을 재심하여 변경할 수 있다.</t>
  </si>
  <si>
    <t>사용자위원에는 당해 사업 또는 사업장의 대표자가 반드시 포함되어야 하는 것은 아니다.</t>
  </si>
  <si>
    <t>중앙노동위원회와 지방노동위원회의 공익위원에 관한 자격기준은 서로 다르다.</t>
  </si>
  <si>
    <t>노동위원회는 당사자의 신청에 의하여 화해를 권고하거나 화해안을 제시할 수 있을 뿐 직권에 의하여 화해를 권고하거나 화해안을 제시할 수 없다.</t>
  </si>
  <si>
    <t>산업별 연합단체인 노동조합의 경우에도 현행법상 조직대상을 같이 하는 복수의 노동조합은 금지된다.</t>
  </si>
  <si>
    <t>노동관계 당사자 쌍방 또는 일방은 필수유지업무협정이 체결되지 아니하는 때에는 노동부장관에게 필수유지업무의 필요 최소한의 유지・운영 수준, 대상직무 및 필요인원 등의 결정을 신청하여야 한다.</t>
  </si>
  <si>
    <t>구제의 신청은 부당노동행위가 있은 날부터 3월 이내에 이를 행하여야 하며, 계속하는 행위는 그 종료일로부터 3월 이내에 행하여야 한다.</t>
  </si>
  <si>
    <t>노동위원회는 부당노동행위의 구제신청에 대한 판정・명령 및 결정은 서면으로 하여야 하며 이를 당해 사용자와 신청인에게 각각 교부하여야 한다.</t>
  </si>
  <si>
    <t>노동조합의 해산 결의는 재적조합원 과반수의 출석과 출석조합원 3분의 2 이상의 찬성이 있어야 한다.</t>
  </si>
  <si>
    <t>노동조합은 행정관청이 요구하는 경우에는 결산결과와 운영상황을 보고하여야 하며 불응하는 경우 형사처벌의 대상이 된다.</t>
  </si>
  <si>
    <t>공제・수양 기타 복리사업만을 목적으로 하는 경우 노동조합으로 보지 아니한다.</t>
  </si>
  <si>
    <t>대의원회에 관한 규정이 없는 규약은 무효이다.</t>
  </si>
  <si>
    <t>노동조합은 규약으로 조합비를 납부하지 않는 조합원에 대해 권리를 제한할 수 있다.</t>
  </si>
  <si>
    <t>대의원은 조합원의 직접・비밀・무기명투표에 의하여 선출되어야 하며, 대의원의 임기는 규약으로 정하되 3년을 초과할 수 없다.</t>
  </si>
  <si>
    <t>노동조합에 대하여는 그 사업체를 포함하여 세법이 정하는 바에 따라 조세를 부과하지 아니한다.</t>
  </si>
  <si>
    <t>전임자의 지위는 휴직상태에 있는 근로자와 유사하다고 보는 것이 판례의 입장이다.</t>
  </si>
  <si>
    <t>임금․복리후생비에 관한 사항</t>
  </si>
  <si>
    <t>연봉제 교섭과 관련하여 노동조합이 사용자에게 전체 근로자의 개별 근무성적, 연봉액에 관한 자료를 요구하였으나 사용자가 거부한 경우 성실교섭의무를 위반한 것으로 단정할 수 없다.</t>
  </si>
  <si>
    <t>단체협약에 2년을 초과하는 유효기간을 정한 경우 그 유효기간은 2년으로 한다.</t>
  </si>
  <si>
    <t>쟁의행위 기간에 대한 임금의 지급을 요구하여 이를 관철할 목적으로 쟁의행위를 한 자는 2년 이하의 징역 또는 2천만원 이하의 벌금에 처한다.</t>
  </si>
  <si>
    <t>노동조합에 의하여 주도되지 아니한 조합원의 쟁의행위</t>
  </si>
  <si>
    <t>쟁의행위로 중단된 업무의 수행을 위해 당해 사업의 근로자로 대체하였는데 그 대체한 근로자마저 사직함에 따라 사용자가 신규채용하게 되었다면 특별한 사정이 없는 한 금지된 대체근로에 해당되지 않는다는 것이 대법원의 입장이다.</t>
  </si>
  <si>
    <t>노동부장관이 긴급조정을 결정한 때에는 지체없이 그 이유를 붙여 이를 공표함과 동시에 중앙노동위원회와 관계 당사자에게 각각 통고하여야 한다.</t>
  </si>
  <si>
    <t>노동위원회는 심문을 할 때 직권으로 증인을 출석하게 할 수 있다.</t>
  </si>
  <si>
    <t>노동위원회는 규약에 위반된 노동조합의 결의에 대하여 이해관계인의 신청이 없더라도 시정을 명할 수 있다.</t>
  </si>
  <si>
    <t>총회의 해산결의가 있는 경우</t>
  </si>
  <si>
    <t>족벌재단 퇴진'이라고 기재된 리본을 착용한 교직원노동조합 소속 교원들의 행위는 정당한 조합활동이다.</t>
  </si>
  <si>
    <t>임원의 해임은 총회에서 재적조합원 과반수의 출석과 출석조합원 과반수의 찬성이 있어야 한다.</t>
  </si>
  <si>
    <t>국가유공자의 유가족에 대한 근로기회의 우선적 부여</t>
  </si>
  <si>
    <t>노동부장관은 긴급조정을 결정한 때에는 지체 없이 그 이유를 붙여 이를 공표함과 동시에 중앙노동위원회와 관계 당사자에게 각각 통고하여야 한다.</t>
  </si>
  <si>
    <t>사용자의 동의가 있어야 노동조합을 법인으로 할 수 있다.</t>
  </si>
  <si>
    <t>사용자가 구제명령에 불복하여 행정소송을 제기한 경우 중앙노동위원회는 판결이 확정될 때까지 구제명령을 이행하도록 명할 수 있다.</t>
  </si>
  <si>
    <t>차별심판위원회</t>
  </si>
  <si>
    <t>수산물 창고업자는 항운노동조합에 대하여 단체교섭 당사자의 지위에 있다.</t>
  </si>
  <si>
    <t>노동위원회 위원장은 직권으로 단독조정인에게 노동쟁의의 조정을 하게 할 수 있다.</t>
  </si>
  <si>
    <t>전임자는 단체협약 등에 따로 정함이 없더라도 사용자에게 연차휴가를 청구할 권리가 있다.</t>
  </si>
  <si>
    <t>필수유지업무협정이 자율적으로 체결되지 않은 때에는 노동관계 당사자 일방이나 쌍방이 노동위원회에 필수유지업무의 필요 최소한의 유지・운영수준 등의 결정을 신청하여야 한다.</t>
  </si>
  <si>
    <t>사적 조정을 수행하는 자는 노동관계 당사자로부터 수수료, 수당 및 여비 등을 받을 수 있다.</t>
  </si>
  <si>
    <t>이미 구체적으로 그 지급청구권이 발생한 임금이라도 노동조합이 근로자의 개별적 동의나 수권 없이 단체협약으로 이에 대한 포기 등 처분행위를 유효하게 할 수 있다.</t>
  </si>
  <si>
    <t>노동쟁의'라 함은 노동관계 당사자가 그 주장을 관철할 목적으로 행하는 행위와 이에 대항하는 행위로서 업무의 정상적인 운영을 저해하는 행위를 말한다.</t>
  </si>
  <si>
    <t>노동3권에 관하여 순수한 자유권적 기본권으로 보는 것이 헌법재판소의 일관된 입장이다.</t>
  </si>
  <si>
    <t>일부계층의 빈곤은 사회구성원 전체의 번영을 위협한다.</t>
  </si>
  <si>
    <t>노동위원회는 파견근로자에 대한 차별적 처우의 시정명령을 할 수 없다.</t>
  </si>
  <si>
    <t>노사협의회의 조직 및 운영규정은 협의회를 설치한 날부터 15일 이내에 노동위원회 위원장에게 제출하여야 한다.</t>
  </si>
  <si>
    <t>노동조합의 법인등기에 관한 사항</t>
  </si>
  <si>
    <t>1980년 노사협의회법이 제정되었다.</t>
  </si>
  <si>
    <t>필수공익사업의 사용자는 쟁의행위로 중단된 업무를 쟁의기간 중에 한하여 도급 줄 수 있으나 전체 조합원의 100분의 50을 초과하지 않는 범위에서만 가능하다.</t>
  </si>
  <si>
    <t>항공기의 여객화물 운송시설 점거</t>
  </si>
  <si>
    <t>1997년에는 「노동조합 및 노동관계조정법」이 제정되었다.</t>
  </si>
  <si>
    <t>노동조합의 대표자는 명칭이 변경된 경우에는 그 변경이 있는 날부터 3주 이내에 변경등기를 해야 한다.</t>
  </si>
  <si>
    <t>행정관청은 설립신고서 또는 규약이 기재사항의 누락등으로 보완이 필요한 경우에는 대통령령이 정하는 바에 따라 20일 이내의 기간을 정하여 보완을 요구하여야 한다.</t>
  </si>
  <si>
    <t>노동조합의 대표자는 대의원의 3분의 1 이상이 회의에 부의할 사항을 제시하고 회의의 소집을 요구한 때에는 15일 이내에 임시대의원회를 소집하여야 한다.</t>
  </si>
  <si>
    <t>근로시간면제심의위원회의 위원은 임기가 끝났더라도 후임자가 위촉될 때까지 계속하여 그 직무를 수행한다.</t>
  </si>
  <si>
    <t>노동조합의 대표자는 회계연도마다 결산결과와 운영상황을 공표하여야 하며 조합원의 요구가 있을 때에는 이를 열람하게 하여야 한다.</t>
  </si>
  <si>
    <t>규약에서 정한 해산사유가 발생하여 노동조합이 해산한 때에는 그 대표자는 해산한 날부터 15일 이내에 행정관청에게 이를 신고하여야 한다.</t>
  </si>
  <si>
    <t>교섭단위의 분리결정 신청은 사용자가 교섭요구 사실을 공고한 경우에는 교섭대표노동조합이 결정된 날 이후에 할 수 있다.</t>
  </si>
  <si>
    <t>단체협약의 이행방법에 관하여 관계 당사자간에 의견의 불일치가 있는 때에는 단체협약에 정하는 바에 의하여 사용자가 노동위원회에 그 이행방법에 관한 견해의 제시를 요청할 수 있다.</t>
  </si>
  <si>
    <t>국가 및 지방자치단체는 기업・산업・지역별 교섭 등 다양한 교섭방식을 노동관계 당사자가 자율적으로 선택할 수 있도록 지원하고 이에 따른 단체교섭이 활성화될 수 있도록 노력하여야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</si>
  <si>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갱신을 위한 교섭대표노동조합의 지위를 유지한다.</t>
  </si>
  <si>
    <t>확정된 부당노동행위 구제명령에 위반한 경우</t>
  </si>
  <si>
    <t>사용자는 필수유지업무협정이 체결된 경우 필수유지업무에 근무하는 조합원 중 쟁의행위기간 동안 근무하여야 할 조합원을 노동위원회에 통보하여야 한다.</t>
  </si>
  <si>
    <t>노동조합 및 노동관계조정법 제2절(조정) 및 제3절(중재)의 규정은 노동관계 당사자가 쌍방의 합의 또는 단체협약이 정하는 바에 따라 각각 다른 조정 또는 중재방법에 의하여 노동쟁의를 해결하는 것을 방해하지 아니한다.</t>
  </si>
  <si>
    <t>ㄱ: 10, ㄴ: 15, ㄷ: 30</t>
  </si>
  <si>
    <t>중재위원회의 중재위원은 당해 노동위원회의 위원중에서 사용자를 대표하는 자, 근로자를 대표하는 자 및 공익을 대표하는 자 각 1인을 그 노동위원회의 위원장이 지명한다.</t>
  </si>
  <si>
    <t>관계 당사자는 중앙노동위원회의 중재재정이나 재심결정이 위법이거나 월권에 의한 것이라고 인정하는 경우에는 중재재정 또는 재심결정을 한 날부터 15일 이내에 행정소송을 제기할 수 있다.</t>
  </si>
  <si>
    <t>ㄴ, ㄹ, ㅁ</t>
  </si>
  <si>
    <t>노사협의회의 회의는 공개한다. 다만, 노사협의회의 의결로 공개하지 아니할 수 있다.</t>
  </si>
  <si>
    <t>사용자가 정당한 사유 없이 제11조(시정명령)에 따른 시정명령을 이행하지 아니하면 1천만원 이하의 벌금에 처한다.</t>
  </si>
  <si>
    <t>각종 노사공동위원회의 설치</t>
  </si>
  <si>
    <t>노동위원회법에 따라 작성된 화해조서는 「민사소송법」에 따른 재판상 화해의 효력을 갖는다.</t>
  </si>
  <si>
    <t>노동위원회는 서류의 송달을 받아야 할 자에게 등기우편 등으로 송달하였으나 송달을 받아야 할 자가 없는 것으로 확인되어 반송되는 경우에는 공시송달을 하여야 한다.</t>
  </si>
  <si>
    <t>중앙노동위원회는 당사자의 신청이 있는 경우 지방노동위원회 또는 특별노동위원회의 처분을 재심하여 이를 인정・취소 또는 변경할 수 있다.</t>
  </si>
  <si>
    <t>고충처리위원은 임기가 끝난 경우에는 후임자가 선출되기 전이라도 계속 그 직무를 담당하지 못한다.</t>
  </si>
  <si>
    <t>법령・조례 및 예산에 의하여 규정되는 내용은 단체협약으로 체결되더라도 효력을 가지지 아니한다.</t>
  </si>
  <si>
    <t>근무시간 면제 한도를 초과하는 내용을 정한 단체협약 또는 임용권자의 동의는 그 부분에 한정하여 무효로 한다.</t>
  </si>
  <si>
    <t>공무원의 노동조합이 있는 경우 공무원이 공무원직장협의회를 설립・운영할 수 없다.</t>
  </si>
  <si>
    <t>법령 또는 조례에 의하여 위임을 받아 규정되는 내용은 단체협약으로 체결되더라도 효력을 가지지 않지만, 정부교섭대표는 그 내용이 이행될 수 있도록 성실하게 노력하여야 한다.</t>
  </si>
  <si>
    <t>관계 당사자는 확정된 중재재정을 따라야 하나, 위반에 대한 벌칙 규정은 없다.</t>
  </si>
  <si>
    <t>사적 조정・중재 (노동조합 및 노동관계조정법 제52조)</t>
  </si>
  <si>
    <t>노동조합의 교섭위원은 해당 노동조합의 대표자와 그 조합원으로 구성하여야 한다.</t>
  </si>
  <si>
    <t>관계 당사자의 일방이 단체협약에 의하여 중재를 신청한 때 중앙노동위원회는 중재를 한다.</t>
  </si>
  <si>
    <t>임원의 임기를 2년으로 정한 규약의 규정은 적법하다.</t>
  </si>
  <si>
    <t>산업별 노동조합의 지회가 기업별로 구성된 노동조합에 준하는 실질을 가지고 있다면 총회의 의결을 거쳐 독립한 기업별 노동조합으로 조직형태를 변경할 수 있다.</t>
  </si>
  <si>
    <t>단체협약 체결 업무 수행에 대한 적절한 통제를 위하여 규약 등에서 내부 절차를 거치도록 하는 등 대표자의 단체협약체결권한의 행사를 절차적으로 제한하는 것은, 그것이 단체협약체결권한을 전면적・포괄적으로 제한하는 것이 아닌 이상 허용된다.</t>
  </si>
  <si>
    <t>「노동조합 및 노동관계조정법」에 의하여 설립된 노동조합이 아니더라도 노동조합이라는 명칭을 사용할 수 있다.</t>
  </si>
  <si>
    <t>일정 범위의 근로자에 대하여만 단체협약을 적용하기로 규정하였더라도 단체협약은 조합원 모두에게 현실적으로 적용된다.</t>
  </si>
  <si>
    <t>노동조합이 교섭단위를 분리하여 교섭하려는 경우 사용자가 교섭요구 사실을 공고하기 전에는 교섭단위를 분리하는 결정을 신청할 수 있다.</t>
  </si>
  <si>
    <t>규약에서 정한 해산사유가 발생한 경우 노동조합은 해산한다.</t>
  </si>
  <si>
    <t>노동위원회는 공정대표의무 위반의 시정 신청에 따른 심문을 할 때에는 관계 당사자의 신청이 없는 경우 직권으로 증인을 출석하게 하여 질문할 수 없다.</t>
  </si>
  <si>
    <t>ㄱ: 15, ㄴ: 3</t>
  </si>
  <si>
    <t>노동조합은 사용자가 교섭요구 사실의 공고를 하지 아니하거나 다르게 공고하는 경우에는 고용노동부령으로 정하는 바에 따라 행정관청에 그 시정을 요청할 수 있다.</t>
  </si>
  <si>
    <t>사업장의 안전보호시설의 정상적인 유지・운영을 정지하는 쟁의행위에 대하여 노동위원회는 그 의결로 쟁의행위의 중지를 통보하여야 한다.</t>
  </si>
  <si>
    <t>노동관계 당사자가 필수유지업무 수준 등 결정 신청을 하는 경우 그 결정은 공익사업의 노동쟁의 조정을 위한 노동위원회의 특별조정위원회가 담당한다.</t>
  </si>
  <si>
    <t>노동쟁의의 조정</t>
  </si>
  <si>
    <t>고용노동부장관은 긴급조정의 결정을 하고자 할 때에는 중앙노동위원회 의결을 거쳐야 한다.</t>
  </si>
  <si>
    <t>중앙노동위원회의 재심판정에 대하여 행정소송을 제기한 경우에 관할법원은 부당노동행위 구제 신청자의 신청에 의하여 판결이 확정될 때까지 중앙노동위원회의 구제명령의 전부를 이행하도록 명할 수 있다.</t>
  </si>
  <si>
    <t>노사협의회는 노사협의회에서 의결된 사항의 해석에 관하여 의견이 일치하지 아니하는 경우 노동위원회의 중재를 받을 수 있다.</t>
  </si>
  <si>
    <t>노사협의회의 위원은 무보수로 한다는 명문의 규정상 위원의 노사협의회 출석 시간과 이와 관련된 시간은 노사협의회 규정으로 정한 경우에도 근로한 시간으로 볼 수 없다.</t>
  </si>
  <si>
    <t>노동위원회는 판정・명령 또는 결정이 있기 전까지 화해안을 제시할 수 있으며 관계 당사자가 화해안을 수락하였을 때에는 취하조서를 작성하여야 한다.</t>
  </si>
  <si>
    <t>정부교섭대표는 효율적인 교섭을 위하여 필요한 경우 다른 정부교섭대표와 공동으로 교섭할 수 있으나 정부교섭대표가 아닌 관계 기관의 장으로 하여금 교섭에 참여하게 할 수 없다.</t>
  </si>
  <si>
    <t>중앙노동위원회가 제시한 조정안을 당사자의 어느 한쪽이라도 거부한 경우에는 중앙노동위원회는 중재를 한다.</t>
  </si>
  <si>
    <t>헌법상 보장된 근로자의 단결권은 단결할 자유만을 가리킬 뿐이고, 단결하지 아니할 자유 이른바 소극적 단결권은 이에 포함되지 않는다고 보는 것이 헌법재판소의 입장이다.</t>
  </si>
  <si>
    <t>ㄱ: 3, ㄴ: 20, ㄷ: 2</t>
  </si>
  <si>
    <t>단체협약에 관한 사항은 총회의 의결사항이다.</t>
  </si>
  <si>
    <t>합병 또는 분할로 소멸하여 노동조합이 해산한 때 노동조합 대표자가 해산한 날부터 이를 행정관청에게 신고하여야 할 기한</t>
  </si>
  <si>
    <t>근로시간면제자에 대한 근로시간 면제 한도를 정하기 위하여 근로시간면제심의위원회를 고용노동부에 둔다.</t>
  </si>
  <si>
    <t>노동조합은 해당 사업에 단체협약이 2개 이상 있는 경우에는 나중에 이르는 단체협약의 유효기간 만료일 이전 3개월이 되는 날부터 사용자에게 교섭을 요구할 수 있다.</t>
  </si>
  <si>
    <t>공동교섭대표단의 구성에 합의하지 못할 경우에 노동위원회는 해당 노동조합의 신청에 따라 조합원 비율을 고려하여 이를 결정할 수 있다.</t>
  </si>
  <si>
    <t>노동위원회는 교섭단위를 분리하는 결정을 하고 해당 사업 또는 사업장의 모든 노동조합과 사용자에게 통지해야 한다.</t>
  </si>
  <si>
    <t>단체협약의 신고는 당사자 쌍방이 연명으로 해야 한다.</t>
  </si>
  <si>
    <t>ㄱ: 3, ㄴ: 3</t>
  </si>
  <si>
    <t>사용자가 인사처분을 할 때 노동조합의 사전 동의나 승낙을 얻어 인사처분을 하도록 단체협약 등에 규정된 경우 그 절차를 거치지 아니한 인사처분은 원칙적으로 무효로 보아야 한다.</t>
  </si>
  <si>
    <t>노동위원회는 관계 당사자 쌍방의 신청 또는 동의를 얻은 경우에는 조정위원회에 갈음하여 단독조정인에게 조정을 행하게 할 수 있다.</t>
  </si>
  <si>
    <t>관계 당사자는 지방노동위원회의 중재재정이 월권에 의한 것이라고 인정하는 경우에는 중앙노동위원회에 재심을 신청할 수 없다.</t>
  </si>
  <si>
    <t>사용자의 직장폐쇄가 정당한 쟁의행위로 인정되지 아니하는 때에는 적법한 쟁의행위로서 사업장을 점거 중인 근로자들이 사용자로부터 퇴거 요구를 받고 이에 불응한 채 직장점거를 계속하더라도 퇴거불응죄가 성립하지 아니한다.</t>
  </si>
  <si>
    <t>쟁의행위의 참가인원</t>
  </si>
  <si>
    <t>노동조합은 쟁의행위 기간에 대한 임금의 지급을 요구하여 이를 관철할 목적으로 쟁의행위를 할 수 있다.</t>
  </si>
  <si>
    <t>쟁의행위가 조정전치의 규정에 따른 절차를 거치지 않았더라도 무조건 정당성을 결여한 쟁의행위가 되는 것은 아니다.</t>
  </si>
  <si>
    <t>사용자가 최소한의 규모의 노동조합 사무소를 제공하는 경우 부당노동행위가 성립하지 않는다.</t>
  </si>
  <si>
    <t>원조된 운영비 횟수와 기간</t>
  </si>
  <si>
    <t>지방노동위원회의 기각결정에 불복이 있는 관계 당사자는 그 결정이 있은 날부터 10일 이내에 중앙노동위원회에 그 재심을 신청할 수 있다.</t>
  </si>
  <si>
    <t>중앙노동위원회의 처분에 대한 소송은 중앙노동위원회 위원장을 피고(被告)로 하여 제기하여야 한다.</t>
  </si>
  <si>
    <t>단체교섭이 결렬된 경우 이를 조정・중재하기 위하여 중앙노동위원회에 공무원 노동관계 조정위원회를 둔다.</t>
  </si>
  <si>
    <t>단체교섭을 하거나 단체협약을 체결하는 경우에 관계 당사자는 국민여론과 학부모의 의견을 수렴하여 성실하게 교섭하고 단체협약을 체결하여야 한다.</t>
  </si>
  <si>
    <t>임금의 지불방법・체계・구조 등의 제도 개선은 노사협의회의 협의사항이다.</t>
  </si>
  <si>
    <t>2 이상의 시・군・구(자치구를 말한다)에 걸치는 단위노동조합을 설립하고자 하는 자는 설립신고서에 규약을 첨부하여 특별시장・광역시장・도지사에게 제출하여야 한다.</t>
  </si>
  <si>
    <t>단체협약의 체결에 관한 권한의 위임에 관한 사항</t>
  </si>
  <si>
    <t>임원의 임기는 규약으로 정하되 3년을 초과할 수 없다.</t>
  </si>
  <si>
    <t>기업의 구조조정 실시 여부는 경영주체에 의한 고도의 경영상 결단에 속하는 사항으로서 원칙적으로 단체교섭의 대상이 될 수 없다.</t>
  </si>
  <si>
    <t>단체협약은 노동조합이 사용자 또는 사용자단체와 근로조건 기타 노사관계에서 발생하는 사항에 관한 합의를 문서로 작성하여 당사자 쌍방이 서명날인함으로써 성립하는 것이고, 그 합의가 반드시 정식의 단체교섭절차를 거쳐서 이루어져야만 하는 것은 아니다.</t>
  </si>
  <si>
    <t>공동교섭대표단에 참여할 수 있는 노동조합은 그 조합원 수가 교섭창구 단일화 절차에 참여한 노동조합의 전체 조합원 100분의 10 이상인 노동조합으로 한다.</t>
  </si>
  <si>
    <t>공정대표의무는 단체교섭의 과정이나 그 결과물인 단체협약의 내용에 한하여 인정되므로 단체협약의 이행과정에서도 준수되어야 하는 것은 아니다.</t>
  </si>
  <si>
    <t>총회의 해산결의로 인하여 노동조합이 해산한 때에는 그 대표자는 해산한 날부터 15일 이내에 행정관청에게 이를 신고하여야 한다.</t>
  </si>
  <si>
    <t>필수공익사업의 사용자라 하더라도 쟁의행위 기간 중에 그 쟁의행위로 중단된 업무를 도급 줄 수 없다.</t>
  </si>
  <si>
    <t>직장폐쇄를 할 경우 사용자는 미리 행정관청 및 노동위원회에 각각 신고하여야 한다.</t>
  </si>
  <si>
    <t>쟁의행위가 폭력이나 파괴행위의 형태로 행하여질 경우 사용자는 즉시 그 상황을 행정관청과 관할 노동위원회에 신고하여야 한다.</t>
  </si>
  <si>
    <t>노동관계 당사자 쌍방 또는 일방은 필수유지업무협정이 체결되지 아니하는 때에는 노동위원회에 필수유지업무 필요 최소한의 유지・운영 수준, 대상직무 및 필요인원 등의 결정을 신청하여야 한다.</t>
  </si>
  <si>
    <t>노동위원회는 부당노동행위 구제신청에 따른 심문을 할 때에는 직권으로 증인을 출석하게 하여 필요한 사항을 질문할 수 있다.</t>
  </si>
  <si>
    <t>특정 근로자가 파업에 참가하였거나 노조활동에 적극적이라는 이유로 해당 근로자에게 연장근로 등을 거부하는 것은 해당 근로자에게 경제적 내지 업무상의 불이익을 주는 행위로서 부당노동행위에 해당할 수 있다.</t>
  </si>
  <si>
    <t>특별조정위원회는 특별조정위원 3인으로 구성한다.</t>
  </si>
  <si>
    <t>노동위원회의 사건 처리에 관여한 위원이나 직원 또는 그 위원이었거나 직원이었던 변호사・공인노무사 등은 영리를 목적으로 그 사건에 관한 직무를 하면 아니 된다.</t>
  </si>
  <si>
    <t>노사협의회 회의는 근로자위원과 사용자위원 각 과반수의 출석으로 개최하고 출석위원 과반수의 찬성으로 의결한다.</t>
  </si>
  <si>
    <t>법률이 정하는 주요방위산업체에 종사하는 근로자의 단체행동권은 법률이 정하는 바에 의하여 이를 제한할 수 있다.</t>
  </si>
  <si>
    <t>노동위원회의 근로자위원을 추천할 수 없다.</t>
  </si>
  <si>
    <t>종교</t>
  </si>
  <si>
    <t>노동위원회는 교섭단위 분리 신청을 받은 날부터 60일 이내에 교섭단위 분리에 관한 결정을 하여야 한다.</t>
  </si>
  <si>
    <t>노동조합의 결의 또는 처분이 단체협약에 위반된다고 인정할 경우</t>
  </si>
  <si>
    <t>위원장은 공익위원 중에서 고용노동부장관이 지명한다.</t>
  </si>
  <si>
    <t>노동조합 규약으로 총회에 갈음하는 대의원회를 둔 때에는 대의원회의 해산결의가 있는 경우에 노동조합은 해산한다.</t>
  </si>
  <si>
    <t>병의 위임을 받은 을</t>
  </si>
  <si>
    <t>필수공익사업의 사업 또는 사업장 파업참가자 수는 근로의무가 있는 근로시간 중 파업 참가를 이유로 근로의 일부 또는 전부를 제공하지 아니한 자의 수를 7일 단위로 산정한다.</t>
  </si>
  <si>
    <t>노동위원회는 관계 당사자 쌍방의 신청이 있거나 관계 당사자 쌍방의 동의를 얻은 경우에는 조정위원회에 갈음하여 단독조정인에게 조정을 행하게 할 수 있다.</t>
  </si>
  <si>
    <t>노동쟁의가 중재에 회부된 때에는 그 날부터 30일 간은 쟁의행위를 할 수 없다.</t>
  </si>
  <si>
    <t>중앙노동위원회의 위원장은 긴급조정이 성립될 가망이 없다고 인정한 경우에는 관계 당사자의 의견을 들어 그 사건을 중재에 회부할 것인가의 여부를 결정하여야 한다.</t>
  </si>
  <si>
    <t>노동조합의 자주성을 저해하거나 저해할 위험이 현저하지 않은 운영비 원조 행위를 부당노동행위로 규제하는 것은 헌법에 합치되지 아니한다.</t>
  </si>
  <si>
    <t>사용자가 행정소송을 제기한 경우 관할법원은 노동조합의 신청에 의하여 결정으로써, 판결이 확정될 때까지 중앙노동위원회의 구제명령의 전부 또는 일부를 이행하도록 명할 수 있다.</t>
  </si>
  <si>
    <t>공무원은 임용권자의 동의를 받아 임용권자로부터 급여를 지급받으면서 노동조합의 업무에만 종사할 수 있으며, 근로시간 면제 한도를 초과하지 아니하는 범위에서 보수의 손실 없이 노동조합의 유지・관리업무를 담당하게 할 수 있다.</t>
  </si>
  <si>
    <t>사용자는 노사협의회 위원으로서의 직무 수행과 관련하여 근로자위원에게 불이익을 주는 처분을 하여서는 아니 된다.</t>
  </si>
  <si>
    <t>중앙노동위원회는 지방노동위원회 및 특별노동위원회의 처분에 대한 재심사건을 관장한다.</t>
  </si>
  <si>
    <t>ㄹ - ㄱ - ㄴ - ㄷ</t>
  </si>
  <si>
    <t>노동3권은 사회적 보호기능을 담당하는 자유권 또는 사회권적 성격을 띤 자유권이라고 말할 수 있다.</t>
  </si>
  <si>
    <t>사용자는 근로자의 인사, 급여, 후생, 노무관리 등 근로조건 결정 또는 업무상 명령이나 지휘감독을 하는 등의 사항에 대하여 사업주로부터 일정한 권한과 책임을 부여받은 자를 포함한다.</t>
  </si>
  <si>
    <t>근로시간 면제 한도는 3년마다 그 적정성 여부를 재심의하여 결정할 수 있다.</t>
  </si>
  <si>
    <t>노동조합 총회에서 재적조합원 과반수의 출석과 출석조합원 과반수의 찬성으로 노동조합 해산결의가 있는 경우에 노동조합은 해산한다.</t>
  </si>
  <si>
    <t>단체협약에 유인물의 배포에 허가제를 채택하고 있는 경우 유인물 배포행위가 정당한가 아닌가는 허가가 있었는지 여부만 가지고 판단할 것은 아니고 그 유인물의 내용이나 배포방법 등 제반사정을 고려하여 판단되어져야 한다.</t>
  </si>
  <si>
    <t>노동조합과 사용자 또는 사용자단체는 정당한 이유없이 교섭을 거부하여서는 아니 된다.</t>
  </si>
  <si>
    <t>사용자가 교섭창구 단일화 절차에 참여한 다른 노동조합 또는 그 조합원을 차별한 것으로 인정되는 경우, 차별에 합리적인 이유가 있다는 점은 사용자에게 주장・증명책임이 있다.</t>
  </si>
  <si>
    <t>공동교섭대표단에 참여할 수 있는 노동조합은 그 조합원 수가 교섭창구 단일화 절차에 참여한 노동조합의 전체 조합원 100분의 5 이상인 노동조합으로 한다.</t>
  </si>
  <si>
    <t>노동조합이 조합원들의 의사를 반영하고 대표자의 단체협약 체결 업무 수행에 대한 적절한 통제를 위하여 대표자의 단체협약체결권한의 행사를 절차적으로 제한하는 것은, 그것이 단체협약체결권한을 전면적・포괄적으로 제한하는 것이 아닌 이상 허용된다.</t>
  </si>
  <si>
    <t>조직강제에 관한 사항</t>
  </si>
  <si>
    <t>노동위원회는 단체협약의 해석요청을 받은 때에는 그 날부터 30일 이내에 명확한 견해를 제시하여야 한다.</t>
  </si>
  <si>
    <t>노동관계의 조정을 할 경우에는 노동관계 당사자와 노동위원회 기타 관계기관은 사건을 신속히 처리하도록 노력하여야 한다.</t>
  </si>
  <si>
    <t>중앙노동위원회 위원장은 긴급조정의 결정을 하고자 할 때에는 미리 고용노동부장관의 의견을 들어야 한다.</t>
  </si>
  <si>
    <t>헌법은 근로자의 쟁의권에 관하여는 이를 적극적으로 보장하는 명문의 규정을 두고 있는 반면 사용자의 쟁의권에 관하여는 이에 관한 명문의 규정을 두고 있지 않다.</t>
  </si>
  <si>
    <t>근로자가 노동조합의 업무를 위한 정당한 행위를 하고 사용자가 이를 이유로 근로자에 대하여 해고 등의 불이익을 주는 차별적 취급행위는 부당노동행위에 해당한다.</t>
  </si>
  <si>
    <t>노동위원회는 부당노동행위 구제명령을 받은 후 이행기한까지 구제명령을 이행하지 아니한 사용자에게 이행강제금을 부과한다.</t>
  </si>
  <si>
    <t>중앙노동위원회의 처분에 대한 소송은 중앙노동위원회 위원장을 피고로 한다.</t>
  </si>
  <si>
    <t>노동조합 대표자와 사립학교 설립・경영자간 체결된 단체협약의 내용 중 법령・조례 및 예산에 의하여 규정되는 내용은 단체협약으로서의 효력을 가지지 아니한다.</t>
  </si>
  <si>
    <t>헌법재판소는 단결권에는 단결하지 아니할 자유가 포함된다는 입장을 취하고 있다.</t>
  </si>
  <si>
    <t>우리나라의 노동위원회법은 1953년에 처음 제정되었다.</t>
  </si>
  <si>
    <t>주로 정치운동을 목적으로 하는 경우에는 노동조합으로 보지 아니한다.</t>
  </si>
  <si>
    <t>신고증을 교부받은 경우에는 설립신고가 접수된 때에 설립된 것으로 본다.</t>
  </si>
  <si>
    <t>임원의 선거</t>
  </si>
  <si>
    <t>비조합원의 근로조건이라도 그것이 조합원의 근로조건 및 집단적 노동관계에 영향을 주는 경우에는 단체교섭 대상이 될 수 있다.</t>
  </si>
  <si>
    <t>교섭창구 단일화 절차에 참여한 노동조합이 자율적으로 교섭대표노동조합을 정하지 못한 경우에는 해당 사업 또는 사업장 근로자 전체의 과반수로 조직된 노동조합이 교섭대표노동조합이 된다.</t>
  </si>
  <si>
    <t>노동위원회는 법령에 따른 신청을 받은 날부터 30일 이내에 교섭단위 분리에 관한 결정을 하고 해당 사업 또는 사업장의 모든 노동조합과 사용자에게 통지하여야 한다.</t>
  </si>
  <si>
    <t>단체협약에 그 유효기간이 경과한 후에도 새로운 단체협약이 체결되지 아니한 때에는 새로운 단체협약이 체결될 때까지 종전 단체협약의 효력을 존속시킨다는 취지의 별도의 약정이 있는 경우에는 당사자 일방은 종전의 단체협약을 해지할 수 없다.</t>
  </si>
  <si>
    <t>단체협약의 당사자 일방의 신청으로 행정관청이 단체협약의 지역적 구속력 적용 결정을 하는 경우에는 중앙노동위원회의 조정을 거쳐야 한다.</t>
  </si>
  <si>
    <t>구조조정이 불순한 의도로 추진되는 등의 특별한 사정이 없는 한, 노동조합이 실질적으로 그 실시 자체를 반대하기 위하여 쟁의행위에 나아간다면 그 쟁의행위는 목적의 정당성을 인정할 수 없다.</t>
  </si>
  <si>
    <t>노동관계당사자는 법령에 의한 사적 조정・중재에 의하여 노동쟁의를 해결하기로 한 경우에는 고용노동부장관이 정하는 바에 따라 관할 노동위원회에 신고하여야 한다.</t>
  </si>
  <si>
    <t>고용노동부장관은 긴급조정을 결정한 때에는 지체 없이 이를 공표하여야 한다.</t>
  </si>
  <si>
    <t>혈액공급사업의 업무 중 채혈 업무</t>
  </si>
  <si>
    <t>중앙노동위원회의 재심판정에 대하여 관계 당사자는 그 재심판정서의 송달을 받은 날부터 20일 이내에 행정소송법이 정하는 바에 의하여 소를 제기할 수 있다.</t>
  </si>
  <si>
    <t>관할법원이 중앙노동위원회 구제명령의 이행을 명하는 경우 결정으로써 한다.</t>
  </si>
  <si>
    <t>지배・개입으로서의 부당노동행위의 성립에는 반드시 근로자의 단결권의 침해라는 결과의 발생을 요하는 것은 아니다.</t>
  </si>
  <si>
    <t>상임위원은 해당 노동위원회의 공익위원이 된다.</t>
  </si>
  <si>
    <t>정부교섭대표는 법령에 따라 교섭을 요구하는 노동조합이 둘 이상인 경우에는 해당 노동조합에 교섭창구를 단일화하도록 요청할 수 있다.</t>
  </si>
  <si>
    <t>교원의 노동조합과 그 조합원은 업무의 정상적인 운영을 방해하는 일체의 쟁의행위를 하여서는 아니 된다.</t>
  </si>
  <si>
    <t>노사협의회의 사용자를 대표하는 위원은 해당 사업이나 사업장의 대표자와 그 대표자가 위촉하는 자로 한다.</t>
  </si>
  <si>
    <t>단체교섭권에는 단체협약체결권이 포함되어 있지 않다.</t>
  </si>
  <si>
    <t>근로자의 단결, 단체교섭과 단체행동의 자유는 법률의 범위 내에서 보장된다.</t>
  </si>
  <si>
    <t>평화조항</t>
  </si>
  <si>
    <t>ㄱ: 15 ㄴ: 10</t>
  </si>
  <si>
    <t>노동조합의 회의록, 재정에 관한 장부와 서류는 2년간 보존하여야 한다.</t>
  </si>
  <si>
    <t>교섭대표노동조합은 그 지위 유지기간이 만료되었더라도 새로운 교섭대표노동조합이 결정될 때까지 기존 단체협약의 이행과 관련하여서는 그 지위를 유지한다.</t>
  </si>
  <si>
    <t>노동위원회는 조정의 종료가 결정된 후에도 노동쟁의의 해결을 위하여 조정을 할 수 있다.</t>
  </si>
  <si>
    <t>노동관계 당사자 쌍방 또는 일방은 필수유지업무협정이 체결되지 아니한 경우 고용노동부에 필수유지업무의 필요 최소한의 유지・운영 수준, 대상 직무 및 필요인원 등의 결정을 신청할 수 있다.</t>
  </si>
  <si>
    <t>조직변경이 유효하게 이루어진 경우에 변경 후의 노동조합이 변경 전 노동조합의 재산관계 및 단체협약의 주체로서의 지위를 그대로 승계한다.</t>
  </si>
  <si>
    <t>노동조합이 기존의 임금, 근로시간, 퇴직금 등 근로조건을 결정하는 기준에 관하여 소급적으로 동의하는 내용의 단체협약을 사용자와 체결한 경우에, 동의의 효력은 단체협약 체결 이전에 퇴직한 근로자에게도 미친다.</t>
  </si>
  <si>
    <t>노동위원회의 부당노동행위 구제신청 판정</t>
  </si>
  <si>
    <t>쟁의행위를 위한 찬반투표절차를 거치지 아니한 경우 조합원의 민주적 의사결정이 실질적으로 확보되었다고 볼 수 있는 때에는 그 절차를 따를 수 없는 객관적인 사정이 없더라도 그 쟁의행위는 정당성을 상실하지 않는다.</t>
  </si>
  <si>
    <t>근로시간 면제자에게 지급되는 급여는 근로제공의무가 면제되는 근로시간에 상응하는 것이어야 한다.</t>
  </si>
  <si>
    <t>ㄹ</t>
  </si>
  <si>
    <t>ㄱ: 50 ㄴ: 50</t>
  </si>
  <si>
    <t>항공운수사업</t>
  </si>
  <si>
    <t>사용자위원은 해당 사업이나 사업장의 대표자와 그 대표자가 위촉하는 자로 한다.</t>
  </si>
  <si>
    <t>정부교섭대표는 단체협약의 내용 중 법령・조례 또는 예산에 의하여 규정되는 내용일지라도 그 내용이 이행될 수 있도록 성실하게 노력하여야 한다.</t>
  </si>
  <si>
    <t>노동위원회는「노동조합 및 노동관계조정법」에 따른 판정에 관한 사건에서 사회취약계층을 위하여 변호사나 공인노무사로 하여금 권리구제업무를 대리하게 할 수 있다.</t>
  </si>
  <si>
    <t>필수유지업무협정 제도는 2010년 노동조합 및 노동관계조정법 개정 시에 처음으로 도입되었다.</t>
  </si>
  <si>
    <t>지역별 노동조합이 일시적으로 실업 상태에 있는 자를 구성원으로 포함시키고 있는 경우에 행정관청은 설립신고서를 반려하여야 한다.</t>
  </si>
  <si>
    <t>노동조합은 매년 1회 이상 총회를 개최하여야 한다.</t>
  </si>
  <si>
    <t>노동조합은 대표자의 단체협약체결권한을 전면적・포괄적으로 제한할 수 있다.</t>
  </si>
  <si>
    <t>노동조합과 사용자 또는 사용자단체는 신의에 따라 성실히 교섭하고 단체협약을 체결하여야 하며 그 권한을 남용하여서는 아니된다.</t>
  </si>
  <si>
    <t>단체협약에 조합원의 인사나 징계에 대해 노동조합의 의견을 청취하도록 규정하고 있는 경우, 사용자가 노동조합의 의견을 청취하지 않고 조합원에 대한 인사나 징계처분을 하더라도 그 처분의 효력에는 영향이 없다.</t>
  </si>
  <si>
    <t>노동조합 전임자의 수</t>
  </si>
  <si>
    <t>단체협약에 정한 근로조건 기타 근로자의 대우에 관한 기준에 위반하는 취업규칙의 부분은 무효이며, 무효로 된 부분은 단체협약에 정한 기준에 의한다.</t>
  </si>
  <si>
    <t>교섭창구 단일화</t>
  </si>
  <si>
    <t>고용노동부장관은 긴급조정의 결정을 하고자 할 때에는 미리 중앙노동위원회 위원장의 동의를 얻어야 한다.</t>
  </si>
  <si>
    <t>노동위원회는 조정신청 전이라도 원활한 조정을 위하여 교섭을 주선하는 등 관계 당사자의 자주적인 분쟁 해결을 지원할 수 있다.</t>
  </si>
  <si>
    <t>불법쟁의행위에 대한 귀책사유가 있는 노동조합이나 불법쟁의행위를 기획・지시・지도하는 등 이를 주도한 노동조합 간부 개인이 그 배상책임을 지는 배상액의 범위는 불법쟁의행위와 상당인과관계에 있는 모든 손해이다.</t>
  </si>
  <si>
    <t>작업시설의 손상을 방지하기 위한 작업은 쟁의행위 기간중에도 정상적으로 수행되어야 한다.</t>
  </si>
  <si>
    <t>교섭대표노동조합이 결정된 후에는 교섭창구 단일화 절차에 참여한 노동조합의 전체 조합원(해당 사업 또는 사업장 소속 조합원으로 한정한다)의 직접・비밀・무기명투표에 의한 과반수의 찬성으로 결정하지 아니하면 쟁의행위를 할 수 없다.</t>
  </si>
  <si>
    <t>근로자들의 직장점거가 개시 당시 적법한 것이었다 하더라도 이에 대응하여 적법하게 직장폐쇄를 단행한 사용자로부터 퇴거요구를 받고도 불응한 채 직장점거를 계속한 행위는 퇴거불응죄를 구성한다.</t>
  </si>
  <si>
    <t>사용자가 근로자의 정당한 노동조합활동을 실질적인 이유로 삼으면서도 표면적으로는 업무상 필요성을 들어 배치전환한 것으로 인정되는 경우에는 부당노동행위라고 보아야 한다.</t>
  </si>
  <si>
    <t>노동위원회는 부당노동행위 구제신청의 심문을 할 때에 증인의 출석과 질문은 관계 당사자의 신청에 의하여야 하며 그 직권으로는 할 수 없다.</t>
  </si>
  <si>
    <t>상시 30명 미만의 근로자를 사용하는 사업이나 사업장은 노사협의회를 설치할 의무가 없다.</t>
  </si>
  <si>
    <t>단체협약의 내용 중 법령 또는 조례에 의하여 위임을 받아 규정되는 내용은 단체협약으로서의 효력을 가지지 아니한다.</t>
  </si>
  <si>
    <t>임용권자는 국민이 알 수 있도록 전년도에 노동조합별로 근무시간을 면제받은 시간 및 사용인원, 지급된 보수 등에 관한 정보를 대통령령으로 정하는 바에 따라 공개하여야 한다.</t>
  </si>
  <si>
    <t>국가는 근로의 의무의 내용과 조건을 공공복리의 원칙에 따라 법률로 정한다.</t>
  </si>
  <si>
    <t>노동조합 설립신고서에는 임원의 성명과 주소가 기재되어야 한다.</t>
  </si>
  <si>
    <t>노동조합의 대표자가 제명된 경우</t>
  </si>
  <si>
    <t>조합원 자격에 관한 사항</t>
  </si>
  <si>
    <t>"노동조합"이라 함은 근로자가 주체가 되어 자주적으로 단결하여 근로조건의 유지・개선 기타 근로자의 경제적・사회적 지위의 향상을 도모함을 목적으로 조직하는 단체 또는 그 연합단체를 말한다.</t>
  </si>
  <si>
    <t>노동조합은 사용자에게 교섭을 요구하는 때에는 노동조합의 명칭, 그 교섭을 요구한 날 현재의 조합원 수 등 고용노동부령으로 정하는 사항을 적은 서면으로 하여야 한다.</t>
  </si>
  <si>
    <t>단체협약이 실효되었다고 하더라도 임금, 퇴직금이나 노동시간, 그 밖에 개별적인 노동조건에 관한 부분은 그 단체협약의 적용을 받고 있던 근로자의 근로계약의 내용이 되어 그것을 변경하는 새로운 단체협약, 취업규칙이 체결・작성되거나 또는 개별적인 근로자의 동의를 얻지 아니하는 한 개별적인 근로자의 근로계약의 내용으로서 여전히 남아 있어 사용자와 근로자를 규율한다.</t>
  </si>
  <si>
    <t>노동위원회는 교섭단위 분리의 결정 신청을 받은 때에는 해당 사업 또는 사업장의 모든 노동조합과 사용자에게 그 내용을 통지하여야 한다.</t>
  </si>
  <si>
    <t>근로시간 면제 한도는 근로시간면제심의위원회가 심의・의결한 바에 따라 고용노동부장관이 고시한다.</t>
  </si>
  <si>
    <t>노동조합은 행정관청이 요구하는 경우에는 결산결과와 운영상황을 보고하여야 한다.</t>
  </si>
  <si>
    <t>근로자가 정당한 단체행위에 참가한 것을 이유로 하여 그 근로자에게 불이익을 주는 행위</t>
  </si>
  <si>
    <t>사용자가 중앙노동위원회 재심판정에 불복하여 행정소송을 제기한 경우에 중앙노동위원회는 법원의 판결이 확정될 때까지 중앙노동위원회의 구제명령의 전부 또는 일부를 이행하도록 명할 수 있다.</t>
  </si>
  <si>
    <t>노동위원회는 관계 당사자 쌍방의 신청이 있는 경우 조정위원회에 갈음하여 단독조정인에게 조정을 행하게 할 수 있다.</t>
  </si>
  <si>
    <t>사용자의 직장폐쇄는 형평상 근로자측의 쟁의행위에 대한 대항・방위 수단이다.</t>
  </si>
  <si>
    <t>고용노동부장관은 노동조합 및 노동관계조정법 상의 소정 절차를 거쳐 긴급조정을 결정한 때에는 지체없이 그 이유를 붙여 이를 공표함과 동시에 중앙노동위원회와 관계 당사자에게 각각 통고하여야 한다.</t>
  </si>
  <si>
    <t>노동위원회는 노동조합 및 노동관계조정법 상의 규정에 따라 필수유지업무 수준 등 결정을 하면 지체 없이 이를 서면으로 노동관계 당사자에게 통보하여야 한다.</t>
  </si>
  <si>
    <t>노동위원회는 공정대표의무 위반의 시정 신청을 받은 때에는 지체 없이 필요한 조사와 관계 당사자에 대한 심문을 하여야 한다.</t>
  </si>
  <si>
    <t>정부교섭대표가 다른 정부교섭대표에게 교섭 및 단체협약 체결 권한을 위임하는 것은 금지된다.</t>
  </si>
  <si>
    <t>노동위원회의 전원회의는 재적위원 과반수의 출석으로 개의하고 출석위원 과반수의 찬성으로 의결한다.</t>
  </si>
  <si>
    <t>보궐위원의 임기는 전임자 임기의 남은 기간으로 한다.</t>
  </si>
  <si>
    <t>단체교섭권에는 단체협약체결권이 포함되어 있다.</t>
  </si>
  <si>
    <t>사업의 근로자에 관한 사항에 대하여 사업주를 위하여 행동하는 자는 사용자에 해당된다.</t>
  </si>
  <si>
    <t>노동조합의 대표자는 조합원의 3분의 1 이상이 회의에 부의할 사항을 제시하고 회의의 소집을 요구한 때에는 지체 없이 임시총회를 소집하여야 한다.</t>
  </si>
  <si>
    <t>단체협약에 노조전임규정이 있더라도 그 내용상 사용자의 노조전임발령 없이 근로제공의무가 면제됨이 명백한 경우 등의 특별한 사정이 없는 한 원칙적으로 노조전임발령 전에는 근로제공의무가 면제될 수 없다.</t>
  </si>
  <si>
    <t>총연합단체인 노동조합은 소속 노동조합의 활동에 대하여 협조・지원 또는 지도할 수 없다.</t>
  </si>
  <si>
    <t>행정관청은 설립하고자 하는 노동조합이 복리사업만을 목적으로 하는 경우에는 설립신고서를 반려하여야 한다.</t>
  </si>
  <si>
    <t>산업별 노동조합의 지부가 독자적인 규약과 집행기관을 가지고 독립한 조직체로 활동하고 있더라도 설립신고를 하지 않았다면 독자적인 단체교섭 및 단체협약을 체결할 권한을 갖지 못한다.</t>
  </si>
  <si>
    <t>하나의 사업 또는 사업장에서 조직형태에 관계없이 근로자가 설립하거나 가입한 노동조합이 2개 이상인 경우 사용자가 교섭창구 단일화 절차를 거치지 아니하기로 동의한 경우가 아닌 한, 노동조합은 교섭대표노동조합을 정하여 교섭을 요구하여야 한다.</t>
  </si>
  <si>
    <t>사업주 개인</t>
  </si>
  <si>
    <t>단체협약의 해석 또는 이행방법에 관하여 관계 당사자 사이에 의견의 불일치가 있는 경우 당사자 쌍방은 노동위원회에 그 해석 또는 이행방법에 관한 견해의 제시를 요청할 수 있으며, 이때의 해석 또는 이행방법에 관한 견해는 조정과 동일한 효력을 가진다.</t>
  </si>
  <si>
    <t>단체협약이 실효되었다고 하더라도 임금 등 개별적 노동조건에 관한 부분은 그 단체협약의 적용을 받고 있던 근로자의 근로계약의 내용이 되어 그것을 변경하는 새로운 단체협약이 체결・작성되거나 또는 개별 근로자의 동의를 얻지 아니하는 한 개별적인 근로자의 근로계약의 내용으로서 남아 있게 된다.</t>
  </si>
  <si>
    <t>사용자의 직장폐쇄에 대해서는 근로자의 단체행동권과 달리 헌법적 보장규정이 없다.</t>
  </si>
  <si>
    <t>필수유지업무의 정당한 유지・운영을 정지・폐지 또는 방해하는 행위는 쟁의행위로서 이를 행할 수 없다.</t>
  </si>
  <si>
    <t>불법쟁의행위 시 노동조합 등의 지시에 따라 단순히 노무를 정지한 일반조합원은 노동조합 또는 조합 간부들과 함께 공동불법행위책임을 지지 않는다.</t>
  </si>
  <si>
    <t>사적 중재에 의하여 노동쟁의를 해결하기로 한 경우에는 중재시 쟁의행위의 금지기간에 관한 노동조합 및 노동관계조정법 규정이 적용되지 않는다.</t>
  </si>
  <si>
    <t>관계 당사자는 긴급조정의 결정이 공표된 때에는 즉시 쟁의행위를 중지하여야 하며, 공표일부터 15일이 경과하지 아니하면 쟁의행위를 재개할 수 없다.</t>
  </si>
  <si>
    <t>부당노동행위인 법률행위는 사법상(私法上)으로도 그 효력이 없다.</t>
  </si>
  <si>
    <t>사업체가 실질적으로 폐업한 경우 불이익취급에 대한 원상회복의 구제명령을 신청할 구제이익은 없다.</t>
  </si>
  <si>
    <t>노동위원회는 관계 당사자의 신청이 없는 경우에는 증인을 출석하게 하여 필요한 사항을 질문할 수 없다.</t>
  </si>
  <si>
    <t>교원이란 초・중등교육법 및 고등교육법에서 규정하고 있는 교원을 말한다.</t>
  </si>
  <si>
    <t>행정관청에 신고하지 아니한 단체협약은 무효이다.</t>
  </si>
  <si>
    <t>사용자는 전임자의 정당한 노동조합 활동을 제한하여서는 아니 된다.</t>
  </si>
  <si>
    <t>ㄱ : 파업참가자, ㄴ : 100분의 50</t>
  </si>
  <si>
    <t>노동쟁의의 해결</t>
  </si>
  <si>
    <t>고용노동부장관은 긴급조정의 결정을 하고자 할 때에는 미리 중앙노동위원회의 의결을 얻어야 한다.</t>
  </si>
  <si>
    <t>중앙노동위원회의 재심판정에 대하여 불복한 사용자가 행정소송을 제기한 경우 관할법원은 중앙노동위원회의 신청에 의하여 결정으로써, 판결이 확정될 때까지 중앙노동위원회의 구제명령의 전부 또는 일부를 이행하도록 명할 수 있다.</t>
  </si>
  <si>
    <t>노동조합은 총회의 해산결의가 있는 경우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</si>
  <si>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 쪽의 신청을 받아 교섭단위를 분리하는 결정을 할 수 있다.</t>
  </si>
  <si>
    <t>노동조합의 회계감사원은 필요하다고 인정할 경우에는 당해 노동조합의 회계감사를 실시하고 그 결과를 공개할 수 있다.</t>
  </si>
  <si>
    <t>헌법은 사용자의 쟁의권에 관하여는 명문의 규정을 두고 있지 않다.</t>
  </si>
  <si>
    <t>근로시간면제심의위원회는 노동계와 경영계가 추천하는 위원 각 5명, 정부가 추천하는 공익위원 5명으로 구성된다.</t>
  </si>
  <si>
    <t>쟁의행위는 그 쟁의행위와 관계없는 자 또는 근로를 제공하고자 하는 자의 출입・조업 기타 정상적인 업무를 방해하는 방법으로 행하여져서는 아니된다.</t>
  </si>
  <si>
    <t>단체협약의 해석 또는 이행방법에 관하여 관계 당사자 간에 의견의 불일치가 있는 때에는 당사자 쌍방 또는 단체협약에 정하는 바에 의하여 어느 일방이 노동위원회에 그 해석 또는 이행방법에 관한 견해의 제시를 요청할 수 있다.</t>
  </si>
  <si>
    <t>관계 당사자가 지명한 노동위원회의 사용자를 대표하는 위원 또는 근로자를 대표하는 위원은 중재위원회의 동의를 얻어 그 회의에 출석하여 의견을 진술할 수 있다.</t>
  </si>
  <si>
    <t>행정관청이 규약의 기재사항 누락 등으로 보완을 요구하였음에도 불구하고 보완기간 내에 보완을 하지 아니하는 경우 설립신고서를 반려하여야 한다.</t>
  </si>
  <si>
    <t>행정관청은 노동조합에 총회의 소집권자가 없는 경우에 조합원의 3분의 1 이상이 회의에 부의할 사항을 제시하고 소집권자의 지명을 요구한 때에는 15일 이내에 노동위원회의 의결을 요청하고 노동위원회의 의결이 있는 때에는 지체없이 회의의 소집권자를 지명하여야 한다.</t>
  </si>
  <si>
    <t>화해조서에는 관계 당사자와 화해에 관여한 위원 전원이 서명 또는 날인하여야 한다.</t>
  </si>
  <si>
    <t>교원의 노동조합 전임자는 그 전임기간 중 봉급을 받는다.</t>
  </si>
  <si>
    <t>노동3권 가운데 단체교섭권이 가장 중핵적 권리라는 것이 대법원의 입장이다.</t>
  </si>
  <si>
    <t>행정해석은 사실상의 준칙으로 기능하는 범위에서는 법원성이 인정된다.</t>
  </si>
  <si>
    <t>조합원이 가장 많은 지역을 관할하는 지방자치단체장</t>
  </si>
  <si>
    <t>조직변경 후의 노동조합은 실질적 동일성이 인정되는 범위 내에서 변경 전의 노동조합의 단체협약 주체로서의 지위를 그대로 승계한다.</t>
  </si>
  <si>
    <t>정당한 조합활동을 이유로 한 사용자의 불이익취급은 부당노동행위에 해당한다.</t>
  </si>
  <si>
    <t>노동조합의 대표자는 원칙적으로 단체교섭의 당사자로 된다.</t>
  </si>
  <si>
    <t>교섭대표노동조합은 정당한 이유 없이 교섭을 거부하여서는 아니된다.</t>
  </si>
  <si>
    <t>교섭대표노동조합이 교섭권을 제3자에게 위임하는 것은 공정대표의무 위반이다.</t>
  </si>
  <si>
    <t>임금을 인상하기로 한 단체협약을 소급적으로 적용하기로 하였더라도 단체협약체결 이전에 이미 퇴직한 근로자에게는 소급적용이 되지 아니한다.</t>
  </si>
  <si>
    <t>근로자가 초기업별 노동조합에 가입하려면 기업별로 지회 또는 분회를 설치하고 이를 통해 가입하여야 한다.</t>
  </si>
  <si>
    <t>노동조합의 승인 없이 쟁의행위를 하거나 노동조합의 지시통제에 위반하여 쟁의행위를 한 경우 조합원 개인은 형사책임의 주체가 될 수 있다.</t>
  </si>
  <si>
    <t>폭약 등 폭발위험이 있는 물질을 보관하는 장소</t>
  </si>
  <si>
    <t>사용자가 근로자를 해고함에 있어서 표면적으로 내세우는 해고사유와는 달리 실질적으로는 근로자의 정당한 노동조합 활동을 이유로 해고한 것으로 인정되는 경우에 있어서는 그 해고는 부당노동행위에 해당한다.</t>
  </si>
  <si>
    <t>단체협약상의 유니언 숍 협정에 의하여 사용자가 노동조합을 탈퇴한 근로자를 해고할 의무는 단체협약상의 채무일 뿐이고, 이러한 채무의 불이행 자체가 바로 노동조합에 대한 지배・개입의 부당노동행위에 해당한다고 단정할 수 없다.</t>
  </si>
  <si>
    <t>쟁의행위 기간 중 노동조합은 근로를 제공하고자 하는 자의 출입을 금지시킬 수 있다.</t>
  </si>
  <si>
    <t>단독조정인은 당해 노동위원회의 위원 중에서 관계 당사자의 쌍방의 합의로 선정된 자를 그 노동위원회의 위원장이 지명한다.</t>
  </si>
  <si>
    <t>중앙노동위원회는 행정소송이 제기되어 재심판정이 확정되지 않은 상태에서도 구제명령의 전부 또는 일부의 이행을 명할 수 있다.</t>
  </si>
  <si>
    <t>정부교섭대표는 단체협약의 내용 중 예산에 의하여 규정되는 내용은 차기 예산안의 편성에 반영되도록 노력하여야 한다.</t>
  </si>
  <si>
    <t>부당노동행위로 교원이 해고나 그 밖의 불이익을 받은 것을 이유로 해당 교원 또는 노동조합이 노동위원회에 구제를 신청한 경우에는 교원소청심사위원회에 소청심사를 청구할 수 없다.</t>
  </si>
  <si>
    <t>상시근로자수가 30명 미만인 사업 또는 사업장은 임의적으로 노사협의회를 설치할 수 있다.</t>
  </si>
  <si>
    <t>위원장은 관계 당사자 쌍방의 신청이 있거나 동의를 얻은 경우에는 심판담당공익위원 또는 차별시정담당공익위원 1인을 지명하여 사건을 처리하게 할 수 있다.</t>
  </si>
  <si>
    <t>부당노동행위구제제도는 최초 도입된 이후 현재까지 그 구제방식으로 원상회복주의만을 취하고 있다.</t>
  </si>
  <si>
    <t>선원의 건강진단에 관한 협약(제73호)</t>
  </si>
  <si>
    <t>노동쟁의가 중재에 회부된 때에는 그 날부터 10일간은 쟁의행위를 할 수 없다.</t>
  </si>
  <si>
    <t>공중위생사업</t>
  </si>
  <si>
    <t>노동관계 당사자 쌍방 또는 일방은 필수유지업무협정이 체결되지 아니하는 때에는 노동위원회에 필수유지업무의 필요 최소한의 유지・운영 수준에 관한 결정을 신청할 수 있으나, 대상직무 및 필요인원에 관해서는 그 결정을 신청할 수 없다.</t>
  </si>
  <si>
    <t>노동위원회의 조정이 종료되지 아니한 채 조정기간이 끝난 후 행한 쟁의행위는 조정절차를 거친 것으로 볼 수 없으므로 정당성을 상실한다.</t>
  </si>
  <si>
    <t>직장폐쇄가 정당한 쟁의행위로 평가받는 경우 사용자는 직장폐쇄 기간 동안의 대상 근로자에 대한 임금지불의무를 면한다.</t>
  </si>
  <si>
    <t>행정관청은 직권으로 노동위원회의 의결을 얻어 단체협약의 지역적 구속력에 관하여 결정할 수 있다.</t>
  </si>
  <si>
    <t>노동관계에 관하여 그 구성원인 사용자에 대하여 조정 또는 규제할 수 있는 권한을 가진 사용자의 단체를 사용자단체라고 한다.</t>
  </si>
  <si>
    <t>경영상 이유에 의한 해고나 사업조직의 통폐합, 공기업의 민영화 등 기업의 구조조정의 실시 여부는 원칙적으로 단체교섭의 대상이 된다.</t>
  </si>
  <si>
    <t>노동조합의 결의가 규약에 위반한 경우 그 시정명령은 이해관계인의 신청이 있는 경우에 한한다.</t>
  </si>
  <si>
    <t>연합단체인 노동조합에 있어서는 그 구성노동단체의 명칭</t>
  </si>
  <si>
    <t>임원의 주소록</t>
  </si>
  <si>
    <t>조직형태의 변경에 관한 사항을 총회에서 의결하는 경우 재적조합원 과반수의 출석과 출석조합원 3분의 2 이상의 찬성이 있어야 한다.</t>
  </si>
  <si>
    <t>노동조합의 전임자가 그 전임기간동안 입은 모든 재해는 산업재해보상보험법상의 업무상 재해에 해당되지 아니한다.</t>
  </si>
  <si>
    <t>지배・개입으로서의 부당노동행위의 성립에 반드시 근로자의 단결권의 침해라는 결과의 발생을 요하는 것은 아니다.</t>
  </si>
  <si>
    <t>중앙노동위원회・지방노동위원회 또는 특별노동위원회의 운영 기타 필요한 사항에 관한 규칙제정권</t>
  </si>
  <si>
    <t>사용자는 작업수칙의 제정 또는 개정에 관한 사항에 대하여는 노사협의회의 의결을 거쳐야 한다.</t>
  </si>
  <si>
    <t>교원은 전국단위에 한하여 노동조합을 설립하여야 한다.</t>
  </si>
  <si>
    <t>정부교섭대표는 효율적인 교섭을 위하여 필요한 경우 다른 정부교섭대표에게 교섭 및 단체협약체결권한을 위임할 수 있다.</t>
  </si>
  <si>
    <t>노동3권은 자유롭게 단체를 결성한다는 의미에서 자유권적 성격을 갖는 것이므로 국가는 입법조치 등을 통하여 노동3권을 적극적으로 보장할 의무는 없다.</t>
  </si>
  <si>
    <t>5급 이상 일반직 국가공무원은 노동조합을 결성할 수 없다.</t>
  </si>
  <si>
    <t>설립신고서에 첨부된 규약에서 기재사항이 누락된 경우 행정관청은 설립신고서를 반려하여야 한다.</t>
  </si>
  <si>
    <t>노동조합이 합병 또는 분할로 소멸한 때에는 해산한다.</t>
  </si>
  <si>
    <t>노동조합의 위법한 통제처분은 행정관청의 시정명령의 대상이 될 수 있다.</t>
  </si>
  <si>
    <t>노동조합의 대표자는 조합원의 요구가 있는 때에만 운영상황을 공개하면 된다.</t>
  </si>
  <si>
    <t>단체협약에 그 유효기간을 정하지 아니하면 그 단체협약은 무효이다.</t>
  </si>
  <si>
    <t>노동조합의 하부단체인 분회나 지부는 노동조합 설립신고를 하여야만 단체교섭의 당사자가 될 수 있다.</t>
  </si>
  <si>
    <t>노동조합은 규약으로 총회에 갈음할 대의원회를 둘 수 있으나 이때 대의원회에 관하여는 총회에 관한 규정과 달리 정해야 한다.</t>
  </si>
  <si>
    <t>하나의 지역에 있어서 지역적 구속력이 결정된 경우 협약 외의 노동조합은 유리한 단체협약 체결을 위하여 독자적으로 교섭하거나 쟁의행위를 할 수 없다.</t>
  </si>
  <si>
    <t>단체협약에서 취업규칙상 유리한 조건의 적용을 배제하고 단체협약이 우선적으로 적용된다는 내용의 합의는 무효이다.</t>
  </si>
  <si>
    <t>노동위원회는 당사자의 수락거부로 조정의 종료가 결정된 후에도 노동쟁의의 해결을 위하여 조정을 할 수 있다.</t>
  </si>
  <si>
    <t>사적조정을 수행하는 자는 노동관계 당사자로부터 수수료, 수당 및 여비 등을 받아서는 아니된다.</t>
  </si>
  <si>
    <t>긴급조정 시 중앙노동위원회 위원장의 중재회부여부 결정기간</t>
  </si>
  <si>
    <t>중앙노동위원회 위원장은 노동부장관의 긴급조정 결정에 따른 조정이 성립될 가망이 없다고 인정한 경우에는 공익위원의 의견을 들어 그 사건을 중재에 회부할 것인가의 여부를 결정하여야 한다.</t>
  </si>
  <si>
    <t>노동관계 당사자 간 필수유지업무협정은 반드시 서면으로 체결할 필요는 없다.</t>
  </si>
  <si>
    <t>직장폐쇄가 정당한 쟁의행위로 인정되지 아니하는 때에는 적법한 쟁의행위로서 사업장을 점거 중인 근로자들이 직장폐쇄를 단행한 사용자로부터 퇴거 요구를 받고 이에 불응한 채 직장점거를 계속하더라도 퇴거불응죄가 성립하지 아니한다.</t>
  </si>
  <si>
    <t>확정된 부당노동행위 구제명령에 위반한 자는 형벌에 처한다.</t>
  </si>
  <si>
    <t>부당노동행위 구제명령은 사용자에게 이에 복종하여야 할 공법상의 의무를 부담시킬 뿐, 직접 노사 간의 사법상의 법률관계를 발생 또는 변경시키는 것은 아니다.</t>
  </si>
  <si>
    <t>단체교섭이 결렬된 경우에는 당사자 일방 또는 쌍방은 관할 지방노동위원회에 조정을 신청할 수 있다.</t>
  </si>
  <si>
    <t>공무원 노동조합의 대표자는 단체협약을 체결할 권한을 갖지 못한다.</t>
  </si>
  <si>
    <t>근로자위원은 근로자가 선출하지만, 노동조합이 있는 경우에는 노동조합의 대표자와 그 노동조합이 위촉하는 자로 한다.</t>
  </si>
  <si>
    <t>중앙노동위원회는 노동부장관의 승인을 받아 노동위원회의 운영사항에 관한 규칙을 제정할 수 있다.</t>
  </si>
  <si>
    <t>노사협의회 위원의 임기는 3년이고 비상임・무보수로 한다.</t>
  </si>
  <si>
    <t>노동위원회의 화해는 심판위원회의 결정이 있은 이후에도 가능하다.</t>
  </si>
  <si>
    <t>노사협의회제도는 1963년에 처음 도입되었다.</t>
  </si>
  <si>
    <t>미국의 경우 1935년 와그너(Wagner) 법에서는 오픈 숍(Open Shop)을 원칙으로 하고 클로즈드 숍(Closed Shop)을 금지하였다.</t>
  </si>
  <si>
    <t>헌법재판소는 근로3권의 성격에 관하여 노사자치의 원칙을 존중하는 입장에서 자유권적 측면을 강조하며 입법자에게 근로3권이 실질적으로 기능할 수 있도록 하기 위하여 필요한 법제도 및 법규범을 마련하여야 할 의무는 없다고 한다.</t>
  </si>
  <si>
    <t>필수공익사업의 사용자는 쟁의행위 기간 중 당해 사업 또는 사업장 파업참가자의 100분의 50을 초과하지 않는 범위 안에서 당해 사업과 관계없는 자를 채용 또는 대체할 수 있다.</t>
  </si>
  <si>
    <t>사용자의 단체교섭 거부 내지 해태의 정당성 여부는 노동조합측이 요구하는 교섭시간, 교섭장소 등을 종합하여 사회통념상 사용자에게 단체교섭의무의 이행을 기대하는 것이 어렵다고 인정되는지 여부에 따라 판단하여야 한다.</t>
  </si>
  <si>
    <t>노동위원회의 구제명령・기각결정 또는 재심판정은 중앙노동위원회에의 재심신청이나 행정소송제기에 의하여 효력이 정지될 수 있다.</t>
  </si>
  <si>
    <t>총회나 대의원회의 해산결의에 의해서 노동조합이 해산하게 되는 경우 15일 이내에 행정관청에 신고하여야 그 효력이 인정된다.</t>
  </si>
  <si>
    <t>노동조합의 대표자는 그 회계감사원으로 하여금 1년에 1회 이상 당해 노동조합의 모든 재원 및 용도 등에 대한 회계감사를 실시하게 하고 그 내용과 결과를 전체 조합원에게 공개하여야 한다.</t>
  </si>
  <si>
    <t>근로자가 아닌 자의 가입을 허용하는 경우 노동조합으로 보지 아니한다.</t>
  </si>
  <si>
    <t>규약이 노동관계법령에 위반하는 경우 노동위원회는 그 시정을 명령할 수 있다.</t>
  </si>
  <si>
    <t>조합원이 아닌 자는 노동조합의 임원으로 선출될 수 없다.</t>
  </si>
  <si>
    <t>노동조합의 대표자는 조합원 또는 대의원의 3분의 1 이상이 회의에 부의할 사항을 제시하고 회의의 소집을 요구한 때에는 지체 없이 임시총회 또는 임
시대의원회를 소집하여야 한다.</t>
  </si>
  <si>
    <t>노동조합은 그 대표자의 결정에 따라 법인으로 할 수 있고, 법인으로 하는 경우에는 대통령령이 정하는 바에 의하여 등기를 하여야 한다.</t>
  </si>
  <si>
    <t>단체협약에 특별한 규정을 두거나 특별한 관행이 없는 한 전임자도 출퇴근에 관한 사규의 적용을 받는다고 보는 것이 판례의 입장이다.</t>
  </si>
  <si>
    <t>단체협약을 신고하지 않은 경우에도 그 단체협약의 효력 발생에는 아무런 영향을 미치지 않는다.</t>
  </si>
  <si>
    <t>휴게시간과 휴일에 관한 사항</t>
  </si>
  <si>
    <t>노동조합이 성실교섭의무를 위반하는 경우 노동조합 및 노동관계조정법상 벌칙이 적용되지 않는다.</t>
  </si>
  <si>
    <t>단체협약의 유효기간이 만료된 후 새로운 단체협약이 체결되지 아니한 경우에는 별도의 약정이 있는 경우를 제외하고는 종전의 단체협약은 그 효력만료일부터 6월까지 계속 효력을 갖는다.</t>
  </si>
  <si>
    <t>작업시설의 손상이나 원료․제품의 변질 또는 부패를 방지하기 위한 작업은 쟁의행위 기간 중에도 정상적으로 수행되어야 한다.</t>
  </si>
  <si>
    <t>공중의 일상생활과 밀접한 관련이 있는 시중은행에 종사하는 근로자의 쟁의행위</t>
  </si>
  <si>
    <t>쟁의행위로 중단된 업무를 도급 또는 하도급을 주는 경우 금지된 대체근로에 해당된다.</t>
  </si>
  <si>
    <t>관계 당사자는 긴급조정의 결정이 공표된 때에는 즉시 쟁의행위를 중지하여야 하며, 중앙노동위원회의 쟁의행위 재개 결정이 없는 한 쟁의행위를 재개 할 수 없다.</t>
  </si>
  <si>
    <t>이른바 법외노동조합은 노동위원회에 부당노동행위의 구제를 신청할 법적 자격이 있다.</t>
  </si>
  <si>
    <t>노동조합의 대표자는 회계연도마다 운영상황을 공표할 필요는 없으나, 조합원의 요구가 있을 때에는 이를 열람하게 하여야 한다.</t>
  </si>
  <si>
    <t>대의원회의 해산결의가 있는 경우</t>
  </si>
  <si>
    <t>원칙적으로 근무시간 중 노동조합의 집회는 사용자의 동의가 없더라도 정당한 조합활동이다.</t>
  </si>
  <si>
    <t>대표자는 조합원의 5분의 1이 회의의 소집을 요구한 때에는 지체없이 임시총회를 소집하여야 한다.</t>
  </si>
  <si>
    <t>여성근로자의 부당한 차별금지</t>
  </si>
  <si>
    <t>노동조합은 긴급조정의 공표로 중단된 쟁의행위를 공표일부터 30일이 경과하지 아니하면 재개할 수 없다.</t>
  </si>
  <si>
    <t>행정관청은 설립신고서를 접수한 때에는 7일 이내에 신고증을 교부하여야 한다.</t>
  </si>
  <si>
    <t>확정된 구제명령을 위반한 사용자에 대해 형사처벌이 가능하다.</t>
  </si>
  <si>
    <t>특별조정위원회</t>
  </si>
  <si>
    <t>단체교섭의 대상인지 여부는 쟁의행위의 목적상 정당성 판단시 고려 요소가 아니다.</t>
  </si>
  <si>
    <t>필수공익사업의 조정기간은 중앙노동위원회 위원장의 직권으로 1회에 한하여 15일 이내에서 연장할 수 있다.</t>
  </si>
  <si>
    <t>전임자의 무단결근은 사규 위반으로 징계사유가 될 수 있다.</t>
  </si>
  <si>
    <t>필수유지업무협정이 체결된 경우 노동조합은 사용자에게 쟁의행위기간 동안 필수유지업무에 근무하여야 할 조합원을 통보하여야 한다.</t>
  </si>
  <si>
    <t>사적 조정에 의하여 조정 또는 중재가 이루어진 경우 그 내용은 단체협약과 동일한 효력을 가진다.</t>
  </si>
  <si>
    <t>근로조건 결정기준을 소급적으로 근로자에게 유리하게 변경하는 내용의 단체협약을 체결한 경우, 단체협약 체결 이전에 이미 퇴직한 근로자에게는 그 효력이 미치지 않는다.</t>
  </si>
  <si>
    <t>노동조합'이라 함은 근로자가 주체가 되어 자주적으로 단결하여 근로조건의 유지・개선 기타 근로자의 경제적・사회적 지위의 향상을 도모함을 목적으로 조직하는 단체 또는 그 연합단체를 말한다.</t>
  </si>
  <si>
    <t>단결권은 근로자 개인의 권리로서만 행사될 수 있다.</t>
  </si>
  <si>
    <t>비정규 근로형태는 철폐되어야 한다.</t>
  </si>
  <si>
    <t>공무원의 노동조합 설립 및 운영 등에 관한 법률에 따른 노동쟁의 조정관련 업무는 노동위원회의 소관사항이 아니다.</t>
  </si>
  <si>
    <t>회의는 근로자위원과 사용자위원의 각 과반수의 출석으로 개최하고 출석의원 과반수의 찬성으로 의결한다.</t>
  </si>
  <si>
    <t>조합원 및 조합비에 관한 사항</t>
  </si>
  <si>
    <t>1999년 교원의 단결권과 단체교섭권을 보장하기 위한 법률이 제정되었다.</t>
  </si>
  <si>
    <t>노동조합은 쟁의행위기간에 대한 임금의 지급을 요구하여 이를 관철할 목적으로 쟁의행위를 하여서는 아니된다.</t>
  </si>
  <si>
    <t>사내 운동장의 부분적・병존적 점거</t>
  </si>
  <si>
    <t>2010년 개정된 「노동조합 및 노동관계조정법」에는 교섭창구단일화의 절차와 방법에 관한 규정이 신설되었다.</t>
  </si>
  <si>
    <t>단체협약에서 다른 노동조합의 단체교섭권을 사전에 배제하는 이른바 유일교섭단체조항은 단체교섭권의 본질적 내용을 침해할 우려가 있다.</t>
  </si>
  <si>
    <t>노동조합 및 노동관계조정법에 의하여 설립된 노동조합이 아니면 노동조합이라는 명칭을 사용할 수 없다.</t>
  </si>
  <si>
    <t>행정관청은 설립하고자 하는 노동조합이 근로자가 아닌 자의 가입을 허용하는 경우 설립신고서를 반려하여야 한다.</t>
  </si>
  <si>
    <t>행정관청은 노동조합에 총회의 소집권자가 없는 경우에 조합원의 3분의 1 이상이 회의에 부의할 사항을 제시하고 소집권자의 지명을 요구한 때에는 지체없이 회의의 소집권자를 지명하여야 한다.</t>
  </si>
  <si>
    <t>근로시간면제심의위원회는 경제사회노동위원회 위원장으로부터 근로시간 면제 한도를 정하기 위한 심의 요청을 받은 때에는 그 심의 요청을 받은 날부터 90일 이내에 심의・의결해야 한다.</t>
  </si>
  <si>
    <t>행정관청은 노동조합으로부터 결산결과 또는 운영상황의 보고를 받으려는 경우에는 그 사유와 그 밖에 필요한 사항을 적은 서면으로 10일 이전에 요구해야 한다.</t>
  </si>
  <si>
    <t>노동조합의 해산사유가 있는 경우, 노동위원회가 의결을 할 때에는 해산사유 발생일 이후의 해당 노동조합의 활동을 고려하여야 한다.</t>
  </si>
  <si>
    <t>교섭단위의 분리결정을 통지 받은 노동조합이 사용자와 교섭하려는 경우 자신이 속한 교섭단위에 단체협약이 있는 때에는 그 단체협약의 유효기간 만료일 이전 3개월이 되는 날부터 법령에 따라 필요한 사항을 적은 서면으로 교섭을 요구할 수 있다.</t>
  </si>
  <si>
    <t>노동조합과 사용자 또는 사용자단체는 교섭 또는 단체협약의 체결에 관한 권한을 위임한 때에는 그 사실을 상대방에게 통보하여야 한다.</t>
  </si>
  <si>
    <t>지방노동위원회의 구제명령은 중앙노동위원회에의 재심신청에 의하여 그 효력이 정지되지 아니한다.</t>
  </si>
  <si>
    <t>노동위원회는 단체협약의 이행방법에 관한 견해 제시를 요청받은 때에는 그 날부터 30일 이내에 명확한 견해를 제시하여야 한다.</t>
  </si>
  <si>
    <t>교섭대표노동조합이나 사용자가 교섭창구 단일화 절차에 참여한 다른 노동조합을 차별한 것으로 인정되는 경우, 그와 같은 차별에 합리적인 이유가 있다는 점에 대하여 교섭대표노동조합이나 사용자에게는 주장・증명책임이 없다.</t>
  </si>
  <si>
    <t>교섭대표노동조합으로 결정된 노동조합이 그 결정된 날부터 1년 동안 단체협약을 체결하지 못한 경우에는 어느 노동조합이든지 사용자에게 교섭을 요구할 수 있다.</t>
  </si>
  <si>
    <t>조합원의 직접・비밀・무기명투표에 의한 조합원 과반수의 찬성으로 결정하지 아니한 쟁의행위를 행한 경우</t>
  </si>
  <si>
    <t>노동위원회는 쟁의행위가 안전보호시설에 대하여 정상적인 유지・운영을 정지・폐지 또는 방해하는 행위에 해당한다고 인정하는 경우에는 그 행위를 중지할 것을 통보하여야 한다.</t>
  </si>
  <si>
    <t>노동관계 당사자가 필수유지업무 유지・운영 수준, 대상직무 및 필요인원 등의 결정을 신청하면 관할 노동위원회는 지체 없이 그 신청에 대한 결정을 위한 특별조정위원회를 구성하여야 한다.</t>
  </si>
  <si>
    <t>ㄱ: 15, ㄴ: 30, ㄷ: 30</t>
  </si>
  <si>
    <t>특별조정위원회의 특별조정위원은 관계 당사자가 합의로 당해 노동위원회의 위원이 아닌 자를 추천하는 경우에는 그 추천된 자를 노동위원회의 위원장이 지명한다.</t>
  </si>
  <si>
    <t>노동위원회의 중재재정 또는 재심결정은 중앙노동위원회에의 재심신청 또는 행정소송의 제기에 의하여 그 효력이 정지되지 아니한다.</t>
  </si>
  <si>
    <t>노사협의회 회의는 근로자위원과 사용자위원 각 과반수의 출석으로 개최하고 출석위원 3분의 2 이상의 찬성으로 의결한다.</t>
  </si>
  <si>
    <t>사용자가 제18조(협의회규정)를 위반하여 노사협의회규정을 제출하지 아니한 때에는 200만원 이하의 과태료를 부과한다.</t>
  </si>
  <si>
    <t>복지시설의 설치와 관리</t>
  </si>
  <si>
    <t>단독심판의 위원을 제외하고 화해에 관여한 부문별 위원회의 위원 전원은 화해조서에 모두 서명하거나 날인하여야 한다.</t>
  </si>
  <si>
    <t>노동위원회는 서류의 송달을 받아야 할 자의 주소가 국외에 있어서 서류의 송달이 곤란한 경우에는 공시송달을 하여야 한다.</t>
  </si>
  <si>
    <t>중앙노동위원회의 처분에 대한 소송은 중앙노동위원회 위원장을 피고로 하여 처분의 송달을 받은 날부터 15일 이내에 제기하여야 한다.</t>
  </si>
  <si>
    <t>모든 사업 또는 사업장에는 근로자의 고충을 청취하고 이를 처리하기 위하여 고충처리위원을 두어야만 한다.</t>
  </si>
  <si>
    <t>교원의 노동조합의 전임자는 그 전임기간 중 전임자임을 이유로 승급 또는 그 밖의 신분상의 불이익을 받지 아니한다.</t>
  </si>
  <si>
    <t>임용권자는 전년도에 노동조합별로 근무시간을 면제받은 시간 및 사용인원, 지급된 보수 등에 관한 정보를 고용노동부장관이 지정하는 인터넷 홈페이지에 3년간 게재하는 방법으로 공개하여야 한다.</t>
  </si>
  <si>
    <t>공무원은 임용권자의 동의를 받아 노동조합으로부터 급여를 지급받으면서 노동조합의 업무에만 종사할 수 있으며, 그 기간 중 휴직명령을 받은 것으로 본다.</t>
  </si>
  <si>
    <t>법령 등에 따라 국가나 지방자치단체가 그 권한으로 행하는 정책결정에 관한 사항, 임용권의 행사 등 그 기관의 관리・운영에 관한 사항으로서 근무조건과 직접 관련되지 아니하는 사항은 교섭의 대상이 될 수 없다.</t>
  </si>
  <si>
    <t>중앙노동위원회의 중재재정에 대한 행정소송이 제기되면 중재재정의 효력은 정지된다.</t>
  </si>
  <si>
    <t>긴급조정의 결정 (노동조합 및 노동관계조정법 제76조)</t>
  </si>
  <si>
    <t>교섭노동조합이 둘 이상인 경우 교섭창구 단일화 합의가 이루어지지 않으면 교섭창구단일화 절차에 참여한 노동조합의 전체 조합원 과반수로 조직된 노동조합이 교섭대표노동조합이 된다.</t>
  </si>
  <si>
    <t>중앙노동위원회 위원장은 직권으로 중재에 회부한다는 결정을 할 수 없다.</t>
  </si>
  <si>
    <t>대의원회는 회의개최일 7일전까지 그 회의에 부의할 사항을 공고하여야 하나, 노동조합이 동일한 사업장 내의 근로자로 구성된 경우에는 그 규약으로 공고기간을 단축할 수 있다.</t>
  </si>
  <si>
    <t>복수 노동조합 중 어느 한 노동조합은 다른 노동조합을 상대로 그 노동조합의 설립무효확인을 구하는 소를 제기할 수 없다.</t>
  </si>
  <si>
    <t>조합원의 재산권을 둘러싼 노동조합과 조합원 간의 분쟁에 관하여 그 분쟁이 발생하기 전 조합원이 노동조합을 상대로 일정 소송을 제기할 수 없도록 한 노동조합의 규정은 무효이다.</t>
  </si>
  <si>
    <t>노동조합의 사업체에 대해서는 세법이 정하는 바에 따라 조세를 부과하지 아니한다.</t>
  </si>
  <si>
    <t>사용자는 분리된 교섭단위를 통합하여 교섭하려는 경우 교섭대표노동조합이 결정된 날 이후에는 그 통합하는 결정을 신청할 수 없다.</t>
  </si>
  <si>
    <t>교섭대표노동조합이 교섭창구 단일화 절차에 참여한 다른 노동조합을 차별한 것으로 인정되는 경우, 그와 같은 차별에 합리적인 이유가 있다는 점은 교섭대표노동조합에게 주장・증명책임이 있다.</t>
  </si>
  <si>
    <t>ㄱ: 20, ㄴ: 2</t>
  </si>
  <si>
    <t>단체협약의 당사자가 하여야 할 단체협약의 신고는 당사자 쌍방이 연명으로 해야 한다.</t>
  </si>
  <si>
    <t>「방위사업법」에 의하여 지정된 주요방위산업체에 종사하는 근로자중 방산물자의 완성에 필요한 정비 업무에 종사하는 자는 쟁의행위를 할 수 없다.</t>
  </si>
  <si>
    <t>노동조합이 쟁의행위 개시 전까지 쟁의행위기간 동안 근무하여야 할 조합원을 통보하지 아니한 경우 사용자의 신청에 의하여 노동위원회가 필수유지업무에 근무하여야 할 근로자를 지명하고 이를 노동조합과 그 근로자에게 통보하여야 한다.</t>
  </si>
  <si>
    <t>노동조합 해산의 의결</t>
  </si>
  <si>
    <t>중앙노동위원회는 고용노동부장관의 긴급조정결정 통고를 받은 때에는 지체없이 중재를 개시하여야 한다.</t>
  </si>
  <si>
    <t>부당노동행위 규정 위반에 관한 명문의 양벌규정은 존재하지 아니한다.</t>
  </si>
  <si>
    <t>법령에 따른 노사협의회의 설치를 정당한 사유 없이 거부하거나 방해한 자는 1년 이하의 징역 또는 1천만원 이하의 벌금에 처한다.</t>
  </si>
  <si>
    <t>사용자는 근로자위원의 업무를 위하여 장소의 사용 등 기본적인 편의를 제공하여야 할 의무가 있다.</t>
  </si>
  <si>
    <t>노동위원회의 부문별 위원회의 회의는 구성위원 전원의 출석으로 개의한다.</t>
  </si>
  <si>
    <t>관계 당사자는 중앙노동위원회의 중재재정이 위법하거나 월권에 의한 것이라고 인정하는 경우에는 중재재정서를 송달받은 날부터 15일 이내에 중앙노동위원회 위원장을 피고로 하여 행정소송을 제기할 수 있다.</t>
  </si>
  <si>
    <t>우리나라 제헌헌법에는 영리를 목적으로 하는 사기업에 있어서는 근로자는 법률의 정하는 바에 의하여 이익의 분배에 균점할 권리가 있다는 규정이 있었다.</t>
  </si>
  <si>
    <t>헌법재판소는 노동3권 제한에 관한 개별적 제한규정을 두고 있지 않는 경우, 헌법 제37조제2항의 일반유보조항에 따라 노동3권을 제한할 수 없다는 입장을 취하고 있다.</t>
  </si>
  <si>
    <t>ㄱ: 3, ㄴ: 30, ㄷ: 2</t>
  </si>
  <si>
    <t>종사근로자인 조합원이 해고되어 노동위원회에 부당해고의 구제신청을 한 경우에는 중앙노동위원회의 재심판정이 있을 때까지는 종사근로자로 본다.</t>
  </si>
  <si>
    <t>단체협약 당사자가 단체협약의 체결일부터 이를 행정관청에게 신고하여야 할 기한</t>
  </si>
  <si>
    <t>연합단체인 노동조합을 설립하고자 하는 자는 노동조합의 명칭, 주된 사무소의 소재지, 조합원수 등을 기재한 신고서에 규약을 첨부하여 고용노동부장관에게 제출하여야 한다.</t>
  </si>
  <si>
    <t>국가 및 지방자치단체는 다양한 교섭방식을 노동관계 당사자가 자율적으로 선택할 수 있도록 지원하고 이에 따른 단체교섭이 활성화될 수 있도록 노력하여야 한다</t>
  </si>
  <si>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</si>
  <si>
    <t>교섭단위 분리신청에 대한 노동위원회의 결정이 있기 전에 교섭 요구가 있는 때에는 교섭단위 분리 결정과 관계없이 교섭요구 사실의 공고 등 교섭창구단일화절차는 진행된다.</t>
  </si>
  <si>
    <t>단체협약의 이행방법에 관하여 노동위원회가 제시한 이행방법에 관한 견해는 중재재정과 동일한 효력을 가진다.</t>
  </si>
  <si>
    <t>ㄱ: 3, ㄴ: 6</t>
  </si>
  <si>
    <t>노동조합은 근로조건의 향상을 목적으로 하므로 사용자와 사이에 근로조건을 불리하게 변경하는 내용의 단체협약을 체결할 수 없다.</t>
  </si>
  <si>
    <t>조정서의 내용을 준수하지 아니한 자는 벌칙에 처한다.</t>
  </si>
  <si>
    <t>중재재정의 내용은 관계 당사자의 동의를 받아야 단체협약과 동일한 효력을 가진다.</t>
  </si>
  <si>
    <t>ㄷ, ㅁ, ㅂ</t>
  </si>
  <si>
    <t>사용자의 직장폐쇄가 정당한 쟁의행위로 평가받을 때 비로소 사용자는 직장폐쇄 기간동안의 대상 근로자에 대한 임금지불의무를 면한다.</t>
  </si>
  <si>
    <t>쟁의행위의 방법</t>
  </si>
  <si>
    <t>필수공익사업의 사용자는 쟁의행위기간 중 그 쟁의행위로 중단된 업무의 수행을 위하여 당해 사업과 관계없는 자를 채용 또는 대체할 수 없다.</t>
  </si>
  <si>
    <t>노동조합이 사용자가 수용할 수 없는 과다한 요구를 하였다면 그 쟁의행위의 목적의 정당성은 부정된다.</t>
  </si>
  <si>
    <t>사용자가 노동조합으로부터 위임을 받은 자와의 단체협약체결 기타의 단체교섭을 정당한 이유없이 거부하거나 해태하는 경우 부당노동행위가 성립할 수 있다.</t>
  </si>
  <si>
    <t>운영비 원조의 목적과 경위</t>
  </si>
  <si>
    <t>중앙노동위원회의 재심판정은 행정소송의 제기에 의하여 그 효력이 정지된다.</t>
  </si>
  <si>
    <t>정부교섭대표는 단체협약으로서의 효력을 가지지 아니하는 내용에 대하여는 그 내용이 이행될 수 있도록 성실하게 노력하여야 한다.</t>
  </si>
  <si>
    <t>교원은 임용권자의 동의를 받아 임용권자로부터 급여를 지급받으면서 노동조합의 업무에만 종사할 수 있다.</t>
  </si>
  <si>
    <t>근로조건 기타 노사관계에 관한 합의가 노사협의회의 협의를 거쳐서 단체협약의 실질적・형식적 요건을 갖추었다 하더라도 이는 단체협약이라고 볼 수 없다.</t>
  </si>
  <si>
    <t>이 법에 의하여 설립된 노동조합이 아니면 노동위원회에 노동쟁의의 조정 및 부당노동행위의 구제를 신청할 수 없다.</t>
  </si>
  <si>
    <t>쟁의행위와 관련된 찬반투표 결과의 공개, 투표자 명부 및 투표용지 등의 보존・열람에 관한 사항</t>
  </si>
  <si>
    <t>노동조합이 조합원들의 의사를 반영하고 대표자의 단체교섭 및 단체협약 체결 업무수행에 대한 적절한 통제를 위하여 대표자의 단체협약체결권한의 행사를 절차적으로 제한하는 것은, 그것이 단체협약체결권한을 전면적・포괄적으로 제한하는 것이 아닌 이상 허용된다.</t>
  </si>
  <si>
    <t>단체협약이 실효되었다고 하더라도 임금 등 그 밖에 개별적인 노동조건에 관한 부분은 그 단체협약의 적용을 받고 있던 근로자의 근로계약 내용이 되어 그것을 변경하는 새로운 단체협약, 취업규칙이 체결・작성되거나 또는 개별적인 근로자의 동의를 얻지 아니하는 한 개별적인 근로자의 근로계약 내용으로서 효력을 갖는다.</t>
  </si>
  <si>
    <t>공동교섭대표단의 구성에 합의하지 못할 경우에 고용노동부장관은 해당 노동조합의 신청에 따라 조합원 비율을 고려하여 이를 결정할 수 있다.</t>
  </si>
  <si>
    <t>단체협약과 같은 처분문서를 해석함에 있어서는 그 명문의 규정을 근로자에게 불리하게 변형 해석할 수 없다.</t>
  </si>
  <si>
    <t>사용자의 공정대표의무 위반에 대한 벌칙 규정은 없다.</t>
  </si>
  <si>
    <t>직장폐쇄가 정당한 쟁의행위로 인정되는 경우 사용자는 직장폐쇄 기간 동안의 대상 근로자에 대한 임금지불의무를 면한다.</t>
  </si>
  <si>
    <t>사용자는 노동조합 및 노동관계조정법에 의한 쟁의행위로 인하여 손해를 입은 경우에 노동조합 또는 근로자에 대하여 그 배상을 청구할 수 없다.</t>
  </si>
  <si>
    <t>노동위원회의 필수유지업무 수준 등 결정에 따라 쟁의행위를 한 때에는 필수유지업무를 정당하게 유지・운영하면서 쟁의행위를 한 것으로 본다.</t>
  </si>
  <si>
    <t>노동위원회의 중재재정은 중앙노동위원회의 재심신청에 의하여 그 효력이 정지된다.</t>
  </si>
  <si>
    <t>지방노동위원회의 구제명령에 불복이 있는 관계 당사자는 그 명령서의 송달을 받은 날부터 15일 이내에 중앙노동위원회에 그 재심을 신청할 수 있다.</t>
  </si>
  <si>
    <t>부당노동행위에 대한 사실의 주장 및 증명책임은 부당노동행위임을 주장하는 측에 있다.</t>
  </si>
  <si>
    <t>공익을 대표하는 위원인 특별조정위원이 1인인 경우에는 당해 위원이 특별조정위원회의 위원장이 된다.</t>
  </si>
  <si>
    <t>특별노동위원회는 「남녀고용평등과 일・가정 양립지원에 관한 법률」, 「기간제 및 단시간근로자 보호 등에 관한 법률」 등에 따른 차별적 처우의 시정과 관련된 사항을 처리한다.</t>
  </si>
  <si>
    <t>사용자는 각종 노사공동위원회의 설치에 해당하는 사항에 대하여는 노사협의회의 의결을 거쳐야 한다.</t>
  </si>
  <si>
    <t>중앙노동위원회가 제시한 조정안을 당사자의 어느 한쪽이라도 거부한 경우 중앙노동위원회는 중재를 한다.</t>
  </si>
  <si>
    <t>단체교섭이 결렬된 경우에는 당사자 어느 한쪽 또는 양쪽은 중앙노동위원회에 조정을 신청할 수 있고, 조정은 신청을 받은 날부터 15일 이내에 마쳐야 한다.</t>
  </si>
  <si>
    <t>취업활동을 할 수 있는 체류자격을 받지 않은 외국인은 타인과의 사용종속관계하에서 근로를 제공하고 그 대가로 임금 등을 받아 생활하더라도 노동조합에 가입할 수 없다.</t>
  </si>
  <si>
    <t>노동위원회에 노동쟁의의 중재를 신청할 수 없다.</t>
  </si>
  <si>
    <t>고용형태</t>
  </si>
  <si>
    <t>교섭단위 분리에 관한 노동위원회의 결정에 대하여 중앙노동위원회에 재심을 신청하려는 자는 그 결정서를 송달받은 날로부터 15일 이내에 할 수 있다.</t>
  </si>
  <si>
    <t>노동조합의 규약이 취업규칙에 위반한 경우</t>
  </si>
  <si>
    <t>위원회는 재적위원 과반수의 출석과 출석위원 과반수의 찬성으로 의결한다.</t>
  </si>
  <si>
    <t>노동조합이 분할로 소멸한 경우에 노동조합은 해산한다.</t>
  </si>
  <si>
    <t>교섭대표노동조합과 사용자가 교섭창구 단일화 절차에 참여한 노동조합과 그 조합원 간에 합리적 이유 없이 차별한 경우에는 노동조합은 그 행위가 있은 날부터 3개월 이내에 노동위원회에 그 시정을 요청할 수 있다.</t>
  </si>
  <si>
    <t>정의 위임을 받은 갑</t>
  </si>
  <si>
    <t>쟁의행위는 그 쟁의행위와 관계없는 자 또는 근로를 제공하고자 하는 자의 출입・조업 기타 정상적인 업무를 방해하는 방법으로 행하여져서는 아니되며 쟁의행위의 참가를 호소하거나 설득하는 행위로서 폭행・협박을 사용하여서는 아니 된다.</t>
  </si>
  <si>
    <t>필수유지업무가 공중의 생명・건강 또는 신체의 안전이나 공중의 일상생활을 현저히 위태롭게 하는 업무라 하더라도 다른 업무 영역의 근로자보다 쟁의권 행사에 더 많은 제한을 가하는 것은 평등원칙에 위반된다.</t>
  </si>
  <si>
    <t>사용자는 쟁의행위 기간중 그 쟁의행위로 중단된 업무의 수행을 위하여 당해 사업과 관계없는 자를 채용 또는 대체할 수 없다.</t>
  </si>
  <si>
    <t>쟁의행위는 그 조합원의 직접・비밀・무기명투표에 의한 조합원 과반수의 찬성으로 결정하지 아니하면 이를 행할 수 없다.</t>
  </si>
  <si>
    <t>조정위원회의 조정안의 해석 또는 이행방법에 관한 견해가 제시되기 전이라도 관계당사자는 당해 조정안의 해석 또는 이행에 관하여 쟁의행위를 할 수 있다.</t>
  </si>
  <si>
    <t>노동위원회의 중재재정은 중앙노동위원회에의 재심신청 또는 행정소송의 제기에 의하여 그 효력이 정지된다.</t>
  </si>
  <si>
    <t>중앙노동위원회의 위원장이 중재회부의 결정을 한 때에는 중앙노동위원회는 지체 없이 중재를 하여야 한다.</t>
  </si>
  <si>
    <t>노동위원회의 구제명령・기각결정 또는 재심판정은 중앙노동위원회에의 재심신청이나 행정소송의 제기에 의하여 효력이 정지되지 아니한다.</t>
  </si>
  <si>
    <t>노사협의회 위원은 비상임・무보수로 하며, 위원의 협의회 출석 시간과 이와 직접 관련된 시간으로서 노사협의회규정으로 정한 시간은 근로한 시간으로 본다.</t>
  </si>
  <si>
    <t>고용노동부장관은 중앙노동위원회 및 지방노동위원회의 예산・인사・교육훈련, 그 밖의 행정사무를 총괄하며, 소속 공무원을 지휘・감독한다.</t>
  </si>
  <si>
    <t>ㄹ - ㄷ - ㄱ - ㄴ</t>
  </si>
  <si>
    <t>모든 국민은 근로조건의 향상을 위하여 자주적인 단결권・단체교섭권 및 단체행동권을 가진다.</t>
  </si>
  <si>
    <t>근로자에 해당하는지는 노무제공관계의 실질에 비추어 판단하여야 하고 반드시 근로기준법상 근로자에 한정된다고 할 것은 아니다.</t>
  </si>
  <si>
    <t>노동조합 총회의 해산결의를 사유로 노동조합이 해산한 때에는 그 대표자는 해산한 날부터 15일 이내에 행정관청에 이를 신고하여야 한다.</t>
  </si>
  <si>
    <t>조합원이 조합의 결의에 따라서 한 노동조합의 조직적인 활동 그 자체가 아닐지라도 그 행위의 성질상 노동조합 활동으로 볼 수 있을 때에는 노동조합의 업무를 위한 행위로 보아야 한다.</t>
  </si>
  <si>
    <t>노동조합의 하부단체인 지부가 독자적인 규약 및 집행기관을 가지고 독립된 조직체로서 활동을 하는 경우 당해 조직이나 그 조합원에 고유한 사항에 대하여는 독자적으로 단체교섭을 할 수 있다.</t>
  </si>
  <si>
    <t>공정대표의무는 단체교섭의 과정이나 그 결과물인 단체협약의 내용뿐만 아니라 단체협약의 이행과정에서도 준수되어야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</si>
  <si>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이행과 관련해서는 교섭대표노동조합의 지위를 유지한다.</t>
  </si>
  <si>
    <t>노동조합과 사용자 쌍방이 노사협의회를 거쳐 실질적・형식적 요건을 갖춘 합의가 있더라도 단체교섭을 거치지 않고 체결한 것은 단체협약으로 볼 수 없다.</t>
  </si>
  <si>
    <t>노동위원회가 단체협약의 해석요청에 대하여 제시한 견해는 중재재정과 동일한 효력을 가진다.</t>
  </si>
  <si>
    <t>노동쟁의 조정에 관한 규정은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</si>
  <si>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노동조합의 쟁의행위는 그 조합원의 직접・비밀・무기명투표에 의한 조합원 3분의 2 이상의 찬성으로 결정하지 아니하면 이를 행할 수 없다.</t>
  </si>
  <si>
    <t>근로자가 유급휴가를 이용하여 파업에 참여하는 것은 정당한 유급휴가권의 행사로 볼 수 있으므로 파업기간 중에 포함된 유급휴가에 대한 임금청구권이 발생한다.</t>
  </si>
  <si>
    <t>직장폐쇄가 정당한 쟁의행위로 평가받는 경우 사용자의 사업장에 대한 물권적 지배권이 전면적으로 회복되므로 사용자는 직장폐쇄의 효과로서 사업장의 출입을 제한할 수 있다.</t>
  </si>
  <si>
    <t>일반적으로 근로자가 연장근로를 희망할 경우 회사에서 반드시 이를 허가하여야 할 의무는 없지만, 특정 근로자가 파업에 참가하였다는 이유로 해당 근로자에게 연장근로를 거부하는 것은 해당 근로자에게 경제적 불이익을 주는 행위로서 부당노동행위에 해당할 수 있다.</t>
  </si>
  <si>
    <t>중앙노동위원회의 재심판정에 불복하여 사용자가 행정소송을 제기한 경우 관할법원은 중앙노동위원회의 신청에 의하여 결정으로써, 판결이 확정될 때까지 중앙노동위원회의 구제명령의 전부 또는 일부를 이행하도록 명할 수 있다.</t>
  </si>
  <si>
    <t>노동위원회의 보고 또는 서류제출 요구에 응하지 아니하는 자는 형사처벌 대상이 된다.</t>
  </si>
  <si>
    <t>정부교섭대표는 효율적인 교섭을 위하여 관계 기관의 장을 교섭에 참여하게 하여야 한다.</t>
  </si>
  <si>
    <t>헌법이 근로3권을 보장하는 취지는 근로자의 이익과 지위의 향상을 도모하는 사회복지국가 건설의 과제를 달성하고자 함에 있는 것으로 설명될 수 있다.</t>
  </si>
  <si>
    <t>우리나라의 노사협의회제도는 과거 노동조합법에 규정된 적이 있었다.</t>
  </si>
  <si>
    <t>공제사업만을 목적으로 하는 경우에는 노동조합으로 보지 아니한다.</t>
  </si>
  <si>
    <t>행정관청은 설립신고서 기재사항 중 허위사실이 있는 경우에는 설립신고서를 즉시 반려하여야 한다.</t>
  </si>
  <si>
    <t>조직형태의 변경</t>
  </si>
  <si>
    <t>집단적 노동관계에 관한 사항은 근로조건과 밀접한 관계가 있기 때문에 강행법규나 공서양속에 반하지 않는 이상 단체교섭 대상이 될 수 있다.</t>
  </si>
  <si>
    <t>교섭대표노동조합을 결정함에 있어 교섭요구 사실 등에 대한 이의가 있는 때에는 노동위원회는 대통령령으로 정하는 바에 따라 노동조합의 신청을 받아 그 이의에 대한 결정을 할 수 있다.</t>
  </si>
  <si>
    <t>노동조합 또는 사용자는 법령에 따라 사용자가 교섭요구 사실을 공고하기 전에 노동위원회에 교섭단위 분리의 결정을 신청할 수 있다.</t>
  </si>
  <si>
    <t>단체협약이 실효되었다 하더라도 임금 등 개별적인 노동조건에 관한 부분은 그 단체협약의 적용을 받고 있던 개별적인 근로자의 근로계약의 내용으로 남아서 사용자와 근로자를 규율하게 되는 경우가 있다.</t>
  </si>
  <si>
    <t>행정관청이 단체협약의 지역적 확장적용의 결정을 한 때에는 3개월 이내에 이를 공고하여야 한다.</t>
  </si>
  <si>
    <t>부당노동행위를 이유로 한 쟁의행위의 경우 그 쟁의행위에 앞서 부당노동행위 구제절차를 밟아야만 정당성이 인정될 수 있다.</t>
  </si>
  <si>
    <t>노동위원회는 노동쟁의에 대한 조정이 실패한 경우에 한하여 중재를 행할 수 있다.</t>
  </si>
  <si>
    <t>중앙노동위원회는 법령에 따라 긴급조정 결정의 통고를 받은 때에는 지체 없이 조정을 개시하여야 한다.</t>
  </si>
  <si>
    <t>수도사업의 업무 중 배수시설의 운영 업무</t>
  </si>
  <si>
    <t>중앙노동위원회 구제명령은 행정소송의 제기에 의하여 그 효력이 정지되지 아니한다.</t>
  </si>
  <si>
    <t>타당한 근거 없이 과다하게 책정된 급여를 근로시간 면제자에게 지급하는 사용자의 행위가 단체협약 등 노사 간 합의에 의한 경우에는 부당노동행위가 될 수 없다.</t>
  </si>
  <si>
    <t>노동위원회의 전원회의는 재적위원 과반수의 출석으로 개의한다.</t>
  </si>
  <si>
    <t>법령에 따라 체결된 단체협약의 내용 중 예산에 의하여 규정되는 내용은 단체협약으로서의 효력을 가지지 아니한다.</t>
  </si>
  <si>
    <t>노사협의회의 근로자를 대표하는 위원은 근로자가 선출하되, 근로자의 과반수로 조직된 노동조합이 있는 경우에는 노동조합의 대표자와 그 노동조합이 위촉하는 자로 한다.</t>
  </si>
  <si>
    <t>노동3권은 국가안전보장・질서유지 또는 공공복리를 위하여 필요한 경우에 한하여 법률로써 제한할 수 있다.</t>
  </si>
  <si>
    <t>영리를 목적으로 하는 사기업에 있어서는 근로자는 법률의 정하는 바에 의하여 이익의 분배에 균점할 권리가 있다.</t>
  </si>
  <si>
    <t>재해보상에 관한 조항</t>
  </si>
  <si>
    <t>ㄱ: 30 ㄴ: 10</t>
  </si>
  <si>
    <t>노동조합에의 참가가 금지되는 자인지 여부는 일정한 직급이나 직책에 의하여 일률적으로 결정된다.</t>
  </si>
  <si>
    <t>자율적으로 교섭대표노동조합을 결정하여 그 결과를 사용자에게 통지한 이후에는 그 교섭대표노동조합의 결정 절차에 참여한 노동조합 중 일부 노동조합이 그 이후의 절차에 참여하지 않더라도 교섭대표노동조합의 지위는 유지된다.</t>
  </si>
  <si>
    <t>사적조정에 의하여 해결하기로 한 때에는 그 조정은 조정을 개시한 날부터 기산하여 일반사업에 있어서는 10일, 공익사업에 있어서는 15일 이내에 종료하여야 한다.</t>
  </si>
  <si>
    <t>필수유지업무의 정당한 유지・운영을 정지・폐지하는 행위는 쟁의행위로서 이를 행할 수 없으나 방해하는 행위는 쟁의행위로서 이를 행할 수 있다.</t>
  </si>
  <si>
    <t>산업별 노동조합의 지회가 노동조합 유사의 독립한 근로자단체로서 법인 아닌 사단에 해당하는 경우, 조직형태 변경 결의를 통하여 기업별 노동조합으로 전환할 수 없다.</t>
  </si>
  <si>
    <t>단체협약의 유효기간이 경과한 후에도 새로운 단체협약이 체결되지 않은 때에는 새로운 단체협약이 체결될 때까지 단체협약의 해지권을 행사하지 못하도록 하는 취지의 약정은 유효하다.</t>
  </si>
  <si>
    <t>관계 당사자에 대한 긴급조정 결정의 통고</t>
  </si>
  <si>
    <t>근로자들이 찬반투표절차를 거쳐 정당한 쟁의행위를 개시한 후 쟁의사항과 밀접하게 관련된 새로운 쟁의사항이 부가된 경우에는, 근로자들이 새로이 부가된 사항에 대하여 쟁의행위를 위한 별도의 찬반투표절차를 거쳐야 할 의무가 있다고 할 수 없다.</t>
  </si>
  <si>
    <t>근로시간 면제 한도를 초과하는 내용을 정한 단체협약 또는 사용자의 동의는 그 부분에 한정하여 무효로 한다.</t>
  </si>
  <si>
    <t>ㄱ: 50 ㄴ: 70</t>
  </si>
  <si>
    <t>통신사업</t>
  </si>
  <si>
    <t>근로자와 사용자를 대표하는 같은 수의 위원으로 구성하되, 근로자위원 중에는 여성근로자가 1명 이상 포함되어야 한다.</t>
  </si>
  <si>
    <t>교원 노동관계 조정위원회는 당사자가 합의하여 지명하는 조정담당 공익위원 5명으로 구성된다.</t>
  </si>
  <si>
    <t>노동위원회는 공익위원의 자격기준에 따라 노동문제에 관한 지식과 경험이 있는 사람을 공익위원으로 위촉하되, 여성의 위촉이 늘어날 수 있도록 노력하여야 한다.</t>
  </si>
  <si>
    <t>노동조합의 전임자에 대한 급여지급 금지는 1980년 노동조합법 개정 시에 처음으로 도입되었다.</t>
  </si>
  <si>
    <t>행정관청은 설립하고자 하는 노동조합이 항상 사용자의 이익을 대표하여 행동하는 자의 참가를 허용하는 경우에는 설립신고의 보완을 요구하여야 한다.</t>
  </si>
  <si>
    <t>규약의 변경에 관한 총회의 의결은 재적조합원 과반수의 출석과 출석조합원 과반수의 찬성이 있어야 한다.</t>
  </si>
  <si>
    <t>교섭창구 단일화 절차에 참여한 노동조합의 전체 조합원 과반수로 조직된 노동조합에 해당하는지를 결정할 때 2개 이상의 노동조합이 연합하는 방법은 허용되지 않는다.</t>
  </si>
  <si>
    <t>교섭창구 단일화 절차에 참여한 노동조합은 교섭대표노동조합과 사용자가 체결한 단체협약의 내용의 일부 또는 전부가 공정대표의무에 위반되는 경우에는 단체협약 체결일부터 3개월 이내에 대통령령으로 정하는 방법과 절차에 따라 노동위원회에 그 시정을 요청할 수 있다.</t>
  </si>
  <si>
    <t>사용자가 노동조합과의 단체교섭을 정당한 이유 없이 거부하였다고 하여 그 단체교섭 거부행위가 바로 위법한 행위로 평가되어 불법행위의 요건을 충족하게 되는 것은 아니다.</t>
  </si>
  <si>
    <t>이미 구체적으로 그 지급청구권이 발생한 임금은 노동조합이 근로자들로부터 개별적인 동의나 수권을 받지 않고, 사용자와 사이의 단체협약만으로 이에 대한 포기나 지급유예와 같은 처분행위를 할 수 있다.</t>
  </si>
  <si>
    <t>노동조합사무소의 제공</t>
  </si>
  <si>
    <t>하나의 지역에 있어서 종업하는 동종의 근로자 반수 이상이 하나의 단체협약의 적용을 받게 된 때에는 당해 지역에서 종업하는 다른 동종의 근로자에 대하여도 당해 단체협약이 적용된다.</t>
  </si>
  <si>
    <t>근무시간중 회의참석</t>
  </si>
  <si>
    <t>직장 또는 사업장시설을 전면적, 배타적으로 점거하여 조합원 이외의 자의 출입을 저지하거나 사용자측의 관리지배를 배제하여 업무의 중단 또는 혼란을 야기케 하는 것과 같은 행위는 정당한 쟁의행위로 볼 수 없다.</t>
  </si>
  <si>
    <t>하나의 쟁의행위에서 추구되는 목적이 여러 가지이고, 그 중 일부가 정당하지 못한 경우에는 주된 목적 내지 진정한 목적의 당부에 의하여 그 쟁의목적의 당부를 판단하여야 한다.</t>
  </si>
  <si>
    <t>사용자의 직장폐쇄는 사용자와 근로자의 교섭태도와 교섭과정, 근로자의 쟁의행위의 목적과 방법 및 그로 인하여 사용자가 받는 타격의 정도 등 구체적인 사정에 비추어 근로자의 쟁의행위에 대한 방어수단으로서 상당성이 있어야만 정당성이 인정될 수 있다.</t>
  </si>
  <si>
    <t>사용자가 단체교섭을 거부할 정당한 이유가 있다거나 단체교섭에 성실히 응하였다고 믿었더라도 객관적으로 정당한 이유가 없고 불성실한 단체교섭으로 판정되는 경우에는 부당노동행위가 성립한다.</t>
  </si>
  <si>
    <t>법인 또는 단체의 대표자, 법인・단체 또는 개인의 대리인・사용인 기타의 종업원이 그 법인・단체 또는 개인의 업무에 관하여 부당노동행위를 한 때에는 행위자를 벌하는 외에 그 법인・단체 또는 개인에 대하여도 벌금형을 과한다.</t>
  </si>
  <si>
    <t>노사협의회가 의결 사항에 관하여 의결하지 못한 경우에는 노동위원회는 근로자위원과 사용자위원의 어느 일방의 신청으로 중재를 행한다.</t>
  </si>
  <si>
    <t>지방노동위원회는 단체교섭이 결렬되어 관계 당사자 양쪽이 함께 중재를 신청한 경우에는 지체 없이 중재를 한다.</t>
  </si>
  <si>
    <t>노동조합의 대표자가 사립학교 설립・경영자와 교섭하고 단체협약을 체결하고자 할 경우 사립학교 설립・경영자는 전국 또는 시・도 단위로 연합하여 교섭에 응하여야 한다.</t>
  </si>
  <si>
    <t>노동조합은 신고증을 교부받은 시점에 설립된 것으로 본다.</t>
  </si>
  <si>
    <t>노동조합의 임원이 없고 노동조합으로서의 활동을 1년 이상 하지 아니한 것으로 인정되는 경우로서 행정관청이 노동위원회의 의결을 얻은 경우</t>
  </si>
  <si>
    <t>징계사유에 관한 사항</t>
  </si>
  <si>
    <t>"노동쟁의"라 함은 파업・태업・직장폐쇄 기타 노동관계 당사자가 그 주장을 관철할 목적으로 행하는 행위와 이에 대항하는 행위로서 업무의 정상적인 운영을 저해하는 행위를 말한다.</t>
  </si>
  <si>
    <t>단체협약과 같은 처분문서를 해석할 때에는, 단체협약이 근로자의 근로조건을 유지・개선하고 복지를 증진하여 경제적・사회적 지위를 향상시킬 목적으로 근로자의 자주적 단체인 노동조합과 사용자 사이에 단체교섭을 통하여 이루어지는 것이므로, 명문의 규정을 근로자에게 불리하게 변형 해석할 수 없다.</t>
  </si>
  <si>
    <t>노동조합은 단체협약이 2개 이상 있는 경우에는 먼저 도래하는 단체협약의 유효기간 만료일 이전 3개월이 되는 날부터 사용자에게 교섭을 요구할 수 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</si>
  <si>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</si>
  <si>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노동위원회는 교섭단위분리결정 신청을 받은 날부터 30일 이내에 교섭단위 분리에 관한 결정을 하고 해당 사업 또는 사업장의 모든 노동조합과 사용자에게 통지하여야 한다.</t>
  </si>
  <si>
    <t>근로시간면제심의위원회 위원은 「경제사회노동위원회법」에 따른 경제사회노동위원회 위원장이 위촉한다.</t>
  </si>
  <si>
    <t>행정관청이 노동조합으로부터 결산결과 또는 운영상황의 보고를 받고자 하는 경우에는 그 사유와 기타 필요한 사항을 기재한 서면으로 10일 이전에 요구하여야 한다.</t>
  </si>
  <si>
    <t>근로자의 경제상의 불행 기타 재액의 방지와 구제 등을 위한 기금의 기부행위</t>
  </si>
  <si>
    <t>지방노동위원회의 구제명령은 노동조합 및 노동관계조정법 규정에 의한 중앙노동위원회에의 재심신청에 의하여 그 효력이 정지되지 아니한다.</t>
  </si>
  <si>
    <t>사용자는 쟁의행위 기간 중 그 쟁의행위로 중단된 업무의 수행을 위하여 당해 사업과 관계없는 자를 채용 또는 대체할 수 없다.</t>
  </si>
  <si>
    <t>적법하게 직장폐쇄를 하게 되면, 사용자는 사업장을 점거중인 근로자들에 대하여 정당하게 사업장으로부터의 퇴거를 요구할 수 있고 퇴거를 요구받은 이후의 직장점거는 위법하게 된다.</t>
  </si>
  <si>
    <t>관계 당사자는 긴급조정의 결정이 공표된 때에는 즉시 쟁의행위를 중지하여야 한다.</t>
  </si>
  <si>
    <t>노동조합은 필수유지업무협정이 체결된 경우 사용자에게 필수유지업무에 근무하는 조합원 중 쟁의행위기간 동안 근무하여야 할 조합원을 통보하여야 한다.</t>
  </si>
  <si>
    <t>노동위원회는 공정대표의무 위반의 시정 신청에 대한 명령이나 결정을 서면으로 하여야 하며, 그 서면을 교섭대표노동조합, 사용자 및 그 시정을 신청한 노동조합에 각각 통지하여야 한다.</t>
  </si>
  <si>
    <t>노동조합과 그 조합원은 파업, 태업 또는 그 밖에 업무의 정상적인 운영을 방해하는 일체의 행위를 하여서는 아니 된다.</t>
  </si>
  <si>
    <t>노동위원회는 그 처분에 관하여 당사자에게 서면으로 통지하여야 하며, 처분의 효력은 명령서・결정서 또는 재심판정서를 송달한 날부터 발생한다.</t>
  </si>
  <si>
    <t>회의는 근로자위원과 사용자위원 각 과반수의 출석으로 개최하고 출석위원 과반수의 찬성으로 의결한다.</t>
  </si>
  <si>
    <t>헌법이 노동3권의 주체를 '근로자'로 명시하고 있으므로 노동조합은 단결권 행사의 주체에 해당하지 않는다.</t>
  </si>
  <si>
    <t>구직 중인 자도 근로자에 해당될 수 있다.</t>
  </si>
  <si>
    <t>노동조합이 전임운용권을 갖고 있더라도 노동조합의 전임자 통지가 조합원에 대한 사용자의 인사명령을 거부하기 위한 수단으로 이용된 경우에는 그 전임운용권의 행사는 권리남용에 해당될 수 있다.</t>
  </si>
  <si>
    <t>연합단체인 노동조합은 규약에 그 구성단체에 관한 사항을 기재하여야 한다.</t>
  </si>
  <si>
    <t>노동조합 및 노동관계조정법에 의하여 설립된 노동조합이 아니면 노동위원회에 부당노동행위의 구제를 신청할 수 없다.</t>
  </si>
  <si>
    <t>노동조합은 신의에 따라 성실히 교섭하고 단체협약을 체결하여야 하며 그 권한을 남용하여서는 아니된다.</t>
  </si>
  <si>
    <t>교섭대표노동조합의 대표자는 그 절차에 참여한 노동조합으로부터 위임받은 범위 안에서 사용자와 교섭하고 단체협약을 체결할 권한을 가진다.</t>
  </si>
  <si>
    <t>사용자단체</t>
  </si>
  <si>
    <t>인사처분을 함에 있어서 노동조합이 의견을 제시할 수 있는 기회를 주도록 단체협약에 규정된 경우에 사용자가 제시된 노동조합의 의견을 참작하지 않고 인사처분을 하였다면 그 인사처분은 무효이다.</t>
  </si>
  <si>
    <t>일반적 구속력에 따라 단체협약의 적용을 받게 되는 '동종의 근로자'에는 단체협약 규정에 의하여 조합원의 자격이 없는 자도 포함된다.</t>
  </si>
  <si>
    <t>단체협약에 정한 근로조건에 관한 기준에 위반하는 취업규칙의 부분은 무효이다.</t>
  </si>
  <si>
    <t>정당한 직장점거 후 적법하게 직장폐쇄를 단행한 사용자로부터 퇴거요구를 받고도 불응한 채 직장점거를 계속한 행위는 퇴거불응죄를 구성한다.</t>
  </si>
  <si>
    <t>노동위원회가 필수유지업무 수준 등을 결정할 경우 특별조정위원회가 담당한다.</t>
  </si>
  <si>
    <t>사용자가 제3자와 공동으로 관리・사용하는 공간을 사용자에 대한 정당한 쟁의행위를 이유로 근로자들이 관리자의 의사에 반하여 침입・점거한 경우, 위 제3자에 대하여도 정당행위로서 주거침입의 위법성이 조각되지 않는다.</t>
  </si>
  <si>
    <t>노동위원회에 의한 조정절차가 개시된 이후에는 관계 당사자가 합의하더라도 사적 조정 절차가 개시될 수 없다.</t>
  </si>
  <si>
    <t>부당노동행위에 대한 노동위원회의 구제명령은 노사 간의 사법상(私法上)의 법률관계를 발생 또는 변경시키는 것은 아니다.</t>
  </si>
  <si>
    <t>사용자가 노동조합활동을 방해하려는 의사로 노동조합의 간부를 승진시켜 조합원 자격을 잃게 한 경우에는 부당노동행위가 성립될 수 있다.</t>
  </si>
  <si>
    <t>구제신청은 부당노동행위가 있은 날(계속하는 행위는 그 종료일)부터 3월 이내에 이를 행하여야 한다.</t>
  </si>
  <si>
    <t>노동위원회는 판정・결정・승인・인정 또는 차별시정 등에 관한 사건에 있어서 사회취약계층을 위하여 공인노무사로 하여금 권리구제업무를 대리하게 할 수 있다.</t>
  </si>
  <si>
    <t>근로자의 고충처리</t>
  </si>
  <si>
    <t>단체협약의 내용 중 법령・조례 및 예산에 의하여 규정되는 내용과 법령 또는 조례에 의하여 위임을 받아 규정되는 내용은 단체협약으로서의 효력을 가지지 아니한다.</t>
  </si>
  <si>
    <t>법률이 정하는 바에 따라 주요 방위산업체에 종사하는 근로자 중 전력・용수 및 주로 방산물자를 생산하는 업무에 종사하는 자는 노동조합을 조직할 수 없다.</t>
  </si>
  <si>
    <t>단체협약 중 위법한 내용이 있는 경우에 노동위원회는 직권으로 그 시정을 명할 수 있다.</t>
  </si>
  <si>
    <t>전임자의 전임기간은 2년을 초과할 수 없다.</t>
  </si>
  <si>
    <t>ㄱ : 파업참가자, ㄴ : 100분의 70</t>
  </si>
  <si>
    <t>근로자의 경제적・사회적 지위의 향상 도모</t>
  </si>
  <si>
    <t>회사가 단체협약에 따라 관행적으로 시켜오던 휴일근로를 조합원들이 자신들의 주장을 관철할 목적으로 정당한 이유도 없이 집단적으로 거부함으로써 회사업무의 정상적인 운영을 저해하더라도 쟁의행위로 볼 수 없다.</t>
  </si>
  <si>
    <t>조정위원회의 위원장 또는 단독조정인은 관계 당사자와 참고인외의 자의 출석을 금할 수 있다.</t>
  </si>
  <si>
    <t>확정된 부당노동행위 구제명령을 이행하지 아니한 사용자는 3년 이하의 징역 또는 3천만원 이하의 벌금에 처한다.</t>
  </si>
  <si>
    <t>합병・분할로 소멸한 경우 노동조합은 해산한다.</t>
  </si>
  <si>
    <t>헌법재판소는 교섭창구단일화제도에 대하여 근로조건의 결정권이 있는 사업 또는 사업장 단위에서 복수 노동조합과 사용자 사이의 교섭절차를 일원화하여 효율적이고 안정적인 교섭체계를 구축하고, 소속 노동조합과 관계없이 조합원들의 근로조건을 통일하기 위한 것으로 본다.</t>
  </si>
  <si>
    <t>위원장은 노동계가 추천하는 위원 중 1명, 경영계가 추천하는 위원 중 1명, 정부가 추천하는 공익위원 중 1명을 선출하여, 총 3명이 공동위원장이 된다.</t>
  </si>
  <si>
    <t>근로자는 쟁의행위 기간 중에는 현행범이라 하더라도 노동조합 및 노동관계조정법 위반을 이유로 구속되지 아니한다.</t>
  </si>
  <si>
    <t>단체협약에 정한 근로조건 기타 근로자의 대우에 관한 기준에 위반하는 취업규칙 또는 근로계약의 부분은 무효로 하고, 무효로 된 부분은 노동조합 규약에 정한 기준에 의한다.</t>
  </si>
  <si>
    <t>근로조건의 결정권이 있는 독립된 사업 또는 사업장에 조직된 노동단체는 지부・분회 등 명칭여하에 불구하고 노동조합의 설립신고를 할 수 있다.</t>
  </si>
  <si>
    <t>총회는 회의개최일 7일전까지 그 회의에 부의할 사항을 공고하고 규약에 정한 방법에 의하여 소집하여야 하나, 노동조합이 동일한 사업장내의 근로자로 구성된 경우에는 그 규약으로 공고기간을 단축할 수 있다.</t>
  </si>
  <si>
    <t>유효하게 작성된 화해조서는 민사소송법에 따른 재판상 화해의 효력을 갖는다.</t>
  </si>
  <si>
    <t>조직 대상을 같이하는 둘 이상의 노동조합이 설립되어 있는 경우에 각 노동조합은 독자적으로 단체교섭을 요구할 수 있다.</t>
  </si>
  <si>
    <t>현행 헌법은 교원에 대해 법률이 정하는 자에 한하여 단결권, 단체교섭권, 단체행동권을 갖는다고 규정하고 있다.</t>
  </si>
  <si>
    <t>해고사유에 관한 취업규칙의 여러 규정의 내용이 서로 일부 다른 경우 근로자에게 보다 유리한 규정이 적용된다.</t>
  </si>
  <si>
    <t>연합단체 사무소 소재지의 지방자치단체장</t>
  </si>
  <si>
    <t>산업별 노동조합의 지회 소속 조합원들이 지회의 운영규칙 등에 정한 총회 소집절차를 거치지 않고 그들 스스로 소집권자를 지정하여 총회를 소집한 후 조합의 조직형태를 산업별 노동조합에서 기업별 노동조합으로 변경하기로 한 결의는 무효이다.</t>
  </si>
  <si>
    <t>사업장 내의 조합활동에 있어서는 사용자의 시설관리권에 바탕을 둔 합리적인 규율이나 제약에 따라야 한다.</t>
  </si>
  <si>
    <t>기업 구조조정의 실시 여부는 원칙적으로 단체교섭의 대상이 된다.</t>
  </si>
  <si>
    <t>교섭대표노동조합은 행정관청이 요구하는 경우에는 교섭창구 단일화 절차에 참여한 다른 노동조합을 대표하여 운영상황을 보고하여야 한다.</t>
  </si>
  <si>
    <t>공정대표의무를 위반한 차별에 대한 노동위원회의 시정명령에 대한 불복은 위법하거나 월권인 경우에만 할 수 있다.</t>
  </si>
  <si>
    <t>연장근로에 관한 단체협약의 내용은 개별 근로자의 합의권을 박탈하거나 제한하지 아니하는 범위 내에서는 유효하다.</t>
  </si>
  <si>
    <t>근로자가 아닌 자도 노동조합에 가입할 수 있다.</t>
  </si>
  <si>
    <t>근로자들이 집단적으로 근로의 제공을 거부하여 사용자의 정상적인 업무를 저해하고, 사용자에게 손해를 발생하게 한 불법쟁의행위는 당연히 업무방해죄를 구성한다.</t>
  </si>
  <si>
    <t>항공기의 화물의 운송을 위한 시설</t>
  </si>
  <si>
    <t>부당노동행위에 대한 입증책임은 이를 주장하는 근로자 또는 노동조합에게 있다.</t>
  </si>
  <si>
    <t>사적 조정인은 인적사항을 첨부하여 관할 노동위원회에 신고하여야 한다.</t>
  </si>
  <si>
    <t>조합원의 지위를 취득하지 못한 상태에서 노동조합에 가입하려고 한 근로자들에 대하여 사용자가 부당노동행위를 하였다면, 노동조합도 독자적으로 부당노동행위에 대한 구제신청권을 가진다.</t>
  </si>
  <si>
    <t>근로자들이 주장을 관철하기 위하여 집단적으로 연차휴가를 사용하는 것은 쟁의행위에 해당된다.</t>
  </si>
  <si>
    <t>노동관계 당사자의 조정안의 해석요청에 따라 조정위원회가 제시한 해석에 관한 견해는 중재재정과 동일한 효력을 가진다.</t>
  </si>
  <si>
    <t>중앙노동위원회의 재심판정은 행정소송의 제기에 의하여 그 효력이 정지되지 아니한다.</t>
  </si>
  <si>
    <t>공무원이 해임되어 노동위원회에 부당노동행위의 구제신청을 한 때에는 중앙노동위원회의 재심판정이 있을 때까지 조합원의 지위를 상실한다.</t>
  </si>
  <si>
    <t>관계 당사자는 중앙노동위원회의 중재재정이 위법하거나 월권에 의한 것이라고 인정하는 경우에는 중재재정서를 송달받은 날부터 15일 이내에 행정소송을 제기할 수 있다.</t>
  </si>
  <si>
    <t>고충처리위원은 근로자로부터 고충사항을 청취한 경우에는 20일 이내에 조치 사항을 해당 근로자에게 통보하여야 한다.</t>
  </si>
  <si>
    <t>노동위원회법에 따라 작성된 화해조서는 민사소송법에 따른 재판상 화해의 효력을 갖는다.</t>
  </si>
  <si>
    <t>영리를 목적으로 하는 사기업에 있어서 근로자는 법률이 정하는 바에 의하여 이익의 분배에 균점할 권리가 헌법상 보장된 적이 있었다.</t>
  </si>
  <si>
    <t>노동행정(역할, 기능, 조직)에 관한 협약(제150호)</t>
  </si>
  <si>
    <t>노동위원회는 관계 당사자의 쌍방이 함께 중재를 신청한 때 중재를 행하며, 단체협약에 따라 관계 당사자의 일방이 중재를 신청한 경우에는 중재를 행할 수 없다.</t>
  </si>
  <si>
    <t>정기노선 여객운수사업</t>
  </si>
  <si>
    <t>노동위원회가 필수유지업무에 관하여 결정하는 경우 그 결정은 특별조정위원회가 담당하며, 그 결정에 따라 쟁의행위를 한 때에는 필수유지업무를 정당하게 유지・운영하면서 쟁의행위를 한 것으로 본다.</t>
  </si>
  <si>
    <t>쟁의행위에 참가하여 근로를 제공하지 아니한 근로자에 대하여 사용자가 그 기간 중의 임금을 지급하는 것은 금지된다.</t>
  </si>
  <si>
    <t>직장 또는 사업장시설의 점거는 그 범위가 직장 또는 사업장시설의 일부분이고 사용자측의 출입이나 관리지배를 배제하지 않는 병존적인 점거에 지나지 않을 때에는 쟁의행위의 수단으로 정당한 것으로 볼 수 있다.</t>
  </si>
  <si>
    <t>정당한 직장폐쇄의 경우 사용자는 사업장 내의 노조사무실 등 정상적인 노조활동에 필요한 시설, 기숙사 등 기본적인 생활근거지에 대한 출입을 전면적으로 제한할 수 있다.</t>
  </si>
  <si>
    <t>노동조합은 근로자들로부터 개별적인 동의나 수권을 받지 않은 이상, 단체협약만으로 이미 구체적으로 지급청구권이 발생한 임금에 대하여 그 포기나 지급유예와 같은 처분행위를 할 수 없다.</t>
  </si>
  <si>
    <t>교섭권한을 위임하거나 협약체결에 관여하지 아니한 협약 외의 노동조합이 독자적으로 단체교섭권을 행사하여 이미 별도의 단체협약이 유효하게 존속하고 있더라도 지역적 구속력 결정의 효력은 그 노동조합이나 그 구성원인 근로자에게 미친다.</t>
  </si>
  <si>
    <t>사업의 경영담당자는 사용자에 해당된다.</t>
  </si>
  <si>
    <t>노동조합이 단체교섭의 대상이 되는 사안에 대하여 그 요구가 과대하여 회사로 서는 수용할 수 없는 요구를 하고 있는 경우 이는 사용자가 단체교섭을 거부할 수 있는 정당한 사유가 된다.</t>
  </si>
  <si>
    <t>노동조합의 규약, 결의 또는 처분에 대한 시정명령을 받은 노동조합은 원칙적으로 30일 이내에 이를 이행하여야 한다.</t>
  </si>
  <si>
    <t>회의록</t>
  </si>
  <si>
    <t>노동조합의 규약에 의하여 총회에 갈음하는 대의원회를 두고 있는 경우라도 임원의 해임에 관한 사항을 대의원회에서 의결할 수 없다.</t>
  </si>
  <si>
    <t>취업규칙은 원칙적으로 노동조합의 전임자에 대하여 적용되지 아니한다.</t>
  </si>
  <si>
    <t>긴급조정의 결정권</t>
  </si>
  <si>
    <t>노사협의회의 노사 쌍방은 회무의 기록 등 사무를 담당하는 간사 1인을 각각 둔다.</t>
  </si>
  <si>
    <t>노동조합을 설립하고자 하는 교원은 교육과학기술부장관에게 설립신고서를 제출하여야 한다.</t>
  </si>
  <si>
    <t>헌법상 보장된 근로자의 단결권은 적극적으로 단결할 권리만을 가리킬 뿐이고, 소극적으로 단결하지 아니할 자유는 이에 포함되지 않는다.</t>
  </si>
  <si>
    <t>필수공익사업에 종사하는 근로자는 쟁의행위가 금지된다.</t>
  </si>
  <si>
    <t>설립신고증을 교부받은 노동조합은 30일 이내에 관할 등기소에 법인설립등기를 하여야 한다</t>
  </si>
  <si>
    <t>총회의 결의로 노동조합을 해산하기 위해서는 재적조합원 과반수의 출석과 출석조합원 과반수의 찬성이 있어야 한다.</t>
  </si>
  <si>
    <t>조합원에 대한 규율과 통제에 관한 사항은 반드시 규약에 기재하여야 한다.</t>
  </si>
  <si>
    <t>노동조합은 행정관청에 대하여 정기적으로 결산결과를 보고하여야 한다.</t>
  </si>
  <si>
    <t>노동조합과 사용자는 별도의 약정으로도 종전 단체협약의 효력을 지속시킬 수 없다.</t>
  </si>
  <si>
    <t>교섭당사자로서의 사용자단체란 노동관계에 관하여 그 구성원인 사용자에 대하여 조정 또는 규제할 수 있는 권한을 가진 사용자의 단체를 말한다.</t>
  </si>
  <si>
    <t>행정관청은 노동조합에 대의원회의 소집권자가 없는 경우에 대의원 3분의 1 이상이 회의에 부의할 사항을 제시하고 소집권자의 지명을 요구한 때에는 15일 이내에 회의의 소집권자를 지명하여야 한다.</t>
  </si>
  <si>
    <t>행정관청은 직권으로 노동위원회의 의결을 얻어 당해 지역에서 종업하는 다른 동종의 근로자에 대하여도 당해 단체협약을 적용하는 결정을 할 수 없다.</t>
  </si>
  <si>
    <t>이미 구체적으로 그 지급청구권이 발생한 임금은 노동조합이 근로자들로부터 개별적인 동의나 수권을 받지 않는 이상 사용자와의 단체협약만으로 이에 대한 포기나 지급유예와 같은 처분행위를 할 수는 없다.</t>
  </si>
  <si>
    <t>노동위원회의 조정은 일반사업에 있어서는 조정의 신청이 있은 날부터 10일 이내에 종료하여야 한다.</t>
  </si>
  <si>
    <t>노동위원회의 중재 시 적용되는 쟁의행위의 금지기간은 사적중재에는 적용되지 않는다.</t>
  </si>
  <si>
    <t>단체협약의 체결 시 노동관계 당사자의 행정관청에 대한 신고기간</t>
  </si>
  <si>
    <t>노동부장관의 긴급조정 결정에 따른 조정이 성립될 가망이 없는 경우 중앙노동위원회는 관계당사자 일방의 중재신청만으로는 중재를 할 수 없다.</t>
  </si>
  <si>
    <t>노동조합이 필수유지업무협정에 따라 쟁의행위 개시 전까지 필수유지업무에 근무할 조합원을 사용자에게 통보하지 아니하면 사용자는 노동위원회에 필수유지업무에서 근무할 조합원의 지명을 요구할 수 있다.</t>
  </si>
  <si>
    <t>사용자가 직장폐쇄를 할 경우에는 미리 행정관청 및 노동위원회에 각각 신고하여야 한다.</t>
  </si>
  <si>
    <t>노동위원회는 부당노동행위 구제명령을 받은 후 이행기간까지 구제명령을 이행하지 아니한 사용자에게 이행강제금을 부과한다.</t>
  </si>
  <si>
    <t>사용자의 지배・개입 행위가 사실행위로 이루어진 경우 그 행위가 장래에 걸쳐 계속 반복하여 행하여질 가능성이 많기 때문에 사용자의 지배・개입에 해당하는 행위를 금지하는 부작위명령은 적절한 구제방법이 될 수 있다.</t>
  </si>
  <si>
    <t>단체협약의 내용 중 법령・조례 및 예산에 의하여 규정되는 내용이라도 단체협약으로서의 효력을 가진다.</t>
  </si>
  <si>
    <t>공무원은 관할 지방노동위원회에 부당노동행위의 구제를 신청할 수 없다.</t>
  </si>
  <si>
    <t>노사협의회의 회의는 공개하지만, 노사협의회의 의결로 공개하지 아니할 수 있다.</t>
  </si>
  <si>
    <t>중앙노동위원회는 특별노동위원회에 대하여 법령의 해석에 관하여 필요한 견해를 제시할 수 있으나 지시를 할 수는 없다.</t>
  </si>
  <si>
    <t>노사협의회에서 의결된 사항을 정당한 사유 없이 이행하지 아니한 근로자나 사용자는 1천만원 이하의 벌금에 처한다.</t>
  </si>
  <si>
    <t>위원장은 당해 노동위원회를 대표하며 회무를 통리한다.</t>
  </si>
  <si>
    <t>화해의 방법, 화해조서의 작성 등에 관하여 필요한 사항은 각 지방노동위원회가 별도로 정한다.</t>
  </si>
  <si>
    <t>1991년 ILO에 가입하여 회원국이 되었다.</t>
  </si>
  <si>
    <t>우리나라의 경우 노동조합의 단체교섭이나 그 밖의 모든 활동은 근로자참여 및 협력증진에 관한 법률의 영향을 받지 아니한다.</t>
  </si>
  <si>
    <t>근로3권은 절대적 기본권이라고 볼 수 없다.</t>
  </si>
  <si>
    <t>노동조합은 필수유지업무협정이 체결된 경우 사용자에게 필수유지업무에 근무하는 조합원 중 쟁의행위 기간 동안 근무하여야 할 조합원을 통보하여야 하는데, 만약 노동조합이 쟁의행위 개시 전까지 이를 통보하지 아니한 경우에는 사용자가 필수유지업무에 근무하여야 할 근로자를 지명하고 이를 노동조합과 그 근로자에게 통보하여야 한다.</t>
  </si>
  <si>
    <t>대법원은 사용자가 정당한 해고사유가 있어 근로자를 해고한 경우에는 사용자에게 반노동조합의사가 추정된다고 하더라도 당해 해고사유가 단순히 표면상의 구실에 불과하다고 할 수는 없을 것이므로 부당노동행위에 해당한다고 할 수 없다는 입장이다.</t>
  </si>
  <si>
    <t>노동위원회는 심문을 행함에 있어서 관계 당사자의 신청이 있는 경우에만 증인에 대하여 필요한 사항을 질문할 수 있다.</t>
  </si>
  <si>
    <t>법인인 노동조합이 해산하더라도 청산의 목적 범위 내에서 권리가 있고 의무를 부담한다.</t>
  </si>
  <si>
    <t>노동조합의 회계감사원은 필요하다고 인정할 경우에는 당해 노동조합의 회계감사를 실시할 수 있다.</t>
  </si>
  <si>
    <t>정치운동을 부수적인 목적으로 하는 경우 노동조합으로 보지 아니한다.</t>
  </si>
  <si>
    <t>조합원이 규약을 위반한 경우 사용자는 그 규약위반을 이유로 당해 조합원을  징계할 수 있다.</t>
  </si>
  <si>
    <t>노동조합이 특정 조합원에 관한 사항을 표결할 때 그 조합원은 표결권이 없다.</t>
  </si>
  <si>
    <t>행정관청은 노동조합에 총회 또는 대의원회의 소집권자가 없는 경우에 조합원 또는 대의원의 3분의 1 이상이 회의에 부의할 사항을 제시하고 소집권자의 지명을 요구한 때에는 노동위원회의 의결을 거쳐 회의의 소집권자를 지명하여야 한다.</t>
  </si>
  <si>
    <t>노동조합설립신고를 하지 아니한 경우라도 노동조합 및 노동관계조정법상의 노동조합이라는 명칭을 사용할 수 있다.</t>
  </si>
  <si>
    <t>전임자가 통상적인 조합활동을 하는 과정에서 사용자의 사업과 관련있는 업무에 기인하여 재해가 발생한 경우 업무상 재해로 인정하는 것이 판례의 입장이다.</t>
  </si>
  <si>
    <t>합의서, 각서 등의 표제에 의한 합의서면은 당사자 쌍방의 서명 또는 날인이 있더라도 단체협약으로 볼 수 없다.</t>
  </si>
  <si>
    <t>징계 및 해고의 사유에 관한 사항</t>
  </si>
  <si>
    <t>노동관계당사자는 신의에 따라 성실히 교섭하여야 하나 반드시 합의하여야 할 의무를 부담하는 것은 아니다.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</si>
  <si>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6월전까지 상대방에게 통고함으로써 종전의 단체협약을 해지할 수 있다.</t>
  </si>
  <si>
    <t>행정관청은 쟁의행위가 사업장의 안전보호시설에 대하여 정상적인 유지・운영을 방해하는 경우로서, 사태가 급박한 경우에는 노동위원회의 의결을 얻지 아니하고 즉시 그 행위를 중지할 것을 통보할 수 있고, 이후 지체없이 노동위원회의 사후승인을 얻어야 하며 그 승인을 얻지 못한 때에는 그 통보는 통보한 시점으로 소급하여 효력을 상실한다.</t>
  </si>
  <si>
    <t>노동조합이 쟁의행위를 개시하기 이전에 행하는 직장폐쇄</t>
  </si>
  <si>
    <t>쟁의행위로 중단된 업무를 위해 사용자가 파견근로자보호 등에 관한 법률상의 파견근로자를 신규로 사용하는 것은 금지된 대체근로에 해당되지 않는다.</t>
  </si>
  <si>
    <t>중앙노동위원회는 긴급조정결정 통고를 받은 때에는 지체없이 조정을 개시하여야 한다.</t>
  </si>
  <si>
    <t>노동위원회의 확정된 구제명령은 법원의 확정판결과 동일한 효력을 가진다.</t>
  </si>
  <si>
    <t>노동조합의 회계감사원은 노동조합 대표자의 승인을 얻어 당해 노동조합의 회계감사를 실시하고 그 결과를 공개할 수 있다.</t>
  </si>
  <si>
    <t>직업의 특성상 취업시간 중의 조합활동이 불가피하고 단체협약이 취업시간 중의 조합활동을 허용하고 있다면, 취업시간 중의 노동조합 총회 개최는 정당한 조합활동이다.</t>
  </si>
  <si>
    <t>노동조합이 동일한 사업장 내의 근로자로 구성된 경우, 대표자는 직권으로 총회 개최 공고기간을 7일 이내로 단축할 수 있다.</t>
  </si>
  <si>
    <t>사기업에 대한 국가의 고용명령</t>
  </si>
  <si>
    <t>노동부장관은 긴급조정사건의 중재회부 여부를 긴급조정을 통고받은 날부터 15일 이내에 결정하여야 한다.</t>
  </si>
  <si>
    <t>설립신고를 필하지 아니한 근로자단체도 노동위원회에 노동쟁의 조정신청을 할 법적 자격이 있다.</t>
  </si>
  <si>
    <t>지방노동위원회의 구제명령․기각결정은 중앙노동위원회에의 재심신청이나 행정소송의 제기에 의하여 그 효력이 정지된다.</t>
  </si>
  <si>
    <t>교원노동관계조정위원회</t>
  </si>
  <si>
    <t>상부 연합단체에 단체교섭권한을 위임한 경우 단위노동조합의 단체교섭권한은 상실된다.</t>
  </si>
  <si>
    <t>단독조정의 경우 조정이 성립될 때 노동위원회 위원장이 서명・날인하여야 한다.</t>
  </si>
  <si>
    <t>쟁의행위 기간 중의 노동조합 활동으로 인한 전임자의 질병은 업무상 재해로 본다.</t>
  </si>
  <si>
    <t>필수유지업무협정이 체결되지 않은 경우 노동위원회는 필수 유지업무에 근무하여야 할 근로자를 지명하고 이를 노동조합과 그 근로자에게 통보할 수 있다.</t>
  </si>
  <si>
    <t>노동위원회의 조정담당공익위원과 같은 자격을 갖춘 자만이 사적 조정을 할 수 있다.</t>
  </si>
  <si>
    <t>단체협약의 당사자가 단체협약에서 일부 조합원들에게만 유리한 근로조건을 별도로 정할 수 있도록 명시한 경우, 그러한 협약상의 조항은 무효이다.</t>
  </si>
  <si>
    <t>사용자'라 함은 사업주, 사업의 경영담당자 또는 그 사업의 근로자에 관한 사항에 대하여 사업주를 위해 행동하는 자를 말한다.</t>
  </si>
  <si>
    <t>단체행동권의 정당한 행사라 하더라도 민사책임은 져야 한다.</t>
  </si>
  <si>
    <t>근로자대표 및 사용자대표가 정부대표와 동등한 지위에서 자유로운 토의 및 민주적 결정에 의해 빈곤의 극복을 이루어야 한다.</t>
  </si>
  <si>
    <t>중앙노동위원회는 지방노동위원회의 운영 기타 필요한 사항에 관한 규칙을 제정할 수 있다.</t>
  </si>
  <si>
    <t>회의는 비공개를 원칙으로 한다.</t>
  </si>
  <si>
    <t>임원의 규약위반에 대한 탄핵에 관한 사항</t>
  </si>
  <si>
    <t>하나의 사업 또는 사업장에서 복수노조의 설립은 현재 허용되지 않고 있다.</t>
  </si>
  <si>
    <t>노동관계 당사자는 노동쟁의가 발생한 때에는 어느 일방이 이를 상대방에게 서면으로 통보해야 한다.</t>
  </si>
  <si>
    <t>폭행・협박으로 쟁의행위 참가를 강요하는 행위</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</si>
  <si>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phoneticPr fontId="2" type="noConversion"/>
  </si>
  <si>
    <t>노동조합 및 노동관계조정법상 노동조합의 관리에 관한 설명으로 옳지 않은 것은?</t>
    <phoneticPr fontId="2" type="noConversion"/>
  </si>
  <si>
    <t>노동조합 및 노동관계조정법상 총회 및 임시총회등에 관한 설명으로 옳은 것은?</t>
    <phoneticPr fontId="2" type="noConversion"/>
  </si>
  <si>
    <t>노동조합 및 노동관계조정법령상 회계감사에 관한 설명으로 옳지 않은 것은?</t>
    <phoneticPr fontId="2" type="noConversion"/>
  </si>
  <si>
    <t>노동조합 및 노동관계조정법령상 노동조합의 설립 및 관리에 관한 설명으로 옳은 것은?</t>
    <phoneticPr fontId="2" type="noConversion"/>
  </si>
  <si>
    <t>노동조합 및 노동관계조정법령상 노동조합에 관한 설명으로 옳지 않은 것은?</t>
    <phoneticPr fontId="2" type="noConversion"/>
  </si>
  <si>
    <t>노동조합 및 노동관계조정법령상 노동조합의 설립에 관한 설명으로 옳은 것은?</t>
    <phoneticPr fontId="2" type="noConversion"/>
  </si>
  <si>
    <t>노동조합 및 노동관계조정법령상 노동조합에 관한 설명으로 옳지 않은 것은? (다툼이 있으면 판례에 따름)</t>
    <phoneticPr fontId="2" type="noConversion"/>
  </si>
  <si>
    <t>노동조합 및 노동관계조정법령상 공정대표의무에 관한 설명으로 옳지 않은 것은? (다툼이 있으면 판례에 따름)</t>
    <phoneticPr fontId="2" type="noConversion"/>
  </si>
  <si>
    <t>노동조합 및 노동관계조정법령상 단체교섭 및 단체협약 체결 당사자의 권한에 관한 설명으로 옳지 않은 것은? (다툼이 있으면 판례에 따름)</t>
    <phoneticPr fontId="2" type="noConversion"/>
  </si>
  <si>
    <t>노동조합 및 노동관계조정법령상 단체교섭 및 단체협약에 관한 설명으로 옳지 않은 것은? (다툼이 있으면 판례에 따름)</t>
    <phoneticPr fontId="2" type="noConversion"/>
  </si>
  <si>
    <t>노동조합 및 노동관계조정법령상 단체협약의 구속력에 관한 설명으로 옳은 것은? (다툼이 있으면 판례에 따름)</t>
    <phoneticPr fontId="2" type="noConversion"/>
  </si>
  <si>
    <t>노동조합 및 노동관계조정법령상 단체교섭에 관한 설명으로 옳은 것은? (다툼이 있으면 판례에 따름)</t>
    <phoneticPr fontId="2" type="noConversion"/>
  </si>
  <si>
    <t>노동조합 및 노동관계조정법령상 단체협약에 관한 설명으로 옳지 않은 것은? (다툼이 있으면 판례에 따름)</t>
    <phoneticPr fontId="2" type="noConversion"/>
  </si>
  <si>
    <t>노동조합 및 노동관계조정법령상 교섭단위 결정 등에 관한 설명으로 옳지 않은 것은?</t>
    <phoneticPr fontId="2" type="noConversion"/>
  </si>
  <si>
    <t>노동조합 및 노동관계조정법령상 교섭창구 단일화 절차에 관한 설명으로 옳지 않은 것은?</t>
    <phoneticPr fontId="2" type="noConversion"/>
  </si>
  <si>
    <t>노동조합 및 노동관계조정법령상 쟁의행위에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</si>
  <si>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</si>
  <si>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</si>
  <si>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노동관계조정법령상 노동쟁의의 조정에 관한 설명으로 옳지 않은 것은?</t>
    <phoneticPr fontId="2" type="noConversion"/>
  </si>
  <si>
    <t>노동조합 및 노동관계조정법상 노동쟁의의 중재에 관한 설명으로 옳지 않은 것은?</t>
    <phoneticPr fontId="2" type="noConversion"/>
  </si>
  <si>
    <t>노동조합 및 노동관계조정법령상 부당노동행위에 관한 설명으로 옳은 것은? (다툼이 있으면 판례에 따름)</t>
    <phoneticPr fontId="2" type="noConversion"/>
  </si>
  <si>
    <t>노동조합 및 노동관계조정법에 관한 설명으로 옳은 것은?</t>
    <phoneticPr fontId="2" type="noConversion"/>
  </si>
  <si>
    <t>근로자참여 및 협력증진에 관한 법령상 노사협의회의 운영에 관한 설명으로 옳지 않은 것은?</t>
    <phoneticPr fontId="2" type="noConversion"/>
  </si>
  <si>
    <t>근로자참여 및 협력증진에 관한 법률상 노사협의회의 임무 중 협의 사항이 아닌 것은?</t>
    <phoneticPr fontId="2" type="noConversion"/>
  </si>
  <si>
    <t>근로자참여 및 협력증진에 관한 법령상 고충처리에 관한 설명으로 옳지 않은 것은?</t>
    <phoneticPr fontId="2" type="noConversion"/>
  </si>
  <si>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phoneticPr fontId="2" type="noConversion"/>
  </si>
  <si>
    <t>노동위원회법상 노동위원회에 관한 설명으로 옳지 않은 것은?</t>
    <phoneticPr fontId="2" type="noConversion"/>
  </si>
  <si>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phoneticPr fontId="2" type="noConversion"/>
  </si>
  <si>
    <t>노동위원회법상 사건 처리와 관련하여 행정심판법을 준용하는 것을 모두 고른 것은?
ㄱ. 선정대표자
ㄷ. 대리인의 선임
ㄴ. 대리의 흠과 추인
ㄹ. 당사자의 지위 승계</t>
    <phoneticPr fontId="2" type="noConversion"/>
  </si>
  <si>
    <t>노동위원회법상 노동위원회의 화해의 권고 등에 관한 설명으로 옳지 않은 것은?</t>
    <phoneticPr fontId="2" type="noConversion"/>
  </si>
  <si>
    <t>공무원의 노동조합 설립 및 운영 등에 관한 법령상 부당노동행위에 관한 설명으로 옳은 것은?</t>
    <phoneticPr fontId="2" type="noConversion"/>
  </si>
  <si>
    <t>공무원의 노동조합 설립 및 운영 등에 관한 법률상 조정 및 중재에 관한 설명으로 옳은 것은?</t>
    <phoneticPr fontId="2" type="noConversion"/>
  </si>
  <si>
    <t>공무원의 노동조합 설립 및 운영 등에 관한 법률상 단체교섭 및 단체협약에 관한 설명으로 옳지 않은 것은?</t>
    <phoneticPr fontId="2" type="noConversion"/>
  </si>
  <si>
    <t>교원의 노동조합 설립 및 운영 등에 관한 법령상 단체교섭 및 단체협약에 관한 설명으로 옳지 않은 것은?</t>
    <phoneticPr fontId="2" type="noConversion"/>
  </si>
  <si>
    <t>교원의 노동조합 설립 및 운영 등에 관한 법령에 관한 설명으로 옳은 것은?</t>
    <phoneticPr fontId="2" type="noConversion"/>
  </si>
  <si>
    <t>교원의 노동조합 설립 및 운영 등에 관한 법령상 조정 및 중재에 관한 설명으로 옳지 않은 것은?</t>
    <phoneticPr fontId="2" type="noConversion"/>
  </si>
  <si>
    <t>헌법상 근로3권에 관한 설명으로 옳지 않은 것은? (다툼이 있으면 판례에 따름)</t>
    <phoneticPr fontId="2" type="noConversion"/>
  </si>
  <si>
    <t>헌법상 노동3권에 관한 설명으로 옳지 않은 것은? (다툼이 있으면 판례에 따름)</t>
    <phoneticPr fontId="2" type="noConversion"/>
  </si>
  <si>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phoneticPr fontId="2" type="noConversion"/>
  </si>
  <si>
    <t>노동조합 및 노동관계조정법상 노동조합의 조합원에 관한 설명으로 옳지 않은 것은?</t>
    <phoneticPr fontId="2" type="noConversion"/>
  </si>
  <si>
    <t>노동조합 및 노동관계조정법령상 연합단체인 노동조합의 설립 및 관리에 관한 설명으로 옳지 않은 것은?</t>
    <phoneticPr fontId="2" type="noConversion"/>
  </si>
  <si>
    <t>노동조합 및 노동관계조정법령상 노동조합의 해산에 관한 설명으로 옳지 않은 것은?</t>
    <phoneticPr fontId="2" type="noConversion"/>
  </si>
  <si>
    <t>노동조합 및 노동관계조정법상 노동조합이 노동조합의 규약에 기재하여야 할 사항이 아닌 것은?</t>
    <phoneticPr fontId="2" type="noConversion"/>
  </si>
  <si>
    <t>노동조합 및 노동관계조정법상 노동조합의 관리에 관한 설명으로 옳은 것은?</t>
    <phoneticPr fontId="2" type="noConversion"/>
  </si>
  <si>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phoneticPr fontId="2" type="noConversion"/>
  </si>
  <si>
    <t>노동조합 및 노동관계조정법상 단체교섭 및 단체협약에 관한 설명으로 옳지 않은 것은? (다툼이 있으면 판례에 따름)</t>
    <phoneticPr fontId="2" type="noConversion"/>
  </si>
  <si>
    <t>노동조합 및 노동관계조정법상 노동조합의 설립 및 운영에 관한 설명으로 옳지 않은 것은? (다툼이 있으면 판례에 따름)</t>
    <phoneticPr fontId="2" type="noConversion"/>
  </si>
  <si>
    <t>노동조합 및 노동관계조정법령상 교섭단위 결정 및 공정대표의무에 관한 설명으로 옳지 않은 것은? (다툼이 있으면 판례에 따름)</t>
    <phoneticPr fontId="2" type="noConversion"/>
  </si>
  <si>
    <t>노동조합 및 노동관계조정법령상 단체교섭에 관한 설명으로 옳지 않은 것은?</t>
    <phoneticPr fontId="2" type="noConversion"/>
  </si>
  <si>
    <t>노동조합 및 노동관계조정법상 단체협약에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</si>
  <si>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</si>
  <si>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노동관계조정법령상 필수유지업무 등에 관한 설명으로 옳은 것은?</t>
    <phoneticPr fontId="2" type="noConversion"/>
  </si>
  <si>
    <t>노동조합 및 노동관계조정법상 쟁의행위에 관한 설명으로 옳지 않은 것은? (다툼이 있으면 판례에 따름)</t>
    <phoneticPr fontId="2" type="noConversion"/>
  </si>
  <si>
    <t>노동조합 및 노동관계조정법에 의하여 설립된 노동조합에 관한 설명으로 옳지 않은 것은?</t>
    <phoneticPr fontId="2" type="noConversion"/>
  </si>
  <si>
    <t>노동조합 및 노동관계조정법상 직장폐쇄에 관한 설명으로 옳은 것은? (다툼이 있으면 판례에 따름)</t>
    <phoneticPr fontId="2" type="noConversion"/>
  </si>
  <si>
    <t>노동조합 및 노동관계조정법령상 노동쟁의의 조정에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</si>
  <si>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</si>
  <si>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노동관계조정법상 부당노동행위에 관한 설명으로 옳지 않은 것은? (다툼이 있으면 판례에 따름)</t>
    <phoneticPr fontId="2" type="noConversion"/>
  </si>
  <si>
    <t>노동조합 및 노동관계조정법상 노동쟁의의 중재에 관한 설명으로 옳지 않은 것은?</t>
  </si>
  <si>
    <t>노동조합 및 노동관계조정법상 노동쟁의의 중재에 관한 설명으로 옳지 않은 것은?</t>
    <phoneticPr fontId="2" type="noConversion"/>
  </si>
  <si>
    <t>근로자참여 및 협력증진에 관한 법령상 노사협의회규정에 포함되어야 하는 내용으로 옳지 않은 것은?</t>
    <phoneticPr fontId="2" type="noConversion"/>
  </si>
  <si>
    <t>노동조합 및 노동관계조정법령상 중재재정에 관한 설명으로 옳지 않은 것은?</t>
    <phoneticPr fontId="2" type="noConversion"/>
  </si>
  <si>
    <t>근로자참여 및 협력증진에 관한 법령상 노사협의회 구성에 관한 설명으로 옳지 않은 것은?</t>
    <phoneticPr fontId="2" type="noConversion"/>
  </si>
  <si>
    <t>노동조합 및 노동관계조정법령상 근로시간면제심의위원회(이하 “위원회”라 한다)에 관한 설명으로 옳은 것은?</t>
    <phoneticPr fontId="2" type="noConversion"/>
  </si>
  <si>
    <t>노동조합 및 노동관계조정법령상 긴급조정에 관한 설명으로 옳지 않은 것은?</t>
    <phoneticPr fontId="2" type="noConversion"/>
  </si>
  <si>
    <t>근로자참여 및 협력증진에 관한 법령에 관한 설명으로 옳은 것은?</t>
    <phoneticPr fontId="2" type="noConversion"/>
  </si>
  <si>
    <t>근로자참여 및 협력증진에 관한 법률에 관한 설명으로 옳지 않은 것은?</t>
    <phoneticPr fontId="2" type="noConversion"/>
  </si>
  <si>
    <t>노동위원회법상 지방노동위원회의 심판담당 공익위원의 자격기준에 관한 설명으로 옳지 않은 것은?</t>
    <phoneticPr fontId="2" type="noConversion"/>
  </si>
  <si>
    <t>근로자참여 및 협력증진에 관한 법률상 노사협의회의 의결 사항이 아닌 것은?</t>
    <phoneticPr fontId="2" type="noConversion"/>
  </si>
  <si>
    <t>노동위원회법상 노동위원회의 부문별 위원회에 관한 설명으로 옳은 것은?</t>
    <phoneticPr fontId="2" type="noConversion"/>
  </si>
  <si>
    <t>노동위원회법상 노동위원회 위원장과 상임위원에 관한 설명으로 옳지 않은 것은?</t>
    <phoneticPr fontId="2" type="noConversion"/>
  </si>
  <si>
    <t>공무원의 노동조합 설립 및 운영 등에 관한 법률에 관한 설명으로 옳지 않은 것은?</t>
    <phoneticPr fontId="2" type="noConversion"/>
  </si>
  <si>
    <t>교원의 노동조합 설립 및 운영 등에 관한 법률에 관한 설명으로 옳지 않은 것은?</t>
    <phoneticPr fontId="2" type="noConversion"/>
  </si>
  <si>
    <t>교원의 노동조합 설립 및 운영 등에 관한 법률에 관한 설명으로 옳은 것은?</t>
    <phoneticPr fontId="2" type="noConversion"/>
  </si>
  <si>
    <t>공무원의 노동조합 설립 및 운영 등에 관한 법률에 관한 설명으로 옳은 것은?</t>
    <phoneticPr fontId="2" type="noConversion"/>
  </si>
  <si>
    <t>1개</t>
    <phoneticPr fontId="2" type="noConversion"/>
  </si>
  <si>
    <t>2개</t>
    <phoneticPr fontId="2" type="noConversion"/>
  </si>
  <si>
    <t>3개</t>
    <phoneticPr fontId="2" type="noConversion"/>
  </si>
  <si>
    <t>4개</t>
    <phoneticPr fontId="2" type="noConversion"/>
  </si>
  <si>
    <t>5개</t>
    <phoneticPr fontId="2" type="noConversion"/>
  </si>
  <si>
    <t>노동조합은 조합설립일부터 30일 이내에 회의록을 작성하여 그 주된 사무소에 비치하여야 한다.</t>
    <phoneticPr fontId="2" type="noConversion"/>
  </si>
  <si>
    <t>노동조합은 재정에 관한 장부와 서류를 3년간 보존하여야 한다.</t>
    <phoneticPr fontId="2" type="noConversion"/>
  </si>
  <si>
    <t>하나의 사업 또는 사업장을 대상으로 조직된 노동조합의 대의원은 그 사업 또는 사업장에 종사하는 조합원 중에서 선출하여야 한다.</t>
    <phoneticPr fontId="2" type="noConversion"/>
  </si>
  <si>
    <t>대의원회의 대의원 임기는 규약으로 정하되 3년을 초과할 수 없다.</t>
    <phoneticPr fontId="2" type="noConversion"/>
  </si>
  <si>
    <t>총회에서 임원의 선거는 다수의 찬성을 얻은 자를 임원으로 선출하여야 한다.</t>
    <phoneticPr fontId="2" type="noConversion"/>
  </si>
  <si>
    <t>노동조합의 대표자는 규약으로 총회에 갈음할 대의원회를 둔 경우 임시대의원회를 소집할 수 없다.</t>
    <phoneticPr fontId="2" type="noConversion"/>
  </si>
  <si>
    <t>노동조합의 대표자는 조합원의 3분의 1 이상이 임시총회 소집권자의 지명을 요구한 때에는 15일 이내에 노동위원회의 의결을 요청하여야 한다.</t>
    <phoneticPr fontId="2" type="noConversion"/>
  </si>
  <si>
    <t>행정관청은 노동조합에 총회의 소집권자가 없는 경우에 조합원의 3분의 1 이상이 회의에 부의할 사항을 제시하고 소집권자의 지명을 요구한 때에는 15일 이내에 회의의 소집권자를 지명하여야 한다.</t>
    <phoneticPr fontId="2" type="noConversion"/>
  </si>
  <si>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phoneticPr fontId="2" type="noConversion"/>
  </si>
  <si>
    <t>노동조합의 회계감사원은 대의원 3분의 1 이상의 요구가 있는 경우에는 조합원이 아닌 공인회계사로 하여금 회계감사를 실시하게 하여야 한다.</t>
    <phoneticPr fontId="2" type="noConversion"/>
  </si>
  <si>
    <t>노동조합의 대표자는 그 회계감사원으로 하여금 6월에 1회 이상 당해 노동조합의 모든 재원 및 용도등에 대한 회계감사를 실시하게 하고 그 내용과 감사결과를 전체 조합원에게 공개하여야 한다.</t>
    <phoneticPr fontId="2" type="noConversion"/>
  </si>
  <si>
    <t>노동조합의 회계감사원은 필요하다고 인정할 경우에는 당해 노동조합의 회계감사를 실시하고 그 결과를 공개할 수 있다.</t>
    <phoneticPr fontId="2" type="noConversion"/>
  </si>
  <si>
    <t>노동조합의 대표자는 회계연도마다 결산결과와 운영상황을 공표하여야 하며 조합원의 요구가 있을 때에는 이를 열람하게 하여야 한다.</t>
    <phoneticPr fontId="2" type="noConversion"/>
  </si>
  <si>
    <t>하나의 사업 또는 사업장을 대상으로 조직된 노동조합의 임원의 자격은 그 사업 또는 사업장에 종사하지 않은 조합원도 선출하도록 규약으로 정할 수 있다.</t>
    <phoneticPr fontId="2" type="noConversion"/>
  </si>
  <si>
    <t>행정관청은 매년 2월 말까지 노동단체카드 사본을 노동위원회에 제출해야 한다.</t>
    <phoneticPr fontId="2" type="noConversion"/>
  </si>
  <si>
    <t>행정관청은 위법한 단체협약에 대하여 시정명령을 하는 경우 해당 노동조합의 대표자와 해당 사업 또는 사업장의 사용자나 사용자단체에게 그 사실을 서면으로 통보해야 한다.</t>
    <phoneticPr fontId="2" type="noConversion"/>
  </si>
  <si>
    <t>근로시간면제심의위원회에 간사 1명을 두며, 간사는 중앙노동위원회의 소속 직원 중에서 중앙노동위원회 위원장이 지명한다.</t>
    <phoneticPr fontId="2" type="noConversion"/>
  </si>
  <si>
    <t>근로시간면제심의위원회는 근로시간 면제 한도를 정할 때 사업 또는 사업장에 종사하는 전체 근로자 수와 해당 업무의 범위 등을 고려하여 시간과 이를 사용할 수 있는 인원으로 정하여야 한다.</t>
    <phoneticPr fontId="2" type="noConversion"/>
  </si>
  <si>
    <t>ㄱ, ㄴ</t>
    <phoneticPr fontId="2" type="noConversion"/>
  </si>
  <si>
    <t>ㄴ, ㄷ</t>
    <phoneticPr fontId="2" type="noConversion"/>
  </si>
  <si>
    <t>ㄱ, ㄷ, ㄷ</t>
    <phoneticPr fontId="2" type="noConversion"/>
  </si>
  <si>
    <t>ㄱ, ㄷ, ㄹ</t>
    <phoneticPr fontId="2" type="noConversion"/>
  </si>
  <si>
    <t>ㄱ, ㄴ, ㄷ, ㄹ</t>
    <phoneticPr fontId="2" type="noConversion"/>
  </si>
  <si>
    <t>행정관청은 노동조합의 처분이 규약에 위반된다고 인정할 경우 이해관계인의 신청이 없으면 노동위원회의 의결을 얻어 그 시정을 명할 수 없다.</t>
    <phoneticPr fontId="2" type="noConversion"/>
  </si>
  <si>
    <t>근로시간면제심의위원회는 근로시간 면제 한도를 2년마다 그 적정성 여부를 재심의하여 의결하여야 한다.</t>
    <phoneticPr fontId="2" type="noConversion"/>
  </si>
  <si>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phoneticPr fontId="2" type="noConversion"/>
  </si>
  <si>
    <t>노동조합이 분할로 소멸한 경우로 해산한 때에는 그 대표자는 해산한 날부터 15일 이내에 행정관청에게 이를 신고하여야 한다.</t>
    <phoneticPr fontId="2" type="noConversion"/>
  </si>
  <si>
    <t>행정관청은 노동조합으로부터 운영상황의 보고를 받으려는 경우에는 그 사유와 그 밖에 필요한 사항을 적은 서면으로 10일 이전에 요구해야 한다.</t>
    <phoneticPr fontId="2" type="noConversion"/>
  </si>
  <si>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phoneticPr fontId="2" type="noConversion"/>
  </si>
  <si>
    <t>행정관청은 노동조합에 설립신고증을 교부한 때에는 지체 없이 그 사실을 관할 노동위원회와 해당 사업 또는 사업장의 사용자나 사용자단체에 통보해야 한다.</t>
    <phoneticPr fontId="2" type="noConversion"/>
  </si>
  <si>
    <t>노동조합이 설립신고증을 교부받은 후 주로 정치운동을 목적으로 하는 경우에 해당하는 설립신고서의 반려사유가 발생한 경우에는 행정관청은 20일의 기간을 정하여 시정을 요구하여야 한다.</t>
    <phoneticPr fontId="2" type="noConversion"/>
  </si>
  <si>
    <t>노동조합이 행정관청에 전년도 12월 31일 현재의 조합원수를 통보할 때 둘 이상의 사업 또는 사업장의 근로자로 구성된 단위노동조합의 경우에는 통합하여 조합원수를 통보할 수 있다.</t>
    <phoneticPr fontId="2" type="noConversion"/>
  </si>
  <si>
    <t>산업별 연합단체인 노동조합은 해당 노동조합에 가입한 노동조합의 활동에 대해 지도할 수 없다.</t>
    <phoneticPr fontId="2" type="noConversion"/>
  </si>
  <si>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phoneticPr fontId="2" type="noConversion"/>
  </si>
  <si>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phoneticPr fontId="2" type="noConversion"/>
  </si>
  <si>
    <t>｢노동조합 및 노동관계조정법｣상 근로자에 해당하는지는 노무제공관계의 실질에 비추어 노동3권을 보장할 필요성이 있는지라는 관점에서 판단하여야 한다.</t>
    <phoneticPr fontId="2" type="noConversion"/>
  </si>
  <si>
    <t>법외노조 통보는 적법하게 설립된 노동조합의 법적 지위를 박탈하는 중대한 침익적 처분이다.</t>
    <phoneticPr fontId="2" type="noConversion"/>
  </si>
  <si>
    <t>교섭대표노동조합과 사용자는 교섭창구 단일화 절차에 참여한 노동조합 또는 그 조합원 간에 합리적 이유 없이 차별을 하여서는 아니 된다.</t>
    <phoneticPr fontId="2" type="noConversion"/>
  </si>
  <si>
    <t>교섭창구 단일화 절차에 참여한 노동조합은 단체협약의 내용의 일부가 공정대표의무에 위반되는 경우에는 단체협약 체결일부터 3개월 이내에 노동위원회에 그 시정을 요청할 수 있다.</t>
    <phoneticPr fontId="2" type="noConversion"/>
  </si>
  <si>
    <t>노동위원회는 공정대표의무 위반의 시정신청에 따른 심문을 할 때에는 직권으로 증인을 출석하게 하여 필요한 사항을 질문할 수 있다.</t>
    <phoneticPr fontId="2" type="noConversion"/>
  </si>
  <si>
    <t>교섭대표노동조합이 단체교섭 과정의 모든 단계에서 교섭창구 단일화절차에 참여한 소수노동조합에 대하여 일체의 정보제공 및 의견수렴 절차를 거쳐야 절차적 공정대표의무를 이행한 것이다.</t>
    <phoneticPr fontId="2" type="noConversion"/>
  </si>
  <si>
    <t>노동조합의 대표자는 그 노동조합 또는 조합원을 위하여 사용자나 사용자단체와 교섭하고 단체협약을 체결할 권한을 가진다.</t>
    <phoneticPr fontId="2" type="noConversion"/>
  </si>
  <si>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phoneticPr fontId="2" type="noConversion"/>
  </si>
  <si>
    <t>교섭창구 단일화 제도의 취지나 목적 등을 고려하면 교섭대표노동조합의 대표자는 단체협약 체결 여부에 대해 원칙적으로 소수노동조합이나 그 조합원의 의사에 기속되지 않는다.</t>
    <phoneticPr fontId="2" type="noConversion"/>
  </si>
  <si>
    <t>노동조합과 단체교섭을 할 상대방인 사용자단체는 노동관계에 관하여 그 구성원인 사용자에 대하여 조정 또는 규제할 수 있는 권한을 가진 자이어야 한다.</t>
    <phoneticPr fontId="2" type="noConversion"/>
  </si>
  <si>
    <t>노동관계당사자가 단체교섭 또는 단체협약의 체결에 관한 권한을 위임하는 경우에는 교섭사항과 권한범위를 정하여 위임하여야 한다.</t>
    <phoneticPr fontId="2" type="noConversion"/>
  </si>
  <si>
    <t>단체적 노사관계의 운영에 관한 사항으로 사용자가 처분할 수 있는 사항은 단체교섭의 대상이 된다.</t>
    <phoneticPr fontId="2" type="noConversion"/>
  </si>
  <si>
    <t>단체협약에 정한 근로조건 기타 근로자의 대우에 관한 기준에 위반하는 취업규칙 또는 근로계약의 부분은 무효로 한다.</t>
    <phoneticPr fontId="2" type="noConversion"/>
  </si>
  <si>
    <t>노동조합과 사용자 또는 사용자단체는 정당한 이유 없이 단체교섭 또는 단체협약의 체결을 거부하거나 해태하여서는 아니된다.</t>
    <phoneticPr fontId="2" type="noConversion"/>
  </si>
  <si>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phoneticPr fontId="2" type="noConversion"/>
  </si>
  <si>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phoneticPr fontId="2" type="noConversion"/>
  </si>
  <si>
    <t>단체협약의 지역적 구속력은 이미 별도의 단체협약을 체결하여 그 협약의 적용을 받고 있는 근로자에게는 미치지 않는다.</t>
    <phoneticPr fontId="2" type="noConversion"/>
  </si>
  <si>
    <t>단체협약에서 노동조합규약과 달리 조합원 자격규정을 둔 경우, 단체협약의 일반적 구속력 적용은 노동조합규약에 따른다.</t>
    <phoneticPr fontId="2" type="noConversion"/>
  </si>
  <si>
    <t>하나의 사업장에서 일반적 구속력이 인정되는 경우 행정관청은 지체 없이 이를 공고하여야 한다.</t>
    <phoneticPr fontId="2" type="noConversion"/>
  </si>
  <si>
    <t>행정관청은 노동위원회의 의결을 얻더라도 직권으로 단체협약의 지역적 구속력 적용 결정을 할 수 없다.</t>
    <phoneticPr fontId="2" type="noConversion"/>
  </si>
  <si>
    <t>행정관청이 단체협약의 지역적 구속력 적용 결정을 한 때에는 별도의 적용기간을 정하여 이를 공고하여야 한다.</t>
    <phoneticPr fontId="2" type="noConversion"/>
  </si>
  <si>
    <t>노동조합이 사용자에게 교섭을 요구하는 때에는 노동조합의 명칭, 교섭을 요구한 날 현재의 종사근로자인 조합원 수 등 고용노동부령으로 정하는 사항을 적은 서면으로 하여야 한다.</t>
    <phoneticPr fontId="2" type="noConversion"/>
  </si>
  <si>
    <t>노동조합은 사업장에 단체협약이 2개 이상 있는 경우에는 마지막에 이르는 단체협약의 유효기간 만료일 이전 3개월이 되는 날부터 사용자에게 교섭을 요구할 수 있다.</t>
    <phoneticPr fontId="2" type="noConversion"/>
  </si>
  <si>
    <t>노동조합은 사용자가 교섭요구 사실의 공고를 하지 아니하거나 다르게 공고하는 경우에는 고용노동부령으로 정하는 바에 따라 행정관청에 이의신청을 제기할 수 있다.</t>
    <phoneticPr fontId="2" type="noConversion"/>
  </si>
  <si>
    <t>노동조합이 단체교섭에 관한 권한을 위임한 때에는 그 사실을 노동위원회에 신고하여야 한다.</t>
    <phoneticPr fontId="2" type="noConversion"/>
  </si>
  <si>
    <t>단위노동조합이 당해 노동조합이 가입한 상부 연합단체에 단체교섭권한을 위임한 경우에는 단위노동조합의 단체교섭권한은 존재하지 아니한다.</t>
    <phoneticPr fontId="2" type="noConversion"/>
  </si>
  <si>
    <t>단체협약은 서면으로 작성하여 당사자 쌍방이 서명 또는 날인하여야 한다.</t>
    <phoneticPr fontId="2" type="noConversion"/>
  </si>
  <si>
    <t>단체협약의 당사자는 단체협약의 체결일부터 15일 이내에 행정관청에 당사자 쌍방이 연명으로 신고해야 한다.</t>
    <phoneticPr fontId="2" type="noConversion"/>
  </si>
  <si>
    <t>단체협약의 이행방법에 관하여 관계 당사자간에 의견의 불일치가 있는 때에는 단체협약에 정하는 바에 의하여 어느 일방이 노동위원회에 그 이행방법에 관한 견해의 제시를 요청할 수 있다.</t>
    <phoneticPr fontId="2" type="noConversion"/>
  </si>
  <si>
    <t>노동조합은 단체협약의 유효기간 중에 단체협약에서 정한 근로조건 등에 관한 내용의 변경이나 폐지를 요구하는 쟁의행위를 행하지 아니하여야 할 이른바 평화의무를 지고 있다.</t>
    <phoneticPr fontId="2" type="noConversion"/>
  </si>
  <si>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phoneticPr fontId="2" type="noConversion"/>
  </si>
  <si>
    <t>노동위원회는 교섭단위 분리의 결정 신청을 받은 때에는 해당 사업 또는 사업장의 모든 노동조합과 사용자에게 그 내용을 통지하여야 한다.</t>
    <phoneticPr fontId="2" type="noConversion"/>
  </si>
  <si>
    <t>교섭단위 분리의 신청이 제기된 사업장의 모든 노동조합과 사용자는 신청한 날로부터 14일 이내에 노동위원회에 출석하여 의견을 제출하여야 한다.</t>
    <phoneticPr fontId="2" type="noConversion"/>
  </si>
  <si>
    <t>교섭단위의 분리신청은 사용자가 교섭요구 사실을 공고하기 전 뿐만 아니라, 사용자가 교섭요구 사실을 공고한 경우에는 교섭대표노동조합이 결정된 날 이후에도 가능하다.</t>
    <phoneticPr fontId="2" type="noConversion"/>
  </si>
  <si>
    <t>교섭단위 분리신청에 대한 노동위원회의 결정이 있기 전에 교섭 요구가 있는 때에는 교섭단위를 분리하는 결정이 있을 때까지 교섭요구 사실의 공고 등 교섭창구 단일화 절차의 진행은 정지된다.</t>
    <phoneticPr fontId="2" type="noConversion"/>
  </si>
  <si>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phoneticPr fontId="2" type="noConversion"/>
  </si>
  <si>
    <t>사용자는 노동조합으로부터 교섭요구를 받은 때에는 그 요구를 받은 날부터 7일간 그 교섭을 요구한 노동조합의 명칭 등을 해당 사업 또는 사업장의 게시판 등에 공고하여야 한다.</t>
    <phoneticPr fontId="2" type="noConversion"/>
  </si>
  <si>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phoneticPr fontId="2" type="noConversion"/>
  </si>
  <si>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phoneticPr fontId="2" type="noConversion"/>
  </si>
  <si>
    <t>교섭대표노동조합으로 결정된 노동조합이 그 결정된 날로부터 1년 동안 단체협약을 체결하지 못한 경우에는 어느 노동조합이든지 사용자에게 교섭을 요구할 수 있다.</t>
    <phoneticPr fontId="2" type="noConversion"/>
  </si>
  <si>
    <t>근로를 불완전하게 제공하는 형태의 쟁의행위인 태업은 근로제공이 일부 정지되는 것이라고 할 수 있으므로, 여기에는 무노동 무임금 원칙이 적용되지 않는다.</t>
    <phoneticPr fontId="2" type="noConversion"/>
  </si>
  <si>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phoneticPr fontId="2" type="noConversion"/>
  </si>
  <si>
    <t>｢방위사업법｣에 의하여 지정된 주요방위산업체에 종사하는 근로자 중 방산물자의 완성에 필요한 성능검사 업무에 종사하는 자는 쟁의행위를 할 수 없다.</t>
    <phoneticPr fontId="2" type="noConversion"/>
  </si>
  <si>
    <t>노동관계 당사자는 노동쟁의가 발생한 때에는 어느 일방이 이를 노동위원회에 서면으로 통보하여야 한다.</t>
    <phoneticPr fontId="2" type="noConversion"/>
  </si>
  <si>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phoneticPr fontId="2" type="noConversion"/>
  </si>
  <si>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phoneticPr fontId="2" type="noConversion"/>
  </si>
  <si>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phoneticPr fontId="2" type="noConversion"/>
  </si>
  <si>
    <t>노동쟁의의 조정은 조정의 신청이 있은 날부터 일반사업에 있어서는 10일, 공익사업에 있어서는 15일 이내에 종료하여야 한다.</t>
    <phoneticPr fontId="2" type="noConversion"/>
  </si>
  <si>
    <t>노동위원회는 관계 당사자 쌍방의 신청이 있거나 관계 당사자 쌍방의 동의를 얻은 경우에는 조정위원회에 갈음하여 단독조정인에게 조정을 행하게 할 수 있다.</t>
    <phoneticPr fontId="2" type="noConversion"/>
  </si>
  <si>
    <t>조정위원회 또는 단독조정인은 기일을 정하여 관계 당사자 쌍방을 출석하게 하여 주장의 요점을 확인하여야 한다.</t>
    <phoneticPr fontId="2" type="noConversion"/>
  </si>
  <si>
    <t>조정서의 내용은 단체협약과 동일한 효력을 가진다.</t>
    <phoneticPr fontId="2" type="noConversion"/>
  </si>
  <si>
    <t>조정위원회가 제시한 해석에 관한 견해는 중재재정과 동일한 효력을 가진다.</t>
    <phoneticPr fontId="2" type="noConversion"/>
  </si>
  <si>
    <t>중재재정의 내용은 단체협약과 동일한 효력을 가진다.</t>
    <phoneticPr fontId="2" type="noConversion"/>
  </si>
  <si>
    <t>노동위원회의 중재재정은 중앙노동위원회에의 재심신청의 제기에 의하여 그 효력이 정지된다.</t>
    <phoneticPr fontId="2" type="noConversion"/>
  </si>
  <si>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phoneticPr fontId="2" type="noConversion"/>
  </si>
  <si>
    <t>노동위원회는 관계 당사자의 일방이 단체협약에 의하여 중재를 신청한 때에는 중재를 행한다.</t>
    <phoneticPr fontId="2" type="noConversion"/>
  </si>
  <si>
    <t>노동쟁의가 중재에 회부된 때에는 그 날부터 30일간은 쟁의행위를 할 수 없다.</t>
    <phoneticPr fontId="2" type="noConversion"/>
  </si>
  <si>
    <t>중재위원회의 위원장은 중재위원중에서 호선한다.</t>
    <phoneticPr fontId="2" type="noConversion"/>
  </si>
  <si>
    <t>중재재정은 서면으로 작성하여 이를 행하며 그 서면에는 효력발생 기일을 명시하여야 한다.</t>
    <phoneticPr fontId="2" type="noConversion"/>
  </si>
  <si>
    <t>관계 당사자는 지방노동위원회의 중재재정이 월권에 의한 것이라고 인정하는 경우에는 그 중재재정서의 송달을 받은 날부터 10일 이내에 중앙노동위원회에 그 재심을 신청할 수 있다.</t>
    <phoneticPr fontId="2" type="noConversion"/>
  </si>
  <si>
    <t>부당노동행위구제신청에 따른 구제명령이 객관적으로 보아 그 실현이 불능인 경우라 하더라도 중앙노동위원회 판정의 취소를 구할 소의 이익은 여전히 존재한다고 보아야 한다.</t>
    <phoneticPr fontId="2" type="noConversion"/>
  </si>
  <si>
    <t>확정된 부당노동행위 구제명령에 위반한 자는 2년 이하의 징역 또는 2천만원 이하의 벌금에 처한다.</t>
    <phoneticPr fontId="2" type="noConversion"/>
  </si>
  <si>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phoneticPr fontId="2" type="noConversion"/>
  </si>
  <si>
    <t>노동위원회의 사용자에 대한 부당노동행위 구제명령은 사용자에게 공법상의 의무를 부담시킬 뿐만 아니라, 직접 노사간의 사법상의 법률관계를 발생 또는 변경시키기도 한다.</t>
    <phoneticPr fontId="2" type="noConversion"/>
  </si>
  <si>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phoneticPr fontId="2" type="noConversion"/>
  </si>
  <si>
    <t>노동위원회의 구제명령은 행정소송의 제기에 의하여 그 효력이 정지된다.</t>
    <phoneticPr fontId="2" type="noConversion"/>
  </si>
  <si>
    <t>부당노동행위 구제의 신청은 부당노동행위가 계속하는 행위인 경우 그 종료일부터 3월 이내에 이를 행하여야 한다.</t>
    <phoneticPr fontId="2" type="noConversion"/>
  </si>
  <si>
    <t>지방노동위원회의 구제명령에 불복이 있는 관계 당사자는 그 명령서의 송달을 받은 날부터 15일 이내에 중앙노동위원회에 그 재심을 신청할 수 있다.</t>
    <phoneticPr fontId="2" type="noConversion"/>
  </si>
  <si>
    <t>중앙노동위원회의 재심판정에 대하여 관계 당사자는 그 재심판정서의 송달을 받은 날부터 30일 이내에 ｢행정소송법｣이 정하는 바에 의하여 소를 제기할 수 있다.</t>
    <phoneticPr fontId="2" type="noConversion"/>
  </si>
  <si>
    <t>대법원 2013. 1. 31. 선고 2012도3475 판결</t>
    <phoneticPr fontId="2" type="noConversion"/>
  </si>
  <si>
    <t>집행부정지</t>
    <phoneticPr fontId="2" type="noConversion"/>
  </si>
  <si>
    <t>10일 이내</t>
    <phoneticPr fontId="2" type="noConversion"/>
  </si>
  <si>
    <t>15일 이내</t>
    <phoneticPr fontId="2" type="noConversion"/>
  </si>
  <si>
    <t>사용자의 불법행위에 대하여 근로자의 이익을 방위하기 위하여 부득이 사용자에게 손해를 가한 근로자는 노동조합과 달리 배상할 책임이 있다.</t>
    <phoneticPr fontId="2" type="noConversion"/>
  </si>
  <si>
    <t>사용자는 ｢노동조합 및 노동관계조정법｣에 따른 단체교섭으로 인하여 손해를 입은 경우에 노동조합에 대하여 그 배상을 청구할 수 없다.</t>
    <phoneticPr fontId="2" type="noConversion"/>
  </si>
  <si>
    <t>사용자는 그 밖의 노동조합의 활동으로 인한 노동조합의 손해배상 등 책임을 면제하여야 한다.</t>
    <phoneticPr fontId="2" type="noConversion"/>
  </si>
  <si>
    <t>사용자는 현행 ｢노동조합 및 노동관계조정법｣시행 전 발생한 쟁의행위로 인한 노동조합의 손해배상 책임을 면제할 수 없다.</t>
    <phoneticPr fontId="2" type="noConversion"/>
  </si>
  <si>
    <t>신원보증인은 쟁의행위 중 근로자의 고의로 인한 행위로 발생한 손해를 배상할 책임이 있다.</t>
    <phoneticPr fontId="2" type="noConversion"/>
  </si>
  <si>
    <t>노조법 제3조의2</t>
    <phoneticPr fontId="2" type="noConversion"/>
  </si>
  <si>
    <t>노조법 부칙 제1조, 제2조</t>
    <phoneticPr fontId="2" type="noConversion"/>
  </si>
  <si>
    <t>노란봉투법 관련</t>
    <phoneticPr fontId="2" type="noConversion"/>
  </si>
  <si>
    <t>노사협의회는 3개월마다 정기적으로 회의를 개최하여야 한다.</t>
    <phoneticPr fontId="2" type="noConversion"/>
  </si>
  <si>
    <t>회의는 근로자위원과 사용자위원 각 과반수의 출석으로 개최하고 출석위원 과반수의 찬성으로 의결한다.</t>
    <phoneticPr fontId="2" type="noConversion"/>
  </si>
  <si>
    <t>의장은 노사 일방의 대표자가 회의의 목적을 문서로 밝혀 회의의 소집을 요구하면 그 요구에 따라야 한다.</t>
    <phoneticPr fontId="2" type="noConversion"/>
  </si>
  <si>
    <t>의장은 회의 개최 7일 전에 회의 일시, 장소, 의제 등을 각 위원에게 통보하여야 한다.</t>
    <phoneticPr fontId="2" type="noConversion"/>
  </si>
  <si>
    <t>노사협의회규정을 제정하거나 변경할 경우에는 노사협의회의 의결을 거쳐야 한다.</t>
    <phoneticPr fontId="2" type="noConversion"/>
  </si>
  <si>
    <t>근로자참여 및 협력증진에 관한 법률</t>
    <phoneticPr fontId="2" type="noConversion"/>
  </si>
  <si>
    <t>근참법 제15조</t>
    <phoneticPr fontId="2" type="noConversion"/>
  </si>
  <si>
    <t>의결은 출석위원 3분의 2 이상의 찬성</t>
    <phoneticPr fontId="2" type="noConversion"/>
  </si>
  <si>
    <t>생산성 향상과 성과 배분</t>
    <phoneticPr fontId="2" type="noConversion"/>
  </si>
  <si>
    <t>인력계획에 관한 사항</t>
    <phoneticPr fontId="2" type="noConversion"/>
  </si>
  <si>
    <t>근로자의 복지증진</t>
    <phoneticPr fontId="2" type="noConversion"/>
  </si>
  <si>
    <t>고충처리위원이 고충사항의 처리에 관하여 협의하거나 고충처리 업무에 사용한 시간은 근로한 시간으로 본다.</t>
    <phoneticPr fontId="2" type="noConversion"/>
  </si>
  <si>
    <t>사용자는 고충처리위원의 직무수행과 관련하여 고충처리위원에게 불리한 처분을 하여서는 아니 된다.</t>
    <phoneticPr fontId="2" type="noConversion"/>
  </si>
  <si>
    <t>고충처리위원은 노사를 대표하는 3명 이내의 위원으로 구성한다.</t>
    <phoneticPr fontId="2" type="noConversion"/>
  </si>
  <si>
    <t>고충처리위원은 노사협의회가 설치되어 있지 아니한 사업이나 사업장의 경우에는 근로자대표가 위촉한다.</t>
    <phoneticPr fontId="2" type="noConversion"/>
  </si>
  <si>
    <t>200만원</t>
    <phoneticPr fontId="2" type="noConversion"/>
  </si>
  <si>
    <t>300만원</t>
    <phoneticPr fontId="2" type="noConversion"/>
  </si>
  <si>
    <t>500만원</t>
    <phoneticPr fontId="2" type="noConversion"/>
  </si>
  <si>
    <t>1,000만원</t>
    <phoneticPr fontId="2" type="noConversion"/>
  </si>
  <si>
    <t>2,000만원</t>
    <phoneticPr fontId="2" type="noConversion"/>
  </si>
  <si>
    <t>노동위원회는 중앙노동위원회, 지방노동위원회 및 특별노동위원회로 구분한다.</t>
    <phoneticPr fontId="2" type="noConversion"/>
  </si>
  <si>
    <t>중앙노동위원회는 특별노동위원회의 처분에 대한 재심사건을 관장한다.</t>
    <phoneticPr fontId="2" type="noConversion"/>
  </si>
  <si>
    <t>지방노동위원회는 고용노동부장관 소속으로 둔다.</t>
    <phoneticPr fontId="2" type="noConversion"/>
  </si>
  <si>
    <t>특별노동위원회는 관계 법률에서 정하는 사항을 관장하기 위하여 필요한 경우에 해당 사항을 관장하는 중앙노동위원회의 소속으로 둔다.</t>
    <phoneticPr fontId="2" type="noConversion"/>
  </si>
  <si>
    <t>중앙노동위원회는 다른 법률에서 그 권한에 속하는 것으로 규정된 사건을 관장한다.</t>
    <phoneticPr fontId="2" type="noConversion"/>
  </si>
  <si>
    <t>ㄱ</t>
    <phoneticPr fontId="2" type="noConversion"/>
  </si>
  <si>
    <t>ㄴ, ㄹ</t>
    <phoneticPr fontId="2" type="noConversion"/>
  </si>
  <si>
    <t>화해조서에는 관계 당사자와 화해에 관여한 부문별 위원회의 위원 전원이 모두 서명하거나 날인하여야 한다.</t>
    <phoneticPr fontId="2" type="noConversion"/>
  </si>
  <si>
    <t>노동위원회는 화해안을 작성할 때 관계 당사자의 의견을 충분히 들어야 한다.</t>
    <phoneticPr fontId="2" type="noConversion"/>
  </si>
  <si>
    <t>노동위원회는 관계 당사자가 화해안을 수락하였을 때에는 화해조서를 작성하여야 한다.</t>
    <phoneticPr fontId="2" type="noConversion"/>
  </si>
  <si>
    <t>｢노동위원회법｣에 따라 작성된 화해조서는 ｢노동조합 및 노동관계조정법｣에 따른 중재재정의 효력을 갖는다.</t>
    <phoneticPr fontId="2" type="noConversion"/>
  </si>
  <si>
    <t>부당노동행위 구제신청 사건에 관하여는 중앙노동위원회의 공무원 노동관계 조정위원회가 관장한다.</t>
    <phoneticPr fontId="2" type="noConversion"/>
  </si>
  <si>
    <t>행정안전부 공무원으로부터 구제신청을 받았을 때에는 노동위원회는 지체 없이 그 사실을 고용노동부장관에 알려야 한다.</t>
    <phoneticPr fontId="2" type="noConversion"/>
  </si>
  <si>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phoneticPr fontId="2" type="noConversion"/>
  </si>
  <si>
    <t>정부교섭대표가 공무원의 노동조합의 대표자와의 단체협약체결 기타의 단체교섭을 정당한 이유없이 거부하더라도 처벌받지 않는다.</t>
    <phoneticPr fontId="2" type="noConversion"/>
  </si>
  <si>
    <t>확정된 구제명령에 위반한 자는 2년 이하의 징역 또는 2천만원 이하의 벌금에 처한다.</t>
    <phoneticPr fontId="2" type="noConversion"/>
  </si>
  <si>
    <t>중앙노동위원회는 관계 당사자 쌍방의 신청이 있는 경우에는 공무원 노동관계 조정위원회에 갈음하여 단독조정인에게 조정을 행하게 할 수 있다.</t>
    <phoneticPr fontId="2" type="noConversion"/>
  </si>
  <si>
    <t>공무원 노동관계 조정위원회 위원은 중앙노동위원회의 위원중에서 사용자를 대표하는 자, 근로자를 대표하는 자 및 공익을 대표하는 자 각 1인으로 구성한다.</t>
    <phoneticPr fontId="2" type="noConversion"/>
  </si>
  <si>
    <t>중앙노동위원회가 제시한 조정안을 당사자의 어느 한쪽이라도 거부한 경우 중앙노동위원회는 지체 없이 중재를 한다.</t>
    <phoneticPr fontId="2" type="noConversion"/>
  </si>
  <si>
    <t>중재재정의 해석 또는 이행방법에 관하여 관계 당사자간에 의견의 불일치가 있는 때에는 공무원 노동관계 조정위원회의 해석에 따른다.</t>
    <phoneticPr fontId="2" type="noConversion"/>
  </si>
  <si>
    <t>관계당사자는 중앙노동위원회의 중재재정이 위법한 것이라고 인정하는 경우에 한하여 행정소송을 제기할 수 있다.</t>
    <phoneticPr fontId="2" type="noConversion"/>
  </si>
  <si>
    <t>정부교섭대표는 효율적인 교섭을 위하여 필요한 경우 다른 정부교섭대표와 공동으로 교섭할 수 있다.</t>
    <phoneticPr fontId="2" type="noConversion"/>
  </si>
  <si>
    <t>고용노동부장관은 단체협약중 위법한 내용이 있는 경우에는 노동위원회의 의결을 얻어 그 시정을 명할 수 있다.</t>
    <phoneticPr fontId="2" type="noConversion"/>
  </si>
  <si>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phoneticPr fontId="2" type="noConversion"/>
  </si>
  <si>
    <t>정부교섭대표는 교섭을 요구하는 공무원의 노동조합이 둘 이상인 경우에는 해당 노동조합에 교섭창구를 단일화하도록 요청할 수 있다.</t>
    <phoneticPr fontId="2" type="noConversion"/>
  </si>
  <si>
    <t>단체협약의 내용중 임금에 관한 사항을 위반한 자는 1천만원 이하의 벌금에 처한다.</t>
    <phoneticPr fontId="2" type="noConversion"/>
  </si>
  <si>
    <t>교원의 노동조합의 교섭위원은 해당 노동조합의 대표자와 그 조합원으로 구성하여야 한다.</t>
    <phoneticPr fontId="2" type="noConversion"/>
  </si>
  <si>
    <t>교섭노동조합이 둘 이상인 경우 자율적 합의로 교섭창구를 단일화하지 못하면 교섭창구 단일화 절차에 참여한 노동조합의 전체 조합원 과반수로 조직된 노동조합이 교섭대표노동조합이 된다.</t>
    <phoneticPr fontId="2" type="noConversion"/>
  </si>
  <si>
    <t>단체협약의 당사자는 단체협약의 체결일부터 15일 이내에 이를 행정관청에게 신고하여야 한다.</t>
    <phoneticPr fontId="2" type="noConversion"/>
  </si>
  <si>
    <t>단체협약의 유효기간은 3년을 초과하지 않는 범위에서 노사가 합의하여 정할 수 있다.</t>
    <phoneticPr fontId="2" type="noConversion"/>
  </si>
  <si>
    <t>교원근무시간면제심의위원회의 사용자를 대표하는 위원은 교육부장관이 추천하는 사람으로 구성한다.</t>
    <phoneticPr fontId="2" type="noConversion"/>
  </si>
  <si>
    <t>임용권자는 근무시간면제자가 업무 외의 목적으로 근무시간 면제 시간을 사용하는 경우 해당 근무시간면제자의 변경을 교원근무시간면제심의위원회에 요청할 수 있다.</t>
    <phoneticPr fontId="2" type="noConversion"/>
  </si>
  <si>
    <t>교원은 임용권자로부터 급여를 지급받으면서 노동조합의 업무에만 종사할 수 있다.</t>
    <phoneticPr fontId="2" type="noConversion"/>
  </si>
  <si>
    <t>교원으로 임용되어 근무하였던 사람은 노동조합 규약으로 정하더라도 교원의 노동조합에 가입할 수 없다.</t>
    <phoneticPr fontId="2" type="noConversion"/>
  </si>
  <si>
    <t>중앙노동위원회는 조정신청을 받은 날부터 30일 이내에 조정을 마쳐야 한다.</t>
    <phoneticPr fontId="2" type="noConversion"/>
  </si>
  <si>
    <t>조정신청을 받은 중앙노동위원회는 그 신청 내용이 조정의 대상이 아니라고 인정하는 경우에는 신청인에게 그 사유와 조정 외의 다른 해결방법을 알려주어야 한다.</t>
    <phoneticPr fontId="2" type="noConversion"/>
  </si>
  <si>
    <t>교원 노동관계 조정위원회 조정담당 공익위원은 고용노동부장관의 제청으로 대통령이 위촉한다.</t>
    <phoneticPr fontId="2" type="noConversion"/>
  </si>
  <si>
    <t>중앙노동위원회는 노동쟁의 조정을 하게 된 경우에는 지체 없이 서면으로 관계 당사자에게 각각 알려야 한다.</t>
    <phoneticPr fontId="2" type="noConversion"/>
  </si>
  <si>
    <t>근로3권이 제대로 보호되기 위하여는 근로자의 권리행사의 실질적 조건을 형성하고 유지해야 할 국가의 적극적인 활동 즉 적절한 입법조치를 필요로 한다.</t>
    <phoneticPr fontId="2" type="noConversion"/>
  </si>
  <si>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phoneticPr fontId="2" type="noConversion"/>
  </si>
  <si>
    <t>근로3권은 법률의 제정이라는 국가의 개입을 통하여 비로소 실현될 수 있는 권리로서 추상적 권리이다.</t>
    <phoneticPr fontId="2" type="noConversion"/>
  </si>
  <si>
    <t>근로3권은 사회적 보호기능을 담당하는 자유권이다.</t>
    <phoneticPr fontId="2" type="noConversion"/>
  </si>
  <si>
    <t>헌법재판소는 단결권에는 단결하지 아니할 자유가 포함되지 않는다고 보는 입장이다.</t>
    <phoneticPr fontId="2" type="noConversion"/>
  </si>
  <si>
    <t>단체교섭권은 단체교섭을 행할 권한은 포함하나 교섭한 결과에 따라 단체협약을 체결할 권한은 포함하지 않는다.</t>
    <phoneticPr fontId="2" type="noConversion"/>
  </si>
  <si>
    <t>노동3권은 사회적 보호기능을 담당하는 자유권 또는 사회권적 성격을 띤 자유권으로 분류된다.</t>
    <phoneticPr fontId="2" type="noConversion"/>
  </si>
  <si>
    <t>ㄱ, ㄴ, ㄷ</t>
    <phoneticPr fontId="2" type="noConversion"/>
  </si>
  <si>
    <t>노동조합의 조합원은 균등하게 그 노동조합의 모든 문제에 참여할 권리와 의무를 가지지만, 그 규약으로 조합비를 납부하지 아니하는 조합원의 권리를 제한할 수 있다.</t>
    <phoneticPr fontId="2" type="noConversion"/>
  </si>
  <si>
    <t>노동조합이 특정 조합원에 관한 사항을 의결할 경우에는 그 조합원은 표결권이 없다.</t>
    <phoneticPr fontId="2" type="noConversion"/>
  </si>
  <si>
    <t>종사근로자가 아닌 노동조합의 조합원은 사용자의 효율적인 사업 운영에 지장을 주지 아니하는 범위에서 사업 또는 사업장 내에서 노동조합 활동을 할 수 있다.</t>
    <phoneticPr fontId="2" type="noConversion"/>
  </si>
  <si>
    <t>종사근로자가 아닌 노동조합의 조합원은 규약이 정한 바에 따라 하나의 사업 또는 사업장을 대상으로 조직된 노동조합의 임원이 될 수 있다.</t>
    <phoneticPr fontId="2" type="noConversion"/>
  </si>
  <si>
    <t>노동조합의 조합원은 어떠한 경우에도 인종, 종교, 성별, 연령, 신체적 조건, 고용형태, 정당 또는 신분에 의하여 차별대우를 받지 아니한다.</t>
    <phoneticPr fontId="2" type="noConversion"/>
  </si>
  <si>
    <t>연합단체인 노동조합을 설립하고자 하는 자는 신고서에 규약을 첨부하여 특별시장・광역시장・도지사에게 제출하여야 한다.</t>
    <phoneticPr fontId="2" type="noConversion"/>
  </si>
  <si>
    <t>총연합단체인 노동조합은 해당 노동조합에 가입한 노동조합의 활동에 대하여 협조・지원 또는 지도할 수 있다.</t>
    <phoneticPr fontId="2" type="noConversion"/>
  </si>
  <si>
    <t>단위노동조합이 산업별 연합단체인 노동조합에 가입한 경우에는 해당 노동조합은 소속 산업별 연합단체인 노동조합의 규약이 정하는 의무를 성실하게 이행해야 한다.</t>
    <phoneticPr fontId="2" type="noConversion"/>
  </si>
  <si>
    <t>연합단체인 노동조합은 동종산업의 단위노동조합을 구성원으로 하는 산업별 연합단체와 산업별 연합단체 또는 전국규모의 산업별 단위노동조합을 구성원으로 하는 총연합단체를 말한다.</t>
    <phoneticPr fontId="2" type="noConversion"/>
  </si>
  <si>
    <t>연합단체인 노동조합은 조합설립일부터 30일 이내에 구성단체의 명칭을 기재한 명부를 작성하여 그 주된 사무소에 비치하여야 한다.</t>
    <phoneticPr fontId="2" type="noConversion"/>
  </si>
  <si>
    <t>노동조합은 총회 또는 대의원회의 해산결의가 있는 경우에 해산한다.</t>
    <phoneticPr fontId="2" type="noConversion"/>
  </si>
  <si>
    <t>노동조합의 임원이 없고 노동조합으로서의 활동을 1년 이상 하지 아니한 것으로 인정되는 경우로서 행정관청이 노동위원회의 의결을 얻은 경우에 해산한다.</t>
    <phoneticPr fontId="2" type="noConversion"/>
  </si>
  <si>
    <t>규약에서 정한 해산사유가 발생하여 노동조합이 해산한 때에는 그 대표자가 행정관청에 신고할 때에 해산된 것으로 본다.</t>
    <phoneticPr fontId="2" type="noConversion"/>
  </si>
  <si>
    <t>행정관청은 노동조합이 합병으로 소멸하여 대표자로부터 해산신고를 받은 때에는 지체 없이 그 사실을 관할 노동위원회에 통보해야 한다.</t>
    <phoneticPr fontId="2" type="noConversion"/>
  </si>
  <si>
    <t>총회에서 재적조합원 과반수의 출석과 출석조합원 3분의 2 이상의 찬성에 따라 노동조합이 분할로 소멸하는 경우에 해산한다.</t>
    <phoneticPr fontId="2" type="noConversion"/>
  </si>
  <si>
    <t>대표자와 임원의 규약위반에 대한 탄핵에 관한 사항</t>
    <phoneticPr fontId="2" type="noConversion"/>
  </si>
  <si>
    <t>직장 내 괴롭힘 예방 및 발생 시 조치 등에 관한 사항</t>
    <phoneticPr fontId="2" type="noConversion"/>
  </si>
  <si>
    <t>쟁의행위와 관련된 찬반투표 결과의 공개에 관한 사항</t>
    <phoneticPr fontId="2" type="noConversion"/>
  </si>
  <si>
    <t>규율과 통제에 관한 사항</t>
    <phoneticPr fontId="2" type="noConversion"/>
  </si>
  <si>
    <t>회의에 관한 사항</t>
    <phoneticPr fontId="2" type="noConversion"/>
  </si>
  <si>
    <t>대의원회를 둔 때에는 총회에 관한 규정은 대의원회에 이를 준용할 수 없다.</t>
    <phoneticPr fontId="2" type="noConversion"/>
  </si>
  <si>
    <t>노동조합은 회의록 및 재정에 관한 장부와 서류를 작성하여 5년간 보존하여야 한다.</t>
    <phoneticPr fontId="2" type="noConversion"/>
  </si>
  <si>
    <t>행정관청은 노동위원회의 의결을 얻어 노동조합의 결산결과와 운영상황 보고를 요구할 수 있다.</t>
    <phoneticPr fontId="2" type="noConversion"/>
  </si>
  <si>
    <t>노동조합의 대표자는 그 회계감사원으로 하여금 1년에 1회 이상 회계감사를 실시하게 하여야 한다.</t>
    <phoneticPr fontId="2" type="noConversion"/>
  </si>
  <si>
    <t>단체교섭에 대한 사용자의 거부나 해태에 정당한 이유가 있는지 여부는 사회통념상 사용자에게 단체교섭의무의 이행을 기대하는 것이 어렵다고 인정되는지 여부에 따라 판단하여야 한다.</t>
    <phoneticPr fontId="2" type="noConversion"/>
  </si>
  <si>
    <t>단체교섭권은 법률이 없더라도 헌법의 규정만으로 직접 법규범으로서 효력을 발휘할 수 있는 구체적 권리이다.</t>
    <phoneticPr fontId="2" type="noConversion"/>
  </si>
  <si>
    <t>단체협약은 서면으로 작성하여 당사자 쌍방이 서명 또는 날인하여야 하며, 단체협약의 당사자는 단체협약의 체결일부터 15일 이내에 이를 노동위원회에 신고하여야 한다.</t>
    <phoneticPr fontId="2" type="noConversion"/>
  </si>
  <si>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phoneticPr fontId="2" type="noConversion"/>
  </si>
  <si>
    <t>행정관청은 단체협약중 위법한 내용이 있는 경우에는 노동위원회의 의결을 얻어 그 시정을 명할 수 있으며, 그 명령을 위반한 자 는 형사처벌을 받을 수 있다.</t>
    <phoneticPr fontId="2" type="noConversion"/>
  </si>
  <si>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phoneticPr fontId="2" type="noConversion"/>
  </si>
  <si>
    <t>노동조합은 단결권을 확보하기 위하여 필요하고도 합리적인 범위 내에서 조합원에 대하여 일정한 규제와 강제를 행사하는 내부통제권을 가진다고 해석하는 것이 상당하다.</t>
    <phoneticPr fontId="2" type="noConversion"/>
  </si>
  <si>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phoneticPr fontId="2" type="noConversion"/>
  </si>
  <si>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phoneticPr fontId="2" type="noConversion"/>
  </si>
  <si>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phoneticPr fontId="2" type="noConversion"/>
  </si>
  <si>
    <t>노사가 합의하여 단체협약의 유효기간을 4년으로 정하더라도 그 유효기간은 3년으로 한다.</t>
    <phoneticPr fontId="2" type="noConversion"/>
  </si>
  <si>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phoneticPr fontId="2" type="noConversion"/>
  </si>
  <si>
    <t>노사는 일정한 조건이 성취되거나 기한이 도래할 때까지 특정 단체협약 조항에 따른 합의의 효력이 유지되도록 명시하여 단체협약을 체결할 수 있다.</t>
    <phoneticPr fontId="2" type="noConversion"/>
  </si>
  <si>
    <t>단체협약의 당사자인 노동조합은 단체협약의 유효기간 중에 단체협약에서 정한 근로조건 등에 관한 내용의 변경이나 폐지를 요구하는 쟁의행위를 행하지 않을 평화의무를 부담하지 않는다.</t>
    <phoneticPr fontId="2" type="noConversion"/>
  </si>
  <si>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phoneticPr fontId="2" type="noConversion"/>
  </si>
  <si>
    <t>교섭단위 분리신청에 대한 노동위원회의 결정이 있기 전에 교섭 요구가 있는 때에는 교섭단위를 분리하는 결정이 있을 때까지 교섭요구 사실의 공고 등 교섭창구단일화절차의 진행은 정지된다.</t>
    <phoneticPr fontId="2" type="noConversion"/>
  </si>
  <si>
    <t>공정대표의무는 단체교섭의 과정이나 그 결과물인 단체협약의 내용에는 적용되나 단체협약의 이행과정에는 적용되지 않는다.</t>
    <phoneticPr fontId="2" type="noConversion"/>
  </si>
  <si>
    <t>노동조합 또는 사용자는 분리된 교섭단위를 통합하여 교섭하려는 경우에는, 사용자가 교섭요구 사실을 공고하기 전에 노동위원회에 분리된 교섭단위를 통합하는 결정을 신청할 수 있다.</t>
    <phoneticPr fontId="2" type="noConversion"/>
  </si>
  <si>
    <t>노동위원회는 공정대표의무 위반의 시정 신청에 따른 심문을 할 때에는 관계 당사자의 신청이 없는 경우에도 직권으로 증인을 출석하게 하여 질문할 수 있다.</t>
    <phoneticPr fontId="2" type="noConversion"/>
  </si>
  <si>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phoneticPr fontId="2" type="noConversion"/>
  </si>
  <si>
    <t>노동조합이 교섭 또는 단체협약의 체결에 관한 권한을 위임하는 경우에는 교섭사항과 권한범위를 정하여 위임하여야 한다.</t>
    <phoneticPr fontId="2" type="noConversion"/>
  </si>
  <si>
    <t>노동조합이 단체협약의 체결에 관한 권한을 위임한 때에는 그 사실을 노동위원회에 통보하여야 한다.</t>
    <phoneticPr fontId="2" type="noConversion"/>
  </si>
  <si>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phoneticPr fontId="2" type="noConversion"/>
  </si>
  <si>
    <t>노동조합은 사용자가 교섭요구 사실의 공고를 하지 아니하거나 다르게 공고하는 경우에는 고용노동부령으로 정하는 바에 따라 노동위원회에 시정을 요청할 수 있다.</t>
    <phoneticPr fontId="2" type="noConversion"/>
  </si>
  <si>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phoneticPr fontId="2" type="noConversion"/>
  </si>
  <si>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phoneticPr fontId="2" type="noConversion"/>
  </si>
  <si>
    <t>사용자의 경영권에 속하는 사항이라 하더라도 노사는 임의로 단체교섭을 진행하여 단체협약을 체결할 수 있다.</t>
    <phoneticPr fontId="2" type="noConversion"/>
  </si>
  <si>
    <t>서로 다른 종류의 사업을 운영하던 회사들이 합병한 이후 그 중 한 사업부문의 근로자들로 구성된 노동조합이 회사와 체결한 단체협약은 다른 사업부문의 근로자들에게도 적용된다.</t>
    <phoneticPr fontId="2" type="noConversion"/>
  </si>
  <si>
    <t>사용자는 쟁의행위가 근로를 제공하고자 하는 자의 출입을 방해하는 방법으로 행하여지는 경우에는 즉시 그 상황을 행정관청과 관할 노동위원회에 신고하여야 하며, 그 방법으로 구두 신고도 가능하다.</t>
    <phoneticPr fontId="2" type="noConversion"/>
  </si>
  <si>
    <t>｢방위사업법｣에 의하여 지정된 주요방위산업체에 종사하는 근로자중 방산물자의 완성에 필요한 정비 업무에 종사하는 자는 쟁의행위를 할 수 없다.</t>
    <phoneticPr fontId="2" type="noConversion"/>
  </si>
  <si>
    <t>근로자는 쟁의행위 기간중에는 현행범외에는 이 법 위반을 이유로 구속되지 아니한다.</t>
    <phoneticPr fontId="2" type="noConversion"/>
  </si>
  <si>
    <t>도시철도의 안전 운행을 위하여 필요한 차량의 일상적인 점검 업무는 필수유지업무가 아니다.</t>
    <phoneticPr fontId="2" type="noConversion"/>
  </si>
  <si>
    <t>노동위원회는 필수유지업무 수준 등 결정을 하면 지체 없이 이를 서면으로 행정관청에 통보하여야 한다.</t>
    <phoneticPr fontId="2" type="noConversion"/>
  </si>
  <si>
    <t>관계 당사자는 지방노동위원회의 필수유지업무결정이 위법이거나 월권에 의한 것이라고 인정하는 경우에는 중앙노동위원회에 그 재심을 신청할 수 있다.</t>
    <phoneticPr fontId="2" type="noConversion"/>
  </si>
  <si>
    <t>필수유지업무 수준 등 결정신청은 노동관계 당사자 일방이 할 수 없고, 쌍방이 공동으로 하여야 한다.</t>
    <phoneticPr fontId="2" type="noConversion"/>
  </si>
  <si>
    <t>필수공익사업의 사용자는 쟁의행위 기간 중에 그 쟁의행위로 중단된 업무를 당해 사업 또는 사업장 파업참가자의 100분의 50을 초과하지 않는 범위 안에서 도급 줄 수 있다.</t>
    <phoneticPr fontId="2" type="noConversion"/>
  </si>
  <si>
    <t>사용자인 수급인에 대한 정당성을 갖춘 쟁의행위가 도급인의 사업장에서 이루어져 형법상 보호되는 도급인의 법익을 침해한 경우라도 그것이 항상 위법한 것은 아니다.</t>
    <phoneticPr fontId="2" type="noConversion"/>
  </si>
  <si>
    <t>쟁의행위에 대한 조합원 찬반투표가 이 법 제45조가 정한 노동위원회의 조정절차를 거치지 않고 실시되었다는 사정만으로는 그 쟁의행위의 정당성이 상실된다고 보기 어렵다.</t>
    <phoneticPr fontId="2" type="noConversion"/>
  </si>
  <si>
    <t>노동조합이라는 명칭을 사용할 수 있다.</t>
    <phoneticPr fontId="2" type="noConversion"/>
  </si>
  <si>
    <t>노동위원회에 노동쟁의의 조정을 신청할 수 있다.</t>
    <phoneticPr fontId="2" type="noConversion"/>
  </si>
  <si>
    <t>그 사업체는 세법이 정하는 바에 따라 조세를 부과하지 아니한다.</t>
    <phoneticPr fontId="2" type="noConversion"/>
  </si>
  <si>
    <t>그 규약이 정하는 바에 의하여 법인으로 할 수 있다.</t>
    <phoneticPr fontId="2" type="noConversion"/>
  </si>
  <si>
    <t>사용자의 부당노동행위로 인하여 그 권리를 침해당하는 경우 노동위원회에 그 구제를 신청할 수 있다.</t>
    <phoneticPr fontId="2" type="noConversion"/>
  </si>
  <si>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phoneticPr fontId="2" type="noConversion"/>
  </si>
  <si>
    <t>직장폐쇄를 할 경우 사용자는 미리 행정관청에는 신고하여야 하나, 노동위원회에는 신고하지 않아도 된다.</t>
    <phoneticPr fontId="2" type="noConversion"/>
  </si>
  <si>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phoneticPr fontId="2" type="noConversion"/>
  </si>
  <si>
    <t>사용자는 직장폐쇄가 정당한 쟁의행위로 평가받는지에 관계없이 직장폐쇄 기간 동안의 대상 근로자에 대한 임금지불의무를 면한다.</t>
    <phoneticPr fontId="2" type="noConversion"/>
  </si>
  <si>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phoneticPr fontId="2" type="noConversion"/>
  </si>
  <si>
    <t>노동관계당사자는 조정안의 해석에 관하여 견해의 제시를 요청하는 경우에는 해당 조정안의 내용과 당사자의 의견 등을 적은 서면으로 해야 한다.</t>
    <phoneticPr fontId="2" type="noConversion"/>
  </si>
  <si>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phoneticPr fontId="2" type="noConversion"/>
  </si>
  <si>
    <t>조정안의 이행방법에 관한 조정위원회의 견해가 제시될 때까지는 관계 당사자는 당해 조정안의 이행에 관하여 쟁의행위를 할 수 없다.</t>
    <phoneticPr fontId="2" type="noConversion"/>
  </si>
  <si>
    <t>조정위원회 또는 단독조정인은 관계 당사자가 수락을 거부하여 더 이상 조정이 이루어질 여지가 없다고 판단되어 조정의 종료를 결정한 이후에는 노동쟁의의 해결을 위하여 조정을 할 수 없다.</t>
    <phoneticPr fontId="2" type="noConversion"/>
  </si>
  <si>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phoneticPr fontId="2" type="noConversion"/>
  </si>
  <si>
    <t>노동관계의 조정을 할 경우에는 노동관계 당사자와 노동위원회는 사건을 신속히 처리하도록 노력하여야 한다.</t>
    <phoneticPr fontId="2" type="noConversion"/>
  </si>
  <si>
    <t>공익사업에 있어서의 노동쟁의의 조정은 우선적으로 취급하고 신속히 처리하여야 한다.</t>
    <phoneticPr fontId="2" type="noConversion"/>
  </si>
  <si>
    <t>노동관계 당사자는 단체협약에 노동관계의 적정화를 위한 노사협의 기타 단체교섭의 절차와 방식을 규정하고 노동쟁의가 발생한 때에는 이를 자주적으로 해결하여야 한다.</t>
    <phoneticPr fontId="2" type="noConversion"/>
  </si>
  <si>
    <t>부당노동행위 구제의 신청은 부당노동행위가 있은 날(계속하는 행위는 그 종료일)부
터 6월 이내에 이를 행하여야 한다.</t>
    <phoneticPr fontId="2" type="noConversion"/>
  </si>
  <si>
    <t>확정된 부당노동행위 구제명령에 위반한 자는 3년 이하의 징역 또는 3천만원 이하의 벌금에 처한다.</t>
    <phoneticPr fontId="2" type="noConversion"/>
  </si>
  <si>
    <t>지방노동위원회의 부당노동행위 구제신청에 대한 기각결정에 대하여는 결정서의 송달을 받은 날로부터 10일 이내에 중앙노동위원회에 재심을 신청할 수 있다.</t>
    <phoneticPr fontId="2" type="noConversion"/>
  </si>
  <si>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phoneticPr fontId="2" type="noConversion"/>
  </si>
  <si>
    <t>회사 대표이사가 조합원에게 해고 또는 불이익한 대우를 하겠다는 의사표시를 하였으나 이를 현실화하지 않았더라도 이 법 제81조제1항제1호에서 정한 부당노동행위에 해당한다.</t>
    <phoneticPr fontId="2" type="noConversion"/>
  </si>
  <si>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phoneticPr fontId="2" type="noConversion"/>
  </si>
  <si>
    <t>노동조합의 자주적인 운영 또는 활동을 침해할 위험이 없는 범위에서의 운영비 원조행위는 부당노동행위로 보지 않는다.</t>
    <phoneticPr fontId="2" type="noConversion"/>
  </si>
  <si>
    <t>노동조합의 대표자 또는 노동조합으로부터 위임을 받은 자와의 단체협약체결 기타의 단체교섭을 정당한 이유 없이 거부하거나 해태하는 행위는 부당노동행위에 해당한다.</t>
    <phoneticPr fontId="2" type="noConversion"/>
  </si>
  <si>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phoneticPr fontId="2" type="noConversion"/>
  </si>
  <si>
    <t>중재위원회의 위원장은 관계 당사자와 참고인외의 자의 회의출석을 금할 수 있다.</t>
    <phoneticPr fontId="2" type="noConversion"/>
  </si>
  <si>
    <t>노동쟁의가 중재에 회부된 때에는 그 날부터 15일간은 쟁의행위를 할 수 없다.</t>
    <phoneticPr fontId="2" type="noConversion"/>
  </si>
  <si>
    <t>중재위원회의 중재위원은 당해 노동위원회의 공익을 대표하는 위원중에서 관계 당사자의 합의로 선정한 자에 대하여 그 노동위원회의 위원장이 지명한다.</t>
    <phoneticPr fontId="2" type="noConversion"/>
  </si>
  <si>
    <t>중재위원회의 위원장은 노동위원회의 위원장이 지명한다.</t>
    <phoneticPr fontId="2" type="noConversion"/>
  </si>
  <si>
    <t>노사협의회의 위원의 성명</t>
    <phoneticPr fontId="2" type="noConversion"/>
  </si>
  <si>
    <t>근로자를 대표하는 위원의 선출 절차와 후보 등록에 관한 사항</t>
    <phoneticPr fontId="2" type="noConversion"/>
  </si>
  <si>
    <t>사용자를 대표하는 위원의 자격에 관한 사항</t>
    <phoneticPr fontId="2" type="noConversion"/>
  </si>
  <si>
    <t>노사협의회의 회의 소집, 회기(會期), 그 밖에 노사협의회의 운영에 관한 사항</t>
    <phoneticPr fontId="2" type="noConversion"/>
  </si>
  <si>
    <t>고충처리에 관한 사항</t>
    <phoneticPr fontId="2" type="noConversion"/>
  </si>
  <si>
    <t>노동위원회는 관계 당사자의 일방이 단체협약에 의하여 중재를 신청한 때에는 지체 없이 해당 사건의 중재를 위한 중재위원회를 구성해야 한다.</t>
    <phoneticPr fontId="2" type="noConversion"/>
  </si>
  <si>
    <t>관계 당사자는 특별노동위원회의 중재재정이 위법에 의한 것이라고 인정하는 경우에는 그 중재재정서의 송달을 받은 날부터 10일 이내에 중앙노동위원회에 그 재심을 신청할 수 있다.</t>
    <phoneticPr fontId="2" type="noConversion"/>
  </si>
  <si>
    <t>중앙노동위원회는 지방노동위원회의 중재재정을 재심한 때에는 지체 없이 그 재심결정서를 관계 당사자와 지방 노동위원회에 각각 송달해야 한다.</t>
    <phoneticPr fontId="2" type="noConversion"/>
  </si>
  <si>
    <t>중재재정의 해석 또는 이행방법에 관하여 관계 당사자간에 의견의 불일치가 있는 때에는 당해 중재위원회의 해석에 따르며 그 해석은 중재재정과 동일한 효력을 가진다.</t>
    <phoneticPr fontId="2" type="noConversion"/>
  </si>
  <si>
    <t>노동위원회의 중재재정 또는 재심결정은 중앙노동위원회에의 재심신청 또는 행정소송의 제기에 의하여 그 효력이 정지된다.</t>
    <phoneticPr fontId="2" type="noConversion"/>
  </si>
  <si>
    <t>노사협의회는 근로자와 사용자를 대표하는 같은 수의 위원으로 구성하되, 각 3명 이상 10명 이하로 한다.</t>
    <phoneticPr fontId="2" type="noConversion"/>
  </si>
  <si>
    <t>사업 또는 사업장에 근로자의 과반수로 조직된 노동조합이 있는 경우에는 근로자를 대표하는 위원은 노동조합의 대표자와 그 노동조합이 위촉하는 자로 한다.</t>
    <phoneticPr fontId="2" type="noConversion"/>
  </si>
  <si>
    <t>사용자를 대표하는 위원은 해당 사업이나 사업장의 대표자와 그 대표자가 위촉하는 자로 한다.</t>
    <phoneticPr fontId="2" type="noConversion"/>
  </si>
  <si>
    <t>근로자를 대표하는 위원의 선출에 입후보하려는 사람은 해당 사업이나 사업장의 근로자여야 한다.</t>
    <phoneticPr fontId="2" type="noConversion"/>
  </si>
  <si>
    <t>근로자를 대표하는 위원의 결원이 생기면 50일 이내에 보궐위원을 위촉하거나 선출한다.</t>
    <phoneticPr fontId="2" type="noConversion"/>
  </si>
  <si>
    <t>위원회는 근로자를 대표하는 위원과 사용자를 대표하는 위원 및 공익을 대표하는 위원 각 5명씩 성별을 고려하여 구성한다.</t>
    <phoneticPr fontId="2" type="noConversion"/>
  </si>
  <si>
    <t>위원회는 근로시간 면제 한도를 심의・의결하고, 5년마다 그 적정성 여부를 재심의하여 의결할 수 있다.</t>
    <phoneticPr fontId="2" type="noConversion"/>
  </si>
  <si>
    <t>위원회는 고용노동부장관으로부터 근로시간 면제 한도를 정하기 위한 심의요청을 받은 때에는 그 심의 요청을 받은 날부터 30일 이내에 심의・의결해야 한다.</t>
    <phoneticPr fontId="2" type="noConversion"/>
  </si>
  <si>
    <t>위원회 위원의 임기는 3년으로 하고, 임기가 끝났더라도 후임자가 위촉될 때까지 계속하여 그 직무를 수행한다.</t>
    <phoneticPr fontId="2" type="noConversion"/>
  </si>
  <si>
    <t>위원회는 재적위원 과반수의 출석과 재적위원 과반수의 찬성으로 의결한다.</t>
    <phoneticPr fontId="2" type="noConversion"/>
  </si>
  <si>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phoneticPr fontId="2" type="noConversion"/>
  </si>
  <si>
    <t>고용노동부장관은 중앙노동위원회 위원장의 의견을 들어 긴급조정을 결정한 때에는 지체없이 그 이유를 붙여 이를 공표함과 동시에 중앙노동위원회와 관계 당사자에게 각각 통고하여야 한다.</t>
    <phoneticPr fontId="2" type="noConversion"/>
  </si>
  <si>
    <t>관계 당사자는 긴급조정의 결정이 공표된 때에는 그 날부터 30일 이내에 쟁의행위를 중지하여야 한다.</t>
    <phoneticPr fontId="2" type="noConversion"/>
  </si>
  <si>
    <t>중앙노동위원회의 위원장은 조정이 성립될 가망이 없다고 인정한 경우에는 공익위원의 의견을 들어 그 사건을 중재에 회부할 것인가의 여부를 결정하여야 한다.</t>
    <phoneticPr fontId="2" type="noConversion"/>
  </si>
  <si>
    <t>“근로자”란 ｢노동조합 및 노동관계조정법｣제2조에 따른 근로자를 말한다.</t>
    <phoneticPr fontId="2" type="noConversion"/>
  </si>
  <si>
    <t>노사협의회는 상시(常時) 30명 미만의 근로자를 사용하는 근로조건에 대한 결정권이 있는 사업이나 사업장 단위로 설치하여야 한다.</t>
    <phoneticPr fontId="2" type="noConversion"/>
  </si>
  <si>
    <t>노동조합의 단체교섭이나 그 밖의 모든 활동은 이 법에 의하여 영향을 받지 아니한다.</t>
    <phoneticPr fontId="2" type="noConversion"/>
  </si>
  <si>
    <t>노사협의회의 간사는 노사협의회 위원 중에서 1명을 선출한다.</t>
    <phoneticPr fontId="2" type="noConversion"/>
  </si>
  <si>
    <t>노사협의회에 의장을 두며, 의장은 위원 중에서 호선(互選)한다.</t>
    <phoneticPr fontId="2" type="noConversion"/>
  </si>
  <si>
    <t>노사협의회 위원의 임기는 3년으로 하되, 연임할 수 없다.</t>
    <phoneticPr fontId="2" type="noConversion"/>
  </si>
  <si>
    <t>사용자는 노사협의회 위원으로서의 직무 수행과 관련하여 근로자를 대표하는 위원에게 불이익을 주는 처분을 하여서는 아니 된다.</t>
    <phoneticPr fontId="2" type="noConversion"/>
  </si>
  <si>
    <t>사용자는 근로자를 대표하는 위원의 선출에 개입하거나 방해하여서는 아니 된다.</t>
    <phoneticPr fontId="2" type="noConversion"/>
  </si>
  <si>
    <t>사용자는 근로자를 대표하는 위원의 업무를 위하여 장소의 사용 등 기본적인 편의를 제공하여야 한다.</t>
    <phoneticPr fontId="2" type="noConversion"/>
  </si>
  <si>
    <t>노동문제와 관련된 학문을 전공한 사람으로서 ｢고등교육법｣제2조제1호부터 제6호까지의 학교에서 조교수 이상으로 재직하고 있거나 재직하였던 사람</t>
    <phoneticPr fontId="2" type="noConversion"/>
  </si>
  <si>
    <t>노동관계 업무에 3년 이상 종사한 사람으로서 3급 또는 3급 상당 이상의 공무원이나 고위공무원단에 속하는 공무원으로 재직하고 있거나 재직하였던 사람</t>
    <phoneticPr fontId="2" type="noConversion"/>
  </si>
  <si>
    <t>노동관계 업무에 4년 이상 종사한 사람으로서 4급 또는 4급 상당 이상의 공무원으로 재직하고 있거나 재직하였던 사람</t>
    <phoneticPr fontId="2" type="noConversion"/>
  </si>
  <si>
    <t>노동관계 업무에 10년 이상 종사한 사람으로서 심판담당 공익위원으로 적합하다고 인정되는 사람</t>
    <phoneticPr fontId="2" type="noConversion"/>
  </si>
  <si>
    <t>근로자의 교육훈련 및 능력개발 기본계획의 수립</t>
    <phoneticPr fontId="2" type="noConversion"/>
  </si>
  <si>
    <t>복지시설의 설치와 관리</t>
    <phoneticPr fontId="2" type="noConversion"/>
  </si>
  <si>
    <t>안전, 보건, 그 밖의 작업환경 개선과 근로자의 건강증진</t>
    <phoneticPr fontId="2" type="noConversion"/>
  </si>
  <si>
    <t>고충처리위원회에서 의결되지 아니한 사항</t>
    <phoneticPr fontId="2" type="noConversion"/>
  </si>
  <si>
    <t>각종 노사공동위원회의 설치</t>
    <phoneticPr fontId="2" type="noConversion"/>
  </si>
  <si>
    <t>부문별 위원회 위원장은 다른 법률에 특별한 규정이 있는 경우를 제외하고는 부문별 위원회의 위원 중에서 호선(互選)한다.</t>
    <phoneticPr fontId="2" type="noConversion"/>
  </si>
  <si>
    <t>부문별 위원회를 소집할 수 있는 권한은 부문별 위원회 위원장에 한한다.</t>
    <phoneticPr fontId="2" type="noConversion"/>
  </si>
  <si>
    <t>부문별 위원회 위원장은 부문별 위원회를 구성하는 위원의 3분의 1이 회의 소집을 요구하는 경우에 이에 따라야 한다.</t>
    <phoneticPr fontId="2" type="noConversion"/>
  </si>
  <si>
    <t>부문별 위원회 위원장은 업무수행과 관련된 조사 등 노동위원회의 원활한 운영을 위하여 필요한 경우라 할지라도 노동위원회가 설치된 위치 외의 장소에서는 부문별 위원회를 소집하게 할 수 없다.</t>
    <phoneticPr fontId="2" type="noConversion"/>
  </si>
  <si>
    <t>부문별 위원회 회의는 재적위원 3분의 1의 출석으로 개의하고, 출석위원 과반수의 찬성으로 의결한다.</t>
    <phoneticPr fontId="2" type="noConversion"/>
  </si>
  <si>
    <t>노동위원회에 위원장 1명을 둔다.</t>
    <phoneticPr fontId="2" type="noConversion"/>
  </si>
  <si>
    <t>노동위원회 위원장과 상임위원은 해당 노동위원회의 공익위원이 되며, 심판사건, 차별적 처우 시정사건, 조정사건을 담당할 수 있다.</t>
    <phoneticPr fontId="2" type="noConversion"/>
  </si>
  <si>
    <t>노동위원회 위원장은 해당 노동위원회를 대표하며, 노동위원회의 사무를 총괄한다.</t>
    <phoneticPr fontId="2" type="noConversion"/>
  </si>
  <si>
    <t>노동위원회에 상임위원을 두며, 상임위원은 해당 노동위원회의 공익위원이 될 수 있는 자격을 갖춘 사람 중에서 중앙노동위원회 위원장의 추천과 고용노동부장관의 제청으로 대통령이 임명한다.</t>
    <phoneticPr fontId="2" type="noConversion"/>
  </si>
  <si>
    <t>노동위원회 위원장 또는 상임위원이 궐위(闕位)되어 후임자를 임명한 경우 후임자의 임기는 전임자 임기의 남은 기간으로 한다.</t>
    <phoneticPr fontId="2" type="noConversion"/>
  </si>
  <si>
    <t>단체협약의 내용 중 법령․조례 또는 예산에 의하여 규정되는 내용은 단체협약으로서의 효력을 가지지 아니한다.</t>
    <phoneticPr fontId="2" type="noConversion"/>
  </si>
  <si>
    <t>단체협약의 내용 중 조례에 의하여 위임을 받아 규정되는 내용은 단체협약으로서의 효력을 가지지 아니한다.</t>
    <phoneticPr fontId="2" type="noConversion"/>
  </si>
  <si>
    <t>노동조합과 그 조합원은 파업, 태업 또는 그 밖에 업무의 정상적인 운영을 방해하는 어떠한 행위도 하여서는 아니 된다.</t>
    <phoneticPr fontId="2" type="noConversion"/>
  </si>
  <si>
    <t>단체교섭이 결렬되어 관계 당사자 어느 한쪽이 중재를 신청한 경우 중앙노동위원회는 지체 없이 중재(仲裁)를 한다.</t>
    <phoneticPr fontId="2" type="noConversion"/>
  </si>
  <si>
    <t>조정은 당사자들이 조정기간의 연장에 관하여 합의하지 않는 경우에는 조정신청을 받은 날부터 30일 이내에 마쳐야 한다.</t>
    <phoneticPr fontId="2" type="noConversion"/>
  </si>
  <si>
    <t>｢유아교육법｣제20조제1항에 따른 교원을 대상으로 한다.</t>
    <phoneticPr fontId="2" type="noConversion"/>
  </si>
  <si>
    <t>｢고등교육법｣제14조제2항 및 제4항에 따른 교원을 대상으로 하되, 강사는 제외한다.</t>
    <phoneticPr fontId="2" type="noConversion"/>
  </si>
  <si>
    <t>교원의 노동조합은 어떠한 정치활동도 하여서는 아니 된다.</t>
    <phoneticPr fontId="2" type="noConversion"/>
  </si>
  <si>
    <t>노동조합을 설립하려는 사람은 교육부장관에게 설립신고서를 제출하여야 한다.</t>
    <phoneticPr fontId="2" type="noConversion"/>
  </si>
  <si>
    <t>법 제8조(쟁의행위의 금지)를 위반하여 쟁의행위를 한 자는 5년 이하의 징역 또는 5천만원 이하의 벌금에 처한다.</t>
    <phoneticPr fontId="2" type="noConversion"/>
  </si>
  <si>
    <t>교원의 노동쟁의를 조정․중재하기 위하여 각 지방노동위원회에 교원 노동관계 조정위원회를 둔다.</t>
    <phoneticPr fontId="2" type="noConversion"/>
  </si>
  <si>
    <t>관계당사자는 중재재정서를 송달받은 날부터 30일 이내에 행정소송을 제기할 수 있다.</t>
    <phoneticPr fontId="2" type="noConversion"/>
  </si>
  <si>
    <t>중앙노동위원회 위원장은 직권으로 중재에 회부한다는 결정을 할 수 없다.</t>
    <phoneticPr fontId="2" type="noConversion"/>
  </si>
  <si>
    <t>중재재정은 관계당사자 쌍방이 수락한 경우에 효력을 가진다.</t>
    <phoneticPr fontId="2" type="noConversion"/>
  </si>
  <si>
    <t>노동조합 전임자에 대하여는 그 기간 중 ｢국가공무원법｣제71조 또는 ｢지방공무원법｣제63조에 따라 휴직명령을 하여야 한다.</t>
    <phoneticPr fontId="2" type="noConversion"/>
  </si>
  <si>
    <t>근무시간 면제심의위원회는 근무시간 면제 한도를 심의․의결하고 2년마다 그 적정성 여부를 재심의하여 의결하여야 한다.</t>
    <phoneticPr fontId="2" type="noConversion"/>
  </si>
  <si>
    <t>정부교섭대표는 전년도에 노동조합별로 근무시간을 면제받은 시간 및 사용인원, 지급된 보수 등에 관한 정보를 대통령령으로 정하는 바에 따라 국회에 보고하여야 한다.</t>
    <phoneticPr fontId="2" type="noConversion"/>
  </si>
  <si>
    <t>총회의 의결사항 중 조직형태의 변경에 관한 사항은 조합원의 직접・비밀・무기명투표에 의하여야 한다.</t>
  </si>
  <si>
    <t>고용노동부장관은 노동조합의 대표자가 그 결산결과를 공표할 수 있도록 노동조합 회계 공시시스템을 구축・운영할 수 있다.</t>
  </si>
  <si>
    <t>총회가 규약의 제・개정결의를 통하여 총회에 갈음할 대의원회를 두고 ‘규약의 개정에 관한 사항’을 대의원회의 의결사항으로 정한 경우 총회의 규약개정권한은 소멸된다.</t>
  </si>
  <si>
    <t>교섭대표노동조합이나 사용자가 교섭창구 단일화 절차에 참여한 다른 노동조합을 차별한 행위에 합리적인 이유가 있다는 점에 대한 주장・증명책임은 교섭대표노동조합이나 사용자에게 있다.</t>
  </si>
  <si>
    <t>노동조합과 사용자 쌍방의 대표자가 근로조건에 관한 사항에 관하여 단체협약으로 할 의사로 문서로 작성하여 서명 또는 날인하는 등으로 단체협약의 실질적・형식적 요건을 갖추었더라도 노사협의회의 합의를 거치는 방식으로 하였다면 단체협약으로 볼 수 없다.</t>
  </si>
  <si>
    <t>쟁의행위는 그 쟁의행위와 관계없는 자의 출입・조업 기타 정상적인 업무를 방해하는 방법으로 행하여져서는 아니된다.</t>
  </si>
  <si>
    <t>지배・개입으로서의 부당노동행위의 성립에는 반드시 근로자의 단결권 침해라는 결과의 발생까지 요한다.</t>
  </si>
  <si>
    <t>신기계・기술의 도입 또는 작업 공정의 개선</t>
  </si>
  <si>
    <t>인사・노무관리의 제도 개선</t>
  </si>
  <si>
    <t>고충처리위원은 비상임・무보수로 한다.</t>
  </si>
  <si>
    <t>노동위원회는 ｢노동조합 및 노동관계조정법｣에 따른 판정・명령 또는 결정이 있기 전까지 직권으로 화해를 권고할 수 있다.</t>
  </si>
  <si>
    <t>체결된 단체협약의 내용 중 법령・조례 및 예산에 의하여 규정되는 내용과 법령 또는 조례에 의하여 위임을 받아 규정되는 내용은 단체협약으로서의 효력을 가지지 아니한다.</t>
  </si>
  <si>
    <t>｢고등교육법｣에 따른 교원이 개별학교 단위로 노동조합을 설립할 경우 특별자치시장・특별자치도지사・시장・군수・구청장에게 설립신고서를 제출하여야 한다.</t>
  </si>
  <si>
    <t>근로3권 중 단결권은 결사의 자유가 근로의 영역에서 구체화된 것으로 연혁적・개념적으로 자유권의 본질을 가지고 있다.</t>
  </si>
  <si>
    <t>사용자가 교섭창구 단일화 절차에 참여한 다른 노동조합을 차별한 것으로 인정되는 경우, 그와 같은 차별에 합리적인 이유가 있다는 점은 사용자에게 주장・증명책임이 있다.</t>
  </si>
  <si>
    <t>노동조합은 쟁의행위를 하고자 할 경우에는 고용노동부령이 정하는 바에 따라 행정관청에 쟁의행위의 목적・일시・장소・참가인원 및 그 방법을 미리 서면으로 신고하여야 한다.</t>
  </si>
  <si>
    <t>노동조합의 쟁의행위는 조합원의 직접・비밀・무기명투표에 의한다.</t>
  </si>
  <si>
    <t>필수유지업무의 정당한 유지・운영을 정지・폐지하는 행위는 쟁의행위로서 이를 행할 수 없으나, 방해하는 행위는 그러하지 아니하다.</t>
  </si>
  <si>
    <t>사업장의 안전보호시설에 대하여 정상적인 유지・운영을 방해하는 쟁의행위에 대하여 노동위원회는 행정관청에 알리고 그 행위를 중지할 것을 통보하여야 한다.</t>
  </si>
  <si>
    <t>파업이 전격적으로 이루어져 사용자의 사업운영에 심대한 혼란 내지 막대한 손해를 초래할 위험이 있는 등의 사정으로 사용자의 사업계속에 관한 자유의사가 제압・혼란될 수 있다고 평가할 수 있다면 그러한 집단적 노무제공의 거부는 업무방해죄를 구성한다.</t>
  </si>
  <si>
    <t>직장폐쇄가 정당한 쟁의행위로 평가받기 위하여는 구체적 사정에 비추어 형평의 견지에서 근로자측의 쟁의행위에 대한 대항・방위 수단으로서 상당성이 인정되는 경우에 한한다.</t>
  </si>
  <si>
    <t>국가 및 지방자치단체는 노동관계 당사자간에 노동관계에 관한 주장이 일치하지 아니할 경우에 노동관계 당사자가 이를 자주적으로 조정할 수 있도록 조력함으로써 쟁의행위를 가능한 한 예방하고 노동쟁의의 신속・공정한 해결에 노력하여야 한다.</t>
  </si>
  <si>
    <t>부당노동행위의 예방・제거는 노동위원회의 구제명령을 통해서 이루어지는 것이므로, 구제명령을 이행할 수 있는 법률적 또는 사실적인 권한이나 능력을 가지는 지위에 있는 한 그 한도 내에서는 부당노동행위의 주체로서 구제명령의 대상자인 사용자에 해당한다고 볼 수 있을 것이다.</t>
  </si>
  <si>
    <t>긴급조정 결정의 공표는 신문・라디오 그 밖에 공중이 신속히 알 수 있는 방법으로 해야 한다.</t>
  </si>
  <si>
    <t>“노사협의회”란 헌법에 의한 근로자의 단결권・단체교섭권 및 단체행동권을 보장하여 근로조건의 유지・개선과 근로자의 경제적・사회적 지위의 향상을 도모하기 위하여 구성하는 협의기구를 말한다.</t>
  </si>
  <si>
    <t>판사・검사・군법무관・변호사 또는 공인노무사로 3년 이상 재직하고 있거나 재직하였던 사람</t>
  </si>
  <si>
    <t>노동위원회법상 노동위원회의 소관 사무로 옳은 것을 모두 고른 것은?
ㄱ. ｢노동조합 및 노동관계조정법｣에 따른 판정・결정
ㄴ. ｢노동조합 및 노동관계조정법｣에 따른 노동쟁의 조정(調停)・중재
ㄷ. ｢노동조합 및 노동관계조정법｣에 따른 관계 당사자의 자주적인 노동쟁의해결 지원에 관한 업무
ㄹ. ｢노동조합 및 노동관계조정법｣에 따른 노동쟁의 조정(調停)・중재 업무수행과 관련된 조사・연구・교육 및 홍보 등에 관한 업무</t>
  </si>
  <si>
    <t>｢초・중등교육법｣제19조제1항에 따른 교원을 대상으로 한다.</t>
  </si>
  <si>
    <t>공무원 노동조합이 있는 경우 공무원이 공무원직장협의회를 설립・운영할 수 없다.</t>
  </si>
  <si>
    <t>공무원은 근무시간 면제한도를 초과하여 보수의 손실 없이 정부교섭대표와의 협의・교섭, 고충처리, 안전․보건활동 등 업무를 할 수 있다.</t>
  </si>
  <si>
    <t>노조법 제85조제2항, 제86조</t>
    <phoneticPr fontId="2" type="noConversion"/>
  </si>
  <si>
    <t>노조법 제82조제2항</t>
    <phoneticPr fontId="2" type="noConversion"/>
  </si>
  <si>
    <t>노조법 제85조제1항</t>
    <phoneticPr fontId="2" type="noConversion"/>
  </si>
  <si>
    <t>노조법 제85조제2항</t>
    <phoneticPr fontId="2" type="noConversion"/>
  </si>
  <si>
    <t>노조법 제3조제2항</t>
    <phoneticPr fontId="2" type="noConversion"/>
  </si>
  <si>
    <t>노조법 제3조제1항</t>
    <phoneticPr fontId="2" type="noConversion"/>
  </si>
  <si>
    <t>근참법 제12조제1항</t>
    <phoneticPr fontId="2" type="noConversion"/>
  </si>
  <si>
    <t>근참법 제13조제2항</t>
    <phoneticPr fontId="2" type="noConversion"/>
  </si>
  <si>
    <t>근참법 시행령 제5조제2항</t>
    <phoneticPr fontId="2" type="noConversion"/>
  </si>
  <si>
    <t>근참법 제13조제3항</t>
    <phoneticPr fontId="2" type="noConversion"/>
  </si>
  <si>
    <t>「초・중등교육법」 제19조제1항에 따른 교원의 노동조합의 대표자는 교육부장관, 시・도 교육감 또는 사립학교 설립・경영자와 교섭하고 단체협약을 체결할 권한을 가진다.</t>
    <phoneticPr fontId="2" type="noConversion"/>
  </si>
  <si>
    <t>헌법재판소는 헌법 제33조제1항에서 정한 근로자의 단결권은 단결할 자유뿐 아니라 단결하지 아니할 자유를 포함한다고 해석한다.</t>
    <phoneticPr fontId="2" type="noConversion"/>
  </si>
  <si>
    <t>제37조제2항(조합원은 노동조합에 의하여 주도되지 아니한 쟁의행위를 하여서는 아니된다.)</t>
    <phoneticPr fontId="2" type="noConversion"/>
  </si>
  <si>
    <t>제38조제2항(작업시설의 손상이나 원료・제품의 변질 또는 부패를 방지하기 위한 작업은 쟁의행위 기간 중에도 수행되어야 한다.)</t>
    <phoneticPr fontId="2" type="noConversion"/>
  </si>
  <si>
    <t>제38조제3항(노동조합은 쟁의행위가 적법하게 수행될 수 있도록 지도・관리・통제할 책임이 있다.)</t>
    <phoneticPr fontId="2" type="noConversion"/>
  </si>
  <si>
    <t>제42조의2제2항(필수유지업무의 정당한 유지・운영을 정지・폐지 또는 방해하는 행위는 쟁의행위로서 이를 행할 수 없다.)</t>
    <phoneticPr fontId="2" type="noConversion"/>
  </si>
  <si>
    <t>제44조제2항(노동조합은 쟁의행위 기간에 대한 임금의 지급을 요구하여 이를 관철할 목적으로 쟁의행위를 하여서는 아니된다.)</t>
    <phoneticPr fontId="2" type="noConversion"/>
  </si>
  <si>
    <t>단체협약의 내용 중 노동조합 및 노동관계조정법 제92조제2호에서 규정한 사항을 위반한 자는 벌금에 처한다. 이에 해당하지 않는 사항은?</t>
    <phoneticPr fontId="2" type="noConversion"/>
  </si>
  <si>
    <t>헌법 제33조제1항은 근로자는 근로조건의 향상을 위하여 자주적인 단결권・단체교섭권 및 단체행동권을 가진다고 규정하고 있으므로 개별 근로자도 단체교섭권의 행사주체가 된다.</t>
    <phoneticPr fontId="2" type="noConversion"/>
  </si>
  <si>
    <t>미국의 경우 1914년 클레이톤(Clayton) 법은 단결권・단체교섭권이 독점금지법에 위반되지 아니함을 인정하였다.</t>
    <phoneticPr fontId="2" type="noConversion"/>
  </si>
  <si>
    <t>연혁적으로 볼 때 헌법 제33조제1항에 해당하는 근로3권 보장 조항에 개별유보를 규정한 적이 있었다.</t>
    <phoneticPr fontId="2" type="noConversion"/>
  </si>
  <si>
    <t>노조법 제3조제5항</t>
    <phoneticPr fontId="2" type="noConversion"/>
  </si>
  <si>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phoneticPr fontId="2" type="noConversion"/>
  </si>
  <si>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</si>
  <si>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</si>
  <si>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</si>
  <si>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</si>
  <si>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</si>
  <si>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</si>
  <si>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</si>
  <si>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</si>
  <si>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</si>
  <si>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</si>
  <si>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</si>
  <si>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</si>
  <si>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</si>
  <si>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</si>
  <si>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</si>
  <si>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</si>
  <si>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</si>
  <si>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</si>
  <si>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</si>
  <si>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</si>
  <si>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</si>
  <si>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</si>
  <si>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</si>
  <si>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</si>
  <si>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</si>
  <si>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</si>
  <si>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</si>
  <si>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</si>
  <si>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제01장 총설</t>
    <phoneticPr fontId="2" type="noConversion"/>
  </si>
  <si>
    <t>본문</t>
  </si>
  <si>
    <t>총설</t>
    <phoneticPr fontId="2" type="noConversion"/>
  </si>
  <si>
    <t>제01장 총설</t>
  </si>
  <si>
    <t>부속법령</t>
    <phoneticPr fontId="2" type="noConversion"/>
  </si>
  <si>
    <t>파일</t>
    <phoneticPr fontId="2" type="noConversion"/>
  </si>
  <si>
    <t>법률</t>
    <phoneticPr fontId="2" type="noConversion"/>
  </si>
  <si>
    <t>시행령</t>
    <phoneticPr fontId="2" type="noConversion"/>
  </si>
  <si>
    <t>시행규칙</t>
    <phoneticPr fontId="2" type="noConversion"/>
  </si>
  <si>
    <t>노동위원회법</t>
  </si>
  <si>
    <t>노동위원회법</t>
    <phoneticPr fontId="2" type="noConversion"/>
  </si>
  <si>
    <t>노동조합 및 노동관계조정법</t>
  </si>
  <si>
    <t>노동조합 및 노동관계조정법</t>
    <phoneticPr fontId="2" type="noConversion"/>
  </si>
  <si>
    <t>근로자참여 및 협력증진에 관한 법률</t>
  </si>
  <si>
    <t>교원의 노동조합 설립 및 운영 등에 관한 법률</t>
  </si>
  <si>
    <t>교원의 노동조합 설립 및 운영 등에 관한 법률</t>
    <phoneticPr fontId="2" type="noConversion"/>
  </si>
  <si>
    <t>공무원의 노동조합 설립 및 운영 등에 관한 법률</t>
  </si>
  <si>
    <t>공무원의 노동조합 설립 및 운영 등에 관한 법률</t>
    <phoneticPr fontId="2" type="noConversion"/>
  </si>
  <si>
    <t>열기3-01.관련법령\02.노동법2\01-1.노동조합 및 노동관계조정법(법률).txt</t>
  </si>
  <si>
    <t>열기3-01.관련법령\02.노동법2\01-2.노동조합 및 노동관계조정법(시행령).txt</t>
  </si>
  <si>
    <t>열기3-01.관련법령\02.노동법2\01-3.노동조합 및 노동관계조정법(시행규칙).txt</t>
  </si>
  <si>
    <t>열기3-01.관련법령\02.노동법2\02-1.노동위원회법(법률).txt</t>
  </si>
  <si>
    <t>열기3-01.관련법령\02.노동법2\02-2.노동위원회법(시행령).txt</t>
  </si>
  <si>
    <t>열기3-01.관련법령\02.노동법2\02-3.노동위원회법(시행규칙).txt</t>
  </si>
  <si>
    <t>열기3-01.관련법령\02.노동법2\03-1.근로자참여 및 협력증진에 관한 법률(법률).txt</t>
  </si>
  <si>
    <t>열기3-01.관련법령\02.노동법2\03-2.근로자참여 및 협력증진에 관한 법률(시행령).txt</t>
  </si>
  <si>
    <t>열기3-01.관련법령\02.노동법2\03-3.근로자참여 및 협력증진에 관한 법률(시행규칙).txt</t>
  </si>
  <si>
    <t>열기3-01.관련법령\02.노동법2\04-1.교원의 노동조합 설립 및 운영 등에 관한 법률(법률).txt</t>
  </si>
  <si>
    <t>열기3-01.관련법령\02.노동법2\04-2.교원의 노동조합 설립 및 운영 등에 관한 법률(시행령).txt</t>
  </si>
  <si>
    <t>열기3-01.관련법령\02.노동법2\04-3.교원의 노동조합 설립 및 운영 등에 관한 법률(시행규칙).txt</t>
  </si>
  <si>
    <t>열기3-01.관련법령\02.노동법2\05-1.공무원의 노동조합 설립 및 운영 등에 관한 법률(법률).txt</t>
  </si>
  <si>
    <t>열기3-01.관련법령\02.노동법2\05-2.공무원의 노동조합 설립 및 운영 등에 관한 법률(시행령).txt</t>
  </si>
  <si>
    <t>열기3-01.관련법령\02.노동법2\05-3.공무원의 노동조합 설립 및 운영 등에 관한 법률(시행규칙).txt</t>
  </si>
  <si>
    <t>제02절 공무원의 노동조합 설립 및 운영 등에 관한 법률</t>
    <phoneticPr fontId="2" type="noConversion"/>
  </si>
  <si>
    <t>제01절 교원의 노동조합 설립 및 운영 등에 관한 법률</t>
    <phoneticPr fontId="2" type="noConversion"/>
  </si>
  <si>
    <t>제09장 부속법령</t>
  </si>
  <si>
    <t>제09장 부속법령</t>
    <phoneticPr fontId="2" type="noConversion"/>
  </si>
  <si>
    <t>제02장 단결권</t>
  </si>
  <si>
    <t>제02장 단결권</t>
    <phoneticPr fontId="2" type="noConversion"/>
  </si>
  <si>
    <t>제03장 단체교섭권</t>
  </si>
  <si>
    <t>제03장 단체교섭권</t>
    <phoneticPr fontId="2" type="noConversion"/>
  </si>
  <si>
    <t>제04장 단체행동권</t>
  </si>
  <si>
    <t>제04장 단체행동권</t>
    <phoneticPr fontId="2" type="noConversion"/>
  </si>
  <si>
    <t>제05장 노동쟁의조정제도</t>
  </si>
  <si>
    <t>제05장 노동쟁의조정제도</t>
    <phoneticPr fontId="2" type="noConversion"/>
  </si>
  <si>
    <t>제06장 부당노동행위구제제도</t>
  </si>
  <si>
    <t>제06장 부당노동행위구제제도</t>
    <phoneticPr fontId="2" type="noConversion"/>
  </si>
  <si>
    <t>제07장 노동위원회</t>
  </si>
  <si>
    <t>제07장 노동위원회</t>
    <phoneticPr fontId="2" type="noConversion"/>
  </si>
  <si>
    <t>제08장 노사협의회</t>
  </si>
  <si>
    <t>제08장 노사협의회</t>
    <phoneticPr fontId="2" type="noConversion"/>
  </si>
  <si>
    <t>제01절 집단적 노사관계법</t>
  </si>
  <si>
    <t>제01절 집단적 노사관계법</t>
    <phoneticPr fontId="2" type="noConversion"/>
  </si>
  <si>
    <t>제02절 노동3권</t>
  </si>
  <si>
    <t>제02절 노동3권</t>
    <phoneticPr fontId="2" type="noConversion"/>
  </si>
  <si>
    <t>제02절 노동조합의 설립</t>
  </si>
  <si>
    <t>제02절 노동조합의 설립</t>
    <phoneticPr fontId="2" type="noConversion"/>
  </si>
  <si>
    <t>제03절 노동조합의 운영과 활동</t>
  </si>
  <si>
    <t>제03절 노동조합의 운영과 활동</t>
    <phoneticPr fontId="2" type="noConversion"/>
  </si>
  <si>
    <t>제01절 단체교섭</t>
  </si>
  <si>
    <t>제01절 단체교섭</t>
    <phoneticPr fontId="2" type="noConversion"/>
  </si>
  <si>
    <t>제02절 단체협약</t>
  </si>
  <si>
    <t>제02절 단체협약</t>
    <phoneticPr fontId="2" type="noConversion"/>
  </si>
  <si>
    <t>제02절 쟁의행위의 정당성</t>
  </si>
  <si>
    <t>제02절 쟁의행위의 정당성</t>
    <phoneticPr fontId="2" type="noConversion"/>
  </si>
  <si>
    <t>제03절 쟁의행위의 법적 책임</t>
  </si>
  <si>
    <t>제03절 쟁의행위의 법적 책임</t>
    <phoneticPr fontId="2" type="noConversion"/>
  </si>
  <si>
    <t>제04절 쟁의행위의 법적 효과</t>
  </si>
  <si>
    <t>제04절 쟁의행위의 법적 효과</t>
    <phoneticPr fontId="2" type="noConversion"/>
  </si>
  <si>
    <t>제05절 사용자의 쟁의행위</t>
  </si>
  <si>
    <t>제05절 사용자의 쟁의행위</t>
    <phoneticPr fontId="2" type="noConversion"/>
  </si>
  <si>
    <t>제06절 안전보호시설과 필수유지업무</t>
  </si>
  <si>
    <t>제06절 안전보호시설과 필수유지업무</t>
    <phoneticPr fontId="2" type="noConversion"/>
  </si>
  <si>
    <t>제07절 쟁의기간 중 대체근로 등의 제한</t>
  </si>
  <si>
    <t>제07절 쟁의기간 중 대체근로 등의 제한</t>
    <phoneticPr fontId="2" type="noConversion"/>
  </si>
  <si>
    <t>제02절 노동쟁의조정제도의 기본체계</t>
  </si>
  <si>
    <t>제02절 노동쟁의조정제도의 기본체계</t>
    <phoneticPr fontId="2" type="noConversion"/>
  </si>
  <si>
    <t>제03절 노동쟁의조정의 유형 및 절차</t>
    <phoneticPr fontId="2" type="noConversion"/>
  </si>
  <si>
    <t>제02절 부당노동행위의 유형</t>
    <phoneticPr fontId="2" type="noConversion"/>
  </si>
  <si>
    <t>제03절 부당노동행위의 구제절차</t>
    <phoneticPr fontId="2" type="noConversion"/>
  </si>
  <si>
    <t>제02절 노동위원회의 종류와 조직</t>
    <phoneticPr fontId="2" type="noConversion"/>
  </si>
  <si>
    <t>제03절 노동위원회의 회의</t>
    <phoneticPr fontId="2" type="noConversion"/>
  </si>
  <si>
    <t>제04절 보칙</t>
    <phoneticPr fontId="2" type="noConversion"/>
  </si>
  <si>
    <t>제02절 노사협의제도</t>
    <phoneticPr fontId="2" type="noConversion"/>
  </si>
  <si>
    <t>단결권</t>
    <phoneticPr fontId="2" type="noConversion"/>
  </si>
  <si>
    <t>단체교섭권</t>
    <phoneticPr fontId="2" type="noConversion"/>
  </si>
  <si>
    <t>단체행동권</t>
    <phoneticPr fontId="2" type="noConversion"/>
  </si>
  <si>
    <t>노동쟁의조정제도</t>
    <phoneticPr fontId="2" type="noConversion"/>
  </si>
  <si>
    <t>부당노동행위구제제도</t>
    <phoneticPr fontId="2" type="noConversion"/>
  </si>
  <si>
    <t>노동위원회</t>
    <phoneticPr fontId="2" type="noConversion"/>
  </si>
  <si>
    <t>노사협의회</t>
    <phoneticPr fontId="2" type="noConversion"/>
  </si>
  <si>
    <t>집단적 노사관계법</t>
    <phoneticPr fontId="2" type="noConversion"/>
  </si>
  <si>
    <t>노동3권</t>
    <phoneticPr fontId="2" type="noConversion"/>
  </si>
  <si>
    <t>노동조합의 설립</t>
    <phoneticPr fontId="2" type="noConversion"/>
  </si>
  <si>
    <t>노동조합의 운영과 활동</t>
    <phoneticPr fontId="2" type="noConversion"/>
  </si>
  <si>
    <t>단체교섭</t>
    <phoneticPr fontId="2" type="noConversion"/>
  </si>
  <si>
    <t>단체협약</t>
    <phoneticPr fontId="2" type="noConversion"/>
  </si>
  <si>
    <t>쟁의행위의 정당성</t>
    <phoneticPr fontId="2" type="noConversion"/>
  </si>
  <si>
    <t>쟁의행위의 법적 책임</t>
    <phoneticPr fontId="2" type="noConversion"/>
  </si>
  <si>
    <t>쟁의행위의 법적 효과</t>
    <phoneticPr fontId="2" type="noConversion"/>
  </si>
  <si>
    <t>사용자의 쟁의행위</t>
    <phoneticPr fontId="2" type="noConversion"/>
  </si>
  <si>
    <t>안전보호시설과 필수유지업무</t>
    <phoneticPr fontId="2" type="noConversion"/>
  </si>
  <si>
    <t>쟁의기간 중 대체근로 등의 제한</t>
    <phoneticPr fontId="2" type="noConversion"/>
  </si>
  <si>
    <t>노동쟁의조정제도의 기본체계</t>
    <phoneticPr fontId="2" type="noConversion"/>
  </si>
  <si>
    <t>노동쟁의조정의 유형 및 절차</t>
    <phoneticPr fontId="2" type="noConversion"/>
  </si>
  <si>
    <t>부당노동행위의 유형</t>
    <phoneticPr fontId="2" type="noConversion"/>
  </si>
  <si>
    <t>부당노동행위의 구제절차</t>
    <phoneticPr fontId="2" type="noConversion"/>
  </si>
  <si>
    <t>노동위원회의 종류와 조직</t>
    <phoneticPr fontId="2" type="noConversion"/>
  </si>
  <si>
    <t>노동위원회의 회의</t>
    <phoneticPr fontId="2" type="noConversion"/>
  </si>
  <si>
    <t>노사협의제도</t>
    <phoneticPr fontId="2" type="noConversion"/>
  </si>
  <si>
    <t>노조법 제14조제1항제4호</t>
    <phoneticPr fontId="2" type="noConversion"/>
  </si>
  <si>
    <t>노조법 제17조제3항</t>
    <phoneticPr fontId="2" type="noConversion"/>
  </si>
  <si>
    <t>노조법 제17조제4항</t>
    <phoneticPr fontId="2" type="noConversion"/>
  </si>
  <si>
    <t>노조법 제16조제1항제8호, 제4항</t>
    <phoneticPr fontId="2" type="noConversion"/>
  </si>
  <si>
    <t>노조법 제14조제1항제5호, 제2항</t>
    <phoneticPr fontId="2" type="noConversion"/>
  </si>
  <si>
    <t>조직형태 변경은 직접・비밀・무기명투표 사항은 아님 / 규약 제정・변경, 임원 선거・해임이 직・비・무 사항</t>
    <phoneticPr fontId="2" type="noConversion"/>
  </si>
  <si>
    <t>노조법 제16조제3항</t>
    <phoneticPr fontId="2" type="noConversion"/>
  </si>
  <si>
    <t>노조법 제18조제1항</t>
    <phoneticPr fontId="2" type="noConversion"/>
  </si>
  <si>
    <t>노조법 제18조제3항</t>
    <phoneticPr fontId="2" type="noConversion"/>
  </si>
  <si>
    <t>노조법 제18조제4항</t>
    <phoneticPr fontId="2" type="noConversion"/>
  </si>
  <si>
    <t>노조법 제19조</t>
    <phoneticPr fontId="2" type="noConversion"/>
  </si>
  <si>
    <t>선출하여야 한다 × → 선출할 수 있다.</t>
  </si>
  <si>
    <t>소집할 수 없다 × → 소집할 수 있다.</t>
  </si>
  <si>
    <t>노동조합의 대표자 × → 행정관청</t>
  </si>
  <si>
    <t>공고기간을 단축할 수 없다 × → 공고기간을 단축할 수 있다</t>
    <phoneticPr fontId="2" type="noConversion"/>
  </si>
  <si>
    <t>노조법 제25조, 노조법 시행령 제11조의7</t>
    <phoneticPr fontId="2" type="noConversion"/>
  </si>
  <si>
    <t>노조법 제25조제1항</t>
    <phoneticPr fontId="2" type="noConversion"/>
  </si>
  <si>
    <t>노조법 제25조제2항</t>
    <phoneticPr fontId="2" type="noConversion"/>
  </si>
  <si>
    <t>노조법 제26조</t>
    <phoneticPr fontId="2" type="noConversion"/>
  </si>
  <si>
    <t>노조법 시행령 제11조의9제1항</t>
    <phoneticPr fontId="2" type="noConversion"/>
  </si>
  <si>
    <t>노조법 제25조와 노조법 시행령 제11조의7을 그럴듯하게 섞어 놓음</t>
    <phoneticPr fontId="2" type="noConversion"/>
  </si>
  <si>
    <t>노조법 제23조제1항</t>
    <phoneticPr fontId="2" type="noConversion"/>
  </si>
  <si>
    <t>노조법 제31조제3항, 노조법 시행령 제11조</t>
    <phoneticPr fontId="2" type="noConversion"/>
  </si>
  <si>
    <t>노조법 제24조의2제1항, 시행령 제11조의6제2항</t>
    <phoneticPr fontId="2" type="noConversion"/>
  </si>
  <si>
    <t>노조법 시행령 제11조의2</t>
    <phoneticPr fontId="2" type="noConversion"/>
  </si>
  <si>
    <t>2026-041-0</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</si>
  <si>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</si>
  <si>
    <t>2026-041-5</t>
  </si>
  <si>
    <t>2026-041-3</t>
  </si>
  <si>
    <t>2026-041-1</t>
  </si>
  <si>
    <t>2026-041-4</t>
  </si>
  <si>
    <t>2026-041-2</t>
  </si>
  <si>
    <t>2026-042-0</t>
  </si>
  <si>
    <t>노동조합 및 노동관계조정법상 노동조합의 관리에 관한 설명으로 옳지 않은 것은?</t>
  </si>
  <si>
    <t>2026-042-3</t>
  </si>
  <si>
    <t>2026-042-4</t>
  </si>
  <si>
    <t>대의원회의 대의원 임기는 규약으로 정하되 3년을 초과할 수 없다.</t>
  </si>
  <si>
    <t>2026-042-1</t>
  </si>
  <si>
    <t>노동조합은 조합설립일부터 30일 이내에 회의록을 작성하여 그 주된 사무소에 비치하여야 한다.</t>
  </si>
  <si>
    <t>2026-042-2</t>
  </si>
  <si>
    <t>2026-042-5</t>
  </si>
  <si>
    <t>2026-043-0</t>
  </si>
  <si>
    <t>노동조합 및 노동관계조정법상 총회 및 임시총회등에 관한 설명으로 옳은 것은?</t>
  </si>
  <si>
    <t>2026-043-3</t>
  </si>
  <si>
    <t>노동조합의 대표자는 조합원의 3분의 1 이상이 임시총회 소집권자의 지명을 요구한 때에는 15일 이내에 노동위원회의 의결을 요청하여야 한다.</t>
  </si>
  <si>
    <t>2026-043-5</t>
  </si>
  <si>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</si>
  <si>
    <t>2026-043-4</t>
  </si>
  <si>
    <t>행정관청은 노동조합에 총회의 소집권자가 없는 경우에 조합원의 3분의 1 이상이 회의에 부의할 사항을 제시하고 소집권자의 지명을 요구한 때에는 15일 이내에 회의의 소집권자를 지명하여야 한다.</t>
  </si>
  <si>
    <t>2026-043-1</t>
  </si>
  <si>
    <t>총회에서 임원의 선거는 다수의 찬성을 얻은 자를 임원으로 선출하여야 한다.</t>
  </si>
  <si>
    <t>2026-043-2</t>
  </si>
  <si>
    <t>노동조합의 대표자는 규약으로 총회에 갈음할 대의원회를 둔 경우 임시대의원회를 소집할 수 없다.</t>
  </si>
  <si>
    <t>2026-044-0</t>
  </si>
  <si>
    <t>노동조합 및 노동관계조정법령상 회계감사에 관한 설명으로 옳지 않은 것은?</t>
  </si>
  <si>
    <t>2026-044-5</t>
  </si>
  <si>
    <t>2026-044-4</t>
  </si>
  <si>
    <t>2026-044-1</t>
  </si>
  <si>
    <t>노동조합의 회계감사원은 대의원 3분의 1 이상의 요구가 있는 경우에는 조합원이 아닌 공인회계사로 하여금 회계감사를 실시하게 하여야 한다.</t>
  </si>
  <si>
    <t>2026-044-3</t>
  </si>
  <si>
    <t>2026-044-2</t>
  </si>
  <si>
    <t>노동조합의 대표자는 그 회계감사원으로 하여금 6월에 1회 이상 당해 노동조합의 모든 재원 및 용도등에 대한 회계감사를 실시하게 하고 그 내용과 감사결과를 전체 조합원에게 공개하여야 한다.</t>
  </si>
  <si>
    <t>2026-045-0</t>
  </si>
  <si>
    <t>노동조합 및 노동관계조정법령상 노동조합의 설립 및 관리에 관한 설명으로 옳은 것은?</t>
  </si>
  <si>
    <t>2026-045-5</t>
  </si>
  <si>
    <t>근로시간면제심의위원회는 근로시간 면제 한도를 정할 때 사업 또는 사업장에 종사하는 전체 근로자 수와 해당 업무의 범위 등을 고려하여 시간과 이를 사용할 수 있는 인원으로 정하여야 한다.</t>
  </si>
  <si>
    <t>2026-045-3</t>
  </si>
  <si>
    <t>행정관청은 위법한 단체협약에 대하여 시정명령을 하는 경우 해당 노동조합의 대표자와 해당 사업 또는 사업장의 사용자나 사용자단체에게 그 사실을 서면으로 통보해야 한다.</t>
  </si>
  <si>
    <t>2026-045-4</t>
  </si>
  <si>
    <t>근로시간면제심의위원회에 간사 1명을 두며, 간사는 중앙노동위원회의 소속 직원 중에서 중앙노동위원회 위원장이 지명한다.</t>
  </si>
  <si>
    <t>2026-045-1</t>
  </si>
  <si>
    <t>하나의 사업 또는 사업장을 대상으로 조직된 노동조합의 임원의 자격은 그 사업 또는 사업장에 종사하지 않은 조합원도 선출하도록 규약으로 정할 수 있다.</t>
  </si>
  <si>
    <t>2026-045-2</t>
  </si>
  <si>
    <t>행정관청은 매년 2월 말까지 노동단체카드 사본을 노동위원회에 제출해야 한다.</t>
  </si>
  <si>
    <t>2026-046-0</t>
  </si>
  <si>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</si>
  <si>
    <t>2026-046-5</t>
  </si>
  <si>
    <t>2026-046-3</t>
  </si>
  <si>
    <t>ㄱ, ㄷ, ㄷ</t>
  </si>
  <si>
    <t>2026-046-1</t>
  </si>
  <si>
    <t>2026-046-4</t>
  </si>
  <si>
    <t>2026-046-2</t>
  </si>
  <si>
    <t>2026-047-0</t>
  </si>
  <si>
    <t>2026-047-2</t>
  </si>
  <si>
    <t>근로시간면제심의위원회는 근로시간 면제 한도를 2년마다 그 적정성 여부를 재심의하여 의결하여야 한다.</t>
  </si>
  <si>
    <t>2026-047-1</t>
  </si>
  <si>
    <t>행정관청은 노동조합의 처분이 규약에 위반된다고 인정할 경우 이해관계인의 신청이 없으면 노동위원회의 의결을 얻어 그 시정을 명할 수 없다.</t>
  </si>
  <si>
    <t>2026-047-3</t>
  </si>
  <si>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</si>
  <si>
    <t>2026-047-5</t>
  </si>
  <si>
    <t>행정관청은 노동조합으로부터 운영상황의 보고를 받으려는 경우에는 그 사유와 그 밖에 필요한 사항을 적은 서면으로 10일 이전에 요구해야 한다.</t>
  </si>
  <si>
    <t>2026-047-4</t>
  </si>
  <si>
    <t>노동조합이 분할로 소멸한 경우로 해산한 때에는 그 대표자는 해산한 날부터 15일 이내에 행정관청에게 이를 신고하여야 한다.</t>
  </si>
  <si>
    <t>2026-048-0</t>
  </si>
  <si>
    <t>노동조합 및 노동관계조정법령상 노동조합의 설립에 관한 설명으로 옳은 것은?</t>
  </si>
  <si>
    <t>2026-048-3</t>
  </si>
  <si>
    <t>노동조합이 설립신고증을 교부받은 후 주로 정치운동을 목적으로 하는 경우에 해당하는 설립신고서의 반려사유가 발생한 경우에는 행정관청은 20일의 기간을 정하여 시정을 요구하여야 한다.</t>
  </si>
  <si>
    <t>2026-048-5</t>
  </si>
  <si>
    <t>산업별 연합단체인 노동조합은 해당 노동조합에 가입한 노동조합의 활동에 대해 지도할 수 없다.</t>
  </si>
  <si>
    <t>2026-048-1</t>
  </si>
  <si>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</si>
  <si>
    <t>2026-048-4</t>
  </si>
  <si>
    <t>노동조합이 행정관청에 전년도 12월 31일 현재의 조합원수를 통보할 때 둘 이상의 사업 또는 사업장의 근로자로 구성된 단위노동조합의 경우에는 통합하여 조합원수를 통보할 수 있다.</t>
  </si>
  <si>
    <t>2026-048-2</t>
  </si>
  <si>
    <t>행정관청은 노동조합에 설립신고증을 교부한 때에는 지체 없이 그 사실을 관할 노동위원회와 해당 사업 또는 사업장의 사용자나 사용자단체에 통보해야 한다.</t>
  </si>
  <si>
    <t>2026-049-0</t>
  </si>
  <si>
    <t>2026-049-3</t>
  </si>
  <si>
    <t>2026-049-1</t>
  </si>
  <si>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</si>
  <si>
    <t>2026-049-2</t>
  </si>
  <si>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</si>
  <si>
    <t>2026-049-4</t>
  </si>
  <si>
    <t>｢노동조합 및 노동관계조정법｣상 근로자에 해당하는지는 노무제공관계의 실질에 비추어 노동3권을 보장할 필요성이 있는지라는 관점에서 판단하여야 한다.</t>
  </si>
  <si>
    <t>2026-049-5</t>
  </si>
  <si>
    <t>법외노조 통보는 적법하게 설립된 노동조합의 법적 지위를 박탈하는 중대한 침익적 처분이다.</t>
  </si>
  <si>
    <t>2026-050-0</t>
  </si>
  <si>
    <t>2026-050-1</t>
  </si>
  <si>
    <t>2026-050-3</t>
  </si>
  <si>
    <t>노동위원회는 공정대표의무 위반의 시정신청에 따른 심문을 할 때에는 직권으로 증인을 출석하게 하여 필요한 사항을 질문할 수 있다.</t>
  </si>
  <si>
    <t>2026-050-2</t>
  </si>
  <si>
    <t>교섭창구 단일화 절차에 참여한 노동조합은 단체협약의 내용의 일부가 공정대표의무에 위반되는 경우에는 단체협약 체결일부터 3개월 이내에 노동위원회에 그 시정을 요청할 수 있다.</t>
  </si>
  <si>
    <t>2026-050-4</t>
  </si>
  <si>
    <t>2026-050-5</t>
  </si>
  <si>
    <t>교섭대표노동조합이 단체교섭 과정의 모든 단계에서 교섭창구 단일화절차에 참여한 소수노동조합에 대하여 일체의 정보제공 및 의견수렴 절차를 거쳐야 절차적 공정대표의무를 이행한 것이다.</t>
  </si>
  <si>
    <t>2026-051-0</t>
  </si>
  <si>
    <t>노동조합 및 노동관계조정법령상 단체교섭 및 단체협약 체결 당사자의 권한에 관한 설명으로 옳지 않은 것은? (다툼이 있으면 판례에 따름)</t>
  </si>
  <si>
    <t>2026-051-1</t>
  </si>
  <si>
    <t>2026-051-2</t>
  </si>
  <si>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</si>
  <si>
    <t>2026-051-5</t>
  </si>
  <si>
    <t>노동관계당사자가 단체교섭 또는 단체협약의 체결에 관한 권한을 위임하는 경우에는 교섭사항과 권한범위를 정하여 위임하여야 한다.</t>
  </si>
  <si>
    <t>2026-051-3</t>
  </si>
  <si>
    <t>교섭창구 단일화 제도의 취지나 목적 등을 고려하면 교섭대표노동조합의 대표자는 단체협약 체결 여부에 대해 원칙적으로 소수노동조합이나 그 조합원의 의사에 기속되지 않는다.</t>
  </si>
  <si>
    <t>2026-051-4</t>
  </si>
  <si>
    <t>노동조합과 단체교섭을 할 상대방인 사용자단체는 노동관계에 관하여 그 구성원인 사용자에 대하여 조정 또는 규제할 수 있는 권한을 가진 자이어야 한다.</t>
  </si>
  <si>
    <t>2026-052-0</t>
  </si>
  <si>
    <t>2026-052-3</t>
  </si>
  <si>
    <t>노동조합과 사용자 또는 사용자단체는 정당한 이유 없이 단체교섭 또는 단체협약의 체결을 거부하거나 해태하여서는 아니된다.</t>
  </si>
  <si>
    <t>2026-052-1</t>
  </si>
  <si>
    <t>단체적 노사관계의 운영에 관한 사항으로 사용자가 처분할 수 있는 사항은 단체교섭의 대상이 된다.</t>
  </si>
  <si>
    <t>2026-052-5</t>
  </si>
  <si>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</si>
  <si>
    <t>2026-052-4</t>
  </si>
  <si>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</si>
  <si>
    <t>2026-052-2</t>
  </si>
  <si>
    <t>2026-053-0</t>
  </si>
  <si>
    <t>노동조합 및 노동관계조정법령상 단체협약의 구속력에 관한 설명으로 옳은 것은? (다툼이 있으면 판례에 따름)</t>
  </si>
  <si>
    <t>2026-053-5</t>
  </si>
  <si>
    <t>행정관청이 단체협약의 지역적 구속력 적용 결정을 한 때에는 별도의 적용기간을 정하여 이를 공고하여야 한다.</t>
  </si>
  <si>
    <t>2026-053-4</t>
  </si>
  <si>
    <t>행정관청은 노동위원회의 의결을 얻더라도 직권으로 단체협약의 지역적 구속력 적용 결정을 할 수 없다.</t>
  </si>
  <si>
    <t>2026-053-2</t>
  </si>
  <si>
    <t>단체협약에서 노동조합규약과 달리 조합원 자격규정을 둔 경우, 단체협약의 일반적 구속력 적용은 노동조합규약에 따른다.</t>
  </si>
  <si>
    <t>2026-053-1</t>
  </si>
  <si>
    <t>단체협약의 지역적 구속력은 이미 별도의 단체협약을 체결하여 그 협약의 적용을 받고 있는 근로자에게는 미치지 않는다.</t>
  </si>
  <si>
    <t>2026-053-3</t>
  </si>
  <si>
    <t>2026-054-0</t>
  </si>
  <si>
    <t>2026-054-1</t>
  </si>
  <si>
    <t>노동조합이 사용자에게 교섭을 요구하는 때에는 노동조합의 명칭, 교섭을 요구한 날 현재의 종사근로자인 조합원 수 등 고용노동부령으로 정하는 사항을 적은 서면으로 하여야 한다.</t>
  </si>
  <si>
    <t>2026-054-3</t>
  </si>
  <si>
    <t>노동조합은 사용자가 교섭요구 사실의 공고를 하지 아니하거나 다르게 공고하는 경우에는 고용노동부령으로 정하는 바에 따라 행정관청에 이의신청을 제기할 수 있다.</t>
  </si>
  <si>
    <t>2026-054-2</t>
  </si>
  <si>
    <t>노동조합은 사업장에 단체협약이 2개 이상 있는 경우에는 마지막에 이르는 단체협약의 유효기간 만료일 이전 3개월이 되는 날부터 사용자에게 교섭을 요구할 수 있다.</t>
  </si>
  <si>
    <t>2026-054-5</t>
  </si>
  <si>
    <t>단위노동조합이 당해 노동조합이 가입한 상부 연합단체에 단체교섭권한을 위임한 경우에는 단위노동조합의 단체교섭권한은 존재하지 아니한다.</t>
  </si>
  <si>
    <t>2026-054-4</t>
  </si>
  <si>
    <t>노동조합이 단체교섭에 관한 권한을 위임한 때에는 그 사실을 노동위원회에 신고하여야 한다.</t>
  </si>
  <si>
    <t>2026-055-0</t>
  </si>
  <si>
    <t>2026-055-1</t>
  </si>
  <si>
    <t>2026-055-4</t>
  </si>
  <si>
    <t>2026-055-5</t>
  </si>
  <si>
    <t>노동조합은 단체협약의 유효기간 중에 단체협약에서 정한 근로조건 등에 관한 내용의 변경이나 폐지를 요구하는 쟁의행위를 행하지 아니하여야 할 이른바 평화의무를 지고 있다.</t>
  </si>
  <si>
    <t>2026-055-3</t>
  </si>
  <si>
    <t>단체협약의 이행방법에 관하여 관계 당사자간에 의견의 불일치가 있는 때에는 단체협약에 정하는 바에 의하여 어느 일방이 노동위원회에 그 이행방법에 관한 견해의 제시를 요청할 수 있다.</t>
  </si>
  <si>
    <t>2026-055-2</t>
  </si>
  <si>
    <t>단체협약의 당사자는 단체협약의 체결일부터 15일 이내에 행정관청에 당사자 쌍방이 연명으로 신고해야 한다.</t>
  </si>
  <si>
    <t>2026-056-0</t>
  </si>
  <si>
    <t>2026-056-1</t>
  </si>
  <si>
    <t>2026-056-2</t>
  </si>
  <si>
    <t>2026-056-5</t>
  </si>
  <si>
    <t>교섭단위 분리신청에 대한 노동위원회의 결정이 있기 전에 교섭 요구가 있는 때에는 교섭단위를 분리하는 결정이 있을 때까지 교섭요구 사실의 공고 등 교섭창구 단일화 절차의 진행은 정지된다.</t>
  </si>
  <si>
    <t>2026-056-3</t>
  </si>
  <si>
    <t>교섭단위 분리의 신청이 제기된 사업장의 모든 노동조합과 사용자는 신청한 날로부터 14일 이내에 노동위원회에 출석하여 의견을 제출하여야 한다.</t>
  </si>
  <si>
    <t>2026-056-4</t>
  </si>
  <si>
    <t>교섭단위의 분리신청은 사용자가 교섭요구 사실을 공고하기 전 뿐만 아니라, 사용자가 교섭요구 사실을 공고한 경우에는 교섭대표노동조합이 결정된 날 이후에도 가능하다.</t>
  </si>
  <si>
    <t>2026-057-0</t>
  </si>
  <si>
    <t>노동조합 및 노동관계조정법령상 교섭창구 단일화 절차에 관한 설명으로 옳지 않은 것은?</t>
  </si>
  <si>
    <t>2026-057-4</t>
  </si>
  <si>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</si>
  <si>
    <t>2026-057-2</t>
  </si>
  <si>
    <t>사용자는 노동조합으로부터 교섭요구를 받은 때에는 그 요구를 받은 날부터 7일간 그 교섭을 요구한 노동조합의 명칭 등을 해당 사업 또는 사업장의 게시판 등에 공고하여야 한다.</t>
  </si>
  <si>
    <t>2026-057-3</t>
  </si>
  <si>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</si>
  <si>
    <t>2026-057-1</t>
  </si>
  <si>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</si>
  <si>
    <t>2026-057-5</t>
  </si>
  <si>
    <t>교섭대표노동조합으로 결정된 노동조합이 그 결정된 날로부터 1년 동안 단체협약을 체결하지 못한 경우에는 어느 노동조합이든지 사용자에게 교섭을 요구할 수 있다.</t>
  </si>
  <si>
    <t>2026-058-0</t>
  </si>
  <si>
    <t>2026-058-2</t>
  </si>
  <si>
    <t>2026-058-4</t>
  </si>
  <si>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</si>
  <si>
    <t>2026-058-3</t>
  </si>
  <si>
    <t>근로를 불완전하게 제공하는 형태의 쟁의행위인 태업은 근로제공이 일부 정지되는 것이라고 할 수 있으므로, 여기에는 무노동 무임금 원칙이 적용되지 않는다.</t>
  </si>
  <si>
    <t>2026-058-5</t>
  </si>
  <si>
    <t>｢방위사업법｣에 의하여 지정된 주요방위산업체에 종사하는 근로자 중 방산물자의 완성에 필요한 성능검사 업무에 종사하는 자는 쟁의행위를 할 수 없다.</t>
  </si>
  <si>
    <t>2026-058-1</t>
  </si>
  <si>
    <t>2026-059-0</t>
  </si>
  <si>
    <t>2026-059-1</t>
  </si>
  <si>
    <t>노동관계 당사자는 노동쟁의가 발생한 때에는 어느 일방이 이를 노동위원회에 서면으로 통보하여야 한다.</t>
  </si>
  <si>
    <t>2026-059-5</t>
  </si>
  <si>
    <t>2026-059-4</t>
  </si>
  <si>
    <t>2026-059-3</t>
  </si>
  <si>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</si>
  <si>
    <t>2026-059-2</t>
  </si>
  <si>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</si>
  <si>
    <t>2026-060-0</t>
  </si>
  <si>
    <t>2026-060-5</t>
  </si>
  <si>
    <t>조정위원회 또는 단독조정인은 기일을 정하여 관계 당사자 쌍방을 출석하게 하여 주장의 요점을 확인하여야 한다.</t>
  </si>
  <si>
    <t>2026-060-4</t>
  </si>
  <si>
    <t>2026-060-2</t>
  </si>
  <si>
    <t>노동쟁의의 조정은 조정의 신청이 있은 날부터 일반사업에 있어서는 10일, 공익사업에 있어서는 15일 이내에 종료하여야 한다.</t>
  </si>
  <si>
    <t>2026-060-1</t>
  </si>
  <si>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</si>
  <si>
    <t>2026-060-3</t>
  </si>
  <si>
    <t>2026-061-0</t>
  </si>
  <si>
    <t>2026-061-5</t>
  </si>
  <si>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</si>
  <si>
    <t>2026-061-2</t>
  </si>
  <si>
    <t>조정위원회가 제시한 해석에 관한 견해는 중재재정과 동일한 효력을 가진다.</t>
  </si>
  <si>
    <t>2026-061-1</t>
  </si>
  <si>
    <t>2026-061-3</t>
  </si>
  <si>
    <t>중재재정의 내용은 단체협약과 동일한 효력을 가진다.</t>
  </si>
  <si>
    <t>2026-061-4</t>
  </si>
  <si>
    <t>노동위원회의 중재재정은 중앙노동위원회에의 재심신청의 제기에 의하여 그 효력이 정지된다.</t>
  </si>
  <si>
    <t>2026-062-0</t>
  </si>
  <si>
    <t>2026-062-4</t>
  </si>
  <si>
    <t>2026-062-1</t>
  </si>
  <si>
    <t>2026-062-5</t>
  </si>
  <si>
    <t>관계 당사자는 지방노동위원회의 중재재정이 월권에 의한 것이라고 인정하는 경우에는 그 중재재정서의 송달을 받은 날부터 10일 이내에 중앙노동위원회에 그 재심을 신청할 수 있다.</t>
  </si>
  <si>
    <t>2026-062-3</t>
  </si>
  <si>
    <t>중재위원회의 위원장은 중재위원중에서 호선한다.</t>
  </si>
  <si>
    <t>2026-062-2</t>
  </si>
  <si>
    <t>노동쟁의가 중재에 회부된 때에는 그 날부터 30일간은 쟁의행위를 할 수 없다.</t>
  </si>
  <si>
    <t>2026-063-0</t>
  </si>
  <si>
    <t>노동조합 및 노동관계조정법령상 부당노동행위에 관한 설명으로 옳은 것은? (다툼이 있으면 판례에 따름)</t>
  </si>
  <si>
    <t>2026-063-1</t>
  </si>
  <si>
    <t>부당노동행위구제신청에 따른 구제명령이 객관적으로 보아 그 실현이 불능인 경우라 하더라도 중앙노동위원회 판정의 취소를 구할 소의 이익은 여전히 존재한다고 보아야 한다.</t>
  </si>
  <si>
    <t>2026-063-4</t>
  </si>
  <si>
    <t>노동위원회의 사용자에 대한 부당노동행위 구제명령은 사용자에게 공법상의 의무를 부담시킬 뿐만 아니라, 직접 노사간의 사법상의 법률관계를 발생 또는 변경시키기도 한다.</t>
  </si>
  <si>
    <t>2026-063-5</t>
  </si>
  <si>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</si>
  <si>
    <t>2026-063-2</t>
  </si>
  <si>
    <t>확정된 부당노동행위 구제명령에 위반한 자는 2년 이하의 징역 또는 2천만원 이하의 벌금에 처한다.</t>
  </si>
  <si>
    <t>2026-063-3</t>
  </si>
  <si>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</si>
  <si>
    <t>2026-064-0</t>
  </si>
  <si>
    <t>2026-064-5</t>
  </si>
  <si>
    <t>중앙노동위원회의 재심판정에 대하여 관계 당사자는 그 재심판정서의 송달을 받은 날부터 30일 이내에 ｢행정소송법｣이 정하는 바에 의하여 소를 제기할 수 있다.</t>
  </si>
  <si>
    <t>2026-064-2</t>
  </si>
  <si>
    <t>노동위원회의 구제명령은 행정소송의 제기에 의하여 그 효력이 정지된다.</t>
  </si>
  <si>
    <t>2026-064-1</t>
  </si>
  <si>
    <t>2026-064-3</t>
  </si>
  <si>
    <t>부당노동행위 구제의 신청은 부당노동행위가 계속하는 행위인 경우 그 종료일부터 3월 이내에 이를 행하여야 한다.</t>
  </si>
  <si>
    <t>2026-064-4</t>
  </si>
  <si>
    <t>2026-065-0</t>
  </si>
  <si>
    <t>노동조합 및 노동관계조정법에 관한 설명으로 옳은 것은?</t>
  </si>
  <si>
    <t>2026-065-2</t>
  </si>
  <si>
    <t>사용자는 ｢노동조합 및 노동관계조정법｣에 따른 단체교섭으로 인하여 손해를 입은 경우에 노동조합에 대하여 그 배상을 청구할 수 없다.</t>
  </si>
  <si>
    <t>2026-065-1</t>
  </si>
  <si>
    <t>사용자의 불법행위에 대하여 근로자의 이익을 방위하기 위하여 부득이 사용자에게 손해를 가한 근로자는 노동조합과 달리 배상할 책임이 있다.</t>
  </si>
  <si>
    <t>2026-065-4</t>
  </si>
  <si>
    <t>사용자는 현행 ｢노동조합 및 노동관계조정법｣시행 전 발생한 쟁의행위로 인한 노동조합의 손해배상 책임을 면제할 수 없다.</t>
  </si>
  <si>
    <t>2026-065-3</t>
  </si>
  <si>
    <t>사용자는 그 밖의 노동조합의 활동으로 인한 노동조합의 손해배상 등 책임을 면제하여야 한다.</t>
  </si>
  <si>
    <t>2026-065-5</t>
  </si>
  <si>
    <t>신원보증인은 쟁의행위 중 근로자의 고의로 인한 행위로 발생한 손해를 배상할 책임이 있다.</t>
  </si>
  <si>
    <t>2026-066-0</t>
  </si>
  <si>
    <t>근로자참여 및 협력증진에 관한 법령상 노사협의회의 운영에 관한 설명으로 옳지 않은 것은?</t>
  </si>
  <si>
    <t>2026-066-1</t>
  </si>
  <si>
    <t>2026-066-5</t>
  </si>
  <si>
    <t>노사협의회규정을 제정하거나 변경할 경우에는 노사협의회의 의결을 거쳐야 한다.</t>
  </si>
  <si>
    <t>2026-066-4</t>
  </si>
  <si>
    <t>의장은 회의 개최 7일 전에 회의 일시, 장소, 의제 등을 각 위원에게 통보하여야 한다.</t>
  </si>
  <si>
    <t>2026-066-3</t>
  </si>
  <si>
    <t>의장은 노사 일방의 대표자가 회의의 목적을 문서로 밝혀 회의의 소집을 요구하면 그 요구에 따라야 한다.</t>
  </si>
  <si>
    <t>2026-066-2</t>
  </si>
  <si>
    <t>2026-067-0</t>
  </si>
  <si>
    <t>근로자참여 및 협력증진에 관한 법률상 노사협의회의 임무 중 협의 사항이 아닌 것은?</t>
  </si>
  <si>
    <t>2026-067-1</t>
  </si>
  <si>
    <t>생산성 향상과 성과 배분</t>
  </si>
  <si>
    <t>2026-067-4</t>
  </si>
  <si>
    <t>2026-067-2</t>
  </si>
  <si>
    <t>2026-067-5</t>
  </si>
  <si>
    <t>2026-067-3</t>
  </si>
  <si>
    <t>2026-068-0</t>
  </si>
  <si>
    <t>근로자참여 및 협력증진에 관한 법령상 고충처리에 관한 설명으로 옳지 않은 것은?</t>
  </si>
  <si>
    <t>2026-068-1</t>
  </si>
  <si>
    <t>2026-068-2</t>
  </si>
  <si>
    <t>고충처리위원이 고충사항의 처리에 관하여 협의하거나 고충처리 업무에 사용한 시간은 근로한 시간으로 본다.</t>
  </si>
  <si>
    <t>2026-068-4</t>
  </si>
  <si>
    <t>고충처리위원은 노사를 대표하는 3명 이내의 위원으로 구성한다.</t>
  </si>
  <si>
    <t>2026-068-5</t>
  </si>
  <si>
    <t>고충처리위원은 노사협의회가 설치되어 있지 아니한 사업이나 사업장의 경우에는 근로자대표가 위촉한다.</t>
  </si>
  <si>
    <t>2026-068-3</t>
  </si>
  <si>
    <t>사용자는 고충처리위원의 직무수행과 관련하여 고충처리위원에게 불리한 처분을 하여서는 아니 된다.</t>
  </si>
  <si>
    <t>2026-069-0</t>
  </si>
  <si>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</si>
  <si>
    <t>2026-069-5</t>
  </si>
  <si>
    <t>2,000만원</t>
  </si>
  <si>
    <t>2026-069-3</t>
  </si>
  <si>
    <t>500만원</t>
  </si>
  <si>
    <t>2026-069-1</t>
  </si>
  <si>
    <t>200만원</t>
  </si>
  <si>
    <t>2026-069-2</t>
  </si>
  <si>
    <t>300만원</t>
  </si>
  <si>
    <t>2026-069-4</t>
  </si>
  <si>
    <t>1,000만원</t>
  </si>
  <si>
    <t>2026-070-0</t>
  </si>
  <si>
    <t>2026-070-4</t>
  </si>
  <si>
    <t>특별노동위원회는 관계 법률에서 정하는 사항을 관장하기 위하여 필요한 경우에 해당 사항을 관장하는 중앙노동위원회의 소속으로 둔다.</t>
  </si>
  <si>
    <t>2026-070-5</t>
  </si>
  <si>
    <t>중앙노동위원회는 다른 법률에서 그 권한에 속하는 것으로 규정된 사건을 관장한다.</t>
  </si>
  <si>
    <t>2026-070-1</t>
  </si>
  <si>
    <t>2026-070-2</t>
  </si>
  <si>
    <t>중앙노동위원회는 특별노동위원회의 처분에 대한 재심사건을 관장한다.</t>
  </si>
  <si>
    <t>2026-070-3</t>
  </si>
  <si>
    <t>지방노동위원회는 고용노동부장관 소속으로 둔다.</t>
  </si>
  <si>
    <t>2026-071-0</t>
  </si>
  <si>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</si>
  <si>
    <t>2026-071-5</t>
  </si>
  <si>
    <t>2026-071-4</t>
  </si>
  <si>
    <t>2026-071-3</t>
  </si>
  <si>
    <t>2026-071-2</t>
  </si>
  <si>
    <t>2026-071-1</t>
  </si>
  <si>
    <t>2026-072-0</t>
  </si>
  <si>
    <t>노동위원회법상 사건 처리와 관련하여 행정심판법을 준용하는 것을 모두 고른 것은?
ㄱ. 선정대표자
ㄷ. 대리인의 선임
ㄴ. 대리의 흠과 추인
ㄹ. 당사자의 지위 승계</t>
  </si>
  <si>
    <t>2026-072-2</t>
  </si>
  <si>
    <t>2026-072-3</t>
  </si>
  <si>
    <t>2026-072-4</t>
  </si>
  <si>
    <t>2026-072-1</t>
  </si>
  <si>
    <t>2026-072-5</t>
  </si>
  <si>
    <t>2026-073-0</t>
  </si>
  <si>
    <t>2026-073-4</t>
  </si>
  <si>
    <t>2026-073-5</t>
  </si>
  <si>
    <t>｢노동위원회법｣에 따라 작성된 화해조서는 ｢노동조합 및 노동관계조정법｣에 따른 중재재정의 효력을 갖는다.</t>
  </si>
  <si>
    <t>2026-073-1</t>
  </si>
  <si>
    <t>화해조서에는 관계 당사자와 화해에 관여한 부문별 위원회의 위원 전원이 모두 서명하거나 날인하여야 한다.</t>
  </si>
  <si>
    <t>2026-073-3</t>
  </si>
  <si>
    <t>노동위원회는 화해안을 작성할 때 관계 당사자의 의견을 충분히 들어야 한다.</t>
  </si>
  <si>
    <t>2026-073-2</t>
  </si>
  <si>
    <t>2026-074-0</t>
  </si>
  <si>
    <t>공무원의 노동조합 설립 및 운영 등에 관한 법령상 부당노동행위에 관한 설명으로 옳은 것은?</t>
  </si>
  <si>
    <t>2026-074-2</t>
  </si>
  <si>
    <t>행정안전부 공무원으로부터 구제신청을 받았을 때에는 노동위원회는 지체 없이 그 사실을 고용노동부장관에 알려야 한다.</t>
  </si>
  <si>
    <t>2026-074-5</t>
  </si>
  <si>
    <t>확정된 구제명령에 위반한 자는 2년 이하의 징역 또는 2천만원 이하의 벌금에 처한다.</t>
  </si>
  <si>
    <t>2026-074-4</t>
  </si>
  <si>
    <t>정부교섭대표가 공무원의 노동조합의 대표자와의 단체협약체결 기타의 단체교섭을 정당한 이유없이 거부하더라도 처벌받지 않는다.</t>
  </si>
  <si>
    <t>2026-074-1</t>
  </si>
  <si>
    <t>부당노동행위 구제신청 사건에 관하여는 중앙노동위원회의 공무원 노동관계 조정위원회가 관장한다.</t>
  </si>
  <si>
    <t>2026-074-3</t>
  </si>
  <si>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</si>
  <si>
    <t>2026-075-0</t>
  </si>
  <si>
    <t>2026-075-2</t>
  </si>
  <si>
    <t>공무원 노동관계 조정위원회 위원은 중앙노동위원회의 위원중에서 사용자를 대표하는 자, 근로자를 대표하는 자 및 공익을 대표하는 자 각 1인으로 구성한다.</t>
  </si>
  <si>
    <t>2026-075-4</t>
  </si>
  <si>
    <t>중재재정의 해석 또는 이행방법에 관하여 관계 당사자간에 의견의 불일치가 있는 때에는 공무원 노동관계 조정위원회의 해석에 따른다.</t>
  </si>
  <si>
    <t>2026-075-3</t>
  </si>
  <si>
    <t>중앙노동위원회가 제시한 조정안을 당사자의 어느 한쪽이라도 거부한 경우 중앙노동위원회는 지체 없이 중재를 한다.</t>
  </si>
  <si>
    <t>2026-075-5</t>
  </si>
  <si>
    <t>관계당사자는 중앙노동위원회의 중재재정이 위법한 것이라고 인정하는 경우에 한하여 행정소송을 제기할 수 있다.</t>
  </si>
  <si>
    <t>2026-075-1</t>
  </si>
  <si>
    <t>중앙노동위원회는 관계 당사자 쌍방의 신청이 있는 경우에는 공무원 노동관계 조정위원회에 갈음하여 단독조정인에게 조정을 행하게 할 수 있다.</t>
  </si>
  <si>
    <t>2026-076-0</t>
  </si>
  <si>
    <t>2026-076-1</t>
  </si>
  <si>
    <t>정부교섭대표는 효율적인 교섭을 위하여 필요한 경우 다른 정부교섭대표와 공동으로 교섭할 수 있다.</t>
  </si>
  <si>
    <t>2026-076-2</t>
  </si>
  <si>
    <t>고용노동부장관은 단체협약중 위법한 내용이 있는 경우에는 노동위원회의 의결을 얻어 그 시정을 명할 수 있다.</t>
  </si>
  <si>
    <t>2026-076-5</t>
  </si>
  <si>
    <t>단체협약의 내용중 임금에 관한 사항을 위반한 자는 1천만원 이하의 벌금에 처한다.</t>
  </si>
  <si>
    <t>2026-076-3</t>
  </si>
  <si>
    <t>2026-076-4</t>
  </si>
  <si>
    <t>정부교섭대표는 교섭을 요구하는 공무원의 노동조합이 둘 이상인 경우에는 해당 노동조합에 교섭창구를 단일화하도록 요청할 수 있다.</t>
  </si>
  <si>
    <t>2026-077-0</t>
  </si>
  <si>
    <t>교원의 노동조합 설립 및 운영 등에 관한 법령상 단체교섭 및 단체협약에 관한 설명으로 옳지 않은 것은?</t>
  </si>
  <si>
    <t>2026-077-4</t>
  </si>
  <si>
    <t>2026-077-1</t>
  </si>
  <si>
    <t>교원의 노동조합의 교섭위원은 해당 노동조합의 대표자와 그 조합원으로 구성하여야 한다.</t>
  </si>
  <si>
    <t>2026-077-5</t>
  </si>
  <si>
    <t>2026-077-2</t>
  </si>
  <si>
    <t>교섭노동조합이 둘 이상인 경우 자율적 합의로 교섭창구를 단일화하지 못하면 교섭창구 단일화 절차에 참여한 노동조합의 전체 조합원 과반수로 조직된 노동조합이 교섭대표노동조합이 된다.</t>
  </si>
  <si>
    <t>2026-077-3</t>
  </si>
  <si>
    <t>2026-078-0</t>
  </si>
  <si>
    <t>교원의 노동조합 설립 및 운영 등에 관한 법령에 관한 설명으로 옳은 것은?</t>
  </si>
  <si>
    <t>2026-078-5</t>
  </si>
  <si>
    <t>교원으로 임용되어 근무하였던 사람은 노동조합 규약으로 정하더라도 교원의 노동조합에 가입할 수 없다.</t>
  </si>
  <si>
    <t>2026-078-1</t>
  </si>
  <si>
    <t>교원근무시간면제심의위원회의 사용자를 대표하는 위원은 교육부장관이 추천하는 사람으로 구성한다.</t>
  </si>
  <si>
    <t>2026-078-3</t>
  </si>
  <si>
    <t>2026-078-4</t>
  </si>
  <si>
    <t>교원은 임용권자로부터 급여를 지급받으면서 노동조합의 업무에만 종사할 수 있다.</t>
  </si>
  <si>
    <t>2026-078-2</t>
  </si>
  <si>
    <t>임용권자는 근무시간면제자가 업무 외의 목적으로 근무시간 면제 시간을 사용하는 경우 해당 근무시간면제자의 변경을 교원근무시간면제심의위원회에 요청할 수 있다.</t>
  </si>
  <si>
    <t>2026-079-0</t>
  </si>
  <si>
    <t>교원의 노동조합 설립 및 운영 등에 관한 법령상 조정 및 중재에 관한 설명으로 옳지 않은 것은?</t>
  </si>
  <si>
    <t>2026-079-2</t>
  </si>
  <si>
    <t>2026-079-4</t>
  </si>
  <si>
    <t>교원 노동관계 조정위원회 조정담당 공익위원은 고용노동부장관의 제청으로 대통령이 위촉한다.</t>
  </si>
  <si>
    <t>2026-079-5</t>
  </si>
  <si>
    <t>중앙노동위원회는 노동쟁의 조정을 하게 된 경우에는 지체 없이 서면으로 관계 당사자에게 각각 알려야 한다.</t>
  </si>
  <si>
    <t>2026-079-3</t>
  </si>
  <si>
    <t>조정신청을 받은 중앙노동위원회는 그 신청 내용이 조정의 대상이 아니라고 인정하는 경우에는 신청인에게 그 사유와 조정 외의 다른 해결방법을 알려주어야 한다.</t>
  </si>
  <si>
    <t>2026-079-1</t>
  </si>
  <si>
    <t>중앙노동위원회는 조정신청을 받은 날부터 30일 이내에 조정을 마쳐야 한다.</t>
  </si>
  <si>
    <t>2026-080-0</t>
  </si>
  <si>
    <t>2026-080-4</t>
  </si>
  <si>
    <t>근로3권은 사회적 보호기능을 담당하는 자유권이다.</t>
  </si>
  <si>
    <t>2026-080-2</t>
  </si>
  <si>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</si>
  <si>
    <t>2026-080-1</t>
  </si>
  <si>
    <t>근로3권이 제대로 보호되기 위하여는 근로자의 권리행사의 실질적 조건을 형성하고 유지해야 할 국가의 적극적인 활동 즉 적절한 입법조치를 필요로 한다.</t>
  </si>
  <si>
    <t>2026-080-3</t>
  </si>
  <si>
    <t>근로3권은 법률의 제정이라는 국가의 개입을 통하여 비로소 실현될 수 있는 권리로서 추상적 권리이다.</t>
  </si>
  <si>
    <t>2026-080-5</t>
  </si>
  <si>
    <t>Ⅴ</t>
  </si>
  <si>
    <t>Ⅴ</t>
    <phoneticPr fontId="2" type="noConversion"/>
  </si>
  <si>
    <t>사업자에 종사하지 않는 조합원 × → 사업장 종사 조합원 중 임원 선출</t>
    <phoneticPr fontId="2" type="noConversion"/>
  </si>
  <si>
    <t>노조법 시행규칙 제7조제2항</t>
    <phoneticPr fontId="2" type="noConversion"/>
  </si>
  <si>
    <t>노동위원회 × → 고용노동부장관</t>
    <phoneticPr fontId="2" type="noConversion"/>
  </si>
  <si>
    <t>중앙노동위원회 × → 경제사회노동위원회</t>
    <phoneticPr fontId="2" type="noConversion"/>
  </si>
  <si>
    <t>종사하는 전체 근로자 수 × → 종사하는 근로자인 조합원 수</t>
    <phoneticPr fontId="2" type="noConversion"/>
  </si>
  <si>
    <t>노조법 제81조제2항
ㄱ : 노조법 제81조제2항제2호
ㄴ : 노조법 제81조제2항제3호
ㄷ : 노조법 제81조제2항제4호
ㄹ : 노조법 제81조제2항제5호</t>
    <phoneticPr fontId="2" type="noConversion"/>
  </si>
  <si>
    <t>노조법 제21조제2항</t>
    <phoneticPr fontId="2" type="noConversion"/>
  </si>
  <si>
    <t>노조법 제24조의2제2항</t>
    <phoneticPr fontId="2" type="noConversion"/>
  </si>
  <si>
    <t>노조법 시행령 제13조제3항</t>
    <phoneticPr fontId="2" type="noConversion"/>
  </si>
  <si>
    <t>노조법 제28조제1항제2호, 제28조제2항</t>
    <phoneticPr fontId="2" type="noConversion"/>
  </si>
  <si>
    <t>노조법 시행령 제12조</t>
    <phoneticPr fontId="2" type="noConversion"/>
  </si>
  <si>
    <t>노조법 제12조제2항</t>
    <phoneticPr fontId="2" type="noConversion"/>
  </si>
  <si>
    <t>노조법 시행령 제9조제3항</t>
    <phoneticPr fontId="2" type="noConversion"/>
  </si>
  <si>
    <t>노조법 제12조제3항제1호</t>
    <phoneticPr fontId="2" type="noConversion"/>
  </si>
  <si>
    <t>노조법 시행령 제10조제4항</t>
    <phoneticPr fontId="2" type="noConversion"/>
  </si>
  <si>
    <t>노조법 시행령 제8조제2항</t>
    <phoneticPr fontId="2" type="noConversion"/>
  </si>
  <si>
    <t>7일 이내 신고증 교부  × → 3일 이내 신고증 교부</t>
    <phoneticPr fontId="2" type="noConversion"/>
  </si>
  <si>
    <t>2년마다 × → 3년마다</t>
    <phoneticPr fontId="2" type="noConversion"/>
  </si>
  <si>
    <t>반려에는 시정기간 없음, 보완에 시정기간(20일) 있음</t>
    <phoneticPr fontId="2" type="noConversion"/>
  </si>
  <si>
    <t>통합하여 조합원수를 통보할 수 있다 × → 구분하여 통보해야 한다</t>
    <phoneticPr fontId="2" type="noConversion"/>
  </si>
  <si>
    <t>지도할 수 없다 × → 지도할 수 있다</t>
    <phoneticPr fontId="2" type="noConversion"/>
  </si>
  <si>
    <t>대법원 2014. 4. 10. 선고 2011두6998 판결</t>
    <phoneticPr fontId="2" type="noConversion"/>
  </si>
  <si>
    <t>대법원 2016. 2. 19. 선고 2012다96120 전원합의체 판결</t>
    <phoneticPr fontId="2" type="noConversion"/>
  </si>
  <si>
    <t>대법원 2014. 8. 26. 선고 2012두6063 판결</t>
    <phoneticPr fontId="2" type="noConversion"/>
  </si>
  <si>
    <t>대법원 2018. 6. 15. 선고 2014두12598,12604 판결</t>
    <phoneticPr fontId="2" type="noConversion"/>
  </si>
  <si>
    <t>대법원 2020. 9. 3. 선고 2016두32992 전원합의체 판결</t>
    <phoneticPr fontId="2" type="noConversion"/>
  </si>
  <si>
    <t>총회의 규약개정권한은 소멸된다 × → 총회의 근원적・본질적 규약개정권한까지 소멸시키는 것은 아니다</t>
    <phoneticPr fontId="2" type="noConversion"/>
  </si>
  <si>
    <t>노조법 제29조의4제1항</t>
    <phoneticPr fontId="2" type="noConversion"/>
  </si>
  <si>
    <t>노조법 제29조의4제2항</t>
    <phoneticPr fontId="2" type="noConversion"/>
  </si>
  <si>
    <t>노조법 시행령 제14조의12제3항</t>
    <phoneticPr fontId="2" type="noConversion"/>
  </si>
  <si>
    <t>대법원 2018.8.30. 선고 2017다218642 판결</t>
    <phoneticPr fontId="2" type="noConversion"/>
  </si>
  <si>
    <t>대법원 2020.10.29. 선고 2017다263192 판결</t>
    <phoneticPr fontId="2" type="noConversion"/>
  </si>
  <si>
    <t>노조법 제29조제1항</t>
    <phoneticPr fontId="2" type="noConversion"/>
  </si>
  <si>
    <t>대법원 2011.5.26. 선고 2011다1842,1859,1866,1873 판결</t>
    <phoneticPr fontId="2" type="noConversion"/>
  </si>
  <si>
    <t>노조법 제29조제2항 / 대법원 2020.10.29. 선고 2017다263192 판결</t>
    <phoneticPr fontId="2" type="noConversion"/>
  </si>
  <si>
    <t>분회・지부가 독립된 조직체로서 실질을 갖추고 있는 경우에는 당해 조직이나 그 조합원에 고유한 사항에 대하여 독자적으로 단체교섭하고 단체협약을 체결할 수 있다.</t>
    <phoneticPr fontId="2" type="noConversion"/>
  </si>
  <si>
    <t>노조법 제2조제3호 / 대법원 1999.6.22. 선고 98두137 판결</t>
    <phoneticPr fontId="2" type="noConversion"/>
  </si>
  <si>
    <t>노조법 제33조제1항, 제33조제2항</t>
    <phoneticPr fontId="2" type="noConversion"/>
  </si>
  <si>
    <t>노조법 제30조제1항, 제30조제2항</t>
    <phoneticPr fontId="2" type="noConversion"/>
  </si>
  <si>
    <t>대법원 2018.11.29. 선고 2018두41532 판결</t>
    <phoneticPr fontId="2" type="noConversion"/>
  </si>
  <si>
    <t>대법원 1994.9.13. 선고 93다50017 판결</t>
    <phoneticPr fontId="2" type="noConversion"/>
  </si>
  <si>
    <t>통설</t>
    <phoneticPr fontId="2" type="noConversion"/>
  </si>
  <si>
    <t>대법원 1993.12.21. 선고 92도2247 판결</t>
    <phoneticPr fontId="2" type="noConversion"/>
  </si>
  <si>
    <t>대법원 2004.1.29. 선고 2001다5142 판결</t>
    <phoneticPr fontId="2" type="noConversion"/>
  </si>
  <si>
    <t>노조법 제35조</t>
    <phoneticPr fontId="2" type="noConversion"/>
  </si>
  <si>
    <t>노조법 제36조제1항</t>
    <phoneticPr fontId="2" type="noConversion"/>
  </si>
  <si>
    <t>노조법 제36조제2항</t>
    <phoneticPr fontId="2" type="noConversion"/>
  </si>
  <si>
    <t>일반적 구속력 적용은 노동조합규약에 따른다 × → 단체협약의 규정에 의하여 판단한다</t>
    <phoneticPr fontId="2" type="noConversion"/>
  </si>
  <si>
    <t>노조법 시행령 제14조의2제2항</t>
    <phoneticPr fontId="2" type="noConversion"/>
  </si>
  <si>
    <t>노조법 시행령 제14조의2제1항</t>
    <phoneticPr fontId="2" type="noConversion"/>
  </si>
  <si>
    <t>노조법 시행령 제14조의3제2항</t>
    <phoneticPr fontId="2" type="noConversion"/>
  </si>
  <si>
    <t>노조법 제29조제4항</t>
    <phoneticPr fontId="2" type="noConversion"/>
  </si>
  <si>
    <t>노조법 제29조제3항</t>
    <phoneticPr fontId="2" type="noConversion"/>
  </si>
  <si>
    <t>마지막 × → 먼저</t>
    <phoneticPr fontId="2" type="noConversion"/>
  </si>
  <si>
    <t>행정관청 × → 노동위원회</t>
    <phoneticPr fontId="2" type="noConversion"/>
  </si>
  <si>
    <t>노동위원회 × → 상대방</t>
    <phoneticPr fontId="2" type="noConversion"/>
  </si>
  <si>
    <t>노동위원회에 신고 × → 상대방에게 통보</t>
    <phoneticPr fontId="2" type="noConversion"/>
  </si>
  <si>
    <t>노조법 제31조제1항</t>
    <phoneticPr fontId="2" type="noConversion"/>
  </si>
  <si>
    <t>노조법 제31조제2항</t>
    <phoneticPr fontId="2" type="noConversion"/>
  </si>
  <si>
    <t>노조법 제34조제1항</t>
    <phoneticPr fontId="2" type="noConversion"/>
  </si>
  <si>
    <t>대법원 2005.3.11. 선고 2003다27429 판결</t>
    <phoneticPr fontId="2" type="noConversion"/>
  </si>
  <si>
    <t>대법원 1994.9.30. 선고 94다4042 판결</t>
    <phoneticPr fontId="2" type="noConversion"/>
  </si>
  <si>
    <t>노조법 시행령 제14조의11제2항</t>
    <phoneticPr fontId="2" type="noConversion"/>
  </si>
  <si>
    <t>노조법 제29조의3제2항</t>
    <phoneticPr fontId="2" type="noConversion"/>
  </si>
  <si>
    <t>노조법 시행령 제14조의11제1항제1호, 제2호</t>
    <phoneticPr fontId="2" type="noConversion"/>
  </si>
  <si>
    <t>노조법 시행령 제14조의11제7항</t>
    <phoneticPr fontId="2" type="noConversion"/>
  </si>
  <si>
    <t>제1항에 따른 신청을 받은 노동위원회는 해당 사업 또는 사업장의 모든 노동조합과 사용자에게 그 내용을 통지해야 하며, 그 노동조합과 사용자는 노동위원회가 지정하는 기간까지 의견을 제출할 수 있다.</t>
    <phoneticPr fontId="2" type="noConversion"/>
  </si>
  <si>
    <t>노조법 제29조의2제1항</t>
    <phoneticPr fontId="2" type="noConversion"/>
  </si>
  <si>
    <t>노조법 시행령 제14조의3제1항</t>
    <phoneticPr fontId="2" type="noConversion"/>
  </si>
  <si>
    <t>노조법 시행령 제14조의7제1항, 제2항</t>
    <phoneticPr fontId="2" type="noConversion"/>
  </si>
  <si>
    <t>노조법 시행령 제14조제1항, 제14조제2항제1호, 제2호</t>
    <phoneticPr fontId="2" type="noConversion"/>
  </si>
  <si>
    <t>노조법 시행령 제14조의9제2항</t>
    <phoneticPr fontId="2" type="noConversion"/>
  </si>
  <si>
    <t>노조법 시행령 제14조의10제3항</t>
    <phoneticPr fontId="2" type="noConversion"/>
  </si>
  <si>
    <t>14일 이내 총 14명 이내 × → 10일 이내 총 10명 이내</t>
    <phoneticPr fontId="2" type="noConversion"/>
  </si>
  <si>
    <t>노조법 제38조제1항</t>
    <phoneticPr fontId="2" type="noConversion"/>
  </si>
  <si>
    <t>노조법 제38조제2항</t>
    <phoneticPr fontId="2" type="noConversion"/>
  </si>
  <si>
    <t>대법원 2013.11.28. 선고 2011다39946 판결</t>
    <phoneticPr fontId="2" type="noConversion"/>
  </si>
  <si>
    <t>대법원 2007.12.28. 선고 2007도5204 판결</t>
    <phoneticPr fontId="2" type="noConversion"/>
  </si>
  <si>
    <t>노조법 제41조제2항, 노조법 시행령 제20조</t>
    <phoneticPr fontId="2" type="noConversion"/>
  </si>
  <si>
    <t>태업에도 무노동・무임금 원칙 적용</t>
    <phoneticPr fontId="2" type="noConversion"/>
  </si>
  <si>
    <t>노조법 제45조제1항</t>
    <phoneticPr fontId="2" type="noConversion"/>
  </si>
  <si>
    <t>노조법 제43조제3항, 제4항</t>
    <phoneticPr fontId="2" type="noConversion"/>
  </si>
  <si>
    <t>노조법 시행령 제22조의4제1항</t>
    <phoneticPr fontId="2" type="noConversion"/>
  </si>
  <si>
    <t>노조법 제42조의4제1항</t>
    <phoneticPr fontId="2" type="noConversion"/>
  </si>
  <si>
    <t>노조법 시행령 제22조의3제1항, 노조법 제42조의4제3항</t>
    <phoneticPr fontId="2" type="noConversion"/>
  </si>
  <si>
    <t>노조법 제54조제1항,제2항</t>
    <phoneticPr fontId="2" type="noConversion"/>
  </si>
  <si>
    <t>노조법 제51조</t>
    <phoneticPr fontId="2" type="noConversion"/>
  </si>
  <si>
    <t>노조법 제57조제1항</t>
    <phoneticPr fontId="2" type="noConversion"/>
  </si>
  <si>
    <t>노조법 제58조</t>
    <phoneticPr fontId="2" type="noConversion"/>
  </si>
  <si>
    <t>노조법 제53조제1항, 제54조제1항</t>
    <phoneticPr fontId="2" type="noConversion"/>
  </si>
  <si>
    <t>제53조 조정의 개시 → 지체 없이, 제54조 조정기간 → 일반 10일・공익 15일 이내 종료</t>
    <phoneticPr fontId="2" type="noConversion"/>
  </si>
  <si>
    <t>노조법 제61조제1항, 제2항</t>
    <phoneticPr fontId="2" type="noConversion"/>
  </si>
  <si>
    <t>노조법 제60조제3항, 제4항, 제61조제3항</t>
    <phoneticPr fontId="2" type="noConversion"/>
  </si>
  <si>
    <t>노조법 제68조제1항, 제70조제1항</t>
    <phoneticPr fontId="2" type="noConversion"/>
  </si>
  <si>
    <t>노조법 제69조제1항, 제70조제2항</t>
    <phoneticPr fontId="2" type="noConversion"/>
  </si>
  <si>
    <t>노조법 제60조제2항, 제61조의2제1항</t>
    <phoneticPr fontId="2" type="noConversion"/>
  </si>
  <si>
    <t>노조법 제62조제2호</t>
    <phoneticPr fontId="2" type="noConversion"/>
  </si>
  <si>
    <t>노조법 제63조</t>
    <phoneticPr fontId="2" type="noConversion"/>
  </si>
  <si>
    <t>노조법 제65조제1항,제2항</t>
    <phoneticPr fontId="2" type="noConversion"/>
  </si>
  <si>
    <t>노조법 제68조제1항</t>
    <phoneticPr fontId="2" type="noConversion"/>
  </si>
  <si>
    <t>노조법 제69조제1항</t>
    <phoneticPr fontId="2" type="noConversion"/>
  </si>
  <si>
    <t>30일 × → 15일</t>
    <phoneticPr fontId="2" type="noConversion"/>
  </si>
  <si>
    <t>서울행정법원 2001.6.19. 2000구13609</t>
    <phoneticPr fontId="2" type="noConversion"/>
  </si>
  <si>
    <t>Ⅴ</t>
    <phoneticPr fontId="2" type="noConversion"/>
  </si>
  <si>
    <t>구제명령 실현이 객관적으로 불가능하면 원칙적으로 소의 이익 없음</t>
    <phoneticPr fontId="2" type="noConversion"/>
  </si>
  <si>
    <t>노조법 제89조제2호</t>
    <phoneticPr fontId="2" type="noConversion"/>
  </si>
  <si>
    <t>확정된 구제명령 위반은 3년 이하 징역 또는 3천만원 이하 벌금</t>
    <phoneticPr fontId="2" type="noConversion"/>
  </si>
  <si>
    <t>대법원 1996.10.29. 96다28899</t>
    <phoneticPr fontId="2" type="noConversion"/>
  </si>
  <si>
    <t>유니언 숍에서 선별적 재가입 거부는 권리남용・신의칙 위반</t>
    <phoneticPr fontId="2" type="noConversion"/>
  </si>
  <si>
    <t>구제명령은 공법상 의무만 부담시키며 사법상 법률관계를 직접 변경하지 않음</t>
    <phoneticPr fontId="2" type="noConversion"/>
  </si>
  <si>
    <t>대법원 2011.3.24. 2010다21962</t>
    <phoneticPr fontId="2" type="noConversion"/>
  </si>
  <si>
    <t>노조법 제82조제1항 / 대법원 2022.5.12. 2017두54005</t>
    <phoneticPr fontId="2" type="noConversion"/>
  </si>
  <si>
    <t>개별법의 부당해고(노동조합 구제 신청권 없음)와 집단법의 부당노동행위와 구분 필요</t>
    <phoneticPr fontId="2" type="noConversion"/>
  </si>
  <si>
    <t>보고・설명 사항</t>
    <phoneticPr fontId="2" type="noConversion"/>
  </si>
  <si>
    <t>근참법 제20조제1항제1호</t>
    <phoneticPr fontId="2" type="noConversion"/>
  </si>
  <si>
    <t>근참법 제22조제1항제3호</t>
    <phoneticPr fontId="2" type="noConversion"/>
  </si>
  <si>
    <t>근참법 제20조제1항제13호</t>
    <phoneticPr fontId="2" type="noConversion"/>
  </si>
  <si>
    <t>근참법 제20조제1항제9호</t>
    <phoneticPr fontId="2" type="noConversion"/>
  </si>
  <si>
    <t>근참법 제20조제1항제5호</t>
    <phoneticPr fontId="2" type="noConversion"/>
  </si>
  <si>
    <t>근참법 시행령 제8조제1항</t>
    <phoneticPr fontId="2" type="noConversion"/>
  </si>
  <si>
    <t>근참법 시행령 제8조제3항</t>
    <phoneticPr fontId="2" type="noConversion"/>
  </si>
  <si>
    <t>근참법 시행령 제8조제2항</t>
    <phoneticPr fontId="2" type="noConversion"/>
  </si>
  <si>
    <t>근참법 제27조제1항</t>
  </si>
  <si>
    <t>근참법 제27조제1항</t>
    <phoneticPr fontId="2" type="noConversion"/>
  </si>
  <si>
    <t>근로자대표 × → 사용자</t>
    <phoneticPr fontId="2" type="noConversion"/>
  </si>
  <si>
    <t>근참법 제33조제1항</t>
    <phoneticPr fontId="2" type="noConversion"/>
  </si>
  <si>
    <t>근참법 제30조 : 협의회 설치 거부・방해 등 → 1,000만원 이하 벌금
근참법 제31조 : 시정명령・자료제출 의무 위반 → 500만원 이하 벌금
근참법 제32조 : 정기회의 미개최・고충처리위원 미설치 → 200만원 이하 벌금</t>
    <phoneticPr fontId="2" type="noConversion"/>
  </si>
  <si>
    <t>노위법 제2조제1항</t>
    <phoneticPr fontId="2" type="noConversion"/>
  </si>
  <si>
    <t>노위법 제3조제1항제1호</t>
    <phoneticPr fontId="2" type="noConversion"/>
  </si>
  <si>
    <t>노위법 제2조제2항</t>
    <phoneticPr fontId="2" type="noConversion"/>
  </si>
  <si>
    <t>노위법 제2조제3항</t>
    <phoneticPr fontId="2" type="noConversion"/>
  </si>
  <si>
    <t>노위법 제3조제1항제3호</t>
    <phoneticPr fontId="2" type="noConversion"/>
  </si>
  <si>
    <t>중앙노동위원회 소속 × → 중앙행정기관의 장 소속</t>
    <phoneticPr fontId="2" type="noConversion"/>
  </si>
  <si>
    <t>노위법 시행령 제9조의2제2항제2호</t>
    <phoneticPr fontId="2" type="noConversion"/>
  </si>
  <si>
    <t>노위법 제15조의3
ㄱ : 행정심판법 제15조
ㄴ : 민사소송법 제60조
ㄷ : 행정심판법 제18조
ㄹ : 행정심판법 제16조</t>
    <phoneticPr fontId="2" type="noConversion"/>
  </si>
  <si>
    <t>노위법 제16조의3제4항</t>
    <phoneticPr fontId="2" type="noConversion"/>
  </si>
  <si>
    <t>노위법 제16조의3제1항</t>
    <phoneticPr fontId="2" type="noConversion"/>
  </si>
  <si>
    <t>노위법 제16조의3제2항</t>
    <phoneticPr fontId="2" type="noConversion"/>
  </si>
  <si>
    <t>노위법 제16조의3제3항</t>
    <phoneticPr fontId="2" type="noConversion"/>
  </si>
  <si>
    <t>노위법 제16조의3제5항</t>
    <phoneticPr fontId="2" type="noConversion"/>
  </si>
  <si>
    <t>노조법상 중재재정 × → 민소법상 재판상 화해, 화해조서 = 재판상 화해, 중재재정 = 단체협약</t>
    <phoneticPr fontId="2" type="noConversion"/>
  </si>
  <si>
    <t>공노법 제17조제2항</t>
    <phoneticPr fontId="2" type="noConversion"/>
  </si>
  <si>
    <t>공노법 제17조제2항, 노조법 제82조</t>
    <phoneticPr fontId="2" type="noConversion"/>
  </si>
  <si>
    <t>해당 통지규정 없음</t>
    <phoneticPr fontId="2" type="noConversion"/>
  </si>
  <si>
    <t>공노법 제17조제3항</t>
    <phoneticPr fontId="2" type="noConversion"/>
  </si>
  <si>
    <t>노조법 제88조~제92조 적용배제</t>
    <phoneticPr fontId="2" type="noConversion"/>
  </si>
  <si>
    <t>노조법 제81조제1항제2호 단서 적용배제</t>
    <phoneticPr fontId="2" type="noConversion"/>
  </si>
  <si>
    <t>노조법 제89조제2호 적용배제</t>
    <phoneticPr fontId="2" type="noConversion"/>
  </si>
  <si>
    <t>공무원 노동관계 조정위원회 × → 노동위원회</t>
    <phoneticPr fontId="2" type="noConversion"/>
  </si>
  <si>
    <t>공노법 제14조제2항</t>
    <phoneticPr fontId="2" type="noConversion"/>
  </si>
  <si>
    <t>공노법 제16조제1항</t>
    <phoneticPr fontId="2" type="noConversion"/>
  </si>
  <si>
    <t>「조정위원회 또는 단독조정인」을 「공무원 노동관계 조정위원회」로 보도록 명시적으로 변경</t>
    <phoneticPr fontId="2" type="noConversion"/>
  </si>
  <si>
    <t>공무원 노동관계 조정위원회는 7명 이내의 공익위원으로 구성</t>
    <phoneticPr fontId="2" type="noConversion"/>
  </si>
  <si>
    <t>조정안 거부 자체는 지체 없이 중재를 하는 경우에 해당하지 않는다</t>
    <phoneticPr fontId="2" type="noConversion"/>
  </si>
  <si>
    <t>공노법 제13조제2호</t>
    <phoneticPr fontId="2" type="noConversion"/>
  </si>
  <si>
    <t>위법하거나 월권인 경우 행정소송 제기 가능</t>
    <phoneticPr fontId="2" type="noConversion"/>
  </si>
  <si>
    <t>공노법 제8조제3항</t>
    <phoneticPr fontId="2" type="noConversion"/>
  </si>
  <si>
    <t>공노법 제17조제2항, 노조법 제31조제3항</t>
    <phoneticPr fontId="2" type="noConversion"/>
  </si>
  <si>
    <t>공노법 제9조제4항</t>
    <phoneticPr fontId="2" type="noConversion"/>
  </si>
  <si>
    <t>노조법 제92조 적용배제</t>
    <phoneticPr fontId="2" type="noConversion"/>
  </si>
  <si>
    <t>공노법 제17조제3항, 노조법 제92조</t>
    <phoneticPr fontId="2" type="noConversion"/>
  </si>
  <si>
    <t>공노법 제17조제2항, 제3항, 노조법 제35조</t>
    <phoneticPr fontId="2" type="noConversion"/>
  </si>
  <si>
    <t>노조법 제35조는 적용 제외 규정에 미포함</t>
    <phoneticPr fontId="2" type="noConversion"/>
  </si>
  <si>
    <t>헌재 1998.2.27. 94헌바13</t>
    <phoneticPr fontId="2" type="noConversion"/>
  </si>
  <si>
    <t>헌재 2018.8.30. 2015헌마653</t>
    <phoneticPr fontId="2" type="noConversion"/>
  </si>
  <si>
    <t>교노법 제6조제2항</t>
    <phoneticPr fontId="2" type="noConversion"/>
  </si>
  <si>
    <t>교노법 시행령 제3조의2제3항</t>
    <phoneticPr fontId="2" type="noConversion"/>
  </si>
  <si>
    <t>자율적으로 합의하지 못한 경우에는 교섭노동조합의 조합원 수에 비례하여 교섭위원을 선임</t>
    <phoneticPr fontId="2" type="noConversion"/>
  </si>
  <si>
    <t>교노법 제7조제1항</t>
    <phoneticPr fontId="2" type="noConversion"/>
  </si>
  <si>
    <t>교노법 제14조제1항, 노조법 제31조제2항</t>
    <phoneticPr fontId="2" type="noConversion"/>
  </si>
  <si>
    <t>교노법 제14조제1항, 노조법 제32조제1항</t>
    <phoneticPr fontId="2" type="noConversion"/>
  </si>
  <si>
    <t>교노법 제5조의2제2항, 제14조제1항</t>
    <phoneticPr fontId="2" type="noConversion"/>
  </si>
  <si>
    <t>경제사회노동위원회법 관련 규정에 따름</t>
    <phoneticPr fontId="2" type="noConversion"/>
  </si>
  <si>
    <t>교노법 시행령 제2조의3제4항</t>
    <phoneticPr fontId="2" type="noConversion"/>
  </si>
  <si>
    <t>교원근무시간면제심의위원회 × → 노동조합의 대표자</t>
    <phoneticPr fontId="2" type="noConversion"/>
  </si>
  <si>
    <t>교노법 제2조제3호, 제4조제2항, 제3항</t>
    <phoneticPr fontId="2" type="noConversion"/>
  </si>
  <si>
    <t>설립신고서 제출은 고용노동부장관에게 한다</t>
    <phoneticPr fontId="2" type="noConversion"/>
  </si>
  <si>
    <t>교노법 제4조의2제1호, 제2호</t>
    <phoneticPr fontId="2" type="noConversion"/>
  </si>
  <si>
    <t>교노법 제5조제1항</t>
    <phoneticPr fontId="2" type="noConversion"/>
  </si>
  <si>
    <t>교원의 노동조합 설립 및 운영 등에 관한 법률</t>
    <phoneticPr fontId="2" type="noConversion"/>
  </si>
  <si>
    <t>교노법 제9조제3항</t>
    <phoneticPr fontId="2" type="noConversion"/>
  </si>
  <si>
    <t>교노법 제11조제1항</t>
    <phoneticPr fontId="2" type="noConversion"/>
  </si>
  <si>
    <t>교노법 시행령 제6조제2항</t>
    <phoneticPr fontId="2" type="noConversion"/>
  </si>
  <si>
    <t>교노법 제11조제2항</t>
    <phoneticPr fontId="2" type="noConversion"/>
  </si>
  <si>
    <t>교노법 시행령 제6조제3항</t>
    <phoneticPr fontId="2" type="noConversion"/>
  </si>
  <si>
    <t>중앙노동위원회 위원장이 지명하는 조정담당 공익위원 3명으로 구성</t>
    <phoneticPr fontId="2" type="noConversion"/>
  </si>
  <si>
    <t>노동조합의 설립</t>
    <phoneticPr fontId="2" type="noConversion"/>
  </si>
  <si>
    <t>노동조합의 운영과 활동</t>
    <phoneticPr fontId="2" type="noConversion"/>
  </si>
  <si>
    <t>부당노동행위의 유형</t>
    <phoneticPr fontId="2" type="noConversion"/>
  </si>
  <si>
    <t>단체교섭</t>
    <phoneticPr fontId="2" type="noConversion"/>
  </si>
  <si>
    <t>단체협약</t>
    <phoneticPr fontId="2" type="noConversion"/>
  </si>
  <si>
    <t>쟁의행위의 정당성</t>
    <phoneticPr fontId="2" type="noConversion"/>
  </si>
  <si>
    <t>노동쟁의조정의 유형 및 절차</t>
    <phoneticPr fontId="2" type="noConversion"/>
  </si>
  <si>
    <t>공무원의 노동조합 설립 및 운영 등에 관한 법률</t>
    <phoneticPr fontId="2" type="noConversion"/>
  </si>
  <si>
    <t>소계</t>
    <phoneticPr fontId="2" type="noConversion"/>
  </si>
  <si>
    <t>소계</t>
  </si>
  <si>
    <t>제03절 노동쟁의조정의 유형 및 절차</t>
  </si>
  <si>
    <t>제02절 부당노동행위의 유형</t>
  </si>
  <si>
    <t>제03절 부당노동행위의 구제절차</t>
  </si>
  <si>
    <t>제02절 노동위원회의 종류와 조직</t>
  </si>
  <si>
    <t>제03절 노동위원회의 회의</t>
  </si>
  <si>
    <t>제02절 노사협의제도</t>
  </si>
  <si>
    <t>제01절 교원의 노동조합 설립 및 운영 등에 관한 법률</t>
  </si>
  <si>
    <t>제02절 공무원의 노동조합 설립 및 운영 등에 관한 법률</t>
  </si>
  <si>
    <t>단결권의 서설</t>
    <phoneticPr fontId="2" type="noConversion"/>
  </si>
  <si>
    <t>제01절 단결권의 서설</t>
    <phoneticPr fontId="2" type="noConversion"/>
  </si>
  <si>
    <t>제01절 단결권의 서설</t>
    <phoneticPr fontId="2" type="noConversion"/>
  </si>
  <si>
    <t>제01절 단체행동권의 서설</t>
    <phoneticPr fontId="2" type="noConversion"/>
  </si>
  <si>
    <t>제01절 단체행동권의 서설</t>
    <phoneticPr fontId="2" type="noConversion"/>
  </si>
  <si>
    <t>단체행동권의 서설</t>
    <phoneticPr fontId="2" type="noConversion"/>
  </si>
  <si>
    <t>제01절 노동쟁의조정제도의 서설</t>
    <phoneticPr fontId="2" type="noConversion"/>
  </si>
  <si>
    <t>제01절 노동쟁의조정제도의 서설</t>
    <phoneticPr fontId="2" type="noConversion"/>
  </si>
  <si>
    <t>노동쟁의조정제도의 서설</t>
    <phoneticPr fontId="2" type="noConversion"/>
  </si>
  <si>
    <t>제01절 부당노동행위구제제도의 서설</t>
    <phoneticPr fontId="2" type="noConversion"/>
  </si>
  <si>
    <t>제01절 부당노동행위구제제도의 서설</t>
    <phoneticPr fontId="2" type="noConversion"/>
  </si>
  <si>
    <t>부당노동행위구제제도의 서설</t>
    <phoneticPr fontId="2" type="noConversion"/>
  </si>
  <si>
    <t>제01절 노동위원회의 서설</t>
    <phoneticPr fontId="2" type="noConversion"/>
  </si>
  <si>
    <t>제01절 노동위원회의 서설</t>
    <phoneticPr fontId="2" type="noConversion"/>
  </si>
  <si>
    <t>노동위원회의 서설</t>
    <phoneticPr fontId="2" type="noConversion"/>
  </si>
  <si>
    <t>제01절 노사협의회의 서설</t>
    <phoneticPr fontId="2" type="noConversion"/>
  </si>
  <si>
    <t>제01절 노사협의회의 서설</t>
    <phoneticPr fontId="2" type="noConversion"/>
  </si>
  <si>
    <t>노사협의회의 서설</t>
    <phoneticPr fontId="2" type="noConversion"/>
  </si>
  <si>
    <t>근참법</t>
    <phoneticPr fontId="2" type="noConversion"/>
  </si>
  <si>
    <t>노위법</t>
    <phoneticPr fontId="2" type="noConversion"/>
  </si>
  <si>
    <t>노동위원회의 보칙</t>
    <phoneticPr fontId="2" type="noConversion"/>
  </si>
  <si>
    <t>제04절 노동위원회의 보칙</t>
    <phoneticPr fontId="2" type="noConversion"/>
  </si>
  <si>
    <t>총계</t>
    <phoneticPr fontId="2" type="noConversion"/>
  </si>
  <si>
    <t>2026년 현재(2010~2026)</t>
    <phoneticPr fontId="2" type="noConversion"/>
  </si>
  <si>
    <t>단체교섭 과정의 모든 단계에서 일체의 정보제공 및 의견수렴 절차를 거쳐야 하는 것은 아니다.</t>
    <phoneticPr fontId="2" type="noConversion"/>
  </si>
  <si>
    <t>의견제시 기회를 부여하는 절차를 거치지 않았다고 하더라도 그 인사처분의 효력에는 영향이 없다.</t>
    <phoneticPr fontId="2" type="noConversion"/>
  </si>
  <si>
    <t>권한 위임으로 본 노동조합의의 교섭권한이 소멸하는 것은 아니다.</t>
    <phoneticPr fontId="2" type="noConversion"/>
  </si>
  <si>
    <t>실질적・형식적 요건을 갖춘 경우는 단체협약으로 볼 수 있다.</t>
    <phoneticPr fontId="2" type="noConversion"/>
  </si>
  <si>
    <t>재심신청을 해도 중재재정의 효력은 정지되지 않는다.</t>
    <phoneticPr fontId="2" type="noConversion"/>
  </si>
  <si>
    <t>지배・개입으로서의 부당노동행위는 단결권 침해라는 결과의 발생까지 요구하지 않는다.</t>
    <phoneticPr fontId="2" type="noConversion"/>
  </si>
  <si>
    <t>이익방위를 위한 부득이한 경우 노동조합 또는 근로자는 배상할 책임이 없다.</t>
    <phoneticPr fontId="2" type="noConversion"/>
  </si>
  <si>
    <t>면제하여야 하는 것이 아니라 '면제할 수 있다' 라고 규정한 임의규정이다.</t>
    <phoneticPr fontId="2" type="noConversion"/>
  </si>
  <si>
    <t>제3조의2의 개정규정은 이 법 시행 전 발생한 손해에 대해서도 적용한다. 즉, 면제할 수 있다.</t>
    <phoneticPr fontId="2" type="noConversion"/>
  </si>
  <si>
    <t>신원보증인은 노동조합의 활동으로 인하여 발생한 손해에 대해서는 배상할 책임이 없다.</t>
    <phoneticPr fontId="2" type="noConversion"/>
  </si>
  <si>
    <t>공무원으로부터 구제신청을 받은 경우 노동위원회가 고용노동부장관에게 통지하도록 하는 규정은 없다.</t>
    <phoneticPr fontId="2" type="noConversion"/>
  </si>
  <si>
    <t>퇴직한 교원도 노동조합 규약에서 정하는 경우 가입할 수 있다.</t>
    <phoneticPr fontId="2" type="noConversion"/>
  </si>
  <si>
    <t>근로3권은 단순한 추상적 권리에 그치는 것이 아니라 헌법상 직접 보장되는 기본권이다.</t>
    <phoneticPr fontId="2" type="noConversion"/>
  </si>
  <si>
    <t>노동3권은 국가안전보장・질서유지 또는 공공복리를 위하여 필요한 경우에 법률로서 제한할 수 있다.</t>
    <phoneticPr fontId="2" type="noConversion"/>
  </si>
  <si>
    <t>노동조합 및 노동관계조정법상 단체협약에 관한 규정 중 ( )에 들어갈 내용으로 옳은 것은?
○ 제31조(단체협약의 작성) ② 단체협약의 당사자는 단체협약의 체결일부터 (ㄱ)일 이내에 이를 행정관청에 신고하여야 한다.
○ 제32조(단체협약의 유효기간의 상한) ① 단체협약의 유효기간은 (ㄴ)년을 초과하지 않는 범위에서 노사가 합의하여 정할 수 있다.</t>
    <phoneticPr fontId="2" type="noConversion"/>
  </si>
  <si>
    <t>ㄱ: 10, ㄴ: 2</t>
    <phoneticPr fontId="2" type="noConversion"/>
  </si>
  <si>
    <t>ㄱ: 10, ㄴ: 3</t>
    <phoneticPr fontId="2" type="noConversion"/>
  </si>
  <si>
    <t>열기1-02.노동법2\00.본문\제01장 총설.제01절 집단적 노사관계법.txt</t>
  </si>
  <si>
    <t>열기1-02.노동법2\00.본문\제01장 총설.제02절 노동3권.txt</t>
  </si>
  <si>
    <t>열기1-02.노동법2\00.본문\제02장 단결권.제01절 단결권의 서설.txt</t>
  </si>
  <si>
    <t>열기1-02.노동법2\00.본문\제02장 단결권.제02절 노동조합의 설립.txt</t>
  </si>
  <si>
    <t>열기1-02.노동법2\00.본문\제02장 단결권.제03절 노동조합의 운영과 활동.txt</t>
  </si>
  <si>
    <t>열기1-02.노동법2\00.본문\제03장 단체교섭권.제01절 단체교섭.txt</t>
  </si>
  <si>
    <t>열기1-02.노동법2\00.본문\제03장 단체교섭권.제02절 단체협약.txt</t>
  </si>
  <si>
    <t>열기1-02.노동법2\00.본문\제04장 단체행동권.제01절 단체행동권의 서설.txt</t>
  </si>
  <si>
    <t>열기1-02.노동법2\00.본문\제04장 단체행동권.제02절 쟁의행위의 정당성.txt</t>
  </si>
  <si>
    <t>열기1-02.노동법2\00.본문\제04장 단체행동권.제03절 쟁의행위의 법적 책임.txt</t>
  </si>
  <si>
    <t>열기1-02.노동법2\00.본문\제04장 단체행동권.제04절 쟁의행위의 법적 효과.txt</t>
  </si>
  <si>
    <t>열기1-02.노동법2\00.본문\제04장 단체행동권.제05절 사용자의 쟁의행위.txt</t>
  </si>
  <si>
    <t>열기1-02.노동법2\00.본문\제04장 단체행동권.제06절 안전보호시설과 필수유지업무.txt</t>
  </si>
  <si>
    <t>열기1-02.노동법2\00.본문\제04장 단체행동권.제07절 쟁의기간 중 대체근로 등의 제한.txt</t>
  </si>
  <si>
    <t>열기1-02.노동법2\00.본문\제05장 노동쟁의조정제도.제01절 노동쟁의조정제도의 서설.txt</t>
  </si>
  <si>
    <t>열기1-02.노동법2\00.본문\제05장 노동쟁의조정제도.제02절 노동쟁의조정제도의 기본체계.txt</t>
  </si>
  <si>
    <t>열기1-02.노동법2\00.본문\제05장 노동쟁의조정제도.제03절 노동쟁의조정의 유형 및 절차.txt</t>
  </si>
  <si>
    <t>열기1-02.노동법2\00.본문\제06장 부당노동행위구제제도.제01절 부당노동행위구제제도의 서설.txt</t>
  </si>
  <si>
    <t>열기1-02.노동법2\00.본문\제06장 부당노동행위구제제도.제02절 부당노동행위의 유형.txt</t>
  </si>
  <si>
    <t>열기1-02.노동법2\00.본문\제06장 부당노동행위구제제도.제03절 부당노동행위의 구제절차.txt</t>
  </si>
  <si>
    <t>열기1-02.노동법2\00.본문\제07장 노동위원회.제01절 노동위원회의 서설.txt</t>
  </si>
  <si>
    <t>열기1-02.노동법2\00.본문\제07장 노동위원회.제02절 노동위원회의 종류와 조직.txt</t>
  </si>
  <si>
    <t>열기1-02.노동법2\00.본문\제07장 노동위원회.제03절 노동위원회의 회의.txt</t>
  </si>
  <si>
    <t>열기1-02.노동법2\00.본문\제07장 노동위원회.제04절 노동위원회의 보칙.txt</t>
  </si>
  <si>
    <t>열기1-02.노동법2\00.본문\제08장 노사협의회.제01절 노사협의회의 서설.txt</t>
  </si>
  <si>
    <t>열기1-02.노동법2\00.본문\제08장 노사협의회.제02절 노사협의제도.txt</t>
  </si>
  <si>
    <t>열기1-02.노동법2\00.본문\제09장 부속법령.제01절 교원의 노동조합 설립 및 운영 등에 관한 법률.txt</t>
  </si>
  <si>
    <t>열기1-02.노동법2\00.본문\제09장 부속법령.제02절 공무원의 노동조합 설립 및 운영 등에 관한 법률.txt</t>
  </si>
  <si>
    <t>00</t>
  </si>
  <si>
    <t>요약</t>
    <phoneticPr fontId="2" type="noConversion"/>
  </si>
  <si>
    <t>열기1-02.노동법2\00.본문\제02장 단결권.제01절 서설.txt</t>
  </si>
  <si>
    <t>열기1-02.노동법2\00.본문\제04장 단체행동권.제01절 서설.txt</t>
  </si>
  <si>
    <t>열기1-02.노동법2\00.본문\제05장 노동쟁의조정제도.제01절 서설.txt</t>
  </si>
  <si>
    <t>열기1-02.노동법2\00.본문\제06장 부당노동행위구제제도.제01절 서설.txt</t>
  </si>
  <si>
    <t>열기1-02.노동법2\00.본문\제07장 노동위원회.제01절 서설.txt</t>
  </si>
  <si>
    <t>열기1-02.노동법2\00.본문\제07장 노동위원회.제04절 보칙.txt</t>
  </si>
  <si>
    <t>열기1-02.노동법2\00.본문\제08장 노사협의회.제01절 서설.txt</t>
  </si>
  <si>
    <t>제02장 단결권&gt;제02절 노동조합의 설립
노조법 제13조
－목적과 사업 : 노조법 제11조제2호 ×
－조합원수 : 노조법 제13조제2항제3호 ×
－대표자의 성명 : 노조법 제13조제1항제3호 ○
－주된 사무소의 소재지 : 노조법 제13조제1항제2호 ○
－소속된 연합단체의 명칭 : 노조법 제13조제1항제4호 ○
－임원의 규약위반에 대한 탄핵에 관한 사항 : 노조법 제11조제13호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</si>
</sst>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sz val="9"/>
      <color theme="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auto="1"/>
      </left>
      <right/>
      <top style="thin">
        <color auto="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52">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3" fillId="0" borderId="0" xfId="0" applyFont="1" applyAlignment="1">
      <alignment horizontal="left" vertical="top" wrapText="1"/>
    </xf>
    <xf numFmtId="0" fontId="5" fillId="3" borderId="25" xfId="0" applyFont="1" applyFill="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11" fillId="5" borderId="9" xfId="0" applyFont="1" applyFill="1" applyBorder="1" applyAlignment="1">
      <alignment vertical="top" wrapText="1"/>
    </xf>
    <xf numFmtId="0" fontId="11" fillId="3" borderId="42" xfId="0" applyFont="1" applyFill="1" applyBorder="1" applyAlignment="1">
      <alignment vertical="top"/>
    </xf>
    <xf numFmtId="0" fontId="5" fillId="0" borderId="23" xfId="0" applyFont="1" applyBorder="1" applyAlignment="1">
      <alignment horizontal="center" vertical="top"/>
    </xf>
    <xf numFmtId="49" fontId="11" fillId="0" borderId="43" xfId="0" applyNumberFormat="1" applyFont="1" applyBorder="1" applyAlignment="1">
      <alignment vertical="top"/>
    </xf>
    <xf numFmtId="0" fontId="11" fillId="0" borderId="25" xfId="0" applyFont="1" applyBorder="1" applyAlignment="1">
      <alignment vertical="top"/>
    </xf>
    <xf numFmtId="0" fontId="5" fillId="0" borderId="44"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5" xfId="4" applyNumberFormat="1" applyFont="1" applyFill="1" applyBorder="1" applyAlignment="1">
      <alignment horizontal="center" vertical="top"/>
    </xf>
    <xf numFmtId="49" fontId="5" fillId="0" borderId="45"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6" xfId="0" applyFont="1" applyFill="1" applyBorder="1" applyAlignment="1">
      <alignment vertical="top"/>
    </xf>
    <xf numFmtId="0" fontId="5" fillId="0" borderId="47" xfId="0" applyFont="1" applyBorder="1" applyAlignment="1">
      <alignment horizontal="center" vertical="top"/>
    </xf>
    <xf numFmtId="49" fontId="11" fillId="0" borderId="48" xfId="0" applyNumberFormat="1" applyFont="1" applyBorder="1" applyAlignment="1">
      <alignment vertical="top"/>
    </xf>
    <xf numFmtId="49" fontId="5" fillId="0" borderId="49" xfId="0" applyNumberFormat="1" applyFont="1" applyBorder="1" applyAlignment="1">
      <alignment horizontal="center" vertical="top"/>
    </xf>
    <xf numFmtId="0" fontId="11" fillId="0" borderId="50" xfId="0" applyFont="1" applyBorder="1" applyAlignment="1">
      <alignment vertical="top"/>
    </xf>
    <xf numFmtId="0" fontId="5" fillId="0" borderId="51" xfId="0" applyFont="1" applyBorder="1" applyAlignment="1">
      <alignment horizontal="center" vertical="top" wrapText="1"/>
    </xf>
    <xf numFmtId="176" fontId="5" fillId="0" borderId="50" xfId="4" applyNumberFormat="1" applyFont="1" applyFill="1" applyBorder="1" applyAlignment="1">
      <alignment horizontal="right" vertical="top"/>
    </xf>
    <xf numFmtId="0" fontId="5" fillId="0" borderId="52" xfId="4" applyNumberFormat="1" applyFont="1" applyFill="1" applyBorder="1" applyAlignment="1">
      <alignment horizontal="center" vertical="top"/>
    </xf>
    <xf numFmtId="49" fontId="5" fillId="0" borderId="52" xfId="4" applyNumberFormat="1" applyFont="1" applyFill="1" applyBorder="1" applyAlignment="1">
      <alignment horizontal="left" vertical="top" wrapText="1"/>
    </xf>
    <xf numFmtId="177" fontId="5" fillId="0" borderId="47" xfId="4" applyNumberFormat="1" applyFont="1" applyFill="1" applyBorder="1" applyAlignment="1">
      <alignment horizontal="center" vertical="top" wrapText="1"/>
    </xf>
    <xf numFmtId="177" fontId="5" fillId="0" borderId="50" xfId="4" applyNumberFormat="1" applyFont="1" applyFill="1" applyBorder="1" applyAlignment="1">
      <alignment horizontal="center" vertical="top" wrapText="1"/>
    </xf>
    <xf numFmtId="0" fontId="5" fillId="0" borderId="52"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49" fontId="11" fillId="0" borderId="53" xfId="0" applyNumberFormat="1" applyFont="1" applyBorder="1" applyAlignment="1">
      <alignment vertical="top"/>
    </xf>
    <xf numFmtId="0" fontId="11" fillId="0" borderId="15" xfId="0" applyFont="1" applyBorder="1" applyAlignment="1">
      <alignment vertical="top"/>
    </xf>
    <xf numFmtId="0" fontId="5" fillId="0" borderId="54"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5" xfId="4" applyNumberFormat="1" applyFont="1" applyFill="1" applyBorder="1" applyAlignment="1">
      <alignment horizontal="center" vertical="top"/>
    </xf>
    <xf numFmtId="49" fontId="5" fillId="0" borderId="55"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4" applyNumberFormat="1" applyFont="1" applyFill="1" applyBorder="1" applyAlignment="1">
      <alignment horizontal="center" vertical="top" wrapText="1"/>
    </xf>
    <xf numFmtId="0" fontId="13" fillId="3" borderId="56" xfId="0" applyFont="1" applyFill="1" applyBorder="1" applyAlignment="1">
      <alignment vertical="top"/>
    </xf>
    <xf numFmtId="0" fontId="5" fillId="0" borderId="48" xfId="0" applyFont="1" applyBorder="1" applyAlignment="1">
      <alignment vertical="top"/>
    </xf>
    <xf numFmtId="0" fontId="5" fillId="0" borderId="49" xfId="0" quotePrefix="1" applyFont="1" applyBorder="1" applyAlignment="1">
      <alignment horizontal="center" vertical="top"/>
    </xf>
    <xf numFmtId="0" fontId="5" fillId="0" borderId="50" xfId="0" applyFont="1" applyBorder="1" applyAlignment="1">
      <alignment vertical="top"/>
    </xf>
    <xf numFmtId="14" fontId="5" fillId="0" borderId="52" xfId="4" applyNumberFormat="1" applyFont="1" applyFill="1" applyBorder="1" applyAlignment="1">
      <alignment horizontal="center" vertical="top" wrapText="1"/>
    </xf>
    <xf numFmtId="49" fontId="11" fillId="0" borderId="57" xfId="0" applyNumberFormat="1" applyFont="1" applyBorder="1" applyAlignment="1">
      <alignment vertical="top"/>
    </xf>
    <xf numFmtId="0" fontId="12" fillId="5" borderId="58" xfId="0" applyFont="1" applyFill="1" applyBorder="1" applyAlignment="1">
      <alignment vertical="top" wrapText="1"/>
    </xf>
    <xf numFmtId="0" fontId="13" fillId="3" borderId="27" xfId="0" applyFont="1" applyFill="1" applyBorder="1" applyAlignment="1">
      <alignment vertical="top"/>
    </xf>
    <xf numFmtId="0" fontId="5" fillId="0" borderId="59" xfId="0" applyFont="1" applyBorder="1" applyAlignment="1">
      <alignment vertical="top"/>
    </xf>
    <xf numFmtId="0" fontId="5" fillId="0" borderId="22" xfId="0" applyFont="1" applyBorder="1" applyAlignment="1">
      <alignment vertical="top"/>
    </xf>
    <xf numFmtId="0" fontId="5" fillId="0" borderId="60"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1" xfId="4" applyNumberFormat="1" applyFont="1" applyFill="1" applyBorder="1" applyAlignment="1">
      <alignment horizontal="center" vertical="top"/>
    </xf>
    <xf numFmtId="49" fontId="5" fillId="0" borderId="61"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61" xfId="4" applyNumberFormat="1" applyFont="1" applyFill="1" applyBorder="1" applyAlignment="1">
      <alignment horizontal="center" vertical="top" wrapText="1"/>
    </xf>
    <xf numFmtId="0" fontId="5" fillId="0" borderId="62" xfId="0" applyFont="1" applyBorder="1" applyAlignment="1">
      <alignment vertical="top"/>
    </xf>
    <xf numFmtId="0" fontId="5" fillId="0" borderId="19" xfId="0" applyFont="1" applyBorder="1" applyAlignment="1">
      <alignment vertical="top"/>
    </xf>
    <xf numFmtId="0" fontId="5" fillId="0" borderId="63"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64" xfId="4" applyNumberFormat="1" applyFont="1" applyFill="1" applyBorder="1" applyAlignment="1">
      <alignment horizontal="center" vertical="top"/>
    </xf>
    <xf numFmtId="49" fontId="5" fillId="0" borderId="64"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64" xfId="4" applyNumberFormat="1" applyFont="1" applyFill="1" applyBorder="1" applyAlignment="1">
      <alignment horizontal="center" vertical="top" wrapText="1"/>
    </xf>
    <xf numFmtId="49" fontId="5" fillId="0" borderId="65" xfId="0" applyNumberFormat="1" applyFont="1" applyBorder="1" applyAlignment="1">
      <alignment vertical="top"/>
    </xf>
    <xf numFmtId="0" fontId="5" fillId="0" borderId="65" xfId="0" applyFont="1" applyBorder="1" applyAlignment="1">
      <alignment vertical="top"/>
    </xf>
    <xf numFmtId="0" fontId="11" fillId="0" borderId="57" xfId="0" applyFont="1" applyBorder="1" applyAlignment="1">
      <alignment vertical="top"/>
    </xf>
    <xf numFmtId="14" fontId="5" fillId="0" borderId="55" xfId="4" applyNumberFormat="1" applyFont="1" applyFill="1" applyBorder="1" applyAlignment="1">
      <alignment horizontal="center" vertical="top" wrapText="1"/>
    </xf>
    <xf numFmtId="0" fontId="5" fillId="0" borderId="64" xfId="4" applyNumberFormat="1" applyFont="1" applyFill="1" applyBorder="1" applyAlignment="1">
      <alignment horizontal="center" vertical="top" wrapText="1"/>
    </xf>
    <xf numFmtId="0" fontId="13" fillId="3" borderId="66" xfId="0" applyFont="1" applyFill="1" applyBorder="1" applyAlignment="1">
      <alignment vertical="top"/>
    </xf>
    <xf numFmtId="49" fontId="11" fillId="0" borderId="65" xfId="0" applyNumberFormat="1" applyFont="1" applyBorder="1" applyAlignment="1">
      <alignment vertical="top"/>
    </xf>
    <xf numFmtId="0" fontId="5" fillId="0" borderId="61" xfId="4" applyNumberFormat="1" applyFont="1" applyFill="1" applyBorder="1" applyAlignment="1">
      <alignment horizontal="center" vertical="top" wrapText="1"/>
    </xf>
    <xf numFmtId="49" fontId="5" fillId="0" borderId="59" xfId="0" applyNumberFormat="1" applyFont="1" applyBorder="1" applyAlignment="1">
      <alignment vertical="top"/>
    </xf>
    <xf numFmtId="49" fontId="5" fillId="0" borderId="21" xfId="0" applyNumberFormat="1" applyFont="1" applyBorder="1" applyAlignment="1">
      <alignment horizontal="center"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9" xfId="0" applyFont="1" applyFill="1" applyBorder="1" applyAlignment="1">
      <alignment horizontal="center" vertical="top" wrapText="1"/>
    </xf>
    <xf numFmtId="0" fontId="3" fillId="0" borderId="70"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71" xfId="0" applyFont="1" applyBorder="1" applyAlignment="1">
      <alignment horizontal="center" vertical="top" wrapText="1"/>
    </xf>
    <xf numFmtId="0" fontId="3" fillId="3" borderId="72" xfId="0" applyFont="1" applyFill="1" applyBorder="1" applyAlignment="1">
      <alignment horizontal="center" vertical="top" wrapText="1"/>
    </xf>
    <xf numFmtId="0" fontId="3" fillId="0" borderId="73"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49" fontId="5" fillId="0" borderId="62" xfId="0" applyNumberFormat="1" applyFont="1" applyBorder="1" applyAlignment="1">
      <alignment vertical="top"/>
    </xf>
    <xf numFmtId="49" fontId="5" fillId="0" borderId="8" xfId="0" applyNumberFormat="1"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3" borderId="15" xfId="0" applyFont="1" applyFill="1" applyBorder="1" applyAlignment="1">
      <alignment horizontal="left"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3" fillId="0" borderId="0" xfId="0" applyFont="1" applyAlignment="1">
      <alignment horizontal="left" vertical="center"/>
    </xf>
    <xf numFmtId="0" fontId="3" fillId="0" borderId="0" xfId="0" applyFont="1" applyAlignment="1">
      <alignment vertical="top"/>
    </xf>
    <xf numFmtId="0" fontId="4" fillId="2" borderId="9" xfId="0" applyFont="1" applyFill="1" applyBorder="1" applyAlignment="1">
      <alignment horizontal="center" vertical="top"/>
    </xf>
    <xf numFmtId="0" fontId="4" fillId="2" borderId="42" xfId="0" applyFont="1" applyFill="1" applyBorder="1" applyAlignment="1">
      <alignment horizontal="center" vertical="top"/>
    </xf>
    <xf numFmtId="0" fontId="5" fillId="0" borderId="69" xfId="0" applyFont="1" applyBorder="1" applyAlignment="1">
      <alignment vertical="top"/>
    </xf>
    <xf numFmtId="178" fontId="5" fillId="0" borderId="69" xfId="0" applyNumberFormat="1" applyFont="1" applyBorder="1" applyAlignment="1">
      <alignment vertical="top"/>
    </xf>
    <xf numFmtId="0" fontId="5" fillId="0" borderId="74"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5" xfId="0" applyFont="1" applyBorder="1" applyAlignment="1">
      <alignment horizontal="center" vertical="top" wrapText="1"/>
    </xf>
    <xf numFmtId="0" fontId="12" fillId="5" borderId="76" xfId="0" applyFont="1" applyFill="1" applyBorder="1" applyAlignment="1">
      <alignment vertical="top" wrapText="1"/>
    </xf>
    <xf numFmtId="0" fontId="11" fillId="5" borderId="77" xfId="0" applyFont="1" applyFill="1" applyBorder="1" applyAlignment="1">
      <alignment horizontal="center" vertical="top"/>
    </xf>
    <xf numFmtId="178" fontId="11" fillId="5" borderId="72" xfId="0" applyNumberFormat="1" applyFont="1" applyFill="1" applyBorder="1" applyAlignment="1">
      <alignment vertical="top"/>
    </xf>
    <xf numFmtId="0" fontId="11" fillId="5" borderId="78" xfId="0" applyFont="1" applyFill="1" applyBorder="1" applyAlignment="1">
      <alignment horizontal="center" vertical="top" wrapText="1"/>
    </xf>
    <xf numFmtId="0" fontId="5" fillId="0" borderId="79" xfId="0" applyFont="1" applyBorder="1" applyAlignment="1">
      <alignment horizontal="center" vertical="top" wrapText="1"/>
    </xf>
    <xf numFmtId="178" fontId="11" fillId="5" borderId="2" xfId="0" applyNumberFormat="1" applyFont="1" applyFill="1" applyBorder="1" applyAlignment="1">
      <alignment vertical="top"/>
    </xf>
    <xf numFmtId="0" fontId="11" fillId="5" borderId="80" xfId="0" applyFont="1" applyFill="1" applyBorder="1" applyAlignment="1">
      <alignment horizontal="center" vertical="top" wrapText="1"/>
    </xf>
    <xf numFmtId="0" fontId="12" fillId="5" borderId="81" xfId="0" applyFont="1" applyFill="1" applyBorder="1" applyAlignment="1">
      <alignment vertical="top" wrapText="1"/>
    </xf>
    <xf numFmtId="0" fontId="11" fillId="5" borderId="40" xfId="0" applyFont="1" applyFill="1" applyBorder="1" applyAlignment="1">
      <alignment horizontal="center" vertical="top"/>
    </xf>
    <xf numFmtId="0" fontId="11" fillId="5" borderId="67" xfId="0" applyFont="1" applyFill="1" applyBorder="1" applyAlignment="1">
      <alignment vertical="top" wrapText="1"/>
    </xf>
    <xf numFmtId="178" fontId="5" fillId="0" borderId="2" xfId="0" applyNumberFormat="1" applyFont="1" applyBorder="1" applyAlignment="1">
      <alignment vertical="top"/>
    </xf>
    <xf numFmtId="0" fontId="5" fillId="0" borderId="80" xfId="0" applyFont="1" applyBorder="1" applyAlignment="1">
      <alignment horizontal="center" vertical="top" wrapText="1"/>
    </xf>
    <xf numFmtId="178" fontId="5" fillId="0" borderId="30" xfId="0" applyNumberFormat="1" applyFont="1" applyBorder="1" applyAlignment="1">
      <alignment vertical="top"/>
    </xf>
    <xf numFmtId="178" fontId="5" fillId="0" borderId="83" xfId="0" applyNumberFormat="1" applyFont="1" applyBorder="1" applyAlignment="1">
      <alignment vertical="top"/>
    </xf>
    <xf numFmtId="178" fontId="11" fillId="5" borderId="84" xfId="0" applyNumberFormat="1" applyFont="1" applyFill="1" applyBorder="1" applyAlignment="1">
      <alignment vertical="top"/>
    </xf>
    <xf numFmtId="178" fontId="11" fillId="5" borderId="36" xfId="0" applyNumberFormat="1" applyFont="1" applyFill="1" applyBorder="1" applyAlignment="1">
      <alignment vertical="top"/>
    </xf>
    <xf numFmtId="178" fontId="5" fillId="0" borderId="36" xfId="0" applyNumberFormat="1" applyFont="1" applyBorder="1" applyAlignment="1">
      <alignment vertical="top"/>
    </xf>
    <xf numFmtId="0" fontId="11" fillId="6" borderId="86" xfId="0" applyFont="1" applyFill="1" applyBorder="1" applyAlignment="1">
      <alignment horizontal="center" vertical="top"/>
    </xf>
    <xf numFmtId="178" fontId="11" fillId="6" borderId="87" xfId="0" applyNumberFormat="1" applyFont="1" applyFill="1" applyBorder="1" applyAlignment="1">
      <alignment vertical="top"/>
    </xf>
    <xf numFmtId="0" fontId="12" fillId="6" borderId="85" xfId="0" applyFont="1" applyFill="1" applyBorder="1" applyAlignment="1">
      <alignment vertical="top" wrapText="1"/>
    </xf>
    <xf numFmtId="0" fontId="11" fillId="6" borderId="82" xfId="0" applyFont="1" applyFill="1" applyBorder="1" applyAlignment="1">
      <alignment horizontal="center" vertical="top" wrapText="1"/>
    </xf>
    <xf numFmtId="0" fontId="16" fillId="2" borderId="38" xfId="0" applyFont="1" applyFill="1" applyBorder="1" applyAlignment="1">
      <alignment horizontal="center" vertical="top"/>
    </xf>
    <xf numFmtId="0" fontId="5" fillId="0" borderId="6" xfId="0" quotePrefix="1" applyFont="1" applyBorder="1" applyAlignment="1">
      <alignment horizontal="center" vertical="top"/>
    </xf>
    <xf numFmtId="49" fontId="5" fillId="0" borderId="24" xfId="0" quotePrefix="1" applyNumberFormat="1" applyFont="1" applyBorder="1" applyAlignment="1">
      <alignment horizontal="center" vertical="top"/>
    </xf>
    <xf numFmtId="49" fontId="5" fillId="0" borderId="6" xfId="0" quotePrefix="1" applyNumberFormat="1" applyFont="1" applyBorder="1" applyAlignment="1">
      <alignment horizontal="center" vertical="top"/>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67" xfId="0" applyFont="1" applyFill="1" applyBorder="1" applyAlignment="1">
      <alignment horizontal="center" vertical="top" wrapText="1"/>
    </xf>
    <xf numFmtId="0" fontId="4" fillId="2" borderId="68" xfId="0" applyFont="1" applyFill="1" applyBorder="1" applyAlignment="1">
      <alignment horizontal="center" vertical="top" wrapText="1"/>
    </xf>
    <xf numFmtId="0" fontId="4" fillId="2" borderId="10" xfId="0" applyFont="1" applyFill="1" applyBorder="1" applyAlignment="1">
      <alignment horizontal="center" vertical="center"/>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C3106-F5B6-47BE-AC9C-084B68938C34}">
  <sheetPr codeName="Sheet1">
    <tabColor rgb="FFFFFF00"/>
  </sheetPr>
  <dimension ref="B2:C17"/>
  <sheetViews>
    <sheetView workbookViewId="0">
      <selection activeCell="B7" sqref="B7"/>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2829</v>
      </c>
      <c r="C2" s="86" t="s">
        <v>2830</v>
      </c>
    </row>
    <row r="3" spans="2:3" ht="14.45" customHeight="1" x14ac:dyDescent="0.2">
      <c r="B3" s="88" t="s">
        <v>2831</v>
      </c>
      <c r="C3" s="88" t="s">
        <v>2832</v>
      </c>
    </row>
    <row r="5" spans="2:3" ht="14.45" customHeight="1" x14ac:dyDescent="0.2">
      <c r="B5" s="86" t="s">
        <v>2833</v>
      </c>
    </row>
    <row r="6" spans="2:3" ht="14.45" customHeight="1" x14ac:dyDescent="0.2">
      <c r="B6" s="88" t="s">
        <v>2834</v>
      </c>
    </row>
    <row r="7" spans="2:3" ht="14.45" customHeight="1" x14ac:dyDescent="0.2">
      <c r="B7" s="88" t="s">
        <v>3667</v>
      </c>
    </row>
    <row r="8" spans="2:3" ht="14.45" customHeight="1" x14ac:dyDescent="0.2">
      <c r="B8" s="88" t="s">
        <v>2835</v>
      </c>
    </row>
    <row r="9" spans="2:3" ht="14.45" customHeight="1" x14ac:dyDescent="0.2">
      <c r="B9" s="88" t="s">
        <v>2836</v>
      </c>
    </row>
    <row r="10" spans="2:3" ht="14.45" customHeight="1" x14ac:dyDescent="0.2">
      <c r="B10" s="88" t="s">
        <v>2837</v>
      </c>
    </row>
    <row r="11" spans="2:3" ht="14.45" customHeight="1" x14ac:dyDescent="0.2">
      <c r="B11" s="88" t="s">
        <v>2838</v>
      </c>
    </row>
    <row r="12" spans="2:3" ht="14.45" customHeight="1" x14ac:dyDescent="0.2">
      <c r="B12" s="88" t="s">
        <v>2839</v>
      </c>
    </row>
    <row r="14" spans="2:3" ht="14.45" customHeight="1" x14ac:dyDescent="0.2">
      <c r="B14" s="86" t="s">
        <v>2840</v>
      </c>
    </row>
    <row r="15" spans="2:3" ht="14.45" customHeight="1" x14ac:dyDescent="0.2">
      <c r="B15" s="88" t="s">
        <v>2841</v>
      </c>
    </row>
    <row r="16" spans="2:3" ht="14.45" customHeight="1" x14ac:dyDescent="0.2">
      <c r="B16" s="88" t="s">
        <v>2842</v>
      </c>
    </row>
    <row r="17" spans="2:2" ht="14.45" customHeight="1" x14ac:dyDescent="0.2">
      <c r="B17" s="88" t="s">
        <v>2843</v>
      </c>
    </row>
  </sheetData>
  <phoneticPr fontId="2" type="noConversion"/>
  <dataValidations count="1">
    <dataValidation type="list" allowBlank="1" showInputMessage="1" showErrorMessage="1" sqref="C3" xr:uid="{9B97CCF5-238F-480A-9D39-14B03CC9149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E54A-ADCB-48B5-A3B6-EC81DD5BF8A2}">
  <sheetPr codeName="Sheet19">
    <pageSetUpPr fitToPage="1"/>
  </sheetPr>
  <dimension ref="B1:N59"/>
  <sheetViews>
    <sheetView showGridLines="0" zoomScaleNormal="100" workbookViewId="0">
      <pane ySplit="3" topLeftCell="A4" activePane="bottomLeft" state="frozen"/>
      <selection activeCell="B22" sqref="B22"/>
      <selection pane="bottomLeft" activeCell="E21" sqref="E21"/>
    </sheetView>
  </sheetViews>
  <sheetFormatPr defaultRowHeight="14.45" customHeight="1" x14ac:dyDescent="0.2"/>
  <cols>
    <col min="1" max="1" width="1.28515625" style="90" customWidth="1"/>
    <col min="2" max="2" width="33.7109375" style="90" customWidth="1"/>
    <col min="3" max="3" width="38.7109375" style="90" customWidth="1"/>
    <col min="4" max="4" width="4.7109375" style="82"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2" customWidth="1"/>
    <col min="11" max="11" width="19.7109375" style="82" customWidth="1"/>
    <col min="12" max="13" width="5.7109375" style="82" customWidth="1"/>
    <col min="14" max="14" width="6.28515625" style="82" customWidth="1"/>
    <col min="15" max="16384" width="9.140625" style="90"/>
  </cols>
  <sheetData>
    <row r="1" spans="2:14" ht="14.45" customHeight="1" thickBot="1" x14ac:dyDescent="0.25"/>
    <row r="2" spans="2:14" ht="14.45" customHeight="1" x14ac:dyDescent="0.2">
      <c r="B2" s="244" t="s">
        <v>2844</v>
      </c>
      <c r="C2" s="245"/>
      <c r="D2" s="246" t="s">
        <v>2845</v>
      </c>
      <c r="E2" s="247"/>
      <c r="F2" s="247"/>
      <c r="G2" s="248"/>
      <c r="H2" s="247" t="s">
        <v>2846</v>
      </c>
      <c r="I2" s="248"/>
      <c r="J2" s="92" t="s">
        <v>2847</v>
      </c>
      <c r="K2" s="92" t="s">
        <v>70</v>
      </c>
      <c r="L2" s="246" t="s">
        <v>2848</v>
      </c>
      <c r="M2" s="248"/>
      <c r="N2" s="92" t="s">
        <v>2849</v>
      </c>
    </row>
    <row r="3" spans="2:14" ht="14.45" customHeight="1" thickBot="1" x14ac:dyDescent="0.25">
      <c r="B3" s="93" t="s">
        <v>2850</v>
      </c>
      <c r="C3" s="94" t="s">
        <v>2851</v>
      </c>
      <c r="D3" s="95" t="s">
        <v>2833</v>
      </c>
      <c r="E3" s="94" t="s">
        <v>2852</v>
      </c>
      <c r="F3" s="240"/>
      <c r="G3" s="96" t="s">
        <v>2853</v>
      </c>
      <c r="H3" s="97" t="s">
        <v>2834</v>
      </c>
      <c r="I3" s="96" t="s">
        <v>2854</v>
      </c>
      <c r="J3" s="98"/>
      <c r="K3" s="98"/>
      <c r="L3" s="93" t="s">
        <v>2855</v>
      </c>
      <c r="M3" s="96" t="s">
        <v>2856</v>
      </c>
      <c r="N3" s="98"/>
    </row>
    <row r="4" spans="2:14" ht="14.45" customHeight="1" x14ac:dyDescent="0.2">
      <c r="B4" s="99" t="s">
        <v>2857</v>
      </c>
      <c r="C4" s="100" t="s">
        <v>2909</v>
      </c>
      <c r="D4" s="101" t="s">
        <v>2858</v>
      </c>
      <c r="E4" s="102" t="s">
        <v>2859</v>
      </c>
      <c r="F4" s="242" t="s">
        <v>3666</v>
      </c>
      <c r="G4" s="103" t="s">
        <v>2948</v>
      </c>
      <c r="H4" s="104" t="s">
        <v>3638</v>
      </c>
      <c r="I4" s="105"/>
      <c r="J4" s="106"/>
      <c r="K4" s="107"/>
      <c r="L4" s="108"/>
      <c r="M4" s="109"/>
      <c r="N4" s="110" t="str">
        <f>B4&amp;"-"&amp;C4&amp;"-"&amp;F4</f>
        <v>제01장 총설-제01절 집단적 노사관계법-00</v>
      </c>
    </row>
    <row r="5" spans="2:14" ht="14.45" customHeight="1" x14ac:dyDescent="0.2">
      <c r="B5" s="111" t="s">
        <v>2860</v>
      </c>
      <c r="C5" s="135" t="s">
        <v>2908</v>
      </c>
      <c r="D5" s="113"/>
      <c r="E5" s="114"/>
      <c r="F5" s="115"/>
      <c r="G5" s="116"/>
      <c r="H5" s="117"/>
      <c r="I5" s="118"/>
      <c r="J5" s="119"/>
      <c r="K5" s="120"/>
      <c r="L5" s="121"/>
      <c r="M5" s="122"/>
      <c r="N5" s="123" t="str">
        <f>B5&amp;"-"&amp;C5&amp;"-"&amp;F5</f>
        <v>제01장 총설-제01절 집단적 노사관계법-</v>
      </c>
    </row>
    <row r="6" spans="2:14" ht="14.45" customHeight="1" x14ac:dyDescent="0.2">
      <c r="B6" s="111" t="s">
        <v>2857</v>
      </c>
      <c r="C6" s="124" t="s">
        <v>2911</v>
      </c>
      <c r="D6" s="125" t="s">
        <v>2858</v>
      </c>
      <c r="E6" s="126" t="s">
        <v>2859</v>
      </c>
      <c r="F6" s="243" t="s">
        <v>3666</v>
      </c>
      <c r="G6" s="127" t="s">
        <v>2949</v>
      </c>
      <c r="H6" s="128" t="s">
        <v>3639</v>
      </c>
      <c r="I6" s="129"/>
      <c r="J6" s="130"/>
      <c r="K6" s="131"/>
      <c r="L6" s="132"/>
      <c r="M6" s="133"/>
      <c r="N6" s="134" t="str">
        <f t="shared" ref="N6:N59" si="0">B6&amp;"-"&amp;C6&amp;"-"&amp;F6</f>
        <v>제01장 총설-제02절 노동3권-00</v>
      </c>
    </row>
    <row r="7" spans="2:14" ht="14.45" customHeight="1" thickBot="1" x14ac:dyDescent="0.25">
      <c r="B7" s="111" t="s">
        <v>2857</v>
      </c>
      <c r="C7" s="135" t="s">
        <v>2910</v>
      </c>
      <c r="D7" s="113"/>
      <c r="E7" s="136"/>
      <c r="F7" s="137"/>
      <c r="G7" s="138"/>
      <c r="H7" s="117"/>
      <c r="I7" s="118"/>
      <c r="J7" s="119"/>
      <c r="K7" s="120"/>
      <c r="L7" s="121"/>
      <c r="M7" s="122"/>
      <c r="N7" s="139" t="str">
        <f t="shared" si="0"/>
        <v>제01장 총설-제02절 노동3권-</v>
      </c>
    </row>
    <row r="8" spans="2:14" ht="14.45" customHeight="1" x14ac:dyDescent="0.2">
      <c r="B8" s="99" t="s">
        <v>2895</v>
      </c>
      <c r="C8" s="100" t="s">
        <v>3598</v>
      </c>
      <c r="D8" s="101" t="s">
        <v>2858</v>
      </c>
      <c r="E8" s="102" t="s">
        <v>2941</v>
      </c>
      <c r="F8" s="242" t="s">
        <v>3666</v>
      </c>
      <c r="G8" s="103" t="s">
        <v>3597</v>
      </c>
      <c r="H8" s="104" t="s">
        <v>3640</v>
      </c>
      <c r="I8" s="105"/>
      <c r="J8" s="106"/>
      <c r="K8" s="107"/>
      <c r="L8" s="108"/>
      <c r="M8" s="109"/>
      <c r="N8" s="110" t="str">
        <f t="shared" si="0"/>
        <v>제02장 단결권-제01절 단결권의 서설-00</v>
      </c>
    </row>
    <row r="9" spans="2:14" ht="14.45" customHeight="1" x14ac:dyDescent="0.2">
      <c r="B9" s="111" t="s">
        <v>2894</v>
      </c>
      <c r="C9" s="135" t="s">
        <v>3599</v>
      </c>
      <c r="D9" s="27"/>
      <c r="E9" s="152"/>
      <c r="F9" s="29"/>
      <c r="G9" s="153"/>
      <c r="H9" s="154"/>
      <c r="I9" s="155"/>
      <c r="J9" s="156"/>
      <c r="K9" s="157"/>
      <c r="L9" s="158"/>
      <c r="M9" s="159"/>
      <c r="N9" s="160" t="str">
        <f t="shared" si="0"/>
        <v>제02장 단결권-제01절 단결권의 서설-</v>
      </c>
    </row>
    <row r="10" spans="2:14" ht="14.45" customHeight="1" x14ac:dyDescent="0.2">
      <c r="B10" s="111" t="s">
        <v>2894</v>
      </c>
      <c r="C10" s="124" t="s">
        <v>2913</v>
      </c>
      <c r="D10" s="125" t="s">
        <v>2858</v>
      </c>
      <c r="E10" s="140" t="s">
        <v>2941</v>
      </c>
      <c r="F10" s="243" t="s">
        <v>3666</v>
      </c>
      <c r="G10" s="127" t="s">
        <v>2950</v>
      </c>
      <c r="H10" s="128" t="s">
        <v>3641</v>
      </c>
      <c r="I10" s="129"/>
      <c r="J10" s="130"/>
      <c r="K10" s="131"/>
      <c r="L10" s="132"/>
      <c r="M10" s="133"/>
      <c r="N10" s="134" t="str">
        <f t="shared" si="0"/>
        <v>제02장 단결권-제02절 노동조합의 설립-00</v>
      </c>
    </row>
    <row r="11" spans="2:14" ht="14.45" customHeight="1" x14ac:dyDescent="0.2">
      <c r="B11" s="111" t="s">
        <v>2894</v>
      </c>
      <c r="C11" s="135" t="s">
        <v>2912</v>
      </c>
      <c r="D11" s="113"/>
      <c r="E11" s="161"/>
      <c r="F11" s="115"/>
      <c r="G11" s="138"/>
      <c r="H11" s="117"/>
      <c r="I11" s="118"/>
      <c r="J11" s="119"/>
      <c r="K11" s="120"/>
      <c r="L11" s="121"/>
      <c r="M11" s="122"/>
      <c r="N11" s="139" t="str">
        <f t="shared" si="0"/>
        <v>제02장 단결권-제02절 노동조합의 설립-</v>
      </c>
    </row>
    <row r="12" spans="2:14" ht="14.45" customHeight="1" x14ac:dyDescent="0.2">
      <c r="B12" s="111" t="s">
        <v>2894</v>
      </c>
      <c r="C12" s="124" t="s">
        <v>2915</v>
      </c>
      <c r="D12" s="125" t="s">
        <v>2858</v>
      </c>
      <c r="E12" s="140" t="s">
        <v>2941</v>
      </c>
      <c r="F12" s="243" t="s">
        <v>3666</v>
      </c>
      <c r="G12" s="127" t="s">
        <v>2951</v>
      </c>
      <c r="H12" s="128" t="s">
        <v>3642</v>
      </c>
      <c r="I12" s="129"/>
      <c r="J12" s="130"/>
      <c r="K12" s="131"/>
      <c r="L12" s="132"/>
      <c r="M12" s="133"/>
      <c r="N12" s="134" t="str">
        <f t="shared" si="0"/>
        <v>제02장 단결권-제03절 노동조합의 운영과 활동-00</v>
      </c>
    </row>
    <row r="13" spans="2:14" ht="14.45" customHeight="1" thickBot="1" x14ac:dyDescent="0.25">
      <c r="B13" s="111" t="s">
        <v>2894</v>
      </c>
      <c r="C13" s="135" t="s">
        <v>2914</v>
      </c>
      <c r="D13" s="113"/>
      <c r="E13" s="162"/>
      <c r="F13" s="137"/>
      <c r="G13" s="138"/>
      <c r="H13" s="117"/>
      <c r="I13" s="118"/>
      <c r="J13" s="119"/>
      <c r="K13" s="120"/>
      <c r="L13" s="121"/>
      <c r="M13" s="122"/>
      <c r="N13" s="139" t="str">
        <f t="shared" si="0"/>
        <v>제02장 단결권-제03절 노동조합의 운영과 활동-</v>
      </c>
    </row>
    <row r="14" spans="2:14" ht="14.45" customHeight="1" x14ac:dyDescent="0.2">
      <c r="B14" s="99" t="s">
        <v>2897</v>
      </c>
      <c r="C14" s="100" t="s">
        <v>2917</v>
      </c>
      <c r="D14" s="101" t="s">
        <v>2858</v>
      </c>
      <c r="E14" s="102" t="s">
        <v>2942</v>
      </c>
      <c r="F14" s="242" t="s">
        <v>3666</v>
      </c>
      <c r="G14" s="103" t="s">
        <v>2952</v>
      </c>
      <c r="H14" s="104" t="s">
        <v>3643</v>
      </c>
      <c r="I14" s="105"/>
      <c r="J14" s="106"/>
      <c r="K14" s="107"/>
      <c r="L14" s="108"/>
      <c r="M14" s="109"/>
      <c r="N14" s="110" t="str">
        <f t="shared" si="0"/>
        <v>제03장 단체교섭권-제01절 단체교섭-00</v>
      </c>
    </row>
    <row r="15" spans="2:14" ht="14.45" customHeight="1" x14ac:dyDescent="0.2">
      <c r="B15" s="111" t="s">
        <v>2896</v>
      </c>
      <c r="C15" s="135" t="s">
        <v>2916</v>
      </c>
      <c r="D15" s="27"/>
      <c r="E15" s="152"/>
      <c r="F15" s="29"/>
      <c r="G15" s="153"/>
      <c r="H15" s="154"/>
      <c r="I15" s="155"/>
      <c r="J15" s="156"/>
      <c r="K15" s="157"/>
      <c r="L15" s="158"/>
      <c r="M15" s="159"/>
      <c r="N15" s="165" t="str">
        <f t="shared" si="0"/>
        <v>제03장 단체교섭권-제01절 단체교섭-</v>
      </c>
    </row>
    <row r="16" spans="2:14" ht="14.45" customHeight="1" x14ac:dyDescent="0.2">
      <c r="B16" s="111" t="s">
        <v>2896</v>
      </c>
      <c r="C16" s="124" t="s">
        <v>2919</v>
      </c>
      <c r="D16" s="125" t="s">
        <v>2858</v>
      </c>
      <c r="E16" s="140" t="s">
        <v>2942</v>
      </c>
      <c r="F16" s="243" t="s">
        <v>3666</v>
      </c>
      <c r="G16" s="127" t="s">
        <v>2953</v>
      </c>
      <c r="H16" s="128" t="s">
        <v>3644</v>
      </c>
      <c r="I16" s="129"/>
      <c r="J16" s="130"/>
      <c r="K16" s="131"/>
      <c r="L16" s="132"/>
      <c r="M16" s="133"/>
      <c r="N16" s="134" t="str">
        <f t="shared" si="0"/>
        <v>제03장 단체교섭권-제02절 단체협약-00</v>
      </c>
    </row>
    <row r="17" spans="2:14" ht="14.45" customHeight="1" thickBot="1" x14ac:dyDescent="0.25">
      <c r="B17" s="111" t="s">
        <v>2896</v>
      </c>
      <c r="C17" s="135" t="s">
        <v>2918</v>
      </c>
      <c r="D17" s="113"/>
      <c r="E17" s="161"/>
      <c r="F17" s="115"/>
      <c r="G17" s="138"/>
      <c r="H17" s="117"/>
      <c r="I17" s="118"/>
      <c r="J17" s="119"/>
      <c r="K17" s="120"/>
      <c r="L17" s="121"/>
      <c r="M17" s="122"/>
      <c r="N17" s="139" t="str">
        <f t="shared" si="0"/>
        <v>제03장 단체교섭권-제02절 단체협약-</v>
      </c>
    </row>
    <row r="18" spans="2:14" ht="14.45" customHeight="1" x14ac:dyDescent="0.2">
      <c r="B18" s="99" t="s">
        <v>2899</v>
      </c>
      <c r="C18" s="100" t="s">
        <v>3600</v>
      </c>
      <c r="D18" s="101" t="s">
        <v>2858</v>
      </c>
      <c r="E18" s="102" t="s">
        <v>2943</v>
      </c>
      <c r="F18" s="242" t="s">
        <v>3666</v>
      </c>
      <c r="G18" s="103" t="s">
        <v>3602</v>
      </c>
      <c r="H18" s="104" t="s">
        <v>3645</v>
      </c>
      <c r="I18" s="105"/>
      <c r="J18" s="106"/>
      <c r="K18" s="107"/>
      <c r="L18" s="108"/>
      <c r="M18" s="109"/>
      <c r="N18" s="110" t="str">
        <f t="shared" si="0"/>
        <v>제04장 단체행동권-제01절 단체행동권의 서설-00</v>
      </c>
    </row>
    <row r="19" spans="2:14" ht="14.45" customHeight="1" x14ac:dyDescent="0.2">
      <c r="B19" s="111" t="s">
        <v>2898</v>
      </c>
      <c r="C19" s="112" t="s">
        <v>3601</v>
      </c>
      <c r="D19" s="113"/>
      <c r="E19" s="162"/>
      <c r="F19" s="137"/>
      <c r="G19" s="138"/>
      <c r="H19" s="117"/>
      <c r="I19" s="118"/>
      <c r="J19" s="119"/>
      <c r="K19" s="120"/>
      <c r="L19" s="121"/>
      <c r="M19" s="122"/>
      <c r="N19" s="139" t="str">
        <f t="shared" si="0"/>
        <v>제04장 단체행동권-제01절 단체행동권의 서설-</v>
      </c>
    </row>
    <row r="20" spans="2:14" ht="14.45" customHeight="1" x14ac:dyDescent="0.2">
      <c r="B20" s="111" t="s">
        <v>2898</v>
      </c>
      <c r="C20" s="124" t="s">
        <v>2921</v>
      </c>
      <c r="D20" s="125" t="s">
        <v>2858</v>
      </c>
      <c r="E20" s="140" t="s">
        <v>2943</v>
      </c>
      <c r="F20" s="243" t="s">
        <v>3666</v>
      </c>
      <c r="G20" s="127" t="s">
        <v>2954</v>
      </c>
      <c r="H20" s="128" t="s">
        <v>3646</v>
      </c>
      <c r="I20" s="129"/>
      <c r="J20" s="130"/>
      <c r="K20" s="131"/>
      <c r="L20" s="132"/>
      <c r="M20" s="133"/>
      <c r="N20" s="134" t="str">
        <f t="shared" si="0"/>
        <v>제04장 단체행동권-제02절 쟁의행위의 정당성-00</v>
      </c>
    </row>
    <row r="21" spans="2:14" ht="14.45" customHeight="1" x14ac:dyDescent="0.2">
      <c r="B21" s="111" t="s">
        <v>2898</v>
      </c>
      <c r="C21" s="135" t="s">
        <v>2920</v>
      </c>
      <c r="D21" s="113"/>
      <c r="E21" s="161"/>
      <c r="F21" s="115"/>
      <c r="G21" s="138"/>
      <c r="H21" s="117"/>
      <c r="I21" s="118"/>
      <c r="J21" s="119"/>
      <c r="K21" s="120"/>
      <c r="L21" s="121"/>
      <c r="M21" s="122"/>
      <c r="N21" s="123" t="str">
        <f t="shared" si="0"/>
        <v>제04장 단체행동권-제02절 쟁의행위의 정당성-</v>
      </c>
    </row>
    <row r="22" spans="2:14" ht="14.45" customHeight="1" x14ac:dyDescent="0.2">
      <c r="B22" s="111" t="s">
        <v>2898</v>
      </c>
      <c r="C22" s="124" t="s">
        <v>2923</v>
      </c>
      <c r="D22" s="125" t="s">
        <v>2858</v>
      </c>
      <c r="E22" s="140" t="s">
        <v>2943</v>
      </c>
      <c r="F22" s="243" t="s">
        <v>3666</v>
      </c>
      <c r="G22" s="127" t="s">
        <v>2955</v>
      </c>
      <c r="H22" s="128" t="s">
        <v>3647</v>
      </c>
      <c r="I22" s="129"/>
      <c r="J22" s="130"/>
      <c r="K22" s="131"/>
      <c r="L22" s="132"/>
      <c r="M22" s="133"/>
      <c r="N22" s="134" t="str">
        <f t="shared" si="0"/>
        <v>제04장 단체행동권-제03절 쟁의행위의 법적 책임-00</v>
      </c>
    </row>
    <row r="23" spans="2:14" ht="14.45" customHeight="1" x14ac:dyDescent="0.2">
      <c r="B23" s="111" t="s">
        <v>2898</v>
      </c>
      <c r="C23" s="135" t="s">
        <v>2922</v>
      </c>
      <c r="D23" s="113"/>
      <c r="E23" s="161"/>
      <c r="F23" s="115"/>
      <c r="G23" s="138"/>
      <c r="H23" s="117"/>
      <c r="I23" s="118"/>
      <c r="J23" s="119"/>
      <c r="K23" s="120"/>
      <c r="L23" s="121"/>
      <c r="M23" s="122"/>
      <c r="N23" s="123" t="str">
        <f t="shared" si="0"/>
        <v>제04장 단체행동권-제03절 쟁의행위의 법적 책임-</v>
      </c>
    </row>
    <row r="24" spans="2:14" ht="14.45" customHeight="1" x14ac:dyDescent="0.2">
      <c r="B24" s="111" t="s">
        <v>2898</v>
      </c>
      <c r="C24" s="124" t="s">
        <v>2925</v>
      </c>
      <c r="D24" s="125" t="s">
        <v>2858</v>
      </c>
      <c r="E24" s="140" t="s">
        <v>2943</v>
      </c>
      <c r="F24" s="243" t="s">
        <v>3666</v>
      </c>
      <c r="G24" s="127" t="s">
        <v>2956</v>
      </c>
      <c r="H24" s="128" t="s">
        <v>3648</v>
      </c>
      <c r="I24" s="129"/>
      <c r="J24" s="130"/>
      <c r="K24" s="131"/>
      <c r="L24" s="132"/>
      <c r="M24" s="133"/>
      <c r="N24" s="134" t="str">
        <f t="shared" si="0"/>
        <v>제04장 단체행동권-제04절 쟁의행위의 법적 효과-00</v>
      </c>
    </row>
    <row r="25" spans="2:14" ht="14.45" customHeight="1" x14ac:dyDescent="0.2">
      <c r="B25" s="111" t="s">
        <v>2898</v>
      </c>
      <c r="C25" s="135" t="s">
        <v>2924</v>
      </c>
      <c r="D25" s="113"/>
      <c r="E25" s="161"/>
      <c r="F25" s="115"/>
      <c r="G25" s="138"/>
      <c r="H25" s="117"/>
      <c r="I25" s="118"/>
      <c r="J25" s="119"/>
      <c r="K25" s="120"/>
      <c r="L25" s="121"/>
      <c r="M25" s="122"/>
      <c r="N25" s="139" t="str">
        <f t="shared" si="0"/>
        <v>제04장 단체행동권-제04절 쟁의행위의 법적 효과-</v>
      </c>
    </row>
    <row r="26" spans="2:14" ht="14.45" customHeight="1" x14ac:dyDescent="0.2">
      <c r="B26" s="111" t="s">
        <v>2898</v>
      </c>
      <c r="C26" s="124" t="s">
        <v>2927</v>
      </c>
      <c r="D26" s="125" t="s">
        <v>2858</v>
      </c>
      <c r="E26" s="140" t="s">
        <v>2943</v>
      </c>
      <c r="F26" s="243" t="s">
        <v>3666</v>
      </c>
      <c r="G26" s="127" t="s">
        <v>2957</v>
      </c>
      <c r="H26" s="128" t="s">
        <v>3649</v>
      </c>
      <c r="I26" s="129"/>
      <c r="J26" s="130"/>
      <c r="K26" s="131"/>
      <c r="L26" s="132"/>
      <c r="M26" s="133"/>
      <c r="N26" s="134" t="str">
        <f t="shared" si="0"/>
        <v>제04장 단체행동권-제05절 사용자의 쟁의행위-00</v>
      </c>
    </row>
    <row r="27" spans="2:14" ht="14.45" customHeight="1" x14ac:dyDescent="0.2">
      <c r="B27" s="111" t="s">
        <v>2898</v>
      </c>
      <c r="C27" s="135" t="s">
        <v>2926</v>
      </c>
      <c r="D27" s="113"/>
      <c r="E27" s="161"/>
      <c r="F27" s="115"/>
      <c r="G27" s="138"/>
      <c r="H27" s="117"/>
      <c r="I27" s="118"/>
      <c r="J27" s="119"/>
      <c r="K27" s="120"/>
      <c r="L27" s="121"/>
      <c r="M27" s="122"/>
      <c r="N27" s="139" t="str">
        <f t="shared" si="0"/>
        <v>제04장 단체행동권-제05절 사용자의 쟁의행위-</v>
      </c>
    </row>
    <row r="28" spans="2:14" ht="14.45" customHeight="1" x14ac:dyDescent="0.2">
      <c r="B28" s="111" t="s">
        <v>2898</v>
      </c>
      <c r="C28" s="124" t="s">
        <v>2929</v>
      </c>
      <c r="D28" s="125" t="s">
        <v>2858</v>
      </c>
      <c r="E28" s="140" t="s">
        <v>2943</v>
      </c>
      <c r="F28" s="243" t="s">
        <v>3666</v>
      </c>
      <c r="G28" s="127" t="s">
        <v>2958</v>
      </c>
      <c r="H28" s="128" t="s">
        <v>3650</v>
      </c>
      <c r="I28" s="129"/>
      <c r="J28" s="130"/>
      <c r="K28" s="131"/>
      <c r="L28" s="132"/>
      <c r="M28" s="133"/>
      <c r="N28" s="134" t="str">
        <f t="shared" si="0"/>
        <v>제04장 단체행동권-제06절 안전보호시설과 필수유지업무-00</v>
      </c>
    </row>
    <row r="29" spans="2:14" ht="14.45" customHeight="1" x14ac:dyDescent="0.2">
      <c r="B29" s="111" t="s">
        <v>2898</v>
      </c>
      <c r="C29" s="183" t="s">
        <v>2928</v>
      </c>
      <c r="D29" s="27"/>
      <c r="E29" s="152"/>
      <c r="F29" s="29"/>
      <c r="G29" s="153"/>
      <c r="H29" s="154"/>
      <c r="I29" s="155"/>
      <c r="J29" s="156"/>
      <c r="K29" s="157"/>
      <c r="L29" s="158"/>
      <c r="M29" s="159"/>
      <c r="N29" s="160" t="str">
        <f t="shared" si="0"/>
        <v>제04장 단체행동권-제06절 안전보호시설과 필수유지업무-</v>
      </c>
    </row>
    <row r="30" spans="2:14" ht="14.45" customHeight="1" x14ac:dyDescent="0.2">
      <c r="B30" s="111" t="s">
        <v>2898</v>
      </c>
      <c r="C30" s="124" t="s">
        <v>2931</v>
      </c>
      <c r="D30" s="125" t="s">
        <v>2834</v>
      </c>
      <c r="E30" s="163" t="s">
        <v>2943</v>
      </c>
      <c r="F30" s="241" t="s">
        <v>3666</v>
      </c>
      <c r="G30" s="127" t="s">
        <v>2959</v>
      </c>
      <c r="H30" s="128" t="s">
        <v>3651</v>
      </c>
      <c r="I30" s="129"/>
      <c r="J30" s="130"/>
      <c r="K30" s="131"/>
      <c r="L30" s="132"/>
      <c r="M30" s="133"/>
      <c r="N30" s="164" t="str">
        <f t="shared" si="0"/>
        <v>제04장 단체행동권-제07절 쟁의기간 중 대체근로 등의 제한-00</v>
      </c>
    </row>
    <row r="31" spans="2:14" ht="14.45" customHeight="1" thickBot="1" x14ac:dyDescent="0.25">
      <c r="B31" s="141" t="s">
        <v>2898</v>
      </c>
      <c r="C31" s="166" t="s">
        <v>2930</v>
      </c>
      <c r="D31" s="39"/>
      <c r="E31" s="143"/>
      <c r="F31" s="41"/>
      <c r="G31" s="144"/>
      <c r="H31" s="145"/>
      <c r="I31" s="146"/>
      <c r="J31" s="147"/>
      <c r="K31" s="148"/>
      <c r="L31" s="149"/>
      <c r="M31" s="150"/>
      <c r="N31" s="151" t="str">
        <f t="shared" si="0"/>
        <v>제04장 단체행동권-제07절 쟁의기간 중 대체근로 등의 제한-</v>
      </c>
    </row>
    <row r="32" spans="2:14" ht="14.45" customHeight="1" x14ac:dyDescent="0.2">
      <c r="B32" s="99" t="s">
        <v>2901</v>
      </c>
      <c r="C32" s="100" t="s">
        <v>3603</v>
      </c>
      <c r="D32" s="101" t="s">
        <v>2858</v>
      </c>
      <c r="E32" s="102" t="s">
        <v>2944</v>
      </c>
      <c r="F32" s="242" t="s">
        <v>3666</v>
      </c>
      <c r="G32" s="103" t="s">
        <v>3605</v>
      </c>
      <c r="H32" s="104" t="s">
        <v>3652</v>
      </c>
      <c r="I32" s="105"/>
      <c r="J32" s="106"/>
      <c r="K32" s="107"/>
      <c r="L32" s="108"/>
      <c r="M32" s="109"/>
      <c r="N32" s="110" t="str">
        <f t="shared" si="0"/>
        <v>제05장 노동쟁의조정제도-제01절 노동쟁의조정제도의 서설-00</v>
      </c>
    </row>
    <row r="33" spans="2:14" ht="14.45" customHeight="1" x14ac:dyDescent="0.2">
      <c r="B33" s="111" t="s">
        <v>2900</v>
      </c>
      <c r="C33" s="183" t="s">
        <v>3604</v>
      </c>
      <c r="D33" s="113"/>
      <c r="E33" s="167"/>
      <c r="F33" s="115"/>
      <c r="G33" s="116"/>
      <c r="H33" s="117"/>
      <c r="I33" s="118"/>
      <c r="J33" s="119"/>
      <c r="K33" s="120"/>
      <c r="L33" s="121"/>
      <c r="M33" s="122"/>
      <c r="N33" s="123" t="str">
        <f t="shared" si="0"/>
        <v>제05장 노동쟁의조정제도-제01절 노동쟁의조정제도의 서설-</v>
      </c>
    </row>
    <row r="34" spans="2:14" ht="14.45" customHeight="1" x14ac:dyDescent="0.2">
      <c r="B34" s="111" t="s">
        <v>2900</v>
      </c>
      <c r="C34" s="124" t="s">
        <v>2933</v>
      </c>
      <c r="D34" s="125" t="s">
        <v>2858</v>
      </c>
      <c r="E34" s="140" t="s">
        <v>2944</v>
      </c>
      <c r="F34" s="243" t="s">
        <v>3666</v>
      </c>
      <c r="G34" s="127" t="s">
        <v>2960</v>
      </c>
      <c r="H34" s="128" t="s">
        <v>3653</v>
      </c>
      <c r="I34" s="129"/>
      <c r="J34" s="130"/>
      <c r="K34" s="131"/>
      <c r="L34" s="132"/>
      <c r="M34" s="133"/>
      <c r="N34" s="134" t="str">
        <f t="shared" si="0"/>
        <v>제05장 노동쟁의조정제도-제02절 노동쟁의조정제도의 기본체계-00</v>
      </c>
    </row>
    <row r="35" spans="2:14" ht="14.45" customHeight="1" x14ac:dyDescent="0.2">
      <c r="B35" s="111" t="s">
        <v>2900</v>
      </c>
      <c r="C35" s="135" t="s">
        <v>2932</v>
      </c>
      <c r="D35" s="113"/>
      <c r="E35" s="162"/>
      <c r="F35" s="137"/>
      <c r="G35" s="138"/>
      <c r="H35" s="117"/>
      <c r="I35" s="118"/>
      <c r="J35" s="119"/>
      <c r="K35" s="120"/>
      <c r="L35" s="121"/>
      <c r="M35" s="122"/>
      <c r="N35" s="139" t="str">
        <f t="shared" si="0"/>
        <v>제05장 노동쟁의조정제도-제02절 노동쟁의조정제도의 기본체계-</v>
      </c>
    </row>
    <row r="36" spans="2:14" ht="14.45" customHeight="1" x14ac:dyDescent="0.2">
      <c r="B36" s="111" t="s">
        <v>2900</v>
      </c>
      <c r="C36" s="124" t="s">
        <v>2934</v>
      </c>
      <c r="D36" s="125" t="s">
        <v>2834</v>
      </c>
      <c r="E36" s="163" t="s">
        <v>2944</v>
      </c>
      <c r="F36" s="241" t="s">
        <v>3666</v>
      </c>
      <c r="G36" s="127" t="s">
        <v>2961</v>
      </c>
      <c r="H36" s="128" t="s">
        <v>3654</v>
      </c>
      <c r="I36" s="129"/>
      <c r="J36" s="130"/>
      <c r="K36" s="131"/>
      <c r="L36" s="132"/>
      <c r="M36" s="133"/>
      <c r="N36" s="164" t="str">
        <f t="shared" si="0"/>
        <v>제05장 노동쟁의조정제도-제03절 노동쟁의조정의 유형 및 절차-00</v>
      </c>
    </row>
    <row r="37" spans="2:14" ht="14.45" customHeight="1" thickBot="1" x14ac:dyDescent="0.25">
      <c r="B37" s="141" t="s">
        <v>2900</v>
      </c>
      <c r="C37" s="142"/>
      <c r="D37" s="39"/>
      <c r="E37" s="143"/>
      <c r="F37" s="41"/>
      <c r="G37" s="144"/>
      <c r="H37" s="145"/>
      <c r="I37" s="146"/>
      <c r="J37" s="147"/>
      <c r="K37" s="148"/>
      <c r="L37" s="149"/>
      <c r="M37" s="150"/>
      <c r="N37" s="151" t="str">
        <f t="shared" si="0"/>
        <v>제05장 노동쟁의조정제도--</v>
      </c>
    </row>
    <row r="38" spans="2:14" ht="14.45" customHeight="1" x14ac:dyDescent="0.2">
      <c r="B38" s="99" t="s">
        <v>2903</v>
      </c>
      <c r="C38" s="100" t="s">
        <v>3606</v>
      </c>
      <c r="D38" s="101" t="s">
        <v>2858</v>
      </c>
      <c r="E38" s="102" t="s">
        <v>2945</v>
      </c>
      <c r="F38" s="242" t="s">
        <v>3666</v>
      </c>
      <c r="G38" s="103" t="s">
        <v>3608</v>
      </c>
      <c r="H38" s="104" t="s">
        <v>3655</v>
      </c>
      <c r="I38" s="105"/>
      <c r="J38" s="106"/>
      <c r="K38" s="107"/>
      <c r="L38" s="108"/>
      <c r="M38" s="109"/>
      <c r="N38" s="110" t="str">
        <f t="shared" si="0"/>
        <v>제06장 부당노동행위구제제도-제01절 부당노동행위구제제도의 서설-00</v>
      </c>
    </row>
    <row r="39" spans="2:14" ht="14.45" customHeight="1" x14ac:dyDescent="0.2">
      <c r="B39" s="111" t="s">
        <v>2902</v>
      </c>
      <c r="C39" s="135" t="s">
        <v>3607</v>
      </c>
      <c r="D39" s="113"/>
      <c r="E39" s="162"/>
      <c r="F39" s="137"/>
      <c r="G39" s="138"/>
      <c r="H39" s="117"/>
      <c r="I39" s="118"/>
      <c r="J39" s="119"/>
      <c r="K39" s="120"/>
      <c r="L39" s="121"/>
      <c r="M39" s="122"/>
      <c r="N39" s="123" t="str">
        <f t="shared" si="0"/>
        <v>제06장 부당노동행위구제제도-제01절 부당노동행위구제제도의 서설-</v>
      </c>
    </row>
    <row r="40" spans="2:14" ht="14.45" customHeight="1" x14ac:dyDescent="0.2">
      <c r="B40" s="111" t="s">
        <v>2902</v>
      </c>
      <c r="C40" s="124" t="s">
        <v>2935</v>
      </c>
      <c r="D40" s="125" t="s">
        <v>2858</v>
      </c>
      <c r="E40" s="140" t="s">
        <v>2945</v>
      </c>
      <c r="F40" s="243" t="s">
        <v>3666</v>
      </c>
      <c r="G40" s="127" t="s">
        <v>2962</v>
      </c>
      <c r="H40" s="128" t="s">
        <v>3656</v>
      </c>
      <c r="I40" s="129"/>
      <c r="J40" s="130"/>
      <c r="K40" s="131"/>
      <c r="L40" s="132"/>
      <c r="M40" s="133"/>
      <c r="N40" s="134" t="str">
        <f t="shared" si="0"/>
        <v>제06장 부당노동행위구제제도-제02절 부당노동행위의 유형-00</v>
      </c>
    </row>
    <row r="41" spans="2:14" ht="14.45" customHeight="1" x14ac:dyDescent="0.2">
      <c r="B41" s="111" t="s">
        <v>2902</v>
      </c>
      <c r="C41" s="112"/>
      <c r="D41" s="27"/>
      <c r="E41" s="152"/>
      <c r="F41" s="29"/>
      <c r="G41" s="153"/>
      <c r="H41" s="154"/>
      <c r="I41" s="155"/>
      <c r="J41" s="156"/>
      <c r="K41" s="157"/>
      <c r="L41" s="158"/>
      <c r="M41" s="159"/>
      <c r="N41" s="165" t="str">
        <f t="shared" si="0"/>
        <v>제06장 부당노동행위구제제도--</v>
      </c>
    </row>
    <row r="42" spans="2:14" ht="14.45" customHeight="1" x14ac:dyDescent="0.2">
      <c r="B42" s="111" t="s">
        <v>2902</v>
      </c>
      <c r="C42" s="124" t="s">
        <v>2936</v>
      </c>
      <c r="D42" s="125" t="s">
        <v>2834</v>
      </c>
      <c r="E42" s="163" t="s">
        <v>2945</v>
      </c>
      <c r="F42" s="241" t="s">
        <v>3666</v>
      </c>
      <c r="G42" s="127" t="s">
        <v>2963</v>
      </c>
      <c r="H42" s="128" t="s">
        <v>3657</v>
      </c>
      <c r="I42" s="129"/>
      <c r="J42" s="130"/>
      <c r="K42" s="131"/>
      <c r="L42" s="132"/>
      <c r="M42" s="133"/>
      <c r="N42" s="134" t="str">
        <f t="shared" si="0"/>
        <v>제06장 부당노동행위구제제도-제03절 부당노동행위의 구제절차-00</v>
      </c>
    </row>
    <row r="43" spans="2:14" ht="14.45" customHeight="1" thickBot="1" x14ac:dyDescent="0.25">
      <c r="B43" s="141" t="s">
        <v>2902</v>
      </c>
      <c r="C43" s="142"/>
      <c r="D43" s="39"/>
      <c r="E43" s="143"/>
      <c r="F43" s="41"/>
      <c r="G43" s="144"/>
      <c r="H43" s="145"/>
      <c r="I43" s="146"/>
      <c r="J43" s="147"/>
      <c r="K43" s="148"/>
      <c r="L43" s="149"/>
      <c r="M43" s="150"/>
      <c r="N43" s="168" t="str">
        <f t="shared" si="0"/>
        <v>제06장 부당노동행위구제제도--</v>
      </c>
    </row>
    <row r="44" spans="2:14" ht="14.45" customHeight="1" x14ac:dyDescent="0.2">
      <c r="B44" s="99" t="s">
        <v>2905</v>
      </c>
      <c r="C44" s="100" t="s">
        <v>3609</v>
      </c>
      <c r="D44" s="101" t="s">
        <v>2858</v>
      </c>
      <c r="E44" s="102" t="s">
        <v>2946</v>
      </c>
      <c r="F44" s="242" t="s">
        <v>3666</v>
      </c>
      <c r="G44" s="103" t="s">
        <v>3611</v>
      </c>
      <c r="H44" s="104" t="s">
        <v>3658</v>
      </c>
      <c r="I44" s="105"/>
      <c r="J44" s="106"/>
      <c r="K44" s="107"/>
      <c r="L44" s="108"/>
      <c r="M44" s="109"/>
      <c r="N44" s="110" t="str">
        <f t="shared" si="0"/>
        <v>제07장 노동위원회-제01절 노동위원회의 서설-00</v>
      </c>
    </row>
    <row r="45" spans="2:14" ht="14.45" customHeight="1" x14ac:dyDescent="0.2">
      <c r="B45" s="111" t="s">
        <v>2904</v>
      </c>
      <c r="C45" s="135" t="s">
        <v>3610</v>
      </c>
      <c r="D45" s="113"/>
      <c r="E45" s="162"/>
      <c r="F45" s="137"/>
      <c r="G45" s="138"/>
      <c r="H45" s="117"/>
      <c r="I45" s="118"/>
      <c r="J45" s="119"/>
      <c r="K45" s="120"/>
      <c r="L45" s="121"/>
      <c r="M45" s="122"/>
      <c r="N45" s="139" t="str">
        <f t="shared" si="0"/>
        <v>제07장 노동위원회-제01절 노동위원회의 서설-</v>
      </c>
    </row>
    <row r="46" spans="2:14" ht="14.45" customHeight="1" x14ac:dyDescent="0.2">
      <c r="B46" s="111" t="s">
        <v>2904</v>
      </c>
      <c r="C46" s="124" t="s">
        <v>2937</v>
      </c>
      <c r="D46" s="125" t="s">
        <v>2858</v>
      </c>
      <c r="E46" s="140" t="s">
        <v>2946</v>
      </c>
      <c r="F46" s="243" t="s">
        <v>3666</v>
      </c>
      <c r="G46" s="127" t="s">
        <v>2964</v>
      </c>
      <c r="H46" s="128" t="s">
        <v>3659</v>
      </c>
      <c r="I46" s="129"/>
      <c r="J46" s="130"/>
      <c r="K46" s="131"/>
      <c r="L46" s="132"/>
      <c r="M46" s="133"/>
      <c r="N46" s="134" t="str">
        <f t="shared" si="0"/>
        <v>제07장 노동위원회-제02절 노동위원회의 종류와 조직-00</v>
      </c>
    </row>
    <row r="47" spans="2:14" ht="14.45" customHeight="1" x14ac:dyDescent="0.2">
      <c r="B47" s="111" t="s">
        <v>2904</v>
      </c>
      <c r="C47" s="112"/>
      <c r="D47" s="27"/>
      <c r="E47" s="184"/>
      <c r="F47" s="185"/>
      <c r="G47" s="153"/>
      <c r="H47" s="154"/>
      <c r="I47" s="155"/>
      <c r="J47" s="156"/>
      <c r="K47" s="157"/>
      <c r="L47" s="158"/>
      <c r="M47" s="159"/>
      <c r="N47" s="160" t="str">
        <f t="shared" si="0"/>
        <v>제07장 노동위원회--</v>
      </c>
    </row>
    <row r="48" spans="2:14" ht="14.45" customHeight="1" x14ac:dyDescent="0.2">
      <c r="B48" s="111" t="s">
        <v>2904</v>
      </c>
      <c r="C48" s="124" t="s">
        <v>2938</v>
      </c>
      <c r="D48" s="125" t="s">
        <v>2834</v>
      </c>
      <c r="E48" s="140" t="s">
        <v>2946</v>
      </c>
      <c r="F48" s="243" t="s">
        <v>3666</v>
      </c>
      <c r="G48" s="127" t="s">
        <v>2965</v>
      </c>
      <c r="H48" s="128" t="s">
        <v>3660</v>
      </c>
      <c r="I48" s="129"/>
      <c r="J48" s="130"/>
      <c r="K48" s="131"/>
      <c r="L48" s="132"/>
      <c r="M48" s="133"/>
      <c r="N48" s="164" t="str">
        <f t="shared" si="0"/>
        <v>제07장 노동위원회-제03절 노동위원회의 회의-00</v>
      </c>
    </row>
    <row r="49" spans="2:14" ht="14.45" customHeight="1" x14ac:dyDescent="0.2">
      <c r="B49" s="111" t="s">
        <v>2904</v>
      </c>
      <c r="C49" s="112"/>
      <c r="D49" s="27"/>
      <c r="E49" s="184"/>
      <c r="F49" s="185"/>
      <c r="G49" s="153"/>
      <c r="H49" s="154"/>
      <c r="I49" s="155"/>
      <c r="J49" s="156"/>
      <c r="K49" s="157"/>
      <c r="L49" s="158"/>
      <c r="M49" s="159"/>
      <c r="N49" s="160" t="str">
        <f t="shared" si="0"/>
        <v>제07장 노동위원회--</v>
      </c>
    </row>
    <row r="50" spans="2:14" ht="14.45" customHeight="1" x14ac:dyDescent="0.2">
      <c r="B50" s="111" t="s">
        <v>2904</v>
      </c>
      <c r="C50" s="124" t="s">
        <v>2939</v>
      </c>
      <c r="D50" s="125" t="s">
        <v>2834</v>
      </c>
      <c r="E50" s="140" t="s">
        <v>2946</v>
      </c>
      <c r="F50" s="243" t="s">
        <v>3666</v>
      </c>
      <c r="G50" s="127" t="s">
        <v>3617</v>
      </c>
      <c r="H50" s="128" t="s">
        <v>3661</v>
      </c>
      <c r="I50" s="129"/>
      <c r="J50" s="130"/>
      <c r="K50" s="131"/>
      <c r="L50" s="132"/>
      <c r="M50" s="133"/>
      <c r="N50" s="164" t="str">
        <f t="shared" si="0"/>
        <v>제07장 노동위원회-제04절 보칙-00</v>
      </c>
    </row>
    <row r="51" spans="2:14" ht="14.45" customHeight="1" thickBot="1" x14ac:dyDescent="0.25">
      <c r="B51" s="141" t="s">
        <v>2904</v>
      </c>
      <c r="C51" s="142"/>
      <c r="D51" s="39"/>
      <c r="E51" s="169"/>
      <c r="F51" s="170"/>
      <c r="G51" s="144"/>
      <c r="H51" s="145"/>
      <c r="I51" s="146"/>
      <c r="J51" s="147"/>
      <c r="K51" s="148"/>
      <c r="L51" s="149"/>
      <c r="M51" s="150"/>
      <c r="N51" s="151" t="str">
        <f t="shared" si="0"/>
        <v>제07장 노동위원회--</v>
      </c>
    </row>
    <row r="52" spans="2:14" ht="14.45" customHeight="1" x14ac:dyDescent="0.2">
      <c r="B52" s="99" t="s">
        <v>2907</v>
      </c>
      <c r="C52" s="100" t="s">
        <v>3612</v>
      </c>
      <c r="D52" s="101" t="s">
        <v>2858</v>
      </c>
      <c r="E52" s="102" t="s">
        <v>2947</v>
      </c>
      <c r="F52" s="242" t="s">
        <v>3666</v>
      </c>
      <c r="G52" s="103" t="s">
        <v>3614</v>
      </c>
      <c r="H52" s="104" t="s">
        <v>3662</v>
      </c>
      <c r="I52" s="105"/>
      <c r="J52" s="106"/>
      <c r="K52" s="107" t="s">
        <v>3615</v>
      </c>
      <c r="L52" s="108"/>
      <c r="M52" s="109"/>
      <c r="N52" s="110" t="str">
        <f t="shared" si="0"/>
        <v>제08장 노사협의회-제01절 노사협의회의 서설-00</v>
      </c>
    </row>
    <row r="53" spans="2:14" ht="14.45" customHeight="1" x14ac:dyDescent="0.2">
      <c r="B53" s="111" t="s">
        <v>2906</v>
      </c>
      <c r="C53" s="135" t="s">
        <v>3613</v>
      </c>
      <c r="D53" s="113"/>
      <c r="E53" s="162"/>
      <c r="F53" s="137"/>
      <c r="G53" s="138"/>
      <c r="H53" s="117"/>
      <c r="I53" s="118"/>
      <c r="J53" s="119"/>
      <c r="K53" s="120"/>
      <c r="L53" s="121"/>
      <c r="M53" s="122"/>
      <c r="N53" s="123" t="str">
        <f t="shared" si="0"/>
        <v>제08장 노사협의회-제01절 노사협의회의 서설-</v>
      </c>
    </row>
    <row r="54" spans="2:14" ht="14.45" customHeight="1" x14ac:dyDescent="0.2">
      <c r="B54" s="111" t="s">
        <v>2906</v>
      </c>
      <c r="C54" s="124" t="s">
        <v>2940</v>
      </c>
      <c r="D54" s="125" t="s">
        <v>2858</v>
      </c>
      <c r="E54" s="140" t="s">
        <v>2947</v>
      </c>
      <c r="F54" s="243" t="s">
        <v>3666</v>
      </c>
      <c r="G54" s="127" t="s">
        <v>2966</v>
      </c>
      <c r="H54" s="128" t="s">
        <v>3663</v>
      </c>
      <c r="I54" s="129"/>
      <c r="J54" s="130"/>
      <c r="K54" s="131" t="s">
        <v>3616</v>
      </c>
      <c r="L54" s="132"/>
      <c r="M54" s="133"/>
      <c r="N54" s="134" t="str">
        <f t="shared" si="0"/>
        <v>제08장 노사협의회-제02절 노사협의제도-00</v>
      </c>
    </row>
    <row r="55" spans="2:14" ht="14.45" customHeight="1" thickBot="1" x14ac:dyDescent="0.25">
      <c r="B55" s="141" t="s">
        <v>2906</v>
      </c>
      <c r="C55" s="142"/>
      <c r="D55" s="39"/>
      <c r="E55" s="143"/>
      <c r="F55" s="170"/>
      <c r="G55" s="144"/>
      <c r="H55" s="145"/>
      <c r="I55" s="146"/>
      <c r="J55" s="147"/>
      <c r="K55" s="148"/>
      <c r="L55" s="149"/>
      <c r="M55" s="150"/>
      <c r="N55" s="151" t="str">
        <f t="shared" si="0"/>
        <v>제08장 노사협의회--</v>
      </c>
    </row>
    <row r="56" spans="2:14" ht="14.45" customHeight="1" x14ac:dyDescent="0.2">
      <c r="B56" s="99" t="s">
        <v>2893</v>
      </c>
      <c r="C56" s="100" t="s">
        <v>2891</v>
      </c>
      <c r="D56" s="101" t="s">
        <v>2858</v>
      </c>
      <c r="E56" s="102" t="s">
        <v>2861</v>
      </c>
      <c r="F56" s="242" t="s">
        <v>3666</v>
      </c>
      <c r="G56" s="103" t="s">
        <v>2872</v>
      </c>
      <c r="H56" s="104" t="s">
        <v>3664</v>
      </c>
      <c r="I56" s="105"/>
      <c r="J56" s="106"/>
      <c r="K56" s="107"/>
      <c r="L56" s="108"/>
      <c r="M56" s="109"/>
      <c r="N56" s="110" t="str">
        <f t="shared" si="0"/>
        <v>제09장 부속법령-제01절 교원의 노동조합 설립 및 운영 등에 관한 법률-00</v>
      </c>
    </row>
    <row r="57" spans="2:14" ht="14.45" customHeight="1" x14ac:dyDescent="0.2">
      <c r="B57" s="111" t="s">
        <v>2892</v>
      </c>
      <c r="C57" s="135" t="s">
        <v>2891</v>
      </c>
      <c r="D57" s="113"/>
      <c r="E57" s="161"/>
      <c r="F57" s="115"/>
      <c r="G57" s="138"/>
      <c r="H57" s="117"/>
      <c r="I57" s="118"/>
      <c r="J57" s="119"/>
      <c r="K57" s="120"/>
      <c r="L57" s="121"/>
      <c r="M57" s="122"/>
      <c r="N57" s="139" t="str">
        <f t="shared" si="0"/>
        <v>제09장 부속법령-제01절 교원의 노동조합 설립 및 운영 등에 관한 법률-</v>
      </c>
    </row>
    <row r="58" spans="2:14" ht="14.45" customHeight="1" x14ac:dyDescent="0.2">
      <c r="B58" s="111" t="s">
        <v>2892</v>
      </c>
      <c r="C58" s="124" t="s">
        <v>2890</v>
      </c>
      <c r="D58" s="125" t="s">
        <v>2858</v>
      </c>
      <c r="E58" s="140" t="s">
        <v>2861</v>
      </c>
      <c r="F58" s="243" t="s">
        <v>3666</v>
      </c>
      <c r="G58" s="127" t="s">
        <v>2874</v>
      </c>
      <c r="H58" s="128" t="s">
        <v>3665</v>
      </c>
      <c r="I58" s="129"/>
      <c r="J58" s="130"/>
      <c r="K58" s="131"/>
      <c r="L58" s="132"/>
      <c r="M58" s="133"/>
      <c r="N58" s="134" t="str">
        <f t="shared" si="0"/>
        <v>제09장 부속법령-제02절 공무원의 노동조합 설립 및 운영 등에 관한 법률-00</v>
      </c>
    </row>
    <row r="59" spans="2:14" ht="14.45" customHeight="1" thickBot="1" x14ac:dyDescent="0.25">
      <c r="B59" s="141" t="s">
        <v>2892</v>
      </c>
      <c r="C59" s="166" t="s">
        <v>2890</v>
      </c>
      <c r="D59" s="39"/>
      <c r="E59" s="169"/>
      <c r="F59" s="170"/>
      <c r="G59" s="144"/>
      <c r="H59" s="145"/>
      <c r="I59" s="146"/>
      <c r="J59" s="147"/>
      <c r="K59" s="148"/>
      <c r="L59" s="149"/>
      <c r="M59" s="150"/>
      <c r="N59" s="151" t="str">
        <f t="shared" si="0"/>
        <v>제09장 부속법령-제02절 공무원의 노동조합 설립 및 운영 등에 관한 법률-</v>
      </c>
    </row>
  </sheetData>
  <autoFilter ref="B3:N59" xr:uid="{F152053D-6840-4F11-85E4-273300A555D9}"/>
  <mergeCells count="4">
    <mergeCell ref="B2:C2"/>
    <mergeCell ref="D2:G2"/>
    <mergeCell ref="H2:I2"/>
    <mergeCell ref="L2:M2"/>
  </mergeCells>
  <phoneticPr fontId="2" type="noConversion"/>
  <conditionalFormatting sqref="B4:N59">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609E887-ED9A-4BF5-BDED-00C26A376A3C}">
          <x14:formula1>
            <xm:f>설정!$B$6:$B$12</xm:f>
          </x14:formula1>
          <xm:sqref>D4:D59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C9409-94B7-4854-A5F1-9C05371B377E}">
  <sheetPr codeName="Sheet11"/>
  <dimension ref="B1:O17"/>
  <sheetViews>
    <sheetView showGridLines="0" zoomScaleNormal="100" workbookViewId="0">
      <pane ySplit="2" topLeftCell="A3" activePane="bottomLeft" state="frozen"/>
      <selection activeCell="K25" sqref="K25"/>
      <selection pane="bottomLeft" activeCell="D6" sqref="D6"/>
    </sheetView>
  </sheetViews>
  <sheetFormatPr defaultRowHeight="14.45" customHeight="1" x14ac:dyDescent="0.2"/>
  <cols>
    <col min="1" max="1" width="1.28515625" style="171" customWidth="1"/>
    <col min="2" max="2" width="50.7109375" style="171" customWidth="1"/>
    <col min="3" max="3" width="9.7109375" style="172" customWidth="1"/>
    <col min="4" max="4" width="4.42578125" style="172" customWidth="1"/>
    <col min="5" max="6" width="9.140625" style="171"/>
    <col min="7" max="9" width="9.140625" style="84"/>
    <col min="10" max="15" width="9.140625" style="172"/>
    <col min="16" max="16384" width="9.140625" style="171"/>
  </cols>
  <sheetData>
    <row r="1" spans="2:9" ht="14.45" customHeight="1" thickBot="1" x14ac:dyDescent="0.25"/>
    <row r="2" spans="2:9" s="172" customFormat="1" ht="14.45" customHeight="1" thickBot="1" x14ac:dyDescent="0.25">
      <c r="B2" s="249" t="s">
        <v>2839</v>
      </c>
      <c r="C2" s="250"/>
      <c r="D2" s="173" t="s">
        <v>2862</v>
      </c>
      <c r="E2" s="171"/>
      <c r="F2" s="171"/>
      <c r="G2" s="84"/>
      <c r="H2" s="84"/>
      <c r="I2" s="84"/>
    </row>
    <row r="3" spans="2:9" s="172" customFormat="1" ht="14.45" customHeight="1" x14ac:dyDescent="0.2">
      <c r="B3" s="174" t="s">
        <v>2869</v>
      </c>
      <c r="C3" s="175" t="s">
        <v>2863</v>
      </c>
      <c r="D3" s="176" t="s">
        <v>2875</v>
      </c>
      <c r="E3" s="171"/>
      <c r="F3" s="171"/>
      <c r="G3" s="84"/>
      <c r="H3" s="84"/>
      <c r="I3" s="177"/>
    </row>
    <row r="4" spans="2:9" s="172" customFormat="1" ht="14.45" customHeight="1" x14ac:dyDescent="0.2">
      <c r="B4" s="111" t="s">
        <v>2868</v>
      </c>
      <c r="C4" s="178" t="s">
        <v>2864</v>
      </c>
      <c r="D4" s="179" t="s">
        <v>2876</v>
      </c>
      <c r="E4" s="171"/>
      <c r="F4" s="171"/>
      <c r="G4" s="84"/>
      <c r="H4" s="84"/>
      <c r="I4" s="84"/>
    </row>
    <row r="5" spans="2:9" s="172" customFormat="1" ht="14.45" customHeight="1" thickBot="1" x14ac:dyDescent="0.25">
      <c r="B5" s="141" t="s">
        <v>2868</v>
      </c>
      <c r="C5" s="180" t="s">
        <v>2865</v>
      </c>
      <c r="D5" s="181" t="s">
        <v>2877</v>
      </c>
      <c r="E5" s="171"/>
      <c r="F5" s="171"/>
      <c r="G5" s="84"/>
      <c r="H5" s="84"/>
      <c r="I5" s="84"/>
    </row>
    <row r="6" spans="2:9" s="172" customFormat="1" ht="14.45" customHeight="1" x14ac:dyDescent="0.2">
      <c r="B6" s="182" t="s">
        <v>2867</v>
      </c>
      <c r="C6" s="175" t="s">
        <v>2863</v>
      </c>
      <c r="D6" s="176" t="s">
        <v>2878</v>
      </c>
      <c r="E6" s="171"/>
      <c r="F6" s="171"/>
      <c r="G6" s="84"/>
      <c r="H6" s="84"/>
      <c r="I6" s="84"/>
    </row>
    <row r="7" spans="2:9" s="172" customFormat="1" ht="14.45" customHeight="1" x14ac:dyDescent="0.2">
      <c r="B7" s="111" t="s">
        <v>2866</v>
      </c>
      <c r="C7" s="178" t="s">
        <v>2864</v>
      </c>
      <c r="D7" s="179" t="s">
        <v>2879</v>
      </c>
      <c r="E7" s="171"/>
      <c r="F7" s="171"/>
      <c r="G7" s="84"/>
      <c r="H7" s="84"/>
      <c r="I7" s="84"/>
    </row>
    <row r="8" spans="2:9" s="172" customFormat="1" ht="14.45" customHeight="1" thickBot="1" x14ac:dyDescent="0.25">
      <c r="B8" s="111" t="s">
        <v>2866</v>
      </c>
      <c r="C8" s="180" t="s">
        <v>2865</v>
      </c>
      <c r="D8" s="181" t="s">
        <v>2880</v>
      </c>
      <c r="E8" s="171"/>
      <c r="F8" s="171"/>
      <c r="G8" s="84"/>
      <c r="H8" s="84"/>
      <c r="I8" s="84"/>
    </row>
    <row r="9" spans="2:9" s="172" customFormat="1" ht="14.45" customHeight="1" x14ac:dyDescent="0.2">
      <c r="B9" s="174" t="s">
        <v>2553</v>
      </c>
      <c r="C9" s="175" t="s">
        <v>2863</v>
      </c>
      <c r="D9" s="176" t="s">
        <v>2881</v>
      </c>
      <c r="E9" s="171"/>
      <c r="F9" s="171"/>
      <c r="G9" s="84"/>
      <c r="H9" s="84"/>
      <c r="I9" s="84"/>
    </row>
    <row r="10" spans="2:9" s="172" customFormat="1" ht="14.45" customHeight="1" x14ac:dyDescent="0.2">
      <c r="B10" s="111" t="s">
        <v>2870</v>
      </c>
      <c r="C10" s="178" t="s">
        <v>2864</v>
      </c>
      <c r="D10" s="179" t="s">
        <v>2882</v>
      </c>
      <c r="E10" s="171"/>
      <c r="F10" s="171"/>
      <c r="G10" s="84"/>
      <c r="H10" s="84"/>
      <c r="I10" s="84"/>
    </row>
    <row r="11" spans="2:9" s="172" customFormat="1" ht="14.45" customHeight="1" thickBot="1" x14ac:dyDescent="0.25">
      <c r="B11" s="141" t="s">
        <v>2870</v>
      </c>
      <c r="C11" s="180" t="s">
        <v>2865</v>
      </c>
      <c r="D11" s="181" t="s">
        <v>2883</v>
      </c>
      <c r="E11" s="171"/>
      <c r="F11" s="171"/>
      <c r="G11" s="84"/>
      <c r="H11" s="84"/>
      <c r="I11" s="84"/>
    </row>
    <row r="12" spans="2:9" s="172" customFormat="1" ht="14.45" customHeight="1" x14ac:dyDescent="0.2">
      <c r="B12" s="99" t="s">
        <v>2872</v>
      </c>
      <c r="C12" s="175" t="s">
        <v>2863</v>
      </c>
      <c r="D12" s="176" t="s">
        <v>2884</v>
      </c>
      <c r="E12" s="171"/>
      <c r="F12" s="171"/>
      <c r="G12" s="84"/>
      <c r="H12" s="84"/>
      <c r="I12" s="84"/>
    </row>
    <row r="13" spans="2:9" s="172" customFormat="1" ht="14.45" customHeight="1" x14ac:dyDescent="0.2">
      <c r="B13" s="111" t="s">
        <v>2871</v>
      </c>
      <c r="C13" s="178" t="s">
        <v>2864</v>
      </c>
      <c r="D13" s="179" t="s">
        <v>2885</v>
      </c>
      <c r="E13" s="171"/>
      <c r="F13" s="171"/>
      <c r="G13" s="84"/>
      <c r="H13" s="84"/>
      <c r="I13" s="84"/>
    </row>
    <row r="14" spans="2:9" s="172" customFormat="1" ht="14.45" customHeight="1" thickBot="1" x14ac:dyDescent="0.25">
      <c r="B14" s="141" t="s">
        <v>2871</v>
      </c>
      <c r="C14" s="180" t="s">
        <v>2865</v>
      </c>
      <c r="D14" s="181" t="s">
        <v>2886</v>
      </c>
      <c r="E14" s="171"/>
      <c r="F14" s="171"/>
      <c r="G14" s="84"/>
      <c r="H14" s="84"/>
      <c r="I14" s="84"/>
    </row>
    <row r="15" spans="2:9" s="172" customFormat="1" ht="14.45" customHeight="1" x14ac:dyDescent="0.2">
      <c r="B15" s="99" t="s">
        <v>2874</v>
      </c>
      <c r="C15" s="175" t="s">
        <v>2863</v>
      </c>
      <c r="D15" s="176" t="s">
        <v>2887</v>
      </c>
      <c r="E15" s="171"/>
      <c r="F15" s="171"/>
      <c r="G15" s="84"/>
      <c r="H15" s="84"/>
      <c r="I15" s="84"/>
    </row>
    <row r="16" spans="2:9" s="172" customFormat="1" ht="14.45" customHeight="1" x14ac:dyDescent="0.2">
      <c r="B16" s="111" t="s">
        <v>2873</v>
      </c>
      <c r="C16" s="178" t="s">
        <v>2864</v>
      </c>
      <c r="D16" s="179" t="s">
        <v>2888</v>
      </c>
      <c r="E16" s="171"/>
      <c r="F16" s="171"/>
      <c r="G16" s="84"/>
      <c r="H16" s="84"/>
      <c r="I16" s="84"/>
    </row>
    <row r="17" spans="2:9" s="172" customFormat="1" ht="14.45" customHeight="1" thickBot="1" x14ac:dyDescent="0.25">
      <c r="B17" s="141" t="s">
        <v>2873</v>
      </c>
      <c r="C17" s="180" t="s">
        <v>2865</v>
      </c>
      <c r="D17" s="181" t="s">
        <v>2889</v>
      </c>
      <c r="E17" s="171"/>
      <c r="F17" s="171"/>
      <c r="G17" s="84"/>
      <c r="H17" s="84"/>
      <c r="I17" s="84"/>
    </row>
  </sheetData>
  <mergeCells count="1">
    <mergeCell ref="B2:C2"/>
  </mergeCells>
  <phoneticPr fontId="2" type="noConversion"/>
  <conditionalFormatting sqref="B3:D1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3B98-8478-49F9-BC57-DF7276F58B54}">
  <sheetPr codeName="Sheet20">
    <pageSetUpPr fitToPage="1"/>
  </sheetPr>
  <dimension ref="B2:V41"/>
  <sheetViews>
    <sheetView showGridLines="0" zoomScaleNormal="100" workbookViewId="0">
      <pane ySplit="3" topLeftCell="A4" activePane="bottomLeft" state="frozen"/>
      <selection activeCell="H15" sqref="H15"/>
      <selection pane="bottomLeft" activeCell="U38" sqref="U38"/>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9.140625" style="90" hidden="1" customWidth="1"/>
    <col min="23" max="16384" width="9.140625" style="90"/>
  </cols>
  <sheetData>
    <row r="2" spans="2:22" ht="14.45" customHeight="1" thickBot="1" x14ac:dyDescent="0.25">
      <c r="B2" s="210" t="s">
        <v>3620</v>
      </c>
    </row>
    <row r="3" spans="2:22" ht="14.45" customHeight="1" thickBot="1" x14ac:dyDescent="0.25">
      <c r="B3" s="211" t="s">
        <v>2850</v>
      </c>
      <c r="C3" s="212" t="s">
        <v>2851</v>
      </c>
      <c r="D3" s="212">
        <v>2010</v>
      </c>
      <c r="E3" s="212">
        <v>2011</v>
      </c>
      <c r="F3" s="212">
        <v>2012</v>
      </c>
      <c r="G3" s="212">
        <v>2013</v>
      </c>
      <c r="H3" s="212">
        <v>2014</v>
      </c>
      <c r="I3" s="212">
        <v>2015</v>
      </c>
      <c r="J3" s="212">
        <v>2016</v>
      </c>
      <c r="K3" s="212">
        <v>2017</v>
      </c>
      <c r="L3" s="212">
        <v>2018</v>
      </c>
      <c r="M3" s="212">
        <v>2019</v>
      </c>
      <c r="N3" s="212">
        <v>2020</v>
      </c>
      <c r="O3" s="212">
        <v>2021</v>
      </c>
      <c r="P3" s="212">
        <v>2022</v>
      </c>
      <c r="Q3" s="212">
        <v>2023</v>
      </c>
      <c r="R3" s="212">
        <v>2024</v>
      </c>
      <c r="S3" s="212">
        <v>2025</v>
      </c>
      <c r="T3" s="212">
        <v>2026</v>
      </c>
      <c r="U3" s="92" t="s">
        <v>2834</v>
      </c>
    </row>
    <row r="4" spans="2:22" ht="14.45" customHeight="1" x14ac:dyDescent="0.2">
      <c r="B4" s="99" t="s">
        <v>2857</v>
      </c>
      <c r="C4" s="213" t="s">
        <v>2908</v>
      </c>
      <c r="D4" s="214">
        <f>COUNTIFS(기출문제!$H:$H,기출빈도!$V4,기출문제!$C:$C,기출빈도!D$3)</f>
        <v>0</v>
      </c>
      <c r="E4" s="214">
        <f>COUNTIFS(기출문제!$H:$H,기출빈도!$V4,기출문제!$C:$C,기출빈도!E$3)</f>
        <v>0</v>
      </c>
      <c r="F4" s="214">
        <f>COUNTIFS(기출문제!$H:$H,기출빈도!$V4,기출문제!$C:$C,기출빈도!F$3)</f>
        <v>0</v>
      </c>
      <c r="G4" s="214">
        <f>COUNTIFS(기출문제!$H:$H,기출빈도!$V4,기출문제!$C:$C,기출빈도!G$3)</f>
        <v>0</v>
      </c>
      <c r="H4" s="214">
        <f>COUNTIFS(기출문제!$H:$H,기출빈도!$V4,기출문제!$C:$C,기출빈도!H$3)</f>
        <v>0</v>
      </c>
      <c r="I4" s="214">
        <f>COUNTIFS(기출문제!$H:$H,기출빈도!$V4,기출문제!$C:$C,기출빈도!I$3)</f>
        <v>0</v>
      </c>
      <c r="J4" s="214">
        <f>COUNTIFS(기출문제!$H:$H,기출빈도!$V4,기출문제!$C:$C,기출빈도!J$3)</f>
        <v>0</v>
      </c>
      <c r="K4" s="214">
        <f>COUNTIFS(기출문제!$H:$H,기출빈도!$V4,기출문제!$C:$C,기출빈도!K$3)</f>
        <v>0</v>
      </c>
      <c r="L4" s="214">
        <f>COUNTIFS(기출문제!$H:$H,기출빈도!$V4,기출문제!$C:$C,기출빈도!L$3)</f>
        <v>0</v>
      </c>
      <c r="M4" s="214">
        <f>COUNTIFS(기출문제!$H:$H,기출빈도!$V4,기출문제!$C:$C,기출빈도!M$3)</f>
        <v>0</v>
      </c>
      <c r="N4" s="214">
        <f>COUNTIFS(기출문제!$H:$H,기출빈도!$V4,기출문제!$C:$C,기출빈도!N$3)</f>
        <v>0</v>
      </c>
      <c r="O4" s="214">
        <f>COUNTIFS(기출문제!$H:$H,기출빈도!$V4,기출문제!$C:$C,기출빈도!O$3)</f>
        <v>0</v>
      </c>
      <c r="P4" s="214">
        <f>COUNTIFS(기출문제!$H:$H,기출빈도!$V4,기출문제!$C:$C,기출빈도!P$3)</f>
        <v>0</v>
      </c>
      <c r="Q4" s="214">
        <f>COUNTIFS(기출문제!$H:$H,기출빈도!$V4,기출문제!$C:$C,기출빈도!Q$3)</f>
        <v>0</v>
      </c>
      <c r="R4" s="214">
        <f>COUNTIFS(기출문제!$H:$H,기출빈도!$V4,기출문제!$C:$C,기출빈도!R$3)</f>
        <v>0</v>
      </c>
      <c r="S4" s="214">
        <f>COUNTIFS(기출문제!$H:$H,기출빈도!$V4,기출문제!$C:$C,기출빈도!S$3)</f>
        <v>0</v>
      </c>
      <c r="T4" s="231">
        <f>COUNTIFS(기출문제!$H:$H,기출빈도!$V4,기출문제!$C:$C,기출빈도!T$3)</f>
        <v>0</v>
      </c>
      <c r="U4" s="215" t="s">
        <v>3638</v>
      </c>
      <c r="V4" s="90" t="str">
        <f>MID(C4, 6, 30)</f>
        <v>집단적 노사관계법</v>
      </c>
    </row>
    <row r="5" spans="2:22" ht="14.45" customHeight="1" x14ac:dyDescent="0.2">
      <c r="B5" s="111" t="s">
        <v>2857</v>
      </c>
      <c r="C5" s="216" t="s">
        <v>2910</v>
      </c>
      <c r="D5" s="217">
        <f>COUNTIFS(기출문제!$H:$H,기출빈도!$V5,기출문제!$C:$C,기출빈도!D$3)</f>
        <v>0</v>
      </c>
      <c r="E5" s="217">
        <f>COUNTIFS(기출문제!$H:$H,기출빈도!$V5,기출문제!$C:$C,기출빈도!E$3)</f>
        <v>0</v>
      </c>
      <c r="F5" s="217">
        <f>COUNTIFS(기출문제!$H:$H,기출빈도!$V5,기출문제!$C:$C,기출빈도!F$3)</f>
        <v>0</v>
      </c>
      <c r="G5" s="217">
        <f>COUNTIFS(기출문제!$H:$H,기출빈도!$V5,기출문제!$C:$C,기출빈도!G$3)</f>
        <v>0</v>
      </c>
      <c r="H5" s="217">
        <f>COUNTIFS(기출문제!$H:$H,기출빈도!$V5,기출문제!$C:$C,기출빈도!H$3)</f>
        <v>0</v>
      </c>
      <c r="I5" s="217">
        <f>COUNTIFS(기출문제!$H:$H,기출빈도!$V5,기출문제!$C:$C,기출빈도!I$3)</f>
        <v>0</v>
      </c>
      <c r="J5" s="217">
        <f>COUNTIFS(기출문제!$H:$H,기출빈도!$V5,기출문제!$C:$C,기출빈도!J$3)</f>
        <v>0</v>
      </c>
      <c r="K5" s="217">
        <f>COUNTIFS(기출문제!$H:$H,기출빈도!$V5,기출문제!$C:$C,기출빈도!K$3)</f>
        <v>0</v>
      </c>
      <c r="L5" s="217">
        <f>COUNTIFS(기출문제!$H:$H,기출빈도!$V5,기출문제!$C:$C,기출빈도!L$3)</f>
        <v>0</v>
      </c>
      <c r="M5" s="217">
        <f>COUNTIFS(기출문제!$H:$H,기출빈도!$V5,기출문제!$C:$C,기출빈도!M$3)</f>
        <v>0</v>
      </c>
      <c r="N5" s="217">
        <f>COUNTIFS(기출문제!$H:$H,기출빈도!$V5,기출문제!$C:$C,기출빈도!N$3)</f>
        <v>0</v>
      </c>
      <c r="O5" s="217">
        <f>COUNTIFS(기출문제!$H:$H,기출빈도!$V5,기출문제!$C:$C,기출빈도!O$3)</f>
        <v>0</v>
      </c>
      <c r="P5" s="217">
        <f>COUNTIFS(기출문제!$H:$H,기출빈도!$V5,기출문제!$C:$C,기출빈도!P$3)</f>
        <v>0</v>
      </c>
      <c r="Q5" s="217">
        <f>COUNTIFS(기출문제!$H:$H,기출빈도!$V5,기출문제!$C:$C,기출빈도!Q$3)</f>
        <v>0</v>
      </c>
      <c r="R5" s="217">
        <f>COUNTIFS(기출문제!$H:$H,기출빈도!$V5,기출문제!$C:$C,기출빈도!R$3)</f>
        <v>0</v>
      </c>
      <c r="S5" s="217">
        <f>COUNTIFS(기출문제!$H:$H,기출빈도!$V5,기출문제!$C:$C,기출빈도!S$3)</f>
        <v>0</v>
      </c>
      <c r="T5" s="232">
        <f>COUNTIFS(기출문제!$H:$H,기출빈도!$V5,기출문제!$C:$C,기출빈도!T$3)</f>
        <v>2</v>
      </c>
      <c r="U5" s="218" t="s">
        <v>3639</v>
      </c>
      <c r="V5" s="90" t="str">
        <f t="shared" ref="V5:V41" si="0">MID(C5, 6, 30)</f>
        <v>노동3권</v>
      </c>
    </row>
    <row r="6" spans="2:22" ht="14.45" customHeight="1" thickBot="1" x14ac:dyDescent="0.25">
      <c r="B6" s="219" t="s">
        <v>2860</v>
      </c>
      <c r="C6" s="220" t="s">
        <v>3587</v>
      </c>
      <c r="D6" s="221">
        <f t="shared" ref="D6:T6" si="1">SUM(D4:D5)</f>
        <v>0</v>
      </c>
      <c r="E6" s="221">
        <f t="shared" si="1"/>
        <v>0</v>
      </c>
      <c r="F6" s="221">
        <f t="shared" si="1"/>
        <v>0</v>
      </c>
      <c r="G6" s="221">
        <f t="shared" si="1"/>
        <v>0</v>
      </c>
      <c r="H6" s="221">
        <f t="shared" si="1"/>
        <v>0</v>
      </c>
      <c r="I6" s="221">
        <f t="shared" si="1"/>
        <v>0</v>
      </c>
      <c r="J6" s="221">
        <f t="shared" si="1"/>
        <v>0</v>
      </c>
      <c r="K6" s="221">
        <f t="shared" si="1"/>
        <v>0</v>
      </c>
      <c r="L6" s="221">
        <f t="shared" si="1"/>
        <v>0</v>
      </c>
      <c r="M6" s="221">
        <f t="shared" si="1"/>
        <v>0</v>
      </c>
      <c r="N6" s="221">
        <f t="shared" si="1"/>
        <v>0</v>
      </c>
      <c r="O6" s="221">
        <f t="shared" si="1"/>
        <v>0</v>
      </c>
      <c r="P6" s="221">
        <f t="shared" si="1"/>
        <v>0</v>
      </c>
      <c r="Q6" s="221">
        <f t="shared" si="1"/>
        <v>0</v>
      </c>
      <c r="R6" s="221">
        <f t="shared" si="1"/>
        <v>0</v>
      </c>
      <c r="S6" s="221">
        <f t="shared" si="1"/>
        <v>0</v>
      </c>
      <c r="T6" s="233">
        <f t="shared" si="1"/>
        <v>2</v>
      </c>
      <c r="U6" s="222"/>
      <c r="V6" s="90" t="str">
        <f t="shared" si="0"/>
        <v/>
      </c>
    </row>
    <row r="7" spans="2:22" ht="14.45" customHeight="1" x14ac:dyDescent="0.2">
      <c r="B7" s="99" t="s">
        <v>2895</v>
      </c>
      <c r="C7" s="213" t="s">
        <v>3598</v>
      </c>
      <c r="D7" s="214">
        <f>COUNTIFS(기출문제!$H:$H,기출빈도!$V7,기출문제!$C:$C,기출빈도!D$3)</f>
        <v>0</v>
      </c>
      <c r="E7" s="214">
        <f>COUNTIFS(기출문제!$H:$H,기출빈도!$V7,기출문제!$C:$C,기출빈도!E$3)</f>
        <v>0</v>
      </c>
      <c r="F7" s="214">
        <f>COUNTIFS(기출문제!$H:$H,기출빈도!$V7,기출문제!$C:$C,기출빈도!F$3)</f>
        <v>0</v>
      </c>
      <c r="G7" s="214">
        <f>COUNTIFS(기출문제!$H:$H,기출빈도!$V7,기출문제!$C:$C,기출빈도!G$3)</f>
        <v>0</v>
      </c>
      <c r="H7" s="214">
        <f>COUNTIFS(기출문제!$H:$H,기출빈도!$V7,기출문제!$C:$C,기출빈도!H$3)</f>
        <v>0</v>
      </c>
      <c r="I7" s="214">
        <f>COUNTIFS(기출문제!$H:$H,기출빈도!$V7,기출문제!$C:$C,기출빈도!I$3)</f>
        <v>0</v>
      </c>
      <c r="J7" s="214">
        <f>COUNTIFS(기출문제!$H:$H,기출빈도!$V7,기출문제!$C:$C,기출빈도!J$3)</f>
        <v>0</v>
      </c>
      <c r="K7" s="214">
        <f>COUNTIFS(기출문제!$H:$H,기출빈도!$V7,기출문제!$C:$C,기출빈도!K$3)</f>
        <v>0</v>
      </c>
      <c r="L7" s="214">
        <f>COUNTIFS(기출문제!$H:$H,기출빈도!$V7,기출문제!$C:$C,기출빈도!L$3)</f>
        <v>0</v>
      </c>
      <c r="M7" s="214">
        <f>COUNTIFS(기출문제!$H:$H,기출빈도!$V7,기출문제!$C:$C,기출빈도!M$3)</f>
        <v>0</v>
      </c>
      <c r="N7" s="214">
        <f>COUNTIFS(기출문제!$H:$H,기출빈도!$V7,기출문제!$C:$C,기출빈도!N$3)</f>
        <v>0</v>
      </c>
      <c r="O7" s="214">
        <f>COUNTIFS(기출문제!$H:$H,기출빈도!$V7,기출문제!$C:$C,기출빈도!O$3)</f>
        <v>0</v>
      </c>
      <c r="P7" s="214">
        <f>COUNTIFS(기출문제!$H:$H,기출빈도!$V7,기출문제!$C:$C,기출빈도!P$3)</f>
        <v>0</v>
      </c>
      <c r="Q7" s="214">
        <f>COUNTIFS(기출문제!$H:$H,기출빈도!$V7,기출문제!$C:$C,기출빈도!Q$3)</f>
        <v>0</v>
      </c>
      <c r="R7" s="214">
        <f>COUNTIFS(기출문제!$H:$H,기출빈도!$V7,기출문제!$C:$C,기출빈도!R$3)</f>
        <v>0</v>
      </c>
      <c r="S7" s="214">
        <f>COUNTIFS(기출문제!$H:$H,기출빈도!$V7,기출문제!$C:$C,기출빈도!S$3)</f>
        <v>0</v>
      </c>
      <c r="T7" s="231">
        <f>COUNTIFS(기출문제!$H:$H,기출빈도!$V7,기출문제!$C:$C,기출빈도!T$3)</f>
        <v>0</v>
      </c>
      <c r="U7" s="223" t="s">
        <v>3668</v>
      </c>
      <c r="V7" s="90" t="str">
        <f t="shared" si="0"/>
        <v>단결권의 서설</v>
      </c>
    </row>
    <row r="8" spans="2:22" ht="14.45" customHeight="1" x14ac:dyDescent="0.2">
      <c r="B8" s="111" t="s">
        <v>2894</v>
      </c>
      <c r="C8" s="216" t="s">
        <v>2912</v>
      </c>
      <c r="D8" s="217">
        <f>COUNTIFS(기출문제!$H:$H,기출빈도!$V8,기출문제!$C:$C,기출빈도!D$3)</f>
        <v>0</v>
      </c>
      <c r="E8" s="217">
        <f>COUNTIFS(기출문제!$H:$H,기출빈도!$V8,기출문제!$C:$C,기출빈도!E$3)</f>
        <v>0</v>
      </c>
      <c r="F8" s="217">
        <f>COUNTIFS(기출문제!$H:$H,기출빈도!$V8,기출문제!$C:$C,기출빈도!F$3)</f>
        <v>0</v>
      </c>
      <c r="G8" s="217">
        <f>COUNTIFS(기출문제!$H:$H,기출빈도!$V8,기출문제!$C:$C,기출빈도!G$3)</f>
        <v>0</v>
      </c>
      <c r="H8" s="217">
        <f>COUNTIFS(기출문제!$H:$H,기출빈도!$V8,기출문제!$C:$C,기출빈도!H$3)</f>
        <v>0</v>
      </c>
      <c r="I8" s="217">
        <f>COUNTIFS(기출문제!$H:$H,기출빈도!$V8,기출문제!$C:$C,기출빈도!I$3)</f>
        <v>0</v>
      </c>
      <c r="J8" s="217">
        <f>COUNTIFS(기출문제!$H:$H,기출빈도!$V8,기출문제!$C:$C,기출빈도!J$3)</f>
        <v>0</v>
      </c>
      <c r="K8" s="217">
        <f>COUNTIFS(기출문제!$H:$H,기출빈도!$V8,기출문제!$C:$C,기출빈도!K$3)</f>
        <v>0</v>
      </c>
      <c r="L8" s="217">
        <f>COUNTIFS(기출문제!$H:$H,기출빈도!$V8,기출문제!$C:$C,기출빈도!L$3)</f>
        <v>0</v>
      </c>
      <c r="M8" s="217">
        <f>COUNTIFS(기출문제!$H:$H,기출빈도!$V8,기출문제!$C:$C,기출빈도!M$3)</f>
        <v>0</v>
      </c>
      <c r="N8" s="217">
        <f>COUNTIFS(기출문제!$H:$H,기출빈도!$V8,기출문제!$C:$C,기출빈도!N$3)</f>
        <v>0</v>
      </c>
      <c r="O8" s="217">
        <f>COUNTIFS(기출문제!$H:$H,기출빈도!$V8,기출문제!$C:$C,기출빈도!O$3)</f>
        <v>0</v>
      </c>
      <c r="P8" s="217">
        <f>COUNTIFS(기출문제!$H:$H,기출빈도!$V8,기출문제!$C:$C,기출빈도!P$3)</f>
        <v>0</v>
      </c>
      <c r="Q8" s="217">
        <f>COUNTIFS(기출문제!$H:$H,기출빈도!$V8,기출문제!$C:$C,기출빈도!Q$3)</f>
        <v>0</v>
      </c>
      <c r="R8" s="217">
        <f>COUNTIFS(기출문제!$H:$H,기출빈도!$V8,기출문제!$C:$C,기출빈도!R$3)</f>
        <v>0</v>
      </c>
      <c r="S8" s="217">
        <f>COUNTIFS(기출문제!$H:$H,기출빈도!$V8,기출문제!$C:$C,기출빈도!S$3)</f>
        <v>0</v>
      </c>
      <c r="T8" s="232">
        <f>COUNTIFS(기출문제!$H:$H,기출빈도!$V8,기출문제!$C:$C,기출빈도!T$3)</f>
        <v>2</v>
      </c>
      <c r="U8" s="218" t="s">
        <v>3641</v>
      </c>
      <c r="V8" s="90" t="str">
        <f t="shared" si="0"/>
        <v>노동조합의 설립</v>
      </c>
    </row>
    <row r="9" spans="2:22" ht="14.45" customHeight="1" x14ac:dyDescent="0.2">
      <c r="B9" s="111" t="s">
        <v>2894</v>
      </c>
      <c r="C9" s="216" t="s">
        <v>2914</v>
      </c>
      <c r="D9" s="217">
        <f>COUNTIFS(기출문제!$H:$H,기출빈도!$V9,기출문제!$C:$C,기출빈도!D$3)</f>
        <v>0</v>
      </c>
      <c r="E9" s="217">
        <f>COUNTIFS(기출문제!$H:$H,기출빈도!$V9,기출문제!$C:$C,기출빈도!E$3)</f>
        <v>0</v>
      </c>
      <c r="F9" s="217">
        <f>COUNTIFS(기출문제!$H:$H,기출빈도!$V9,기출문제!$C:$C,기출빈도!F$3)</f>
        <v>0</v>
      </c>
      <c r="G9" s="217">
        <f>COUNTIFS(기출문제!$H:$H,기출빈도!$V9,기출문제!$C:$C,기출빈도!G$3)</f>
        <v>0</v>
      </c>
      <c r="H9" s="217">
        <f>COUNTIFS(기출문제!$H:$H,기출빈도!$V9,기출문제!$C:$C,기출빈도!H$3)</f>
        <v>0</v>
      </c>
      <c r="I9" s="217">
        <f>COUNTIFS(기출문제!$H:$H,기출빈도!$V9,기출문제!$C:$C,기출빈도!I$3)</f>
        <v>0</v>
      </c>
      <c r="J9" s="217">
        <f>COUNTIFS(기출문제!$H:$H,기출빈도!$V9,기출문제!$C:$C,기출빈도!J$3)</f>
        <v>0</v>
      </c>
      <c r="K9" s="217">
        <f>COUNTIFS(기출문제!$H:$H,기출빈도!$V9,기출문제!$C:$C,기출빈도!K$3)</f>
        <v>0</v>
      </c>
      <c r="L9" s="217">
        <f>COUNTIFS(기출문제!$H:$H,기출빈도!$V9,기출문제!$C:$C,기출빈도!L$3)</f>
        <v>0</v>
      </c>
      <c r="M9" s="217">
        <f>COUNTIFS(기출문제!$H:$H,기출빈도!$V9,기출문제!$C:$C,기출빈도!M$3)</f>
        <v>0</v>
      </c>
      <c r="N9" s="217">
        <f>COUNTIFS(기출문제!$H:$H,기출빈도!$V9,기출문제!$C:$C,기출빈도!N$3)</f>
        <v>0</v>
      </c>
      <c r="O9" s="217">
        <f>COUNTIFS(기출문제!$H:$H,기출빈도!$V9,기출문제!$C:$C,기출빈도!O$3)</f>
        <v>0</v>
      </c>
      <c r="P9" s="217">
        <f>COUNTIFS(기출문제!$H:$H,기출빈도!$V9,기출문제!$C:$C,기출빈도!P$3)</f>
        <v>0</v>
      </c>
      <c r="Q9" s="217">
        <f>COUNTIFS(기출문제!$H:$H,기출빈도!$V9,기출문제!$C:$C,기출빈도!Q$3)</f>
        <v>0</v>
      </c>
      <c r="R9" s="217">
        <f>COUNTIFS(기출문제!$H:$H,기출빈도!$V9,기출문제!$C:$C,기출빈도!R$3)</f>
        <v>0</v>
      </c>
      <c r="S9" s="217">
        <f>COUNTIFS(기출문제!$H:$H,기출빈도!$V9,기출문제!$C:$C,기출빈도!S$3)</f>
        <v>0</v>
      </c>
      <c r="T9" s="232">
        <f>COUNTIFS(기출문제!$H:$H,기출빈도!$V9,기출문제!$C:$C,기출빈도!T$3)</f>
        <v>6</v>
      </c>
      <c r="U9" s="218" t="s">
        <v>3642</v>
      </c>
      <c r="V9" s="90" t="str">
        <f t="shared" si="0"/>
        <v>노동조합의 운영과 활동</v>
      </c>
    </row>
    <row r="10" spans="2:22" ht="14.45" customHeight="1" thickBot="1" x14ac:dyDescent="0.25">
      <c r="B10" s="219" t="s">
        <v>2894</v>
      </c>
      <c r="C10" s="220" t="s">
        <v>3588</v>
      </c>
      <c r="D10" s="224">
        <f t="shared" ref="D10:T10" si="2">SUM(D7:D9)</f>
        <v>0</v>
      </c>
      <c r="E10" s="224">
        <f t="shared" si="2"/>
        <v>0</v>
      </c>
      <c r="F10" s="224">
        <f t="shared" si="2"/>
        <v>0</v>
      </c>
      <c r="G10" s="224">
        <f t="shared" si="2"/>
        <v>0</v>
      </c>
      <c r="H10" s="224">
        <f t="shared" si="2"/>
        <v>0</v>
      </c>
      <c r="I10" s="224">
        <f t="shared" si="2"/>
        <v>0</v>
      </c>
      <c r="J10" s="224">
        <f t="shared" si="2"/>
        <v>0</v>
      </c>
      <c r="K10" s="224">
        <f t="shared" si="2"/>
        <v>0</v>
      </c>
      <c r="L10" s="224">
        <f t="shared" si="2"/>
        <v>0</v>
      </c>
      <c r="M10" s="224">
        <f t="shared" si="2"/>
        <v>0</v>
      </c>
      <c r="N10" s="224">
        <f t="shared" si="2"/>
        <v>0</v>
      </c>
      <c r="O10" s="224">
        <f t="shared" si="2"/>
        <v>0</v>
      </c>
      <c r="P10" s="224">
        <f t="shared" si="2"/>
        <v>0</v>
      </c>
      <c r="Q10" s="224">
        <f t="shared" si="2"/>
        <v>0</v>
      </c>
      <c r="R10" s="224">
        <f t="shared" si="2"/>
        <v>0</v>
      </c>
      <c r="S10" s="224">
        <f t="shared" si="2"/>
        <v>0</v>
      </c>
      <c r="T10" s="234">
        <f t="shared" si="2"/>
        <v>8</v>
      </c>
      <c r="U10" s="225"/>
      <c r="V10" s="90" t="str">
        <f t="shared" si="0"/>
        <v/>
      </c>
    </row>
    <row r="11" spans="2:22" ht="14.45" customHeight="1" x14ac:dyDescent="0.2">
      <c r="B11" s="99" t="s">
        <v>2897</v>
      </c>
      <c r="C11" s="213" t="s">
        <v>2916</v>
      </c>
      <c r="D11" s="214">
        <f>COUNTIFS(기출문제!$H:$H,기출빈도!$V11,기출문제!$C:$C,기출빈도!D$3)</f>
        <v>0</v>
      </c>
      <c r="E11" s="214">
        <f>COUNTIFS(기출문제!$H:$H,기출빈도!$V11,기출문제!$C:$C,기출빈도!E$3)</f>
        <v>0</v>
      </c>
      <c r="F11" s="214">
        <f>COUNTIFS(기출문제!$H:$H,기출빈도!$V11,기출문제!$C:$C,기출빈도!F$3)</f>
        <v>0</v>
      </c>
      <c r="G11" s="214">
        <f>COUNTIFS(기출문제!$H:$H,기출빈도!$V11,기출문제!$C:$C,기출빈도!G$3)</f>
        <v>0</v>
      </c>
      <c r="H11" s="214">
        <f>COUNTIFS(기출문제!$H:$H,기출빈도!$V11,기출문제!$C:$C,기출빈도!H$3)</f>
        <v>0</v>
      </c>
      <c r="I11" s="214">
        <f>COUNTIFS(기출문제!$H:$H,기출빈도!$V11,기출문제!$C:$C,기출빈도!I$3)</f>
        <v>0</v>
      </c>
      <c r="J11" s="214">
        <f>COUNTIFS(기출문제!$H:$H,기출빈도!$V11,기출문제!$C:$C,기출빈도!J$3)</f>
        <v>0</v>
      </c>
      <c r="K11" s="214">
        <f>COUNTIFS(기출문제!$H:$H,기출빈도!$V11,기출문제!$C:$C,기출빈도!K$3)</f>
        <v>0</v>
      </c>
      <c r="L11" s="214">
        <f>COUNTIFS(기출문제!$H:$H,기출빈도!$V11,기출문제!$C:$C,기출빈도!L$3)</f>
        <v>0</v>
      </c>
      <c r="M11" s="214">
        <f>COUNTIFS(기출문제!$H:$H,기출빈도!$V11,기출문제!$C:$C,기출빈도!M$3)</f>
        <v>0</v>
      </c>
      <c r="N11" s="214">
        <f>COUNTIFS(기출문제!$H:$H,기출빈도!$V11,기출문제!$C:$C,기출빈도!N$3)</f>
        <v>0</v>
      </c>
      <c r="O11" s="214">
        <f>COUNTIFS(기출문제!$H:$H,기출빈도!$V11,기출문제!$C:$C,기출빈도!O$3)</f>
        <v>0</v>
      </c>
      <c r="P11" s="214">
        <f>COUNTIFS(기출문제!$H:$H,기출빈도!$V11,기출문제!$C:$C,기출빈도!P$3)</f>
        <v>0</v>
      </c>
      <c r="Q11" s="214">
        <f>COUNTIFS(기출문제!$H:$H,기출빈도!$V11,기출문제!$C:$C,기출빈도!Q$3)</f>
        <v>0</v>
      </c>
      <c r="R11" s="214">
        <f>COUNTIFS(기출문제!$H:$H,기출빈도!$V11,기출문제!$C:$C,기출빈도!R$3)</f>
        <v>0</v>
      </c>
      <c r="S11" s="214">
        <f>COUNTIFS(기출문제!$H:$H,기출빈도!$V11,기출문제!$C:$C,기출빈도!S$3)</f>
        <v>0</v>
      </c>
      <c r="T11" s="231">
        <f>COUNTIFS(기출문제!$H:$H,기출빈도!$V11,기출문제!$C:$C,기출빈도!T$3)</f>
        <v>6</v>
      </c>
      <c r="U11" s="215" t="s">
        <v>3643</v>
      </c>
      <c r="V11" s="90" t="str">
        <f t="shared" si="0"/>
        <v>단체교섭</v>
      </c>
    </row>
    <row r="12" spans="2:22" ht="14.45" customHeight="1" x14ac:dyDescent="0.2">
      <c r="B12" s="111" t="s">
        <v>2896</v>
      </c>
      <c r="C12" s="216" t="s">
        <v>2918</v>
      </c>
      <c r="D12" s="217">
        <f>COUNTIFS(기출문제!$H:$H,기출빈도!$V12,기출문제!$C:$C,기출빈도!D$3)</f>
        <v>0</v>
      </c>
      <c r="E12" s="217">
        <f>COUNTIFS(기출문제!$H:$H,기출빈도!$V12,기출문제!$C:$C,기출빈도!E$3)</f>
        <v>0</v>
      </c>
      <c r="F12" s="217">
        <f>COUNTIFS(기출문제!$H:$H,기출빈도!$V12,기출문제!$C:$C,기출빈도!F$3)</f>
        <v>0</v>
      </c>
      <c r="G12" s="217">
        <f>COUNTIFS(기출문제!$H:$H,기출빈도!$V12,기출문제!$C:$C,기출빈도!G$3)</f>
        <v>0</v>
      </c>
      <c r="H12" s="217">
        <f>COUNTIFS(기출문제!$H:$H,기출빈도!$V12,기출문제!$C:$C,기출빈도!H$3)</f>
        <v>0</v>
      </c>
      <c r="I12" s="217">
        <f>COUNTIFS(기출문제!$H:$H,기출빈도!$V12,기출문제!$C:$C,기출빈도!I$3)</f>
        <v>0</v>
      </c>
      <c r="J12" s="217">
        <f>COUNTIFS(기출문제!$H:$H,기출빈도!$V12,기출문제!$C:$C,기출빈도!J$3)</f>
        <v>0</v>
      </c>
      <c r="K12" s="217">
        <f>COUNTIFS(기출문제!$H:$H,기출빈도!$V12,기출문제!$C:$C,기출빈도!K$3)</f>
        <v>0</v>
      </c>
      <c r="L12" s="217">
        <f>COUNTIFS(기출문제!$H:$H,기출빈도!$V12,기출문제!$C:$C,기출빈도!L$3)</f>
        <v>0</v>
      </c>
      <c r="M12" s="217">
        <f>COUNTIFS(기출문제!$H:$H,기출빈도!$V12,기출문제!$C:$C,기출빈도!M$3)</f>
        <v>0</v>
      </c>
      <c r="N12" s="217">
        <f>COUNTIFS(기출문제!$H:$H,기출빈도!$V12,기출문제!$C:$C,기출빈도!N$3)</f>
        <v>0</v>
      </c>
      <c r="O12" s="217">
        <f>COUNTIFS(기출문제!$H:$H,기출빈도!$V12,기출문제!$C:$C,기출빈도!O$3)</f>
        <v>0</v>
      </c>
      <c r="P12" s="217">
        <f>COUNTIFS(기출문제!$H:$H,기출빈도!$V12,기출문제!$C:$C,기출빈도!P$3)</f>
        <v>0</v>
      </c>
      <c r="Q12" s="217">
        <f>COUNTIFS(기출문제!$H:$H,기출빈도!$V12,기출문제!$C:$C,기출빈도!Q$3)</f>
        <v>0</v>
      </c>
      <c r="R12" s="217">
        <f>COUNTIFS(기출문제!$H:$H,기출빈도!$V12,기출문제!$C:$C,기출빈도!R$3)</f>
        <v>0</v>
      </c>
      <c r="S12" s="217">
        <f>COUNTIFS(기출문제!$H:$H,기출빈도!$V12,기출문제!$C:$C,기출빈도!S$3)</f>
        <v>0</v>
      </c>
      <c r="T12" s="232">
        <f>COUNTIFS(기출문제!$H:$H,기출빈도!$V12,기출문제!$C:$C,기출빈도!T$3)</f>
        <v>2</v>
      </c>
      <c r="U12" s="218" t="s">
        <v>3644</v>
      </c>
      <c r="V12" s="90" t="str">
        <f t="shared" si="0"/>
        <v>단체협약</v>
      </c>
    </row>
    <row r="13" spans="2:22" ht="14.45" customHeight="1" thickBot="1" x14ac:dyDescent="0.25">
      <c r="B13" s="226" t="s">
        <v>2896</v>
      </c>
      <c r="C13" s="227" t="s">
        <v>3588</v>
      </c>
      <c r="D13" s="224">
        <f t="shared" ref="D13:T13" si="3">SUM(D11:D12)</f>
        <v>0</v>
      </c>
      <c r="E13" s="224">
        <f t="shared" si="3"/>
        <v>0</v>
      </c>
      <c r="F13" s="224">
        <f t="shared" si="3"/>
        <v>0</v>
      </c>
      <c r="G13" s="224">
        <f t="shared" si="3"/>
        <v>0</v>
      </c>
      <c r="H13" s="224">
        <f t="shared" si="3"/>
        <v>0</v>
      </c>
      <c r="I13" s="224">
        <f t="shared" si="3"/>
        <v>0</v>
      </c>
      <c r="J13" s="224">
        <f t="shared" si="3"/>
        <v>0</v>
      </c>
      <c r="K13" s="224">
        <f t="shared" si="3"/>
        <v>0</v>
      </c>
      <c r="L13" s="224">
        <f t="shared" si="3"/>
        <v>0</v>
      </c>
      <c r="M13" s="224">
        <f t="shared" si="3"/>
        <v>0</v>
      </c>
      <c r="N13" s="224">
        <f t="shared" si="3"/>
        <v>0</v>
      </c>
      <c r="O13" s="224">
        <f t="shared" si="3"/>
        <v>0</v>
      </c>
      <c r="P13" s="224">
        <f t="shared" si="3"/>
        <v>0</v>
      </c>
      <c r="Q13" s="224">
        <f t="shared" si="3"/>
        <v>0</v>
      </c>
      <c r="R13" s="224">
        <f t="shared" si="3"/>
        <v>0</v>
      </c>
      <c r="S13" s="224">
        <f t="shared" si="3"/>
        <v>0</v>
      </c>
      <c r="T13" s="234">
        <f t="shared" si="3"/>
        <v>8</v>
      </c>
      <c r="U13" s="225"/>
      <c r="V13" s="90" t="str">
        <f t="shared" si="0"/>
        <v/>
      </c>
    </row>
    <row r="14" spans="2:22" ht="14.45" customHeight="1" x14ac:dyDescent="0.2">
      <c r="B14" s="228" t="s">
        <v>2898</v>
      </c>
      <c r="C14" s="213" t="s">
        <v>3600</v>
      </c>
      <c r="D14" s="214">
        <f>COUNTIFS(기출문제!$H:$H,기출빈도!$V14,기출문제!$C:$C,기출빈도!D$3)</f>
        <v>0</v>
      </c>
      <c r="E14" s="214">
        <f>COUNTIFS(기출문제!$H:$H,기출빈도!$V14,기출문제!$C:$C,기출빈도!E$3)</f>
        <v>0</v>
      </c>
      <c r="F14" s="214">
        <f>COUNTIFS(기출문제!$H:$H,기출빈도!$V14,기출문제!$C:$C,기출빈도!F$3)</f>
        <v>0</v>
      </c>
      <c r="G14" s="214">
        <f>COUNTIFS(기출문제!$H:$H,기출빈도!$V14,기출문제!$C:$C,기출빈도!G$3)</f>
        <v>0</v>
      </c>
      <c r="H14" s="214">
        <f>COUNTIFS(기출문제!$H:$H,기출빈도!$V14,기출문제!$C:$C,기출빈도!H$3)</f>
        <v>0</v>
      </c>
      <c r="I14" s="214">
        <f>COUNTIFS(기출문제!$H:$H,기출빈도!$V14,기출문제!$C:$C,기출빈도!I$3)</f>
        <v>0</v>
      </c>
      <c r="J14" s="214">
        <f>COUNTIFS(기출문제!$H:$H,기출빈도!$V14,기출문제!$C:$C,기출빈도!J$3)</f>
        <v>0</v>
      </c>
      <c r="K14" s="214">
        <f>COUNTIFS(기출문제!$H:$H,기출빈도!$V14,기출문제!$C:$C,기출빈도!K$3)</f>
        <v>0</v>
      </c>
      <c r="L14" s="214">
        <f>COUNTIFS(기출문제!$H:$H,기출빈도!$V14,기출문제!$C:$C,기출빈도!L$3)</f>
        <v>0</v>
      </c>
      <c r="M14" s="214">
        <f>COUNTIFS(기출문제!$H:$H,기출빈도!$V14,기출문제!$C:$C,기출빈도!M$3)</f>
        <v>0</v>
      </c>
      <c r="N14" s="214">
        <f>COUNTIFS(기출문제!$H:$H,기출빈도!$V14,기출문제!$C:$C,기출빈도!N$3)</f>
        <v>0</v>
      </c>
      <c r="O14" s="214">
        <f>COUNTIFS(기출문제!$H:$H,기출빈도!$V14,기출문제!$C:$C,기출빈도!O$3)</f>
        <v>0</v>
      </c>
      <c r="P14" s="214">
        <f>COUNTIFS(기출문제!$H:$H,기출빈도!$V14,기출문제!$C:$C,기출빈도!P$3)</f>
        <v>0</v>
      </c>
      <c r="Q14" s="214">
        <f>COUNTIFS(기출문제!$H:$H,기출빈도!$V14,기출문제!$C:$C,기출빈도!Q$3)</f>
        <v>0</v>
      </c>
      <c r="R14" s="214">
        <f>COUNTIFS(기출문제!$H:$H,기출빈도!$V14,기출문제!$C:$C,기출빈도!R$3)</f>
        <v>0</v>
      </c>
      <c r="S14" s="214">
        <f>COUNTIFS(기출문제!$H:$H,기출빈도!$V14,기출문제!$C:$C,기출빈도!S$3)</f>
        <v>0</v>
      </c>
      <c r="T14" s="231">
        <f>COUNTIFS(기출문제!$H:$H,기출빈도!$V14,기출문제!$C:$C,기출빈도!T$3)</f>
        <v>0</v>
      </c>
      <c r="U14" s="215" t="s">
        <v>3669</v>
      </c>
      <c r="V14" s="90" t="str">
        <f t="shared" si="0"/>
        <v>단체행동권의 서설</v>
      </c>
    </row>
    <row r="15" spans="2:22" ht="14.45" customHeight="1" x14ac:dyDescent="0.2">
      <c r="B15" s="226" t="s">
        <v>2898</v>
      </c>
      <c r="C15" s="216" t="s">
        <v>2920</v>
      </c>
      <c r="D15" s="217">
        <f>COUNTIFS(기출문제!$H:$H,기출빈도!$V15,기출문제!$C:$C,기출빈도!D$3)</f>
        <v>0</v>
      </c>
      <c r="E15" s="217">
        <f>COUNTIFS(기출문제!$H:$H,기출빈도!$V15,기출문제!$C:$C,기출빈도!E$3)</f>
        <v>0</v>
      </c>
      <c r="F15" s="217">
        <f>COUNTIFS(기출문제!$H:$H,기출빈도!$V15,기출문제!$C:$C,기출빈도!F$3)</f>
        <v>0</v>
      </c>
      <c r="G15" s="217">
        <f>COUNTIFS(기출문제!$H:$H,기출빈도!$V15,기출문제!$C:$C,기출빈도!G$3)</f>
        <v>0</v>
      </c>
      <c r="H15" s="217">
        <f>COUNTIFS(기출문제!$H:$H,기출빈도!$V15,기출문제!$C:$C,기출빈도!H$3)</f>
        <v>0</v>
      </c>
      <c r="I15" s="217">
        <f>COUNTIFS(기출문제!$H:$H,기출빈도!$V15,기출문제!$C:$C,기출빈도!I$3)</f>
        <v>0</v>
      </c>
      <c r="J15" s="217">
        <f>COUNTIFS(기출문제!$H:$H,기출빈도!$V15,기출문제!$C:$C,기출빈도!J$3)</f>
        <v>0</v>
      </c>
      <c r="K15" s="217">
        <f>COUNTIFS(기출문제!$H:$H,기출빈도!$V15,기출문제!$C:$C,기출빈도!K$3)</f>
        <v>0</v>
      </c>
      <c r="L15" s="217">
        <f>COUNTIFS(기출문제!$H:$H,기출빈도!$V15,기출문제!$C:$C,기출빈도!L$3)</f>
        <v>0</v>
      </c>
      <c r="M15" s="217">
        <f>COUNTIFS(기출문제!$H:$H,기출빈도!$V15,기출문제!$C:$C,기출빈도!M$3)</f>
        <v>0</v>
      </c>
      <c r="N15" s="217">
        <f>COUNTIFS(기출문제!$H:$H,기출빈도!$V15,기출문제!$C:$C,기출빈도!N$3)</f>
        <v>0</v>
      </c>
      <c r="O15" s="217">
        <f>COUNTIFS(기출문제!$H:$H,기출빈도!$V15,기출문제!$C:$C,기출빈도!O$3)</f>
        <v>0</v>
      </c>
      <c r="P15" s="217">
        <f>COUNTIFS(기출문제!$H:$H,기출빈도!$V15,기출문제!$C:$C,기출빈도!P$3)</f>
        <v>0</v>
      </c>
      <c r="Q15" s="217">
        <f>COUNTIFS(기출문제!$H:$H,기출빈도!$V15,기출문제!$C:$C,기출빈도!Q$3)</f>
        <v>0</v>
      </c>
      <c r="R15" s="217">
        <f>COUNTIFS(기출문제!$H:$H,기출빈도!$V15,기출문제!$C:$C,기출빈도!R$3)</f>
        <v>0</v>
      </c>
      <c r="S15" s="217">
        <f>COUNTIFS(기출문제!$H:$H,기출빈도!$V15,기출문제!$C:$C,기출빈도!S$3)</f>
        <v>0</v>
      </c>
      <c r="T15" s="232">
        <f>COUNTIFS(기출문제!$H:$H,기출빈도!$V15,기출문제!$C:$C,기출빈도!T$3)</f>
        <v>2</v>
      </c>
      <c r="U15" s="218" t="s">
        <v>3646</v>
      </c>
      <c r="V15" s="90" t="str">
        <f t="shared" si="0"/>
        <v>쟁의행위의 정당성</v>
      </c>
    </row>
    <row r="16" spans="2:22" ht="14.45" customHeight="1" x14ac:dyDescent="0.2">
      <c r="B16" s="226" t="s">
        <v>2898</v>
      </c>
      <c r="C16" s="216" t="s">
        <v>2922</v>
      </c>
      <c r="D16" s="217">
        <f>COUNTIFS(기출문제!$H:$H,기출빈도!$V16,기출문제!$C:$C,기출빈도!D$3)</f>
        <v>0</v>
      </c>
      <c r="E16" s="217">
        <f>COUNTIFS(기출문제!$H:$H,기출빈도!$V16,기출문제!$C:$C,기출빈도!E$3)</f>
        <v>0</v>
      </c>
      <c r="F16" s="217">
        <f>COUNTIFS(기출문제!$H:$H,기출빈도!$V16,기출문제!$C:$C,기출빈도!F$3)</f>
        <v>0</v>
      </c>
      <c r="G16" s="217">
        <f>COUNTIFS(기출문제!$H:$H,기출빈도!$V16,기출문제!$C:$C,기출빈도!G$3)</f>
        <v>0</v>
      </c>
      <c r="H16" s="217">
        <f>COUNTIFS(기출문제!$H:$H,기출빈도!$V16,기출문제!$C:$C,기출빈도!H$3)</f>
        <v>0</v>
      </c>
      <c r="I16" s="217">
        <f>COUNTIFS(기출문제!$H:$H,기출빈도!$V16,기출문제!$C:$C,기출빈도!I$3)</f>
        <v>0</v>
      </c>
      <c r="J16" s="217">
        <f>COUNTIFS(기출문제!$H:$H,기출빈도!$V16,기출문제!$C:$C,기출빈도!J$3)</f>
        <v>0</v>
      </c>
      <c r="K16" s="217">
        <f>COUNTIFS(기출문제!$H:$H,기출빈도!$V16,기출문제!$C:$C,기출빈도!K$3)</f>
        <v>0</v>
      </c>
      <c r="L16" s="217">
        <f>COUNTIFS(기출문제!$H:$H,기출빈도!$V16,기출문제!$C:$C,기출빈도!L$3)</f>
        <v>0</v>
      </c>
      <c r="M16" s="217">
        <f>COUNTIFS(기출문제!$H:$H,기출빈도!$V16,기출문제!$C:$C,기출빈도!M$3)</f>
        <v>0</v>
      </c>
      <c r="N16" s="217">
        <f>COUNTIFS(기출문제!$H:$H,기출빈도!$V16,기출문제!$C:$C,기출빈도!N$3)</f>
        <v>0</v>
      </c>
      <c r="O16" s="217">
        <f>COUNTIFS(기출문제!$H:$H,기출빈도!$V16,기출문제!$C:$C,기출빈도!O$3)</f>
        <v>0</v>
      </c>
      <c r="P16" s="217">
        <f>COUNTIFS(기출문제!$H:$H,기출빈도!$V16,기출문제!$C:$C,기출빈도!P$3)</f>
        <v>0</v>
      </c>
      <c r="Q16" s="217">
        <f>COUNTIFS(기출문제!$H:$H,기출빈도!$V16,기출문제!$C:$C,기출빈도!Q$3)</f>
        <v>0</v>
      </c>
      <c r="R16" s="217">
        <f>COUNTIFS(기출문제!$H:$H,기출빈도!$V16,기출문제!$C:$C,기출빈도!R$3)</f>
        <v>0</v>
      </c>
      <c r="S16" s="217">
        <f>COUNTIFS(기출문제!$H:$H,기출빈도!$V16,기출문제!$C:$C,기출빈도!S$3)</f>
        <v>0</v>
      </c>
      <c r="T16" s="232">
        <f>COUNTIFS(기출문제!$H:$H,기출빈도!$V16,기출문제!$C:$C,기출빈도!T$3)</f>
        <v>0</v>
      </c>
      <c r="U16" s="218" t="s">
        <v>3647</v>
      </c>
      <c r="V16" s="90" t="str">
        <f t="shared" si="0"/>
        <v>쟁의행위의 법적 책임</v>
      </c>
    </row>
    <row r="17" spans="2:22" ht="14.45" customHeight="1" x14ac:dyDescent="0.2">
      <c r="B17" s="226" t="s">
        <v>2898</v>
      </c>
      <c r="C17" s="216" t="s">
        <v>2924</v>
      </c>
      <c r="D17" s="217">
        <f>COUNTIFS(기출문제!$H:$H,기출빈도!$V17,기출문제!$C:$C,기출빈도!D$3)</f>
        <v>0</v>
      </c>
      <c r="E17" s="217">
        <f>COUNTIFS(기출문제!$H:$H,기출빈도!$V17,기출문제!$C:$C,기출빈도!E$3)</f>
        <v>0</v>
      </c>
      <c r="F17" s="217">
        <f>COUNTIFS(기출문제!$H:$H,기출빈도!$V17,기출문제!$C:$C,기출빈도!F$3)</f>
        <v>0</v>
      </c>
      <c r="G17" s="217">
        <f>COUNTIFS(기출문제!$H:$H,기출빈도!$V17,기출문제!$C:$C,기출빈도!G$3)</f>
        <v>0</v>
      </c>
      <c r="H17" s="217">
        <f>COUNTIFS(기출문제!$H:$H,기출빈도!$V17,기출문제!$C:$C,기출빈도!H$3)</f>
        <v>0</v>
      </c>
      <c r="I17" s="217">
        <f>COUNTIFS(기출문제!$H:$H,기출빈도!$V17,기출문제!$C:$C,기출빈도!I$3)</f>
        <v>0</v>
      </c>
      <c r="J17" s="217">
        <f>COUNTIFS(기출문제!$H:$H,기출빈도!$V17,기출문제!$C:$C,기출빈도!J$3)</f>
        <v>0</v>
      </c>
      <c r="K17" s="217">
        <f>COUNTIFS(기출문제!$H:$H,기출빈도!$V17,기출문제!$C:$C,기출빈도!K$3)</f>
        <v>0</v>
      </c>
      <c r="L17" s="217">
        <f>COUNTIFS(기출문제!$H:$H,기출빈도!$V17,기출문제!$C:$C,기출빈도!L$3)</f>
        <v>0</v>
      </c>
      <c r="M17" s="217">
        <f>COUNTIFS(기출문제!$H:$H,기출빈도!$V17,기출문제!$C:$C,기출빈도!M$3)</f>
        <v>0</v>
      </c>
      <c r="N17" s="217">
        <f>COUNTIFS(기출문제!$H:$H,기출빈도!$V17,기출문제!$C:$C,기출빈도!N$3)</f>
        <v>0</v>
      </c>
      <c r="O17" s="217">
        <f>COUNTIFS(기출문제!$H:$H,기출빈도!$V17,기출문제!$C:$C,기출빈도!O$3)</f>
        <v>0</v>
      </c>
      <c r="P17" s="217">
        <f>COUNTIFS(기출문제!$H:$H,기출빈도!$V17,기출문제!$C:$C,기출빈도!P$3)</f>
        <v>0</v>
      </c>
      <c r="Q17" s="217">
        <f>COUNTIFS(기출문제!$H:$H,기출빈도!$V17,기출문제!$C:$C,기출빈도!Q$3)</f>
        <v>0</v>
      </c>
      <c r="R17" s="217">
        <f>COUNTIFS(기출문제!$H:$H,기출빈도!$V17,기출문제!$C:$C,기출빈도!R$3)</f>
        <v>0</v>
      </c>
      <c r="S17" s="217">
        <f>COUNTIFS(기출문제!$H:$H,기출빈도!$V17,기출문제!$C:$C,기출빈도!S$3)</f>
        <v>0</v>
      </c>
      <c r="T17" s="232">
        <f>COUNTIFS(기출문제!$H:$H,기출빈도!$V17,기출문제!$C:$C,기출빈도!T$3)</f>
        <v>0</v>
      </c>
      <c r="U17" s="218" t="s">
        <v>3648</v>
      </c>
      <c r="V17" s="90" t="str">
        <f t="shared" si="0"/>
        <v>쟁의행위의 법적 효과</v>
      </c>
    </row>
    <row r="18" spans="2:22" ht="14.45" customHeight="1" x14ac:dyDescent="0.2">
      <c r="B18" s="226" t="s">
        <v>2898</v>
      </c>
      <c r="C18" s="216" t="s">
        <v>2926</v>
      </c>
      <c r="D18" s="217">
        <f>COUNTIFS(기출문제!$H:$H,기출빈도!$V18,기출문제!$C:$C,기출빈도!D$3)</f>
        <v>0</v>
      </c>
      <c r="E18" s="217">
        <f>COUNTIFS(기출문제!$H:$H,기출빈도!$V18,기출문제!$C:$C,기출빈도!E$3)</f>
        <v>0</v>
      </c>
      <c r="F18" s="217">
        <f>COUNTIFS(기출문제!$H:$H,기출빈도!$V18,기출문제!$C:$C,기출빈도!F$3)</f>
        <v>0</v>
      </c>
      <c r="G18" s="217">
        <f>COUNTIFS(기출문제!$H:$H,기출빈도!$V18,기출문제!$C:$C,기출빈도!G$3)</f>
        <v>0</v>
      </c>
      <c r="H18" s="217">
        <f>COUNTIFS(기출문제!$H:$H,기출빈도!$V18,기출문제!$C:$C,기출빈도!H$3)</f>
        <v>0</v>
      </c>
      <c r="I18" s="217">
        <f>COUNTIFS(기출문제!$H:$H,기출빈도!$V18,기출문제!$C:$C,기출빈도!I$3)</f>
        <v>0</v>
      </c>
      <c r="J18" s="217">
        <f>COUNTIFS(기출문제!$H:$H,기출빈도!$V18,기출문제!$C:$C,기출빈도!J$3)</f>
        <v>0</v>
      </c>
      <c r="K18" s="217">
        <f>COUNTIFS(기출문제!$H:$H,기출빈도!$V18,기출문제!$C:$C,기출빈도!K$3)</f>
        <v>0</v>
      </c>
      <c r="L18" s="217">
        <f>COUNTIFS(기출문제!$H:$H,기출빈도!$V18,기출문제!$C:$C,기출빈도!L$3)</f>
        <v>0</v>
      </c>
      <c r="M18" s="217">
        <f>COUNTIFS(기출문제!$H:$H,기출빈도!$V18,기출문제!$C:$C,기출빈도!M$3)</f>
        <v>0</v>
      </c>
      <c r="N18" s="217">
        <f>COUNTIFS(기출문제!$H:$H,기출빈도!$V18,기출문제!$C:$C,기출빈도!N$3)</f>
        <v>0</v>
      </c>
      <c r="O18" s="217">
        <f>COUNTIFS(기출문제!$H:$H,기출빈도!$V18,기출문제!$C:$C,기출빈도!O$3)</f>
        <v>0</v>
      </c>
      <c r="P18" s="217">
        <f>COUNTIFS(기출문제!$H:$H,기출빈도!$V18,기출문제!$C:$C,기출빈도!P$3)</f>
        <v>0</v>
      </c>
      <c r="Q18" s="217">
        <f>COUNTIFS(기출문제!$H:$H,기출빈도!$V18,기출문제!$C:$C,기출빈도!Q$3)</f>
        <v>0</v>
      </c>
      <c r="R18" s="217">
        <f>COUNTIFS(기출문제!$H:$H,기출빈도!$V18,기출문제!$C:$C,기출빈도!R$3)</f>
        <v>0</v>
      </c>
      <c r="S18" s="217">
        <f>COUNTIFS(기출문제!$H:$H,기출빈도!$V18,기출문제!$C:$C,기출빈도!S$3)</f>
        <v>0</v>
      </c>
      <c r="T18" s="232">
        <f>COUNTIFS(기출문제!$H:$H,기출빈도!$V18,기출문제!$C:$C,기출빈도!T$3)</f>
        <v>0</v>
      </c>
      <c r="U18" s="218" t="s">
        <v>3649</v>
      </c>
      <c r="V18" s="90" t="str">
        <f t="shared" si="0"/>
        <v>사용자의 쟁의행위</v>
      </c>
    </row>
    <row r="19" spans="2:22" ht="14.45" customHeight="1" x14ac:dyDescent="0.2">
      <c r="B19" s="226" t="s">
        <v>2898</v>
      </c>
      <c r="C19" s="216" t="s">
        <v>2928</v>
      </c>
      <c r="D19" s="217">
        <f>COUNTIFS(기출문제!$H:$H,기출빈도!$V19,기출문제!$C:$C,기출빈도!D$3)</f>
        <v>0</v>
      </c>
      <c r="E19" s="217">
        <f>COUNTIFS(기출문제!$H:$H,기출빈도!$V19,기출문제!$C:$C,기출빈도!E$3)</f>
        <v>0</v>
      </c>
      <c r="F19" s="217">
        <f>COUNTIFS(기출문제!$H:$H,기출빈도!$V19,기출문제!$C:$C,기출빈도!F$3)</f>
        <v>0</v>
      </c>
      <c r="G19" s="217">
        <f>COUNTIFS(기출문제!$H:$H,기출빈도!$V19,기출문제!$C:$C,기출빈도!G$3)</f>
        <v>0</v>
      </c>
      <c r="H19" s="217">
        <f>COUNTIFS(기출문제!$H:$H,기출빈도!$V19,기출문제!$C:$C,기출빈도!H$3)</f>
        <v>0</v>
      </c>
      <c r="I19" s="217">
        <f>COUNTIFS(기출문제!$H:$H,기출빈도!$V19,기출문제!$C:$C,기출빈도!I$3)</f>
        <v>0</v>
      </c>
      <c r="J19" s="217">
        <f>COUNTIFS(기출문제!$H:$H,기출빈도!$V19,기출문제!$C:$C,기출빈도!J$3)</f>
        <v>0</v>
      </c>
      <c r="K19" s="217">
        <f>COUNTIFS(기출문제!$H:$H,기출빈도!$V19,기출문제!$C:$C,기출빈도!K$3)</f>
        <v>0</v>
      </c>
      <c r="L19" s="217">
        <f>COUNTIFS(기출문제!$H:$H,기출빈도!$V19,기출문제!$C:$C,기출빈도!L$3)</f>
        <v>0</v>
      </c>
      <c r="M19" s="217">
        <f>COUNTIFS(기출문제!$H:$H,기출빈도!$V19,기출문제!$C:$C,기출빈도!M$3)</f>
        <v>0</v>
      </c>
      <c r="N19" s="217">
        <f>COUNTIFS(기출문제!$H:$H,기출빈도!$V19,기출문제!$C:$C,기출빈도!N$3)</f>
        <v>0</v>
      </c>
      <c r="O19" s="217">
        <f>COUNTIFS(기출문제!$H:$H,기출빈도!$V19,기출문제!$C:$C,기출빈도!O$3)</f>
        <v>0</v>
      </c>
      <c r="P19" s="217">
        <f>COUNTIFS(기출문제!$H:$H,기출빈도!$V19,기출문제!$C:$C,기출빈도!P$3)</f>
        <v>0</v>
      </c>
      <c r="Q19" s="217">
        <f>COUNTIFS(기출문제!$H:$H,기출빈도!$V19,기출문제!$C:$C,기출빈도!Q$3)</f>
        <v>0</v>
      </c>
      <c r="R19" s="217">
        <f>COUNTIFS(기출문제!$H:$H,기출빈도!$V19,기출문제!$C:$C,기출빈도!R$3)</f>
        <v>0</v>
      </c>
      <c r="S19" s="217">
        <f>COUNTIFS(기출문제!$H:$H,기출빈도!$V19,기출문제!$C:$C,기출빈도!S$3)</f>
        <v>0</v>
      </c>
      <c r="T19" s="232">
        <f>COUNTIFS(기출문제!$H:$H,기출빈도!$V19,기출문제!$C:$C,기출빈도!T$3)</f>
        <v>0</v>
      </c>
      <c r="U19" s="218" t="s">
        <v>3650</v>
      </c>
      <c r="V19" s="90" t="str">
        <f t="shared" si="0"/>
        <v>안전보호시설과 필수유지업무</v>
      </c>
    </row>
    <row r="20" spans="2:22" ht="14.45" customHeight="1" x14ac:dyDescent="0.2">
      <c r="B20" s="226"/>
      <c r="C20" s="216" t="s">
        <v>2930</v>
      </c>
      <c r="D20" s="217"/>
      <c r="E20" s="217"/>
      <c r="F20" s="217"/>
      <c r="G20" s="217"/>
      <c r="H20" s="217"/>
      <c r="I20" s="217"/>
      <c r="J20" s="217"/>
      <c r="K20" s="217"/>
      <c r="L20" s="217"/>
      <c r="M20" s="217"/>
      <c r="N20" s="217"/>
      <c r="O20" s="217"/>
      <c r="P20" s="217"/>
      <c r="Q20" s="217"/>
      <c r="R20" s="217"/>
      <c r="S20" s="217"/>
      <c r="T20" s="232"/>
      <c r="U20" s="218" t="s">
        <v>3651</v>
      </c>
      <c r="V20" s="90" t="str">
        <f t="shared" si="0"/>
        <v>쟁의기간 중 대체근로 등의 제한</v>
      </c>
    </row>
    <row r="21" spans="2:22" ht="14.45" customHeight="1" thickBot="1" x14ac:dyDescent="0.25">
      <c r="B21" s="219" t="s">
        <v>2898</v>
      </c>
      <c r="C21" s="220" t="s">
        <v>3588</v>
      </c>
      <c r="D21" s="221">
        <f>SUM(D14:D19)</f>
        <v>0</v>
      </c>
      <c r="E21" s="221">
        <f t="shared" ref="E21:T21" si="4">SUM(E14:E19)</f>
        <v>0</v>
      </c>
      <c r="F21" s="221">
        <f t="shared" si="4"/>
        <v>0</v>
      </c>
      <c r="G21" s="221">
        <f t="shared" si="4"/>
        <v>0</v>
      </c>
      <c r="H21" s="221">
        <f t="shared" si="4"/>
        <v>0</v>
      </c>
      <c r="I21" s="221">
        <f t="shared" si="4"/>
        <v>0</v>
      </c>
      <c r="J21" s="221">
        <f t="shared" si="4"/>
        <v>0</v>
      </c>
      <c r="K21" s="221">
        <f t="shared" si="4"/>
        <v>0</v>
      </c>
      <c r="L21" s="221">
        <f t="shared" si="4"/>
        <v>0</v>
      </c>
      <c r="M21" s="221">
        <f t="shared" si="4"/>
        <v>0</v>
      </c>
      <c r="N21" s="221">
        <f t="shared" si="4"/>
        <v>0</v>
      </c>
      <c r="O21" s="221">
        <f t="shared" si="4"/>
        <v>0</v>
      </c>
      <c r="P21" s="221">
        <f t="shared" si="4"/>
        <v>0</v>
      </c>
      <c r="Q21" s="221">
        <f t="shared" si="4"/>
        <v>0</v>
      </c>
      <c r="R21" s="221">
        <f t="shared" si="4"/>
        <v>0</v>
      </c>
      <c r="S21" s="221">
        <f t="shared" si="4"/>
        <v>0</v>
      </c>
      <c r="T21" s="233">
        <f t="shared" si="4"/>
        <v>2</v>
      </c>
      <c r="U21" s="222"/>
      <c r="V21" s="90" t="str">
        <f t="shared" si="0"/>
        <v/>
      </c>
    </row>
    <row r="22" spans="2:22" ht="14.45" customHeight="1" x14ac:dyDescent="0.2">
      <c r="B22" s="99" t="s">
        <v>2900</v>
      </c>
      <c r="C22" s="213" t="s">
        <v>3603</v>
      </c>
      <c r="D22" s="214">
        <f>COUNTIFS(기출문제!$H:$H,기출빈도!$V22,기출문제!$C:$C,기출빈도!D$3)</f>
        <v>0</v>
      </c>
      <c r="E22" s="214">
        <f>COUNTIFS(기출문제!$H:$H,기출빈도!$V22,기출문제!$C:$C,기출빈도!E$3)</f>
        <v>0</v>
      </c>
      <c r="F22" s="214">
        <f>COUNTIFS(기출문제!$H:$H,기출빈도!$V22,기출문제!$C:$C,기출빈도!F$3)</f>
        <v>0</v>
      </c>
      <c r="G22" s="214">
        <f>COUNTIFS(기출문제!$H:$H,기출빈도!$V22,기출문제!$C:$C,기출빈도!G$3)</f>
        <v>0</v>
      </c>
      <c r="H22" s="214">
        <f>COUNTIFS(기출문제!$H:$H,기출빈도!$V22,기출문제!$C:$C,기출빈도!H$3)</f>
        <v>0</v>
      </c>
      <c r="I22" s="214">
        <f>COUNTIFS(기출문제!$H:$H,기출빈도!$V22,기출문제!$C:$C,기출빈도!I$3)</f>
        <v>0</v>
      </c>
      <c r="J22" s="214">
        <f>COUNTIFS(기출문제!$H:$H,기출빈도!$V22,기출문제!$C:$C,기출빈도!J$3)</f>
        <v>0</v>
      </c>
      <c r="K22" s="214">
        <f>COUNTIFS(기출문제!$H:$H,기출빈도!$V22,기출문제!$C:$C,기출빈도!K$3)</f>
        <v>0</v>
      </c>
      <c r="L22" s="214">
        <f>COUNTIFS(기출문제!$H:$H,기출빈도!$V22,기출문제!$C:$C,기출빈도!L$3)</f>
        <v>0</v>
      </c>
      <c r="M22" s="214">
        <f>COUNTIFS(기출문제!$H:$H,기출빈도!$V22,기출문제!$C:$C,기출빈도!M$3)</f>
        <v>0</v>
      </c>
      <c r="N22" s="214">
        <f>COUNTIFS(기출문제!$H:$H,기출빈도!$V22,기출문제!$C:$C,기출빈도!N$3)</f>
        <v>0</v>
      </c>
      <c r="O22" s="214">
        <f>COUNTIFS(기출문제!$H:$H,기출빈도!$V22,기출문제!$C:$C,기출빈도!O$3)</f>
        <v>0</v>
      </c>
      <c r="P22" s="214">
        <f>COUNTIFS(기출문제!$H:$H,기출빈도!$V22,기출문제!$C:$C,기출빈도!P$3)</f>
        <v>0</v>
      </c>
      <c r="Q22" s="214">
        <f>COUNTIFS(기출문제!$H:$H,기출빈도!$V22,기출문제!$C:$C,기출빈도!Q$3)</f>
        <v>0</v>
      </c>
      <c r="R22" s="214">
        <f>COUNTIFS(기출문제!$H:$H,기출빈도!$V22,기출문제!$C:$C,기출빈도!R$3)</f>
        <v>0</v>
      </c>
      <c r="S22" s="214">
        <f>COUNTIFS(기출문제!$H:$H,기출빈도!$V22,기출문제!$C:$C,기출빈도!S$3)</f>
        <v>0</v>
      </c>
      <c r="T22" s="231">
        <f>COUNTIFS(기출문제!$H:$H,기출빈도!$V22,기출문제!$C:$C,기출빈도!T$3)</f>
        <v>0</v>
      </c>
      <c r="U22" s="215" t="s">
        <v>3670</v>
      </c>
      <c r="V22" s="90" t="str">
        <f t="shared" si="0"/>
        <v>노동쟁의조정제도의 서설</v>
      </c>
    </row>
    <row r="23" spans="2:22" ht="14.45" customHeight="1" x14ac:dyDescent="0.2">
      <c r="B23" s="111" t="s">
        <v>2900</v>
      </c>
      <c r="C23" s="216" t="s">
        <v>2932</v>
      </c>
      <c r="D23" s="217">
        <f>COUNTIFS(기출문제!$H:$H,기출빈도!$V23,기출문제!$C:$C,기출빈도!D$3)</f>
        <v>0</v>
      </c>
      <c r="E23" s="217">
        <f>COUNTIFS(기출문제!$H:$H,기출빈도!$V23,기출문제!$C:$C,기출빈도!E$3)</f>
        <v>0</v>
      </c>
      <c r="F23" s="217">
        <f>COUNTIFS(기출문제!$H:$H,기출빈도!$V23,기출문제!$C:$C,기출빈도!F$3)</f>
        <v>0</v>
      </c>
      <c r="G23" s="217">
        <f>COUNTIFS(기출문제!$H:$H,기출빈도!$V23,기출문제!$C:$C,기출빈도!G$3)</f>
        <v>0</v>
      </c>
      <c r="H23" s="217">
        <f>COUNTIFS(기출문제!$H:$H,기출빈도!$V23,기출문제!$C:$C,기출빈도!H$3)</f>
        <v>0</v>
      </c>
      <c r="I23" s="217">
        <f>COUNTIFS(기출문제!$H:$H,기출빈도!$V23,기출문제!$C:$C,기출빈도!I$3)</f>
        <v>0</v>
      </c>
      <c r="J23" s="217">
        <f>COUNTIFS(기출문제!$H:$H,기출빈도!$V23,기출문제!$C:$C,기출빈도!J$3)</f>
        <v>0</v>
      </c>
      <c r="K23" s="217">
        <f>COUNTIFS(기출문제!$H:$H,기출빈도!$V23,기출문제!$C:$C,기출빈도!K$3)</f>
        <v>0</v>
      </c>
      <c r="L23" s="217">
        <f>COUNTIFS(기출문제!$H:$H,기출빈도!$V23,기출문제!$C:$C,기출빈도!L$3)</f>
        <v>0</v>
      </c>
      <c r="M23" s="217">
        <f>COUNTIFS(기출문제!$H:$H,기출빈도!$V23,기출문제!$C:$C,기출빈도!M$3)</f>
        <v>0</v>
      </c>
      <c r="N23" s="217">
        <f>COUNTIFS(기출문제!$H:$H,기출빈도!$V23,기출문제!$C:$C,기출빈도!N$3)</f>
        <v>0</v>
      </c>
      <c r="O23" s="217">
        <f>COUNTIFS(기출문제!$H:$H,기출빈도!$V23,기출문제!$C:$C,기출빈도!O$3)</f>
        <v>0</v>
      </c>
      <c r="P23" s="217">
        <f>COUNTIFS(기출문제!$H:$H,기출빈도!$V23,기출문제!$C:$C,기출빈도!P$3)</f>
        <v>0</v>
      </c>
      <c r="Q23" s="217">
        <f>COUNTIFS(기출문제!$H:$H,기출빈도!$V23,기출문제!$C:$C,기출빈도!Q$3)</f>
        <v>0</v>
      </c>
      <c r="R23" s="217">
        <f>COUNTIFS(기출문제!$H:$H,기출빈도!$V23,기출문제!$C:$C,기출빈도!R$3)</f>
        <v>0</v>
      </c>
      <c r="S23" s="217">
        <f>COUNTIFS(기출문제!$H:$H,기출빈도!$V23,기출문제!$C:$C,기출빈도!S$3)</f>
        <v>0</v>
      </c>
      <c r="T23" s="232">
        <f>COUNTIFS(기출문제!$H:$H,기출빈도!$V23,기출문제!$C:$C,기출빈도!T$3)</f>
        <v>0</v>
      </c>
      <c r="U23" s="218" t="s">
        <v>3653</v>
      </c>
      <c r="V23" s="90" t="str">
        <f t="shared" si="0"/>
        <v>노동쟁의조정제도의 기본체계</v>
      </c>
    </row>
    <row r="24" spans="2:22" ht="14.45" customHeight="1" x14ac:dyDescent="0.2">
      <c r="B24" s="111" t="s">
        <v>2900</v>
      </c>
      <c r="C24" s="216" t="s">
        <v>3589</v>
      </c>
      <c r="D24" s="217">
        <f>COUNTIFS(기출문제!$H:$H,기출빈도!$V24,기출문제!$C:$C,기출빈도!D$3)</f>
        <v>0</v>
      </c>
      <c r="E24" s="217">
        <f>COUNTIFS(기출문제!$H:$H,기출빈도!$V24,기출문제!$C:$C,기출빈도!E$3)</f>
        <v>0</v>
      </c>
      <c r="F24" s="217">
        <f>COUNTIFS(기출문제!$H:$H,기출빈도!$V24,기출문제!$C:$C,기출빈도!F$3)</f>
        <v>0</v>
      </c>
      <c r="G24" s="217">
        <f>COUNTIFS(기출문제!$H:$H,기출빈도!$V24,기출문제!$C:$C,기출빈도!G$3)</f>
        <v>0</v>
      </c>
      <c r="H24" s="217">
        <f>COUNTIFS(기출문제!$H:$H,기출빈도!$V24,기출문제!$C:$C,기출빈도!H$3)</f>
        <v>0</v>
      </c>
      <c r="I24" s="217">
        <f>COUNTIFS(기출문제!$H:$H,기출빈도!$V24,기출문제!$C:$C,기출빈도!I$3)</f>
        <v>0</v>
      </c>
      <c r="J24" s="217">
        <f>COUNTIFS(기출문제!$H:$H,기출빈도!$V24,기출문제!$C:$C,기출빈도!J$3)</f>
        <v>0</v>
      </c>
      <c r="K24" s="217">
        <f>COUNTIFS(기출문제!$H:$H,기출빈도!$V24,기출문제!$C:$C,기출빈도!K$3)</f>
        <v>0</v>
      </c>
      <c r="L24" s="217">
        <f>COUNTIFS(기출문제!$H:$H,기출빈도!$V24,기출문제!$C:$C,기출빈도!L$3)</f>
        <v>0</v>
      </c>
      <c r="M24" s="217">
        <f>COUNTIFS(기출문제!$H:$H,기출빈도!$V24,기출문제!$C:$C,기출빈도!M$3)</f>
        <v>0</v>
      </c>
      <c r="N24" s="217">
        <f>COUNTIFS(기출문제!$H:$H,기출빈도!$V24,기출문제!$C:$C,기출빈도!N$3)</f>
        <v>0</v>
      </c>
      <c r="O24" s="217">
        <f>COUNTIFS(기출문제!$H:$H,기출빈도!$V24,기출문제!$C:$C,기출빈도!O$3)</f>
        <v>0</v>
      </c>
      <c r="P24" s="217">
        <f>COUNTIFS(기출문제!$H:$H,기출빈도!$V24,기출문제!$C:$C,기출빈도!P$3)</f>
        <v>0</v>
      </c>
      <c r="Q24" s="217">
        <f>COUNTIFS(기출문제!$H:$H,기출빈도!$V24,기출문제!$C:$C,기출빈도!Q$3)</f>
        <v>0</v>
      </c>
      <c r="R24" s="217">
        <f>COUNTIFS(기출문제!$H:$H,기출빈도!$V24,기출문제!$C:$C,기출빈도!R$3)</f>
        <v>0</v>
      </c>
      <c r="S24" s="217">
        <f>COUNTIFS(기출문제!$H:$H,기출빈도!$V24,기출문제!$C:$C,기출빈도!S$3)</f>
        <v>0</v>
      </c>
      <c r="T24" s="232">
        <f>COUNTIFS(기출문제!$H:$H,기출빈도!$V24,기출문제!$C:$C,기출빈도!T$3)</f>
        <v>3</v>
      </c>
      <c r="U24" s="218" t="s">
        <v>3654</v>
      </c>
      <c r="V24" s="90" t="str">
        <f t="shared" si="0"/>
        <v>노동쟁의조정의 유형 및 절차</v>
      </c>
    </row>
    <row r="25" spans="2:22" ht="14.45" customHeight="1" thickBot="1" x14ac:dyDescent="0.25">
      <c r="B25" s="219" t="s">
        <v>2900</v>
      </c>
      <c r="C25" s="220" t="s">
        <v>3588</v>
      </c>
      <c r="D25" s="221">
        <f t="shared" ref="D25:T25" si="5">SUM(D22:D24)</f>
        <v>0</v>
      </c>
      <c r="E25" s="221">
        <f t="shared" si="5"/>
        <v>0</v>
      </c>
      <c r="F25" s="221">
        <f t="shared" si="5"/>
        <v>0</v>
      </c>
      <c r="G25" s="221">
        <f t="shared" si="5"/>
        <v>0</v>
      </c>
      <c r="H25" s="221">
        <f t="shared" si="5"/>
        <v>0</v>
      </c>
      <c r="I25" s="221">
        <f t="shared" si="5"/>
        <v>0</v>
      </c>
      <c r="J25" s="221">
        <f t="shared" si="5"/>
        <v>0</v>
      </c>
      <c r="K25" s="221">
        <f t="shared" si="5"/>
        <v>0</v>
      </c>
      <c r="L25" s="221">
        <f t="shared" si="5"/>
        <v>0</v>
      </c>
      <c r="M25" s="221">
        <f t="shared" si="5"/>
        <v>0</v>
      </c>
      <c r="N25" s="221">
        <f t="shared" si="5"/>
        <v>0</v>
      </c>
      <c r="O25" s="221">
        <f t="shared" si="5"/>
        <v>0</v>
      </c>
      <c r="P25" s="221">
        <f t="shared" si="5"/>
        <v>0</v>
      </c>
      <c r="Q25" s="221">
        <f t="shared" si="5"/>
        <v>0</v>
      </c>
      <c r="R25" s="221">
        <f t="shared" si="5"/>
        <v>0</v>
      </c>
      <c r="S25" s="221">
        <f t="shared" si="5"/>
        <v>0</v>
      </c>
      <c r="T25" s="233">
        <f t="shared" si="5"/>
        <v>3</v>
      </c>
      <c r="U25" s="222"/>
      <c r="V25" s="90" t="str">
        <f t="shared" si="0"/>
        <v/>
      </c>
    </row>
    <row r="26" spans="2:22" ht="14.45" customHeight="1" x14ac:dyDescent="0.2">
      <c r="B26" s="99" t="s">
        <v>2902</v>
      </c>
      <c r="C26" s="213" t="s">
        <v>3606</v>
      </c>
      <c r="D26" s="214">
        <f>COUNTIFS(기출문제!$H:$H,기출빈도!$V26,기출문제!$C:$C,기출빈도!D$3)</f>
        <v>0</v>
      </c>
      <c r="E26" s="214">
        <f>COUNTIFS(기출문제!$H:$H,기출빈도!$V26,기출문제!$C:$C,기출빈도!E$3)</f>
        <v>0</v>
      </c>
      <c r="F26" s="214">
        <f>COUNTIFS(기출문제!$H:$H,기출빈도!$V26,기출문제!$C:$C,기출빈도!F$3)</f>
        <v>0</v>
      </c>
      <c r="G26" s="214">
        <f>COUNTIFS(기출문제!$H:$H,기출빈도!$V26,기출문제!$C:$C,기출빈도!G$3)</f>
        <v>0</v>
      </c>
      <c r="H26" s="214">
        <f>COUNTIFS(기출문제!$H:$H,기출빈도!$V26,기출문제!$C:$C,기출빈도!H$3)</f>
        <v>0</v>
      </c>
      <c r="I26" s="214">
        <f>COUNTIFS(기출문제!$H:$H,기출빈도!$V26,기출문제!$C:$C,기출빈도!I$3)</f>
        <v>0</v>
      </c>
      <c r="J26" s="214">
        <f>COUNTIFS(기출문제!$H:$H,기출빈도!$V26,기출문제!$C:$C,기출빈도!J$3)</f>
        <v>0</v>
      </c>
      <c r="K26" s="214">
        <f>COUNTIFS(기출문제!$H:$H,기출빈도!$V26,기출문제!$C:$C,기출빈도!K$3)</f>
        <v>0</v>
      </c>
      <c r="L26" s="214">
        <f>COUNTIFS(기출문제!$H:$H,기출빈도!$V26,기출문제!$C:$C,기출빈도!L$3)</f>
        <v>0</v>
      </c>
      <c r="M26" s="214">
        <f>COUNTIFS(기출문제!$H:$H,기출빈도!$V26,기출문제!$C:$C,기출빈도!M$3)</f>
        <v>0</v>
      </c>
      <c r="N26" s="214">
        <f>COUNTIFS(기출문제!$H:$H,기출빈도!$V26,기출문제!$C:$C,기출빈도!N$3)</f>
        <v>0</v>
      </c>
      <c r="O26" s="214">
        <f>COUNTIFS(기출문제!$H:$H,기출빈도!$V26,기출문제!$C:$C,기출빈도!O$3)</f>
        <v>0</v>
      </c>
      <c r="P26" s="214">
        <f>COUNTIFS(기출문제!$H:$H,기출빈도!$V26,기출문제!$C:$C,기출빈도!P$3)</f>
        <v>0</v>
      </c>
      <c r="Q26" s="214">
        <f>COUNTIFS(기출문제!$H:$H,기출빈도!$V26,기출문제!$C:$C,기출빈도!Q$3)</f>
        <v>0</v>
      </c>
      <c r="R26" s="214">
        <f>COUNTIFS(기출문제!$H:$H,기출빈도!$V26,기출문제!$C:$C,기출빈도!R$3)</f>
        <v>0</v>
      </c>
      <c r="S26" s="214">
        <f>COUNTIFS(기출문제!$H:$H,기출빈도!$V26,기출문제!$C:$C,기출빈도!S$3)</f>
        <v>0</v>
      </c>
      <c r="T26" s="231">
        <f>COUNTIFS(기출문제!$H:$H,기출빈도!$V26,기출문제!$C:$C,기출빈도!T$3)</f>
        <v>0</v>
      </c>
      <c r="U26" s="215" t="s">
        <v>3671</v>
      </c>
      <c r="V26" s="90" t="str">
        <f t="shared" si="0"/>
        <v>부당노동행위구제제도의 서설</v>
      </c>
    </row>
    <row r="27" spans="2:22" ht="14.45" customHeight="1" x14ac:dyDescent="0.2">
      <c r="B27" s="111" t="s">
        <v>2902</v>
      </c>
      <c r="C27" s="216" t="s">
        <v>3590</v>
      </c>
      <c r="D27" s="217">
        <f>COUNTIFS(기출문제!$H:$H,기출빈도!$V27,기출문제!$C:$C,기출빈도!D$3)</f>
        <v>0</v>
      </c>
      <c r="E27" s="217">
        <f>COUNTIFS(기출문제!$H:$H,기출빈도!$V27,기출문제!$C:$C,기출빈도!E$3)</f>
        <v>0</v>
      </c>
      <c r="F27" s="217">
        <f>COUNTIFS(기출문제!$H:$H,기출빈도!$V27,기출문제!$C:$C,기출빈도!F$3)</f>
        <v>0</v>
      </c>
      <c r="G27" s="217">
        <f>COUNTIFS(기출문제!$H:$H,기출빈도!$V27,기출문제!$C:$C,기출빈도!G$3)</f>
        <v>0</v>
      </c>
      <c r="H27" s="217">
        <f>COUNTIFS(기출문제!$H:$H,기출빈도!$V27,기출문제!$C:$C,기출빈도!H$3)</f>
        <v>0</v>
      </c>
      <c r="I27" s="217">
        <f>COUNTIFS(기출문제!$H:$H,기출빈도!$V27,기출문제!$C:$C,기출빈도!I$3)</f>
        <v>0</v>
      </c>
      <c r="J27" s="217">
        <f>COUNTIFS(기출문제!$H:$H,기출빈도!$V27,기출문제!$C:$C,기출빈도!J$3)</f>
        <v>0</v>
      </c>
      <c r="K27" s="217">
        <f>COUNTIFS(기출문제!$H:$H,기출빈도!$V27,기출문제!$C:$C,기출빈도!K$3)</f>
        <v>0</v>
      </c>
      <c r="L27" s="217">
        <f>COUNTIFS(기출문제!$H:$H,기출빈도!$V27,기출문제!$C:$C,기출빈도!L$3)</f>
        <v>0</v>
      </c>
      <c r="M27" s="217">
        <f>COUNTIFS(기출문제!$H:$H,기출빈도!$V27,기출문제!$C:$C,기출빈도!M$3)</f>
        <v>0</v>
      </c>
      <c r="N27" s="217">
        <f>COUNTIFS(기출문제!$H:$H,기출빈도!$V27,기출문제!$C:$C,기출빈도!N$3)</f>
        <v>0</v>
      </c>
      <c r="O27" s="217">
        <f>COUNTIFS(기출문제!$H:$H,기출빈도!$V27,기출문제!$C:$C,기출빈도!O$3)</f>
        <v>0</v>
      </c>
      <c r="P27" s="217">
        <f>COUNTIFS(기출문제!$H:$H,기출빈도!$V27,기출문제!$C:$C,기출빈도!P$3)</f>
        <v>0</v>
      </c>
      <c r="Q27" s="217">
        <f>COUNTIFS(기출문제!$H:$H,기출빈도!$V27,기출문제!$C:$C,기출빈도!Q$3)</f>
        <v>0</v>
      </c>
      <c r="R27" s="217">
        <f>COUNTIFS(기출문제!$H:$H,기출빈도!$V27,기출문제!$C:$C,기출빈도!R$3)</f>
        <v>0</v>
      </c>
      <c r="S27" s="217">
        <f>COUNTIFS(기출문제!$H:$H,기출빈도!$V27,기출문제!$C:$C,기출빈도!S$3)</f>
        <v>0</v>
      </c>
      <c r="T27" s="232">
        <f>COUNTIFS(기출문제!$H:$H,기출빈도!$V27,기출문제!$C:$C,기출빈도!T$3)</f>
        <v>3</v>
      </c>
      <c r="U27" s="218" t="s">
        <v>3656</v>
      </c>
      <c r="V27" s="90" t="str">
        <f t="shared" si="0"/>
        <v>부당노동행위의 유형</v>
      </c>
    </row>
    <row r="28" spans="2:22" ht="14.45" customHeight="1" x14ac:dyDescent="0.2">
      <c r="B28" s="111" t="s">
        <v>2902</v>
      </c>
      <c r="C28" s="216" t="s">
        <v>3591</v>
      </c>
      <c r="D28" s="217">
        <f>COUNTIFS(기출문제!$H:$H,기출빈도!$V28,기출문제!$C:$C,기출빈도!D$3)</f>
        <v>0</v>
      </c>
      <c r="E28" s="217">
        <f>COUNTIFS(기출문제!$H:$H,기출빈도!$V28,기출문제!$C:$C,기출빈도!E$3)</f>
        <v>0</v>
      </c>
      <c r="F28" s="217">
        <f>COUNTIFS(기출문제!$H:$H,기출빈도!$V28,기출문제!$C:$C,기출빈도!F$3)</f>
        <v>0</v>
      </c>
      <c r="G28" s="217">
        <f>COUNTIFS(기출문제!$H:$H,기출빈도!$V28,기출문제!$C:$C,기출빈도!G$3)</f>
        <v>0</v>
      </c>
      <c r="H28" s="217">
        <f>COUNTIFS(기출문제!$H:$H,기출빈도!$V28,기출문제!$C:$C,기출빈도!H$3)</f>
        <v>0</v>
      </c>
      <c r="I28" s="217">
        <f>COUNTIFS(기출문제!$H:$H,기출빈도!$V28,기출문제!$C:$C,기출빈도!I$3)</f>
        <v>0</v>
      </c>
      <c r="J28" s="217">
        <f>COUNTIFS(기출문제!$H:$H,기출빈도!$V28,기출문제!$C:$C,기출빈도!J$3)</f>
        <v>0</v>
      </c>
      <c r="K28" s="217">
        <f>COUNTIFS(기출문제!$H:$H,기출빈도!$V28,기출문제!$C:$C,기출빈도!K$3)</f>
        <v>0</v>
      </c>
      <c r="L28" s="217">
        <f>COUNTIFS(기출문제!$H:$H,기출빈도!$V28,기출문제!$C:$C,기출빈도!L$3)</f>
        <v>0</v>
      </c>
      <c r="M28" s="217">
        <f>COUNTIFS(기출문제!$H:$H,기출빈도!$V28,기출문제!$C:$C,기출빈도!M$3)</f>
        <v>0</v>
      </c>
      <c r="N28" s="217">
        <f>COUNTIFS(기출문제!$H:$H,기출빈도!$V28,기출문제!$C:$C,기출빈도!N$3)</f>
        <v>0</v>
      </c>
      <c r="O28" s="217">
        <f>COUNTIFS(기출문제!$H:$H,기출빈도!$V28,기출문제!$C:$C,기출빈도!O$3)</f>
        <v>0</v>
      </c>
      <c r="P28" s="217">
        <f>COUNTIFS(기출문제!$H:$H,기출빈도!$V28,기출문제!$C:$C,기출빈도!P$3)</f>
        <v>0</v>
      </c>
      <c r="Q28" s="217">
        <f>COUNTIFS(기출문제!$H:$H,기출빈도!$V28,기출문제!$C:$C,기출빈도!Q$3)</f>
        <v>0</v>
      </c>
      <c r="R28" s="217">
        <f>COUNTIFS(기출문제!$H:$H,기출빈도!$V28,기출문제!$C:$C,기출빈도!R$3)</f>
        <v>0</v>
      </c>
      <c r="S28" s="217">
        <f>COUNTIFS(기출문제!$H:$H,기출빈도!$V28,기출문제!$C:$C,기출빈도!S$3)</f>
        <v>0</v>
      </c>
      <c r="T28" s="232">
        <f>COUNTIFS(기출문제!$H:$H,기출빈도!$V28,기출문제!$C:$C,기출빈도!T$3)</f>
        <v>0</v>
      </c>
      <c r="U28" s="218" t="s">
        <v>3657</v>
      </c>
      <c r="V28" s="90" t="str">
        <f t="shared" si="0"/>
        <v>부당노동행위의 구제절차</v>
      </c>
    </row>
    <row r="29" spans="2:22" ht="14.45" customHeight="1" thickBot="1" x14ac:dyDescent="0.25">
      <c r="B29" s="219" t="s">
        <v>2902</v>
      </c>
      <c r="C29" s="220" t="s">
        <v>3588</v>
      </c>
      <c r="D29" s="221">
        <f>SUM(D26:D28)</f>
        <v>0</v>
      </c>
      <c r="E29" s="221">
        <f t="shared" ref="E29:T29" si="6">SUM(E26:E28)</f>
        <v>0</v>
      </c>
      <c r="F29" s="221">
        <f t="shared" si="6"/>
        <v>0</v>
      </c>
      <c r="G29" s="221">
        <f t="shared" si="6"/>
        <v>0</v>
      </c>
      <c r="H29" s="221">
        <f t="shared" si="6"/>
        <v>0</v>
      </c>
      <c r="I29" s="221">
        <f t="shared" si="6"/>
        <v>0</v>
      </c>
      <c r="J29" s="221">
        <f t="shared" si="6"/>
        <v>0</v>
      </c>
      <c r="K29" s="221">
        <f t="shared" si="6"/>
        <v>0</v>
      </c>
      <c r="L29" s="221">
        <f t="shared" si="6"/>
        <v>0</v>
      </c>
      <c r="M29" s="221">
        <f t="shared" si="6"/>
        <v>0</v>
      </c>
      <c r="N29" s="221">
        <f t="shared" si="6"/>
        <v>0</v>
      </c>
      <c r="O29" s="221">
        <f t="shared" si="6"/>
        <v>0</v>
      </c>
      <c r="P29" s="221">
        <f t="shared" si="6"/>
        <v>0</v>
      </c>
      <c r="Q29" s="221">
        <f t="shared" si="6"/>
        <v>0</v>
      </c>
      <c r="R29" s="221">
        <f t="shared" si="6"/>
        <v>0</v>
      </c>
      <c r="S29" s="221">
        <f t="shared" si="6"/>
        <v>0</v>
      </c>
      <c r="T29" s="233">
        <f t="shared" si="6"/>
        <v>3</v>
      </c>
      <c r="U29" s="222"/>
      <c r="V29" s="90" t="str">
        <f t="shared" si="0"/>
        <v/>
      </c>
    </row>
    <row r="30" spans="2:22" ht="14.45" customHeight="1" x14ac:dyDescent="0.2">
      <c r="B30" s="99" t="s">
        <v>2904</v>
      </c>
      <c r="C30" s="213" t="s">
        <v>3609</v>
      </c>
      <c r="D30" s="214">
        <f>COUNTIFS(기출문제!$H:$H,기출빈도!$V30,기출문제!$C:$C,기출빈도!D$3)</f>
        <v>0</v>
      </c>
      <c r="E30" s="214">
        <f>COUNTIFS(기출문제!$H:$H,기출빈도!$V30,기출문제!$C:$C,기출빈도!E$3)</f>
        <v>0</v>
      </c>
      <c r="F30" s="214">
        <f>COUNTIFS(기출문제!$H:$H,기출빈도!$V30,기출문제!$C:$C,기출빈도!F$3)</f>
        <v>0</v>
      </c>
      <c r="G30" s="214">
        <f>COUNTIFS(기출문제!$H:$H,기출빈도!$V30,기출문제!$C:$C,기출빈도!G$3)</f>
        <v>0</v>
      </c>
      <c r="H30" s="214">
        <f>COUNTIFS(기출문제!$H:$H,기출빈도!$V30,기출문제!$C:$C,기출빈도!H$3)</f>
        <v>0</v>
      </c>
      <c r="I30" s="214">
        <f>COUNTIFS(기출문제!$H:$H,기출빈도!$V30,기출문제!$C:$C,기출빈도!I$3)</f>
        <v>0</v>
      </c>
      <c r="J30" s="214">
        <f>COUNTIFS(기출문제!$H:$H,기출빈도!$V30,기출문제!$C:$C,기출빈도!J$3)</f>
        <v>0</v>
      </c>
      <c r="K30" s="214">
        <f>COUNTIFS(기출문제!$H:$H,기출빈도!$V30,기출문제!$C:$C,기출빈도!K$3)</f>
        <v>0</v>
      </c>
      <c r="L30" s="214">
        <f>COUNTIFS(기출문제!$H:$H,기출빈도!$V30,기출문제!$C:$C,기출빈도!L$3)</f>
        <v>0</v>
      </c>
      <c r="M30" s="214">
        <f>COUNTIFS(기출문제!$H:$H,기출빈도!$V30,기출문제!$C:$C,기출빈도!M$3)</f>
        <v>0</v>
      </c>
      <c r="N30" s="214">
        <f>COUNTIFS(기출문제!$H:$H,기출빈도!$V30,기출문제!$C:$C,기출빈도!N$3)</f>
        <v>0</v>
      </c>
      <c r="O30" s="214">
        <f>COUNTIFS(기출문제!$H:$H,기출빈도!$V30,기출문제!$C:$C,기출빈도!O$3)</f>
        <v>0</v>
      </c>
      <c r="P30" s="214">
        <f>COUNTIFS(기출문제!$H:$H,기출빈도!$V30,기출문제!$C:$C,기출빈도!P$3)</f>
        <v>0</v>
      </c>
      <c r="Q30" s="214">
        <f>COUNTIFS(기출문제!$H:$H,기출빈도!$V30,기출문제!$C:$C,기출빈도!Q$3)</f>
        <v>0</v>
      </c>
      <c r="R30" s="214">
        <f>COUNTIFS(기출문제!$H:$H,기출빈도!$V30,기출문제!$C:$C,기출빈도!R$3)</f>
        <v>0</v>
      </c>
      <c r="S30" s="214">
        <f>COUNTIFS(기출문제!$H:$H,기출빈도!$V30,기출문제!$C:$C,기출빈도!S$3)</f>
        <v>0</v>
      </c>
      <c r="T30" s="231">
        <f>COUNTIFS(기출문제!$H:$H,기출빈도!$V30,기출문제!$C:$C,기출빈도!T$3)</f>
        <v>1</v>
      </c>
      <c r="U30" s="215" t="s">
        <v>3672</v>
      </c>
      <c r="V30" s="90" t="str">
        <f t="shared" si="0"/>
        <v>노동위원회의 서설</v>
      </c>
    </row>
    <row r="31" spans="2:22" ht="14.45" customHeight="1" x14ac:dyDescent="0.2">
      <c r="B31" s="111" t="s">
        <v>2904</v>
      </c>
      <c r="C31" s="216" t="s">
        <v>3592</v>
      </c>
      <c r="D31" s="217">
        <f>COUNTIFS(기출문제!$H:$H,기출빈도!$V31,기출문제!$C:$C,기출빈도!D$3)</f>
        <v>0</v>
      </c>
      <c r="E31" s="217">
        <f>COUNTIFS(기출문제!$H:$H,기출빈도!$V31,기출문제!$C:$C,기출빈도!E$3)</f>
        <v>0</v>
      </c>
      <c r="F31" s="217">
        <f>COUNTIFS(기출문제!$H:$H,기출빈도!$V31,기출문제!$C:$C,기출빈도!F$3)</f>
        <v>0</v>
      </c>
      <c r="G31" s="217">
        <f>COUNTIFS(기출문제!$H:$H,기출빈도!$V31,기출문제!$C:$C,기출빈도!G$3)</f>
        <v>0</v>
      </c>
      <c r="H31" s="217">
        <f>COUNTIFS(기출문제!$H:$H,기출빈도!$V31,기출문제!$C:$C,기출빈도!H$3)</f>
        <v>0</v>
      </c>
      <c r="I31" s="217">
        <f>COUNTIFS(기출문제!$H:$H,기출빈도!$V31,기출문제!$C:$C,기출빈도!I$3)</f>
        <v>0</v>
      </c>
      <c r="J31" s="217">
        <f>COUNTIFS(기출문제!$H:$H,기출빈도!$V31,기출문제!$C:$C,기출빈도!J$3)</f>
        <v>0</v>
      </c>
      <c r="K31" s="217">
        <f>COUNTIFS(기출문제!$H:$H,기출빈도!$V31,기출문제!$C:$C,기출빈도!K$3)</f>
        <v>0</v>
      </c>
      <c r="L31" s="217">
        <f>COUNTIFS(기출문제!$H:$H,기출빈도!$V31,기출문제!$C:$C,기출빈도!L$3)</f>
        <v>0</v>
      </c>
      <c r="M31" s="217">
        <f>COUNTIFS(기출문제!$H:$H,기출빈도!$V31,기출문제!$C:$C,기출빈도!M$3)</f>
        <v>0</v>
      </c>
      <c r="N31" s="217">
        <f>COUNTIFS(기출문제!$H:$H,기출빈도!$V31,기출문제!$C:$C,기출빈도!N$3)</f>
        <v>0</v>
      </c>
      <c r="O31" s="217">
        <f>COUNTIFS(기출문제!$H:$H,기출빈도!$V31,기출문제!$C:$C,기출빈도!O$3)</f>
        <v>0</v>
      </c>
      <c r="P31" s="217">
        <f>COUNTIFS(기출문제!$H:$H,기출빈도!$V31,기출문제!$C:$C,기출빈도!P$3)</f>
        <v>0</v>
      </c>
      <c r="Q31" s="217">
        <f>COUNTIFS(기출문제!$H:$H,기출빈도!$V31,기출문제!$C:$C,기출빈도!Q$3)</f>
        <v>0</v>
      </c>
      <c r="R31" s="217">
        <f>COUNTIFS(기출문제!$H:$H,기출빈도!$V31,기출문제!$C:$C,기출빈도!R$3)</f>
        <v>0</v>
      </c>
      <c r="S31" s="217">
        <f>COUNTIFS(기출문제!$H:$H,기출빈도!$V31,기출문제!$C:$C,기출빈도!S$3)</f>
        <v>0</v>
      </c>
      <c r="T31" s="232">
        <f>COUNTIFS(기출문제!$H:$H,기출빈도!$V31,기출문제!$C:$C,기출빈도!T$3)</f>
        <v>1</v>
      </c>
      <c r="U31" s="218" t="s">
        <v>3659</v>
      </c>
      <c r="V31" s="90" t="str">
        <f t="shared" si="0"/>
        <v>노동위원회의 종류와 조직</v>
      </c>
    </row>
    <row r="32" spans="2:22" ht="14.45" customHeight="1" x14ac:dyDescent="0.2">
      <c r="B32" s="111" t="s">
        <v>2904</v>
      </c>
      <c r="C32" s="216" t="s">
        <v>3593</v>
      </c>
      <c r="D32" s="217">
        <f>COUNTIFS(기출문제!$H:$H,기출빈도!$V32,기출문제!$C:$C,기출빈도!D$3)</f>
        <v>0</v>
      </c>
      <c r="E32" s="217">
        <f>COUNTIFS(기출문제!$H:$H,기출빈도!$V32,기출문제!$C:$C,기출빈도!E$3)</f>
        <v>0</v>
      </c>
      <c r="F32" s="217">
        <f>COUNTIFS(기출문제!$H:$H,기출빈도!$V32,기출문제!$C:$C,기출빈도!F$3)</f>
        <v>0</v>
      </c>
      <c r="G32" s="217">
        <f>COUNTIFS(기출문제!$H:$H,기출빈도!$V32,기출문제!$C:$C,기출빈도!G$3)</f>
        <v>0</v>
      </c>
      <c r="H32" s="217">
        <f>COUNTIFS(기출문제!$H:$H,기출빈도!$V32,기출문제!$C:$C,기출빈도!H$3)</f>
        <v>0</v>
      </c>
      <c r="I32" s="217">
        <f>COUNTIFS(기출문제!$H:$H,기출빈도!$V32,기출문제!$C:$C,기출빈도!I$3)</f>
        <v>0</v>
      </c>
      <c r="J32" s="217">
        <f>COUNTIFS(기출문제!$H:$H,기출빈도!$V32,기출문제!$C:$C,기출빈도!J$3)</f>
        <v>0</v>
      </c>
      <c r="K32" s="217">
        <f>COUNTIFS(기출문제!$H:$H,기출빈도!$V32,기출문제!$C:$C,기출빈도!K$3)</f>
        <v>0</v>
      </c>
      <c r="L32" s="217">
        <f>COUNTIFS(기출문제!$H:$H,기출빈도!$V32,기출문제!$C:$C,기출빈도!L$3)</f>
        <v>0</v>
      </c>
      <c r="M32" s="217">
        <f>COUNTIFS(기출문제!$H:$H,기출빈도!$V32,기출문제!$C:$C,기출빈도!M$3)</f>
        <v>0</v>
      </c>
      <c r="N32" s="217">
        <f>COUNTIFS(기출문제!$H:$H,기출빈도!$V32,기출문제!$C:$C,기출빈도!N$3)</f>
        <v>0</v>
      </c>
      <c r="O32" s="217">
        <f>COUNTIFS(기출문제!$H:$H,기출빈도!$V32,기출문제!$C:$C,기출빈도!O$3)</f>
        <v>0</v>
      </c>
      <c r="P32" s="217">
        <f>COUNTIFS(기출문제!$H:$H,기출빈도!$V32,기출문제!$C:$C,기출빈도!P$3)</f>
        <v>0</v>
      </c>
      <c r="Q32" s="217">
        <f>COUNTIFS(기출문제!$H:$H,기출빈도!$V32,기출문제!$C:$C,기출빈도!Q$3)</f>
        <v>0</v>
      </c>
      <c r="R32" s="217">
        <f>COUNTIFS(기출문제!$H:$H,기출빈도!$V32,기출문제!$C:$C,기출빈도!R$3)</f>
        <v>0</v>
      </c>
      <c r="S32" s="217">
        <f>COUNTIFS(기출문제!$H:$H,기출빈도!$V32,기출문제!$C:$C,기출빈도!S$3)</f>
        <v>0</v>
      </c>
      <c r="T32" s="232">
        <f>COUNTIFS(기출문제!$H:$H,기출빈도!$V32,기출문제!$C:$C,기출빈도!T$3)</f>
        <v>2</v>
      </c>
      <c r="U32" s="218" t="s">
        <v>3660</v>
      </c>
      <c r="V32" s="90" t="str">
        <f t="shared" si="0"/>
        <v>노동위원회의 회의</v>
      </c>
    </row>
    <row r="33" spans="2:22" ht="14.45" customHeight="1" x14ac:dyDescent="0.2">
      <c r="B33" s="226" t="s">
        <v>2904</v>
      </c>
      <c r="C33" s="216" t="s">
        <v>3618</v>
      </c>
      <c r="D33" s="229"/>
      <c r="E33" s="229"/>
      <c r="F33" s="229"/>
      <c r="G33" s="229"/>
      <c r="H33" s="229"/>
      <c r="I33" s="229"/>
      <c r="J33" s="229"/>
      <c r="K33" s="229"/>
      <c r="L33" s="229"/>
      <c r="M33" s="229"/>
      <c r="N33" s="229"/>
      <c r="O33" s="229"/>
      <c r="P33" s="229"/>
      <c r="Q33" s="229"/>
      <c r="R33" s="229"/>
      <c r="S33" s="229"/>
      <c r="T33" s="235"/>
      <c r="U33" s="230" t="s">
        <v>3673</v>
      </c>
      <c r="V33" s="90" t="str">
        <f t="shared" si="0"/>
        <v>노동위원회의 보칙</v>
      </c>
    </row>
    <row r="34" spans="2:22" ht="14.45" customHeight="1" thickBot="1" x14ac:dyDescent="0.25">
      <c r="B34" s="219" t="s">
        <v>2904</v>
      </c>
      <c r="C34" s="220" t="s">
        <v>3588</v>
      </c>
      <c r="D34" s="221">
        <f>SUM(D30:D32)</f>
        <v>0</v>
      </c>
      <c r="E34" s="221">
        <f t="shared" ref="E34:T34" si="7">SUM(E30:E32)</f>
        <v>0</v>
      </c>
      <c r="F34" s="221">
        <f t="shared" si="7"/>
        <v>0</v>
      </c>
      <c r="G34" s="221">
        <f t="shared" si="7"/>
        <v>0</v>
      </c>
      <c r="H34" s="221">
        <f t="shared" si="7"/>
        <v>0</v>
      </c>
      <c r="I34" s="221">
        <f t="shared" si="7"/>
        <v>0</v>
      </c>
      <c r="J34" s="221">
        <f t="shared" si="7"/>
        <v>0</v>
      </c>
      <c r="K34" s="221">
        <f t="shared" si="7"/>
        <v>0</v>
      </c>
      <c r="L34" s="221">
        <f t="shared" si="7"/>
        <v>0</v>
      </c>
      <c r="M34" s="221">
        <f t="shared" si="7"/>
        <v>0</v>
      </c>
      <c r="N34" s="221">
        <f t="shared" si="7"/>
        <v>0</v>
      </c>
      <c r="O34" s="221">
        <f t="shared" si="7"/>
        <v>0</v>
      </c>
      <c r="P34" s="221">
        <f t="shared" si="7"/>
        <v>0</v>
      </c>
      <c r="Q34" s="221">
        <f t="shared" si="7"/>
        <v>0</v>
      </c>
      <c r="R34" s="221">
        <f t="shared" si="7"/>
        <v>0</v>
      </c>
      <c r="S34" s="221">
        <f t="shared" si="7"/>
        <v>0</v>
      </c>
      <c r="T34" s="233">
        <f t="shared" si="7"/>
        <v>4</v>
      </c>
      <c r="U34" s="222"/>
      <c r="V34" s="90" t="str">
        <f t="shared" si="0"/>
        <v/>
      </c>
    </row>
    <row r="35" spans="2:22" ht="14.45" customHeight="1" x14ac:dyDescent="0.2">
      <c r="B35" s="99" t="s">
        <v>2906</v>
      </c>
      <c r="C35" s="213" t="s">
        <v>3612</v>
      </c>
      <c r="D35" s="214">
        <f>COUNTIFS(기출문제!$H:$H,기출빈도!$V35,기출문제!$C:$C,기출빈도!D$3)</f>
        <v>0</v>
      </c>
      <c r="E35" s="214">
        <f>COUNTIFS(기출문제!$H:$H,기출빈도!$V35,기출문제!$C:$C,기출빈도!E$3)</f>
        <v>0</v>
      </c>
      <c r="F35" s="214">
        <f>COUNTIFS(기출문제!$H:$H,기출빈도!$V35,기출문제!$C:$C,기출빈도!F$3)</f>
        <v>0</v>
      </c>
      <c r="G35" s="214">
        <f>COUNTIFS(기출문제!$H:$H,기출빈도!$V35,기출문제!$C:$C,기출빈도!G$3)</f>
        <v>0</v>
      </c>
      <c r="H35" s="214">
        <f>COUNTIFS(기출문제!$H:$H,기출빈도!$V35,기출문제!$C:$C,기출빈도!H$3)</f>
        <v>0</v>
      </c>
      <c r="I35" s="214">
        <f>COUNTIFS(기출문제!$H:$H,기출빈도!$V35,기출문제!$C:$C,기출빈도!I$3)</f>
        <v>0</v>
      </c>
      <c r="J35" s="214">
        <f>COUNTIFS(기출문제!$H:$H,기출빈도!$V35,기출문제!$C:$C,기출빈도!J$3)</f>
        <v>0</v>
      </c>
      <c r="K35" s="214">
        <f>COUNTIFS(기출문제!$H:$H,기출빈도!$V35,기출문제!$C:$C,기출빈도!K$3)</f>
        <v>0</v>
      </c>
      <c r="L35" s="214">
        <f>COUNTIFS(기출문제!$H:$H,기출빈도!$V35,기출문제!$C:$C,기출빈도!L$3)</f>
        <v>0</v>
      </c>
      <c r="M35" s="214">
        <f>COUNTIFS(기출문제!$H:$H,기출빈도!$V35,기출문제!$C:$C,기출빈도!M$3)</f>
        <v>0</v>
      </c>
      <c r="N35" s="214">
        <f>COUNTIFS(기출문제!$H:$H,기출빈도!$V35,기출문제!$C:$C,기출빈도!N$3)</f>
        <v>0</v>
      </c>
      <c r="O35" s="214">
        <f>COUNTIFS(기출문제!$H:$H,기출빈도!$V35,기출문제!$C:$C,기출빈도!O$3)</f>
        <v>0</v>
      </c>
      <c r="P35" s="214">
        <f>COUNTIFS(기출문제!$H:$H,기출빈도!$V35,기출문제!$C:$C,기출빈도!P$3)</f>
        <v>0</v>
      </c>
      <c r="Q35" s="214">
        <f>COUNTIFS(기출문제!$H:$H,기출빈도!$V35,기출문제!$C:$C,기출빈도!Q$3)</f>
        <v>0</v>
      </c>
      <c r="R35" s="214">
        <f>COUNTIFS(기출문제!$H:$H,기출빈도!$V35,기출문제!$C:$C,기출빈도!R$3)</f>
        <v>0</v>
      </c>
      <c r="S35" s="214">
        <f>COUNTIFS(기출문제!$H:$H,기출빈도!$V35,기출문제!$C:$C,기출빈도!S$3)</f>
        <v>0</v>
      </c>
      <c r="T35" s="231">
        <f>COUNTIFS(기출문제!$H:$H,기출빈도!$V35,기출문제!$C:$C,기출빈도!T$3)</f>
        <v>0</v>
      </c>
      <c r="U35" s="215" t="s">
        <v>3674</v>
      </c>
      <c r="V35" s="90" t="str">
        <f t="shared" si="0"/>
        <v>노사협의회의 서설</v>
      </c>
    </row>
    <row r="36" spans="2:22" ht="14.45" customHeight="1" x14ac:dyDescent="0.2">
      <c r="B36" s="111" t="s">
        <v>2906</v>
      </c>
      <c r="C36" s="216" t="s">
        <v>3594</v>
      </c>
      <c r="D36" s="217">
        <f>COUNTIFS(기출문제!$H:$H,기출빈도!$V36,기출문제!$C:$C,기출빈도!D$3)</f>
        <v>0</v>
      </c>
      <c r="E36" s="217">
        <f>COUNTIFS(기출문제!$H:$H,기출빈도!$V36,기출문제!$C:$C,기출빈도!E$3)</f>
        <v>0</v>
      </c>
      <c r="F36" s="217">
        <f>COUNTIFS(기출문제!$H:$H,기출빈도!$V36,기출문제!$C:$C,기출빈도!F$3)</f>
        <v>0</v>
      </c>
      <c r="G36" s="217">
        <f>COUNTIFS(기출문제!$H:$H,기출빈도!$V36,기출문제!$C:$C,기출빈도!G$3)</f>
        <v>0</v>
      </c>
      <c r="H36" s="217">
        <f>COUNTIFS(기출문제!$H:$H,기출빈도!$V36,기출문제!$C:$C,기출빈도!H$3)</f>
        <v>0</v>
      </c>
      <c r="I36" s="217">
        <f>COUNTIFS(기출문제!$H:$H,기출빈도!$V36,기출문제!$C:$C,기출빈도!I$3)</f>
        <v>0</v>
      </c>
      <c r="J36" s="217">
        <f>COUNTIFS(기출문제!$H:$H,기출빈도!$V36,기출문제!$C:$C,기출빈도!J$3)</f>
        <v>0</v>
      </c>
      <c r="K36" s="217">
        <f>COUNTIFS(기출문제!$H:$H,기출빈도!$V36,기출문제!$C:$C,기출빈도!K$3)</f>
        <v>0</v>
      </c>
      <c r="L36" s="217">
        <f>COUNTIFS(기출문제!$H:$H,기출빈도!$V36,기출문제!$C:$C,기출빈도!L$3)</f>
        <v>0</v>
      </c>
      <c r="M36" s="217">
        <f>COUNTIFS(기출문제!$H:$H,기출빈도!$V36,기출문제!$C:$C,기출빈도!M$3)</f>
        <v>0</v>
      </c>
      <c r="N36" s="217">
        <f>COUNTIFS(기출문제!$H:$H,기출빈도!$V36,기출문제!$C:$C,기출빈도!N$3)</f>
        <v>0</v>
      </c>
      <c r="O36" s="217">
        <f>COUNTIFS(기출문제!$H:$H,기출빈도!$V36,기출문제!$C:$C,기출빈도!O$3)</f>
        <v>0</v>
      </c>
      <c r="P36" s="217">
        <f>COUNTIFS(기출문제!$H:$H,기출빈도!$V36,기출문제!$C:$C,기출빈도!P$3)</f>
        <v>0</v>
      </c>
      <c r="Q36" s="217">
        <f>COUNTIFS(기출문제!$H:$H,기출빈도!$V36,기출문제!$C:$C,기출빈도!Q$3)</f>
        <v>0</v>
      </c>
      <c r="R36" s="217">
        <f>COUNTIFS(기출문제!$H:$H,기출빈도!$V36,기출문제!$C:$C,기출빈도!R$3)</f>
        <v>0</v>
      </c>
      <c r="S36" s="217">
        <f>COUNTIFS(기출문제!$H:$H,기출빈도!$V36,기출문제!$C:$C,기출빈도!S$3)</f>
        <v>0</v>
      </c>
      <c r="T36" s="232">
        <f>COUNTIFS(기출문제!$H:$H,기출빈도!$V36,기출문제!$C:$C,기출빈도!T$3)</f>
        <v>4</v>
      </c>
      <c r="U36" s="218" t="s">
        <v>3663</v>
      </c>
      <c r="V36" s="90" t="str">
        <f t="shared" si="0"/>
        <v>노사협의제도</v>
      </c>
    </row>
    <row r="37" spans="2:22" ht="14.45" customHeight="1" thickBot="1" x14ac:dyDescent="0.25">
      <c r="B37" s="219" t="s">
        <v>2906</v>
      </c>
      <c r="C37" s="220" t="s">
        <v>3588</v>
      </c>
      <c r="D37" s="221">
        <f t="shared" ref="D37:T37" si="8">SUM(D35:D36)</f>
        <v>0</v>
      </c>
      <c r="E37" s="221">
        <f t="shared" si="8"/>
        <v>0</v>
      </c>
      <c r="F37" s="221">
        <f t="shared" si="8"/>
        <v>0</v>
      </c>
      <c r="G37" s="221">
        <f t="shared" si="8"/>
        <v>0</v>
      </c>
      <c r="H37" s="221">
        <f t="shared" si="8"/>
        <v>0</v>
      </c>
      <c r="I37" s="221">
        <f t="shared" si="8"/>
        <v>0</v>
      </c>
      <c r="J37" s="221">
        <f t="shared" si="8"/>
        <v>0</v>
      </c>
      <c r="K37" s="221">
        <f t="shared" si="8"/>
        <v>0</v>
      </c>
      <c r="L37" s="221">
        <f t="shared" si="8"/>
        <v>0</v>
      </c>
      <c r="M37" s="221">
        <f t="shared" si="8"/>
        <v>0</v>
      </c>
      <c r="N37" s="221">
        <f t="shared" si="8"/>
        <v>0</v>
      </c>
      <c r="O37" s="221">
        <f t="shared" si="8"/>
        <v>0</v>
      </c>
      <c r="P37" s="221">
        <f t="shared" si="8"/>
        <v>0</v>
      </c>
      <c r="Q37" s="221">
        <f t="shared" si="8"/>
        <v>0</v>
      </c>
      <c r="R37" s="221">
        <f t="shared" si="8"/>
        <v>0</v>
      </c>
      <c r="S37" s="221">
        <f t="shared" si="8"/>
        <v>0</v>
      </c>
      <c r="T37" s="233">
        <f t="shared" si="8"/>
        <v>4</v>
      </c>
      <c r="U37" s="222"/>
      <c r="V37" s="90" t="str">
        <f t="shared" si="0"/>
        <v/>
      </c>
    </row>
    <row r="38" spans="2:22" ht="14.45" customHeight="1" x14ac:dyDescent="0.2">
      <c r="B38" s="99" t="s">
        <v>2892</v>
      </c>
      <c r="C38" s="213" t="s">
        <v>3595</v>
      </c>
      <c r="D38" s="214">
        <f>COUNTIFS(기출문제!$H:$H,기출빈도!$V38,기출문제!$C:$C,기출빈도!D$3)</f>
        <v>0</v>
      </c>
      <c r="E38" s="214">
        <f>COUNTIFS(기출문제!$H:$H,기출빈도!$V38,기출문제!$C:$C,기출빈도!E$3)</f>
        <v>0</v>
      </c>
      <c r="F38" s="214">
        <f>COUNTIFS(기출문제!$H:$H,기출빈도!$V38,기출문제!$C:$C,기출빈도!F$3)</f>
        <v>0</v>
      </c>
      <c r="G38" s="214">
        <f>COUNTIFS(기출문제!$H:$H,기출빈도!$V38,기출문제!$C:$C,기출빈도!G$3)</f>
        <v>0</v>
      </c>
      <c r="H38" s="214">
        <f>COUNTIFS(기출문제!$H:$H,기출빈도!$V38,기출문제!$C:$C,기출빈도!H$3)</f>
        <v>0</v>
      </c>
      <c r="I38" s="214">
        <f>COUNTIFS(기출문제!$H:$H,기출빈도!$V38,기출문제!$C:$C,기출빈도!I$3)</f>
        <v>0</v>
      </c>
      <c r="J38" s="214">
        <f>COUNTIFS(기출문제!$H:$H,기출빈도!$V38,기출문제!$C:$C,기출빈도!J$3)</f>
        <v>0</v>
      </c>
      <c r="K38" s="214">
        <f>COUNTIFS(기출문제!$H:$H,기출빈도!$V38,기출문제!$C:$C,기출빈도!K$3)</f>
        <v>0</v>
      </c>
      <c r="L38" s="214">
        <f>COUNTIFS(기출문제!$H:$H,기출빈도!$V38,기출문제!$C:$C,기출빈도!L$3)</f>
        <v>0</v>
      </c>
      <c r="M38" s="214">
        <f>COUNTIFS(기출문제!$H:$H,기출빈도!$V38,기출문제!$C:$C,기출빈도!M$3)</f>
        <v>0</v>
      </c>
      <c r="N38" s="214">
        <f>COUNTIFS(기출문제!$H:$H,기출빈도!$V38,기출문제!$C:$C,기출빈도!N$3)</f>
        <v>0</v>
      </c>
      <c r="O38" s="214">
        <f>COUNTIFS(기출문제!$H:$H,기출빈도!$V38,기출문제!$C:$C,기출빈도!O$3)</f>
        <v>0</v>
      </c>
      <c r="P38" s="214">
        <f>COUNTIFS(기출문제!$H:$H,기출빈도!$V38,기출문제!$C:$C,기출빈도!P$3)</f>
        <v>0</v>
      </c>
      <c r="Q38" s="214">
        <f>COUNTIFS(기출문제!$H:$H,기출빈도!$V38,기출문제!$C:$C,기출빈도!Q$3)</f>
        <v>0</v>
      </c>
      <c r="R38" s="214">
        <f>COUNTIFS(기출문제!$H:$H,기출빈도!$V38,기출문제!$C:$C,기출빈도!R$3)</f>
        <v>0</v>
      </c>
      <c r="S38" s="214">
        <f>COUNTIFS(기출문제!$H:$H,기출빈도!$V38,기출문제!$C:$C,기출빈도!S$3)</f>
        <v>0</v>
      </c>
      <c r="T38" s="231">
        <f>COUNTIFS(기출문제!$H:$H,기출빈도!$V38,기출문제!$C:$C,기출빈도!T$3)</f>
        <v>3</v>
      </c>
      <c r="U38" s="215" t="s">
        <v>3664</v>
      </c>
      <c r="V38" s="90" t="str">
        <f t="shared" si="0"/>
        <v>교원의 노동조합 설립 및 운영 등에 관한 법률</v>
      </c>
    </row>
    <row r="39" spans="2:22" ht="14.45" customHeight="1" x14ac:dyDescent="0.2">
      <c r="B39" s="111" t="s">
        <v>2892</v>
      </c>
      <c r="C39" s="216" t="s">
        <v>3596</v>
      </c>
      <c r="D39" s="217">
        <f>COUNTIFS(기출문제!$H:$H,기출빈도!$V39,기출문제!$C:$C,기출빈도!D$3)</f>
        <v>0</v>
      </c>
      <c r="E39" s="217">
        <f>COUNTIFS(기출문제!$H:$H,기출빈도!$V39,기출문제!$C:$C,기출빈도!E$3)</f>
        <v>0</v>
      </c>
      <c r="F39" s="217">
        <f>COUNTIFS(기출문제!$H:$H,기출빈도!$V39,기출문제!$C:$C,기출빈도!F$3)</f>
        <v>0</v>
      </c>
      <c r="G39" s="217">
        <f>COUNTIFS(기출문제!$H:$H,기출빈도!$V39,기출문제!$C:$C,기출빈도!G$3)</f>
        <v>0</v>
      </c>
      <c r="H39" s="217">
        <f>COUNTIFS(기출문제!$H:$H,기출빈도!$V39,기출문제!$C:$C,기출빈도!H$3)</f>
        <v>0</v>
      </c>
      <c r="I39" s="217">
        <f>COUNTIFS(기출문제!$H:$H,기출빈도!$V39,기출문제!$C:$C,기출빈도!I$3)</f>
        <v>0</v>
      </c>
      <c r="J39" s="217">
        <f>COUNTIFS(기출문제!$H:$H,기출빈도!$V39,기출문제!$C:$C,기출빈도!J$3)</f>
        <v>0</v>
      </c>
      <c r="K39" s="217">
        <f>COUNTIFS(기출문제!$H:$H,기출빈도!$V39,기출문제!$C:$C,기출빈도!K$3)</f>
        <v>0</v>
      </c>
      <c r="L39" s="217">
        <f>COUNTIFS(기출문제!$H:$H,기출빈도!$V39,기출문제!$C:$C,기출빈도!L$3)</f>
        <v>0</v>
      </c>
      <c r="M39" s="217">
        <f>COUNTIFS(기출문제!$H:$H,기출빈도!$V39,기출문제!$C:$C,기출빈도!M$3)</f>
        <v>0</v>
      </c>
      <c r="N39" s="217">
        <f>COUNTIFS(기출문제!$H:$H,기출빈도!$V39,기출문제!$C:$C,기출빈도!N$3)</f>
        <v>0</v>
      </c>
      <c r="O39" s="217">
        <f>COUNTIFS(기출문제!$H:$H,기출빈도!$V39,기출문제!$C:$C,기출빈도!O$3)</f>
        <v>0</v>
      </c>
      <c r="P39" s="217">
        <f>COUNTIFS(기출문제!$H:$H,기출빈도!$V39,기출문제!$C:$C,기출빈도!P$3)</f>
        <v>0</v>
      </c>
      <c r="Q39" s="217">
        <f>COUNTIFS(기출문제!$H:$H,기출빈도!$V39,기출문제!$C:$C,기출빈도!Q$3)</f>
        <v>0</v>
      </c>
      <c r="R39" s="217">
        <f>COUNTIFS(기출문제!$H:$H,기출빈도!$V39,기출문제!$C:$C,기출빈도!R$3)</f>
        <v>0</v>
      </c>
      <c r="S39" s="217">
        <f>COUNTIFS(기출문제!$H:$H,기출빈도!$V39,기출문제!$C:$C,기출빈도!S$3)</f>
        <v>0</v>
      </c>
      <c r="T39" s="232">
        <f>COUNTIFS(기출문제!$H:$H,기출빈도!$V39,기출문제!$C:$C,기출빈도!T$3)</f>
        <v>3</v>
      </c>
      <c r="U39" s="218" t="s">
        <v>3665</v>
      </c>
      <c r="V39" s="90" t="str">
        <f t="shared" si="0"/>
        <v>공무원의 노동조합 설립 및 운영 등에 관한 법률</v>
      </c>
    </row>
    <row r="40" spans="2:22" ht="14.45" customHeight="1" thickBot="1" x14ac:dyDescent="0.25">
      <c r="B40" s="226" t="s">
        <v>2892</v>
      </c>
      <c r="C40" s="227" t="s">
        <v>3588</v>
      </c>
      <c r="D40" s="224">
        <f>SUM(D38:D39)</f>
        <v>0</v>
      </c>
      <c r="E40" s="224">
        <f t="shared" ref="E40:T40" si="9">SUM(E38:E39)</f>
        <v>0</v>
      </c>
      <c r="F40" s="224">
        <f t="shared" si="9"/>
        <v>0</v>
      </c>
      <c r="G40" s="224">
        <f t="shared" si="9"/>
        <v>0</v>
      </c>
      <c r="H40" s="224">
        <f t="shared" si="9"/>
        <v>0</v>
      </c>
      <c r="I40" s="224">
        <f t="shared" si="9"/>
        <v>0</v>
      </c>
      <c r="J40" s="224">
        <f t="shared" si="9"/>
        <v>0</v>
      </c>
      <c r="K40" s="224">
        <f t="shared" si="9"/>
        <v>0</v>
      </c>
      <c r="L40" s="224">
        <f t="shared" si="9"/>
        <v>0</v>
      </c>
      <c r="M40" s="224">
        <f t="shared" si="9"/>
        <v>0</v>
      </c>
      <c r="N40" s="224">
        <f t="shared" si="9"/>
        <v>0</v>
      </c>
      <c r="O40" s="224">
        <f t="shared" si="9"/>
        <v>0</v>
      </c>
      <c r="P40" s="224">
        <f t="shared" si="9"/>
        <v>0</v>
      </c>
      <c r="Q40" s="224">
        <f t="shared" si="9"/>
        <v>0</v>
      </c>
      <c r="R40" s="224">
        <f t="shared" si="9"/>
        <v>0</v>
      </c>
      <c r="S40" s="224">
        <f t="shared" si="9"/>
        <v>0</v>
      </c>
      <c r="T40" s="234">
        <f t="shared" si="9"/>
        <v>6</v>
      </c>
      <c r="U40" s="225"/>
      <c r="V40" s="90" t="str">
        <f t="shared" si="0"/>
        <v/>
      </c>
    </row>
    <row r="41" spans="2:22" ht="14.45" customHeight="1" thickBot="1" x14ac:dyDescent="0.25">
      <c r="B41" s="238"/>
      <c r="C41" s="236" t="s">
        <v>3619</v>
      </c>
      <c r="D41" s="237">
        <f>SUM(D6,D10,D13,D21,D25,D29,D34,D37,D40)</f>
        <v>0</v>
      </c>
      <c r="E41" s="237">
        <f t="shared" ref="E41:T41" si="10">SUM(E6,E10,E13,E21,E25,E29,E34,E37,E40)</f>
        <v>0</v>
      </c>
      <c r="F41" s="237">
        <f t="shared" si="10"/>
        <v>0</v>
      </c>
      <c r="G41" s="237">
        <f t="shared" si="10"/>
        <v>0</v>
      </c>
      <c r="H41" s="237">
        <f t="shared" si="10"/>
        <v>0</v>
      </c>
      <c r="I41" s="237">
        <f t="shared" si="10"/>
        <v>0</v>
      </c>
      <c r="J41" s="237">
        <f t="shared" si="10"/>
        <v>0</v>
      </c>
      <c r="K41" s="237">
        <f t="shared" si="10"/>
        <v>0</v>
      </c>
      <c r="L41" s="237">
        <f t="shared" si="10"/>
        <v>0</v>
      </c>
      <c r="M41" s="237">
        <f t="shared" si="10"/>
        <v>0</v>
      </c>
      <c r="N41" s="237">
        <f t="shared" si="10"/>
        <v>0</v>
      </c>
      <c r="O41" s="237">
        <f t="shared" si="10"/>
        <v>0</v>
      </c>
      <c r="P41" s="237">
        <f t="shared" si="10"/>
        <v>0</v>
      </c>
      <c r="Q41" s="237">
        <f t="shared" si="10"/>
        <v>0</v>
      </c>
      <c r="R41" s="237">
        <f t="shared" si="10"/>
        <v>0</v>
      </c>
      <c r="S41" s="237">
        <f t="shared" si="10"/>
        <v>0</v>
      </c>
      <c r="T41" s="237">
        <f t="shared" si="10"/>
        <v>40</v>
      </c>
      <c r="U41" s="239"/>
      <c r="V41" s="90" t="str">
        <f t="shared" si="0"/>
        <v/>
      </c>
    </row>
  </sheetData>
  <phoneticPr fontId="2" type="noConversion"/>
  <conditionalFormatting sqref="B4:U41">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I4" sqref="I4"/>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5.7109375" style="2" customWidth="1"/>
    <col min="10" max="16384" width="9.140625" style="1"/>
  </cols>
  <sheetData>
    <row r="1" spans="2:9" ht="14.25" thickBot="1" x14ac:dyDescent="0.25"/>
    <row r="2" spans="2:9" x14ac:dyDescent="0.2">
      <c r="B2" s="6" t="s">
        <v>56</v>
      </c>
      <c r="C2" s="7" t="s">
        <v>0</v>
      </c>
      <c r="D2" s="251" t="s">
        <v>1</v>
      </c>
      <c r="E2" s="251"/>
      <c r="F2" s="8" t="s">
        <v>2</v>
      </c>
      <c r="G2" s="7" t="s">
        <v>3</v>
      </c>
      <c r="H2" s="7" t="s">
        <v>69</v>
      </c>
      <c r="I2" s="9" t="s">
        <v>66</v>
      </c>
    </row>
    <row r="3" spans="2:9" ht="14.25" thickBot="1" x14ac:dyDescent="0.25">
      <c r="B3" s="10"/>
      <c r="C3" s="4"/>
      <c r="D3" s="12"/>
      <c r="E3" s="13"/>
      <c r="F3" s="5"/>
      <c r="G3" s="4"/>
      <c r="H3" s="4"/>
      <c r="I3" s="11"/>
    </row>
    <row r="4" spans="2:9" ht="108" x14ac:dyDescent="0.2">
      <c r="B4" s="191" t="str">
        <f t="shared" ref="B4:B190" si="0">C4&amp;"-"&amp;D4&amp;"-"&amp;E4</f>
        <v>2026-041-0</v>
      </c>
      <c r="C4" s="192">
        <v>2026</v>
      </c>
      <c r="D4" s="193" t="s">
        <v>72</v>
      </c>
      <c r="E4" s="192">
        <v>0</v>
      </c>
      <c r="F4" s="18" t="s">
        <v>2351</v>
      </c>
      <c r="G4" s="192"/>
      <c r="H4" s="18" t="s">
        <v>3579</v>
      </c>
      <c r="I4" s="85" t="s">
        <v>3675</v>
      </c>
    </row>
    <row r="5" spans="2:9" x14ac:dyDescent="0.2">
      <c r="B5" s="194" t="str">
        <f t="shared" si="0"/>
        <v>2026-041-1</v>
      </c>
      <c r="C5" s="195">
        <v>2026</v>
      </c>
      <c r="D5" s="196" t="s">
        <v>72</v>
      </c>
      <c r="E5" s="195">
        <v>1</v>
      </c>
      <c r="F5" s="24" t="s">
        <v>2427</v>
      </c>
      <c r="G5" s="195"/>
      <c r="H5" s="24"/>
      <c r="I5" s="197"/>
    </row>
    <row r="6" spans="2:9" x14ac:dyDescent="0.2">
      <c r="B6" s="194" t="str">
        <f t="shared" si="0"/>
        <v>2026-041-2</v>
      </c>
      <c r="C6" s="195">
        <v>2026</v>
      </c>
      <c r="D6" s="196" t="s">
        <v>72</v>
      </c>
      <c r="E6" s="195">
        <v>2</v>
      </c>
      <c r="F6" s="24" t="s">
        <v>2428</v>
      </c>
      <c r="G6" s="195"/>
      <c r="H6" s="24"/>
      <c r="I6" s="197"/>
    </row>
    <row r="7" spans="2:9" x14ac:dyDescent="0.2">
      <c r="B7" s="194" t="str">
        <f t="shared" si="0"/>
        <v>2026-041-3</v>
      </c>
      <c r="C7" s="195">
        <v>2026</v>
      </c>
      <c r="D7" s="196" t="s">
        <v>72</v>
      </c>
      <c r="E7" s="195">
        <v>3</v>
      </c>
      <c r="F7" s="24" t="s">
        <v>2429</v>
      </c>
      <c r="G7" s="195" t="s">
        <v>3391</v>
      </c>
      <c r="H7" s="24"/>
      <c r="I7" s="197"/>
    </row>
    <row r="8" spans="2:9" x14ac:dyDescent="0.2">
      <c r="B8" s="194" t="str">
        <f t="shared" si="0"/>
        <v>2026-041-4</v>
      </c>
      <c r="C8" s="195">
        <v>2026</v>
      </c>
      <c r="D8" s="196" t="s">
        <v>72</v>
      </c>
      <c r="E8" s="195">
        <v>4</v>
      </c>
      <c r="F8" s="24" t="s">
        <v>2430</v>
      </c>
      <c r="G8" s="195"/>
      <c r="H8" s="24"/>
      <c r="I8" s="197"/>
    </row>
    <row r="9" spans="2:9" x14ac:dyDescent="0.2">
      <c r="B9" s="198" t="str">
        <f t="shared" si="0"/>
        <v>2026-041-5</v>
      </c>
      <c r="C9" s="199">
        <v>2026</v>
      </c>
      <c r="D9" s="200" t="s">
        <v>72</v>
      </c>
      <c r="E9" s="199">
        <v>5</v>
      </c>
      <c r="F9" s="30" t="s">
        <v>2431</v>
      </c>
      <c r="G9" s="199"/>
      <c r="H9" s="30"/>
      <c r="I9" s="201"/>
    </row>
    <row r="10" spans="2:9" x14ac:dyDescent="0.2">
      <c r="B10" s="202" t="str">
        <f t="shared" si="0"/>
        <v>2026-042-0</v>
      </c>
      <c r="C10" s="203">
        <v>2026</v>
      </c>
      <c r="D10" s="204" t="s">
        <v>73</v>
      </c>
      <c r="E10" s="203">
        <v>0</v>
      </c>
      <c r="F10" s="36" t="s">
        <v>2352</v>
      </c>
      <c r="G10" s="203"/>
      <c r="H10" s="36" t="s">
        <v>3580</v>
      </c>
      <c r="I10" s="190"/>
    </row>
    <row r="11" spans="2:9" x14ac:dyDescent="0.2">
      <c r="B11" s="194" t="str">
        <f t="shared" si="0"/>
        <v>2026-042-1</v>
      </c>
      <c r="C11" s="195">
        <v>2026</v>
      </c>
      <c r="D11" s="196" t="s">
        <v>73</v>
      </c>
      <c r="E11" s="195">
        <v>1</v>
      </c>
      <c r="F11" s="24" t="s">
        <v>2432</v>
      </c>
      <c r="G11" s="195"/>
      <c r="H11" s="24" t="s">
        <v>2967</v>
      </c>
      <c r="I11" s="197"/>
    </row>
    <row r="12" spans="2:9" x14ac:dyDescent="0.2">
      <c r="B12" s="194" t="str">
        <f t="shared" si="0"/>
        <v>2026-042-2</v>
      </c>
      <c r="C12" s="195">
        <v>2026</v>
      </c>
      <c r="D12" s="196" t="s">
        <v>73</v>
      </c>
      <c r="E12" s="195">
        <v>2</v>
      </c>
      <c r="F12" s="24" t="s">
        <v>2433</v>
      </c>
      <c r="G12" s="195"/>
      <c r="H12" s="24" t="s">
        <v>2971</v>
      </c>
      <c r="I12" s="197"/>
    </row>
    <row r="13" spans="2:9" ht="27" x14ac:dyDescent="0.2">
      <c r="B13" s="194" t="str">
        <f t="shared" si="0"/>
        <v>2026-042-3</v>
      </c>
      <c r="C13" s="195">
        <v>2026</v>
      </c>
      <c r="D13" s="196" t="s">
        <v>73</v>
      </c>
      <c r="E13" s="195">
        <v>3</v>
      </c>
      <c r="F13" s="24" t="s">
        <v>2434</v>
      </c>
      <c r="G13" s="195"/>
      <c r="H13" s="24" t="s">
        <v>2968</v>
      </c>
      <c r="I13" s="197"/>
    </row>
    <row r="14" spans="2:9" x14ac:dyDescent="0.2">
      <c r="B14" s="194" t="str">
        <f t="shared" si="0"/>
        <v>2026-042-4</v>
      </c>
      <c r="C14" s="195">
        <v>2026</v>
      </c>
      <c r="D14" s="196" t="s">
        <v>73</v>
      </c>
      <c r="E14" s="195">
        <v>4</v>
      </c>
      <c r="F14" s="24" t="s">
        <v>2435</v>
      </c>
      <c r="G14" s="195"/>
      <c r="H14" s="24" t="s">
        <v>2969</v>
      </c>
      <c r="I14" s="197"/>
    </row>
    <row r="15" spans="2:9" x14ac:dyDescent="0.2">
      <c r="B15" s="198" t="str">
        <f t="shared" si="0"/>
        <v>2026-042-5</v>
      </c>
      <c r="C15" s="199">
        <v>2026</v>
      </c>
      <c r="D15" s="200" t="s">
        <v>73</v>
      </c>
      <c r="E15" s="199">
        <v>5</v>
      </c>
      <c r="F15" s="30" t="s">
        <v>2776</v>
      </c>
      <c r="G15" s="199" t="s">
        <v>3391</v>
      </c>
      <c r="H15" s="30" t="s">
        <v>2970</v>
      </c>
      <c r="I15" s="201" t="s">
        <v>2972</v>
      </c>
    </row>
    <row r="16" spans="2:9" x14ac:dyDescent="0.2">
      <c r="B16" s="202" t="str">
        <f t="shared" si="0"/>
        <v>2026-043-0</v>
      </c>
      <c r="C16" s="203">
        <v>2026</v>
      </c>
      <c r="D16" s="204" t="s">
        <v>74</v>
      </c>
      <c r="E16" s="203">
        <v>0</v>
      </c>
      <c r="F16" s="36" t="s">
        <v>2353</v>
      </c>
      <c r="G16" s="203"/>
      <c r="H16" s="36" t="s">
        <v>3580</v>
      </c>
      <c r="I16" s="190"/>
    </row>
    <row r="17" spans="2:9" x14ac:dyDescent="0.2">
      <c r="B17" s="194" t="str">
        <f t="shared" si="0"/>
        <v>2026-043-1</v>
      </c>
      <c r="C17" s="195">
        <v>2026</v>
      </c>
      <c r="D17" s="196" t="s">
        <v>74</v>
      </c>
      <c r="E17" s="195">
        <v>1</v>
      </c>
      <c r="F17" s="24" t="s">
        <v>2436</v>
      </c>
      <c r="G17" s="195"/>
      <c r="H17" s="24" t="s">
        <v>2973</v>
      </c>
      <c r="I17" s="197" t="s">
        <v>2978</v>
      </c>
    </row>
    <row r="18" spans="2:9" x14ac:dyDescent="0.2">
      <c r="B18" s="194" t="str">
        <f t="shared" si="0"/>
        <v>2026-043-2</v>
      </c>
      <c r="C18" s="195">
        <v>2026</v>
      </c>
      <c r="D18" s="196" t="s">
        <v>74</v>
      </c>
      <c r="E18" s="195">
        <v>2</v>
      </c>
      <c r="F18" s="24" t="s">
        <v>2437</v>
      </c>
      <c r="G18" s="195"/>
      <c r="H18" s="24" t="s">
        <v>2974</v>
      </c>
      <c r="I18" s="197" t="s">
        <v>2979</v>
      </c>
    </row>
    <row r="19" spans="2:9" ht="27" x14ac:dyDescent="0.2">
      <c r="B19" s="194" t="str">
        <f t="shared" si="0"/>
        <v>2026-043-3</v>
      </c>
      <c r="C19" s="195">
        <v>2026</v>
      </c>
      <c r="D19" s="196" t="s">
        <v>74</v>
      </c>
      <c r="E19" s="195">
        <v>3</v>
      </c>
      <c r="F19" s="24" t="s">
        <v>2438</v>
      </c>
      <c r="G19" s="195"/>
      <c r="H19" s="24" t="s">
        <v>2975</v>
      </c>
      <c r="I19" s="197" t="s">
        <v>2980</v>
      </c>
    </row>
    <row r="20" spans="2:9" ht="27" x14ac:dyDescent="0.2">
      <c r="B20" s="194" t="str">
        <f t="shared" si="0"/>
        <v>2026-043-4</v>
      </c>
      <c r="C20" s="195">
        <v>2026</v>
      </c>
      <c r="D20" s="196" t="s">
        <v>74</v>
      </c>
      <c r="E20" s="195">
        <v>4</v>
      </c>
      <c r="F20" s="24" t="s">
        <v>2439</v>
      </c>
      <c r="G20" s="195" t="s">
        <v>3391</v>
      </c>
      <c r="H20" s="24" t="s">
        <v>2976</v>
      </c>
      <c r="I20" s="197"/>
    </row>
    <row r="21" spans="2:9" ht="27" x14ac:dyDescent="0.2">
      <c r="B21" s="198" t="str">
        <f t="shared" si="0"/>
        <v>2026-043-5</v>
      </c>
      <c r="C21" s="199">
        <v>2026</v>
      </c>
      <c r="D21" s="200" t="s">
        <v>74</v>
      </c>
      <c r="E21" s="199">
        <v>5</v>
      </c>
      <c r="F21" s="30" t="s">
        <v>2440</v>
      </c>
      <c r="G21" s="199"/>
      <c r="H21" s="30" t="s">
        <v>2977</v>
      </c>
      <c r="I21" s="201" t="s">
        <v>2981</v>
      </c>
    </row>
    <row r="22" spans="2:9" x14ac:dyDescent="0.2">
      <c r="B22" s="202" t="str">
        <f t="shared" si="0"/>
        <v>2026-044-0</v>
      </c>
      <c r="C22" s="203">
        <v>2026</v>
      </c>
      <c r="D22" s="204" t="s">
        <v>75</v>
      </c>
      <c r="E22" s="203">
        <v>0</v>
      </c>
      <c r="F22" s="36" t="s">
        <v>2354</v>
      </c>
      <c r="G22" s="203"/>
      <c r="H22" s="36" t="s">
        <v>3580</v>
      </c>
      <c r="I22" s="190"/>
    </row>
    <row r="23" spans="2:9" ht="27" x14ac:dyDescent="0.2">
      <c r="B23" s="194" t="str">
        <f t="shared" si="0"/>
        <v>2026-044-1</v>
      </c>
      <c r="C23" s="195">
        <v>2026</v>
      </c>
      <c r="D23" s="196" t="s">
        <v>75</v>
      </c>
      <c r="E23" s="195">
        <v>1</v>
      </c>
      <c r="F23" s="24" t="s">
        <v>2441</v>
      </c>
      <c r="G23" s="195" t="s">
        <v>3391</v>
      </c>
      <c r="H23" s="24" t="s">
        <v>2982</v>
      </c>
      <c r="I23" s="197" t="s">
        <v>2987</v>
      </c>
    </row>
    <row r="24" spans="2:9" ht="27" x14ac:dyDescent="0.2">
      <c r="B24" s="194" t="str">
        <f t="shared" si="0"/>
        <v>2026-044-2</v>
      </c>
      <c r="C24" s="195">
        <v>2026</v>
      </c>
      <c r="D24" s="196" t="s">
        <v>75</v>
      </c>
      <c r="E24" s="195">
        <v>2</v>
      </c>
      <c r="F24" s="24" t="s">
        <v>2442</v>
      </c>
      <c r="G24" s="195"/>
      <c r="H24" s="24" t="s">
        <v>2983</v>
      </c>
      <c r="I24" s="197"/>
    </row>
    <row r="25" spans="2:9" x14ac:dyDescent="0.2">
      <c r="B25" s="194" t="str">
        <f t="shared" si="0"/>
        <v>2026-044-3</v>
      </c>
      <c r="C25" s="195">
        <v>2026</v>
      </c>
      <c r="D25" s="196" t="s">
        <v>75</v>
      </c>
      <c r="E25" s="195">
        <v>3</v>
      </c>
      <c r="F25" s="24" t="s">
        <v>2443</v>
      </c>
      <c r="G25" s="195"/>
      <c r="H25" s="24" t="s">
        <v>2984</v>
      </c>
      <c r="I25" s="197"/>
    </row>
    <row r="26" spans="2:9" ht="27" x14ac:dyDescent="0.2">
      <c r="B26" s="194" t="str">
        <f t="shared" si="0"/>
        <v>2026-044-4</v>
      </c>
      <c r="C26" s="195">
        <v>2026</v>
      </c>
      <c r="D26" s="196" t="s">
        <v>75</v>
      </c>
      <c r="E26" s="195">
        <v>4</v>
      </c>
      <c r="F26" s="24" t="s">
        <v>2444</v>
      </c>
      <c r="G26" s="195"/>
      <c r="H26" s="24" t="s">
        <v>2985</v>
      </c>
      <c r="I26" s="197"/>
    </row>
    <row r="27" spans="2:9" x14ac:dyDescent="0.2">
      <c r="B27" s="198" t="str">
        <f t="shared" si="0"/>
        <v>2026-044-5</v>
      </c>
      <c r="C27" s="199">
        <v>2026</v>
      </c>
      <c r="D27" s="200" t="s">
        <v>75</v>
      </c>
      <c r="E27" s="199">
        <v>5</v>
      </c>
      <c r="F27" s="30" t="s">
        <v>2777</v>
      </c>
      <c r="G27" s="199"/>
      <c r="H27" s="30" t="s">
        <v>2986</v>
      </c>
      <c r="I27" s="201"/>
    </row>
    <row r="28" spans="2:9" x14ac:dyDescent="0.2">
      <c r="B28" s="202" t="str">
        <f t="shared" si="0"/>
        <v>2026-045-0</v>
      </c>
      <c r="C28" s="203">
        <v>2026</v>
      </c>
      <c r="D28" s="204" t="s">
        <v>76</v>
      </c>
      <c r="E28" s="203">
        <v>0</v>
      </c>
      <c r="F28" s="36" t="s">
        <v>2355</v>
      </c>
      <c r="G28" s="203"/>
      <c r="H28" s="36" t="s">
        <v>3580</v>
      </c>
      <c r="I28" s="190"/>
    </row>
    <row r="29" spans="2:9" ht="27" x14ac:dyDescent="0.2">
      <c r="B29" s="194" t="str">
        <f t="shared" si="0"/>
        <v>2026-045-1</v>
      </c>
      <c r="C29" s="195">
        <v>2026</v>
      </c>
      <c r="D29" s="196" t="s">
        <v>76</v>
      </c>
      <c r="E29" s="195">
        <v>1</v>
      </c>
      <c r="F29" s="24" t="s">
        <v>2445</v>
      </c>
      <c r="G29" s="195"/>
      <c r="H29" s="24" t="s">
        <v>2988</v>
      </c>
      <c r="I29" s="197" t="s">
        <v>3393</v>
      </c>
    </row>
    <row r="30" spans="2:9" x14ac:dyDescent="0.2">
      <c r="B30" s="194" t="str">
        <f t="shared" si="0"/>
        <v>2026-045-2</v>
      </c>
      <c r="C30" s="195">
        <v>2026</v>
      </c>
      <c r="D30" s="196" t="s">
        <v>76</v>
      </c>
      <c r="E30" s="195">
        <v>2</v>
      </c>
      <c r="F30" s="24" t="s">
        <v>2446</v>
      </c>
      <c r="G30" s="195"/>
      <c r="H30" s="24" t="s">
        <v>3394</v>
      </c>
      <c r="I30" s="197" t="s">
        <v>3395</v>
      </c>
    </row>
    <row r="31" spans="2:9" ht="27" x14ac:dyDescent="0.2">
      <c r="B31" s="194" t="str">
        <f t="shared" si="0"/>
        <v>2026-045-3</v>
      </c>
      <c r="C31" s="195">
        <v>2026</v>
      </c>
      <c r="D31" s="196" t="s">
        <v>76</v>
      </c>
      <c r="E31" s="195">
        <v>3</v>
      </c>
      <c r="F31" s="24" t="s">
        <v>2447</v>
      </c>
      <c r="G31" s="195" t="s">
        <v>3392</v>
      </c>
      <c r="H31" s="24" t="s">
        <v>2989</v>
      </c>
      <c r="I31" s="197"/>
    </row>
    <row r="32" spans="2:9" x14ac:dyDescent="0.2">
      <c r="B32" s="194" t="str">
        <f t="shared" si="0"/>
        <v>2026-045-4</v>
      </c>
      <c r="C32" s="195">
        <v>2026</v>
      </c>
      <c r="D32" s="196" t="s">
        <v>76</v>
      </c>
      <c r="E32" s="195">
        <v>4</v>
      </c>
      <c r="F32" s="24" t="s">
        <v>2448</v>
      </c>
      <c r="G32" s="195"/>
      <c r="H32" s="24" t="s">
        <v>2990</v>
      </c>
      <c r="I32" s="197" t="s">
        <v>3396</v>
      </c>
    </row>
    <row r="33" spans="2:9" ht="27" x14ac:dyDescent="0.2">
      <c r="B33" s="198" t="str">
        <f t="shared" si="0"/>
        <v>2026-045-5</v>
      </c>
      <c r="C33" s="199">
        <v>2026</v>
      </c>
      <c r="D33" s="200" t="s">
        <v>76</v>
      </c>
      <c r="E33" s="199">
        <v>5</v>
      </c>
      <c r="F33" s="30" t="s">
        <v>2449</v>
      </c>
      <c r="G33" s="199"/>
      <c r="H33" s="30" t="s">
        <v>2991</v>
      </c>
      <c r="I33" s="201" t="s">
        <v>3397</v>
      </c>
    </row>
    <row r="34" spans="2:9" ht="81" x14ac:dyDescent="0.2">
      <c r="B34" s="202" t="str">
        <f t="shared" si="0"/>
        <v>2026-046-0</v>
      </c>
      <c r="C34" s="203">
        <v>2026</v>
      </c>
      <c r="D34" s="204" t="s">
        <v>77</v>
      </c>
      <c r="E34" s="203">
        <v>0</v>
      </c>
      <c r="F34" s="36" t="s">
        <v>2828</v>
      </c>
      <c r="G34" s="203"/>
      <c r="H34" s="36" t="s">
        <v>3581</v>
      </c>
      <c r="I34" s="190" t="s">
        <v>3398</v>
      </c>
    </row>
    <row r="35" spans="2:9" x14ac:dyDescent="0.2">
      <c r="B35" s="194" t="str">
        <f t="shared" si="0"/>
        <v>2026-046-1</v>
      </c>
      <c r="C35" s="195">
        <v>2026</v>
      </c>
      <c r="D35" s="196" t="s">
        <v>77</v>
      </c>
      <c r="E35" s="195">
        <v>1</v>
      </c>
      <c r="F35" s="24" t="s">
        <v>2450</v>
      </c>
      <c r="G35" s="195"/>
      <c r="H35" s="24"/>
      <c r="I35" s="197"/>
    </row>
    <row r="36" spans="2:9" x14ac:dyDescent="0.2">
      <c r="B36" s="194" t="str">
        <f t="shared" si="0"/>
        <v>2026-046-2</v>
      </c>
      <c r="C36" s="195">
        <v>2026</v>
      </c>
      <c r="D36" s="196" t="s">
        <v>77</v>
      </c>
      <c r="E36" s="195">
        <v>2</v>
      </c>
      <c r="F36" s="24" t="s">
        <v>2451</v>
      </c>
      <c r="G36" s="195"/>
      <c r="H36" s="24"/>
      <c r="I36" s="197"/>
    </row>
    <row r="37" spans="2:9" x14ac:dyDescent="0.2">
      <c r="B37" s="194" t="str">
        <f t="shared" si="0"/>
        <v>2026-046-3</v>
      </c>
      <c r="C37" s="195">
        <v>2026</v>
      </c>
      <c r="D37" s="196" t="s">
        <v>77</v>
      </c>
      <c r="E37" s="195">
        <v>3</v>
      </c>
      <c r="F37" s="24" t="s">
        <v>2452</v>
      </c>
      <c r="G37" s="195"/>
      <c r="H37" s="24"/>
      <c r="I37" s="197"/>
    </row>
    <row r="38" spans="2:9" x14ac:dyDescent="0.2">
      <c r="B38" s="194" t="str">
        <f t="shared" si="0"/>
        <v>2026-046-4</v>
      </c>
      <c r="C38" s="195">
        <v>2026</v>
      </c>
      <c r="D38" s="196" t="s">
        <v>77</v>
      </c>
      <c r="E38" s="195">
        <v>4</v>
      </c>
      <c r="F38" s="24" t="s">
        <v>2453</v>
      </c>
      <c r="G38" s="195"/>
      <c r="H38" s="24"/>
      <c r="I38" s="197"/>
    </row>
    <row r="39" spans="2:9" x14ac:dyDescent="0.2">
      <c r="B39" s="198" t="str">
        <f t="shared" si="0"/>
        <v>2026-046-5</v>
      </c>
      <c r="C39" s="199">
        <v>2026</v>
      </c>
      <c r="D39" s="200" t="s">
        <v>77</v>
      </c>
      <c r="E39" s="199">
        <v>5</v>
      </c>
      <c r="F39" s="30" t="s">
        <v>2454</v>
      </c>
      <c r="G39" s="199" t="s">
        <v>3392</v>
      </c>
      <c r="H39" s="30"/>
      <c r="I39" s="201"/>
    </row>
    <row r="40" spans="2:9" x14ac:dyDescent="0.2">
      <c r="B40" s="202" t="str">
        <f t="shared" si="0"/>
        <v>2026-047-0</v>
      </c>
      <c r="C40" s="203">
        <v>2026</v>
      </c>
      <c r="D40" s="204" t="s">
        <v>78</v>
      </c>
      <c r="E40" s="203">
        <v>0</v>
      </c>
      <c r="F40" s="36" t="s">
        <v>2356</v>
      </c>
      <c r="G40" s="203"/>
      <c r="H40" s="36" t="s">
        <v>3580</v>
      </c>
      <c r="I40" s="190"/>
    </row>
    <row r="41" spans="2:9" ht="27" x14ac:dyDescent="0.2">
      <c r="B41" s="194" t="str">
        <f t="shared" si="0"/>
        <v>2026-047-1</v>
      </c>
      <c r="C41" s="195">
        <v>2026</v>
      </c>
      <c r="D41" s="196" t="s">
        <v>78</v>
      </c>
      <c r="E41" s="195">
        <v>1</v>
      </c>
      <c r="F41" s="24" t="s">
        <v>2455</v>
      </c>
      <c r="G41" s="195"/>
      <c r="H41" s="24" t="s">
        <v>3399</v>
      </c>
      <c r="I41" s="197"/>
    </row>
    <row r="42" spans="2:9" x14ac:dyDescent="0.2">
      <c r="B42" s="194" t="str">
        <f t="shared" si="0"/>
        <v>2026-047-2</v>
      </c>
      <c r="C42" s="195">
        <v>2026</v>
      </c>
      <c r="D42" s="196" t="s">
        <v>78</v>
      </c>
      <c r="E42" s="195">
        <v>2</v>
      </c>
      <c r="F42" s="24" t="s">
        <v>2456</v>
      </c>
      <c r="G42" s="195" t="s">
        <v>3392</v>
      </c>
      <c r="H42" s="24" t="s">
        <v>3400</v>
      </c>
      <c r="I42" s="197" t="s">
        <v>3410</v>
      </c>
    </row>
    <row r="43" spans="2:9" ht="27" x14ac:dyDescent="0.2">
      <c r="B43" s="194" t="str">
        <f t="shared" si="0"/>
        <v>2026-047-3</v>
      </c>
      <c r="C43" s="195">
        <v>2026</v>
      </c>
      <c r="D43" s="196" t="s">
        <v>78</v>
      </c>
      <c r="E43" s="195">
        <v>3</v>
      </c>
      <c r="F43" s="24" t="s">
        <v>2457</v>
      </c>
      <c r="G43" s="195"/>
      <c r="H43" s="24" t="s">
        <v>3401</v>
      </c>
      <c r="I43" s="197"/>
    </row>
    <row r="44" spans="2:9" x14ac:dyDescent="0.2">
      <c r="B44" s="194" t="str">
        <f t="shared" si="0"/>
        <v>2026-047-4</v>
      </c>
      <c r="C44" s="195">
        <v>2026</v>
      </c>
      <c r="D44" s="196" t="s">
        <v>78</v>
      </c>
      <c r="E44" s="195">
        <v>4</v>
      </c>
      <c r="F44" s="24" t="s">
        <v>2458</v>
      </c>
      <c r="G44" s="195"/>
      <c r="H44" s="24" t="s">
        <v>3402</v>
      </c>
      <c r="I44" s="197"/>
    </row>
    <row r="45" spans="2:9" ht="27" x14ac:dyDescent="0.2">
      <c r="B45" s="198" t="str">
        <f t="shared" si="0"/>
        <v>2026-047-5</v>
      </c>
      <c r="C45" s="199">
        <v>2026</v>
      </c>
      <c r="D45" s="200" t="s">
        <v>78</v>
      </c>
      <c r="E45" s="199">
        <v>5</v>
      </c>
      <c r="F45" s="30" t="s">
        <v>2459</v>
      </c>
      <c r="G45" s="199"/>
      <c r="H45" s="30" t="s">
        <v>3403</v>
      </c>
      <c r="I45" s="201"/>
    </row>
    <row r="46" spans="2:9" x14ac:dyDescent="0.2">
      <c r="B46" s="202" t="str">
        <f t="shared" si="0"/>
        <v>2026-048-0</v>
      </c>
      <c r="C46" s="203">
        <v>2026</v>
      </c>
      <c r="D46" s="204" t="s">
        <v>79</v>
      </c>
      <c r="E46" s="203">
        <v>0</v>
      </c>
      <c r="F46" s="36" t="s">
        <v>2357</v>
      </c>
      <c r="G46" s="203"/>
      <c r="H46" s="36" t="s">
        <v>3579</v>
      </c>
      <c r="I46" s="190"/>
    </row>
    <row r="47" spans="2:9" ht="27" x14ac:dyDescent="0.2">
      <c r="B47" s="194" t="str">
        <f t="shared" si="0"/>
        <v>2026-048-1</v>
      </c>
      <c r="C47" s="195">
        <v>2026</v>
      </c>
      <c r="D47" s="196" t="s">
        <v>79</v>
      </c>
      <c r="E47" s="195">
        <v>1</v>
      </c>
      <c r="F47" s="24" t="s">
        <v>2460</v>
      </c>
      <c r="G47" s="195"/>
      <c r="H47" s="24" t="s">
        <v>3404</v>
      </c>
      <c r="I47" s="197" t="s">
        <v>3409</v>
      </c>
    </row>
    <row r="48" spans="2:9" ht="27" x14ac:dyDescent="0.2">
      <c r="B48" s="194" t="str">
        <f t="shared" si="0"/>
        <v>2026-048-2</v>
      </c>
      <c r="C48" s="195">
        <v>2026</v>
      </c>
      <c r="D48" s="196" t="s">
        <v>79</v>
      </c>
      <c r="E48" s="195">
        <v>2</v>
      </c>
      <c r="F48" s="24" t="s">
        <v>2461</v>
      </c>
      <c r="G48" s="195" t="s">
        <v>3392</v>
      </c>
      <c r="H48" s="24" t="s">
        <v>3405</v>
      </c>
      <c r="I48" s="197"/>
    </row>
    <row r="49" spans="2:9" ht="27" x14ac:dyDescent="0.2">
      <c r="B49" s="194" t="str">
        <f t="shared" si="0"/>
        <v>2026-048-3</v>
      </c>
      <c r="C49" s="195">
        <v>2026</v>
      </c>
      <c r="D49" s="196" t="s">
        <v>79</v>
      </c>
      <c r="E49" s="195">
        <v>3</v>
      </c>
      <c r="F49" s="24" t="s">
        <v>2462</v>
      </c>
      <c r="G49" s="195"/>
      <c r="H49" s="24" t="s">
        <v>3406</v>
      </c>
      <c r="I49" s="197" t="s">
        <v>3411</v>
      </c>
    </row>
    <row r="50" spans="2:9" ht="27" x14ac:dyDescent="0.2">
      <c r="B50" s="194" t="str">
        <f t="shared" si="0"/>
        <v>2026-048-4</v>
      </c>
      <c r="C50" s="195">
        <v>2026</v>
      </c>
      <c r="D50" s="196" t="s">
        <v>79</v>
      </c>
      <c r="E50" s="195">
        <v>4</v>
      </c>
      <c r="F50" s="24" t="s">
        <v>2463</v>
      </c>
      <c r="G50" s="195"/>
      <c r="H50" s="24" t="s">
        <v>3407</v>
      </c>
      <c r="I50" s="197" t="s">
        <v>3412</v>
      </c>
    </row>
    <row r="51" spans="2:9" x14ac:dyDescent="0.2">
      <c r="B51" s="198" t="str">
        <f t="shared" si="0"/>
        <v>2026-048-5</v>
      </c>
      <c r="C51" s="199">
        <v>2026</v>
      </c>
      <c r="D51" s="200" t="s">
        <v>79</v>
      </c>
      <c r="E51" s="199">
        <v>5</v>
      </c>
      <c r="F51" s="30" t="s">
        <v>2464</v>
      </c>
      <c r="G51" s="199"/>
      <c r="H51" s="30" t="s">
        <v>3408</v>
      </c>
      <c r="I51" s="201" t="s">
        <v>3413</v>
      </c>
    </row>
    <row r="52" spans="2:9" x14ac:dyDescent="0.2">
      <c r="B52" s="202" t="str">
        <f t="shared" si="0"/>
        <v>2026-049-0</v>
      </c>
      <c r="C52" s="203">
        <v>2026</v>
      </c>
      <c r="D52" s="204" t="s">
        <v>80</v>
      </c>
      <c r="E52" s="203">
        <v>0</v>
      </c>
      <c r="F52" s="36" t="s">
        <v>2358</v>
      </c>
      <c r="G52" s="203"/>
      <c r="H52" s="36" t="s">
        <v>3580</v>
      </c>
      <c r="I52" s="190"/>
    </row>
    <row r="53" spans="2:9" ht="27" x14ac:dyDescent="0.2">
      <c r="B53" s="194" t="str">
        <f t="shared" si="0"/>
        <v>2026-049-1</v>
      </c>
      <c r="C53" s="195">
        <v>2026</v>
      </c>
      <c r="D53" s="196" t="s">
        <v>80</v>
      </c>
      <c r="E53" s="195">
        <v>1</v>
      </c>
      <c r="F53" s="24" t="s">
        <v>2465</v>
      </c>
      <c r="G53" s="195"/>
      <c r="H53" s="24" t="s">
        <v>3414</v>
      </c>
      <c r="I53" s="197"/>
    </row>
    <row r="54" spans="2:9" ht="27" x14ac:dyDescent="0.2">
      <c r="B54" s="194" t="str">
        <f t="shared" si="0"/>
        <v>2026-049-2</v>
      </c>
      <c r="C54" s="195">
        <v>2026</v>
      </c>
      <c r="D54" s="196" t="s">
        <v>80</v>
      </c>
      <c r="E54" s="195">
        <v>2</v>
      </c>
      <c r="F54" s="24" t="s">
        <v>2466</v>
      </c>
      <c r="G54" s="195"/>
      <c r="H54" s="24" t="s">
        <v>3415</v>
      </c>
      <c r="I54" s="197"/>
    </row>
    <row r="55" spans="2:9" ht="27" x14ac:dyDescent="0.2">
      <c r="B55" s="194" t="str">
        <f t="shared" si="0"/>
        <v>2026-049-3</v>
      </c>
      <c r="C55" s="195">
        <v>2026</v>
      </c>
      <c r="D55" s="196" t="s">
        <v>80</v>
      </c>
      <c r="E55" s="195">
        <v>3</v>
      </c>
      <c r="F55" s="24" t="s">
        <v>2778</v>
      </c>
      <c r="G55" s="195" t="s">
        <v>3392</v>
      </c>
      <c r="H55" s="24" t="s">
        <v>3416</v>
      </c>
      <c r="I55" s="197" t="s">
        <v>3419</v>
      </c>
    </row>
    <row r="56" spans="2:9" ht="27" x14ac:dyDescent="0.2">
      <c r="B56" s="194" t="str">
        <f t="shared" si="0"/>
        <v>2026-049-4</v>
      </c>
      <c r="C56" s="195">
        <v>2026</v>
      </c>
      <c r="D56" s="196" t="s">
        <v>80</v>
      </c>
      <c r="E56" s="195">
        <v>4</v>
      </c>
      <c r="F56" s="24" t="s">
        <v>2467</v>
      </c>
      <c r="G56" s="195"/>
      <c r="H56" s="24" t="s">
        <v>3417</v>
      </c>
      <c r="I56" s="197"/>
    </row>
    <row r="57" spans="2:9" x14ac:dyDescent="0.2">
      <c r="B57" s="198" t="str">
        <f t="shared" si="0"/>
        <v>2026-049-5</v>
      </c>
      <c r="C57" s="199">
        <v>2026</v>
      </c>
      <c r="D57" s="200" t="s">
        <v>80</v>
      </c>
      <c r="E57" s="199">
        <v>5</v>
      </c>
      <c r="F57" s="30" t="s">
        <v>2468</v>
      </c>
      <c r="G57" s="199"/>
      <c r="H57" s="30" t="s">
        <v>3418</v>
      </c>
      <c r="I57" s="201"/>
    </row>
    <row r="58" spans="2:9" x14ac:dyDescent="0.2">
      <c r="B58" s="202" t="str">
        <f t="shared" si="0"/>
        <v>2026-050-0</v>
      </c>
      <c r="C58" s="203">
        <v>2026</v>
      </c>
      <c r="D58" s="204" t="s">
        <v>81</v>
      </c>
      <c r="E58" s="203">
        <v>0</v>
      </c>
      <c r="F58" s="36" t="s">
        <v>2359</v>
      </c>
      <c r="G58" s="203"/>
      <c r="H58" s="36" t="s">
        <v>3582</v>
      </c>
      <c r="I58" s="190"/>
    </row>
    <row r="59" spans="2:9" ht="27" x14ac:dyDescent="0.2">
      <c r="B59" s="194" t="str">
        <f t="shared" si="0"/>
        <v>2026-050-1</v>
      </c>
      <c r="C59" s="195">
        <v>2026</v>
      </c>
      <c r="D59" s="196" t="s">
        <v>81</v>
      </c>
      <c r="E59" s="195">
        <v>1</v>
      </c>
      <c r="F59" s="24" t="s">
        <v>2469</v>
      </c>
      <c r="G59" s="195"/>
      <c r="H59" s="24" t="s">
        <v>3420</v>
      </c>
      <c r="I59" s="197"/>
    </row>
    <row r="60" spans="2:9" ht="27" x14ac:dyDescent="0.2">
      <c r="B60" s="194" t="str">
        <f t="shared" si="0"/>
        <v>2026-050-2</v>
      </c>
      <c r="C60" s="195">
        <v>2026</v>
      </c>
      <c r="D60" s="196" t="s">
        <v>81</v>
      </c>
      <c r="E60" s="195">
        <v>2</v>
      </c>
      <c r="F60" s="24" t="s">
        <v>2470</v>
      </c>
      <c r="G60" s="195"/>
      <c r="H60" s="24" t="s">
        <v>3421</v>
      </c>
      <c r="I60" s="197"/>
    </row>
    <row r="61" spans="2:9" ht="27" x14ac:dyDescent="0.2">
      <c r="B61" s="194" t="str">
        <f t="shared" si="0"/>
        <v>2026-050-3</v>
      </c>
      <c r="C61" s="195">
        <v>2026</v>
      </c>
      <c r="D61" s="196" t="s">
        <v>81</v>
      </c>
      <c r="E61" s="195">
        <v>3</v>
      </c>
      <c r="F61" s="24" t="s">
        <v>2471</v>
      </c>
      <c r="G61" s="195"/>
      <c r="H61" s="24" t="s">
        <v>3422</v>
      </c>
      <c r="I61" s="197"/>
    </row>
    <row r="62" spans="2:9" ht="27" x14ac:dyDescent="0.2">
      <c r="B62" s="194" t="str">
        <f t="shared" si="0"/>
        <v>2026-050-4</v>
      </c>
      <c r="C62" s="195">
        <v>2026</v>
      </c>
      <c r="D62" s="196" t="s">
        <v>81</v>
      </c>
      <c r="E62" s="195">
        <v>4</v>
      </c>
      <c r="F62" s="24" t="s">
        <v>2779</v>
      </c>
      <c r="G62" s="195"/>
      <c r="H62" s="24" t="s">
        <v>3423</v>
      </c>
      <c r="I62" s="197"/>
    </row>
    <row r="63" spans="2:9" ht="27" x14ac:dyDescent="0.2">
      <c r="B63" s="198" t="str">
        <f t="shared" si="0"/>
        <v>2026-050-5</v>
      </c>
      <c r="C63" s="199">
        <v>2026</v>
      </c>
      <c r="D63" s="200" t="s">
        <v>81</v>
      </c>
      <c r="E63" s="199">
        <v>5</v>
      </c>
      <c r="F63" s="30" t="s">
        <v>2472</v>
      </c>
      <c r="G63" s="199" t="s">
        <v>3392</v>
      </c>
      <c r="H63" s="30" t="s">
        <v>3424</v>
      </c>
      <c r="I63" s="201" t="s">
        <v>3621</v>
      </c>
    </row>
    <row r="64" spans="2:9" ht="27" x14ac:dyDescent="0.2">
      <c r="B64" s="202" t="str">
        <f t="shared" si="0"/>
        <v>2026-051-0</v>
      </c>
      <c r="C64" s="203">
        <v>2026</v>
      </c>
      <c r="D64" s="204" t="s">
        <v>82</v>
      </c>
      <c r="E64" s="203">
        <v>0</v>
      </c>
      <c r="F64" s="36" t="s">
        <v>2360</v>
      </c>
      <c r="G64" s="203"/>
      <c r="H64" s="36" t="s">
        <v>3582</v>
      </c>
      <c r="I64" s="190"/>
    </row>
    <row r="65" spans="2:9" x14ac:dyDescent="0.2">
      <c r="B65" s="194" t="str">
        <f t="shared" si="0"/>
        <v>2026-051-1</v>
      </c>
      <c r="C65" s="195">
        <v>2026</v>
      </c>
      <c r="D65" s="196" t="s">
        <v>82</v>
      </c>
      <c r="E65" s="195">
        <v>1</v>
      </c>
      <c r="F65" s="24" t="s">
        <v>2473</v>
      </c>
      <c r="G65" s="195"/>
      <c r="H65" s="24" t="s">
        <v>3425</v>
      </c>
      <c r="I65" s="197"/>
    </row>
    <row r="66" spans="2:9" ht="27" x14ac:dyDescent="0.2">
      <c r="B66" s="194" t="str">
        <f t="shared" si="0"/>
        <v>2026-051-2</v>
      </c>
      <c r="C66" s="195">
        <v>2026</v>
      </c>
      <c r="D66" s="196" t="s">
        <v>82</v>
      </c>
      <c r="E66" s="195">
        <v>2</v>
      </c>
      <c r="F66" s="24" t="s">
        <v>2474</v>
      </c>
      <c r="G66" s="195" t="s">
        <v>3392</v>
      </c>
      <c r="H66" s="24" t="s">
        <v>3426</v>
      </c>
      <c r="I66" s="197" t="s">
        <v>3428</v>
      </c>
    </row>
    <row r="67" spans="2:9" ht="27" x14ac:dyDescent="0.2">
      <c r="B67" s="194" t="str">
        <f t="shared" si="0"/>
        <v>2026-051-3</v>
      </c>
      <c r="C67" s="195">
        <v>2026</v>
      </c>
      <c r="D67" s="196" t="s">
        <v>82</v>
      </c>
      <c r="E67" s="195">
        <v>3</v>
      </c>
      <c r="F67" s="24" t="s">
        <v>2475</v>
      </c>
      <c r="G67" s="195"/>
      <c r="H67" s="24" t="s">
        <v>3427</v>
      </c>
      <c r="I67" s="197"/>
    </row>
    <row r="68" spans="2:9" ht="27" x14ac:dyDescent="0.2">
      <c r="B68" s="194" t="str">
        <f t="shared" si="0"/>
        <v>2026-051-4</v>
      </c>
      <c r="C68" s="195">
        <v>2026</v>
      </c>
      <c r="D68" s="196" t="s">
        <v>82</v>
      </c>
      <c r="E68" s="195">
        <v>4</v>
      </c>
      <c r="F68" s="24" t="s">
        <v>2476</v>
      </c>
      <c r="G68" s="195"/>
      <c r="H68" s="24" t="s">
        <v>3429</v>
      </c>
      <c r="I68" s="197"/>
    </row>
    <row r="69" spans="2:9" ht="27" x14ac:dyDescent="0.2">
      <c r="B69" s="198" t="str">
        <f t="shared" si="0"/>
        <v>2026-051-5</v>
      </c>
      <c r="C69" s="199">
        <v>2026</v>
      </c>
      <c r="D69" s="200" t="s">
        <v>82</v>
      </c>
      <c r="E69" s="199">
        <v>5</v>
      </c>
      <c r="F69" s="30" t="s">
        <v>2477</v>
      </c>
      <c r="G69" s="199"/>
      <c r="H69" s="30" t="s">
        <v>3463</v>
      </c>
      <c r="I69" s="201"/>
    </row>
    <row r="70" spans="2:9" x14ac:dyDescent="0.2">
      <c r="B70" s="202" t="str">
        <f t="shared" si="0"/>
        <v>2026-052-0</v>
      </c>
      <c r="C70" s="203">
        <v>2026</v>
      </c>
      <c r="D70" s="204" t="s">
        <v>83</v>
      </c>
      <c r="E70" s="203">
        <v>0</v>
      </c>
      <c r="F70" s="36" t="s">
        <v>2361</v>
      </c>
      <c r="G70" s="203"/>
      <c r="H70" s="36" t="s">
        <v>3582</v>
      </c>
      <c r="I70" s="190"/>
    </row>
    <row r="71" spans="2:9" x14ac:dyDescent="0.2">
      <c r="B71" s="194" t="str">
        <f t="shared" si="0"/>
        <v>2026-052-1</v>
      </c>
      <c r="C71" s="195">
        <v>2026</v>
      </c>
      <c r="D71" s="196" t="s">
        <v>83</v>
      </c>
      <c r="E71" s="195">
        <v>1</v>
      </c>
      <c r="F71" s="24" t="s">
        <v>2478</v>
      </c>
      <c r="G71" s="195"/>
      <c r="H71" s="24" t="s">
        <v>3434</v>
      </c>
      <c r="I71" s="197"/>
    </row>
    <row r="72" spans="2:9" x14ac:dyDescent="0.2">
      <c r="B72" s="194" t="str">
        <f t="shared" si="0"/>
        <v>2026-052-2</v>
      </c>
      <c r="C72" s="195">
        <v>2026</v>
      </c>
      <c r="D72" s="196" t="s">
        <v>83</v>
      </c>
      <c r="E72" s="195">
        <v>2</v>
      </c>
      <c r="F72" s="24" t="s">
        <v>2479</v>
      </c>
      <c r="G72" s="195"/>
      <c r="H72" s="24" t="s">
        <v>3430</v>
      </c>
      <c r="I72" s="197"/>
    </row>
    <row r="73" spans="2:9" x14ac:dyDescent="0.2">
      <c r="B73" s="194" t="str">
        <f t="shared" si="0"/>
        <v>2026-052-3</v>
      </c>
      <c r="C73" s="195">
        <v>2026</v>
      </c>
      <c r="D73" s="196" t="s">
        <v>83</v>
      </c>
      <c r="E73" s="195">
        <v>3</v>
      </c>
      <c r="F73" s="24" t="s">
        <v>2480</v>
      </c>
      <c r="G73" s="195"/>
      <c r="H73" s="24" t="s">
        <v>3431</v>
      </c>
      <c r="I73" s="197"/>
    </row>
    <row r="74" spans="2:9" ht="27" x14ac:dyDescent="0.2">
      <c r="B74" s="194" t="str">
        <f t="shared" si="0"/>
        <v>2026-052-4</v>
      </c>
      <c r="C74" s="195">
        <v>2026</v>
      </c>
      <c r="D74" s="196" t="s">
        <v>83</v>
      </c>
      <c r="E74" s="195">
        <v>4</v>
      </c>
      <c r="F74" s="24" t="s">
        <v>2481</v>
      </c>
      <c r="G74" s="195"/>
      <c r="H74" s="24" t="s">
        <v>3432</v>
      </c>
      <c r="I74" s="197"/>
    </row>
    <row r="75" spans="2:9" ht="27" x14ac:dyDescent="0.2">
      <c r="B75" s="198" t="str">
        <f t="shared" si="0"/>
        <v>2026-052-5</v>
      </c>
      <c r="C75" s="199">
        <v>2026</v>
      </c>
      <c r="D75" s="200" t="s">
        <v>83</v>
      </c>
      <c r="E75" s="199">
        <v>5</v>
      </c>
      <c r="F75" s="30" t="s">
        <v>2482</v>
      </c>
      <c r="G75" s="199" t="s">
        <v>3392</v>
      </c>
      <c r="H75" s="30" t="s">
        <v>3433</v>
      </c>
      <c r="I75" s="201" t="s">
        <v>3622</v>
      </c>
    </row>
    <row r="76" spans="2:9" x14ac:dyDescent="0.2">
      <c r="B76" s="202" t="str">
        <f t="shared" si="0"/>
        <v>2026-053-0</v>
      </c>
      <c r="C76" s="203">
        <v>2026</v>
      </c>
      <c r="D76" s="204" t="s">
        <v>84</v>
      </c>
      <c r="E76" s="203">
        <v>0</v>
      </c>
      <c r="F76" s="36" t="s">
        <v>2362</v>
      </c>
      <c r="G76" s="203"/>
      <c r="H76" s="36" t="s">
        <v>3583</v>
      </c>
      <c r="I76" s="190"/>
    </row>
    <row r="77" spans="2:9" x14ac:dyDescent="0.2">
      <c r="B77" s="194" t="str">
        <f t="shared" si="0"/>
        <v>2026-053-1</v>
      </c>
      <c r="C77" s="195">
        <v>2026</v>
      </c>
      <c r="D77" s="196" t="s">
        <v>84</v>
      </c>
      <c r="E77" s="195">
        <v>1</v>
      </c>
      <c r="F77" s="24" t="s">
        <v>2483</v>
      </c>
      <c r="G77" s="195" t="s">
        <v>3392</v>
      </c>
      <c r="H77" s="24" t="s">
        <v>3435</v>
      </c>
      <c r="I77" s="197"/>
    </row>
    <row r="78" spans="2:9" x14ac:dyDescent="0.2">
      <c r="B78" s="194" t="str">
        <f t="shared" si="0"/>
        <v>2026-053-2</v>
      </c>
      <c r="C78" s="195">
        <v>2026</v>
      </c>
      <c r="D78" s="196" t="s">
        <v>84</v>
      </c>
      <c r="E78" s="195">
        <v>2</v>
      </c>
      <c r="F78" s="24" t="s">
        <v>2484</v>
      </c>
      <c r="G78" s="195"/>
      <c r="H78" s="24" t="s">
        <v>3436</v>
      </c>
      <c r="I78" s="197" t="s">
        <v>3440</v>
      </c>
    </row>
    <row r="79" spans="2:9" x14ac:dyDescent="0.2">
      <c r="B79" s="194" t="str">
        <f t="shared" si="0"/>
        <v>2026-053-3</v>
      </c>
      <c r="C79" s="195">
        <v>2026</v>
      </c>
      <c r="D79" s="196" t="s">
        <v>84</v>
      </c>
      <c r="E79" s="195">
        <v>3</v>
      </c>
      <c r="F79" s="24" t="s">
        <v>2485</v>
      </c>
      <c r="G79" s="195"/>
      <c r="H79" s="24" t="s">
        <v>3437</v>
      </c>
      <c r="I79" s="197"/>
    </row>
    <row r="80" spans="2:9" x14ac:dyDescent="0.2">
      <c r="B80" s="194" t="str">
        <f t="shared" si="0"/>
        <v>2026-053-4</v>
      </c>
      <c r="C80" s="195">
        <v>2026</v>
      </c>
      <c r="D80" s="196" t="s">
        <v>84</v>
      </c>
      <c r="E80" s="195">
        <v>4</v>
      </c>
      <c r="F80" s="24" t="s">
        <v>2486</v>
      </c>
      <c r="G80" s="195"/>
      <c r="H80" s="24" t="s">
        <v>3438</v>
      </c>
      <c r="I80" s="197"/>
    </row>
    <row r="81" spans="2:9" x14ac:dyDescent="0.2">
      <c r="B81" s="198" t="str">
        <f t="shared" si="0"/>
        <v>2026-053-5</v>
      </c>
      <c r="C81" s="199">
        <v>2026</v>
      </c>
      <c r="D81" s="200" t="s">
        <v>84</v>
      </c>
      <c r="E81" s="199">
        <v>5</v>
      </c>
      <c r="F81" s="30" t="s">
        <v>2487</v>
      </c>
      <c r="G81" s="199"/>
      <c r="H81" s="30" t="s">
        <v>3439</v>
      </c>
      <c r="I81" s="201"/>
    </row>
    <row r="82" spans="2:9" x14ac:dyDescent="0.2">
      <c r="B82" s="202" t="str">
        <f t="shared" si="0"/>
        <v>2026-054-0</v>
      </c>
      <c r="C82" s="203">
        <v>2026</v>
      </c>
      <c r="D82" s="204" t="s">
        <v>85</v>
      </c>
      <c r="E82" s="203">
        <v>0</v>
      </c>
      <c r="F82" s="36" t="s">
        <v>2363</v>
      </c>
      <c r="G82" s="203"/>
      <c r="H82" s="36" t="s">
        <v>3582</v>
      </c>
      <c r="I82" s="190"/>
    </row>
    <row r="83" spans="2:9" ht="27" x14ac:dyDescent="0.2">
      <c r="B83" s="194" t="str">
        <f t="shared" si="0"/>
        <v>2026-054-1</v>
      </c>
      <c r="C83" s="195">
        <v>2026</v>
      </c>
      <c r="D83" s="196" t="s">
        <v>85</v>
      </c>
      <c r="E83" s="195">
        <v>1</v>
      </c>
      <c r="F83" s="24" t="s">
        <v>2488</v>
      </c>
      <c r="G83" s="195" t="s">
        <v>3392</v>
      </c>
      <c r="H83" s="24" t="s">
        <v>3441</v>
      </c>
      <c r="I83" s="197"/>
    </row>
    <row r="84" spans="2:9" ht="27" x14ac:dyDescent="0.2">
      <c r="B84" s="194" t="str">
        <f t="shared" si="0"/>
        <v>2026-054-2</v>
      </c>
      <c r="C84" s="195">
        <v>2026</v>
      </c>
      <c r="D84" s="196" t="s">
        <v>85</v>
      </c>
      <c r="E84" s="195">
        <v>2</v>
      </c>
      <c r="F84" s="24" t="s">
        <v>2489</v>
      </c>
      <c r="G84" s="195"/>
      <c r="H84" s="24" t="s">
        <v>3442</v>
      </c>
      <c r="I84" s="197" t="s">
        <v>3446</v>
      </c>
    </row>
    <row r="85" spans="2:9" ht="27" x14ac:dyDescent="0.2">
      <c r="B85" s="194" t="str">
        <f t="shared" si="0"/>
        <v>2026-054-3</v>
      </c>
      <c r="C85" s="195">
        <v>2026</v>
      </c>
      <c r="D85" s="196" t="s">
        <v>85</v>
      </c>
      <c r="E85" s="195">
        <v>3</v>
      </c>
      <c r="F85" s="24" t="s">
        <v>2490</v>
      </c>
      <c r="G85" s="195"/>
      <c r="H85" s="24" t="s">
        <v>3443</v>
      </c>
      <c r="I85" s="197" t="s">
        <v>3447</v>
      </c>
    </row>
    <row r="86" spans="2:9" x14ac:dyDescent="0.2">
      <c r="B86" s="194" t="str">
        <f t="shared" si="0"/>
        <v>2026-054-4</v>
      </c>
      <c r="C86" s="195">
        <v>2026</v>
      </c>
      <c r="D86" s="196" t="s">
        <v>85</v>
      </c>
      <c r="E86" s="195">
        <v>4</v>
      </c>
      <c r="F86" s="24" t="s">
        <v>2491</v>
      </c>
      <c r="G86" s="195"/>
      <c r="H86" s="24" t="s">
        <v>3444</v>
      </c>
      <c r="I86" s="197" t="s">
        <v>3449</v>
      </c>
    </row>
    <row r="87" spans="2:9" ht="27" x14ac:dyDescent="0.2">
      <c r="B87" s="198" t="str">
        <f t="shared" si="0"/>
        <v>2026-054-5</v>
      </c>
      <c r="C87" s="199">
        <v>2026</v>
      </c>
      <c r="D87" s="200" t="s">
        <v>85</v>
      </c>
      <c r="E87" s="199">
        <v>5</v>
      </c>
      <c r="F87" s="30" t="s">
        <v>2492</v>
      </c>
      <c r="G87" s="199"/>
      <c r="H87" s="209" t="s">
        <v>3445</v>
      </c>
      <c r="I87" s="201" t="s">
        <v>3623</v>
      </c>
    </row>
    <row r="88" spans="2:9" x14ac:dyDescent="0.2">
      <c r="B88" s="202" t="str">
        <f t="shared" si="0"/>
        <v>2026-055-0</v>
      </c>
      <c r="C88" s="203">
        <v>2026</v>
      </c>
      <c r="D88" s="204" t="s">
        <v>86</v>
      </c>
      <c r="E88" s="203">
        <v>0</v>
      </c>
      <c r="F88" s="36" t="s">
        <v>2364</v>
      </c>
      <c r="G88" s="203"/>
      <c r="H88" s="36" t="s">
        <v>3583</v>
      </c>
      <c r="I88" s="190"/>
    </row>
    <row r="89" spans="2:9" x14ac:dyDescent="0.2">
      <c r="B89" s="194" t="str">
        <f t="shared" si="0"/>
        <v>2026-055-1</v>
      </c>
      <c r="C89" s="195">
        <v>2026</v>
      </c>
      <c r="D89" s="196" t="s">
        <v>86</v>
      </c>
      <c r="E89" s="195">
        <v>1</v>
      </c>
      <c r="F89" s="24" t="s">
        <v>2493</v>
      </c>
      <c r="G89" s="195"/>
      <c r="H89" s="24" t="s">
        <v>3450</v>
      </c>
      <c r="I89" s="197"/>
    </row>
    <row r="90" spans="2:9" x14ac:dyDescent="0.2">
      <c r="B90" s="194" t="str">
        <f t="shared" si="0"/>
        <v>2026-055-2</v>
      </c>
      <c r="C90" s="195">
        <v>2026</v>
      </c>
      <c r="D90" s="196" t="s">
        <v>86</v>
      </c>
      <c r="E90" s="195">
        <v>2</v>
      </c>
      <c r="F90" s="24" t="s">
        <v>2494</v>
      </c>
      <c r="G90" s="195"/>
      <c r="H90" s="24" t="s">
        <v>3451</v>
      </c>
      <c r="I90" s="197"/>
    </row>
    <row r="91" spans="2:9" ht="27" x14ac:dyDescent="0.2">
      <c r="B91" s="194" t="str">
        <f t="shared" si="0"/>
        <v>2026-055-3</v>
      </c>
      <c r="C91" s="195">
        <v>2026</v>
      </c>
      <c r="D91" s="196" t="s">
        <v>86</v>
      </c>
      <c r="E91" s="195">
        <v>3</v>
      </c>
      <c r="F91" s="24" t="s">
        <v>2495</v>
      </c>
      <c r="G91" s="195"/>
      <c r="H91" s="24" t="s">
        <v>3452</v>
      </c>
      <c r="I91" s="197"/>
    </row>
    <row r="92" spans="2:9" ht="40.5" x14ac:dyDescent="0.2">
      <c r="B92" s="194" t="str">
        <f t="shared" si="0"/>
        <v>2026-055-4</v>
      </c>
      <c r="C92" s="195">
        <v>2026</v>
      </c>
      <c r="D92" s="196" t="s">
        <v>86</v>
      </c>
      <c r="E92" s="195">
        <v>4</v>
      </c>
      <c r="F92" s="24" t="s">
        <v>2780</v>
      </c>
      <c r="G92" s="195" t="s">
        <v>3392</v>
      </c>
      <c r="H92" s="24" t="s">
        <v>3453</v>
      </c>
      <c r="I92" s="197" t="s">
        <v>3624</v>
      </c>
    </row>
    <row r="93" spans="2:9" ht="27" x14ac:dyDescent="0.2">
      <c r="B93" s="198" t="str">
        <f t="shared" si="0"/>
        <v>2026-055-5</v>
      </c>
      <c r="C93" s="199">
        <v>2026</v>
      </c>
      <c r="D93" s="200" t="s">
        <v>86</v>
      </c>
      <c r="E93" s="199">
        <v>5</v>
      </c>
      <c r="F93" s="30" t="s">
        <v>2496</v>
      </c>
      <c r="G93" s="199"/>
      <c r="H93" s="30" t="s">
        <v>3454</v>
      </c>
      <c r="I93" s="201"/>
    </row>
    <row r="94" spans="2:9" x14ac:dyDescent="0.2">
      <c r="B94" s="202" t="str">
        <f t="shared" si="0"/>
        <v>2026-056-0</v>
      </c>
      <c r="C94" s="203">
        <v>2026</v>
      </c>
      <c r="D94" s="204" t="s">
        <v>87</v>
      </c>
      <c r="E94" s="203">
        <v>0</v>
      </c>
      <c r="F94" s="36" t="s">
        <v>2365</v>
      </c>
      <c r="G94" s="203"/>
      <c r="H94" s="36" t="s">
        <v>3582</v>
      </c>
      <c r="I94" s="190"/>
    </row>
    <row r="95" spans="2:9" ht="27" x14ac:dyDescent="0.2">
      <c r="B95" s="194" t="str">
        <f t="shared" si="0"/>
        <v>2026-056-1</v>
      </c>
      <c r="C95" s="195">
        <v>2026</v>
      </c>
      <c r="D95" s="196" t="s">
        <v>87</v>
      </c>
      <c r="E95" s="195">
        <v>1</v>
      </c>
      <c r="F95" s="24" t="s">
        <v>2497</v>
      </c>
      <c r="G95" s="195"/>
      <c r="H95" s="24" t="s">
        <v>3456</v>
      </c>
      <c r="I95" s="197"/>
    </row>
    <row r="96" spans="2:9" ht="27" x14ac:dyDescent="0.2">
      <c r="B96" s="194" t="str">
        <f t="shared" si="0"/>
        <v>2026-056-2</v>
      </c>
      <c r="C96" s="195">
        <v>2026</v>
      </c>
      <c r="D96" s="196" t="s">
        <v>87</v>
      </c>
      <c r="E96" s="195">
        <v>2</v>
      </c>
      <c r="F96" s="24" t="s">
        <v>2498</v>
      </c>
      <c r="G96" s="195"/>
      <c r="H96" s="24" t="s">
        <v>3455</v>
      </c>
      <c r="I96" s="197"/>
    </row>
    <row r="97" spans="2:9" ht="27" x14ac:dyDescent="0.2">
      <c r="B97" s="194" t="str">
        <f t="shared" si="0"/>
        <v>2026-056-3</v>
      </c>
      <c r="C97" s="195">
        <v>2026</v>
      </c>
      <c r="D97" s="196" t="s">
        <v>87</v>
      </c>
      <c r="E97" s="195">
        <v>3</v>
      </c>
      <c r="F97" s="24" t="s">
        <v>2499</v>
      </c>
      <c r="G97" s="195" t="s">
        <v>3392</v>
      </c>
      <c r="H97" s="24" t="s">
        <v>3455</v>
      </c>
      <c r="I97" s="197" t="s">
        <v>3459</v>
      </c>
    </row>
    <row r="98" spans="2:9" ht="27" x14ac:dyDescent="0.2">
      <c r="B98" s="194" t="str">
        <f t="shared" si="0"/>
        <v>2026-056-4</v>
      </c>
      <c r="C98" s="195">
        <v>2026</v>
      </c>
      <c r="D98" s="196" t="s">
        <v>87</v>
      </c>
      <c r="E98" s="195">
        <v>4</v>
      </c>
      <c r="F98" s="24" t="s">
        <v>2500</v>
      </c>
      <c r="G98" s="195"/>
      <c r="H98" s="24" t="s">
        <v>3457</v>
      </c>
      <c r="I98" s="197"/>
    </row>
    <row r="99" spans="2:9" ht="27" x14ac:dyDescent="0.2">
      <c r="B99" s="198" t="str">
        <f t="shared" si="0"/>
        <v>2026-056-5</v>
      </c>
      <c r="C99" s="199">
        <v>2026</v>
      </c>
      <c r="D99" s="200" t="s">
        <v>87</v>
      </c>
      <c r="E99" s="199">
        <v>5</v>
      </c>
      <c r="F99" s="30" t="s">
        <v>2501</v>
      </c>
      <c r="G99" s="199"/>
      <c r="H99" s="30" t="s">
        <v>3458</v>
      </c>
      <c r="I99" s="201"/>
    </row>
    <row r="100" spans="2:9" x14ac:dyDescent="0.2">
      <c r="B100" s="202" t="str">
        <f t="shared" si="0"/>
        <v>2026-057-0</v>
      </c>
      <c r="C100" s="203">
        <v>2026</v>
      </c>
      <c r="D100" s="204" t="s">
        <v>88</v>
      </c>
      <c r="E100" s="203">
        <v>0</v>
      </c>
      <c r="F100" s="36" t="s">
        <v>2366</v>
      </c>
      <c r="G100" s="203"/>
      <c r="H100" s="36" t="s">
        <v>3582</v>
      </c>
      <c r="I100" s="190"/>
    </row>
    <row r="101" spans="2:9" ht="27" x14ac:dyDescent="0.2">
      <c r="B101" s="194" t="str">
        <f t="shared" si="0"/>
        <v>2026-057-1</v>
      </c>
      <c r="C101" s="195">
        <v>2026</v>
      </c>
      <c r="D101" s="196" t="s">
        <v>88</v>
      </c>
      <c r="E101" s="195">
        <v>1</v>
      </c>
      <c r="F101" s="24" t="s">
        <v>2502</v>
      </c>
      <c r="G101" s="195"/>
      <c r="H101" s="24" t="s">
        <v>3460</v>
      </c>
      <c r="I101" s="197"/>
    </row>
    <row r="102" spans="2:9" ht="27" x14ac:dyDescent="0.2">
      <c r="B102" s="194" t="str">
        <f t="shared" si="0"/>
        <v>2026-057-2</v>
      </c>
      <c r="C102" s="195">
        <v>2026</v>
      </c>
      <c r="D102" s="196" t="s">
        <v>88</v>
      </c>
      <c r="E102" s="195">
        <v>2</v>
      </c>
      <c r="F102" s="24" t="s">
        <v>2503</v>
      </c>
      <c r="G102" s="195"/>
      <c r="H102" s="24" t="s">
        <v>3461</v>
      </c>
      <c r="I102" s="197"/>
    </row>
    <row r="103" spans="2:9" ht="27" x14ac:dyDescent="0.2">
      <c r="B103" s="194" t="str">
        <f t="shared" si="0"/>
        <v>2026-057-3</v>
      </c>
      <c r="C103" s="195">
        <v>2026</v>
      </c>
      <c r="D103" s="196" t="s">
        <v>88</v>
      </c>
      <c r="E103" s="195">
        <v>3</v>
      </c>
      <c r="F103" s="24" t="s">
        <v>2504</v>
      </c>
      <c r="G103" s="195"/>
      <c r="H103" s="24" t="s">
        <v>3462</v>
      </c>
      <c r="I103" s="197"/>
    </row>
    <row r="104" spans="2:9" ht="27" x14ac:dyDescent="0.2">
      <c r="B104" s="194" t="str">
        <f t="shared" si="0"/>
        <v>2026-057-4</v>
      </c>
      <c r="C104" s="195">
        <v>2026</v>
      </c>
      <c r="D104" s="196" t="s">
        <v>88</v>
      </c>
      <c r="E104" s="195">
        <v>4</v>
      </c>
      <c r="F104" s="24" t="s">
        <v>2505</v>
      </c>
      <c r="G104" s="195" t="s">
        <v>3392</v>
      </c>
      <c r="H104" s="24" t="s">
        <v>3464</v>
      </c>
      <c r="I104" s="197" t="s">
        <v>3466</v>
      </c>
    </row>
    <row r="105" spans="2:9" ht="27" x14ac:dyDescent="0.2">
      <c r="B105" s="198" t="str">
        <f t="shared" si="0"/>
        <v>2026-057-5</v>
      </c>
      <c r="C105" s="199">
        <v>2026</v>
      </c>
      <c r="D105" s="200" t="s">
        <v>88</v>
      </c>
      <c r="E105" s="199">
        <v>5</v>
      </c>
      <c r="F105" s="30" t="s">
        <v>2506</v>
      </c>
      <c r="G105" s="199"/>
      <c r="H105" s="30" t="s">
        <v>3465</v>
      </c>
      <c r="I105" s="201"/>
    </row>
    <row r="106" spans="2:9" x14ac:dyDescent="0.2">
      <c r="B106" s="202" t="str">
        <f t="shared" si="0"/>
        <v>2026-058-0</v>
      </c>
      <c r="C106" s="203">
        <v>2026</v>
      </c>
      <c r="D106" s="204" t="s">
        <v>89</v>
      </c>
      <c r="E106" s="203">
        <v>0</v>
      </c>
      <c r="F106" s="36" t="s">
        <v>2367</v>
      </c>
      <c r="G106" s="203"/>
      <c r="H106" s="36" t="s">
        <v>3584</v>
      </c>
      <c r="I106" s="190"/>
    </row>
    <row r="107" spans="2:9" x14ac:dyDescent="0.2">
      <c r="B107" s="194" t="str">
        <f t="shared" si="0"/>
        <v>2026-058-1</v>
      </c>
      <c r="C107" s="195">
        <v>2026</v>
      </c>
      <c r="D107" s="196" t="s">
        <v>89</v>
      </c>
      <c r="E107" s="195">
        <v>1</v>
      </c>
      <c r="F107" s="24" t="s">
        <v>2781</v>
      </c>
      <c r="G107" s="195"/>
      <c r="H107" s="24" t="s">
        <v>3467</v>
      </c>
      <c r="I107" s="197"/>
    </row>
    <row r="108" spans="2:9" x14ac:dyDescent="0.2">
      <c r="B108" s="194" t="str">
        <f t="shared" si="0"/>
        <v>2026-058-2</v>
      </c>
      <c r="C108" s="195">
        <v>2026</v>
      </c>
      <c r="D108" s="196" t="s">
        <v>89</v>
      </c>
      <c r="E108" s="195">
        <v>2</v>
      </c>
      <c r="F108" s="24" t="s">
        <v>1384</v>
      </c>
      <c r="G108" s="195"/>
      <c r="H108" s="24" t="s">
        <v>3468</v>
      </c>
      <c r="I108" s="197"/>
    </row>
    <row r="109" spans="2:9" ht="27" x14ac:dyDescent="0.2">
      <c r="B109" s="194" t="str">
        <f t="shared" si="0"/>
        <v>2026-058-3</v>
      </c>
      <c r="C109" s="195">
        <v>2026</v>
      </c>
      <c r="D109" s="196" t="s">
        <v>89</v>
      </c>
      <c r="E109" s="195">
        <v>3</v>
      </c>
      <c r="F109" s="24" t="s">
        <v>2507</v>
      </c>
      <c r="G109" s="195" t="s">
        <v>3392</v>
      </c>
      <c r="H109" s="24" t="s">
        <v>3469</v>
      </c>
      <c r="I109" s="197" t="s">
        <v>3472</v>
      </c>
    </row>
    <row r="110" spans="2:9" ht="27" x14ac:dyDescent="0.2">
      <c r="B110" s="194" t="str">
        <f t="shared" si="0"/>
        <v>2026-058-4</v>
      </c>
      <c r="C110" s="195">
        <v>2026</v>
      </c>
      <c r="D110" s="196" t="s">
        <v>89</v>
      </c>
      <c r="E110" s="195">
        <v>4</v>
      </c>
      <c r="F110" s="24" t="s">
        <v>2508</v>
      </c>
      <c r="G110" s="195"/>
      <c r="H110" s="24" t="s">
        <v>3470</v>
      </c>
      <c r="I110" s="197"/>
    </row>
    <row r="111" spans="2:9" ht="27" x14ac:dyDescent="0.2">
      <c r="B111" s="198" t="str">
        <f t="shared" si="0"/>
        <v>2026-058-5</v>
      </c>
      <c r="C111" s="199">
        <v>2026</v>
      </c>
      <c r="D111" s="200" t="s">
        <v>89</v>
      </c>
      <c r="E111" s="199">
        <v>5</v>
      </c>
      <c r="F111" s="30" t="s">
        <v>2509</v>
      </c>
      <c r="G111" s="199"/>
      <c r="H111" s="30" t="s">
        <v>3471</v>
      </c>
      <c r="I111" s="201"/>
    </row>
    <row r="112" spans="2:9" x14ac:dyDescent="0.2">
      <c r="B112" s="202" t="str">
        <f t="shared" si="0"/>
        <v>2026-059-0</v>
      </c>
      <c r="C112" s="203">
        <v>2026</v>
      </c>
      <c r="D112" s="204" t="s">
        <v>90</v>
      </c>
      <c r="E112" s="203">
        <v>0</v>
      </c>
      <c r="F112" s="36" t="s">
        <v>2368</v>
      </c>
      <c r="G112" s="203"/>
      <c r="H112" s="36" t="s">
        <v>3584</v>
      </c>
      <c r="I112" s="190"/>
    </row>
    <row r="113" spans="2:9" x14ac:dyDescent="0.2">
      <c r="B113" s="194" t="str">
        <f t="shared" si="0"/>
        <v>2026-059-1</v>
      </c>
      <c r="C113" s="195">
        <v>2026</v>
      </c>
      <c r="D113" s="196" t="s">
        <v>90</v>
      </c>
      <c r="E113" s="195">
        <v>1</v>
      </c>
      <c r="F113" s="24" t="s">
        <v>2510</v>
      </c>
      <c r="G113" s="195" t="s">
        <v>3392</v>
      </c>
      <c r="H113" s="24" t="s">
        <v>3473</v>
      </c>
      <c r="I113" s="197" t="s">
        <v>3448</v>
      </c>
    </row>
    <row r="114" spans="2:9" ht="27" x14ac:dyDescent="0.2">
      <c r="B114" s="194" t="str">
        <f t="shared" si="0"/>
        <v>2026-059-2</v>
      </c>
      <c r="C114" s="195">
        <v>2026</v>
      </c>
      <c r="D114" s="196" t="s">
        <v>90</v>
      </c>
      <c r="E114" s="195">
        <v>2</v>
      </c>
      <c r="F114" s="24" t="s">
        <v>2511</v>
      </c>
      <c r="G114" s="195"/>
      <c r="H114" s="24" t="s">
        <v>3474</v>
      </c>
      <c r="I114" s="197"/>
    </row>
    <row r="115" spans="2:9" ht="27" x14ac:dyDescent="0.2">
      <c r="B115" s="194" t="str">
        <f t="shared" si="0"/>
        <v>2026-059-3</v>
      </c>
      <c r="C115" s="195">
        <v>2026</v>
      </c>
      <c r="D115" s="196" t="s">
        <v>90</v>
      </c>
      <c r="E115" s="195">
        <v>3</v>
      </c>
      <c r="F115" s="24" t="s">
        <v>2512</v>
      </c>
      <c r="G115" s="195"/>
      <c r="H115" s="24" t="s">
        <v>3475</v>
      </c>
      <c r="I115" s="197"/>
    </row>
    <row r="116" spans="2:9" ht="27" x14ac:dyDescent="0.2">
      <c r="B116" s="194" t="str">
        <f t="shared" si="0"/>
        <v>2026-059-4</v>
      </c>
      <c r="C116" s="195">
        <v>2026</v>
      </c>
      <c r="D116" s="196" t="s">
        <v>90</v>
      </c>
      <c r="E116" s="195">
        <v>4</v>
      </c>
      <c r="F116" s="24" t="s">
        <v>1469</v>
      </c>
      <c r="G116" s="195"/>
      <c r="H116" s="24" t="s">
        <v>3476</v>
      </c>
      <c r="I116" s="197"/>
    </row>
    <row r="117" spans="2:9" ht="27" x14ac:dyDescent="0.2">
      <c r="B117" s="198" t="str">
        <f t="shared" si="0"/>
        <v>2026-059-5</v>
      </c>
      <c r="C117" s="199">
        <v>2026</v>
      </c>
      <c r="D117" s="200" t="s">
        <v>90</v>
      </c>
      <c r="E117" s="199">
        <v>5</v>
      </c>
      <c r="F117" s="30" t="s">
        <v>2009</v>
      </c>
      <c r="G117" s="199"/>
      <c r="H117" s="30" t="s">
        <v>3477</v>
      </c>
      <c r="I117" s="201"/>
    </row>
    <row r="118" spans="2:9" x14ac:dyDescent="0.2">
      <c r="B118" s="202" t="str">
        <f t="shared" si="0"/>
        <v>2026-060-0</v>
      </c>
      <c r="C118" s="203">
        <v>2026</v>
      </c>
      <c r="D118" s="204" t="s">
        <v>91</v>
      </c>
      <c r="E118" s="203">
        <v>0</v>
      </c>
      <c r="F118" s="36" t="s">
        <v>2369</v>
      </c>
      <c r="G118" s="203"/>
      <c r="H118" s="36" t="s">
        <v>3585</v>
      </c>
      <c r="I118" s="190"/>
    </row>
    <row r="119" spans="2:9" ht="27" x14ac:dyDescent="0.2">
      <c r="B119" s="194" t="str">
        <f t="shared" si="0"/>
        <v>2026-060-1</v>
      </c>
      <c r="C119" s="195">
        <v>2026</v>
      </c>
      <c r="D119" s="196" t="s">
        <v>91</v>
      </c>
      <c r="E119" s="195">
        <v>1</v>
      </c>
      <c r="F119" s="24" t="s">
        <v>2513</v>
      </c>
      <c r="G119" s="195" t="s">
        <v>3392</v>
      </c>
      <c r="H119" s="24" t="s">
        <v>3482</v>
      </c>
      <c r="I119" s="197" t="s">
        <v>3483</v>
      </c>
    </row>
    <row r="120" spans="2:9" x14ac:dyDescent="0.2">
      <c r="B120" s="194" t="str">
        <f t="shared" si="0"/>
        <v>2026-060-2</v>
      </c>
      <c r="C120" s="195">
        <v>2026</v>
      </c>
      <c r="D120" s="196" t="s">
        <v>91</v>
      </c>
      <c r="E120" s="195">
        <v>2</v>
      </c>
      <c r="F120" s="24" t="s">
        <v>2514</v>
      </c>
      <c r="G120" s="195"/>
      <c r="H120" s="24" t="s">
        <v>3478</v>
      </c>
      <c r="I120" s="197"/>
    </row>
    <row r="121" spans="2:9" ht="27" x14ac:dyDescent="0.2">
      <c r="B121" s="194" t="str">
        <f t="shared" si="0"/>
        <v>2026-060-3</v>
      </c>
      <c r="C121" s="195">
        <v>2026</v>
      </c>
      <c r="D121" s="196" t="s">
        <v>91</v>
      </c>
      <c r="E121" s="195">
        <v>3</v>
      </c>
      <c r="F121" s="24" t="s">
        <v>1444</v>
      </c>
      <c r="G121" s="195"/>
      <c r="H121" s="24" t="s">
        <v>3479</v>
      </c>
      <c r="I121" s="197"/>
    </row>
    <row r="122" spans="2:9" ht="27" x14ac:dyDescent="0.2">
      <c r="B122" s="194" t="str">
        <f t="shared" si="0"/>
        <v>2026-060-4</v>
      </c>
      <c r="C122" s="195">
        <v>2026</v>
      </c>
      <c r="D122" s="196" t="s">
        <v>91</v>
      </c>
      <c r="E122" s="195">
        <v>4</v>
      </c>
      <c r="F122" s="24" t="s">
        <v>2515</v>
      </c>
      <c r="G122" s="195"/>
      <c r="H122" s="24" t="s">
        <v>3480</v>
      </c>
      <c r="I122" s="197"/>
    </row>
    <row r="123" spans="2:9" x14ac:dyDescent="0.2">
      <c r="B123" s="198" t="str">
        <f t="shared" si="0"/>
        <v>2026-060-5</v>
      </c>
      <c r="C123" s="199">
        <v>2026</v>
      </c>
      <c r="D123" s="200" t="s">
        <v>91</v>
      </c>
      <c r="E123" s="199">
        <v>5</v>
      </c>
      <c r="F123" s="30" t="s">
        <v>2516</v>
      </c>
      <c r="G123" s="199"/>
      <c r="H123" s="30" t="s">
        <v>3481</v>
      </c>
      <c r="I123" s="201"/>
    </row>
    <row r="124" spans="2:9" x14ac:dyDescent="0.2">
      <c r="B124" s="202" t="str">
        <f t="shared" si="0"/>
        <v>2026-061-0</v>
      </c>
      <c r="C124" s="203">
        <v>2026</v>
      </c>
      <c r="D124" s="204" t="s">
        <v>92</v>
      </c>
      <c r="E124" s="203">
        <v>0</v>
      </c>
      <c r="F124" s="36" t="s">
        <v>2370</v>
      </c>
      <c r="G124" s="203"/>
      <c r="H124" s="36" t="s">
        <v>3585</v>
      </c>
      <c r="I124" s="190"/>
    </row>
    <row r="125" spans="2:9" x14ac:dyDescent="0.2">
      <c r="B125" s="194" t="str">
        <f t="shared" si="0"/>
        <v>2026-061-1</v>
      </c>
      <c r="C125" s="195">
        <v>2026</v>
      </c>
      <c r="D125" s="196" t="s">
        <v>92</v>
      </c>
      <c r="E125" s="195">
        <v>1</v>
      </c>
      <c r="F125" s="24" t="s">
        <v>2517</v>
      </c>
      <c r="G125" s="195"/>
      <c r="H125" s="24" t="s">
        <v>3484</v>
      </c>
      <c r="I125" s="197"/>
    </row>
    <row r="126" spans="2:9" x14ac:dyDescent="0.2">
      <c r="B126" s="194" t="str">
        <f t="shared" si="0"/>
        <v>2026-061-2</v>
      </c>
      <c r="C126" s="195">
        <v>2026</v>
      </c>
      <c r="D126" s="196" t="s">
        <v>92</v>
      </c>
      <c r="E126" s="195">
        <v>2</v>
      </c>
      <c r="F126" s="24" t="s">
        <v>2518</v>
      </c>
      <c r="G126" s="195"/>
      <c r="H126" s="24" t="s">
        <v>3485</v>
      </c>
      <c r="I126" s="197"/>
    </row>
    <row r="127" spans="2:9" x14ac:dyDescent="0.2">
      <c r="B127" s="194" t="str">
        <f t="shared" si="0"/>
        <v>2026-061-3</v>
      </c>
      <c r="C127" s="195">
        <v>2026</v>
      </c>
      <c r="D127" s="196" t="s">
        <v>92</v>
      </c>
      <c r="E127" s="195">
        <v>3</v>
      </c>
      <c r="F127" s="24" t="s">
        <v>2519</v>
      </c>
      <c r="G127" s="195"/>
      <c r="H127" s="24" t="s">
        <v>3486</v>
      </c>
      <c r="I127" s="197"/>
    </row>
    <row r="128" spans="2:9" x14ac:dyDescent="0.2">
      <c r="B128" s="194" t="str">
        <f t="shared" si="0"/>
        <v>2026-061-4</v>
      </c>
      <c r="C128" s="195">
        <v>2026</v>
      </c>
      <c r="D128" s="196" t="s">
        <v>92</v>
      </c>
      <c r="E128" s="195">
        <v>4</v>
      </c>
      <c r="F128" s="24" t="s">
        <v>2520</v>
      </c>
      <c r="G128" s="195" t="s">
        <v>3392</v>
      </c>
      <c r="H128" s="24" t="s">
        <v>3487</v>
      </c>
      <c r="I128" s="197" t="s">
        <v>3625</v>
      </c>
    </row>
    <row r="129" spans="2:9" ht="27" x14ac:dyDescent="0.2">
      <c r="B129" s="198" t="str">
        <f t="shared" si="0"/>
        <v>2026-061-5</v>
      </c>
      <c r="C129" s="199">
        <v>2026</v>
      </c>
      <c r="D129" s="200" t="s">
        <v>92</v>
      </c>
      <c r="E129" s="199">
        <v>5</v>
      </c>
      <c r="F129" s="30" t="s">
        <v>2521</v>
      </c>
      <c r="G129" s="199"/>
      <c r="H129" s="30" t="s">
        <v>3488</v>
      </c>
      <c r="I129" s="201"/>
    </row>
    <row r="130" spans="2:9" x14ac:dyDescent="0.2">
      <c r="B130" s="202" t="str">
        <f t="shared" si="0"/>
        <v>2026-062-0</v>
      </c>
      <c r="C130" s="203">
        <v>2026</v>
      </c>
      <c r="D130" s="204" t="s">
        <v>93</v>
      </c>
      <c r="E130" s="203">
        <v>0</v>
      </c>
      <c r="F130" s="36" t="s">
        <v>2371</v>
      </c>
      <c r="G130" s="203"/>
      <c r="H130" s="36" t="s">
        <v>2961</v>
      </c>
      <c r="I130" s="190"/>
    </row>
    <row r="131" spans="2:9" x14ac:dyDescent="0.2">
      <c r="B131" s="194" t="str">
        <f t="shared" si="0"/>
        <v>2026-062-1</v>
      </c>
      <c r="C131" s="195">
        <v>2026</v>
      </c>
      <c r="D131" s="196" t="s">
        <v>93</v>
      </c>
      <c r="E131" s="195">
        <v>1</v>
      </c>
      <c r="F131" s="24" t="s">
        <v>2522</v>
      </c>
      <c r="G131" s="195"/>
      <c r="H131" s="24" t="s">
        <v>3489</v>
      </c>
      <c r="I131" s="197"/>
    </row>
    <row r="132" spans="2:9" x14ac:dyDescent="0.2">
      <c r="B132" s="194" t="str">
        <f t="shared" si="0"/>
        <v>2026-062-2</v>
      </c>
      <c r="C132" s="195">
        <v>2026</v>
      </c>
      <c r="D132" s="196" t="s">
        <v>93</v>
      </c>
      <c r="E132" s="195">
        <v>2</v>
      </c>
      <c r="F132" s="24" t="s">
        <v>2523</v>
      </c>
      <c r="G132" s="195" t="s">
        <v>3392</v>
      </c>
      <c r="H132" s="24" t="s">
        <v>3490</v>
      </c>
      <c r="I132" s="197" t="s">
        <v>3494</v>
      </c>
    </row>
    <row r="133" spans="2:9" x14ac:dyDescent="0.2">
      <c r="B133" s="194" t="str">
        <f t="shared" si="0"/>
        <v>2026-062-3</v>
      </c>
      <c r="C133" s="195">
        <v>2026</v>
      </c>
      <c r="D133" s="196" t="s">
        <v>93</v>
      </c>
      <c r="E133" s="195">
        <v>3</v>
      </c>
      <c r="F133" s="24" t="s">
        <v>2524</v>
      </c>
      <c r="G133" s="195"/>
      <c r="H133" s="24" t="s">
        <v>3491</v>
      </c>
      <c r="I133" s="197"/>
    </row>
    <row r="134" spans="2:9" x14ac:dyDescent="0.2">
      <c r="B134" s="194" t="str">
        <f t="shared" si="0"/>
        <v>2026-062-4</v>
      </c>
      <c r="C134" s="195">
        <v>2026</v>
      </c>
      <c r="D134" s="196" t="s">
        <v>93</v>
      </c>
      <c r="E134" s="195">
        <v>4</v>
      </c>
      <c r="F134" s="24" t="s">
        <v>2525</v>
      </c>
      <c r="G134" s="195"/>
      <c r="H134" s="24" t="s">
        <v>3492</v>
      </c>
      <c r="I134" s="197"/>
    </row>
    <row r="135" spans="2:9" ht="27" x14ac:dyDescent="0.2">
      <c r="B135" s="198" t="str">
        <f t="shared" si="0"/>
        <v>2026-062-5</v>
      </c>
      <c r="C135" s="199">
        <v>2026</v>
      </c>
      <c r="D135" s="200" t="s">
        <v>93</v>
      </c>
      <c r="E135" s="199">
        <v>5</v>
      </c>
      <c r="F135" s="30" t="s">
        <v>2526</v>
      </c>
      <c r="G135" s="199"/>
      <c r="H135" s="30" t="s">
        <v>3493</v>
      </c>
      <c r="I135" s="201"/>
    </row>
    <row r="136" spans="2:9" x14ac:dyDescent="0.2">
      <c r="B136" s="202" t="str">
        <f t="shared" si="0"/>
        <v>2026-063-0</v>
      </c>
      <c r="C136" s="203">
        <v>2026</v>
      </c>
      <c r="D136" s="204" t="s">
        <v>94</v>
      </c>
      <c r="E136" s="203">
        <v>0</v>
      </c>
      <c r="F136" s="36" t="s">
        <v>2372</v>
      </c>
      <c r="G136" s="203"/>
      <c r="H136" s="36" t="s">
        <v>2962</v>
      </c>
      <c r="I136" s="190"/>
    </row>
    <row r="137" spans="2:9" ht="27" x14ac:dyDescent="0.2">
      <c r="B137" s="194" t="str">
        <f t="shared" si="0"/>
        <v>2026-063-1</v>
      </c>
      <c r="C137" s="195">
        <v>2026</v>
      </c>
      <c r="D137" s="196" t="s">
        <v>94</v>
      </c>
      <c r="E137" s="195">
        <v>1</v>
      </c>
      <c r="F137" s="24" t="s">
        <v>2527</v>
      </c>
      <c r="G137" s="195"/>
      <c r="H137" s="24" t="s">
        <v>3495</v>
      </c>
      <c r="I137" s="197" t="s">
        <v>3497</v>
      </c>
    </row>
    <row r="138" spans="2:9" x14ac:dyDescent="0.2">
      <c r="B138" s="194" t="str">
        <f t="shared" si="0"/>
        <v>2026-063-2</v>
      </c>
      <c r="C138" s="195">
        <v>2026</v>
      </c>
      <c r="D138" s="196" t="s">
        <v>94</v>
      </c>
      <c r="E138" s="195">
        <v>2</v>
      </c>
      <c r="F138" s="24" t="s">
        <v>2528</v>
      </c>
      <c r="G138" s="195"/>
      <c r="H138" s="24" t="s">
        <v>3498</v>
      </c>
      <c r="I138" s="197" t="s">
        <v>3499</v>
      </c>
    </row>
    <row r="139" spans="2:9" ht="27" x14ac:dyDescent="0.2">
      <c r="B139" s="194" t="str">
        <f t="shared" si="0"/>
        <v>2026-063-3</v>
      </c>
      <c r="C139" s="195">
        <v>2026</v>
      </c>
      <c r="D139" s="196" t="s">
        <v>94</v>
      </c>
      <c r="E139" s="195">
        <v>3</v>
      </c>
      <c r="F139" s="24" t="s">
        <v>2529</v>
      </c>
      <c r="G139" s="195"/>
      <c r="H139" s="24" t="s">
        <v>3500</v>
      </c>
      <c r="I139" s="197" t="s">
        <v>3501</v>
      </c>
    </row>
    <row r="140" spans="2:9" ht="27" x14ac:dyDescent="0.2">
      <c r="B140" s="194" t="str">
        <f t="shared" si="0"/>
        <v>2026-063-4</v>
      </c>
      <c r="C140" s="195">
        <v>2026</v>
      </c>
      <c r="D140" s="196" t="s">
        <v>94</v>
      </c>
      <c r="E140" s="195">
        <v>4</v>
      </c>
      <c r="F140" s="24" t="s">
        <v>2530</v>
      </c>
      <c r="G140" s="195"/>
      <c r="H140" s="24" t="s">
        <v>3503</v>
      </c>
      <c r="I140" s="197" t="s">
        <v>3502</v>
      </c>
    </row>
    <row r="141" spans="2:9" ht="27" x14ac:dyDescent="0.2">
      <c r="B141" s="198" t="str">
        <f t="shared" si="0"/>
        <v>2026-063-5</v>
      </c>
      <c r="C141" s="199">
        <v>2026</v>
      </c>
      <c r="D141" s="200" t="s">
        <v>94</v>
      </c>
      <c r="E141" s="199">
        <v>5</v>
      </c>
      <c r="F141" s="30" t="s">
        <v>2531</v>
      </c>
      <c r="G141" s="199" t="s">
        <v>3496</v>
      </c>
      <c r="H141" s="30" t="s">
        <v>3504</v>
      </c>
      <c r="I141" s="201" t="s">
        <v>3505</v>
      </c>
    </row>
    <row r="142" spans="2:9" x14ac:dyDescent="0.2">
      <c r="B142" s="202" t="str">
        <f t="shared" si="0"/>
        <v>2026-064-0</v>
      </c>
      <c r="C142" s="203">
        <v>2026</v>
      </c>
      <c r="D142" s="204" t="s">
        <v>95</v>
      </c>
      <c r="E142" s="203">
        <v>0</v>
      </c>
      <c r="F142" s="36" t="s">
        <v>2372</v>
      </c>
      <c r="G142" s="203"/>
      <c r="H142" s="36" t="s">
        <v>3581</v>
      </c>
      <c r="I142" s="190"/>
    </row>
    <row r="143" spans="2:9" x14ac:dyDescent="0.2">
      <c r="B143" s="194" t="str">
        <f t="shared" si="0"/>
        <v>2026-064-1</v>
      </c>
      <c r="C143" s="195">
        <v>2026</v>
      </c>
      <c r="D143" s="196" t="s">
        <v>95</v>
      </c>
      <c r="E143" s="195">
        <v>1</v>
      </c>
      <c r="F143" s="24" t="s">
        <v>2782</v>
      </c>
      <c r="G143" s="195"/>
      <c r="H143" s="24" t="s">
        <v>2536</v>
      </c>
      <c r="I143" s="197" t="s">
        <v>3626</v>
      </c>
    </row>
    <row r="144" spans="2:9" x14ac:dyDescent="0.2">
      <c r="B144" s="194" t="str">
        <f t="shared" si="0"/>
        <v>2026-064-2</v>
      </c>
      <c r="C144" s="195">
        <v>2026</v>
      </c>
      <c r="D144" s="196" t="s">
        <v>95</v>
      </c>
      <c r="E144" s="195">
        <v>2</v>
      </c>
      <c r="F144" s="24" t="s">
        <v>2532</v>
      </c>
      <c r="G144" s="195"/>
      <c r="H144" s="24" t="s">
        <v>2806</v>
      </c>
      <c r="I144" s="197" t="s">
        <v>2537</v>
      </c>
    </row>
    <row r="145" spans="2:9" x14ac:dyDescent="0.2">
      <c r="B145" s="194" t="str">
        <f t="shared" si="0"/>
        <v>2026-064-3</v>
      </c>
      <c r="C145" s="195">
        <v>2026</v>
      </c>
      <c r="D145" s="196" t="s">
        <v>95</v>
      </c>
      <c r="E145" s="195">
        <v>3</v>
      </c>
      <c r="F145" s="24" t="s">
        <v>2533</v>
      </c>
      <c r="G145" s="195" t="s">
        <v>3391</v>
      </c>
      <c r="H145" s="24" t="s">
        <v>2807</v>
      </c>
      <c r="I145" s="197"/>
    </row>
    <row r="146" spans="2:9" ht="27" x14ac:dyDescent="0.2">
      <c r="B146" s="194" t="str">
        <f t="shared" si="0"/>
        <v>2026-064-4</v>
      </c>
      <c r="C146" s="195">
        <v>2026</v>
      </c>
      <c r="D146" s="196" t="s">
        <v>95</v>
      </c>
      <c r="E146" s="195">
        <v>4</v>
      </c>
      <c r="F146" s="24" t="s">
        <v>2534</v>
      </c>
      <c r="G146" s="195"/>
      <c r="H146" s="24" t="s">
        <v>2808</v>
      </c>
      <c r="I146" s="197" t="s">
        <v>2538</v>
      </c>
    </row>
    <row r="147" spans="2:9" ht="27" x14ac:dyDescent="0.2">
      <c r="B147" s="198" t="str">
        <f t="shared" si="0"/>
        <v>2026-064-5</v>
      </c>
      <c r="C147" s="199">
        <v>2026</v>
      </c>
      <c r="D147" s="200" t="s">
        <v>95</v>
      </c>
      <c r="E147" s="199">
        <v>5</v>
      </c>
      <c r="F147" s="30" t="s">
        <v>2535</v>
      </c>
      <c r="G147" s="199"/>
      <c r="H147" s="30" t="s">
        <v>2809</v>
      </c>
      <c r="I147" s="201" t="s">
        <v>2539</v>
      </c>
    </row>
    <row r="148" spans="2:9" x14ac:dyDescent="0.2">
      <c r="B148" s="202" t="str">
        <f t="shared" si="0"/>
        <v>2026-065-0</v>
      </c>
      <c r="C148" s="203">
        <v>2026</v>
      </c>
      <c r="D148" s="204" t="s">
        <v>96</v>
      </c>
      <c r="E148" s="203">
        <v>0</v>
      </c>
      <c r="F148" s="36" t="s">
        <v>2373</v>
      </c>
      <c r="G148" s="203"/>
      <c r="H148" s="36" t="s">
        <v>2949</v>
      </c>
      <c r="I148" s="190" t="s">
        <v>2547</v>
      </c>
    </row>
    <row r="149" spans="2:9" ht="27" x14ac:dyDescent="0.2">
      <c r="B149" s="194" t="str">
        <f t="shared" si="0"/>
        <v>2026-065-1</v>
      </c>
      <c r="C149" s="195">
        <v>2026</v>
      </c>
      <c r="D149" s="196" t="s">
        <v>96</v>
      </c>
      <c r="E149" s="195">
        <v>1</v>
      </c>
      <c r="F149" s="24" t="s">
        <v>2540</v>
      </c>
      <c r="G149" s="195"/>
      <c r="H149" s="24" t="s">
        <v>2810</v>
      </c>
      <c r="I149" s="197" t="s">
        <v>3627</v>
      </c>
    </row>
    <row r="150" spans="2:9" ht="27" x14ac:dyDescent="0.2">
      <c r="B150" s="194" t="str">
        <f t="shared" si="0"/>
        <v>2026-065-2</v>
      </c>
      <c r="C150" s="195">
        <v>2026</v>
      </c>
      <c r="D150" s="196" t="s">
        <v>96</v>
      </c>
      <c r="E150" s="195">
        <v>2</v>
      </c>
      <c r="F150" s="24" t="s">
        <v>2541</v>
      </c>
      <c r="G150" s="195" t="s">
        <v>3391</v>
      </c>
      <c r="H150" s="24" t="s">
        <v>2811</v>
      </c>
      <c r="I150" s="197"/>
    </row>
    <row r="151" spans="2:9" x14ac:dyDescent="0.2">
      <c r="B151" s="194" t="str">
        <f t="shared" si="0"/>
        <v>2026-065-3</v>
      </c>
      <c r="C151" s="195">
        <v>2026</v>
      </c>
      <c r="D151" s="196" t="s">
        <v>96</v>
      </c>
      <c r="E151" s="195">
        <v>3</v>
      </c>
      <c r="F151" s="24" t="s">
        <v>2542</v>
      </c>
      <c r="G151" s="195"/>
      <c r="H151" s="24" t="s">
        <v>2545</v>
      </c>
      <c r="I151" s="197" t="s">
        <v>3628</v>
      </c>
    </row>
    <row r="152" spans="2:9" x14ac:dyDescent="0.2">
      <c r="B152" s="194" t="str">
        <f t="shared" si="0"/>
        <v>2026-065-4</v>
      </c>
      <c r="C152" s="195">
        <v>2026</v>
      </c>
      <c r="D152" s="196" t="s">
        <v>96</v>
      </c>
      <c r="E152" s="195">
        <v>4</v>
      </c>
      <c r="F152" s="24" t="s">
        <v>2543</v>
      </c>
      <c r="G152" s="195"/>
      <c r="H152" s="24" t="s">
        <v>2546</v>
      </c>
      <c r="I152" s="197" t="s">
        <v>3629</v>
      </c>
    </row>
    <row r="153" spans="2:9" x14ac:dyDescent="0.2">
      <c r="B153" s="198" t="str">
        <f t="shared" si="0"/>
        <v>2026-065-5</v>
      </c>
      <c r="C153" s="199">
        <v>2026</v>
      </c>
      <c r="D153" s="200" t="s">
        <v>96</v>
      </c>
      <c r="E153" s="199">
        <v>5</v>
      </c>
      <c r="F153" s="30" t="s">
        <v>2544</v>
      </c>
      <c r="G153" s="199"/>
      <c r="H153" s="30" t="s">
        <v>2827</v>
      </c>
      <c r="I153" s="201" t="s">
        <v>3630</v>
      </c>
    </row>
    <row r="154" spans="2:9" x14ac:dyDescent="0.2">
      <c r="B154" s="202" t="str">
        <f t="shared" si="0"/>
        <v>2026-066-0</v>
      </c>
      <c r="C154" s="203">
        <v>2026</v>
      </c>
      <c r="D154" s="204" t="s">
        <v>97</v>
      </c>
      <c r="E154" s="203">
        <v>0</v>
      </c>
      <c r="F154" s="36" t="s">
        <v>2374</v>
      </c>
      <c r="G154" s="203"/>
      <c r="H154" s="36" t="s">
        <v>2966</v>
      </c>
      <c r="I154" s="190"/>
    </row>
    <row r="155" spans="2:9" x14ac:dyDescent="0.2">
      <c r="B155" s="194" t="str">
        <f t="shared" si="0"/>
        <v>2026-066-1</v>
      </c>
      <c r="C155" s="195">
        <v>2026</v>
      </c>
      <c r="D155" s="196" t="s">
        <v>97</v>
      </c>
      <c r="E155" s="195">
        <v>1</v>
      </c>
      <c r="F155" s="24" t="s">
        <v>2548</v>
      </c>
      <c r="G155" s="195"/>
      <c r="H155" s="24" t="s">
        <v>2812</v>
      </c>
      <c r="I155" s="197"/>
    </row>
    <row r="156" spans="2:9" x14ac:dyDescent="0.2">
      <c r="B156" s="194" t="str">
        <f t="shared" si="0"/>
        <v>2026-066-2</v>
      </c>
      <c r="C156" s="195">
        <v>2026</v>
      </c>
      <c r="D156" s="196" t="s">
        <v>97</v>
      </c>
      <c r="E156" s="195">
        <v>2</v>
      </c>
      <c r="F156" s="24" t="s">
        <v>2549</v>
      </c>
      <c r="G156" s="195" t="s">
        <v>3391</v>
      </c>
      <c r="H156" s="24" t="s">
        <v>2554</v>
      </c>
      <c r="I156" s="197" t="s">
        <v>2555</v>
      </c>
    </row>
    <row r="157" spans="2:9" x14ac:dyDescent="0.2">
      <c r="B157" s="194" t="str">
        <f t="shared" si="0"/>
        <v>2026-066-3</v>
      </c>
      <c r="C157" s="195">
        <v>2026</v>
      </c>
      <c r="D157" s="196" t="s">
        <v>97</v>
      </c>
      <c r="E157" s="195">
        <v>3</v>
      </c>
      <c r="F157" s="24" t="s">
        <v>2550</v>
      </c>
      <c r="G157" s="195"/>
      <c r="H157" s="24" t="s">
        <v>2813</v>
      </c>
      <c r="I157" s="197"/>
    </row>
    <row r="158" spans="2:9" x14ac:dyDescent="0.2">
      <c r="B158" s="194" t="str">
        <f t="shared" si="0"/>
        <v>2026-066-4</v>
      </c>
      <c r="C158" s="195">
        <v>2026</v>
      </c>
      <c r="D158" s="196" t="s">
        <v>97</v>
      </c>
      <c r="E158" s="195">
        <v>4</v>
      </c>
      <c r="F158" s="24" t="s">
        <v>2551</v>
      </c>
      <c r="G158" s="195"/>
      <c r="H158" s="24" t="s">
        <v>2815</v>
      </c>
      <c r="I158" s="197"/>
    </row>
    <row r="159" spans="2:9" x14ac:dyDescent="0.2">
      <c r="B159" s="198" t="str">
        <f t="shared" si="0"/>
        <v>2026-066-5</v>
      </c>
      <c r="C159" s="199">
        <v>2026</v>
      </c>
      <c r="D159" s="200" t="s">
        <v>97</v>
      </c>
      <c r="E159" s="199">
        <v>5</v>
      </c>
      <c r="F159" s="30" t="s">
        <v>2552</v>
      </c>
      <c r="G159" s="199"/>
      <c r="H159" s="30" t="s">
        <v>2814</v>
      </c>
      <c r="I159" s="201"/>
    </row>
    <row r="160" spans="2:9" x14ac:dyDescent="0.2">
      <c r="B160" s="202" t="str">
        <f t="shared" si="0"/>
        <v>2026-067-0</v>
      </c>
      <c r="C160" s="203">
        <v>2026</v>
      </c>
      <c r="D160" s="204" t="s">
        <v>98</v>
      </c>
      <c r="E160" s="203">
        <v>0</v>
      </c>
      <c r="F160" s="36" t="s">
        <v>2375</v>
      </c>
      <c r="G160" s="203"/>
      <c r="H160" s="36" t="s">
        <v>2966</v>
      </c>
      <c r="I160" s="190"/>
    </row>
    <row r="161" spans="2:9" x14ac:dyDescent="0.2">
      <c r="B161" s="194" t="str">
        <f t="shared" si="0"/>
        <v>2026-067-1</v>
      </c>
      <c r="C161" s="195">
        <v>2026</v>
      </c>
      <c r="D161" s="196" t="s">
        <v>98</v>
      </c>
      <c r="E161" s="195">
        <v>1</v>
      </c>
      <c r="F161" s="24" t="s">
        <v>2556</v>
      </c>
      <c r="G161" s="195"/>
      <c r="H161" s="24" t="s">
        <v>3507</v>
      </c>
      <c r="I161" s="197"/>
    </row>
    <row r="162" spans="2:9" x14ac:dyDescent="0.2">
      <c r="B162" s="194" t="str">
        <f t="shared" si="0"/>
        <v>2026-067-2</v>
      </c>
      <c r="C162" s="195">
        <v>2026</v>
      </c>
      <c r="D162" s="196" t="s">
        <v>98</v>
      </c>
      <c r="E162" s="195">
        <v>2</v>
      </c>
      <c r="F162" s="24" t="s">
        <v>2557</v>
      </c>
      <c r="G162" s="195" t="s">
        <v>3496</v>
      </c>
      <c r="H162" s="24" t="s">
        <v>3508</v>
      </c>
      <c r="I162" s="197" t="s">
        <v>3506</v>
      </c>
    </row>
    <row r="163" spans="2:9" x14ac:dyDescent="0.2">
      <c r="B163" s="194" t="str">
        <f t="shared" si="0"/>
        <v>2026-067-3</v>
      </c>
      <c r="C163" s="195">
        <v>2026</v>
      </c>
      <c r="D163" s="196" t="s">
        <v>98</v>
      </c>
      <c r="E163" s="195">
        <v>3</v>
      </c>
      <c r="F163" s="24" t="s">
        <v>2558</v>
      </c>
      <c r="G163" s="195"/>
      <c r="H163" s="24" t="s">
        <v>3509</v>
      </c>
      <c r="I163" s="197"/>
    </row>
    <row r="164" spans="2:9" x14ac:dyDescent="0.2">
      <c r="B164" s="194" t="str">
        <f t="shared" si="0"/>
        <v>2026-067-4</v>
      </c>
      <c r="C164" s="195">
        <v>2026</v>
      </c>
      <c r="D164" s="196" t="s">
        <v>98</v>
      </c>
      <c r="E164" s="195">
        <v>4</v>
      </c>
      <c r="F164" s="24" t="s">
        <v>2783</v>
      </c>
      <c r="G164" s="195"/>
      <c r="H164" s="24" t="s">
        <v>3510</v>
      </c>
      <c r="I164" s="197"/>
    </row>
    <row r="165" spans="2:9" x14ac:dyDescent="0.2">
      <c r="B165" s="198" t="str">
        <f t="shared" si="0"/>
        <v>2026-067-5</v>
      </c>
      <c r="C165" s="199">
        <v>2026</v>
      </c>
      <c r="D165" s="200" t="s">
        <v>98</v>
      </c>
      <c r="E165" s="199">
        <v>5</v>
      </c>
      <c r="F165" s="30" t="s">
        <v>2784</v>
      </c>
      <c r="G165" s="199"/>
      <c r="H165" s="30" t="s">
        <v>3511</v>
      </c>
      <c r="I165" s="201"/>
    </row>
    <row r="166" spans="2:9" x14ac:dyDescent="0.2">
      <c r="B166" s="202" t="str">
        <f t="shared" si="0"/>
        <v>2026-068-0</v>
      </c>
      <c r="C166" s="203">
        <v>2026</v>
      </c>
      <c r="D166" s="204" t="s">
        <v>99</v>
      </c>
      <c r="E166" s="203">
        <v>0</v>
      </c>
      <c r="F166" s="36" t="s">
        <v>2376</v>
      </c>
      <c r="G166" s="203"/>
      <c r="H166" s="36" t="s">
        <v>2966</v>
      </c>
      <c r="I166" s="190"/>
    </row>
    <row r="167" spans="2:9" x14ac:dyDescent="0.2">
      <c r="B167" s="194" t="str">
        <f t="shared" si="0"/>
        <v>2026-068-1</v>
      </c>
      <c r="C167" s="195">
        <v>2026</v>
      </c>
      <c r="D167" s="196" t="s">
        <v>99</v>
      </c>
      <c r="E167" s="195">
        <v>1</v>
      </c>
      <c r="F167" s="24" t="s">
        <v>2785</v>
      </c>
      <c r="G167" s="195"/>
      <c r="H167" s="24" t="s">
        <v>3512</v>
      </c>
      <c r="I167" s="197"/>
    </row>
    <row r="168" spans="2:9" x14ac:dyDescent="0.2">
      <c r="B168" s="194" t="str">
        <f t="shared" si="0"/>
        <v>2026-068-2</v>
      </c>
      <c r="C168" s="195">
        <v>2026</v>
      </c>
      <c r="D168" s="196" t="s">
        <v>99</v>
      </c>
      <c r="E168" s="195">
        <v>2</v>
      </c>
      <c r="F168" s="24" t="s">
        <v>2559</v>
      </c>
      <c r="G168" s="195"/>
      <c r="H168" s="24" t="s">
        <v>3513</v>
      </c>
      <c r="I168" s="197"/>
    </row>
    <row r="169" spans="2:9" x14ac:dyDescent="0.2">
      <c r="B169" s="194" t="str">
        <f t="shared" si="0"/>
        <v>2026-068-3</v>
      </c>
      <c r="C169" s="195">
        <v>2026</v>
      </c>
      <c r="D169" s="196" t="s">
        <v>99</v>
      </c>
      <c r="E169" s="195">
        <v>3</v>
      </c>
      <c r="F169" s="24" t="s">
        <v>2560</v>
      </c>
      <c r="G169" s="195"/>
      <c r="H169" s="24" t="s">
        <v>3514</v>
      </c>
      <c r="I169" s="197"/>
    </row>
    <row r="170" spans="2:9" x14ac:dyDescent="0.2">
      <c r="B170" s="194" t="str">
        <f t="shared" si="0"/>
        <v>2026-068-4</v>
      </c>
      <c r="C170" s="195">
        <v>2026</v>
      </c>
      <c r="D170" s="196" t="s">
        <v>99</v>
      </c>
      <c r="E170" s="195">
        <v>4</v>
      </c>
      <c r="F170" s="24" t="s">
        <v>2561</v>
      </c>
      <c r="G170" s="195"/>
      <c r="H170" s="24" t="s">
        <v>3516</v>
      </c>
      <c r="I170" s="197"/>
    </row>
    <row r="171" spans="2:9" x14ac:dyDescent="0.2">
      <c r="B171" s="198" t="str">
        <f t="shared" si="0"/>
        <v>2026-068-5</v>
      </c>
      <c r="C171" s="199">
        <v>2026</v>
      </c>
      <c r="D171" s="200" t="s">
        <v>99</v>
      </c>
      <c r="E171" s="199">
        <v>5</v>
      </c>
      <c r="F171" s="30" t="s">
        <v>2562</v>
      </c>
      <c r="G171" s="199" t="s">
        <v>3496</v>
      </c>
      <c r="H171" t="s">
        <v>3515</v>
      </c>
      <c r="I171" s="201" t="s">
        <v>3517</v>
      </c>
    </row>
    <row r="172" spans="2:9" ht="40.5" x14ac:dyDescent="0.2">
      <c r="B172" s="202" t="str">
        <f t="shared" si="0"/>
        <v>2026-069-0</v>
      </c>
      <c r="C172" s="203">
        <v>2026</v>
      </c>
      <c r="D172" s="204" t="s">
        <v>100</v>
      </c>
      <c r="E172" s="203">
        <v>0</v>
      </c>
      <c r="F172" s="36" t="s">
        <v>2377</v>
      </c>
      <c r="G172" s="203"/>
      <c r="H172" s="36" t="s">
        <v>2966</v>
      </c>
      <c r="I172" s="190" t="s">
        <v>3519</v>
      </c>
    </row>
    <row r="173" spans="2:9" x14ac:dyDescent="0.2">
      <c r="B173" s="194" t="str">
        <f t="shared" si="0"/>
        <v>2026-069-1</v>
      </c>
      <c r="C173" s="195">
        <v>2026</v>
      </c>
      <c r="D173" s="196" t="s">
        <v>100</v>
      </c>
      <c r="E173" s="195">
        <v>1</v>
      </c>
      <c r="F173" s="24" t="s">
        <v>2563</v>
      </c>
      <c r="G173" s="195" t="s">
        <v>3496</v>
      </c>
      <c r="H173" s="24" t="s">
        <v>3518</v>
      </c>
      <c r="I173" s="197"/>
    </row>
    <row r="174" spans="2:9" x14ac:dyDescent="0.2">
      <c r="B174" s="194" t="str">
        <f t="shared" si="0"/>
        <v>2026-069-2</v>
      </c>
      <c r="C174" s="195">
        <v>2026</v>
      </c>
      <c r="D174" s="196" t="s">
        <v>100</v>
      </c>
      <c r="E174" s="195">
        <v>2</v>
      </c>
      <c r="F174" s="24" t="s">
        <v>2564</v>
      </c>
      <c r="G174" s="195"/>
      <c r="H174" s="24"/>
      <c r="I174" s="197"/>
    </row>
    <row r="175" spans="2:9" x14ac:dyDescent="0.2">
      <c r="B175" s="194" t="str">
        <f t="shared" si="0"/>
        <v>2026-069-3</v>
      </c>
      <c r="C175" s="195">
        <v>2026</v>
      </c>
      <c r="D175" s="196" t="s">
        <v>100</v>
      </c>
      <c r="E175" s="195">
        <v>3</v>
      </c>
      <c r="F175" s="24" t="s">
        <v>2565</v>
      </c>
      <c r="G175" s="195"/>
      <c r="H175" s="24"/>
      <c r="I175" s="197"/>
    </row>
    <row r="176" spans="2:9" x14ac:dyDescent="0.2">
      <c r="B176" s="194" t="str">
        <f t="shared" si="0"/>
        <v>2026-069-4</v>
      </c>
      <c r="C176" s="195">
        <v>2026</v>
      </c>
      <c r="D176" s="196" t="s">
        <v>100</v>
      </c>
      <c r="E176" s="195">
        <v>4</v>
      </c>
      <c r="F176" s="24" t="s">
        <v>2566</v>
      </c>
      <c r="G176" s="195"/>
      <c r="H176" s="24"/>
      <c r="I176" s="197"/>
    </row>
    <row r="177" spans="2:9" x14ac:dyDescent="0.2">
      <c r="B177" s="198" t="str">
        <f t="shared" si="0"/>
        <v>2026-069-5</v>
      </c>
      <c r="C177" s="199">
        <v>2026</v>
      </c>
      <c r="D177" s="200" t="s">
        <v>100</v>
      </c>
      <c r="E177" s="199">
        <v>5</v>
      </c>
      <c r="F177" s="30" t="s">
        <v>2567</v>
      </c>
      <c r="G177" s="199"/>
      <c r="H177" s="30"/>
      <c r="I177" s="201"/>
    </row>
    <row r="178" spans="2:9" x14ac:dyDescent="0.2">
      <c r="B178" s="202" t="str">
        <f t="shared" si="0"/>
        <v>2026-070-0</v>
      </c>
      <c r="C178" s="203">
        <v>2026</v>
      </c>
      <c r="D178" s="204" t="s">
        <v>101</v>
      </c>
      <c r="E178" s="203">
        <v>0</v>
      </c>
      <c r="F178" s="36" t="s">
        <v>2378</v>
      </c>
      <c r="G178" s="203"/>
      <c r="H178" s="36" t="s">
        <v>3611</v>
      </c>
      <c r="I178" s="190"/>
    </row>
    <row r="179" spans="2:9" x14ac:dyDescent="0.2">
      <c r="B179" s="194" t="str">
        <f t="shared" si="0"/>
        <v>2026-070-1</v>
      </c>
      <c r="C179" s="195">
        <v>2026</v>
      </c>
      <c r="D179" s="196" t="s">
        <v>101</v>
      </c>
      <c r="E179" s="195">
        <v>1</v>
      </c>
      <c r="F179" s="24" t="s">
        <v>2568</v>
      </c>
      <c r="G179" s="195"/>
      <c r="H179" s="24" t="s">
        <v>3520</v>
      </c>
      <c r="I179" s="197"/>
    </row>
    <row r="180" spans="2:9" x14ac:dyDescent="0.2">
      <c r="B180" s="194" t="str">
        <f t="shared" si="0"/>
        <v>2026-070-2</v>
      </c>
      <c r="C180" s="195">
        <v>2026</v>
      </c>
      <c r="D180" s="196" t="s">
        <v>101</v>
      </c>
      <c r="E180" s="195">
        <v>2</v>
      </c>
      <c r="F180" s="24" t="s">
        <v>2569</v>
      </c>
      <c r="G180" s="195"/>
      <c r="H180" s="24" t="s">
        <v>3521</v>
      </c>
      <c r="I180" s="197"/>
    </row>
    <row r="181" spans="2:9" x14ac:dyDescent="0.2">
      <c r="B181" s="194" t="str">
        <f t="shared" si="0"/>
        <v>2026-070-3</v>
      </c>
      <c r="C181" s="195">
        <v>2026</v>
      </c>
      <c r="D181" s="196" t="s">
        <v>101</v>
      </c>
      <c r="E181" s="195">
        <v>3</v>
      </c>
      <c r="F181" s="24" t="s">
        <v>2570</v>
      </c>
      <c r="G181" s="195"/>
      <c r="H181" s="24" t="s">
        <v>3522</v>
      </c>
      <c r="I181" s="197"/>
    </row>
    <row r="182" spans="2:9" ht="27" x14ac:dyDescent="0.2">
      <c r="B182" s="194" t="str">
        <f t="shared" si="0"/>
        <v>2026-070-4</v>
      </c>
      <c r="C182" s="195">
        <v>2026</v>
      </c>
      <c r="D182" s="196" t="s">
        <v>101</v>
      </c>
      <c r="E182" s="195">
        <v>4</v>
      </c>
      <c r="F182" s="24" t="s">
        <v>2571</v>
      </c>
      <c r="G182" s="195" t="s">
        <v>3496</v>
      </c>
      <c r="H182" s="24" t="s">
        <v>3523</v>
      </c>
      <c r="I182" s="197" t="s">
        <v>3525</v>
      </c>
    </row>
    <row r="183" spans="2:9" x14ac:dyDescent="0.2">
      <c r="B183" s="198" t="str">
        <f t="shared" si="0"/>
        <v>2026-070-5</v>
      </c>
      <c r="C183" s="199">
        <v>2026</v>
      </c>
      <c r="D183" s="200" t="s">
        <v>101</v>
      </c>
      <c r="E183" s="199">
        <v>5</v>
      </c>
      <c r="F183" s="30" t="s">
        <v>2572</v>
      </c>
      <c r="G183" s="199"/>
      <c r="H183" s="30" t="s">
        <v>3524</v>
      </c>
      <c r="I183" s="201"/>
    </row>
    <row r="184" spans="2:9" ht="40.5" x14ac:dyDescent="0.2">
      <c r="B184" s="202" t="str">
        <f t="shared" si="0"/>
        <v>2026-071-0</v>
      </c>
      <c r="C184" s="203">
        <v>2026</v>
      </c>
      <c r="D184" s="204" t="s">
        <v>102</v>
      </c>
      <c r="E184" s="203">
        <v>0</v>
      </c>
      <c r="F184" s="36" t="s">
        <v>2379</v>
      </c>
      <c r="G184" s="203"/>
      <c r="H184" s="36" t="s">
        <v>2964</v>
      </c>
      <c r="I184" s="190" t="s">
        <v>3526</v>
      </c>
    </row>
    <row r="185" spans="2:9" x14ac:dyDescent="0.2">
      <c r="B185" s="194" t="str">
        <f t="shared" si="0"/>
        <v>2026-071-1</v>
      </c>
      <c r="C185" s="195">
        <v>2026</v>
      </c>
      <c r="D185" s="196" t="s">
        <v>102</v>
      </c>
      <c r="E185" s="195">
        <v>1</v>
      </c>
      <c r="F185" s="24">
        <v>2</v>
      </c>
      <c r="G185" s="195"/>
      <c r="H185" s="24"/>
      <c r="I185" s="197"/>
    </row>
    <row r="186" spans="2:9" x14ac:dyDescent="0.2">
      <c r="B186" s="194" t="str">
        <f t="shared" si="0"/>
        <v>2026-071-2</v>
      </c>
      <c r="C186" s="195">
        <v>2026</v>
      </c>
      <c r="D186" s="196" t="s">
        <v>102</v>
      </c>
      <c r="E186" s="195">
        <v>2</v>
      </c>
      <c r="F186" s="24">
        <v>3</v>
      </c>
      <c r="G186" s="195"/>
      <c r="H186" s="24"/>
      <c r="I186" s="197"/>
    </row>
    <row r="187" spans="2:9" x14ac:dyDescent="0.2">
      <c r="B187" s="194" t="str">
        <f t="shared" si="0"/>
        <v>2026-071-3</v>
      </c>
      <c r="C187" s="195">
        <v>2026</v>
      </c>
      <c r="D187" s="196" t="s">
        <v>102</v>
      </c>
      <c r="E187" s="195">
        <v>3</v>
      </c>
      <c r="F187" s="24">
        <v>4</v>
      </c>
      <c r="G187" s="195"/>
      <c r="H187" s="24"/>
      <c r="I187" s="197"/>
    </row>
    <row r="188" spans="2:9" x14ac:dyDescent="0.2">
      <c r="B188" s="194" t="str">
        <f t="shared" si="0"/>
        <v>2026-071-4</v>
      </c>
      <c r="C188" s="195">
        <v>2026</v>
      </c>
      <c r="D188" s="196" t="s">
        <v>102</v>
      </c>
      <c r="E188" s="195">
        <v>4</v>
      </c>
      <c r="F188" s="24">
        <v>5</v>
      </c>
      <c r="G188" s="195"/>
      <c r="H188" s="24"/>
      <c r="I188" s="197"/>
    </row>
    <row r="189" spans="2:9" x14ac:dyDescent="0.2">
      <c r="B189" s="198" t="str">
        <f t="shared" si="0"/>
        <v>2026-071-5</v>
      </c>
      <c r="C189" s="199">
        <v>2026</v>
      </c>
      <c r="D189" s="200" t="s">
        <v>102</v>
      </c>
      <c r="E189" s="199">
        <v>5</v>
      </c>
      <c r="F189" s="30">
        <v>6</v>
      </c>
      <c r="G189" s="199" t="s">
        <v>3496</v>
      </c>
      <c r="H189" s="30"/>
      <c r="I189" s="201"/>
    </row>
    <row r="190" spans="2:9" ht="67.5" x14ac:dyDescent="0.2">
      <c r="B190" s="202" t="str">
        <f t="shared" si="0"/>
        <v>2026-072-0</v>
      </c>
      <c r="C190" s="203">
        <v>2026</v>
      </c>
      <c r="D190" s="204" t="s">
        <v>103</v>
      </c>
      <c r="E190" s="203">
        <v>0</v>
      </c>
      <c r="F190" s="36" t="s">
        <v>2380</v>
      </c>
      <c r="G190" s="203"/>
      <c r="H190" s="36" t="s">
        <v>2965</v>
      </c>
      <c r="I190" s="190" t="s">
        <v>3527</v>
      </c>
    </row>
    <row r="191" spans="2:9" x14ac:dyDescent="0.2">
      <c r="B191" s="194" t="str">
        <f t="shared" ref="B191:B254" si="1">C191&amp;"-"&amp;D191&amp;"-"&amp;E191</f>
        <v>2026-072-1</v>
      </c>
      <c r="C191" s="195">
        <v>2026</v>
      </c>
      <c r="D191" s="196" t="s">
        <v>103</v>
      </c>
      <c r="E191" s="195">
        <v>1</v>
      </c>
      <c r="F191" s="24" t="s">
        <v>2573</v>
      </c>
      <c r="G191" s="195"/>
      <c r="H191" s="24"/>
      <c r="I191" s="197"/>
    </row>
    <row r="192" spans="2:9" x14ac:dyDescent="0.2">
      <c r="B192" s="194" t="str">
        <f t="shared" si="1"/>
        <v>2026-072-2</v>
      </c>
      <c r="C192" s="195">
        <v>2026</v>
      </c>
      <c r="D192" s="196" t="s">
        <v>103</v>
      </c>
      <c r="E192" s="195">
        <v>2</v>
      </c>
      <c r="F192" s="24" t="s">
        <v>2451</v>
      </c>
      <c r="G192" s="195"/>
      <c r="H192" s="24"/>
      <c r="I192" s="197"/>
    </row>
    <row r="193" spans="2:9" x14ac:dyDescent="0.2">
      <c r="B193" s="194" t="str">
        <f t="shared" si="1"/>
        <v>2026-072-3</v>
      </c>
      <c r="C193" s="195">
        <v>2026</v>
      </c>
      <c r="D193" s="196" t="s">
        <v>103</v>
      </c>
      <c r="E193" s="195">
        <v>3</v>
      </c>
      <c r="F193" s="24" t="s">
        <v>2574</v>
      </c>
      <c r="G193" s="195"/>
      <c r="H193" s="24"/>
      <c r="I193" s="197"/>
    </row>
    <row r="194" spans="2:9" x14ac:dyDescent="0.2">
      <c r="B194" s="194" t="str">
        <f t="shared" si="1"/>
        <v>2026-072-4</v>
      </c>
      <c r="C194" s="195">
        <v>2026</v>
      </c>
      <c r="D194" s="196" t="s">
        <v>103</v>
      </c>
      <c r="E194" s="195">
        <v>4</v>
      </c>
      <c r="F194" s="24" t="s">
        <v>2453</v>
      </c>
      <c r="G194" s="195" t="s">
        <v>3496</v>
      </c>
      <c r="H194" s="24"/>
      <c r="I194" s="197"/>
    </row>
    <row r="195" spans="2:9" x14ac:dyDescent="0.2">
      <c r="B195" s="198" t="str">
        <f t="shared" si="1"/>
        <v>2026-072-5</v>
      </c>
      <c r="C195" s="199">
        <v>2026</v>
      </c>
      <c r="D195" s="200" t="s">
        <v>103</v>
      </c>
      <c r="E195" s="199">
        <v>5</v>
      </c>
      <c r="F195" s="30" t="s">
        <v>2454</v>
      </c>
      <c r="G195" s="199"/>
      <c r="H195" s="30"/>
      <c r="I195" s="201"/>
    </row>
    <row r="196" spans="2:9" x14ac:dyDescent="0.2">
      <c r="B196" s="202" t="str">
        <f t="shared" si="1"/>
        <v>2026-073-0</v>
      </c>
      <c r="C196" s="203">
        <v>2026</v>
      </c>
      <c r="D196" s="204" t="s">
        <v>104</v>
      </c>
      <c r="E196" s="203">
        <v>0</v>
      </c>
      <c r="F196" s="36" t="s">
        <v>2381</v>
      </c>
      <c r="G196" s="203"/>
      <c r="H196" s="36" t="s">
        <v>2965</v>
      </c>
      <c r="I196" s="190"/>
    </row>
    <row r="197" spans="2:9" x14ac:dyDescent="0.2">
      <c r="B197" s="194" t="str">
        <f t="shared" si="1"/>
        <v>2026-073-1</v>
      </c>
      <c r="C197" s="195">
        <v>2026</v>
      </c>
      <c r="D197" s="196" t="s">
        <v>104</v>
      </c>
      <c r="E197" s="195">
        <v>1</v>
      </c>
      <c r="F197" s="24" t="s">
        <v>2575</v>
      </c>
      <c r="G197" s="195"/>
      <c r="H197" s="24" t="s">
        <v>3528</v>
      </c>
      <c r="I197" s="197"/>
    </row>
    <row r="198" spans="2:9" x14ac:dyDescent="0.2">
      <c r="B198" s="194" t="str">
        <f t="shared" si="1"/>
        <v>2026-073-2</v>
      </c>
      <c r="C198" s="195">
        <v>2026</v>
      </c>
      <c r="D198" s="196" t="s">
        <v>104</v>
      </c>
      <c r="E198" s="195">
        <v>2</v>
      </c>
      <c r="F198" s="24" t="s">
        <v>2786</v>
      </c>
      <c r="G198" s="195"/>
      <c r="H198" s="24" t="s">
        <v>3529</v>
      </c>
      <c r="I198" s="197"/>
    </row>
    <row r="199" spans="2:9" x14ac:dyDescent="0.2">
      <c r="B199" s="194" t="str">
        <f t="shared" si="1"/>
        <v>2026-073-3</v>
      </c>
      <c r="C199" s="195">
        <v>2026</v>
      </c>
      <c r="D199" s="196" t="s">
        <v>104</v>
      </c>
      <c r="E199" s="195">
        <v>3</v>
      </c>
      <c r="F199" s="24" t="s">
        <v>2576</v>
      </c>
      <c r="G199" s="195"/>
      <c r="H199" s="24" t="s">
        <v>3530</v>
      </c>
      <c r="I199" s="197"/>
    </row>
    <row r="200" spans="2:9" x14ac:dyDescent="0.2">
      <c r="B200" s="194" t="str">
        <f t="shared" si="1"/>
        <v>2026-073-4</v>
      </c>
      <c r="C200" s="195">
        <v>2026</v>
      </c>
      <c r="D200" s="196" t="s">
        <v>104</v>
      </c>
      <c r="E200" s="195">
        <v>4</v>
      </c>
      <c r="F200" s="24" t="s">
        <v>2577</v>
      </c>
      <c r="G200" s="195"/>
      <c r="H200" s="24" t="s">
        <v>3531</v>
      </c>
      <c r="I200" s="197"/>
    </row>
    <row r="201" spans="2:9" x14ac:dyDescent="0.2">
      <c r="B201" s="198" t="str">
        <f t="shared" si="1"/>
        <v>2026-073-5</v>
      </c>
      <c r="C201" s="199">
        <v>2026</v>
      </c>
      <c r="D201" s="200" t="s">
        <v>104</v>
      </c>
      <c r="E201" s="199">
        <v>5</v>
      </c>
      <c r="F201" s="30" t="s">
        <v>2578</v>
      </c>
      <c r="G201" s="199" t="s">
        <v>3496</v>
      </c>
      <c r="H201" s="30" t="s">
        <v>3532</v>
      </c>
      <c r="I201" s="201" t="s">
        <v>3533</v>
      </c>
    </row>
    <row r="202" spans="2:9" x14ac:dyDescent="0.2">
      <c r="B202" s="202" t="str">
        <f t="shared" si="1"/>
        <v>2026-074-0</v>
      </c>
      <c r="C202" s="203">
        <v>2026</v>
      </c>
      <c r="D202" s="204" t="s">
        <v>105</v>
      </c>
      <c r="E202" s="203">
        <v>0</v>
      </c>
      <c r="F202" s="36" t="s">
        <v>2382</v>
      </c>
      <c r="G202" s="203"/>
      <c r="H202" s="36" t="s">
        <v>3586</v>
      </c>
      <c r="I202" s="190"/>
    </row>
    <row r="203" spans="2:9" x14ac:dyDescent="0.2">
      <c r="B203" s="194" t="str">
        <f t="shared" si="1"/>
        <v>2026-074-1</v>
      </c>
      <c r="C203" s="195">
        <v>2026</v>
      </c>
      <c r="D203" s="196" t="s">
        <v>105</v>
      </c>
      <c r="E203" s="195">
        <v>1</v>
      </c>
      <c r="F203" s="24" t="s">
        <v>2579</v>
      </c>
      <c r="G203" s="195"/>
      <c r="H203" s="24" t="s">
        <v>3535</v>
      </c>
      <c r="I203" s="197" t="s">
        <v>3541</v>
      </c>
    </row>
    <row r="204" spans="2:9" x14ac:dyDescent="0.2">
      <c r="B204" s="194" t="str">
        <f t="shared" si="1"/>
        <v>2026-074-2</v>
      </c>
      <c r="C204" s="195">
        <v>2026</v>
      </c>
      <c r="D204" s="196" t="s">
        <v>105</v>
      </c>
      <c r="E204" s="195">
        <v>2</v>
      </c>
      <c r="F204" s="24" t="s">
        <v>2580</v>
      </c>
      <c r="G204" s="195"/>
      <c r="H204" s="24" t="s">
        <v>3536</v>
      </c>
      <c r="I204" s="197" t="s">
        <v>3631</v>
      </c>
    </row>
    <row r="205" spans="2:9" ht="27" x14ac:dyDescent="0.2">
      <c r="B205" s="194" t="str">
        <f t="shared" si="1"/>
        <v>2026-074-3</v>
      </c>
      <c r="C205" s="195">
        <v>2026</v>
      </c>
      <c r="D205" s="196" t="s">
        <v>105</v>
      </c>
      <c r="E205" s="195">
        <v>3</v>
      </c>
      <c r="F205" s="24" t="s">
        <v>2581</v>
      </c>
      <c r="G205" s="195"/>
      <c r="H205" s="24" t="s">
        <v>3537</v>
      </c>
      <c r="I205" s="197" t="s">
        <v>3539</v>
      </c>
    </row>
    <row r="206" spans="2:9" ht="27" x14ac:dyDescent="0.2">
      <c r="B206" s="194" t="str">
        <f t="shared" si="1"/>
        <v>2026-074-4</v>
      </c>
      <c r="C206" s="195">
        <v>2026</v>
      </c>
      <c r="D206" s="196" t="s">
        <v>105</v>
      </c>
      <c r="E206" s="195">
        <v>4</v>
      </c>
      <c r="F206" s="24" t="s">
        <v>2582</v>
      </c>
      <c r="G206" s="195" t="s">
        <v>3496</v>
      </c>
      <c r="H206" s="24" t="s">
        <v>3537</v>
      </c>
      <c r="I206" s="197" t="s">
        <v>3538</v>
      </c>
    </row>
    <row r="207" spans="2:9" x14ac:dyDescent="0.2">
      <c r="B207" s="198" t="str">
        <f t="shared" si="1"/>
        <v>2026-074-5</v>
      </c>
      <c r="C207" s="199">
        <v>2026</v>
      </c>
      <c r="D207" s="200" t="s">
        <v>105</v>
      </c>
      <c r="E207" s="199">
        <v>5</v>
      </c>
      <c r="F207" s="30" t="s">
        <v>2583</v>
      </c>
      <c r="G207" s="199"/>
      <c r="H207" s="30" t="s">
        <v>3537</v>
      </c>
      <c r="I207" s="201" t="s">
        <v>3540</v>
      </c>
    </row>
    <row r="208" spans="2:9" x14ac:dyDescent="0.2">
      <c r="B208" s="202" t="str">
        <f t="shared" si="1"/>
        <v>2026-075-0</v>
      </c>
      <c r="C208" s="203">
        <v>2026</v>
      </c>
      <c r="D208" s="204" t="s">
        <v>106</v>
      </c>
      <c r="E208" s="203">
        <v>0</v>
      </c>
      <c r="F208" s="36" t="s">
        <v>2383</v>
      </c>
      <c r="G208" s="203"/>
      <c r="H208" s="36" t="s">
        <v>3586</v>
      </c>
      <c r="I208" s="190"/>
    </row>
    <row r="209" spans="2:9" ht="27" x14ac:dyDescent="0.2">
      <c r="B209" s="194" t="str">
        <f t="shared" si="1"/>
        <v>2026-075-1</v>
      </c>
      <c r="C209" s="195">
        <v>2026</v>
      </c>
      <c r="D209" s="196" t="s">
        <v>106</v>
      </c>
      <c r="E209" s="195">
        <v>1</v>
      </c>
      <c r="F209" s="24" t="s">
        <v>2584</v>
      </c>
      <c r="G209" s="195"/>
      <c r="H209" s="24" t="s">
        <v>3534</v>
      </c>
      <c r="I209" s="197" t="s">
        <v>3544</v>
      </c>
    </row>
    <row r="210" spans="2:9" ht="27" x14ac:dyDescent="0.2">
      <c r="B210" s="194" t="str">
        <f t="shared" si="1"/>
        <v>2026-075-2</v>
      </c>
      <c r="C210" s="195">
        <v>2026</v>
      </c>
      <c r="D210" s="196" t="s">
        <v>106</v>
      </c>
      <c r="E210" s="195">
        <v>2</v>
      </c>
      <c r="F210" s="24" t="s">
        <v>2585</v>
      </c>
      <c r="G210" s="195"/>
      <c r="H210" s="24" t="s">
        <v>3542</v>
      </c>
      <c r="I210" s="197" t="s">
        <v>3545</v>
      </c>
    </row>
    <row r="211" spans="2:9" x14ac:dyDescent="0.2">
      <c r="B211" s="194" t="str">
        <f t="shared" si="1"/>
        <v>2026-075-3</v>
      </c>
      <c r="C211" s="195">
        <v>2026</v>
      </c>
      <c r="D211" s="196" t="s">
        <v>106</v>
      </c>
      <c r="E211" s="195">
        <v>3</v>
      </c>
      <c r="F211" s="24" t="s">
        <v>2586</v>
      </c>
      <c r="G211" s="195"/>
      <c r="H211" s="24" t="s">
        <v>3547</v>
      </c>
      <c r="I211" s="197" t="s">
        <v>3546</v>
      </c>
    </row>
    <row r="212" spans="2:9" ht="27" x14ac:dyDescent="0.2">
      <c r="B212" s="194" t="str">
        <f t="shared" si="1"/>
        <v>2026-075-4</v>
      </c>
      <c r="C212" s="195">
        <v>2026</v>
      </c>
      <c r="D212" s="196" t="s">
        <v>106</v>
      </c>
      <c r="E212" s="195">
        <v>4</v>
      </c>
      <c r="F212" s="24" t="s">
        <v>2587</v>
      </c>
      <c r="G212" s="195" t="s">
        <v>3496</v>
      </c>
      <c r="H212" s="24" t="s">
        <v>3534</v>
      </c>
      <c r="I212" s="197"/>
    </row>
    <row r="213" spans="2:9" x14ac:dyDescent="0.2">
      <c r="B213" s="198" t="str">
        <f t="shared" si="1"/>
        <v>2026-075-5</v>
      </c>
      <c r="C213" s="199">
        <v>2026</v>
      </c>
      <c r="D213" s="200" t="s">
        <v>106</v>
      </c>
      <c r="E213" s="199">
        <v>5</v>
      </c>
      <c r="F213" s="30" t="s">
        <v>2588</v>
      </c>
      <c r="G213" s="199"/>
      <c r="H213" s="30" t="s">
        <v>3543</v>
      </c>
      <c r="I213" s="201" t="s">
        <v>3548</v>
      </c>
    </row>
    <row r="214" spans="2:9" x14ac:dyDescent="0.2">
      <c r="B214" s="202" t="str">
        <f t="shared" si="1"/>
        <v>2026-076-0</v>
      </c>
      <c r="C214" s="203">
        <v>2026</v>
      </c>
      <c r="D214" s="204" t="s">
        <v>107</v>
      </c>
      <c r="E214" s="203">
        <v>0</v>
      </c>
      <c r="F214" s="36" t="s">
        <v>2384</v>
      </c>
      <c r="G214" s="203"/>
      <c r="H214" s="36" t="s">
        <v>3586</v>
      </c>
      <c r="I214" s="190"/>
    </row>
    <row r="215" spans="2:9" x14ac:dyDescent="0.2">
      <c r="B215" s="194" t="str">
        <f t="shared" si="1"/>
        <v>2026-076-1</v>
      </c>
      <c r="C215" s="195">
        <v>2026</v>
      </c>
      <c r="D215" s="196" t="s">
        <v>107</v>
      </c>
      <c r="E215" s="195">
        <v>1</v>
      </c>
      <c r="F215" s="24" t="s">
        <v>2589</v>
      </c>
      <c r="G215" s="195"/>
      <c r="H215" s="24" t="s">
        <v>3549</v>
      </c>
      <c r="I215" s="197"/>
    </row>
    <row r="216" spans="2:9" x14ac:dyDescent="0.2">
      <c r="B216" s="194" t="str">
        <f t="shared" si="1"/>
        <v>2026-076-2</v>
      </c>
      <c r="C216" s="195">
        <v>2026</v>
      </c>
      <c r="D216" s="196" t="s">
        <v>107</v>
      </c>
      <c r="E216" s="195">
        <v>2</v>
      </c>
      <c r="F216" s="24" t="s">
        <v>2590</v>
      </c>
      <c r="G216" s="195"/>
      <c r="H216" s="24" t="s">
        <v>3550</v>
      </c>
      <c r="I216" s="197"/>
    </row>
    <row r="217" spans="2:9" ht="27" x14ac:dyDescent="0.2">
      <c r="B217" s="194" t="str">
        <f t="shared" si="1"/>
        <v>2026-076-3</v>
      </c>
      <c r="C217" s="195">
        <v>2026</v>
      </c>
      <c r="D217" s="196" t="s">
        <v>107</v>
      </c>
      <c r="E217" s="195">
        <v>3</v>
      </c>
      <c r="F217" s="24" t="s">
        <v>2591</v>
      </c>
      <c r="G217" s="195"/>
      <c r="H217" s="24" t="s">
        <v>3554</v>
      </c>
      <c r="I217" s="197" t="s">
        <v>3555</v>
      </c>
    </row>
    <row r="218" spans="2:9" ht="27" x14ac:dyDescent="0.2">
      <c r="B218" s="194" t="str">
        <f t="shared" si="1"/>
        <v>2026-076-4</v>
      </c>
      <c r="C218" s="195">
        <v>2026</v>
      </c>
      <c r="D218" s="196" t="s">
        <v>107</v>
      </c>
      <c r="E218" s="195">
        <v>4</v>
      </c>
      <c r="F218" s="24" t="s">
        <v>2592</v>
      </c>
      <c r="G218" s="195"/>
      <c r="H218" s="24" t="s">
        <v>3551</v>
      </c>
      <c r="I218" s="197"/>
    </row>
    <row r="219" spans="2:9" x14ac:dyDescent="0.2">
      <c r="B219" s="198" t="str">
        <f t="shared" si="1"/>
        <v>2026-076-5</v>
      </c>
      <c r="C219" s="199">
        <v>2026</v>
      </c>
      <c r="D219" s="200" t="s">
        <v>107</v>
      </c>
      <c r="E219" s="199">
        <v>5</v>
      </c>
      <c r="F219" s="30" t="s">
        <v>2593</v>
      </c>
      <c r="G219" s="199" t="s">
        <v>3496</v>
      </c>
      <c r="H219" s="30" t="s">
        <v>3553</v>
      </c>
      <c r="I219" s="201" t="s">
        <v>3552</v>
      </c>
    </row>
    <row r="220" spans="2:9" x14ac:dyDescent="0.2">
      <c r="B220" s="202" t="str">
        <f t="shared" si="1"/>
        <v>2026-077-0</v>
      </c>
      <c r="C220" s="203">
        <v>2026</v>
      </c>
      <c r="D220" s="204" t="s">
        <v>108</v>
      </c>
      <c r="E220" s="203">
        <v>0</v>
      </c>
      <c r="F220" s="36" t="s">
        <v>2385</v>
      </c>
      <c r="G220" s="203"/>
      <c r="H220" s="36" t="s">
        <v>3572</v>
      </c>
      <c r="I220" s="190"/>
    </row>
    <row r="221" spans="2:9" x14ac:dyDescent="0.2">
      <c r="B221" s="194" t="str">
        <f t="shared" si="1"/>
        <v>2026-077-1</v>
      </c>
      <c r="C221" s="195">
        <v>2026</v>
      </c>
      <c r="D221" s="196" t="s">
        <v>108</v>
      </c>
      <c r="E221" s="195">
        <v>1</v>
      </c>
      <c r="F221" s="24" t="s">
        <v>2594</v>
      </c>
      <c r="G221" s="195"/>
      <c r="H221" s="24" t="s">
        <v>3558</v>
      </c>
      <c r="I221" s="197"/>
    </row>
    <row r="222" spans="2:9" ht="27" x14ac:dyDescent="0.2">
      <c r="B222" s="194" t="str">
        <f t="shared" si="1"/>
        <v>2026-077-2</v>
      </c>
      <c r="C222" s="195">
        <v>2026</v>
      </c>
      <c r="D222" s="196" t="s">
        <v>108</v>
      </c>
      <c r="E222" s="195">
        <v>2</v>
      </c>
      <c r="F222" s="24" t="s">
        <v>2595</v>
      </c>
      <c r="G222" s="195" t="s">
        <v>3496</v>
      </c>
      <c r="H222" s="24" t="s">
        <v>3559</v>
      </c>
      <c r="I222" s="197" t="s">
        <v>3560</v>
      </c>
    </row>
    <row r="223" spans="2:9" ht="27" x14ac:dyDescent="0.2">
      <c r="B223" s="194" t="str">
        <f t="shared" si="1"/>
        <v>2026-077-3</v>
      </c>
      <c r="C223" s="195">
        <v>2026</v>
      </c>
      <c r="D223" s="196" t="s">
        <v>108</v>
      </c>
      <c r="E223" s="195">
        <v>3</v>
      </c>
      <c r="F223" s="24" t="s">
        <v>2787</v>
      </c>
      <c r="G223" s="195"/>
      <c r="H223" s="24" t="s">
        <v>3561</v>
      </c>
      <c r="I223" s="197"/>
    </row>
    <row r="224" spans="2:9" x14ac:dyDescent="0.2">
      <c r="B224" s="194" t="str">
        <f t="shared" si="1"/>
        <v>2026-077-4</v>
      </c>
      <c r="C224" s="195">
        <v>2026</v>
      </c>
      <c r="D224" s="196" t="s">
        <v>108</v>
      </c>
      <c r="E224" s="195">
        <v>4</v>
      </c>
      <c r="F224" s="24" t="s">
        <v>2596</v>
      </c>
      <c r="G224" s="195"/>
      <c r="H224" s="24" t="s">
        <v>3562</v>
      </c>
      <c r="I224" s="197"/>
    </row>
    <row r="225" spans="2:9" x14ac:dyDescent="0.2">
      <c r="B225" s="198" t="str">
        <f t="shared" si="1"/>
        <v>2026-077-5</v>
      </c>
      <c r="C225" s="199">
        <v>2026</v>
      </c>
      <c r="D225" s="200" t="s">
        <v>108</v>
      </c>
      <c r="E225" s="199">
        <v>5</v>
      </c>
      <c r="F225" s="30" t="s">
        <v>2597</v>
      </c>
      <c r="G225" s="199"/>
      <c r="H225" s="30" t="s">
        <v>3563</v>
      </c>
      <c r="I225" s="201"/>
    </row>
    <row r="226" spans="2:9" x14ac:dyDescent="0.2">
      <c r="B226" s="202" t="str">
        <f t="shared" si="1"/>
        <v>2026-078-0</v>
      </c>
      <c r="C226" s="203">
        <v>2026</v>
      </c>
      <c r="D226" s="204" t="s">
        <v>109</v>
      </c>
      <c r="E226" s="203">
        <v>0</v>
      </c>
      <c r="F226" s="36" t="s">
        <v>2386</v>
      </c>
      <c r="G226" s="203"/>
      <c r="H226" s="36" t="s">
        <v>3572</v>
      </c>
      <c r="I226" s="190"/>
    </row>
    <row r="227" spans="2:9" x14ac:dyDescent="0.2">
      <c r="B227" s="194" t="str">
        <f t="shared" si="1"/>
        <v>2026-078-1</v>
      </c>
      <c r="C227" s="195">
        <v>2026</v>
      </c>
      <c r="D227" s="196" t="s">
        <v>109</v>
      </c>
      <c r="E227" s="195">
        <v>1</v>
      </c>
      <c r="F227" s="24" t="s">
        <v>2598</v>
      </c>
      <c r="G227" s="195"/>
      <c r="H227" s="24" t="s">
        <v>3564</v>
      </c>
      <c r="I227" s="197" t="s">
        <v>3565</v>
      </c>
    </row>
    <row r="228" spans="2:9" ht="27" x14ac:dyDescent="0.2">
      <c r="B228" s="194" t="str">
        <f t="shared" si="1"/>
        <v>2026-078-2</v>
      </c>
      <c r="C228" s="195">
        <v>2026</v>
      </c>
      <c r="D228" s="196" t="s">
        <v>109</v>
      </c>
      <c r="E228" s="195">
        <v>2</v>
      </c>
      <c r="F228" s="24" t="s">
        <v>2599</v>
      </c>
      <c r="G228" s="195"/>
      <c r="H228" s="24" t="s">
        <v>3566</v>
      </c>
      <c r="I228" s="197" t="s">
        <v>3567</v>
      </c>
    </row>
    <row r="229" spans="2:9" ht="27" x14ac:dyDescent="0.2">
      <c r="B229" s="194" t="str">
        <f t="shared" si="1"/>
        <v>2026-078-3</v>
      </c>
      <c r="C229" s="195">
        <v>2026</v>
      </c>
      <c r="D229" s="196" t="s">
        <v>109</v>
      </c>
      <c r="E229" s="195">
        <v>3</v>
      </c>
      <c r="F229" s="24" t="s">
        <v>2788</v>
      </c>
      <c r="G229" s="195"/>
      <c r="H229" s="24" t="s">
        <v>3568</v>
      </c>
      <c r="I229" s="197" t="s">
        <v>3569</v>
      </c>
    </row>
    <row r="230" spans="2:9" x14ac:dyDescent="0.2">
      <c r="B230" s="194" t="str">
        <f t="shared" si="1"/>
        <v>2026-078-4</v>
      </c>
      <c r="C230" s="195">
        <v>2026</v>
      </c>
      <c r="D230" s="196" t="s">
        <v>109</v>
      </c>
      <c r="E230" s="195">
        <v>4</v>
      </c>
      <c r="F230" s="24" t="s">
        <v>2600</v>
      </c>
      <c r="G230" s="195" t="s">
        <v>3496</v>
      </c>
      <c r="H230" s="24" t="s">
        <v>3571</v>
      </c>
      <c r="I230" s="197"/>
    </row>
    <row r="231" spans="2:9" x14ac:dyDescent="0.2">
      <c r="B231" s="198" t="str">
        <f t="shared" si="1"/>
        <v>2026-078-5</v>
      </c>
      <c r="C231" s="199">
        <v>2026</v>
      </c>
      <c r="D231" s="200" t="s">
        <v>109</v>
      </c>
      <c r="E231" s="199">
        <v>5</v>
      </c>
      <c r="F231" s="30" t="s">
        <v>2601</v>
      </c>
      <c r="G231" s="199"/>
      <c r="H231" s="30" t="s">
        <v>3570</v>
      </c>
      <c r="I231" s="201" t="s">
        <v>3632</v>
      </c>
    </row>
    <row r="232" spans="2:9" x14ac:dyDescent="0.2">
      <c r="B232" s="202" t="str">
        <f t="shared" si="1"/>
        <v>2026-079-0</v>
      </c>
      <c r="C232" s="203">
        <v>2026</v>
      </c>
      <c r="D232" s="204" t="s">
        <v>110</v>
      </c>
      <c r="E232" s="203">
        <v>0</v>
      </c>
      <c r="F232" s="36" t="s">
        <v>2387</v>
      </c>
      <c r="G232" s="203"/>
      <c r="H232" s="36" t="s">
        <v>3572</v>
      </c>
      <c r="I232" s="190"/>
    </row>
    <row r="233" spans="2:9" x14ac:dyDescent="0.2">
      <c r="B233" s="194" t="str">
        <f t="shared" si="1"/>
        <v>2026-079-1</v>
      </c>
      <c r="C233" s="195">
        <v>2026</v>
      </c>
      <c r="D233" s="196" t="s">
        <v>110</v>
      </c>
      <c r="E233" s="195">
        <v>1</v>
      </c>
      <c r="F233" s="24" t="s">
        <v>2602</v>
      </c>
      <c r="G233" s="195"/>
      <c r="H233" s="24" t="s">
        <v>3573</v>
      </c>
      <c r="I233" s="197"/>
    </row>
    <row r="234" spans="2:9" x14ac:dyDescent="0.2">
      <c r="B234" s="194" t="str">
        <f t="shared" si="1"/>
        <v>2026-079-2</v>
      </c>
      <c r="C234" s="195">
        <v>2026</v>
      </c>
      <c r="D234" s="196" t="s">
        <v>110</v>
      </c>
      <c r="E234" s="195">
        <v>2</v>
      </c>
      <c r="F234" s="24" t="s">
        <v>1351</v>
      </c>
      <c r="G234" s="195"/>
      <c r="H234" s="24" t="s">
        <v>3574</v>
      </c>
      <c r="I234" s="197"/>
    </row>
    <row r="235" spans="2:9" ht="27" x14ac:dyDescent="0.2">
      <c r="B235" s="194" t="str">
        <f t="shared" si="1"/>
        <v>2026-079-3</v>
      </c>
      <c r="C235" s="195">
        <v>2026</v>
      </c>
      <c r="D235" s="196" t="s">
        <v>110</v>
      </c>
      <c r="E235" s="195">
        <v>3</v>
      </c>
      <c r="F235" s="24" t="s">
        <v>2603</v>
      </c>
      <c r="G235" s="195"/>
      <c r="H235" s="24" t="s">
        <v>3575</v>
      </c>
      <c r="I235" s="197"/>
    </row>
    <row r="236" spans="2:9" x14ac:dyDescent="0.2">
      <c r="B236" s="194" t="str">
        <f t="shared" si="1"/>
        <v>2026-079-4</v>
      </c>
      <c r="C236" s="195">
        <v>2026</v>
      </c>
      <c r="D236" s="196" t="s">
        <v>110</v>
      </c>
      <c r="E236" s="195">
        <v>4</v>
      </c>
      <c r="F236" s="24" t="s">
        <v>2604</v>
      </c>
      <c r="G236" s="195" t="s">
        <v>3496</v>
      </c>
      <c r="H236" s="24" t="s">
        <v>3576</v>
      </c>
      <c r="I236" s="197" t="s">
        <v>3578</v>
      </c>
    </row>
    <row r="237" spans="2:9" x14ac:dyDescent="0.2">
      <c r="B237" s="198" t="str">
        <f t="shared" si="1"/>
        <v>2026-079-5</v>
      </c>
      <c r="C237" s="199">
        <v>2026</v>
      </c>
      <c r="D237" s="200" t="s">
        <v>110</v>
      </c>
      <c r="E237" s="199">
        <v>5</v>
      </c>
      <c r="F237" s="30" t="s">
        <v>2605</v>
      </c>
      <c r="G237" s="199"/>
      <c r="H237" s="30" t="s">
        <v>3577</v>
      </c>
      <c r="I237" s="201"/>
    </row>
    <row r="238" spans="2:9" x14ac:dyDescent="0.2">
      <c r="B238" s="202" t="str">
        <f t="shared" si="1"/>
        <v>2026-080-0</v>
      </c>
      <c r="C238" s="203">
        <v>2026</v>
      </c>
      <c r="D238" s="204" t="s">
        <v>111</v>
      </c>
      <c r="E238" s="203">
        <v>0</v>
      </c>
      <c r="F238" s="36" t="s">
        <v>2388</v>
      </c>
      <c r="G238" s="203"/>
      <c r="H238" s="36" t="s">
        <v>2949</v>
      </c>
      <c r="I238" s="190"/>
    </row>
    <row r="239" spans="2:9" ht="27" x14ac:dyDescent="0.2">
      <c r="B239" s="194" t="str">
        <f t="shared" si="1"/>
        <v>2026-080-1</v>
      </c>
      <c r="C239" s="195">
        <v>2026</v>
      </c>
      <c r="D239" s="196" t="s">
        <v>111</v>
      </c>
      <c r="E239" s="195">
        <v>1</v>
      </c>
      <c r="F239" s="24" t="s">
        <v>2606</v>
      </c>
      <c r="G239" s="195"/>
      <c r="H239" s="24" t="s">
        <v>3556</v>
      </c>
      <c r="I239" s="197"/>
    </row>
    <row r="240" spans="2:9" ht="27" x14ac:dyDescent="0.2">
      <c r="B240" s="194" t="str">
        <f t="shared" si="1"/>
        <v>2026-080-2</v>
      </c>
      <c r="C240" s="195">
        <v>2026</v>
      </c>
      <c r="D240" s="196" t="s">
        <v>111</v>
      </c>
      <c r="E240" s="195">
        <v>2</v>
      </c>
      <c r="F240" s="24" t="s">
        <v>2607</v>
      </c>
      <c r="G240" s="195"/>
      <c r="H240" s="24" t="s">
        <v>3556</v>
      </c>
      <c r="I240" s="197"/>
    </row>
    <row r="241" spans="2:9" x14ac:dyDescent="0.2">
      <c r="B241" s="194" t="str">
        <f t="shared" si="1"/>
        <v>2026-080-3</v>
      </c>
      <c r="C241" s="195">
        <v>2026</v>
      </c>
      <c r="D241" s="196" t="s">
        <v>111</v>
      </c>
      <c r="E241" s="195">
        <v>3</v>
      </c>
      <c r="F241" s="24" t="s">
        <v>2608</v>
      </c>
      <c r="G241" s="195" t="s">
        <v>3496</v>
      </c>
      <c r="H241" s="24" t="s">
        <v>3556</v>
      </c>
      <c r="I241" s="197" t="s">
        <v>3633</v>
      </c>
    </row>
    <row r="242" spans="2:9" x14ac:dyDescent="0.2">
      <c r="B242" s="194" t="str">
        <f t="shared" si="1"/>
        <v>2026-080-4</v>
      </c>
      <c r="C242" s="195">
        <v>2026</v>
      </c>
      <c r="D242" s="196" t="s">
        <v>111</v>
      </c>
      <c r="E242" s="195">
        <v>4</v>
      </c>
      <c r="F242" s="24" t="s">
        <v>2609</v>
      </c>
      <c r="G242" s="195"/>
      <c r="H242" s="24" t="s">
        <v>3556</v>
      </c>
      <c r="I242" s="197"/>
    </row>
    <row r="243" spans="2:9" ht="14.25" thickBot="1" x14ac:dyDescent="0.25">
      <c r="B243" s="205" t="str">
        <f t="shared" si="1"/>
        <v>2026-080-5</v>
      </c>
      <c r="C243" s="206">
        <v>2026</v>
      </c>
      <c r="D243" s="207" t="s">
        <v>111</v>
      </c>
      <c r="E243" s="206">
        <v>5</v>
      </c>
      <c r="F243" s="42" t="s">
        <v>2789</v>
      </c>
      <c r="G243" s="206"/>
      <c r="H243" s="42" t="s">
        <v>3557</v>
      </c>
      <c r="I243" s="208"/>
    </row>
    <row r="244" spans="2:9" x14ac:dyDescent="0.2">
      <c r="B244" s="15" t="str">
        <f t="shared" si="1"/>
        <v>2025-041-0</v>
      </c>
      <c r="C244" s="16">
        <v>2025</v>
      </c>
      <c r="D244" s="17" t="s">
        <v>72</v>
      </c>
      <c r="E244" s="16">
        <v>0</v>
      </c>
      <c r="F244" s="18" t="s">
        <v>2389</v>
      </c>
      <c r="G244" s="16"/>
      <c r="H244" s="19"/>
      <c r="I244" s="20"/>
    </row>
    <row r="245" spans="2:9" x14ac:dyDescent="0.2">
      <c r="B245" s="21" t="str">
        <f t="shared" si="1"/>
        <v>2025-041-1</v>
      </c>
      <c r="C245" s="22">
        <v>2025</v>
      </c>
      <c r="D245" s="23" t="s">
        <v>72</v>
      </c>
      <c r="E245" s="22">
        <v>1</v>
      </c>
      <c r="F245" s="24" t="s">
        <v>2610</v>
      </c>
      <c r="G245" s="22"/>
      <c r="H245" s="25"/>
      <c r="I245" s="26"/>
    </row>
    <row r="246" spans="2:9" x14ac:dyDescent="0.2">
      <c r="B246" s="21" t="str">
        <f t="shared" si="1"/>
        <v>2025-041-2</v>
      </c>
      <c r="C246" s="22">
        <v>2025</v>
      </c>
      <c r="D246" s="23" t="s">
        <v>72</v>
      </c>
      <c r="E246" s="22">
        <v>2</v>
      </c>
      <c r="F246" s="24" t="s">
        <v>3634</v>
      </c>
      <c r="G246" s="22"/>
      <c r="H246" s="25"/>
      <c r="I246" s="26"/>
    </row>
    <row r="247" spans="2:9" x14ac:dyDescent="0.2">
      <c r="B247" s="21" t="str">
        <f t="shared" si="1"/>
        <v>2025-041-3</v>
      </c>
      <c r="C247" s="22">
        <v>2025</v>
      </c>
      <c r="D247" s="23" t="s">
        <v>72</v>
      </c>
      <c r="E247" s="22">
        <v>3</v>
      </c>
      <c r="F247" s="24" t="s">
        <v>2611</v>
      </c>
      <c r="G247" s="22" t="s">
        <v>3391</v>
      </c>
      <c r="H247" s="25"/>
      <c r="I247" s="26"/>
    </row>
    <row r="248" spans="2:9" x14ac:dyDescent="0.2">
      <c r="B248" s="21" t="str">
        <f t="shared" si="1"/>
        <v>2025-041-4</v>
      </c>
      <c r="C248" s="22">
        <v>2025</v>
      </c>
      <c r="D248" s="23" t="s">
        <v>72</v>
      </c>
      <c r="E248" s="22">
        <v>4</v>
      </c>
      <c r="F248" s="24" t="s">
        <v>2612</v>
      </c>
      <c r="G248" s="22"/>
      <c r="H248" s="25"/>
      <c r="I248" s="26"/>
    </row>
    <row r="249" spans="2:9" x14ac:dyDescent="0.2">
      <c r="B249" s="27" t="str">
        <f t="shared" si="1"/>
        <v>2025-041-5</v>
      </c>
      <c r="C249" s="28">
        <v>2025</v>
      </c>
      <c r="D249" s="29" t="s">
        <v>72</v>
      </c>
      <c r="E249" s="28">
        <v>5</v>
      </c>
      <c r="F249" s="30" t="s">
        <v>964</v>
      </c>
      <c r="G249" s="28"/>
      <c r="H249" s="31"/>
      <c r="I249" s="32"/>
    </row>
    <row r="250" spans="2:9" ht="67.5" x14ac:dyDescent="0.2">
      <c r="B250" s="33" t="str">
        <f t="shared" si="1"/>
        <v>2025-042-0</v>
      </c>
      <c r="C250" s="34">
        <v>2025</v>
      </c>
      <c r="D250" s="35" t="s">
        <v>73</v>
      </c>
      <c r="E250" s="34">
        <v>0</v>
      </c>
      <c r="F250" s="36" t="s">
        <v>2390</v>
      </c>
      <c r="G250" s="34"/>
      <c r="H250" s="37"/>
      <c r="I250" s="38"/>
    </row>
    <row r="251" spans="2:9" x14ac:dyDescent="0.2">
      <c r="B251" s="21" t="str">
        <f t="shared" si="1"/>
        <v>2025-042-1</v>
      </c>
      <c r="C251" s="22">
        <v>2025</v>
      </c>
      <c r="D251" s="23" t="s">
        <v>73</v>
      </c>
      <c r="E251" s="22">
        <v>1</v>
      </c>
      <c r="F251" s="24" t="s">
        <v>2450</v>
      </c>
      <c r="G251" s="22"/>
      <c r="H251" s="25"/>
      <c r="I251" s="26"/>
    </row>
    <row r="252" spans="2:9" x14ac:dyDescent="0.2">
      <c r="B252" s="21" t="str">
        <f t="shared" si="1"/>
        <v>2025-042-2</v>
      </c>
      <c r="C252" s="22">
        <v>2025</v>
      </c>
      <c r="D252" s="23" t="s">
        <v>73</v>
      </c>
      <c r="E252" s="22">
        <v>2</v>
      </c>
      <c r="F252" s="24" t="s">
        <v>2451</v>
      </c>
      <c r="G252" s="22"/>
      <c r="H252" s="25"/>
      <c r="I252" s="26"/>
    </row>
    <row r="253" spans="2:9" x14ac:dyDescent="0.2">
      <c r="B253" s="21" t="str">
        <f t="shared" si="1"/>
        <v>2025-042-3</v>
      </c>
      <c r="C253" s="22">
        <v>2025</v>
      </c>
      <c r="D253" s="23" t="s">
        <v>73</v>
      </c>
      <c r="E253" s="22">
        <v>3</v>
      </c>
      <c r="F253" s="24" t="s">
        <v>2613</v>
      </c>
      <c r="G253" s="22" t="s">
        <v>3391</v>
      </c>
      <c r="H253" s="25"/>
      <c r="I253" s="26"/>
    </row>
    <row r="254" spans="2:9" x14ac:dyDescent="0.2">
      <c r="B254" s="21" t="str">
        <f t="shared" si="1"/>
        <v>2025-042-4</v>
      </c>
      <c r="C254" s="22">
        <v>2025</v>
      </c>
      <c r="D254" s="23" t="s">
        <v>73</v>
      </c>
      <c r="E254" s="22">
        <v>4</v>
      </c>
      <c r="F254" s="24" t="s">
        <v>2453</v>
      </c>
      <c r="G254" s="22"/>
      <c r="H254" s="25"/>
      <c r="I254" s="26"/>
    </row>
    <row r="255" spans="2:9" x14ac:dyDescent="0.2">
      <c r="B255" s="27" t="str">
        <f t="shared" ref="B255:B318" si="2">C255&amp;"-"&amp;D255&amp;"-"&amp;E255</f>
        <v>2025-042-5</v>
      </c>
      <c r="C255" s="28">
        <v>2025</v>
      </c>
      <c r="D255" s="29" t="s">
        <v>73</v>
      </c>
      <c r="E255" s="28">
        <v>5</v>
      </c>
      <c r="F255" s="30" t="s">
        <v>2454</v>
      </c>
      <c r="G255" s="28"/>
      <c r="H255" s="31"/>
      <c r="I255" s="32"/>
    </row>
    <row r="256" spans="2:9" x14ac:dyDescent="0.2">
      <c r="B256" s="33" t="str">
        <f t="shared" si="2"/>
        <v>2025-043-0</v>
      </c>
      <c r="C256" s="34">
        <v>2025</v>
      </c>
      <c r="D256" s="35" t="s">
        <v>74</v>
      </c>
      <c r="E256" s="34">
        <v>0</v>
      </c>
      <c r="F256" s="36" t="s">
        <v>2391</v>
      </c>
      <c r="G256" s="34"/>
      <c r="H256" s="37"/>
      <c r="I256" s="38"/>
    </row>
    <row r="257" spans="2:9" ht="27" x14ac:dyDescent="0.2">
      <c r="B257" s="21" t="str">
        <f t="shared" si="2"/>
        <v>2025-043-1</v>
      </c>
      <c r="C257" s="22">
        <v>2025</v>
      </c>
      <c r="D257" s="23" t="s">
        <v>74</v>
      </c>
      <c r="E257" s="22">
        <v>1</v>
      </c>
      <c r="F257" s="24" t="s">
        <v>2614</v>
      </c>
      <c r="G257" s="22"/>
      <c r="H257" s="25"/>
      <c r="I257" s="26"/>
    </row>
    <row r="258" spans="2:9" x14ac:dyDescent="0.2">
      <c r="B258" s="21" t="str">
        <f t="shared" si="2"/>
        <v>2025-043-2</v>
      </c>
      <c r="C258" s="22">
        <v>2025</v>
      </c>
      <c r="D258" s="23" t="s">
        <v>74</v>
      </c>
      <c r="E258" s="22">
        <v>2</v>
      </c>
      <c r="F258" s="24" t="s">
        <v>2615</v>
      </c>
      <c r="G258" s="22"/>
      <c r="H258" s="25"/>
      <c r="I258" s="26"/>
    </row>
    <row r="259" spans="2:9" ht="27" x14ac:dyDescent="0.2">
      <c r="B259" s="21" t="str">
        <f t="shared" si="2"/>
        <v>2025-043-3</v>
      </c>
      <c r="C259" s="22">
        <v>2025</v>
      </c>
      <c r="D259" s="23" t="s">
        <v>74</v>
      </c>
      <c r="E259" s="22">
        <v>3</v>
      </c>
      <c r="F259" s="24" t="s">
        <v>2616</v>
      </c>
      <c r="G259" s="22"/>
      <c r="H259" s="25"/>
      <c r="I259" s="26"/>
    </row>
    <row r="260" spans="2:9" ht="27" x14ac:dyDescent="0.2">
      <c r="B260" s="21" t="str">
        <f t="shared" si="2"/>
        <v>2025-043-4</v>
      </c>
      <c r="C260" s="22">
        <v>2025</v>
      </c>
      <c r="D260" s="23" t="s">
        <v>74</v>
      </c>
      <c r="E260" s="22">
        <v>4</v>
      </c>
      <c r="F260" s="24" t="s">
        <v>2617</v>
      </c>
      <c r="G260" s="22" t="s">
        <v>3391</v>
      </c>
      <c r="H260" s="25"/>
      <c r="I260" s="26"/>
    </row>
    <row r="261" spans="2:9" ht="27" x14ac:dyDescent="0.2">
      <c r="B261" s="27" t="str">
        <f t="shared" si="2"/>
        <v>2025-043-5</v>
      </c>
      <c r="C261" s="28">
        <v>2025</v>
      </c>
      <c r="D261" s="29" t="s">
        <v>74</v>
      </c>
      <c r="E261" s="28">
        <v>5</v>
      </c>
      <c r="F261" s="30" t="s">
        <v>2618</v>
      </c>
      <c r="G261" s="28"/>
      <c r="H261" s="31"/>
      <c r="I261" s="32"/>
    </row>
    <row r="262" spans="2:9" x14ac:dyDescent="0.2">
      <c r="B262" s="33" t="str">
        <f t="shared" si="2"/>
        <v>2025-044-0</v>
      </c>
      <c r="C262" s="34">
        <v>2025</v>
      </c>
      <c r="D262" s="35" t="s">
        <v>75</v>
      </c>
      <c r="E262" s="34">
        <v>0</v>
      </c>
      <c r="F262" s="36" t="s">
        <v>2392</v>
      </c>
      <c r="G262" s="34"/>
      <c r="H262" s="37"/>
      <c r="I262" s="38"/>
    </row>
    <row r="263" spans="2:9" x14ac:dyDescent="0.2">
      <c r="B263" s="21" t="str">
        <f t="shared" si="2"/>
        <v>2025-044-1</v>
      </c>
      <c r="C263" s="22">
        <v>2025</v>
      </c>
      <c r="D263" s="23" t="s">
        <v>75</v>
      </c>
      <c r="E263" s="22">
        <v>1</v>
      </c>
      <c r="F263" s="24" t="s">
        <v>2619</v>
      </c>
      <c r="G263" s="22" t="s">
        <v>3391</v>
      </c>
      <c r="H263" s="25"/>
      <c r="I263" s="26"/>
    </row>
    <row r="264" spans="2:9" x14ac:dyDescent="0.2">
      <c r="B264" s="21" t="str">
        <f t="shared" si="2"/>
        <v>2025-044-2</v>
      </c>
      <c r="C264" s="22">
        <v>2025</v>
      </c>
      <c r="D264" s="23" t="s">
        <v>75</v>
      </c>
      <c r="E264" s="22">
        <v>2</v>
      </c>
      <c r="F264" s="24" t="s">
        <v>2620</v>
      </c>
      <c r="G264" s="22"/>
      <c r="H264" s="25"/>
      <c r="I264" s="26"/>
    </row>
    <row r="265" spans="2:9" ht="27" x14ac:dyDescent="0.2">
      <c r="B265" s="21" t="str">
        <f t="shared" si="2"/>
        <v>2025-044-3</v>
      </c>
      <c r="C265" s="22">
        <v>2025</v>
      </c>
      <c r="D265" s="23" t="s">
        <v>75</v>
      </c>
      <c r="E265" s="22">
        <v>3</v>
      </c>
      <c r="F265" s="24" t="s">
        <v>2621</v>
      </c>
      <c r="G265" s="22"/>
      <c r="H265" s="25"/>
      <c r="I265" s="26"/>
    </row>
    <row r="266" spans="2:9" ht="27" x14ac:dyDescent="0.2">
      <c r="B266" s="21" t="str">
        <f t="shared" si="2"/>
        <v>2025-044-4</v>
      </c>
      <c r="C266" s="22">
        <v>2025</v>
      </c>
      <c r="D266" s="23" t="s">
        <v>75</v>
      </c>
      <c r="E266" s="22">
        <v>4</v>
      </c>
      <c r="F266" s="24" t="s">
        <v>2622</v>
      </c>
      <c r="G266" s="22"/>
      <c r="H266" s="25"/>
      <c r="I266" s="26"/>
    </row>
    <row r="267" spans="2:9" ht="27" x14ac:dyDescent="0.2">
      <c r="B267" s="27" t="str">
        <f t="shared" si="2"/>
        <v>2025-044-5</v>
      </c>
      <c r="C267" s="28">
        <v>2025</v>
      </c>
      <c r="D267" s="29" t="s">
        <v>75</v>
      </c>
      <c r="E267" s="28">
        <v>5</v>
      </c>
      <c r="F267" s="30" t="s">
        <v>2623</v>
      </c>
      <c r="G267" s="28"/>
      <c r="H267" s="31"/>
      <c r="I267" s="32"/>
    </row>
    <row r="268" spans="2:9" x14ac:dyDescent="0.2">
      <c r="B268" s="33" t="str">
        <f t="shared" si="2"/>
        <v>2025-045-0</v>
      </c>
      <c r="C268" s="34">
        <v>2025</v>
      </c>
      <c r="D268" s="35" t="s">
        <v>76</v>
      </c>
      <c r="E268" s="34">
        <v>0</v>
      </c>
      <c r="F268" s="36" t="s">
        <v>2393</v>
      </c>
      <c r="G268" s="34"/>
      <c r="H268" s="37"/>
      <c r="I268" s="38"/>
    </row>
    <row r="269" spans="2:9" x14ac:dyDescent="0.2">
      <c r="B269" s="21" t="str">
        <f t="shared" si="2"/>
        <v>2025-045-1</v>
      </c>
      <c r="C269" s="22">
        <v>2025</v>
      </c>
      <c r="D269" s="23" t="s">
        <v>76</v>
      </c>
      <c r="E269" s="22">
        <v>1</v>
      </c>
      <c r="F269" s="24" t="s">
        <v>2624</v>
      </c>
      <c r="G269" s="22"/>
      <c r="H269" s="25"/>
      <c r="I269" s="26"/>
    </row>
    <row r="270" spans="2:9" ht="27" x14ac:dyDescent="0.2">
      <c r="B270" s="21" t="str">
        <f t="shared" si="2"/>
        <v>2025-045-2</v>
      </c>
      <c r="C270" s="22">
        <v>2025</v>
      </c>
      <c r="D270" s="23" t="s">
        <v>76</v>
      </c>
      <c r="E270" s="22">
        <v>2</v>
      </c>
      <c r="F270" s="24" t="s">
        <v>2625</v>
      </c>
      <c r="G270" s="22"/>
      <c r="H270" s="25"/>
      <c r="I270" s="26"/>
    </row>
    <row r="271" spans="2:9" x14ac:dyDescent="0.2">
      <c r="B271" s="21" t="str">
        <f t="shared" si="2"/>
        <v>2025-045-3</v>
      </c>
      <c r="C271" s="22">
        <v>2025</v>
      </c>
      <c r="D271" s="23" t="s">
        <v>76</v>
      </c>
      <c r="E271" s="22">
        <v>3</v>
      </c>
      <c r="F271" s="24" t="s">
        <v>2626</v>
      </c>
      <c r="G271" s="22" t="s">
        <v>3391</v>
      </c>
      <c r="H271" s="25"/>
      <c r="I271" s="26"/>
    </row>
    <row r="272" spans="2:9" ht="27" x14ac:dyDescent="0.2">
      <c r="B272" s="21" t="str">
        <f t="shared" si="2"/>
        <v>2025-045-4</v>
      </c>
      <c r="C272" s="22">
        <v>2025</v>
      </c>
      <c r="D272" s="23" t="s">
        <v>76</v>
      </c>
      <c r="E272" s="22">
        <v>4</v>
      </c>
      <c r="F272" s="24" t="s">
        <v>2627</v>
      </c>
      <c r="G272" s="22"/>
      <c r="H272" s="25"/>
      <c r="I272" s="26"/>
    </row>
    <row r="273" spans="2:9" x14ac:dyDescent="0.2">
      <c r="B273" s="27" t="str">
        <f t="shared" si="2"/>
        <v>2025-045-5</v>
      </c>
      <c r="C273" s="28">
        <v>2025</v>
      </c>
      <c r="D273" s="29" t="s">
        <v>76</v>
      </c>
      <c r="E273" s="28">
        <v>5</v>
      </c>
      <c r="F273" s="30" t="s">
        <v>2628</v>
      </c>
      <c r="G273" s="28"/>
      <c r="H273" s="31"/>
      <c r="I273" s="32"/>
    </row>
    <row r="274" spans="2:9" x14ac:dyDescent="0.2">
      <c r="B274" s="33" t="str">
        <f t="shared" si="2"/>
        <v>2025-046-0</v>
      </c>
      <c r="C274" s="34">
        <v>2025</v>
      </c>
      <c r="D274" s="35" t="s">
        <v>77</v>
      </c>
      <c r="E274" s="34">
        <v>0</v>
      </c>
      <c r="F274" s="36" t="s">
        <v>2394</v>
      </c>
      <c r="G274" s="34"/>
      <c r="H274" s="37"/>
      <c r="I274" s="38"/>
    </row>
    <row r="275" spans="2:9" x14ac:dyDescent="0.2">
      <c r="B275" s="21" t="str">
        <f t="shared" si="2"/>
        <v>2025-046-1</v>
      </c>
      <c r="C275" s="22">
        <v>2025</v>
      </c>
      <c r="D275" s="23" t="s">
        <v>77</v>
      </c>
      <c r="E275" s="22">
        <v>1</v>
      </c>
      <c r="F275" s="24" t="s">
        <v>2629</v>
      </c>
      <c r="G275" s="22"/>
      <c r="H275" s="25"/>
      <c r="I275" s="26"/>
    </row>
    <row r="276" spans="2:9" x14ac:dyDescent="0.2">
      <c r="B276" s="21" t="str">
        <f t="shared" si="2"/>
        <v>2025-046-2</v>
      </c>
      <c r="C276" s="22">
        <v>2025</v>
      </c>
      <c r="D276" s="23" t="s">
        <v>77</v>
      </c>
      <c r="E276" s="22">
        <v>2</v>
      </c>
      <c r="F276" s="24" t="s">
        <v>2630</v>
      </c>
      <c r="G276" s="22" t="s">
        <v>3391</v>
      </c>
      <c r="H276" s="25"/>
      <c r="I276" s="26"/>
    </row>
    <row r="277" spans="2:9" x14ac:dyDescent="0.2">
      <c r="B277" s="21" t="str">
        <f t="shared" si="2"/>
        <v>2025-046-3</v>
      </c>
      <c r="C277" s="22">
        <v>2025</v>
      </c>
      <c r="D277" s="23" t="s">
        <v>77</v>
      </c>
      <c r="E277" s="22">
        <v>3</v>
      </c>
      <c r="F277" s="24" t="s">
        <v>2631</v>
      </c>
      <c r="G277" s="22"/>
      <c r="H277" s="25"/>
      <c r="I277" s="26"/>
    </row>
    <row r="278" spans="2:9" x14ac:dyDescent="0.2">
      <c r="B278" s="21" t="str">
        <f t="shared" si="2"/>
        <v>2025-046-4</v>
      </c>
      <c r="C278" s="22">
        <v>2025</v>
      </c>
      <c r="D278" s="23" t="s">
        <v>77</v>
      </c>
      <c r="E278" s="22">
        <v>4</v>
      </c>
      <c r="F278" s="24" t="s">
        <v>2632</v>
      </c>
      <c r="G278" s="22"/>
      <c r="H278" s="25"/>
      <c r="I278" s="26"/>
    </row>
    <row r="279" spans="2:9" x14ac:dyDescent="0.2">
      <c r="B279" s="27" t="str">
        <f t="shared" si="2"/>
        <v>2025-046-5</v>
      </c>
      <c r="C279" s="28">
        <v>2025</v>
      </c>
      <c r="D279" s="29" t="s">
        <v>77</v>
      </c>
      <c r="E279" s="28">
        <v>5</v>
      </c>
      <c r="F279" s="30" t="s">
        <v>2633</v>
      </c>
      <c r="G279" s="28"/>
      <c r="H279" s="31"/>
      <c r="I279" s="32"/>
    </row>
    <row r="280" spans="2:9" x14ac:dyDescent="0.2">
      <c r="B280" s="33" t="str">
        <f t="shared" si="2"/>
        <v>2025-047-0</v>
      </c>
      <c r="C280" s="34">
        <v>2025</v>
      </c>
      <c r="D280" s="35" t="s">
        <v>78</v>
      </c>
      <c r="E280" s="34">
        <v>0</v>
      </c>
      <c r="F280" s="36" t="s">
        <v>2395</v>
      </c>
      <c r="G280" s="34"/>
      <c r="H280" s="37"/>
      <c r="I280" s="38"/>
    </row>
    <row r="281" spans="2:9" x14ac:dyDescent="0.2">
      <c r="B281" s="21" t="str">
        <f t="shared" si="2"/>
        <v>2025-047-1</v>
      </c>
      <c r="C281" s="22">
        <v>2025</v>
      </c>
      <c r="D281" s="23" t="s">
        <v>78</v>
      </c>
      <c r="E281" s="22">
        <v>1</v>
      </c>
      <c r="F281" s="24" t="s">
        <v>2443</v>
      </c>
      <c r="G281" s="22" t="s">
        <v>3391</v>
      </c>
      <c r="H281" s="25"/>
      <c r="I281" s="26"/>
    </row>
    <row r="282" spans="2:9" x14ac:dyDescent="0.2">
      <c r="B282" s="21" t="str">
        <f t="shared" si="2"/>
        <v>2025-047-2</v>
      </c>
      <c r="C282" s="22">
        <v>2025</v>
      </c>
      <c r="D282" s="23" t="s">
        <v>78</v>
      </c>
      <c r="E282" s="22">
        <v>2</v>
      </c>
      <c r="F282" s="24" t="s">
        <v>2634</v>
      </c>
      <c r="G282" s="22"/>
      <c r="H282" s="25"/>
      <c r="I282" s="26"/>
    </row>
    <row r="283" spans="2:9" x14ac:dyDescent="0.2">
      <c r="B283" s="21" t="str">
        <f t="shared" si="2"/>
        <v>2025-047-3</v>
      </c>
      <c r="C283" s="22">
        <v>2025</v>
      </c>
      <c r="D283" s="23" t="s">
        <v>78</v>
      </c>
      <c r="E283" s="22">
        <v>3</v>
      </c>
      <c r="F283" s="24" t="s">
        <v>2635</v>
      </c>
      <c r="G283" s="22"/>
      <c r="H283" s="25"/>
      <c r="I283" s="26"/>
    </row>
    <row r="284" spans="2:9" x14ac:dyDescent="0.2">
      <c r="B284" s="21" t="str">
        <f t="shared" si="2"/>
        <v>2025-047-4</v>
      </c>
      <c r="C284" s="22">
        <v>2025</v>
      </c>
      <c r="D284" s="23" t="s">
        <v>78</v>
      </c>
      <c r="E284" s="22">
        <v>4</v>
      </c>
      <c r="F284" s="24" t="s">
        <v>2636</v>
      </c>
      <c r="G284" s="22"/>
      <c r="H284" s="25"/>
      <c r="I284" s="26"/>
    </row>
    <row r="285" spans="2:9" x14ac:dyDescent="0.2">
      <c r="B285" s="27" t="str">
        <f t="shared" si="2"/>
        <v>2025-047-5</v>
      </c>
      <c r="C285" s="28">
        <v>2025</v>
      </c>
      <c r="D285" s="29" t="s">
        <v>78</v>
      </c>
      <c r="E285" s="28">
        <v>5</v>
      </c>
      <c r="F285" s="30" t="s">
        <v>2637</v>
      </c>
      <c r="G285" s="28"/>
      <c r="H285" s="31"/>
      <c r="I285" s="32"/>
    </row>
    <row r="286" spans="2:9" ht="108" x14ac:dyDescent="0.2">
      <c r="B286" s="33" t="str">
        <f t="shared" si="2"/>
        <v>2025-048-0</v>
      </c>
      <c r="C286" s="34">
        <v>2025</v>
      </c>
      <c r="D286" s="35" t="s">
        <v>79</v>
      </c>
      <c r="E286" s="34">
        <v>0</v>
      </c>
      <c r="F286" s="36" t="s">
        <v>2396</v>
      </c>
      <c r="G286" s="34"/>
      <c r="H286" s="37"/>
      <c r="I286" s="38"/>
    </row>
    <row r="287" spans="2:9" x14ac:dyDescent="0.2">
      <c r="B287" s="21" t="str">
        <f t="shared" si="2"/>
        <v>2025-048-1</v>
      </c>
      <c r="C287" s="22">
        <v>2025</v>
      </c>
      <c r="D287" s="23" t="s">
        <v>79</v>
      </c>
      <c r="E287" s="22">
        <v>1</v>
      </c>
      <c r="F287" s="24" t="s">
        <v>2427</v>
      </c>
      <c r="G287" s="22"/>
      <c r="H287" s="25"/>
      <c r="I287" s="26"/>
    </row>
    <row r="288" spans="2:9" x14ac:dyDescent="0.2">
      <c r="B288" s="21" t="str">
        <f t="shared" si="2"/>
        <v>2025-048-2</v>
      </c>
      <c r="C288" s="22">
        <v>2025</v>
      </c>
      <c r="D288" s="23" t="s">
        <v>79</v>
      </c>
      <c r="E288" s="22">
        <v>2</v>
      </c>
      <c r="F288" s="24" t="s">
        <v>2428</v>
      </c>
      <c r="G288" s="22" t="s">
        <v>3391</v>
      </c>
      <c r="H288" s="25"/>
      <c r="I288" s="26"/>
    </row>
    <row r="289" spans="2:9" x14ac:dyDescent="0.2">
      <c r="B289" s="21" t="str">
        <f t="shared" si="2"/>
        <v>2025-048-3</v>
      </c>
      <c r="C289" s="22">
        <v>2025</v>
      </c>
      <c r="D289" s="23" t="s">
        <v>79</v>
      </c>
      <c r="E289" s="22">
        <v>3</v>
      </c>
      <c r="F289" s="24" t="s">
        <v>2429</v>
      </c>
      <c r="G289" s="22"/>
      <c r="H289" s="25"/>
      <c r="I289" s="26"/>
    </row>
    <row r="290" spans="2:9" x14ac:dyDescent="0.2">
      <c r="B290" s="21" t="str">
        <f t="shared" si="2"/>
        <v>2025-048-4</v>
      </c>
      <c r="C290" s="22">
        <v>2025</v>
      </c>
      <c r="D290" s="23" t="s">
        <v>79</v>
      </c>
      <c r="E290" s="22">
        <v>4</v>
      </c>
      <c r="F290" s="24" t="s">
        <v>2430</v>
      </c>
      <c r="G290" s="22"/>
      <c r="H290" s="25"/>
      <c r="I290" s="26"/>
    </row>
    <row r="291" spans="2:9" x14ac:dyDescent="0.2">
      <c r="B291" s="27" t="str">
        <f t="shared" si="2"/>
        <v>2025-048-5</v>
      </c>
      <c r="C291" s="28">
        <v>2025</v>
      </c>
      <c r="D291" s="29" t="s">
        <v>79</v>
      </c>
      <c r="E291" s="28">
        <v>5</v>
      </c>
      <c r="F291" s="30" t="s">
        <v>2431</v>
      </c>
      <c r="G291" s="28"/>
      <c r="H291" s="31"/>
      <c r="I291" s="32"/>
    </row>
    <row r="292" spans="2:9" x14ac:dyDescent="0.2">
      <c r="B292" s="33" t="str">
        <f t="shared" si="2"/>
        <v>2025-049-0</v>
      </c>
      <c r="C292" s="34">
        <v>2025</v>
      </c>
      <c r="D292" s="35" t="s">
        <v>80</v>
      </c>
      <c r="E292" s="34">
        <v>0</v>
      </c>
      <c r="F292" s="36" t="s">
        <v>2397</v>
      </c>
      <c r="G292" s="34"/>
      <c r="H292" s="37"/>
      <c r="I292" s="38"/>
    </row>
    <row r="293" spans="2:9" ht="27" x14ac:dyDescent="0.2">
      <c r="B293" s="21" t="str">
        <f t="shared" si="2"/>
        <v>2025-049-1</v>
      </c>
      <c r="C293" s="22">
        <v>2025</v>
      </c>
      <c r="D293" s="23" t="s">
        <v>80</v>
      </c>
      <c r="E293" s="22">
        <v>1</v>
      </c>
      <c r="F293" s="24" t="s">
        <v>2638</v>
      </c>
      <c r="G293" s="22"/>
      <c r="H293" s="25"/>
      <c r="I293" s="26"/>
    </row>
    <row r="294" spans="2:9" x14ac:dyDescent="0.2">
      <c r="B294" s="21" t="str">
        <f t="shared" si="2"/>
        <v>2025-049-2</v>
      </c>
      <c r="C294" s="22">
        <v>2025</v>
      </c>
      <c r="D294" s="23" t="s">
        <v>80</v>
      </c>
      <c r="E294" s="22">
        <v>2</v>
      </c>
      <c r="F294" s="24" t="s">
        <v>2639</v>
      </c>
      <c r="G294" s="22"/>
      <c r="H294" s="25"/>
      <c r="I294" s="26"/>
    </row>
    <row r="295" spans="2:9" ht="27" x14ac:dyDescent="0.2">
      <c r="B295" s="21" t="str">
        <f t="shared" si="2"/>
        <v>2025-049-3</v>
      </c>
      <c r="C295" s="22">
        <v>2025</v>
      </c>
      <c r="D295" s="23" t="s">
        <v>80</v>
      </c>
      <c r="E295" s="22">
        <v>3</v>
      </c>
      <c r="F295" s="24" t="s">
        <v>2640</v>
      </c>
      <c r="G295" s="22" t="s">
        <v>3391</v>
      </c>
      <c r="H295" s="25"/>
      <c r="I295" s="26"/>
    </row>
    <row r="296" spans="2:9" ht="40.5" x14ac:dyDescent="0.2">
      <c r="B296" s="21" t="str">
        <f t="shared" si="2"/>
        <v>2025-049-4</v>
      </c>
      <c r="C296" s="22">
        <v>2025</v>
      </c>
      <c r="D296" s="23" t="s">
        <v>80</v>
      </c>
      <c r="E296" s="22">
        <v>4</v>
      </c>
      <c r="F296" s="24" t="s">
        <v>2641</v>
      </c>
      <c r="G296" s="22"/>
      <c r="H296" s="25"/>
      <c r="I296" s="26"/>
    </row>
    <row r="297" spans="2:9" ht="27" x14ac:dyDescent="0.2">
      <c r="B297" s="27" t="str">
        <f t="shared" si="2"/>
        <v>2025-049-5</v>
      </c>
      <c r="C297" s="28">
        <v>2025</v>
      </c>
      <c r="D297" s="29" t="s">
        <v>80</v>
      </c>
      <c r="E297" s="28">
        <v>5</v>
      </c>
      <c r="F297" s="30" t="s">
        <v>2642</v>
      </c>
      <c r="G297" s="28"/>
      <c r="H297" s="31"/>
      <c r="I297" s="32"/>
    </row>
    <row r="298" spans="2:9" x14ac:dyDescent="0.2">
      <c r="B298" s="33" t="str">
        <f t="shared" si="2"/>
        <v>2025-050-0</v>
      </c>
      <c r="C298" s="34">
        <v>2025</v>
      </c>
      <c r="D298" s="35" t="s">
        <v>81</v>
      </c>
      <c r="E298" s="34">
        <v>0</v>
      </c>
      <c r="F298" s="36" t="s">
        <v>2398</v>
      </c>
      <c r="G298" s="34"/>
      <c r="H298" s="37"/>
      <c r="I298" s="38"/>
    </row>
    <row r="299" spans="2:9" ht="27" x14ac:dyDescent="0.2">
      <c r="B299" s="21" t="str">
        <f t="shared" si="2"/>
        <v>2025-050-1</v>
      </c>
      <c r="C299" s="22">
        <v>2025</v>
      </c>
      <c r="D299" s="23" t="s">
        <v>81</v>
      </c>
      <c r="E299" s="22">
        <v>1</v>
      </c>
      <c r="F299" s="24" t="s">
        <v>2643</v>
      </c>
      <c r="G299" s="22"/>
      <c r="H299" s="25"/>
      <c r="I299" s="26"/>
    </row>
    <row r="300" spans="2:9" ht="27" x14ac:dyDescent="0.2">
      <c r="B300" s="21" t="str">
        <f t="shared" si="2"/>
        <v>2025-050-2</v>
      </c>
      <c r="C300" s="22">
        <v>2025</v>
      </c>
      <c r="D300" s="23" t="s">
        <v>81</v>
      </c>
      <c r="E300" s="22">
        <v>2</v>
      </c>
      <c r="F300" s="24" t="s">
        <v>2644</v>
      </c>
      <c r="G300" s="22"/>
      <c r="H300" s="25"/>
      <c r="I300" s="26"/>
    </row>
    <row r="301" spans="2:9" ht="40.5" x14ac:dyDescent="0.2">
      <c r="B301" s="21" t="str">
        <f t="shared" si="2"/>
        <v>2025-050-3</v>
      </c>
      <c r="C301" s="22">
        <v>2025</v>
      </c>
      <c r="D301" s="23" t="s">
        <v>81</v>
      </c>
      <c r="E301" s="22">
        <v>3</v>
      </c>
      <c r="F301" s="24" t="s">
        <v>2645</v>
      </c>
      <c r="G301" s="22"/>
      <c r="H301" s="25"/>
      <c r="I301" s="26"/>
    </row>
    <row r="302" spans="2:9" ht="27" x14ac:dyDescent="0.2">
      <c r="B302" s="21" t="str">
        <f t="shared" si="2"/>
        <v>2025-050-4</v>
      </c>
      <c r="C302" s="22">
        <v>2025</v>
      </c>
      <c r="D302" s="23" t="s">
        <v>81</v>
      </c>
      <c r="E302" s="22">
        <v>4</v>
      </c>
      <c r="F302" s="24" t="s">
        <v>2646</v>
      </c>
      <c r="G302" s="22"/>
      <c r="H302" s="25"/>
      <c r="I302" s="26"/>
    </row>
    <row r="303" spans="2:9" ht="40.5" x14ac:dyDescent="0.2">
      <c r="B303" s="27" t="str">
        <f t="shared" si="2"/>
        <v>2025-050-5</v>
      </c>
      <c r="C303" s="28">
        <v>2025</v>
      </c>
      <c r="D303" s="29" t="s">
        <v>81</v>
      </c>
      <c r="E303" s="28">
        <v>5</v>
      </c>
      <c r="F303" s="30" t="s">
        <v>2647</v>
      </c>
      <c r="G303" s="28" t="s">
        <v>3391</v>
      </c>
      <c r="H303" s="31"/>
      <c r="I303" s="32"/>
    </row>
    <row r="304" spans="2:9" x14ac:dyDescent="0.2">
      <c r="B304" s="33" t="str">
        <f t="shared" si="2"/>
        <v>2025-051-0</v>
      </c>
      <c r="C304" s="34">
        <v>2025</v>
      </c>
      <c r="D304" s="35" t="s">
        <v>82</v>
      </c>
      <c r="E304" s="34">
        <v>0</v>
      </c>
      <c r="F304" s="36" t="s">
        <v>2397</v>
      </c>
      <c r="G304" s="34"/>
      <c r="H304" s="37"/>
      <c r="I304" s="38"/>
    </row>
    <row r="305" spans="2:9" x14ac:dyDescent="0.2">
      <c r="B305" s="21" t="str">
        <f t="shared" si="2"/>
        <v>2025-051-1</v>
      </c>
      <c r="C305" s="22">
        <v>2025</v>
      </c>
      <c r="D305" s="23" t="s">
        <v>82</v>
      </c>
      <c r="E305" s="22">
        <v>1</v>
      </c>
      <c r="F305" s="24" t="s">
        <v>2648</v>
      </c>
      <c r="G305" s="22"/>
      <c r="H305" s="25"/>
      <c r="I305" s="26"/>
    </row>
    <row r="306" spans="2:9" ht="27" x14ac:dyDescent="0.2">
      <c r="B306" s="21" t="str">
        <f t="shared" si="2"/>
        <v>2025-051-2</v>
      </c>
      <c r="C306" s="22">
        <v>2025</v>
      </c>
      <c r="D306" s="23" t="s">
        <v>82</v>
      </c>
      <c r="E306" s="22">
        <v>2</v>
      </c>
      <c r="F306" s="24" t="s">
        <v>2649</v>
      </c>
      <c r="G306" s="22"/>
      <c r="H306" s="25"/>
      <c r="I306" s="26"/>
    </row>
    <row r="307" spans="2:9" ht="27" x14ac:dyDescent="0.2">
      <c r="B307" s="21" t="str">
        <f t="shared" si="2"/>
        <v>2025-051-3</v>
      </c>
      <c r="C307" s="22">
        <v>2025</v>
      </c>
      <c r="D307" s="23" t="s">
        <v>82</v>
      </c>
      <c r="E307" s="22">
        <v>3</v>
      </c>
      <c r="F307" s="24" t="s">
        <v>2650</v>
      </c>
      <c r="G307" s="22"/>
      <c r="H307" s="25"/>
      <c r="I307" s="26"/>
    </row>
    <row r="308" spans="2:9" ht="27" x14ac:dyDescent="0.2">
      <c r="B308" s="21" t="str">
        <f t="shared" si="2"/>
        <v>2025-051-4</v>
      </c>
      <c r="C308" s="22">
        <v>2025</v>
      </c>
      <c r="D308" s="23" t="s">
        <v>82</v>
      </c>
      <c r="E308" s="22">
        <v>4</v>
      </c>
      <c r="F308" s="24" t="s">
        <v>2651</v>
      </c>
      <c r="G308" s="22" t="s">
        <v>3391</v>
      </c>
      <c r="H308" s="25"/>
      <c r="I308" s="26"/>
    </row>
    <row r="309" spans="2:9" ht="27" x14ac:dyDescent="0.2">
      <c r="B309" s="27" t="str">
        <f t="shared" si="2"/>
        <v>2025-051-5</v>
      </c>
      <c r="C309" s="28">
        <v>2025</v>
      </c>
      <c r="D309" s="29" t="s">
        <v>82</v>
      </c>
      <c r="E309" s="28">
        <v>5</v>
      </c>
      <c r="F309" s="30" t="s">
        <v>2652</v>
      </c>
      <c r="G309" s="28"/>
      <c r="H309" s="31"/>
      <c r="I309" s="32"/>
    </row>
    <row r="310" spans="2:9" ht="27" x14ac:dyDescent="0.2">
      <c r="B310" s="33" t="str">
        <f t="shared" si="2"/>
        <v>2025-052-0</v>
      </c>
      <c r="C310" s="34">
        <v>2025</v>
      </c>
      <c r="D310" s="35" t="s">
        <v>83</v>
      </c>
      <c r="E310" s="34">
        <v>0</v>
      </c>
      <c r="F310" s="36" t="s">
        <v>2399</v>
      </c>
      <c r="G310" s="34"/>
      <c r="H310" s="37"/>
      <c r="I310" s="38"/>
    </row>
    <row r="311" spans="2:9" ht="27" x14ac:dyDescent="0.2">
      <c r="B311" s="21" t="str">
        <f t="shared" si="2"/>
        <v>2025-052-1</v>
      </c>
      <c r="C311" s="22">
        <v>2025</v>
      </c>
      <c r="D311" s="23" t="s">
        <v>83</v>
      </c>
      <c r="E311" s="22">
        <v>1</v>
      </c>
      <c r="F311" s="24" t="s">
        <v>2653</v>
      </c>
      <c r="G311" s="22"/>
      <c r="H311" s="25"/>
      <c r="I311" s="26"/>
    </row>
    <row r="312" spans="2:9" x14ac:dyDescent="0.2">
      <c r="B312" s="21" t="str">
        <f t="shared" si="2"/>
        <v>2025-052-2</v>
      </c>
      <c r="C312" s="22">
        <v>2025</v>
      </c>
      <c r="D312" s="23" t="s">
        <v>83</v>
      </c>
      <c r="E312" s="22">
        <v>2</v>
      </c>
      <c r="F312" s="24" t="s">
        <v>2654</v>
      </c>
      <c r="G312" s="22" t="s">
        <v>3391</v>
      </c>
      <c r="H312" s="25"/>
      <c r="I312" s="26"/>
    </row>
    <row r="313" spans="2:9" ht="27" x14ac:dyDescent="0.2">
      <c r="B313" s="21" t="str">
        <f t="shared" si="2"/>
        <v>2025-052-3</v>
      </c>
      <c r="C313" s="22">
        <v>2025</v>
      </c>
      <c r="D313" s="23" t="s">
        <v>83</v>
      </c>
      <c r="E313" s="22">
        <v>3</v>
      </c>
      <c r="F313" s="24" t="s">
        <v>2655</v>
      </c>
      <c r="G313" s="22"/>
      <c r="H313" s="25"/>
      <c r="I313" s="26"/>
    </row>
    <row r="314" spans="2:9" ht="27" x14ac:dyDescent="0.2">
      <c r="B314" s="21" t="str">
        <f t="shared" si="2"/>
        <v>2025-052-4</v>
      </c>
      <c r="C314" s="22">
        <v>2025</v>
      </c>
      <c r="D314" s="23" t="s">
        <v>83</v>
      </c>
      <c r="E314" s="22">
        <v>4</v>
      </c>
      <c r="F314" s="24" t="s">
        <v>2790</v>
      </c>
      <c r="G314" s="22"/>
      <c r="H314" s="25"/>
      <c r="I314" s="26"/>
    </row>
    <row r="315" spans="2:9" ht="27" x14ac:dyDescent="0.2">
      <c r="B315" s="27" t="str">
        <f t="shared" si="2"/>
        <v>2025-052-5</v>
      </c>
      <c r="C315" s="28">
        <v>2025</v>
      </c>
      <c r="D315" s="29" t="s">
        <v>83</v>
      </c>
      <c r="E315" s="28">
        <v>5</v>
      </c>
      <c r="F315" s="30" t="s">
        <v>2656</v>
      </c>
      <c r="G315" s="28"/>
      <c r="H315" s="31"/>
      <c r="I315" s="32"/>
    </row>
    <row r="316" spans="2:9" x14ac:dyDescent="0.2">
      <c r="B316" s="33" t="str">
        <f t="shared" si="2"/>
        <v>2025-053-0</v>
      </c>
      <c r="C316" s="34">
        <v>2025</v>
      </c>
      <c r="D316" s="35" t="s">
        <v>84</v>
      </c>
      <c r="E316" s="34">
        <v>0</v>
      </c>
      <c r="F316" s="36" t="s">
        <v>2400</v>
      </c>
      <c r="G316" s="34"/>
      <c r="H316" s="37"/>
      <c r="I316" s="38"/>
    </row>
    <row r="317" spans="2:9" ht="27" x14ac:dyDescent="0.2">
      <c r="B317" s="21" t="str">
        <f t="shared" si="2"/>
        <v>2025-053-1</v>
      </c>
      <c r="C317" s="22">
        <v>2025</v>
      </c>
      <c r="D317" s="23" t="s">
        <v>84</v>
      </c>
      <c r="E317" s="22">
        <v>1</v>
      </c>
      <c r="F317" s="24" t="s">
        <v>2657</v>
      </c>
      <c r="G317" s="22"/>
      <c r="H317" s="25"/>
      <c r="I317" s="26"/>
    </row>
    <row r="318" spans="2:9" x14ac:dyDescent="0.2">
      <c r="B318" s="21" t="str">
        <f t="shared" si="2"/>
        <v>2025-053-2</v>
      </c>
      <c r="C318" s="22">
        <v>2025</v>
      </c>
      <c r="D318" s="23" t="s">
        <v>84</v>
      </c>
      <c r="E318" s="22">
        <v>2</v>
      </c>
      <c r="F318" s="24" t="s">
        <v>2658</v>
      </c>
      <c r="G318" s="22"/>
      <c r="H318" s="25"/>
      <c r="I318" s="26"/>
    </row>
    <row r="319" spans="2:9" x14ac:dyDescent="0.2">
      <c r="B319" s="21" t="str">
        <f t="shared" ref="B319:B382" si="3">C319&amp;"-"&amp;D319&amp;"-"&amp;E319</f>
        <v>2025-053-3</v>
      </c>
      <c r="C319" s="22">
        <v>2025</v>
      </c>
      <c r="D319" s="23" t="s">
        <v>84</v>
      </c>
      <c r="E319" s="22">
        <v>3</v>
      </c>
      <c r="F319" s="24" t="s">
        <v>2659</v>
      </c>
      <c r="G319" s="22" t="s">
        <v>3391</v>
      </c>
      <c r="H319" s="25"/>
      <c r="I319" s="26"/>
    </row>
    <row r="320" spans="2:9" ht="40.5" x14ac:dyDescent="0.2">
      <c r="B320" s="21" t="str">
        <f t="shared" si="3"/>
        <v>2025-053-4</v>
      </c>
      <c r="C320" s="22">
        <v>2025</v>
      </c>
      <c r="D320" s="23" t="s">
        <v>84</v>
      </c>
      <c r="E320" s="22">
        <v>4</v>
      </c>
      <c r="F320" s="24" t="s">
        <v>2660</v>
      </c>
      <c r="G320" s="22"/>
      <c r="H320" s="25"/>
      <c r="I320" s="26"/>
    </row>
    <row r="321" spans="2:9" ht="27" x14ac:dyDescent="0.2">
      <c r="B321" s="27" t="str">
        <f t="shared" si="3"/>
        <v>2025-053-5</v>
      </c>
      <c r="C321" s="28">
        <v>2025</v>
      </c>
      <c r="D321" s="29" t="s">
        <v>84</v>
      </c>
      <c r="E321" s="28">
        <v>5</v>
      </c>
      <c r="F321" s="30" t="s">
        <v>2661</v>
      </c>
      <c r="G321" s="28"/>
      <c r="H321" s="31"/>
      <c r="I321" s="32"/>
    </row>
    <row r="322" spans="2:9" x14ac:dyDescent="0.2">
      <c r="B322" s="33" t="str">
        <f t="shared" si="3"/>
        <v>2025-054-0</v>
      </c>
      <c r="C322" s="34">
        <v>2025</v>
      </c>
      <c r="D322" s="35" t="s">
        <v>85</v>
      </c>
      <c r="E322" s="34">
        <v>0</v>
      </c>
      <c r="F322" s="36" t="s">
        <v>2401</v>
      </c>
      <c r="G322" s="34"/>
      <c r="H322" s="37"/>
      <c r="I322" s="38"/>
    </row>
    <row r="323" spans="2:9" ht="27" x14ac:dyDescent="0.2">
      <c r="B323" s="21" t="str">
        <f t="shared" si="3"/>
        <v>2025-054-1</v>
      </c>
      <c r="C323" s="22">
        <v>2025</v>
      </c>
      <c r="D323" s="23" t="s">
        <v>85</v>
      </c>
      <c r="E323" s="22">
        <v>1</v>
      </c>
      <c r="F323" s="24" t="s">
        <v>2662</v>
      </c>
      <c r="G323" s="22"/>
      <c r="H323" s="25"/>
      <c r="I323" s="26"/>
    </row>
    <row r="324" spans="2:9" ht="27" x14ac:dyDescent="0.2">
      <c r="B324" s="21" t="str">
        <f t="shared" si="3"/>
        <v>2025-054-2</v>
      </c>
      <c r="C324" s="22">
        <v>2025</v>
      </c>
      <c r="D324" s="23" t="s">
        <v>85</v>
      </c>
      <c r="E324" s="22">
        <v>2</v>
      </c>
      <c r="F324" s="24" t="s">
        <v>2591</v>
      </c>
      <c r="G324" s="22"/>
      <c r="H324" s="25"/>
      <c r="I324" s="26"/>
    </row>
    <row r="325" spans="2:9" ht="40.5" x14ac:dyDescent="0.2">
      <c r="B325" s="21" t="str">
        <f t="shared" si="3"/>
        <v>2025-054-3</v>
      </c>
      <c r="C325" s="22">
        <v>2025</v>
      </c>
      <c r="D325" s="23" t="s">
        <v>85</v>
      </c>
      <c r="E325" s="22">
        <v>3</v>
      </c>
      <c r="F325" s="24" t="s">
        <v>2663</v>
      </c>
      <c r="G325" s="22"/>
      <c r="H325" s="25"/>
      <c r="I325" s="26"/>
    </row>
    <row r="326" spans="2:9" x14ac:dyDescent="0.2">
      <c r="B326" s="21" t="str">
        <f t="shared" si="3"/>
        <v>2025-054-4</v>
      </c>
      <c r="C326" s="22">
        <v>2025</v>
      </c>
      <c r="D326" s="23" t="s">
        <v>85</v>
      </c>
      <c r="E326" s="22">
        <v>4</v>
      </c>
      <c r="F326" s="24" t="s">
        <v>2664</v>
      </c>
      <c r="G326" s="22"/>
      <c r="H326" s="25"/>
      <c r="I326" s="26"/>
    </row>
    <row r="327" spans="2:9" ht="27" x14ac:dyDescent="0.2">
      <c r="B327" s="27" t="str">
        <f t="shared" si="3"/>
        <v>2025-054-5</v>
      </c>
      <c r="C327" s="28">
        <v>2025</v>
      </c>
      <c r="D327" s="29" t="s">
        <v>85</v>
      </c>
      <c r="E327" s="28">
        <v>5</v>
      </c>
      <c r="F327" s="30" t="s">
        <v>2665</v>
      </c>
      <c r="G327" s="28" t="s">
        <v>3391</v>
      </c>
      <c r="H327" s="31"/>
      <c r="I327" s="32"/>
    </row>
    <row r="328" spans="2:9" x14ac:dyDescent="0.2">
      <c r="B328" s="33" t="str">
        <f t="shared" si="3"/>
        <v>2025-055-0</v>
      </c>
      <c r="C328" s="34">
        <v>2025</v>
      </c>
      <c r="D328" s="35" t="s">
        <v>86</v>
      </c>
      <c r="E328" s="34">
        <v>0</v>
      </c>
      <c r="F328" s="36" t="s">
        <v>2402</v>
      </c>
      <c r="G328" s="34"/>
      <c r="H328" s="37"/>
      <c r="I328" s="38"/>
    </row>
    <row r="329" spans="2:9" ht="27" x14ac:dyDescent="0.2">
      <c r="B329" s="21" t="str">
        <f t="shared" si="3"/>
        <v>2025-055-1</v>
      </c>
      <c r="C329" s="22">
        <v>2025</v>
      </c>
      <c r="D329" s="23" t="s">
        <v>86</v>
      </c>
      <c r="E329" s="22">
        <v>1</v>
      </c>
      <c r="F329" s="24" t="s">
        <v>2791</v>
      </c>
      <c r="G329" s="22" t="s">
        <v>3391</v>
      </c>
      <c r="H329" s="25"/>
      <c r="I329" s="26"/>
    </row>
    <row r="330" spans="2:9" ht="27" x14ac:dyDescent="0.2">
      <c r="B330" s="21" t="str">
        <f t="shared" si="3"/>
        <v>2025-055-2</v>
      </c>
      <c r="C330" s="22">
        <v>2025</v>
      </c>
      <c r="D330" s="23" t="s">
        <v>86</v>
      </c>
      <c r="E330" s="22">
        <v>2</v>
      </c>
      <c r="F330" s="24" t="s">
        <v>2666</v>
      </c>
      <c r="G330" s="22"/>
      <c r="H330" s="25"/>
      <c r="I330" s="26"/>
    </row>
    <row r="331" spans="2:9" x14ac:dyDescent="0.2">
      <c r="B331" s="21" t="str">
        <f t="shared" si="3"/>
        <v>2025-055-3</v>
      </c>
      <c r="C331" s="22">
        <v>2025</v>
      </c>
      <c r="D331" s="23" t="s">
        <v>86</v>
      </c>
      <c r="E331" s="22">
        <v>3</v>
      </c>
      <c r="F331" s="24" t="s">
        <v>2792</v>
      </c>
      <c r="G331" s="22"/>
      <c r="H331" s="25"/>
      <c r="I331" s="26"/>
    </row>
    <row r="332" spans="2:9" ht="27" x14ac:dyDescent="0.2">
      <c r="B332" s="21" t="str">
        <f t="shared" si="3"/>
        <v>2025-055-4</v>
      </c>
      <c r="C332" s="22">
        <v>2025</v>
      </c>
      <c r="D332" s="23" t="s">
        <v>86</v>
      </c>
      <c r="E332" s="22">
        <v>4</v>
      </c>
      <c r="F332" s="24" t="s">
        <v>2667</v>
      </c>
      <c r="G332" s="22"/>
      <c r="H332" s="25"/>
      <c r="I332" s="26"/>
    </row>
    <row r="333" spans="2:9" x14ac:dyDescent="0.2">
      <c r="B333" s="27" t="str">
        <f t="shared" si="3"/>
        <v>2025-055-5</v>
      </c>
      <c r="C333" s="28">
        <v>2025</v>
      </c>
      <c r="D333" s="29" t="s">
        <v>86</v>
      </c>
      <c r="E333" s="28">
        <v>5</v>
      </c>
      <c r="F333" s="30" t="s">
        <v>2668</v>
      </c>
      <c r="G333" s="28"/>
      <c r="H333" s="31"/>
      <c r="I333" s="32"/>
    </row>
    <row r="334" spans="2:9" x14ac:dyDescent="0.2">
      <c r="B334" s="33" t="str">
        <f t="shared" si="3"/>
        <v>2025-056-0</v>
      </c>
      <c r="C334" s="34">
        <v>2025</v>
      </c>
      <c r="D334" s="35" t="s">
        <v>87</v>
      </c>
      <c r="E334" s="34">
        <v>0</v>
      </c>
      <c r="F334" s="36" t="s">
        <v>2403</v>
      </c>
      <c r="G334" s="34"/>
      <c r="H334" s="37"/>
      <c r="I334" s="38"/>
    </row>
    <row r="335" spans="2:9" x14ac:dyDescent="0.2">
      <c r="B335" s="21" t="str">
        <f t="shared" si="3"/>
        <v>2025-056-1</v>
      </c>
      <c r="C335" s="22">
        <v>2025</v>
      </c>
      <c r="D335" s="23" t="s">
        <v>87</v>
      </c>
      <c r="E335" s="22">
        <v>1</v>
      </c>
      <c r="F335" s="24" t="s">
        <v>2669</v>
      </c>
      <c r="G335" s="22"/>
      <c r="H335" s="25"/>
      <c r="I335" s="26"/>
    </row>
    <row r="336" spans="2:9" x14ac:dyDescent="0.2">
      <c r="B336" s="21" t="str">
        <f t="shared" si="3"/>
        <v>2025-056-2</v>
      </c>
      <c r="C336" s="22">
        <v>2025</v>
      </c>
      <c r="D336" s="23" t="s">
        <v>87</v>
      </c>
      <c r="E336" s="22">
        <v>2</v>
      </c>
      <c r="F336" s="24" t="s">
        <v>2670</v>
      </c>
      <c r="G336" s="22"/>
      <c r="H336" s="25"/>
      <c r="I336" s="26"/>
    </row>
    <row r="337" spans="2:9" ht="27" x14ac:dyDescent="0.2">
      <c r="B337" s="21" t="str">
        <f t="shared" si="3"/>
        <v>2025-056-3</v>
      </c>
      <c r="C337" s="22">
        <v>2025</v>
      </c>
      <c r="D337" s="23" t="s">
        <v>87</v>
      </c>
      <c r="E337" s="22">
        <v>3</v>
      </c>
      <c r="F337" s="24" t="s">
        <v>2671</v>
      </c>
      <c r="G337" s="22" t="s">
        <v>3391</v>
      </c>
      <c r="H337" s="25"/>
      <c r="I337" s="26"/>
    </row>
    <row r="338" spans="2:9" x14ac:dyDescent="0.2">
      <c r="B338" s="21" t="str">
        <f t="shared" si="3"/>
        <v>2025-056-4</v>
      </c>
      <c r="C338" s="22">
        <v>2025</v>
      </c>
      <c r="D338" s="23" t="s">
        <v>87</v>
      </c>
      <c r="E338" s="22">
        <v>4</v>
      </c>
      <c r="F338" s="24" t="s">
        <v>2672</v>
      </c>
      <c r="G338" s="22"/>
      <c r="H338" s="25"/>
      <c r="I338" s="26"/>
    </row>
    <row r="339" spans="2:9" ht="27" x14ac:dyDescent="0.2">
      <c r="B339" s="27" t="str">
        <f t="shared" si="3"/>
        <v>2025-056-5</v>
      </c>
      <c r="C339" s="28">
        <v>2025</v>
      </c>
      <c r="D339" s="29" t="s">
        <v>87</v>
      </c>
      <c r="E339" s="28">
        <v>5</v>
      </c>
      <c r="F339" s="30" t="s">
        <v>2793</v>
      </c>
      <c r="G339" s="28"/>
      <c r="H339" s="31"/>
      <c r="I339" s="32"/>
    </row>
    <row r="340" spans="2:9" x14ac:dyDescent="0.2">
      <c r="B340" s="33" t="str">
        <f t="shared" si="3"/>
        <v>2025-057-0</v>
      </c>
      <c r="C340" s="34">
        <v>2025</v>
      </c>
      <c r="D340" s="35" t="s">
        <v>88</v>
      </c>
      <c r="E340" s="34">
        <v>0</v>
      </c>
      <c r="F340" s="36" t="s">
        <v>2404</v>
      </c>
      <c r="G340" s="34"/>
      <c r="H340" s="37"/>
      <c r="I340" s="38"/>
    </row>
    <row r="341" spans="2:9" ht="27" x14ac:dyDescent="0.2">
      <c r="B341" s="21" t="str">
        <f t="shared" si="3"/>
        <v>2025-057-1</v>
      </c>
      <c r="C341" s="22">
        <v>2025</v>
      </c>
      <c r="D341" s="23" t="s">
        <v>88</v>
      </c>
      <c r="E341" s="22">
        <v>1</v>
      </c>
      <c r="F341" s="24" t="s">
        <v>2673</v>
      </c>
      <c r="G341" s="22"/>
      <c r="H341" s="25"/>
      <c r="I341" s="26"/>
    </row>
    <row r="342" spans="2:9" ht="27" x14ac:dyDescent="0.2">
      <c r="B342" s="21" t="str">
        <f t="shared" si="3"/>
        <v>2025-057-2</v>
      </c>
      <c r="C342" s="22">
        <v>2025</v>
      </c>
      <c r="D342" s="23" t="s">
        <v>88</v>
      </c>
      <c r="E342" s="22">
        <v>2</v>
      </c>
      <c r="F342" s="24" t="s">
        <v>2794</v>
      </c>
      <c r="G342" s="22" t="s">
        <v>3391</v>
      </c>
      <c r="H342" s="25"/>
      <c r="I342" s="26"/>
    </row>
    <row r="343" spans="2:9" ht="27" x14ac:dyDescent="0.2">
      <c r="B343" s="21" t="str">
        <f t="shared" si="3"/>
        <v>2025-057-3</v>
      </c>
      <c r="C343" s="22">
        <v>2025</v>
      </c>
      <c r="D343" s="23" t="s">
        <v>88</v>
      </c>
      <c r="E343" s="22">
        <v>3</v>
      </c>
      <c r="F343" s="24" t="s">
        <v>2674</v>
      </c>
      <c r="G343" s="22"/>
      <c r="H343" s="25"/>
      <c r="I343" s="26"/>
    </row>
    <row r="344" spans="2:9" ht="27" x14ac:dyDescent="0.2">
      <c r="B344" s="21" t="str">
        <f t="shared" si="3"/>
        <v>2025-057-4</v>
      </c>
      <c r="C344" s="22">
        <v>2025</v>
      </c>
      <c r="D344" s="23" t="s">
        <v>88</v>
      </c>
      <c r="E344" s="22">
        <v>4</v>
      </c>
      <c r="F344" s="24" t="s">
        <v>2675</v>
      </c>
      <c r="G344" s="22"/>
      <c r="H344" s="25"/>
      <c r="I344" s="26"/>
    </row>
    <row r="345" spans="2:9" ht="40.5" x14ac:dyDescent="0.2">
      <c r="B345" s="27" t="str">
        <f t="shared" si="3"/>
        <v>2025-057-5</v>
      </c>
      <c r="C345" s="28">
        <v>2025</v>
      </c>
      <c r="D345" s="29" t="s">
        <v>88</v>
      </c>
      <c r="E345" s="28">
        <v>5</v>
      </c>
      <c r="F345" s="30" t="s">
        <v>2795</v>
      </c>
      <c r="G345" s="28"/>
      <c r="H345" s="31"/>
      <c r="I345" s="32"/>
    </row>
    <row r="346" spans="2:9" x14ac:dyDescent="0.2">
      <c r="B346" s="33" t="str">
        <f t="shared" si="3"/>
        <v>2025-058-0</v>
      </c>
      <c r="C346" s="34">
        <v>2025</v>
      </c>
      <c r="D346" s="35" t="s">
        <v>89</v>
      </c>
      <c r="E346" s="34">
        <v>0</v>
      </c>
      <c r="F346" s="36" t="s">
        <v>2405</v>
      </c>
      <c r="G346" s="34"/>
      <c r="H346" s="37"/>
      <c r="I346" s="38"/>
    </row>
    <row r="347" spans="2:9" x14ac:dyDescent="0.2">
      <c r="B347" s="21" t="str">
        <f t="shared" si="3"/>
        <v>2025-058-1</v>
      </c>
      <c r="C347" s="22">
        <v>2025</v>
      </c>
      <c r="D347" s="23" t="s">
        <v>89</v>
      </c>
      <c r="E347" s="22">
        <v>1</v>
      </c>
      <c r="F347" s="24" t="s">
        <v>2676</v>
      </c>
      <c r="G347" s="22"/>
      <c r="H347" s="25"/>
      <c r="I347" s="26"/>
    </row>
    <row r="348" spans="2:9" x14ac:dyDescent="0.2">
      <c r="B348" s="21" t="str">
        <f t="shared" si="3"/>
        <v>2025-058-2</v>
      </c>
      <c r="C348" s="22">
        <v>2025</v>
      </c>
      <c r="D348" s="23" t="s">
        <v>89</v>
      </c>
      <c r="E348" s="22">
        <v>2</v>
      </c>
      <c r="F348" s="24" t="s">
        <v>2677</v>
      </c>
      <c r="G348" s="22"/>
      <c r="H348" s="25"/>
      <c r="I348" s="26"/>
    </row>
    <row r="349" spans="2:9" x14ac:dyDescent="0.2">
      <c r="B349" s="21" t="str">
        <f t="shared" si="3"/>
        <v>2025-058-3</v>
      </c>
      <c r="C349" s="22">
        <v>2025</v>
      </c>
      <c r="D349" s="23" t="s">
        <v>89</v>
      </c>
      <c r="E349" s="22">
        <v>3</v>
      </c>
      <c r="F349" s="24" t="s">
        <v>2678</v>
      </c>
      <c r="G349" s="22" t="s">
        <v>3391</v>
      </c>
      <c r="H349" s="25"/>
      <c r="I349" s="26"/>
    </row>
    <row r="350" spans="2:9" x14ac:dyDescent="0.2">
      <c r="B350" s="21" t="str">
        <f t="shared" si="3"/>
        <v>2025-058-4</v>
      </c>
      <c r="C350" s="22">
        <v>2025</v>
      </c>
      <c r="D350" s="23" t="s">
        <v>89</v>
      </c>
      <c r="E350" s="22">
        <v>4</v>
      </c>
      <c r="F350" s="24" t="s">
        <v>2679</v>
      </c>
      <c r="G350" s="22"/>
      <c r="H350" s="25"/>
      <c r="I350" s="26"/>
    </row>
    <row r="351" spans="2:9" x14ac:dyDescent="0.2">
      <c r="B351" s="27" t="str">
        <f t="shared" si="3"/>
        <v>2025-058-5</v>
      </c>
      <c r="C351" s="28">
        <v>2025</v>
      </c>
      <c r="D351" s="29" t="s">
        <v>89</v>
      </c>
      <c r="E351" s="28">
        <v>5</v>
      </c>
      <c r="F351" s="30" t="s">
        <v>2680</v>
      </c>
      <c r="G351" s="28"/>
      <c r="H351" s="31"/>
      <c r="I351" s="32"/>
    </row>
    <row r="352" spans="2:9" x14ac:dyDescent="0.2">
      <c r="B352" s="33" t="str">
        <f t="shared" si="3"/>
        <v>2025-059-0</v>
      </c>
      <c r="C352" s="34">
        <v>2025</v>
      </c>
      <c r="D352" s="35" t="s">
        <v>90</v>
      </c>
      <c r="E352" s="34">
        <v>0</v>
      </c>
      <c r="F352" s="36" t="s">
        <v>2406</v>
      </c>
      <c r="G352" s="34"/>
      <c r="H352" s="37"/>
      <c r="I352" s="38"/>
    </row>
    <row r="353" spans="2:9" ht="27" x14ac:dyDescent="0.2">
      <c r="B353" s="21" t="str">
        <f t="shared" si="3"/>
        <v>2025-059-1</v>
      </c>
      <c r="C353" s="22">
        <v>2025</v>
      </c>
      <c r="D353" s="23" t="s">
        <v>90</v>
      </c>
      <c r="E353" s="22">
        <v>1</v>
      </c>
      <c r="F353" s="24" t="s">
        <v>2681</v>
      </c>
      <c r="G353" s="22"/>
      <c r="H353" s="25"/>
      <c r="I353" s="26"/>
    </row>
    <row r="354" spans="2:9" x14ac:dyDescent="0.2">
      <c r="B354" s="21" t="str">
        <f t="shared" si="3"/>
        <v>2025-059-2</v>
      </c>
      <c r="C354" s="22">
        <v>2025</v>
      </c>
      <c r="D354" s="23" t="s">
        <v>90</v>
      </c>
      <c r="E354" s="22">
        <v>2</v>
      </c>
      <c r="F354" s="24" t="s">
        <v>2682</v>
      </c>
      <c r="G354" s="22"/>
      <c r="H354" s="25"/>
      <c r="I354" s="26"/>
    </row>
    <row r="355" spans="2:9" ht="27" x14ac:dyDescent="0.2">
      <c r="B355" s="21" t="str">
        <f t="shared" si="3"/>
        <v>2025-059-3</v>
      </c>
      <c r="C355" s="22">
        <v>2025</v>
      </c>
      <c r="D355" s="23" t="s">
        <v>90</v>
      </c>
      <c r="E355" s="22">
        <v>3</v>
      </c>
      <c r="F355" s="24" t="s">
        <v>2683</v>
      </c>
      <c r="G355" s="22"/>
      <c r="H355" s="25"/>
      <c r="I355" s="26"/>
    </row>
    <row r="356" spans="2:9" ht="27" x14ac:dyDescent="0.2">
      <c r="B356" s="21" t="str">
        <f t="shared" si="3"/>
        <v>2025-059-4</v>
      </c>
      <c r="C356" s="22">
        <v>2025</v>
      </c>
      <c r="D356" s="23" t="s">
        <v>90</v>
      </c>
      <c r="E356" s="22">
        <v>4</v>
      </c>
      <c r="F356" s="24" t="s">
        <v>2796</v>
      </c>
      <c r="G356" s="22" t="s">
        <v>3391</v>
      </c>
      <c r="H356" s="25"/>
      <c r="I356" s="26"/>
    </row>
    <row r="357" spans="2:9" ht="27" x14ac:dyDescent="0.2">
      <c r="B357" s="27" t="str">
        <f t="shared" si="3"/>
        <v>2025-059-5</v>
      </c>
      <c r="C357" s="28">
        <v>2025</v>
      </c>
      <c r="D357" s="29" t="s">
        <v>90</v>
      </c>
      <c r="E357" s="28">
        <v>5</v>
      </c>
      <c r="F357" s="30" t="s">
        <v>2684</v>
      </c>
      <c r="G357" s="28"/>
      <c r="H357" s="31"/>
      <c r="I357" s="32"/>
    </row>
    <row r="358" spans="2:9" x14ac:dyDescent="0.2">
      <c r="B358" s="33" t="str">
        <f t="shared" si="3"/>
        <v>2025-060-0</v>
      </c>
      <c r="C358" s="34">
        <v>2025</v>
      </c>
      <c r="D358" s="35" t="s">
        <v>91</v>
      </c>
      <c r="E358" s="34">
        <v>0</v>
      </c>
      <c r="F358" s="36" t="s">
        <v>2407</v>
      </c>
      <c r="G358" s="34"/>
      <c r="H358" s="37"/>
      <c r="I358" s="38"/>
    </row>
    <row r="359" spans="2:9" ht="27" x14ac:dyDescent="0.2">
      <c r="B359" s="21" t="str">
        <f t="shared" si="3"/>
        <v>2025-060-1</v>
      </c>
      <c r="C359" s="22">
        <v>2025</v>
      </c>
      <c r="D359" s="23" t="s">
        <v>91</v>
      </c>
      <c r="E359" s="22">
        <v>1</v>
      </c>
      <c r="F359" s="24" t="s">
        <v>2685</v>
      </c>
      <c r="G359" s="22"/>
      <c r="H359" s="25"/>
      <c r="I359" s="26"/>
    </row>
    <row r="360" spans="2:9" ht="27" x14ac:dyDescent="0.2">
      <c r="B360" s="21" t="str">
        <f t="shared" si="3"/>
        <v>2025-060-2</v>
      </c>
      <c r="C360" s="22">
        <v>2025</v>
      </c>
      <c r="D360" s="23" t="s">
        <v>91</v>
      </c>
      <c r="E360" s="22">
        <v>2</v>
      </c>
      <c r="F360" s="24" t="s">
        <v>2686</v>
      </c>
      <c r="G360" s="22"/>
      <c r="H360" s="25"/>
      <c r="I360" s="26"/>
    </row>
    <row r="361" spans="2:9" ht="40.5" x14ac:dyDescent="0.2">
      <c r="B361" s="21" t="str">
        <f t="shared" si="3"/>
        <v>2025-060-3</v>
      </c>
      <c r="C361" s="22">
        <v>2025</v>
      </c>
      <c r="D361" s="23" t="s">
        <v>91</v>
      </c>
      <c r="E361" s="22">
        <v>3</v>
      </c>
      <c r="F361" s="24" t="s">
        <v>2687</v>
      </c>
      <c r="G361" s="22"/>
      <c r="H361" s="25"/>
      <c r="I361" s="26"/>
    </row>
    <row r="362" spans="2:9" ht="27" x14ac:dyDescent="0.2">
      <c r="B362" s="21" t="str">
        <f t="shared" si="3"/>
        <v>2025-060-4</v>
      </c>
      <c r="C362" s="22">
        <v>2025</v>
      </c>
      <c r="D362" s="23" t="s">
        <v>91</v>
      </c>
      <c r="E362" s="22">
        <v>4</v>
      </c>
      <c r="F362" s="24" t="s">
        <v>2688</v>
      </c>
      <c r="G362" s="22"/>
      <c r="H362" s="25"/>
      <c r="I362" s="26"/>
    </row>
    <row r="363" spans="2:9" ht="27" x14ac:dyDescent="0.2">
      <c r="B363" s="27" t="str">
        <f t="shared" si="3"/>
        <v>2025-060-5</v>
      </c>
      <c r="C363" s="28">
        <v>2025</v>
      </c>
      <c r="D363" s="29" t="s">
        <v>91</v>
      </c>
      <c r="E363" s="28">
        <v>5</v>
      </c>
      <c r="F363" s="30" t="s">
        <v>2689</v>
      </c>
      <c r="G363" s="28" t="s">
        <v>3391</v>
      </c>
      <c r="H363" s="31"/>
      <c r="I363" s="32"/>
    </row>
    <row r="364" spans="2:9" x14ac:dyDescent="0.2">
      <c r="B364" s="33" t="str">
        <f t="shared" si="3"/>
        <v>2025-061-0</v>
      </c>
      <c r="C364" s="34">
        <v>2025</v>
      </c>
      <c r="D364" s="35" t="s">
        <v>92</v>
      </c>
      <c r="E364" s="34">
        <v>0</v>
      </c>
      <c r="F364" s="36" t="s">
        <v>2408</v>
      </c>
      <c r="G364" s="34"/>
      <c r="H364" s="37"/>
      <c r="I364" s="38"/>
    </row>
    <row r="365" spans="2:9" ht="27" x14ac:dyDescent="0.2">
      <c r="B365" s="21" t="str">
        <f t="shared" si="3"/>
        <v>2025-061-1</v>
      </c>
      <c r="C365" s="22">
        <v>2025</v>
      </c>
      <c r="D365" s="23" t="s">
        <v>92</v>
      </c>
      <c r="E365" s="22">
        <v>1</v>
      </c>
      <c r="F365" s="24" t="s">
        <v>2690</v>
      </c>
      <c r="G365" s="22"/>
      <c r="H365" s="25"/>
      <c r="I365" s="26"/>
    </row>
    <row r="366" spans="2:9" x14ac:dyDescent="0.2">
      <c r="B366" s="21" t="str">
        <f t="shared" si="3"/>
        <v>2025-061-2</v>
      </c>
      <c r="C366" s="22">
        <v>2025</v>
      </c>
      <c r="D366" s="23" t="s">
        <v>92</v>
      </c>
      <c r="E366" s="22">
        <v>2</v>
      </c>
      <c r="F366" s="24" t="s">
        <v>2691</v>
      </c>
      <c r="G366" s="22"/>
      <c r="H366" s="25"/>
      <c r="I366" s="26"/>
    </row>
    <row r="367" spans="2:9" x14ac:dyDescent="0.2">
      <c r="B367" s="21" t="str">
        <f t="shared" si="3"/>
        <v>2025-061-3</v>
      </c>
      <c r="C367" s="22">
        <v>2025</v>
      </c>
      <c r="D367" s="23" t="s">
        <v>92</v>
      </c>
      <c r="E367" s="22">
        <v>3</v>
      </c>
      <c r="F367" s="24" t="s">
        <v>2692</v>
      </c>
      <c r="G367" s="22"/>
      <c r="H367" s="25"/>
      <c r="I367" s="26"/>
    </row>
    <row r="368" spans="2:9" ht="27" x14ac:dyDescent="0.2">
      <c r="B368" s="21" t="str">
        <f t="shared" si="3"/>
        <v>2025-061-4</v>
      </c>
      <c r="C368" s="22">
        <v>2025</v>
      </c>
      <c r="D368" s="23" t="s">
        <v>92</v>
      </c>
      <c r="E368" s="22">
        <v>4</v>
      </c>
      <c r="F368" s="24" t="s">
        <v>2797</v>
      </c>
      <c r="G368" s="22"/>
      <c r="H368" s="25"/>
      <c r="I368" s="26"/>
    </row>
    <row r="369" spans="2:9" ht="27" x14ac:dyDescent="0.2">
      <c r="B369" s="27" t="str">
        <f t="shared" si="3"/>
        <v>2025-061-5</v>
      </c>
      <c r="C369" s="28">
        <v>2025</v>
      </c>
      <c r="D369" s="29" t="s">
        <v>92</v>
      </c>
      <c r="E369" s="28">
        <v>5</v>
      </c>
      <c r="F369" s="30" t="s">
        <v>2693</v>
      </c>
      <c r="G369" s="28" t="s">
        <v>3391</v>
      </c>
      <c r="H369" s="31"/>
      <c r="I369" s="32"/>
    </row>
    <row r="370" spans="2:9" x14ac:dyDescent="0.2">
      <c r="B370" s="33" t="str">
        <f t="shared" si="3"/>
        <v>2025-062-0</v>
      </c>
      <c r="C370" s="34">
        <v>2025</v>
      </c>
      <c r="D370" s="35" t="s">
        <v>93</v>
      </c>
      <c r="E370" s="34">
        <v>0</v>
      </c>
      <c r="F370" s="36" t="s">
        <v>2409</v>
      </c>
      <c r="G370" s="34"/>
      <c r="H370" s="37"/>
      <c r="I370" s="38"/>
    </row>
    <row r="371" spans="2:9" ht="27" x14ac:dyDescent="0.2">
      <c r="B371" s="21" t="str">
        <f t="shared" si="3"/>
        <v>2025-062-1</v>
      </c>
      <c r="C371" s="22">
        <v>2025</v>
      </c>
      <c r="D371" s="23" t="s">
        <v>93</v>
      </c>
      <c r="E371" s="22">
        <v>1</v>
      </c>
      <c r="F371" s="24" t="s">
        <v>2694</v>
      </c>
      <c r="G371" s="22" t="s">
        <v>3391</v>
      </c>
      <c r="H371" s="25"/>
      <c r="I371" s="26"/>
    </row>
    <row r="372" spans="2:9" x14ac:dyDescent="0.2">
      <c r="B372" s="21" t="str">
        <f t="shared" si="3"/>
        <v>2025-062-2</v>
      </c>
      <c r="C372" s="22">
        <v>2025</v>
      </c>
      <c r="D372" s="23" t="s">
        <v>93</v>
      </c>
      <c r="E372" s="22">
        <v>2</v>
      </c>
      <c r="F372" s="24" t="s">
        <v>2695</v>
      </c>
      <c r="G372" s="22"/>
      <c r="H372" s="25"/>
      <c r="I372" s="26"/>
    </row>
    <row r="373" spans="2:9" ht="27" x14ac:dyDescent="0.2">
      <c r="B373" s="21" t="str">
        <f t="shared" si="3"/>
        <v>2025-062-3</v>
      </c>
      <c r="C373" s="22">
        <v>2025</v>
      </c>
      <c r="D373" s="23" t="s">
        <v>93</v>
      </c>
      <c r="E373" s="22">
        <v>3</v>
      </c>
      <c r="F373" s="24" t="s">
        <v>2696</v>
      </c>
      <c r="G373" s="22"/>
      <c r="H373" s="25"/>
      <c r="I373" s="26"/>
    </row>
    <row r="374" spans="2:9" ht="27" x14ac:dyDescent="0.2">
      <c r="B374" s="21" t="str">
        <f t="shared" si="3"/>
        <v>2025-062-4</v>
      </c>
      <c r="C374" s="22">
        <v>2025</v>
      </c>
      <c r="D374" s="23" t="s">
        <v>93</v>
      </c>
      <c r="E374" s="22">
        <v>4</v>
      </c>
      <c r="F374" s="24" t="s">
        <v>2697</v>
      </c>
      <c r="G374" s="22"/>
      <c r="H374" s="25"/>
      <c r="I374" s="26"/>
    </row>
    <row r="375" spans="2:9" ht="40.5" x14ac:dyDescent="0.2">
      <c r="B375" s="27" t="str">
        <f t="shared" si="3"/>
        <v>2025-062-5</v>
      </c>
      <c r="C375" s="28">
        <v>2025</v>
      </c>
      <c r="D375" s="29" t="s">
        <v>93</v>
      </c>
      <c r="E375" s="28">
        <v>5</v>
      </c>
      <c r="F375" s="30" t="s">
        <v>2798</v>
      </c>
      <c r="G375" s="28"/>
      <c r="H375" s="31"/>
      <c r="I375" s="32"/>
    </row>
    <row r="376" spans="2:9" x14ac:dyDescent="0.2">
      <c r="B376" s="33" t="str">
        <f t="shared" si="3"/>
        <v>2025-063-0</v>
      </c>
      <c r="C376" s="34">
        <v>2025</v>
      </c>
      <c r="D376" s="35" t="s">
        <v>94</v>
      </c>
      <c r="E376" s="34">
        <v>0</v>
      </c>
      <c r="F376" s="36" t="s">
        <v>2409</v>
      </c>
      <c r="G376" s="34"/>
      <c r="H376" s="37"/>
      <c r="I376" s="38"/>
    </row>
    <row r="377" spans="2:9" ht="27" x14ac:dyDescent="0.2">
      <c r="B377" s="21" t="str">
        <f t="shared" si="3"/>
        <v>2025-063-1</v>
      </c>
      <c r="C377" s="22">
        <v>2025</v>
      </c>
      <c r="D377" s="23" t="s">
        <v>94</v>
      </c>
      <c r="E377" s="22">
        <v>1</v>
      </c>
      <c r="F377" s="24" t="s">
        <v>2698</v>
      </c>
      <c r="G377" s="22" t="s">
        <v>3391</v>
      </c>
      <c r="H377" s="25"/>
      <c r="I377" s="26"/>
    </row>
    <row r="378" spans="2:9" ht="40.5" x14ac:dyDescent="0.2">
      <c r="B378" s="21" t="str">
        <f t="shared" si="3"/>
        <v>2025-063-2</v>
      </c>
      <c r="C378" s="22">
        <v>2025</v>
      </c>
      <c r="D378" s="23" t="s">
        <v>94</v>
      </c>
      <c r="E378" s="22">
        <v>2</v>
      </c>
      <c r="F378" s="24" t="s">
        <v>2699</v>
      </c>
      <c r="G378" s="22"/>
      <c r="H378" s="25"/>
      <c r="I378" s="26"/>
    </row>
    <row r="379" spans="2:9" x14ac:dyDescent="0.2">
      <c r="B379" s="21" t="str">
        <f t="shared" si="3"/>
        <v>2025-063-3</v>
      </c>
      <c r="C379" s="22">
        <v>2025</v>
      </c>
      <c r="D379" s="23" t="s">
        <v>94</v>
      </c>
      <c r="E379" s="22">
        <v>3</v>
      </c>
      <c r="F379" s="24" t="s">
        <v>2700</v>
      </c>
      <c r="G379" s="22"/>
      <c r="H379" s="25"/>
      <c r="I379" s="26"/>
    </row>
    <row r="380" spans="2:9" ht="27" x14ac:dyDescent="0.2">
      <c r="B380" s="21" t="str">
        <f t="shared" si="3"/>
        <v>2025-063-4</v>
      </c>
      <c r="C380" s="22">
        <v>2025</v>
      </c>
      <c r="D380" s="23" t="s">
        <v>94</v>
      </c>
      <c r="E380" s="22">
        <v>4</v>
      </c>
      <c r="F380" s="24" t="s">
        <v>2701</v>
      </c>
      <c r="G380" s="22"/>
      <c r="H380" s="25"/>
      <c r="I380" s="26"/>
    </row>
    <row r="381" spans="2:9" ht="27" x14ac:dyDescent="0.2">
      <c r="B381" s="27" t="str">
        <f t="shared" si="3"/>
        <v>2025-063-5</v>
      </c>
      <c r="C381" s="28">
        <v>2025</v>
      </c>
      <c r="D381" s="29" t="s">
        <v>94</v>
      </c>
      <c r="E381" s="28">
        <v>5</v>
      </c>
      <c r="F381" s="30" t="s">
        <v>2702</v>
      </c>
      <c r="G381" s="28"/>
      <c r="H381" s="31"/>
      <c r="I381" s="32"/>
    </row>
    <row r="382" spans="2:9" x14ac:dyDescent="0.2">
      <c r="B382" s="33" t="str">
        <f t="shared" si="3"/>
        <v>2025-064-0</v>
      </c>
      <c r="C382" s="34">
        <v>2025</v>
      </c>
      <c r="D382" s="35" t="s">
        <v>95</v>
      </c>
      <c r="E382" s="34">
        <v>0</v>
      </c>
      <c r="F382" s="36" t="s">
        <v>2411</v>
      </c>
      <c r="G382" s="34"/>
      <c r="H382" s="37"/>
      <c r="I382" s="38"/>
    </row>
    <row r="383" spans="2:9" x14ac:dyDescent="0.2">
      <c r="B383" s="21" t="str">
        <f t="shared" ref="B383:B446" si="4">C383&amp;"-"&amp;D383&amp;"-"&amp;E383</f>
        <v>2025-064-1</v>
      </c>
      <c r="C383" s="22">
        <v>2025</v>
      </c>
      <c r="D383" s="23" t="s">
        <v>95</v>
      </c>
      <c r="E383" s="22">
        <v>1</v>
      </c>
      <c r="F383" s="24" t="s">
        <v>2703</v>
      </c>
      <c r="G383" s="22"/>
      <c r="H383" s="25"/>
      <c r="I383" s="26"/>
    </row>
    <row r="384" spans="2:9" x14ac:dyDescent="0.2">
      <c r="B384" s="21" t="str">
        <f t="shared" si="4"/>
        <v>2025-064-2</v>
      </c>
      <c r="C384" s="22">
        <v>2025</v>
      </c>
      <c r="D384" s="23" t="s">
        <v>95</v>
      </c>
      <c r="E384" s="22">
        <v>2</v>
      </c>
      <c r="F384" s="24" t="s">
        <v>2704</v>
      </c>
      <c r="G384" s="22"/>
      <c r="H384" s="25"/>
      <c r="I384" s="26"/>
    </row>
    <row r="385" spans="2:9" ht="27" x14ac:dyDescent="0.2">
      <c r="B385" s="21" t="str">
        <f t="shared" si="4"/>
        <v>2025-064-3</v>
      </c>
      <c r="C385" s="22">
        <v>2025</v>
      </c>
      <c r="D385" s="23" t="s">
        <v>95</v>
      </c>
      <c r="E385" s="22">
        <v>3</v>
      </c>
      <c r="F385" s="24" t="s">
        <v>2705</v>
      </c>
      <c r="G385" s="22"/>
      <c r="H385" s="25"/>
      <c r="I385" s="26"/>
    </row>
    <row r="386" spans="2:9" x14ac:dyDescent="0.2">
      <c r="B386" s="21" t="str">
        <f t="shared" si="4"/>
        <v>2025-064-4</v>
      </c>
      <c r="C386" s="22">
        <v>2025</v>
      </c>
      <c r="D386" s="23" t="s">
        <v>95</v>
      </c>
      <c r="E386" s="22">
        <v>4</v>
      </c>
      <c r="F386" s="24" t="s">
        <v>2706</v>
      </c>
      <c r="G386" s="22" t="s">
        <v>3391</v>
      </c>
      <c r="H386" s="25"/>
      <c r="I386" s="26"/>
    </row>
    <row r="387" spans="2:9" ht="27" x14ac:dyDescent="0.2">
      <c r="B387" s="27" t="str">
        <f t="shared" si="4"/>
        <v>2025-064-5</v>
      </c>
      <c r="C387" s="28">
        <v>2025</v>
      </c>
      <c r="D387" s="29" t="s">
        <v>95</v>
      </c>
      <c r="E387" s="28">
        <v>5</v>
      </c>
      <c r="F387" s="30" t="s">
        <v>2712</v>
      </c>
      <c r="G387" s="28"/>
      <c r="H387" s="31"/>
      <c r="I387" s="32"/>
    </row>
    <row r="388" spans="2:9" x14ac:dyDescent="0.2">
      <c r="B388" s="33" t="str">
        <f t="shared" si="4"/>
        <v>2025-065-0</v>
      </c>
      <c r="C388" s="34">
        <v>2025</v>
      </c>
      <c r="D388" s="35" t="s">
        <v>96</v>
      </c>
      <c r="E388" s="34">
        <v>0</v>
      </c>
      <c r="F388" s="36" t="s">
        <v>2412</v>
      </c>
      <c r="G388" s="34"/>
      <c r="H388" s="37"/>
      <c r="I388" s="38"/>
    </row>
    <row r="389" spans="2:9" x14ac:dyDescent="0.2">
      <c r="B389" s="21" t="str">
        <f t="shared" si="4"/>
        <v>2025-065-1</v>
      </c>
      <c r="C389" s="22">
        <v>2025</v>
      </c>
      <c r="D389" s="23" t="s">
        <v>96</v>
      </c>
      <c r="E389" s="22">
        <v>1</v>
      </c>
      <c r="F389" s="24" t="s">
        <v>2707</v>
      </c>
      <c r="G389" s="22" t="s">
        <v>3391</v>
      </c>
      <c r="H389" s="25"/>
      <c r="I389" s="26"/>
    </row>
    <row r="390" spans="2:9" x14ac:dyDescent="0.2">
      <c r="B390" s="21" t="str">
        <f t="shared" si="4"/>
        <v>2025-065-2</v>
      </c>
      <c r="C390" s="22">
        <v>2025</v>
      </c>
      <c r="D390" s="23" t="s">
        <v>96</v>
      </c>
      <c r="E390" s="22">
        <v>2</v>
      </c>
      <c r="F390" s="24" t="s">
        <v>2708</v>
      </c>
      <c r="G390" s="22"/>
      <c r="H390" s="25"/>
      <c r="I390" s="26"/>
    </row>
    <row r="391" spans="2:9" x14ac:dyDescent="0.2">
      <c r="B391" s="21" t="str">
        <f t="shared" si="4"/>
        <v>2025-065-3</v>
      </c>
      <c r="C391" s="22">
        <v>2025</v>
      </c>
      <c r="D391" s="23" t="s">
        <v>96</v>
      </c>
      <c r="E391" s="22">
        <v>3</v>
      </c>
      <c r="F391" s="24" t="s">
        <v>2709</v>
      </c>
      <c r="G391" s="22"/>
      <c r="H391" s="25"/>
      <c r="I391" s="26"/>
    </row>
    <row r="392" spans="2:9" x14ac:dyDescent="0.2">
      <c r="B392" s="21" t="str">
        <f t="shared" si="4"/>
        <v>2025-065-4</v>
      </c>
      <c r="C392" s="22">
        <v>2025</v>
      </c>
      <c r="D392" s="23" t="s">
        <v>96</v>
      </c>
      <c r="E392" s="22">
        <v>4</v>
      </c>
      <c r="F392" s="24" t="s">
        <v>2710</v>
      </c>
      <c r="G392" s="22"/>
      <c r="H392" s="25"/>
      <c r="I392" s="26"/>
    </row>
    <row r="393" spans="2:9" x14ac:dyDescent="0.2">
      <c r="B393" s="27" t="str">
        <f t="shared" si="4"/>
        <v>2025-065-5</v>
      </c>
      <c r="C393" s="28">
        <v>2025</v>
      </c>
      <c r="D393" s="29" t="s">
        <v>96</v>
      </c>
      <c r="E393" s="28">
        <v>5</v>
      </c>
      <c r="F393" s="30" t="s">
        <v>2711</v>
      </c>
      <c r="G393" s="28"/>
      <c r="H393" s="31"/>
      <c r="I393" s="32"/>
    </row>
    <row r="394" spans="2:9" x14ac:dyDescent="0.2">
      <c r="B394" s="33" t="str">
        <f t="shared" si="4"/>
        <v>2025-066-0</v>
      </c>
      <c r="C394" s="34">
        <v>2025</v>
      </c>
      <c r="D394" s="35" t="s">
        <v>97</v>
      </c>
      <c r="E394" s="34">
        <v>0</v>
      </c>
      <c r="F394" s="36" t="s">
        <v>2413</v>
      </c>
      <c r="G394" s="34"/>
      <c r="H394" s="37"/>
      <c r="I394" s="38"/>
    </row>
    <row r="395" spans="2:9" x14ac:dyDescent="0.2">
      <c r="B395" s="21" t="str">
        <f t="shared" si="4"/>
        <v>2025-066-1</v>
      </c>
      <c r="C395" s="22">
        <v>2025</v>
      </c>
      <c r="D395" s="23" t="s">
        <v>97</v>
      </c>
      <c r="E395" s="22">
        <v>1</v>
      </c>
      <c r="F395" s="24" t="s">
        <v>2525</v>
      </c>
      <c r="G395" s="22"/>
      <c r="H395" s="25"/>
      <c r="I395" s="26"/>
    </row>
    <row r="396" spans="2:9" ht="27" x14ac:dyDescent="0.2">
      <c r="B396" s="21" t="str">
        <f t="shared" si="4"/>
        <v>2025-066-2</v>
      </c>
      <c r="C396" s="22">
        <v>2025</v>
      </c>
      <c r="D396" s="23" t="s">
        <v>97</v>
      </c>
      <c r="E396" s="22">
        <v>2</v>
      </c>
      <c r="F396" s="24" t="s">
        <v>2713</v>
      </c>
      <c r="G396" s="22"/>
      <c r="H396" s="25"/>
      <c r="I396" s="26"/>
    </row>
    <row r="397" spans="2:9" ht="27" x14ac:dyDescent="0.2">
      <c r="B397" s="21" t="str">
        <f t="shared" si="4"/>
        <v>2025-066-3</v>
      </c>
      <c r="C397" s="22">
        <v>2025</v>
      </c>
      <c r="D397" s="23" t="s">
        <v>97</v>
      </c>
      <c r="E397" s="22">
        <v>3</v>
      </c>
      <c r="F397" s="24" t="s">
        <v>2714</v>
      </c>
      <c r="G397" s="22"/>
      <c r="H397" s="25"/>
      <c r="I397" s="26"/>
    </row>
    <row r="398" spans="2:9" ht="27" x14ac:dyDescent="0.2">
      <c r="B398" s="21" t="str">
        <f t="shared" si="4"/>
        <v>2025-066-4</v>
      </c>
      <c r="C398" s="22">
        <v>2025</v>
      </c>
      <c r="D398" s="23" t="s">
        <v>97</v>
      </c>
      <c r="E398" s="22">
        <v>4</v>
      </c>
      <c r="F398" s="24" t="s">
        <v>2715</v>
      </c>
      <c r="G398" s="22"/>
      <c r="H398" s="25"/>
      <c r="I398" s="26"/>
    </row>
    <row r="399" spans="2:9" x14ac:dyDescent="0.2">
      <c r="B399" s="27" t="str">
        <f t="shared" si="4"/>
        <v>2025-066-5</v>
      </c>
      <c r="C399" s="28">
        <v>2025</v>
      </c>
      <c r="D399" s="29" t="s">
        <v>97</v>
      </c>
      <c r="E399" s="28">
        <v>5</v>
      </c>
      <c r="F399" s="30" t="s">
        <v>2716</v>
      </c>
      <c r="G399" s="28" t="s">
        <v>3391</v>
      </c>
      <c r="H399" s="31"/>
      <c r="I399" s="32"/>
    </row>
    <row r="400" spans="2:9" x14ac:dyDescent="0.2">
      <c r="B400" s="33" t="str">
        <f t="shared" si="4"/>
        <v>2025-067-0</v>
      </c>
      <c r="C400" s="34">
        <v>2025</v>
      </c>
      <c r="D400" s="35" t="s">
        <v>98</v>
      </c>
      <c r="E400" s="34">
        <v>0</v>
      </c>
      <c r="F400" s="36" t="s">
        <v>2414</v>
      </c>
      <c r="G400" s="34"/>
      <c r="H400" s="37"/>
      <c r="I400" s="38"/>
    </row>
    <row r="401" spans="2:9" x14ac:dyDescent="0.2">
      <c r="B401" s="21" t="str">
        <f t="shared" si="4"/>
        <v>2025-067-1</v>
      </c>
      <c r="C401" s="22">
        <v>2025</v>
      </c>
      <c r="D401" s="23" t="s">
        <v>98</v>
      </c>
      <c r="E401" s="22">
        <v>1</v>
      </c>
      <c r="F401" s="24" t="s">
        <v>2717</v>
      </c>
      <c r="G401" s="22"/>
      <c r="H401" s="25"/>
      <c r="I401" s="26"/>
    </row>
    <row r="402" spans="2:9" ht="27" x14ac:dyDescent="0.2">
      <c r="B402" s="21" t="str">
        <f t="shared" si="4"/>
        <v>2025-067-2</v>
      </c>
      <c r="C402" s="22">
        <v>2025</v>
      </c>
      <c r="D402" s="23" t="s">
        <v>98</v>
      </c>
      <c r="E402" s="22">
        <v>2</v>
      </c>
      <c r="F402" s="24" t="s">
        <v>2718</v>
      </c>
      <c r="G402" s="22"/>
      <c r="H402" s="25"/>
      <c r="I402" s="26"/>
    </row>
    <row r="403" spans="2:9" x14ac:dyDescent="0.2">
      <c r="B403" s="21" t="str">
        <f t="shared" si="4"/>
        <v>2025-067-3</v>
      </c>
      <c r="C403" s="22">
        <v>2025</v>
      </c>
      <c r="D403" s="23" t="s">
        <v>98</v>
      </c>
      <c r="E403" s="22">
        <v>3</v>
      </c>
      <c r="F403" s="24" t="s">
        <v>2719</v>
      </c>
      <c r="G403" s="22"/>
      <c r="H403" s="25"/>
      <c r="I403" s="26"/>
    </row>
    <row r="404" spans="2:9" x14ac:dyDescent="0.2">
      <c r="B404" s="21" t="str">
        <f t="shared" si="4"/>
        <v>2025-067-4</v>
      </c>
      <c r="C404" s="22">
        <v>2025</v>
      </c>
      <c r="D404" s="23" t="s">
        <v>98</v>
      </c>
      <c r="E404" s="22">
        <v>4</v>
      </c>
      <c r="F404" s="24" t="s">
        <v>2720</v>
      </c>
      <c r="G404" s="22"/>
      <c r="H404" s="25"/>
      <c r="I404" s="26"/>
    </row>
    <row r="405" spans="2:9" x14ac:dyDescent="0.2">
      <c r="B405" s="27" t="str">
        <f t="shared" si="4"/>
        <v>2025-067-5</v>
      </c>
      <c r="C405" s="28">
        <v>2025</v>
      </c>
      <c r="D405" s="29" t="s">
        <v>98</v>
      </c>
      <c r="E405" s="28">
        <v>5</v>
      </c>
      <c r="F405" s="30" t="s">
        <v>2721</v>
      </c>
      <c r="G405" s="28" t="s">
        <v>3391</v>
      </c>
      <c r="H405" s="31"/>
      <c r="I405" s="32"/>
    </row>
    <row r="406" spans="2:9" x14ac:dyDescent="0.2">
      <c r="B406" s="33" t="str">
        <f t="shared" si="4"/>
        <v>2025-068-0</v>
      </c>
      <c r="C406" s="34">
        <v>2025</v>
      </c>
      <c r="D406" s="35" t="s">
        <v>99</v>
      </c>
      <c r="E406" s="34">
        <v>0</v>
      </c>
      <c r="F406" s="36" t="s">
        <v>2415</v>
      </c>
      <c r="G406" s="34"/>
      <c r="H406" s="37"/>
      <c r="I406" s="38"/>
    </row>
    <row r="407" spans="2:9" x14ac:dyDescent="0.2">
      <c r="B407" s="21" t="str">
        <f t="shared" si="4"/>
        <v>2025-068-1</v>
      </c>
      <c r="C407" s="22">
        <v>2025</v>
      </c>
      <c r="D407" s="23" t="s">
        <v>99</v>
      </c>
      <c r="E407" s="22">
        <v>1</v>
      </c>
      <c r="F407" s="24" t="s">
        <v>2723</v>
      </c>
      <c r="G407" s="22"/>
      <c r="H407" s="25"/>
      <c r="I407" s="26"/>
    </row>
    <row r="408" spans="2:9" x14ac:dyDescent="0.2">
      <c r="B408" s="21" t="str">
        <f t="shared" si="4"/>
        <v>2025-068-2</v>
      </c>
      <c r="C408" s="22">
        <v>2025</v>
      </c>
      <c r="D408" s="23" t="s">
        <v>99</v>
      </c>
      <c r="E408" s="22">
        <v>2</v>
      </c>
      <c r="F408" s="24" t="s">
        <v>2722</v>
      </c>
      <c r="G408" s="22" t="s">
        <v>3391</v>
      </c>
      <c r="H408" s="25"/>
      <c r="I408" s="26"/>
    </row>
    <row r="409" spans="2:9" ht="27" x14ac:dyDescent="0.2">
      <c r="B409" s="21" t="str">
        <f t="shared" si="4"/>
        <v>2025-068-3</v>
      </c>
      <c r="C409" s="22">
        <v>2025</v>
      </c>
      <c r="D409" s="23" t="s">
        <v>99</v>
      </c>
      <c r="E409" s="22">
        <v>3</v>
      </c>
      <c r="F409" s="24" t="s">
        <v>2724</v>
      </c>
      <c r="G409" s="22"/>
      <c r="H409" s="25"/>
      <c r="I409" s="26"/>
    </row>
    <row r="410" spans="2:9" x14ac:dyDescent="0.2">
      <c r="B410" s="21" t="str">
        <f t="shared" si="4"/>
        <v>2025-068-4</v>
      </c>
      <c r="C410" s="22">
        <v>2025</v>
      </c>
      <c r="D410" s="23" t="s">
        <v>99</v>
      </c>
      <c r="E410" s="22">
        <v>4</v>
      </c>
      <c r="F410" s="24" t="s">
        <v>2726</v>
      </c>
      <c r="G410" s="22"/>
      <c r="H410" s="25"/>
      <c r="I410" s="26"/>
    </row>
    <row r="411" spans="2:9" x14ac:dyDescent="0.2">
      <c r="B411" s="27" t="str">
        <f t="shared" si="4"/>
        <v>2025-068-5</v>
      </c>
      <c r="C411" s="28">
        <v>2025</v>
      </c>
      <c r="D411" s="29" t="s">
        <v>99</v>
      </c>
      <c r="E411" s="28">
        <v>5</v>
      </c>
      <c r="F411" s="30" t="s">
        <v>2725</v>
      </c>
      <c r="G411" s="28"/>
      <c r="H411" s="31"/>
      <c r="I411" s="32"/>
    </row>
    <row r="412" spans="2:9" x14ac:dyDescent="0.2">
      <c r="B412" s="33" t="str">
        <f t="shared" si="4"/>
        <v>2025-069-0</v>
      </c>
      <c r="C412" s="34">
        <v>2025</v>
      </c>
      <c r="D412" s="35" t="s">
        <v>100</v>
      </c>
      <c r="E412" s="34">
        <v>0</v>
      </c>
      <c r="F412" s="36" t="s">
        <v>2416</v>
      </c>
      <c r="G412" s="34"/>
      <c r="H412" s="37"/>
      <c r="I412" s="38"/>
    </row>
    <row r="413" spans="2:9" ht="27" x14ac:dyDescent="0.2">
      <c r="B413" s="21" t="str">
        <f t="shared" si="4"/>
        <v>2025-069-1</v>
      </c>
      <c r="C413" s="22">
        <v>2025</v>
      </c>
      <c r="D413" s="23" t="s">
        <v>100</v>
      </c>
      <c r="E413" s="22">
        <v>1</v>
      </c>
      <c r="F413" s="24" t="s">
        <v>2727</v>
      </c>
      <c r="G413" s="22"/>
      <c r="H413" s="25"/>
      <c r="I413" s="26"/>
    </row>
    <row r="414" spans="2:9" ht="27" x14ac:dyDescent="0.2">
      <c r="B414" s="21" t="str">
        <f t="shared" si="4"/>
        <v>2025-069-2</v>
      </c>
      <c r="C414" s="22">
        <v>2025</v>
      </c>
      <c r="D414" s="23" t="s">
        <v>100</v>
      </c>
      <c r="E414" s="22">
        <v>2</v>
      </c>
      <c r="F414" s="24" t="s">
        <v>2728</v>
      </c>
      <c r="G414" s="22"/>
      <c r="H414" s="25"/>
      <c r="I414" s="26"/>
    </row>
    <row r="415" spans="2:9" x14ac:dyDescent="0.2">
      <c r="B415" s="21" t="str">
        <f t="shared" si="4"/>
        <v>2025-069-3</v>
      </c>
      <c r="C415" s="22">
        <v>2025</v>
      </c>
      <c r="D415" s="23" t="s">
        <v>100</v>
      </c>
      <c r="E415" s="22">
        <v>3</v>
      </c>
      <c r="F415" s="24" t="s">
        <v>2729</v>
      </c>
      <c r="G415" s="22" t="s">
        <v>3391</v>
      </c>
      <c r="H415" s="25"/>
      <c r="I415" s="26"/>
    </row>
    <row r="416" spans="2:9" x14ac:dyDescent="0.2">
      <c r="B416" s="21" t="str">
        <f t="shared" si="4"/>
        <v>2025-069-4</v>
      </c>
      <c r="C416" s="22">
        <v>2025</v>
      </c>
      <c r="D416" s="23" t="s">
        <v>100</v>
      </c>
      <c r="E416" s="22">
        <v>4</v>
      </c>
      <c r="F416" s="24" t="s">
        <v>2799</v>
      </c>
      <c r="G416" s="22"/>
      <c r="H416" s="25"/>
      <c r="I416" s="26"/>
    </row>
    <row r="417" spans="2:9" ht="27" x14ac:dyDescent="0.2">
      <c r="B417" s="27" t="str">
        <f t="shared" si="4"/>
        <v>2025-069-5</v>
      </c>
      <c r="C417" s="28">
        <v>2025</v>
      </c>
      <c r="D417" s="29" t="s">
        <v>100</v>
      </c>
      <c r="E417" s="28">
        <v>5</v>
      </c>
      <c r="F417" s="30" t="s">
        <v>2730</v>
      </c>
      <c r="G417" s="28"/>
      <c r="H417" s="31"/>
      <c r="I417" s="32"/>
    </row>
    <row r="418" spans="2:9" x14ac:dyDescent="0.2">
      <c r="B418" s="33" t="str">
        <f t="shared" si="4"/>
        <v>2025-070-0</v>
      </c>
      <c r="C418" s="34">
        <v>2025</v>
      </c>
      <c r="D418" s="35" t="s">
        <v>101</v>
      </c>
      <c r="E418" s="34">
        <v>0</v>
      </c>
      <c r="F418" s="36" t="s">
        <v>2417</v>
      </c>
      <c r="G418" s="34"/>
      <c r="H418" s="37"/>
      <c r="I418" s="38"/>
    </row>
    <row r="419" spans="2:9" ht="27" x14ac:dyDescent="0.2">
      <c r="B419" s="21" t="str">
        <f t="shared" si="4"/>
        <v>2025-070-1</v>
      </c>
      <c r="C419" s="22">
        <v>2025</v>
      </c>
      <c r="D419" s="23" t="s">
        <v>101</v>
      </c>
      <c r="E419" s="22">
        <v>1</v>
      </c>
      <c r="F419" s="24" t="s">
        <v>2800</v>
      </c>
      <c r="G419" s="22"/>
      <c r="H419" s="25"/>
      <c r="I419" s="26"/>
    </row>
    <row r="420" spans="2:9" x14ac:dyDescent="0.2">
      <c r="B420" s="21" t="str">
        <f t="shared" si="4"/>
        <v>2025-070-2</v>
      </c>
      <c r="C420" s="22">
        <v>2025</v>
      </c>
      <c r="D420" s="23" t="s">
        <v>101</v>
      </c>
      <c r="E420" s="22">
        <v>2</v>
      </c>
      <c r="F420" s="24" t="s">
        <v>2731</v>
      </c>
      <c r="G420" s="22"/>
      <c r="H420" s="25"/>
      <c r="I420" s="26"/>
    </row>
    <row r="421" spans="2:9" ht="27" x14ac:dyDescent="0.2">
      <c r="B421" s="21" t="str">
        <f t="shared" si="4"/>
        <v>2025-070-3</v>
      </c>
      <c r="C421" s="22">
        <v>2025</v>
      </c>
      <c r="D421" s="23" t="s">
        <v>101</v>
      </c>
      <c r="E421" s="22">
        <v>3</v>
      </c>
      <c r="F421" s="24" t="s">
        <v>2732</v>
      </c>
      <c r="G421" s="22"/>
      <c r="H421" s="25"/>
      <c r="I421" s="26"/>
    </row>
    <row r="422" spans="2:9" x14ac:dyDescent="0.2">
      <c r="B422" s="21" t="str">
        <f t="shared" si="4"/>
        <v>2025-070-4</v>
      </c>
      <c r="C422" s="22">
        <v>2025</v>
      </c>
      <c r="D422" s="23" t="s">
        <v>101</v>
      </c>
      <c r="E422" s="22">
        <v>4</v>
      </c>
      <c r="F422" s="24" t="s">
        <v>2733</v>
      </c>
      <c r="G422" s="22" t="s">
        <v>3391</v>
      </c>
      <c r="H422" s="25"/>
      <c r="I422" s="26"/>
    </row>
    <row r="423" spans="2:9" x14ac:dyDescent="0.2">
      <c r="B423" s="27" t="str">
        <f t="shared" si="4"/>
        <v>2025-070-5</v>
      </c>
      <c r="C423" s="28">
        <v>2025</v>
      </c>
      <c r="D423" s="29" t="s">
        <v>101</v>
      </c>
      <c r="E423" s="28">
        <v>5</v>
      </c>
      <c r="F423" s="30" t="s">
        <v>2734</v>
      </c>
      <c r="G423" s="28"/>
      <c r="H423" s="31"/>
      <c r="I423" s="32"/>
    </row>
    <row r="424" spans="2:9" x14ac:dyDescent="0.2">
      <c r="B424" s="33" t="str">
        <f t="shared" si="4"/>
        <v>2025-071-0</v>
      </c>
      <c r="C424" s="34">
        <v>2025</v>
      </c>
      <c r="D424" s="35" t="s">
        <v>102</v>
      </c>
      <c r="E424" s="34">
        <v>0</v>
      </c>
      <c r="F424" s="36" t="s">
        <v>2418</v>
      </c>
      <c r="G424" s="34"/>
      <c r="H424" s="37"/>
      <c r="I424" s="38"/>
    </row>
    <row r="425" spans="2:9" x14ac:dyDescent="0.2">
      <c r="B425" s="21" t="str">
        <f t="shared" si="4"/>
        <v>2025-071-1</v>
      </c>
      <c r="C425" s="22">
        <v>2025</v>
      </c>
      <c r="D425" s="23" t="s">
        <v>102</v>
      </c>
      <c r="E425" s="22">
        <v>1</v>
      </c>
      <c r="F425" s="24" t="s">
        <v>2735</v>
      </c>
      <c r="G425" s="22"/>
      <c r="H425" s="25"/>
      <c r="I425" s="26"/>
    </row>
    <row r="426" spans="2:9" x14ac:dyDescent="0.2">
      <c r="B426" s="21" t="str">
        <f t="shared" si="4"/>
        <v>2025-071-2</v>
      </c>
      <c r="C426" s="22">
        <v>2025</v>
      </c>
      <c r="D426" s="23" t="s">
        <v>102</v>
      </c>
      <c r="E426" s="22">
        <v>2</v>
      </c>
      <c r="F426" s="24" t="s">
        <v>2736</v>
      </c>
      <c r="G426" s="22" t="s">
        <v>3391</v>
      </c>
      <c r="H426" s="25"/>
      <c r="I426" s="26"/>
    </row>
    <row r="427" spans="2:9" ht="27" x14ac:dyDescent="0.2">
      <c r="B427" s="21" t="str">
        <f t="shared" si="4"/>
        <v>2025-071-3</v>
      </c>
      <c r="C427" s="22">
        <v>2025</v>
      </c>
      <c r="D427" s="23" t="s">
        <v>102</v>
      </c>
      <c r="E427" s="22">
        <v>3</v>
      </c>
      <c r="F427" s="24" t="s">
        <v>2737</v>
      </c>
      <c r="G427" s="22"/>
      <c r="H427" s="25"/>
      <c r="I427" s="26"/>
    </row>
    <row r="428" spans="2:9" x14ac:dyDescent="0.2">
      <c r="B428" s="21" t="str">
        <f t="shared" si="4"/>
        <v>2025-071-4</v>
      </c>
      <c r="C428" s="22">
        <v>2025</v>
      </c>
      <c r="D428" s="23" t="s">
        <v>102</v>
      </c>
      <c r="E428" s="22">
        <v>4</v>
      </c>
      <c r="F428" s="24" t="s">
        <v>2738</v>
      </c>
      <c r="G428" s="22"/>
      <c r="H428" s="25"/>
      <c r="I428" s="26"/>
    </row>
    <row r="429" spans="2:9" x14ac:dyDescent="0.2">
      <c r="B429" s="27" t="str">
        <f t="shared" si="4"/>
        <v>2025-071-5</v>
      </c>
      <c r="C429" s="28">
        <v>2025</v>
      </c>
      <c r="D429" s="29" t="s">
        <v>102</v>
      </c>
      <c r="E429" s="28">
        <v>5</v>
      </c>
      <c r="F429" s="30" t="s">
        <v>2739</v>
      </c>
      <c r="G429" s="28"/>
      <c r="H429" s="31"/>
      <c r="I429" s="32"/>
    </row>
    <row r="430" spans="2:9" x14ac:dyDescent="0.2">
      <c r="B430" s="33" t="str">
        <f t="shared" si="4"/>
        <v>2025-072-0</v>
      </c>
      <c r="C430" s="34">
        <v>2025</v>
      </c>
      <c r="D430" s="35" t="s">
        <v>103</v>
      </c>
      <c r="E430" s="34">
        <v>0</v>
      </c>
      <c r="F430" s="36" t="s">
        <v>2419</v>
      </c>
      <c r="G430" s="34"/>
      <c r="H430" s="37"/>
      <c r="I430" s="38"/>
    </row>
    <row r="431" spans="2:9" ht="27" x14ac:dyDescent="0.2">
      <c r="B431" s="21" t="str">
        <f t="shared" si="4"/>
        <v>2025-072-1</v>
      </c>
      <c r="C431" s="22">
        <v>2025</v>
      </c>
      <c r="D431" s="23" t="s">
        <v>103</v>
      </c>
      <c r="E431" s="22">
        <v>1</v>
      </c>
      <c r="F431" s="24" t="s">
        <v>2740</v>
      </c>
      <c r="G431" s="22"/>
      <c r="H431" s="25"/>
      <c r="I431" s="26"/>
    </row>
    <row r="432" spans="2:9" x14ac:dyDescent="0.2">
      <c r="B432" s="21" t="str">
        <f t="shared" si="4"/>
        <v>2025-072-2</v>
      </c>
      <c r="C432" s="22">
        <v>2025</v>
      </c>
      <c r="D432" s="23" t="s">
        <v>103</v>
      </c>
      <c r="E432" s="22">
        <v>2</v>
      </c>
      <c r="F432" s="24" t="s">
        <v>2801</v>
      </c>
      <c r="G432" s="22"/>
      <c r="H432" s="25"/>
      <c r="I432" s="26"/>
    </row>
    <row r="433" spans="2:9" ht="27" x14ac:dyDescent="0.2">
      <c r="B433" s="21" t="str">
        <f t="shared" si="4"/>
        <v>2025-072-3</v>
      </c>
      <c r="C433" s="22">
        <v>2025</v>
      </c>
      <c r="D433" s="23" t="s">
        <v>103</v>
      </c>
      <c r="E433" s="22">
        <v>3</v>
      </c>
      <c r="F433" s="24" t="s">
        <v>2741</v>
      </c>
      <c r="G433" s="22"/>
      <c r="H433" s="25"/>
      <c r="I433" s="26"/>
    </row>
    <row r="434" spans="2:9" x14ac:dyDescent="0.2">
      <c r="B434" s="21" t="str">
        <f t="shared" si="4"/>
        <v>2025-072-4</v>
      </c>
      <c r="C434" s="22">
        <v>2025</v>
      </c>
      <c r="D434" s="23" t="s">
        <v>103</v>
      </c>
      <c r="E434" s="22">
        <v>4</v>
      </c>
      <c r="F434" s="24" t="s">
        <v>2742</v>
      </c>
      <c r="G434" s="22" t="s">
        <v>3391</v>
      </c>
      <c r="H434" s="25"/>
      <c r="I434" s="26"/>
    </row>
    <row r="435" spans="2:9" x14ac:dyDescent="0.2">
      <c r="B435" s="27" t="str">
        <f t="shared" si="4"/>
        <v>2025-072-5</v>
      </c>
      <c r="C435" s="28">
        <v>2025</v>
      </c>
      <c r="D435" s="29" t="s">
        <v>103</v>
      </c>
      <c r="E435" s="28">
        <v>5</v>
      </c>
      <c r="F435" s="30" t="s">
        <v>2743</v>
      </c>
      <c r="G435" s="28"/>
      <c r="H435" s="31"/>
      <c r="I435" s="32"/>
    </row>
    <row r="436" spans="2:9" ht="81" x14ac:dyDescent="0.2">
      <c r="B436" s="33" t="str">
        <f t="shared" si="4"/>
        <v>2025-073-0</v>
      </c>
      <c r="C436" s="34">
        <v>2025</v>
      </c>
      <c r="D436" s="35" t="s">
        <v>104</v>
      </c>
      <c r="E436" s="34">
        <v>0</v>
      </c>
      <c r="F436" s="36" t="s">
        <v>2802</v>
      </c>
      <c r="G436" s="34"/>
      <c r="H436" s="37"/>
      <c r="I436" s="38"/>
    </row>
    <row r="437" spans="2:9" x14ac:dyDescent="0.2">
      <c r="B437" s="21" t="str">
        <f t="shared" si="4"/>
        <v>2025-073-1</v>
      </c>
      <c r="C437" s="22">
        <v>2025</v>
      </c>
      <c r="D437" s="23" t="s">
        <v>104</v>
      </c>
      <c r="E437" s="22">
        <v>1</v>
      </c>
      <c r="F437" s="24" t="s">
        <v>2573</v>
      </c>
      <c r="G437" s="22"/>
      <c r="H437" s="25"/>
      <c r="I437" s="26"/>
    </row>
    <row r="438" spans="2:9" x14ac:dyDescent="0.2">
      <c r="B438" s="21" t="str">
        <f t="shared" si="4"/>
        <v>2025-073-2</v>
      </c>
      <c r="C438" s="22">
        <v>2025</v>
      </c>
      <c r="D438" s="23" t="s">
        <v>104</v>
      </c>
      <c r="E438" s="22">
        <v>2</v>
      </c>
      <c r="F438" s="24" t="s">
        <v>2451</v>
      </c>
      <c r="G438" s="22"/>
      <c r="H438" s="25"/>
      <c r="I438" s="26"/>
    </row>
    <row r="439" spans="2:9" x14ac:dyDescent="0.2">
      <c r="B439" s="21" t="str">
        <f t="shared" si="4"/>
        <v>2025-073-3</v>
      </c>
      <c r="C439" s="22">
        <v>2025</v>
      </c>
      <c r="D439" s="23" t="s">
        <v>104</v>
      </c>
      <c r="E439" s="22">
        <v>3</v>
      </c>
      <c r="F439" s="24" t="s">
        <v>2574</v>
      </c>
      <c r="G439" s="22"/>
      <c r="H439" s="25"/>
      <c r="I439" s="26"/>
    </row>
    <row r="440" spans="2:9" x14ac:dyDescent="0.2">
      <c r="B440" s="21" t="str">
        <f t="shared" si="4"/>
        <v>2025-073-4</v>
      </c>
      <c r="C440" s="22">
        <v>2025</v>
      </c>
      <c r="D440" s="23" t="s">
        <v>104</v>
      </c>
      <c r="E440" s="22">
        <v>4</v>
      </c>
      <c r="F440" s="24" t="s">
        <v>2453</v>
      </c>
      <c r="G440" s="22"/>
      <c r="H440" s="25"/>
      <c r="I440" s="26"/>
    </row>
    <row r="441" spans="2:9" x14ac:dyDescent="0.2">
      <c r="B441" s="27" t="str">
        <f t="shared" si="4"/>
        <v>2025-073-5</v>
      </c>
      <c r="C441" s="28">
        <v>2025</v>
      </c>
      <c r="D441" s="29" t="s">
        <v>104</v>
      </c>
      <c r="E441" s="28">
        <v>5</v>
      </c>
      <c r="F441" s="30" t="s">
        <v>2454</v>
      </c>
      <c r="G441" s="28" t="s">
        <v>3391</v>
      </c>
      <c r="H441" s="31"/>
      <c r="I441" s="32"/>
    </row>
    <row r="442" spans="2:9" x14ac:dyDescent="0.2">
      <c r="B442" s="33" t="str">
        <f t="shared" si="4"/>
        <v>2025-074-0</v>
      </c>
      <c r="C442" s="34">
        <v>2025</v>
      </c>
      <c r="D442" s="35" t="s">
        <v>105</v>
      </c>
      <c r="E442" s="34">
        <v>0</v>
      </c>
      <c r="F442" s="36" t="s">
        <v>2420</v>
      </c>
      <c r="G442" s="34"/>
      <c r="H442" s="37"/>
      <c r="I442" s="38"/>
    </row>
    <row r="443" spans="2:9" x14ac:dyDescent="0.2">
      <c r="B443" s="21" t="str">
        <f t="shared" si="4"/>
        <v>2025-074-1</v>
      </c>
      <c r="C443" s="22">
        <v>2025</v>
      </c>
      <c r="D443" s="23" t="s">
        <v>105</v>
      </c>
      <c r="E443" s="22">
        <v>1</v>
      </c>
      <c r="F443" s="24" t="s">
        <v>2744</v>
      </c>
      <c r="G443" s="22"/>
      <c r="H443" s="25"/>
      <c r="I443" s="26"/>
    </row>
    <row r="444" spans="2:9" x14ac:dyDescent="0.2">
      <c r="B444" s="21" t="str">
        <f t="shared" si="4"/>
        <v>2025-074-2</v>
      </c>
      <c r="C444" s="22">
        <v>2025</v>
      </c>
      <c r="D444" s="23" t="s">
        <v>105</v>
      </c>
      <c r="E444" s="22">
        <v>2</v>
      </c>
      <c r="F444" s="24" t="s">
        <v>2745</v>
      </c>
      <c r="G444" s="22"/>
      <c r="H444" s="25"/>
      <c r="I444" s="26"/>
    </row>
    <row r="445" spans="2:9" x14ac:dyDescent="0.2">
      <c r="B445" s="21" t="str">
        <f t="shared" si="4"/>
        <v>2025-074-3</v>
      </c>
      <c r="C445" s="22">
        <v>2025</v>
      </c>
      <c r="D445" s="23" t="s">
        <v>105</v>
      </c>
      <c r="E445" s="22">
        <v>3</v>
      </c>
      <c r="F445" s="24" t="s">
        <v>2746</v>
      </c>
      <c r="G445" s="22" t="s">
        <v>3391</v>
      </c>
      <c r="H445" s="25"/>
      <c r="I445" s="26"/>
    </row>
    <row r="446" spans="2:9" x14ac:dyDescent="0.2">
      <c r="B446" s="21" t="str">
        <f t="shared" si="4"/>
        <v>2025-074-4</v>
      </c>
      <c r="C446" s="22">
        <v>2025</v>
      </c>
      <c r="D446" s="23" t="s">
        <v>105</v>
      </c>
      <c r="E446" s="22">
        <v>4</v>
      </c>
      <c r="F446" s="24" t="s">
        <v>2747</v>
      </c>
      <c r="G446" s="22"/>
      <c r="H446" s="25"/>
      <c r="I446" s="26"/>
    </row>
    <row r="447" spans="2:9" x14ac:dyDescent="0.2">
      <c r="B447" s="27" t="str">
        <f t="shared" ref="B447:B483" si="5">C447&amp;"-"&amp;D447&amp;"-"&amp;E447</f>
        <v>2025-074-5</v>
      </c>
      <c r="C447" s="28">
        <v>2025</v>
      </c>
      <c r="D447" s="29" t="s">
        <v>105</v>
      </c>
      <c r="E447" s="28">
        <v>5</v>
      </c>
      <c r="F447" s="30" t="s">
        <v>2748</v>
      </c>
      <c r="G447" s="28"/>
      <c r="H447" s="31"/>
      <c r="I447" s="32"/>
    </row>
    <row r="448" spans="2:9" x14ac:dyDescent="0.2">
      <c r="B448" s="33" t="str">
        <f t="shared" si="5"/>
        <v>2025-075-0</v>
      </c>
      <c r="C448" s="34">
        <v>2025</v>
      </c>
      <c r="D448" s="35" t="s">
        <v>106</v>
      </c>
      <c r="E448" s="34">
        <v>0</v>
      </c>
      <c r="F448" s="36" t="s">
        <v>2421</v>
      </c>
      <c r="G448" s="34"/>
      <c r="H448" s="37"/>
      <c r="I448" s="38"/>
    </row>
    <row r="449" spans="2:9" x14ac:dyDescent="0.2">
      <c r="B449" s="21" t="str">
        <f t="shared" si="5"/>
        <v>2025-075-1</v>
      </c>
      <c r="C449" s="22">
        <v>2025</v>
      </c>
      <c r="D449" s="23" t="s">
        <v>106</v>
      </c>
      <c r="E449" s="22">
        <v>1</v>
      </c>
      <c r="F449" s="24" t="s">
        <v>2749</v>
      </c>
      <c r="G449" s="22" t="s">
        <v>3391</v>
      </c>
      <c r="H449" s="25"/>
      <c r="I449" s="26"/>
    </row>
    <row r="450" spans="2:9" x14ac:dyDescent="0.2">
      <c r="B450" s="21" t="str">
        <f t="shared" si="5"/>
        <v>2025-075-2</v>
      </c>
      <c r="C450" s="22">
        <v>2025</v>
      </c>
      <c r="D450" s="23" t="s">
        <v>106</v>
      </c>
      <c r="E450" s="22">
        <v>2</v>
      </c>
      <c r="F450" s="24" t="s">
        <v>2750</v>
      </c>
      <c r="G450" s="22"/>
      <c r="H450" s="25"/>
      <c r="I450" s="26"/>
    </row>
    <row r="451" spans="2:9" x14ac:dyDescent="0.2">
      <c r="B451" s="21" t="str">
        <f t="shared" si="5"/>
        <v>2025-075-3</v>
      </c>
      <c r="C451" s="22">
        <v>2025</v>
      </c>
      <c r="D451" s="23" t="s">
        <v>106</v>
      </c>
      <c r="E451" s="22">
        <v>3</v>
      </c>
      <c r="F451" s="24" t="s">
        <v>2751</v>
      </c>
      <c r="G451" s="22"/>
      <c r="H451" s="25"/>
      <c r="I451" s="26"/>
    </row>
    <row r="452" spans="2:9" ht="27" x14ac:dyDescent="0.2">
      <c r="B452" s="21" t="str">
        <f t="shared" si="5"/>
        <v>2025-075-4</v>
      </c>
      <c r="C452" s="22">
        <v>2025</v>
      </c>
      <c r="D452" s="23" t="s">
        <v>106</v>
      </c>
      <c r="E452" s="22">
        <v>4</v>
      </c>
      <c r="F452" s="24" t="s">
        <v>2752</v>
      </c>
      <c r="G452" s="22"/>
      <c r="H452" s="25"/>
      <c r="I452" s="26"/>
    </row>
    <row r="453" spans="2:9" x14ac:dyDescent="0.2">
      <c r="B453" s="27" t="str">
        <f t="shared" si="5"/>
        <v>2025-075-5</v>
      </c>
      <c r="C453" s="28">
        <v>2025</v>
      </c>
      <c r="D453" s="29" t="s">
        <v>106</v>
      </c>
      <c r="E453" s="28">
        <v>5</v>
      </c>
      <c r="F453" s="30" t="s">
        <v>2753</v>
      </c>
      <c r="G453" s="28"/>
      <c r="H453" s="31"/>
      <c r="I453" s="32"/>
    </row>
    <row r="454" spans="2:9" x14ac:dyDescent="0.2">
      <c r="B454" s="33" t="str">
        <f t="shared" si="5"/>
        <v>2025-076-0</v>
      </c>
      <c r="C454" s="34">
        <v>2025</v>
      </c>
      <c r="D454" s="35" t="s">
        <v>107</v>
      </c>
      <c r="E454" s="34">
        <v>0</v>
      </c>
      <c r="F454" s="36" t="s">
        <v>2422</v>
      </c>
      <c r="G454" s="34"/>
      <c r="H454" s="37"/>
      <c r="I454" s="38"/>
    </row>
    <row r="455" spans="2:9" x14ac:dyDescent="0.2">
      <c r="B455" s="21" t="str">
        <f t="shared" si="5"/>
        <v>2025-076-1</v>
      </c>
      <c r="C455" s="22">
        <v>2025</v>
      </c>
      <c r="D455" s="23" t="s">
        <v>107</v>
      </c>
      <c r="E455" s="22">
        <v>1</v>
      </c>
      <c r="F455" s="24" t="s">
        <v>2754</v>
      </c>
      <c r="G455" s="22"/>
      <c r="H455" s="25"/>
      <c r="I455" s="26"/>
    </row>
    <row r="456" spans="2:9" ht="27" x14ac:dyDescent="0.2">
      <c r="B456" s="21" t="str">
        <f t="shared" si="5"/>
        <v>2025-076-2</v>
      </c>
      <c r="C456" s="22">
        <v>2025</v>
      </c>
      <c r="D456" s="23" t="s">
        <v>107</v>
      </c>
      <c r="E456" s="22">
        <v>2</v>
      </c>
      <c r="F456" s="24" t="s">
        <v>2755</v>
      </c>
      <c r="G456" s="22"/>
      <c r="H456" s="25"/>
      <c r="I456" s="26"/>
    </row>
    <row r="457" spans="2:9" x14ac:dyDescent="0.2">
      <c r="B457" s="21" t="str">
        <f t="shared" si="5"/>
        <v>2025-076-3</v>
      </c>
      <c r="C457" s="22">
        <v>2025</v>
      </c>
      <c r="D457" s="23" t="s">
        <v>107</v>
      </c>
      <c r="E457" s="22">
        <v>3</v>
      </c>
      <c r="F457" s="24" t="s">
        <v>2756</v>
      </c>
      <c r="G457" s="22"/>
      <c r="H457" s="25"/>
      <c r="I457" s="26"/>
    </row>
    <row r="458" spans="2:9" ht="27" x14ac:dyDescent="0.2">
      <c r="B458" s="21" t="str">
        <f t="shared" si="5"/>
        <v>2025-076-4</v>
      </c>
      <c r="C458" s="22">
        <v>2025</v>
      </c>
      <c r="D458" s="23" t="s">
        <v>107</v>
      </c>
      <c r="E458" s="22">
        <v>4</v>
      </c>
      <c r="F458" s="24" t="s">
        <v>2757</v>
      </c>
      <c r="G458" s="22"/>
      <c r="H458" s="25"/>
      <c r="I458" s="26"/>
    </row>
    <row r="459" spans="2:9" x14ac:dyDescent="0.2">
      <c r="B459" s="27" t="str">
        <f t="shared" si="5"/>
        <v>2025-076-5</v>
      </c>
      <c r="C459" s="28">
        <v>2025</v>
      </c>
      <c r="D459" s="29" t="s">
        <v>107</v>
      </c>
      <c r="E459" s="28">
        <v>5</v>
      </c>
      <c r="F459" s="30" t="s">
        <v>2758</v>
      </c>
      <c r="G459" s="28" t="s">
        <v>3391</v>
      </c>
      <c r="H459" s="31"/>
      <c r="I459" s="32"/>
    </row>
    <row r="460" spans="2:9" x14ac:dyDescent="0.2">
      <c r="B460" s="33" t="str">
        <f t="shared" si="5"/>
        <v>2025-077-0</v>
      </c>
      <c r="C460" s="34">
        <v>2025</v>
      </c>
      <c r="D460" s="35" t="s">
        <v>108</v>
      </c>
      <c r="E460" s="34">
        <v>0</v>
      </c>
      <c r="F460" s="36" t="s">
        <v>2423</v>
      </c>
      <c r="G460" s="34"/>
      <c r="H460" s="37"/>
      <c r="I460" s="38"/>
    </row>
    <row r="461" spans="2:9" x14ac:dyDescent="0.2">
      <c r="B461" s="21" t="str">
        <f t="shared" si="5"/>
        <v>2025-077-1</v>
      </c>
      <c r="C461" s="22">
        <v>2025</v>
      </c>
      <c r="D461" s="23" t="s">
        <v>108</v>
      </c>
      <c r="E461" s="22">
        <v>1</v>
      </c>
      <c r="F461" s="24" t="s">
        <v>2759</v>
      </c>
      <c r="G461" s="22"/>
      <c r="H461" s="25"/>
      <c r="I461" s="26"/>
    </row>
    <row r="462" spans="2:9" x14ac:dyDescent="0.2">
      <c r="B462" s="21" t="str">
        <f t="shared" si="5"/>
        <v>2025-077-2</v>
      </c>
      <c r="C462" s="22">
        <v>2025</v>
      </c>
      <c r="D462" s="23" t="s">
        <v>108</v>
      </c>
      <c r="E462" s="22">
        <v>2</v>
      </c>
      <c r="F462" s="24" t="s">
        <v>2760</v>
      </c>
      <c r="G462" s="22"/>
      <c r="H462" s="25"/>
      <c r="I462" s="26"/>
    </row>
    <row r="463" spans="2:9" x14ac:dyDescent="0.2">
      <c r="B463" s="21" t="str">
        <f t="shared" si="5"/>
        <v>2025-077-3</v>
      </c>
      <c r="C463" s="22">
        <v>2025</v>
      </c>
      <c r="D463" s="23" t="s">
        <v>108</v>
      </c>
      <c r="E463" s="22">
        <v>3</v>
      </c>
      <c r="F463" s="24" t="s">
        <v>2761</v>
      </c>
      <c r="G463" s="22"/>
      <c r="H463" s="25"/>
      <c r="I463" s="26"/>
    </row>
    <row r="464" spans="2:9" x14ac:dyDescent="0.2">
      <c r="B464" s="21" t="str">
        <f t="shared" si="5"/>
        <v>2025-077-4</v>
      </c>
      <c r="C464" s="22">
        <v>2025</v>
      </c>
      <c r="D464" s="23" t="s">
        <v>108</v>
      </c>
      <c r="E464" s="22">
        <v>4</v>
      </c>
      <c r="F464" s="24" t="s">
        <v>2762</v>
      </c>
      <c r="G464" s="22" t="s">
        <v>3391</v>
      </c>
      <c r="H464" s="25"/>
      <c r="I464" s="26"/>
    </row>
    <row r="465" spans="2:9" x14ac:dyDescent="0.2">
      <c r="B465" s="27" t="str">
        <f t="shared" si="5"/>
        <v>2025-077-5</v>
      </c>
      <c r="C465" s="28">
        <v>2025</v>
      </c>
      <c r="D465" s="29" t="s">
        <v>108</v>
      </c>
      <c r="E465" s="28">
        <v>5</v>
      </c>
      <c r="F465" s="30" t="s">
        <v>2763</v>
      </c>
      <c r="G465" s="28"/>
      <c r="H465" s="31"/>
      <c r="I465" s="32"/>
    </row>
    <row r="466" spans="2:9" x14ac:dyDescent="0.2">
      <c r="B466" s="33" t="str">
        <f t="shared" si="5"/>
        <v>2025-078-0</v>
      </c>
      <c r="C466" s="34">
        <v>2025</v>
      </c>
      <c r="D466" s="35" t="s">
        <v>109</v>
      </c>
      <c r="E466" s="34">
        <v>0</v>
      </c>
      <c r="F466" s="36" t="s">
        <v>2424</v>
      </c>
      <c r="G466" s="34"/>
      <c r="H466" s="37"/>
      <c r="I466" s="38"/>
    </row>
    <row r="467" spans="2:9" x14ac:dyDescent="0.2">
      <c r="B467" s="21" t="str">
        <f t="shared" si="5"/>
        <v>2025-078-1</v>
      </c>
      <c r="C467" s="22">
        <v>2025</v>
      </c>
      <c r="D467" s="23" t="s">
        <v>109</v>
      </c>
      <c r="E467" s="22">
        <v>1</v>
      </c>
      <c r="F467" s="24" t="s">
        <v>2764</v>
      </c>
      <c r="G467" s="22"/>
      <c r="H467" s="25"/>
      <c r="I467" s="26"/>
    </row>
    <row r="468" spans="2:9" x14ac:dyDescent="0.2">
      <c r="B468" s="21" t="str">
        <f t="shared" si="5"/>
        <v>2025-078-2</v>
      </c>
      <c r="C468" s="22">
        <v>2025</v>
      </c>
      <c r="D468" s="23" t="s">
        <v>109</v>
      </c>
      <c r="E468" s="22">
        <v>2</v>
      </c>
      <c r="F468" s="24" t="s">
        <v>2803</v>
      </c>
      <c r="G468" s="22"/>
      <c r="H468" s="25"/>
      <c r="I468" s="26"/>
    </row>
    <row r="469" spans="2:9" x14ac:dyDescent="0.2">
      <c r="B469" s="21" t="str">
        <f t="shared" si="5"/>
        <v>2025-078-3</v>
      </c>
      <c r="C469" s="22">
        <v>2025</v>
      </c>
      <c r="D469" s="23" t="s">
        <v>109</v>
      </c>
      <c r="E469" s="22">
        <v>3</v>
      </c>
      <c r="F469" s="24" t="s">
        <v>2765</v>
      </c>
      <c r="G469" s="22"/>
      <c r="H469" s="25"/>
      <c r="I469" s="26"/>
    </row>
    <row r="470" spans="2:9" x14ac:dyDescent="0.2">
      <c r="B470" s="21" t="str">
        <f t="shared" si="5"/>
        <v>2025-078-4</v>
      </c>
      <c r="C470" s="22">
        <v>2025</v>
      </c>
      <c r="D470" s="23" t="s">
        <v>109</v>
      </c>
      <c r="E470" s="22">
        <v>4</v>
      </c>
      <c r="F470" s="24" t="s">
        <v>2766</v>
      </c>
      <c r="G470" s="22"/>
      <c r="H470" s="25"/>
      <c r="I470" s="26"/>
    </row>
    <row r="471" spans="2:9" x14ac:dyDescent="0.2">
      <c r="B471" s="27" t="str">
        <f t="shared" si="5"/>
        <v>2025-078-5</v>
      </c>
      <c r="C471" s="28">
        <v>2025</v>
      </c>
      <c r="D471" s="29" t="s">
        <v>109</v>
      </c>
      <c r="E471" s="28">
        <v>5</v>
      </c>
      <c r="F471" s="30" t="s">
        <v>2767</v>
      </c>
      <c r="G471" s="28" t="s">
        <v>3391</v>
      </c>
      <c r="H471" s="31"/>
      <c r="I471" s="32"/>
    </row>
    <row r="472" spans="2:9" x14ac:dyDescent="0.2">
      <c r="B472" s="33" t="str">
        <f t="shared" si="5"/>
        <v>2025-079-0</v>
      </c>
      <c r="C472" s="34">
        <v>2025</v>
      </c>
      <c r="D472" s="35" t="s">
        <v>110</v>
      </c>
      <c r="E472" s="34">
        <v>0</v>
      </c>
      <c r="F472" s="36" t="s">
        <v>2425</v>
      </c>
      <c r="G472" s="34"/>
      <c r="H472" s="37"/>
      <c r="I472" s="38"/>
    </row>
    <row r="473" spans="2:9" x14ac:dyDescent="0.2">
      <c r="B473" s="21" t="str">
        <f t="shared" si="5"/>
        <v>2025-079-1</v>
      </c>
      <c r="C473" s="22">
        <v>2025</v>
      </c>
      <c r="D473" s="23" t="s">
        <v>110</v>
      </c>
      <c r="E473" s="22">
        <v>1</v>
      </c>
      <c r="F473" s="24" t="s">
        <v>2768</v>
      </c>
      <c r="G473" s="22" t="s">
        <v>3391</v>
      </c>
      <c r="H473" s="25"/>
      <c r="I473" s="26"/>
    </row>
    <row r="474" spans="2:9" x14ac:dyDescent="0.2">
      <c r="B474" s="21" t="str">
        <f t="shared" si="5"/>
        <v>2025-079-2</v>
      </c>
      <c r="C474" s="22">
        <v>2025</v>
      </c>
      <c r="D474" s="23" t="s">
        <v>110</v>
      </c>
      <c r="E474" s="22">
        <v>2</v>
      </c>
      <c r="F474" s="24" t="s">
        <v>2769</v>
      </c>
      <c r="G474" s="22"/>
      <c r="H474" s="25"/>
      <c r="I474" s="26"/>
    </row>
    <row r="475" spans="2:9" x14ac:dyDescent="0.2">
      <c r="B475" s="21" t="str">
        <f t="shared" si="5"/>
        <v>2025-079-3</v>
      </c>
      <c r="C475" s="22">
        <v>2025</v>
      </c>
      <c r="D475" s="23" t="s">
        <v>110</v>
      </c>
      <c r="E475" s="22">
        <v>3</v>
      </c>
      <c r="F475" s="24" t="s">
        <v>2770</v>
      </c>
      <c r="G475" s="22"/>
      <c r="H475" s="25"/>
      <c r="I475" s="26"/>
    </row>
    <row r="476" spans="2:9" x14ac:dyDescent="0.2">
      <c r="B476" s="21" t="str">
        <f t="shared" si="5"/>
        <v>2025-079-4</v>
      </c>
      <c r="C476" s="22">
        <v>2025</v>
      </c>
      <c r="D476" s="23" t="s">
        <v>110</v>
      </c>
      <c r="E476" s="22">
        <v>4</v>
      </c>
      <c r="F476" s="24" t="s">
        <v>2771</v>
      </c>
      <c r="G476" s="22"/>
      <c r="H476" s="25"/>
      <c r="I476" s="26"/>
    </row>
    <row r="477" spans="2:9" x14ac:dyDescent="0.2">
      <c r="B477" s="27" t="str">
        <f t="shared" si="5"/>
        <v>2025-079-5</v>
      </c>
      <c r="C477" s="28">
        <v>2025</v>
      </c>
      <c r="D477" s="29" t="s">
        <v>110</v>
      </c>
      <c r="E477" s="28">
        <v>5</v>
      </c>
      <c r="F477" s="30" t="s">
        <v>2772</v>
      </c>
      <c r="G477" s="28"/>
      <c r="H477" s="31"/>
      <c r="I477" s="32"/>
    </row>
    <row r="478" spans="2:9" x14ac:dyDescent="0.2">
      <c r="B478" s="33" t="str">
        <f t="shared" si="5"/>
        <v>2025-080-0</v>
      </c>
      <c r="C478" s="34">
        <v>2025</v>
      </c>
      <c r="D478" s="35" t="s">
        <v>111</v>
      </c>
      <c r="E478" s="34">
        <v>0</v>
      </c>
      <c r="F478" s="36" t="s">
        <v>2426</v>
      </c>
      <c r="G478" s="34"/>
      <c r="H478" s="37"/>
      <c r="I478" s="38"/>
    </row>
    <row r="479" spans="2:9" x14ac:dyDescent="0.2">
      <c r="B479" s="21" t="str">
        <f t="shared" si="5"/>
        <v>2025-080-1</v>
      </c>
      <c r="C479" s="22">
        <v>2025</v>
      </c>
      <c r="D479" s="23" t="s">
        <v>111</v>
      </c>
      <c r="E479" s="22">
        <v>1</v>
      </c>
      <c r="F479" s="24" t="s">
        <v>2804</v>
      </c>
      <c r="G479" s="22"/>
      <c r="H479" s="25"/>
      <c r="I479" s="26"/>
    </row>
    <row r="480" spans="2:9" x14ac:dyDescent="0.2">
      <c r="B480" s="21" t="str">
        <f t="shared" si="5"/>
        <v>2025-080-2</v>
      </c>
      <c r="C480" s="22">
        <v>2025</v>
      </c>
      <c r="D480" s="23" t="s">
        <v>111</v>
      </c>
      <c r="E480" s="22">
        <v>2</v>
      </c>
      <c r="F480" s="24" t="s">
        <v>2773</v>
      </c>
      <c r="G480" s="22" t="s">
        <v>3391</v>
      </c>
      <c r="H480" s="25"/>
      <c r="I480" s="26"/>
    </row>
    <row r="481" spans="2:9" ht="27" x14ac:dyDescent="0.2">
      <c r="B481" s="21" t="str">
        <f t="shared" si="5"/>
        <v>2025-080-3</v>
      </c>
      <c r="C481" s="22">
        <v>2025</v>
      </c>
      <c r="D481" s="23" t="s">
        <v>111</v>
      </c>
      <c r="E481" s="22">
        <v>3</v>
      </c>
      <c r="F481" s="24" t="s">
        <v>2805</v>
      </c>
      <c r="G481" s="22"/>
      <c r="H481" s="25"/>
      <c r="I481" s="26"/>
    </row>
    <row r="482" spans="2:9" x14ac:dyDescent="0.2">
      <c r="B482" s="21" t="str">
        <f t="shared" si="5"/>
        <v>2025-080-4</v>
      </c>
      <c r="C482" s="22">
        <v>2025</v>
      </c>
      <c r="D482" s="23" t="s">
        <v>111</v>
      </c>
      <c r="E482" s="22">
        <v>4</v>
      </c>
      <c r="F482" s="24" t="s">
        <v>2774</v>
      </c>
      <c r="G482" s="22"/>
      <c r="H482" s="25"/>
      <c r="I482" s="26"/>
    </row>
    <row r="483" spans="2:9" ht="27.75" thickBot="1" x14ac:dyDescent="0.25">
      <c r="B483" s="39" t="str">
        <f t="shared" si="5"/>
        <v>2025-080-5</v>
      </c>
      <c r="C483" s="40">
        <v>2025</v>
      </c>
      <c r="D483" s="41" t="s">
        <v>111</v>
      </c>
      <c r="E483" s="40">
        <v>5</v>
      </c>
      <c r="F483" s="42" t="s">
        <v>2775</v>
      </c>
      <c r="G483" s="40"/>
      <c r="H483" s="43"/>
      <c r="I483" s="44"/>
    </row>
    <row r="484" spans="2:9" x14ac:dyDescent="0.2">
      <c r="B484" s="45" t="str">
        <f>C484&amp;"-"&amp;D484&amp;"-"&amp;E484</f>
        <v>2024-041-0</v>
      </c>
      <c r="C484" s="46">
        <v>2024</v>
      </c>
      <c r="D484" s="46" t="s">
        <v>72</v>
      </c>
      <c r="E484" s="47">
        <v>0</v>
      </c>
      <c r="F484" s="48" t="s">
        <v>112</v>
      </c>
      <c r="G484" s="46"/>
      <c r="H484" s="49"/>
      <c r="I484" s="50"/>
    </row>
    <row r="485" spans="2:9" x14ac:dyDescent="0.2">
      <c r="B485" s="51" t="str">
        <f t="shared" ref="B485:B548" si="6">C485&amp;"-"&amp;D485&amp;"-"&amp;E485</f>
        <v>2024-041-1</v>
      </c>
      <c r="C485" s="52">
        <v>2024</v>
      </c>
      <c r="D485" s="52" t="s">
        <v>72</v>
      </c>
      <c r="E485" s="53">
        <v>1</v>
      </c>
      <c r="F485" s="54" t="s">
        <v>465</v>
      </c>
      <c r="G485" s="52" t="s">
        <v>3391</v>
      </c>
      <c r="H485" s="55"/>
      <c r="I485" s="56"/>
    </row>
    <row r="486" spans="2:9" x14ac:dyDescent="0.2">
      <c r="B486" s="51" t="str">
        <f t="shared" si="6"/>
        <v>2024-041-2</v>
      </c>
      <c r="C486" s="52">
        <v>2024</v>
      </c>
      <c r="D486" s="52" t="s">
        <v>72</v>
      </c>
      <c r="E486" s="53">
        <v>2</v>
      </c>
      <c r="F486" s="54" t="s">
        <v>861</v>
      </c>
      <c r="G486" s="52"/>
      <c r="H486" s="55"/>
      <c r="I486" s="56"/>
    </row>
    <row r="487" spans="2:9" x14ac:dyDescent="0.2">
      <c r="B487" s="51" t="str">
        <f t="shared" si="6"/>
        <v>2024-041-3</v>
      </c>
      <c r="C487" s="52">
        <v>2024</v>
      </c>
      <c r="D487" s="52" t="s">
        <v>72</v>
      </c>
      <c r="E487" s="53">
        <v>3</v>
      </c>
      <c r="F487" s="54" t="s">
        <v>1254</v>
      </c>
      <c r="G487" s="52"/>
      <c r="H487" s="55"/>
      <c r="I487" s="56"/>
    </row>
    <row r="488" spans="2:9" x14ac:dyDescent="0.2">
      <c r="B488" s="51" t="str">
        <f t="shared" si="6"/>
        <v>2024-041-4</v>
      </c>
      <c r="C488" s="52">
        <v>2024</v>
      </c>
      <c r="D488" s="52" t="s">
        <v>72</v>
      </c>
      <c r="E488" s="52">
        <v>4</v>
      </c>
      <c r="F488" s="54" t="s">
        <v>1632</v>
      </c>
      <c r="G488" s="52"/>
      <c r="H488" s="55"/>
      <c r="I488" s="56"/>
    </row>
    <row r="489" spans="2:9" x14ac:dyDescent="0.2">
      <c r="B489" s="57" t="str">
        <f t="shared" si="6"/>
        <v>2024-041-5</v>
      </c>
      <c r="C489" s="58">
        <v>2024</v>
      </c>
      <c r="D489" s="58" t="s">
        <v>72</v>
      </c>
      <c r="E489" s="58">
        <v>5</v>
      </c>
      <c r="F489" s="59" t="s">
        <v>1993</v>
      </c>
      <c r="G489" s="58"/>
      <c r="H489" s="60"/>
      <c r="I489" s="61"/>
    </row>
    <row r="490" spans="2:9" x14ac:dyDescent="0.2">
      <c r="B490" s="62" t="str">
        <f t="shared" si="6"/>
        <v>2024-042-0</v>
      </c>
      <c r="C490" s="63">
        <v>2024</v>
      </c>
      <c r="D490" s="63" t="s">
        <v>73</v>
      </c>
      <c r="E490" s="63">
        <v>0</v>
      </c>
      <c r="F490" s="64" t="s">
        <v>113</v>
      </c>
      <c r="G490" s="63"/>
      <c r="H490" s="65"/>
      <c r="I490" s="66"/>
    </row>
    <row r="491" spans="2:9" ht="27" x14ac:dyDescent="0.2">
      <c r="B491" s="51" t="str">
        <f t="shared" si="6"/>
        <v>2024-042-1</v>
      </c>
      <c r="C491" s="52">
        <v>2024</v>
      </c>
      <c r="D491" s="52" t="s">
        <v>73</v>
      </c>
      <c r="E491" s="52">
        <v>1</v>
      </c>
      <c r="F491" s="54" t="s">
        <v>466</v>
      </c>
      <c r="G491" s="52"/>
      <c r="H491" s="55"/>
      <c r="I491" s="56"/>
    </row>
    <row r="492" spans="2:9" x14ac:dyDescent="0.2">
      <c r="B492" s="51" t="str">
        <f t="shared" si="6"/>
        <v>2024-042-2</v>
      </c>
      <c r="C492" s="52">
        <v>2024</v>
      </c>
      <c r="D492" s="52" t="s">
        <v>73</v>
      </c>
      <c r="E492" s="52">
        <v>2</v>
      </c>
      <c r="F492" s="54" t="s">
        <v>862</v>
      </c>
      <c r="G492" s="52"/>
      <c r="H492" s="55"/>
      <c r="I492" s="56"/>
    </row>
    <row r="493" spans="2:9" ht="27" x14ac:dyDescent="0.2">
      <c r="B493" s="51" t="str">
        <f t="shared" si="6"/>
        <v>2024-042-3</v>
      </c>
      <c r="C493" s="52">
        <v>2024</v>
      </c>
      <c r="D493" s="52" t="s">
        <v>73</v>
      </c>
      <c r="E493" s="52">
        <v>3</v>
      </c>
      <c r="F493" s="54" t="s">
        <v>1255</v>
      </c>
      <c r="G493" s="52" t="s">
        <v>3391</v>
      </c>
      <c r="H493" s="55"/>
      <c r="I493" s="56"/>
    </row>
    <row r="494" spans="2:9" ht="27" x14ac:dyDescent="0.2">
      <c r="B494" s="51" t="str">
        <f t="shared" si="6"/>
        <v>2024-042-4</v>
      </c>
      <c r="C494" s="52">
        <v>2024</v>
      </c>
      <c r="D494" s="52" t="s">
        <v>73</v>
      </c>
      <c r="E494" s="52">
        <v>4</v>
      </c>
      <c r="F494" s="54" t="s">
        <v>1010</v>
      </c>
      <c r="G494" s="52"/>
      <c r="H494" s="55"/>
      <c r="I494" s="56"/>
    </row>
    <row r="495" spans="2:9" ht="27" x14ac:dyDescent="0.2">
      <c r="B495" s="57" t="str">
        <f t="shared" si="6"/>
        <v>2024-042-5</v>
      </c>
      <c r="C495" s="58">
        <v>2024</v>
      </c>
      <c r="D495" s="58" t="s">
        <v>73</v>
      </c>
      <c r="E495" s="58">
        <v>5</v>
      </c>
      <c r="F495" s="59" t="s">
        <v>1994</v>
      </c>
      <c r="G495" s="58"/>
      <c r="H495" s="60"/>
      <c r="I495" s="61"/>
    </row>
    <row r="496" spans="2:9" x14ac:dyDescent="0.2">
      <c r="B496" s="62" t="str">
        <f t="shared" si="6"/>
        <v>2024-043-0</v>
      </c>
      <c r="C496" s="63">
        <v>2024</v>
      </c>
      <c r="D496" s="63" t="s">
        <v>74</v>
      </c>
      <c r="E496" s="63">
        <v>0</v>
      </c>
      <c r="F496" s="64" t="s">
        <v>114</v>
      </c>
      <c r="G496" s="63"/>
      <c r="H496" s="65"/>
      <c r="I496" s="66"/>
    </row>
    <row r="497" spans="2:9" s="2" customFormat="1" ht="27" x14ac:dyDescent="0.2">
      <c r="B497" s="51" t="str">
        <f t="shared" si="6"/>
        <v>2024-043-1</v>
      </c>
      <c r="C497" s="52">
        <v>2024</v>
      </c>
      <c r="D497" s="52" t="s">
        <v>74</v>
      </c>
      <c r="E497" s="52">
        <v>1</v>
      </c>
      <c r="F497" s="54" t="s">
        <v>467</v>
      </c>
      <c r="G497" s="52"/>
      <c r="H497" s="55"/>
      <c r="I497" s="56"/>
    </row>
    <row r="498" spans="2:9" s="2" customFormat="1" x14ac:dyDescent="0.2">
      <c r="B498" s="51" t="str">
        <f t="shared" si="6"/>
        <v>2024-043-2</v>
      </c>
      <c r="C498" s="52">
        <v>2024</v>
      </c>
      <c r="D498" s="52" t="s">
        <v>74</v>
      </c>
      <c r="E498" s="52">
        <v>2</v>
      </c>
      <c r="F498" s="54" t="s">
        <v>863</v>
      </c>
      <c r="G498" s="52" t="s">
        <v>3391</v>
      </c>
      <c r="H498" s="55"/>
      <c r="I498" s="56"/>
    </row>
    <row r="499" spans="2:9" s="2" customFormat="1" x14ac:dyDescent="0.2">
      <c r="B499" s="51" t="str">
        <f t="shared" si="6"/>
        <v>2024-043-3</v>
      </c>
      <c r="C499" s="52">
        <v>2024</v>
      </c>
      <c r="D499" s="52" t="s">
        <v>74</v>
      </c>
      <c r="E499" s="52">
        <v>3</v>
      </c>
      <c r="F499" s="54" t="s">
        <v>1013</v>
      </c>
      <c r="G499" s="52"/>
      <c r="H499" s="55"/>
      <c r="I499" s="56"/>
    </row>
    <row r="500" spans="2:9" s="2" customFormat="1" x14ac:dyDescent="0.2">
      <c r="B500" s="51" t="str">
        <f t="shared" si="6"/>
        <v>2024-043-4</v>
      </c>
      <c r="C500" s="52">
        <v>2024</v>
      </c>
      <c r="D500" s="52" t="s">
        <v>74</v>
      </c>
      <c r="E500" s="52">
        <v>4</v>
      </c>
      <c r="F500" s="54" t="s">
        <v>1633</v>
      </c>
      <c r="G500" s="52"/>
      <c r="H500" s="55"/>
      <c r="I500" s="56"/>
    </row>
    <row r="501" spans="2:9" s="2" customFormat="1" x14ac:dyDescent="0.2">
      <c r="B501" s="57" t="str">
        <f t="shared" si="6"/>
        <v>2024-043-5</v>
      </c>
      <c r="C501" s="58">
        <v>2024</v>
      </c>
      <c r="D501" s="58" t="s">
        <v>74</v>
      </c>
      <c r="E501" s="58">
        <v>5</v>
      </c>
      <c r="F501" s="59" t="s">
        <v>1995</v>
      </c>
      <c r="G501" s="58"/>
      <c r="H501" s="60"/>
      <c r="I501" s="61"/>
    </row>
    <row r="502" spans="2:9" s="2" customFormat="1" x14ac:dyDescent="0.2">
      <c r="B502" s="62" t="str">
        <f t="shared" si="6"/>
        <v>2024-044-0</v>
      </c>
      <c r="C502" s="63">
        <v>2024</v>
      </c>
      <c r="D502" s="63" t="s">
        <v>75</v>
      </c>
      <c r="E502" s="63">
        <v>0</v>
      </c>
      <c r="F502" s="64" t="s">
        <v>115</v>
      </c>
      <c r="G502" s="63"/>
      <c r="H502" s="65"/>
      <c r="I502" s="66"/>
    </row>
    <row r="503" spans="2:9" s="2" customFormat="1" x14ac:dyDescent="0.2">
      <c r="B503" s="51" t="str">
        <f t="shared" si="6"/>
        <v>2024-044-1</v>
      </c>
      <c r="C503" s="52">
        <v>2024</v>
      </c>
      <c r="D503" s="52" t="s">
        <v>75</v>
      </c>
      <c r="E503" s="52">
        <v>1</v>
      </c>
      <c r="F503" s="54" t="s">
        <v>468</v>
      </c>
      <c r="G503" s="52" t="s">
        <v>3391</v>
      </c>
      <c r="H503" s="55"/>
      <c r="I503" s="56"/>
    </row>
    <row r="504" spans="2:9" s="2" customFormat="1" x14ac:dyDescent="0.2">
      <c r="B504" s="51" t="str">
        <f t="shared" si="6"/>
        <v>2024-044-2</v>
      </c>
      <c r="C504" s="52">
        <v>2024</v>
      </c>
      <c r="D504" s="52" t="s">
        <v>75</v>
      </c>
      <c r="E504" s="52">
        <v>2</v>
      </c>
      <c r="F504" s="54" t="s">
        <v>864</v>
      </c>
      <c r="G504" s="52"/>
      <c r="H504" s="55"/>
      <c r="I504" s="56"/>
    </row>
    <row r="505" spans="2:9" s="2" customFormat="1" x14ac:dyDescent="0.2">
      <c r="B505" s="51" t="str">
        <f t="shared" si="6"/>
        <v>2024-044-3</v>
      </c>
      <c r="C505" s="52">
        <v>2024</v>
      </c>
      <c r="D505" s="52" t="s">
        <v>75</v>
      </c>
      <c r="E505" s="52">
        <v>3</v>
      </c>
      <c r="F505" s="54" t="s">
        <v>944</v>
      </c>
      <c r="G505" s="52"/>
      <c r="H505" s="55"/>
      <c r="I505" s="56"/>
    </row>
    <row r="506" spans="2:9" s="2" customFormat="1" ht="27" x14ac:dyDescent="0.2">
      <c r="B506" s="51" t="str">
        <f t="shared" si="6"/>
        <v>2024-044-4</v>
      </c>
      <c r="C506" s="52">
        <v>2024</v>
      </c>
      <c r="D506" s="52" t="s">
        <v>75</v>
      </c>
      <c r="E506" s="52">
        <v>4</v>
      </c>
      <c r="F506" s="54" t="s">
        <v>1634</v>
      </c>
      <c r="G506" s="52"/>
      <c r="H506" s="55"/>
      <c r="I506" s="56"/>
    </row>
    <row r="507" spans="2:9" s="2" customFormat="1" x14ac:dyDescent="0.2">
      <c r="B507" s="57" t="str">
        <f t="shared" si="6"/>
        <v>2024-044-5</v>
      </c>
      <c r="C507" s="58">
        <v>2024</v>
      </c>
      <c r="D507" s="58" t="s">
        <v>75</v>
      </c>
      <c r="E507" s="58">
        <v>5</v>
      </c>
      <c r="F507" s="59" t="s">
        <v>1996</v>
      </c>
      <c r="G507" s="58"/>
      <c r="H507" s="60"/>
      <c r="I507" s="61"/>
    </row>
    <row r="508" spans="2:9" s="2" customFormat="1" x14ac:dyDescent="0.2">
      <c r="B508" s="62" t="str">
        <f t="shared" si="6"/>
        <v>2024-045-0</v>
      </c>
      <c r="C508" s="63">
        <v>2024</v>
      </c>
      <c r="D508" s="63" t="s">
        <v>76</v>
      </c>
      <c r="E508" s="63">
        <v>0</v>
      </c>
      <c r="F508" s="64" t="s">
        <v>116</v>
      </c>
      <c r="G508" s="63"/>
      <c r="H508" s="65"/>
      <c r="I508" s="66"/>
    </row>
    <row r="509" spans="2:9" s="2" customFormat="1" x14ac:dyDescent="0.2">
      <c r="B509" s="51" t="str">
        <f t="shared" si="6"/>
        <v>2024-045-1</v>
      </c>
      <c r="C509" s="52">
        <v>2024</v>
      </c>
      <c r="D509" s="52" t="s">
        <v>76</v>
      </c>
      <c r="E509" s="52">
        <v>1</v>
      </c>
      <c r="F509" s="54" t="s">
        <v>469</v>
      </c>
      <c r="G509" s="52"/>
      <c r="H509" s="55"/>
      <c r="I509" s="56"/>
    </row>
    <row r="510" spans="2:9" s="2" customFormat="1" x14ac:dyDescent="0.2">
      <c r="B510" s="51" t="str">
        <f t="shared" si="6"/>
        <v>2024-045-2</v>
      </c>
      <c r="C510" s="52">
        <v>2024</v>
      </c>
      <c r="D510" s="52" t="s">
        <v>76</v>
      </c>
      <c r="E510" s="52">
        <v>2</v>
      </c>
      <c r="F510" s="54" t="s">
        <v>865</v>
      </c>
      <c r="G510" s="52"/>
      <c r="H510" s="55"/>
      <c r="I510" s="56"/>
    </row>
    <row r="511" spans="2:9" s="2" customFormat="1" ht="27" x14ac:dyDescent="0.2">
      <c r="B511" s="51" t="str">
        <f t="shared" si="6"/>
        <v>2024-045-3</v>
      </c>
      <c r="C511" s="52">
        <v>2024</v>
      </c>
      <c r="D511" s="52" t="s">
        <v>76</v>
      </c>
      <c r="E511" s="52">
        <v>3</v>
      </c>
      <c r="F511" s="54" t="s">
        <v>1256</v>
      </c>
      <c r="G511" s="52" t="s">
        <v>3391</v>
      </c>
      <c r="H511" s="55"/>
      <c r="I511" s="56"/>
    </row>
    <row r="512" spans="2:9" s="2" customFormat="1" ht="27" x14ac:dyDescent="0.2">
      <c r="B512" s="51" t="str">
        <f t="shared" si="6"/>
        <v>2024-045-4</v>
      </c>
      <c r="C512" s="52">
        <v>2024</v>
      </c>
      <c r="D512" s="52" t="s">
        <v>76</v>
      </c>
      <c r="E512" s="52">
        <v>4</v>
      </c>
      <c r="F512" s="54" t="s">
        <v>1635</v>
      </c>
      <c r="G512" s="52"/>
      <c r="H512" s="55"/>
      <c r="I512" s="56"/>
    </row>
    <row r="513" spans="2:9" s="2" customFormat="1" ht="27" x14ac:dyDescent="0.2">
      <c r="B513" s="57" t="str">
        <f t="shared" si="6"/>
        <v>2024-045-5</v>
      </c>
      <c r="C513" s="58">
        <v>2024</v>
      </c>
      <c r="D513" s="58" t="s">
        <v>76</v>
      </c>
      <c r="E513" s="58">
        <v>5</v>
      </c>
      <c r="F513" s="59" t="s">
        <v>1997</v>
      </c>
      <c r="G513" s="58"/>
      <c r="H513" s="60"/>
      <c r="I513" s="61"/>
    </row>
    <row r="514" spans="2:9" s="2" customFormat="1" x14ac:dyDescent="0.2">
      <c r="B514" s="62" t="str">
        <f t="shared" si="6"/>
        <v>2024-046-0</v>
      </c>
      <c r="C514" s="63">
        <v>2024</v>
      </c>
      <c r="D514" s="63" t="s">
        <v>77</v>
      </c>
      <c r="E514" s="63">
        <v>0</v>
      </c>
      <c r="F514" s="64" t="s">
        <v>117</v>
      </c>
      <c r="G514" s="63"/>
      <c r="H514" s="65"/>
      <c r="I514" s="66"/>
    </row>
    <row r="515" spans="2:9" s="2" customFormat="1" x14ac:dyDescent="0.2">
      <c r="B515" s="51" t="str">
        <f t="shared" si="6"/>
        <v>2024-046-1</v>
      </c>
      <c r="C515" s="52">
        <v>2024</v>
      </c>
      <c r="D515" s="52" t="s">
        <v>77</v>
      </c>
      <c r="E515" s="52">
        <v>1</v>
      </c>
      <c r="F515" s="54" t="s">
        <v>470</v>
      </c>
      <c r="G515" s="52"/>
      <c r="H515" s="55"/>
      <c r="I515" s="56"/>
    </row>
    <row r="516" spans="2:9" s="2" customFormat="1" x14ac:dyDescent="0.2">
      <c r="B516" s="51" t="str">
        <f t="shared" si="6"/>
        <v>2024-046-2</v>
      </c>
      <c r="C516" s="52">
        <v>2024</v>
      </c>
      <c r="D516" s="52" t="s">
        <v>77</v>
      </c>
      <c r="E516" s="52">
        <v>2</v>
      </c>
      <c r="F516" s="54" t="s">
        <v>866</v>
      </c>
      <c r="G516" s="52"/>
      <c r="H516" s="55"/>
      <c r="I516" s="56"/>
    </row>
    <row r="517" spans="2:9" s="2" customFormat="1" x14ac:dyDescent="0.2">
      <c r="B517" s="51" t="str">
        <f t="shared" si="6"/>
        <v>2024-046-3</v>
      </c>
      <c r="C517" s="52">
        <v>2024</v>
      </c>
      <c r="D517" s="52" t="s">
        <v>77</v>
      </c>
      <c r="E517" s="52">
        <v>3</v>
      </c>
      <c r="F517" s="54" t="s">
        <v>1257</v>
      </c>
      <c r="G517" s="52"/>
      <c r="H517" s="55"/>
      <c r="I517" s="56"/>
    </row>
    <row r="518" spans="2:9" s="2" customFormat="1" x14ac:dyDescent="0.2">
      <c r="B518" s="51" t="str">
        <f t="shared" si="6"/>
        <v>2024-046-4</v>
      </c>
      <c r="C518" s="52">
        <v>2024</v>
      </c>
      <c r="D518" s="52" t="s">
        <v>77</v>
      </c>
      <c r="E518" s="52">
        <v>4</v>
      </c>
      <c r="F518" s="54" t="s">
        <v>1636</v>
      </c>
      <c r="G518" s="52" t="s">
        <v>3391</v>
      </c>
      <c r="H518" s="55"/>
      <c r="I518" s="56"/>
    </row>
    <row r="519" spans="2:9" s="2" customFormat="1" ht="27" x14ac:dyDescent="0.2">
      <c r="B519" s="57" t="str">
        <f t="shared" si="6"/>
        <v>2024-046-5</v>
      </c>
      <c r="C519" s="58">
        <v>2024</v>
      </c>
      <c r="D519" s="58" t="s">
        <v>77</v>
      </c>
      <c r="E519" s="58">
        <v>5</v>
      </c>
      <c r="F519" s="59" t="s">
        <v>1998</v>
      </c>
      <c r="G519" s="58"/>
      <c r="H519" s="60"/>
      <c r="I519" s="61"/>
    </row>
    <row r="520" spans="2:9" s="2" customFormat="1" x14ac:dyDescent="0.2">
      <c r="B520" s="62" t="str">
        <f t="shared" si="6"/>
        <v>2024-047-0</v>
      </c>
      <c r="C520" s="63">
        <v>2024</v>
      </c>
      <c r="D520" s="63" t="s">
        <v>78</v>
      </c>
      <c r="E520" s="63">
        <v>0</v>
      </c>
      <c r="F520" s="64" t="s">
        <v>118</v>
      </c>
      <c r="G520" s="63"/>
      <c r="H520" s="65"/>
      <c r="I520" s="66"/>
    </row>
    <row r="521" spans="2:9" s="2" customFormat="1" ht="27" x14ac:dyDescent="0.2">
      <c r="B521" s="51" t="str">
        <f t="shared" si="6"/>
        <v>2024-047-1</v>
      </c>
      <c r="C521" s="52">
        <v>2024</v>
      </c>
      <c r="D521" s="52" t="s">
        <v>78</v>
      </c>
      <c r="E521" s="52">
        <v>1</v>
      </c>
      <c r="F521" s="54" t="s">
        <v>471</v>
      </c>
      <c r="G521" s="52"/>
      <c r="H521" s="55"/>
      <c r="I521" s="56"/>
    </row>
    <row r="522" spans="2:9" s="2" customFormat="1" x14ac:dyDescent="0.2">
      <c r="B522" s="51" t="str">
        <f t="shared" si="6"/>
        <v>2024-047-2</v>
      </c>
      <c r="C522" s="52">
        <v>2024</v>
      </c>
      <c r="D522" s="52" t="s">
        <v>78</v>
      </c>
      <c r="E522" s="52">
        <v>2</v>
      </c>
      <c r="F522" s="54" t="s">
        <v>867</v>
      </c>
      <c r="G522" s="52"/>
      <c r="H522" s="55"/>
      <c r="I522" s="56"/>
    </row>
    <row r="523" spans="2:9" s="2" customFormat="1" ht="27" x14ac:dyDescent="0.2">
      <c r="B523" s="51" t="str">
        <f t="shared" si="6"/>
        <v>2024-047-3</v>
      </c>
      <c r="C523" s="52">
        <v>2024</v>
      </c>
      <c r="D523" s="52" t="s">
        <v>78</v>
      </c>
      <c r="E523" s="52">
        <v>3</v>
      </c>
      <c r="F523" s="54" t="s">
        <v>1258</v>
      </c>
      <c r="G523" s="52" t="s">
        <v>3391</v>
      </c>
      <c r="H523" s="55"/>
      <c r="I523" s="56"/>
    </row>
    <row r="524" spans="2:9" s="2" customFormat="1" ht="27" x14ac:dyDescent="0.2">
      <c r="B524" s="51" t="str">
        <f t="shared" si="6"/>
        <v>2024-047-4</v>
      </c>
      <c r="C524" s="52">
        <v>2024</v>
      </c>
      <c r="D524" s="52" t="s">
        <v>78</v>
      </c>
      <c r="E524" s="52">
        <v>4</v>
      </c>
      <c r="F524" s="54" t="s">
        <v>1637</v>
      </c>
      <c r="G524" s="52"/>
      <c r="H524" s="55"/>
      <c r="I524" s="56"/>
    </row>
    <row r="525" spans="2:9" s="2" customFormat="1" ht="27" x14ac:dyDescent="0.2">
      <c r="B525" s="57" t="str">
        <f t="shared" si="6"/>
        <v>2024-047-5</v>
      </c>
      <c r="C525" s="58">
        <v>2024</v>
      </c>
      <c r="D525" s="58" t="s">
        <v>78</v>
      </c>
      <c r="E525" s="58">
        <v>5</v>
      </c>
      <c r="F525" s="59" t="s">
        <v>1999</v>
      </c>
      <c r="G525" s="58"/>
      <c r="H525" s="60"/>
      <c r="I525" s="61"/>
    </row>
    <row r="526" spans="2:9" s="2" customFormat="1" x14ac:dyDescent="0.2">
      <c r="B526" s="62" t="str">
        <f t="shared" si="6"/>
        <v>2024-048-0</v>
      </c>
      <c r="C526" s="63">
        <v>2024</v>
      </c>
      <c r="D526" s="63" t="s">
        <v>79</v>
      </c>
      <c r="E526" s="63">
        <v>0</v>
      </c>
      <c r="F526" s="64" t="s">
        <v>119</v>
      </c>
      <c r="G526" s="63"/>
      <c r="H526" s="65"/>
      <c r="I526" s="66"/>
    </row>
    <row r="527" spans="2:9" s="2" customFormat="1" ht="27" x14ac:dyDescent="0.2">
      <c r="B527" s="51" t="str">
        <f t="shared" si="6"/>
        <v>2024-048-1</v>
      </c>
      <c r="C527" s="52">
        <v>2024</v>
      </c>
      <c r="D527" s="52" t="s">
        <v>79</v>
      </c>
      <c r="E527" s="52">
        <v>1</v>
      </c>
      <c r="F527" s="54" t="s">
        <v>472</v>
      </c>
      <c r="G527" s="52"/>
      <c r="H527" s="55"/>
      <c r="I527" s="56"/>
    </row>
    <row r="528" spans="2:9" s="2" customFormat="1" x14ac:dyDescent="0.2">
      <c r="B528" s="51" t="str">
        <f t="shared" si="6"/>
        <v>2024-048-2</v>
      </c>
      <c r="C528" s="52">
        <v>2024</v>
      </c>
      <c r="D528" s="52" t="s">
        <v>79</v>
      </c>
      <c r="E528" s="52">
        <v>2</v>
      </c>
      <c r="F528" s="54" t="s">
        <v>868</v>
      </c>
      <c r="G528" s="52"/>
      <c r="H528" s="55"/>
      <c r="I528" s="56"/>
    </row>
    <row r="529" spans="2:9" s="2" customFormat="1" x14ac:dyDescent="0.2">
      <c r="B529" s="51" t="str">
        <f t="shared" si="6"/>
        <v>2024-048-3</v>
      </c>
      <c r="C529" s="52">
        <v>2024</v>
      </c>
      <c r="D529" s="52" t="s">
        <v>79</v>
      </c>
      <c r="E529" s="52">
        <v>3</v>
      </c>
      <c r="F529" s="54" t="s">
        <v>1259</v>
      </c>
      <c r="G529" s="52"/>
      <c r="H529" s="55"/>
      <c r="I529" s="56"/>
    </row>
    <row r="530" spans="2:9" s="2" customFormat="1" ht="27" x14ac:dyDescent="0.2">
      <c r="B530" s="51" t="str">
        <f t="shared" si="6"/>
        <v>2024-048-4</v>
      </c>
      <c r="C530" s="52">
        <v>2024</v>
      </c>
      <c r="D530" s="52" t="s">
        <v>79</v>
      </c>
      <c r="E530" s="52">
        <v>4</v>
      </c>
      <c r="F530" s="54" t="s">
        <v>1638</v>
      </c>
      <c r="G530" s="52"/>
      <c r="H530" s="55"/>
      <c r="I530" s="56"/>
    </row>
    <row r="531" spans="2:9" s="2" customFormat="1" ht="27" x14ac:dyDescent="0.2">
      <c r="B531" s="57" t="str">
        <f t="shared" si="6"/>
        <v>2024-048-5</v>
      </c>
      <c r="C531" s="58">
        <v>2024</v>
      </c>
      <c r="D531" s="58" t="s">
        <v>79</v>
      </c>
      <c r="E531" s="58">
        <v>5</v>
      </c>
      <c r="F531" s="59" t="s">
        <v>2000</v>
      </c>
      <c r="G531" s="58" t="s">
        <v>3391</v>
      </c>
      <c r="H531" s="60"/>
      <c r="I531" s="61"/>
    </row>
    <row r="532" spans="2:9" s="2" customFormat="1" x14ac:dyDescent="0.2">
      <c r="B532" s="62" t="str">
        <f t="shared" si="6"/>
        <v>2024-049-0</v>
      </c>
      <c r="C532" s="63">
        <v>2024</v>
      </c>
      <c r="D532" s="63" t="s">
        <v>80</v>
      </c>
      <c r="E532" s="63">
        <v>0</v>
      </c>
      <c r="F532" s="64" t="s">
        <v>120</v>
      </c>
      <c r="G532" s="63"/>
      <c r="H532" s="65"/>
      <c r="I532" s="66"/>
    </row>
    <row r="533" spans="2:9" s="2" customFormat="1" x14ac:dyDescent="0.2">
      <c r="B533" s="51" t="str">
        <f t="shared" si="6"/>
        <v>2024-049-1</v>
      </c>
      <c r="C533" s="52">
        <v>2024</v>
      </c>
      <c r="D533" s="52" t="s">
        <v>80</v>
      </c>
      <c r="E533" s="52">
        <v>1</v>
      </c>
      <c r="F533" s="54" t="s">
        <v>473</v>
      </c>
      <c r="G533" s="52" t="s">
        <v>3391</v>
      </c>
      <c r="H533" s="55"/>
      <c r="I533" s="56"/>
    </row>
    <row r="534" spans="2:9" s="2" customFormat="1" ht="27" x14ac:dyDescent="0.2">
      <c r="B534" s="51" t="str">
        <f t="shared" si="6"/>
        <v>2024-049-2</v>
      </c>
      <c r="C534" s="52">
        <v>2024</v>
      </c>
      <c r="D534" s="52" t="s">
        <v>80</v>
      </c>
      <c r="E534" s="52">
        <v>2</v>
      </c>
      <c r="F534" s="54" t="s">
        <v>869</v>
      </c>
      <c r="G534" s="52"/>
      <c r="H534" s="55"/>
      <c r="I534" s="56"/>
    </row>
    <row r="535" spans="2:9" s="2" customFormat="1" ht="27" x14ac:dyDescent="0.2">
      <c r="B535" s="51" t="str">
        <f t="shared" si="6"/>
        <v>2024-049-3</v>
      </c>
      <c r="C535" s="52">
        <v>2024</v>
      </c>
      <c r="D535" s="52" t="s">
        <v>80</v>
      </c>
      <c r="E535" s="52">
        <v>3</v>
      </c>
      <c r="F535" s="54" t="s">
        <v>1260</v>
      </c>
      <c r="G535" s="52"/>
      <c r="H535" s="55"/>
      <c r="I535" s="56"/>
    </row>
    <row r="536" spans="2:9" s="2" customFormat="1" x14ac:dyDescent="0.2">
      <c r="B536" s="51" t="str">
        <f t="shared" si="6"/>
        <v>2024-049-4</v>
      </c>
      <c r="C536" s="52">
        <v>2024</v>
      </c>
      <c r="D536" s="52" t="s">
        <v>80</v>
      </c>
      <c r="E536" s="52">
        <v>4</v>
      </c>
      <c r="F536" s="54" t="s">
        <v>1639</v>
      </c>
      <c r="G536" s="52"/>
      <c r="H536" s="55"/>
      <c r="I536" s="56"/>
    </row>
    <row r="537" spans="2:9" s="2" customFormat="1" ht="27" x14ac:dyDescent="0.2">
      <c r="B537" s="57" t="str">
        <f t="shared" si="6"/>
        <v>2024-049-5</v>
      </c>
      <c r="C537" s="58">
        <v>2024</v>
      </c>
      <c r="D537" s="58" t="s">
        <v>80</v>
      </c>
      <c r="E537" s="58">
        <v>5</v>
      </c>
      <c r="F537" s="59" t="s">
        <v>2001</v>
      </c>
      <c r="G537" s="58"/>
      <c r="H537" s="60"/>
      <c r="I537" s="61"/>
    </row>
    <row r="538" spans="2:9" s="2" customFormat="1" x14ac:dyDescent="0.2">
      <c r="B538" s="62" t="str">
        <f t="shared" si="6"/>
        <v>2024-050-0</v>
      </c>
      <c r="C538" s="63">
        <v>2024</v>
      </c>
      <c r="D538" s="63" t="s">
        <v>81</v>
      </c>
      <c r="E538" s="63">
        <v>0</v>
      </c>
      <c r="F538" s="64" t="s">
        <v>121</v>
      </c>
      <c r="G538" s="63"/>
      <c r="H538" s="65"/>
      <c r="I538" s="66"/>
    </row>
    <row r="539" spans="2:9" s="2" customFormat="1" x14ac:dyDescent="0.2">
      <c r="B539" s="51" t="str">
        <f t="shared" si="6"/>
        <v>2024-050-1</v>
      </c>
      <c r="C539" s="52">
        <v>2024</v>
      </c>
      <c r="D539" s="52" t="s">
        <v>81</v>
      </c>
      <c r="E539" s="52">
        <v>1</v>
      </c>
      <c r="F539" s="54" t="s">
        <v>474</v>
      </c>
      <c r="G539" s="52"/>
      <c r="H539" s="55"/>
      <c r="I539" s="56"/>
    </row>
    <row r="540" spans="2:9" s="2" customFormat="1" ht="40.5" x14ac:dyDescent="0.2">
      <c r="B540" s="51" t="str">
        <f t="shared" si="6"/>
        <v>2024-050-2</v>
      </c>
      <c r="C540" s="52">
        <v>2024</v>
      </c>
      <c r="D540" s="52" t="s">
        <v>81</v>
      </c>
      <c r="E540" s="52">
        <v>2</v>
      </c>
      <c r="F540" s="54" t="s">
        <v>870</v>
      </c>
      <c r="G540" s="52" t="s">
        <v>3391</v>
      </c>
      <c r="H540" s="55"/>
      <c r="I540" s="56"/>
    </row>
    <row r="541" spans="2:9" s="2" customFormat="1" ht="40.5" x14ac:dyDescent="0.2">
      <c r="B541" s="51" t="str">
        <f t="shared" si="6"/>
        <v>2024-050-3</v>
      </c>
      <c r="C541" s="52">
        <v>2024</v>
      </c>
      <c r="D541" s="52" t="s">
        <v>81</v>
      </c>
      <c r="E541" s="52">
        <v>3</v>
      </c>
      <c r="F541" s="54" t="s">
        <v>1261</v>
      </c>
      <c r="G541" s="52"/>
      <c r="H541" s="55"/>
      <c r="I541" s="56"/>
    </row>
    <row r="542" spans="2:9" s="2" customFormat="1" x14ac:dyDescent="0.2">
      <c r="B542" s="51" t="str">
        <f t="shared" si="6"/>
        <v>2024-050-4</v>
      </c>
      <c r="C542" s="52">
        <v>2024</v>
      </c>
      <c r="D542" s="52" t="s">
        <v>81</v>
      </c>
      <c r="E542" s="52">
        <v>4</v>
      </c>
      <c r="F542" s="54" t="s">
        <v>1075</v>
      </c>
      <c r="G542" s="52"/>
      <c r="H542" s="55"/>
      <c r="I542" s="56"/>
    </row>
    <row r="543" spans="2:9" s="2" customFormat="1" ht="27" x14ac:dyDescent="0.2">
      <c r="B543" s="57" t="str">
        <f t="shared" si="6"/>
        <v>2024-050-5</v>
      </c>
      <c r="C543" s="58">
        <v>2024</v>
      </c>
      <c r="D543" s="58" t="s">
        <v>81</v>
      </c>
      <c r="E543" s="58">
        <v>5</v>
      </c>
      <c r="F543" s="59" t="s">
        <v>2002</v>
      </c>
      <c r="G543" s="58"/>
      <c r="H543" s="60"/>
      <c r="I543" s="61"/>
    </row>
    <row r="544" spans="2:9" s="2" customFormat="1" ht="81" x14ac:dyDescent="0.2">
      <c r="B544" s="62" t="str">
        <f t="shared" si="6"/>
        <v>2024-051-0</v>
      </c>
      <c r="C544" s="63">
        <v>2024</v>
      </c>
      <c r="D544" s="63" t="s">
        <v>82</v>
      </c>
      <c r="E544" s="63">
        <v>0</v>
      </c>
      <c r="F544" s="64" t="s">
        <v>122</v>
      </c>
      <c r="G544" s="63"/>
      <c r="H544" s="65"/>
      <c r="I544" s="66"/>
    </row>
    <row r="545" spans="2:9" s="2" customFormat="1" x14ac:dyDescent="0.2">
      <c r="B545" s="51" t="str">
        <f t="shared" si="6"/>
        <v>2024-051-1</v>
      </c>
      <c r="C545" s="52">
        <v>2024</v>
      </c>
      <c r="D545" s="52" t="s">
        <v>82</v>
      </c>
      <c r="E545" s="52">
        <v>1</v>
      </c>
      <c r="F545" s="54" t="s">
        <v>475</v>
      </c>
      <c r="G545" s="52"/>
      <c r="H545" s="55"/>
      <c r="I545" s="56"/>
    </row>
    <row r="546" spans="2:9" s="2" customFormat="1" x14ac:dyDescent="0.2">
      <c r="B546" s="51" t="str">
        <f t="shared" si="6"/>
        <v>2024-051-2</v>
      </c>
      <c r="C546" s="52">
        <v>2024</v>
      </c>
      <c r="D546" s="52" t="s">
        <v>82</v>
      </c>
      <c r="E546" s="52">
        <v>2</v>
      </c>
      <c r="F546" s="54" t="s">
        <v>24</v>
      </c>
      <c r="G546" s="52"/>
      <c r="H546" s="55"/>
      <c r="I546" s="56"/>
    </row>
    <row r="547" spans="2:9" s="2" customFormat="1" x14ac:dyDescent="0.2">
      <c r="B547" s="51" t="str">
        <f t="shared" si="6"/>
        <v>2024-051-3</v>
      </c>
      <c r="C547" s="52">
        <v>2024</v>
      </c>
      <c r="D547" s="52" t="s">
        <v>82</v>
      </c>
      <c r="E547" s="52">
        <v>3</v>
      </c>
      <c r="F547" s="54" t="s">
        <v>34</v>
      </c>
      <c r="G547" s="52"/>
      <c r="H547" s="55"/>
      <c r="I547" s="56"/>
    </row>
    <row r="548" spans="2:9" s="2" customFormat="1" x14ac:dyDescent="0.2">
      <c r="B548" s="51" t="str">
        <f t="shared" si="6"/>
        <v>2024-051-4</v>
      </c>
      <c r="C548" s="52">
        <v>2024</v>
      </c>
      <c r="D548" s="52" t="s">
        <v>82</v>
      </c>
      <c r="E548" s="52">
        <v>4</v>
      </c>
      <c r="F548" s="54" t="s">
        <v>41</v>
      </c>
      <c r="G548" s="52"/>
      <c r="H548" s="55"/>
      <c r="I548" s="56"/>
    </row>
    <row r="549" spans="2:9" s="2" customFormat="1" x14ac:dyDescent="0.2">
      <c r="B549" s="57" t="str">
        <f t="shared" ref="B549:B612" si="7">C549&amp;"-"&amp;D549&amp;"-"&amp;E549</f>
        <v>2024-051-5</v>
      </c>
      <c r="C549" s="58">
        <v>2024</v>
      </c>
      <c r="D549" s="58" t="s">
        <v>82</v>
      </c>
      <c r="E549" s="58">
        <v>5</v>
      </c>
      <c r="F549" s="59" t="s">
        <v>45</v>
      </c>
      <c r="G549" s="58" t="s">
        <v>3391</v>
      </c>
      <c r="H549" s="60"/>
      <c r="I549" s="61"/>
    </row>
    <row r="550" spans="2:9" s="2" customFormat="1" x14ac:dyDescent="0.2">
      <c r="B550" s="62" t="str">
        <f t="shared" si="7"/>
        <v>2024-052-0</v>
      </c>
      <c r="C550" s="63">
        <v>2024</v>
      </c>
      <c r="D550" s="63" t="s">
        <v>83</v>
      </c>
      <c r="E550" s="63">
        <v>0</v>
      </c>
      <c r="F550" s="64" t="s">
        <v>123</v>
      </c>
      <c r="G550" s="63"/>
      <c r="H550" s="65"/>
      <c r="I550" s="66"/>
    </row>
    <row r="551" spans="2:9" s="2" customFormat="1" ht="27" x14ac:dyDescent="0.2">
      <c r="B551" s="51" t="str">
        <f t="shared" si="7"/>
        <v>2024-052-1</v>
      </c>
      <c r="C551" s="52">
        <v>2024</v>
      </c>
      <c r="D551" s="52" t="s">
        <v>83</v>
      </c>
      <c r="E551" s="52">
        <v>1</v>
      </c>
      <c r="F551" s="54" t="s">
        <v>476</v>
      </c>
      <c r="G551" s="52"/>
      <c r="H551" s="55"/>
      <c r="I551" s="56"/>
    </row>
    <row r="552" spans="2:9" s="2" customFormat="1" ht="27" x14ac:dyDescent="0.2">
      <c r="B552" s="51" t="str">
        <f t="shared" si="7"/>
        <v>2024-052-2</v>
      </c>
      <c r="C552" s="52">
        <v>2024</v>
      </c>
      <c r="D552" s="52" t="s">
        <v>83</v>
      </c>
      <c r="E552" s="52">
        <v>2</v>
      </c>
      <c r="F552" s="54" t="s">
        <v>871</v>
      </c>
      <c r="G552" s="52" t="s">
        <v>3391</v>
      </c>
      <c r="H552" s="55"/>
      <c r="I552" s="56"/>
    </row>
    <row r="553" spans="2:9" s="2" customFormat="1" ht="27" x14ac:dyDescent="0.2">
      <c r="B553" s="51" t="str">
        <f t="shared" si="7"/>
        <v>2024-052-3</v>
      </c>
      <c r="C553" s="52">
        <v>2024</v>
      </c>
      <c r="D553" s="52" t="s">
        <v>83</v>
      </c>
      <c r="E553" s="52">
        <v>3</v>
      </c>
      <c r="F553" s="54" t="s">
        <v>1262</v>
      </c>
      <c r="G553" s="52"/>
      <c r="H553" s="55"/>
      <c r="I553" s="56"/>
    </row>
    <row r="554" spans="2:9" s="2" customFormat="1" x14ac:dyDescent="0.2">
      <c r="B554" s="51" t="str">
        <f t="shared" si="7"/>
        <v>2024-052-4</v>
      </c>
      <c r="C554" s="52">
        <v>2024</v>
      </c>
      <c r="D554" s="52" t="s">
        <v>83</v>
      </c>
      <c r="E554" s="52">
        <v>4</v>
      </c>
      <c r="F554" s="54" t="s">
        <v>1063</v>
      </c>
      <c r="G554" s="52"/>
      <c r="H554" s="55"/>
      <c r="I554" s="56"/>
    </row>
    <row r="555" spans="2:9" s="2" customFormat="1" x14ac:dyDescent="0.2">
      <c r="B555" s="57" t="str">
        <f t="shared" si="7"/>
        <v>2024-052-5</v>
      </c>
      <c r="C555" s="58">
        <v>2024</v>
      </c>
      <c r="D555" s="58" t="s">
        <v>83</v>
      </c>
      <c r="E555" s="58">
        <v>5</v>
      </c>
      <c r="F555" s="59" t="s">
        <v>2003</v>
      </c>
      <c r="G555" s="58"/>
      <c r="H555" s="60"/>
      <c r="I555" s="61"/>
    </row>
    <row r="556" spans="2:9" s="2" customFormat="1" x14ac:dyDescent="0.2">
      <c r="B556" s="62" t="str">
        <f t="shared" si="7"/>
        <v>2024-053-0</v>
      </c>
      <c r="C556" s="63">
        <v>2024</v>
      </c>
      <c r="D556" s="63" t="s">
        <v>84</v>
      </c>
      <c r="E556" s="63">
        <v>0</v>
      </c>
      <c r="F556" s="64" t="s">
        <v>124</v>
      </c>
      <c r="G556" s="63"/>
      <c r="H556" s="65"/>
      <c r="I556" s="66"/>
    </row>
    <row r="557" spans="2:9" s="2" customFormat="1" x14ac:dyDescent="0.2">
      <c r="B557" s="51" t="str">
        <f t="shared" si="7"/>
        <v>2024-053-1</v>
      </c>
      <c r="C557" s="52">
        <v>2024</v>
      </c>
      <c r="D557" s="52" t="s">
        <v>84</v>
      </c>
      <c r="E557" s="52">
        <v>1</v>
      </c>
      <c r="F557" s="54" t="s">
        <v>477</v>
      </c>
      <c r="G557" s="52" t="s">
        <v>3391</v>
      </c>
      <c r="H557" s="55"/>
      <c r="I557" s="56"/>
    </row>
    <row r="558" spans="2:9" s="2" customFormat="1" x14ac:dyDescent="0.2">
      <c r="B558" s="51" t="str">
        <f t="shared" si="7"/>
        <v>2024-053-2</v>
      </c>
      <c r="C558" s="52">
        <v>2024</v>
      </c>
      <c r="D558" s="52" t="s">
        <v>84</v>
      </c>
      <c r="E558" s="52">
        <v>2</v>
      </c>
      <c r="F558" s="54" t="s">
        <v>872</v>
      </c>
      <c r="G558" s="52"/>
      <c r="H558" s="55"/>
      <c r="I558" s="56"/>
    </row>
    <row r="559" spans="2:9" s="2" customFormat="1" x14ac:dyDescent="0.2">
      <c r="B559" s="51" t="str">
        <f t="shared" si="7"/>
        <v>2024-053-3</v>
      </c>
      <c r="C559" s="52">
        <v>2024</v>
      </c>
      <c r="D559" s="52" t="s">
        <v>84</v>
      </c>
      <c r="E559" s="52">
        <v>3</v>
      </c>
      <c r="F559" s="54" t="s">
        <v>1263</v>
      </c>
      <c r="G559" s="52"/>
      <c r="H559" s="55"/>
      <c r="I559" s="56"/>
    </row>
    <row r="560" spans="2:9" s="2" customFormat="1" ht="27" x14ac:dyDescent="0.2">
      <c r="B560" s="51" t="str">
        <f t="shared" si="7"/>
        <v>2024-053-4</v>
      </c>
      <c r="C560" s="52">
        <v>2024</v>
      </c>
      <c r="D560" s="52" t="s">
        <v>84</v>
      </c>
      <c r="E560" s="52">
        <v>4</v>
      </c>
      <c r="F560" s="54" t="s">
        <v>1640</v>
      </c>
      <c r="G560" s="52"/>
      <c r="H560" s="55"/>
      <c r="I560" s="56"/>
    </row>
    <row r="561" spans="2:9" s="2" customFormat="1" ht="27" x14ac:dyDescent="0.2">
      <c r="B561" s="57" t="str">
        <f t="shared" si="7"/>
        <v>2024-053-5</v>
      </c>
      <c r="C561" s="58">
        <v>2024</v>
      </c>
      <c r="D561" s="58" t="s">
        <v>84</v>
      </c>
      <c r="E561" s="58">
        <v>5</v>
      </c>
      <c r="F561" s="59" t="s">
        <v>2004</v>
      </c>
      <c r="G561" s="58"/>
      <c r="H561" s="60"/>
      <c r="I561" s="61"/>
    </row>
    <row r="562" spans="2:9" s="2" customFormat="1" x14ac:dyDescent="0.2">
      <c r="B562" s="62" t="str">
        <f t="shared" si="7"/>
        <v>2024-054-0</v>
      </c>
      <c r="C562" s="63">
        <v>2024</v>
      </c>
      <c r="D562" s="63" t="s">
        <v>85</v>
      </c>
      <c r="E562" s="63">
        <v>0</v>
      </c>
      <c r="F562" s="64" t="s">
        <v>121</v>
      </c>
      <c r="G562" s="63"/>
      <c r="H562" s="65"/>
      <c r="I562" s="66"/>
    </row>
    <row r="563" spans="2:9" s="2" customFormat="1" ht="27" x14ac:dyDescent="0.2">
      <c r="B563" s="51" t="str">
        <f t="shared" si="7"/>
        <v>2024-054-1</v>
      </c>
      <c r="C563" s="52">
        <v>2024</v>
      </c>
      <c r="D563" s="52" t="s">
        <v>85</v>
      </c>
      <c r="E563" s="52">
        <v>1</v>
      </c>
      <c r="F563" s="54" t="s">
        <v>478</v>
      </c>
      <c r="G563" s="52"/>
      <c r="H563" s="55"/>
      <c r="I563" s="56"/>
    </row>
    <row r="564" spans="2:9" s="2" customFormat="1" ht="40.5" x14ac:dyDescent="0.2">
      <c r="B564" s="51" t="str">
        <f t="shared" si="7"/>
        <v>2024-054-2</v>
      </c>
      <c r="C564" s="52">
        <v>2024</v>
      </c>
      <c r="D564" s="52" t="s">
        <v>85</v>
      </c>
      <c r="E564" s="52">
        <v>2</v>
      </c>
      <c r="F564" s="54" t="s">
        <v>873</v>
      </c>
      <c r="G564" s="52"/>
      <c r="H564" s="55"/>
      <c r="I564" s="56"/>
    </row>
    <row r="565" spans="2:9" s="2" customFormat="1" ht="27" x14ac:dyDescent="0.2">
      <c r="B565" s="51" t="str">
        <f t="shared" si="7"/>
        <v>2024-054-3</v>
      </c>
      <c r="C565" s="52">
        <v>2024</v>
      </c>
      <c r="D565" s="52" t="s">
        <v>85</v>
      </c>
      <c r="E565" s="52">
        <v>3</v>
      </c>
      <c r="F565" s="54" t="s">
        <v>1264</v>
      </c>
      <c r="G565" s="52"/>
      <c r="H565" s="55"/>
      <c r="I565" s="56"/>
    </row>
    <row r="566" spans="2:9" s="2" customFormat="1" ht="27" x14ac:dyDescent="0.2">
      <c r="B566" s="51" t="str">
        <f t="shared" si="7"/>
        <v>2024-054-4</v>
      </c>
      <c r="C566" s="52">
        <v>2024</v>
      </c>
      <c r="D566" s="52" t="s">
        <v>85</v>
      </c>
      <c r="E566" s="52">
        <v>4</v>
      </c>
      <c r="F566" s="54" t="s">
        <v>1641</v>
      </c>
      <c r="G566" s="52"/>
      <c r="H566" s="55"/>
      <c r="I566" s="56"/>
    </row>
    <row r="567" spans="2:9" s="2" customFormat="1" ht="27" x14ac:dyDescent="0.2">
      <c r="B567" s="57" t="str">
        <f t="shared" si="7"/>
        <v>2024-054-5</v>
      </c>
      <c r="C567" s="58">
        <v>2024</v>
      </c>
      <c r="D567" s="58" t="s">
        <v>85</v>
      </c>
      <c r="E567" s="58">
        <v>5</v>
      </c>
      <c r="F567" s="59" t="s">
        <v>2005</v>
      </c>
      <c r="G567" s="58" t="s">
        <v>3391</v>
      </c>
      <c r="H567" s="60"/>
      <c r="I567" s="61"/>
    </row>
    <row r="568" spans="2:9" s="2" customFormat="1" x14ac:dyDescent="0.2">
      <c r="B568" s="62" t="str">
        <f t="shared" si="7"/>
        <v>2024-055-0</v>
      </c>
      <c r="C568" s="63">
        <v>2024</v>
      </c>
      <c r="D568" s="63" t="s">
        <v>86</v>
      </c>
      <c r="E568" s="63">
        <v>0</v>
      </c>
      <c r="F568" s="64" t="s">
        <v>125</v>
      </c>
      <c r="G568" s="63"/>
      <c r="H568" s="65"/>
      <c r="I568" s="66"/>
    </row>
    <row r="569" spans="2:9" s="2" customFormat="1" ht="27" x14ac:dyDescent="0.2">
      <c r="B569" s="51" t="str">
        <f t="shared" si="7"/>
        <v>2024-055-1</v>
      </c>
      <c r="C569" s="52">
        <v>2024</v>
      </c>
      <c r="D569" s="52" t="s">
        <v>86</v>
      </c>
      <c r="E569" s="52">
        <v>1</v>
      </c>
      <c r="F569" s="54" t="s">
        <v>479</v>
      </c>
      <c r="G569" s="52"/>
      <c r="H569" s="55"/>
      <c r="I569" s="56"/>
    </row>
    <row r="570" spans="2:9" s="2" customFormat="1" ht="27" x14ac:dyDescent="0.2">
      <c r="B570" s="51" t="str">
        <f t="shared" si="7"/>
        <v>2024-055-2</v>
      </c>
      <c r="C570" s="52">
        <v>2024</v>
      </c>
      <c r="D570" s="52" t="s">
        <v>86</v>
      </c>
      <c r="E570" s="52">
        <v>2</v>
      </c>
      <c r="F570" s="54" t="s">
        <v>874</v>
      </c>
      <c r="G570" s="52"/>
      <c r="H570" s="55"/>
      <c r="I570" s="56"/>
    </row>
    <row r="571" spans="2:9" s="2" customFormat="1" ht="40.5" x14ac:dyDescent="0.2">
      <c r="B571" s="51" t="str">
        <f t="shared" si="7"/>
        <v>2024-055-3</v>
      </c>
      <c r="C571" s="52">
        <v>2024</v>
      </c>
      <c r="D571" s="52" t="s">
        <v>86</v>
      </c>
      <c r="E571" s="52">
        <v>3</v>
      </c>
      <c r="F571" s="54" t="s">
        <v>1265</v>
      </c>
      <c r="G571" s="52"/>
      <c r="H571" s="55"/>
      <c r="I571" s="56"/>
    </row>
    <row r="572" spans="2:9" s="2" customFormat="1" ht="27" x14ac:dyDescent="0.2">
      <c r="B572" s="51" t="str">
        <f t="shared" si="7"/>
        <v>2024-055-4</v>
      </c>
      <c r="C572" s="52">
        <v>2024</v>
      </c>
      <c r="D572" s="52" t="s">
        <v>86</v>
      </c>
      <c r="E572" s="52">
        <v>4</v>
      </c>
      <c r="F572" s="54" t="s">
        <v>1642</v>
      </c>
      <c r="G572" s="52" t="s">
        <v>3391</v>
      </c>
      <c r="H572" s="55"/>
      <c r="I572" s="56"/>
    </row>
    <row r="573" spans="2:9" s="2" customFormat="1" ht="27" x14ac:dyDescent="0.2">
      <c r="B573" s="57" t="str">
        <f t="shared" si="7"/>
        <v>2024-055-5</v>
      </c>
      <c r="C573" s="58">
        <v>2024</v>
      </c>
      <c r="D573" s="58" t="s">
        <v>86</v>
      </c>
      <c r="E573" s="58">
        <v>5</v>
      </c>
      <c r="F573" s="59" t="s">
        <v>2006</v>
      </c>
      <c r="G573" s="58"/>
      <c r="H573" s="60"/>
      <c r="I573" s="61"/>
    </row>
    <row r="574" spans="2:9" s="2" customFormat="1" x14ac:dyDescent="0.2">
      <c r="B574" s="62" t="str">
        <f t="shared" si="7"/>
        <v>2024-056-0</v>
      </c>
      <c r="C574" s="63">
        <v>2024</v>
      </c>
      <c r="D574" s="63" t="s">
        <v>87</v>
      </c>
      <c r="E574" s="63">
        <v>0</v>
      </c>
      <c r="F574" s="64" t="s">
        <v>126</v>
      </c>
      <c r="G574" s="63"/>
      <c r="H574" s="65"/>
      <c r="I574" s="66"/>
    </row>
    <row r="575" spans="2:9" s="2" customFormat="1" x14ac:dyDescent="0.2">
      <c r="B575" s="51" t="str">
        <f t="shared" si="7"/>
        <v>2024-056-1</v>
      </c>
      <c r="C575" s="52">
        <v>2024</v>
      </c>
      <c r="D575" s="52" t="s">
        <v>87</v>
      </c>
      <c r="E575" s="52">
        <v>1</v>
      </c>
      <c r="F575" s="54" t="s">
        <v>480</v>
      </c>
      <c r="G575" s="52"/>
      <c r="H575" s="55"/>
      <c r="I575" s="56"/>
    </row>
    <row r="576" spans="2:9" s="2" customFormat="1" x14ac:dyDescent="0.2">
      <c r="B576" s="51" t="str">
        <f t="shared" si="7"/>
        <v>2024-056-2</v>
      </c>
      <c r="C576" s="52">
        <v>2024</v>
      </c>
      <c r="D576" s="52" t="s">
        <v>87</v>
      </c>
      <c r="E576" s="52">
        <v>2</v>
      </c>
      <c r="F576" s="54" t="s">
        <v>875</v>
      </c>
      <c r="G576" s="52"/>
      <c r="H576" s="55"/>
      <c r="I576" s="56"/>
    </row>
    <row r="577" spans="2:9" s="2" customFormat="1" x14ac:dyDescent="0.2">
      <c r="B577" s="51" t="str">
        <f t="shared" si="7"/>
        <v>2024-056-3</v>
      </c>
      <c r="C577" s="52">
        <v>2024</v>
      </c>
      <c r="D577" s="52" t="s">
        <v>87</v>
      </c>
      <c r="E577" s="52">
        <v>3</v>
      </c>
      <c r="F577" s="54" t="s">
        <v>1266</v>
      </c>
      <c r="G577" s="52" t="s">
        <v>3391</v>
      </c>
      <c r="H577" s="55"/>
      <c r="I577" s="56"/>
    </row>
    <row r="578" spans="2:9" s="2" customFormat="1" x14ac:dyDescent="0.2">
      <c r="B578" s="51" t="str">
        <f t="shared" si="7"/>
        <v>2024-056-4</v>
      </c>
      <c r="C578" s="52">
        <v>2024</v>
      </c>
      <c r="D578" s="52" t="s">
        <v>87</v>
      </c>
      <c r="E578" s="52">
        <v>4</v>
      </c>
      <c r="F578" s="54" t="s">
        <v>1643</v>
      </c>
      <c r="G578" s="52"/>
      <c r="H578" s="55"/>
      <c r="I578" s="56"/>
    </row>
    <row r="579" spans="2:9" s="2" customFormat="1" x14ac:dyDescent="0.2">
      <c r="B579" s="57" t="str">
        <f t="shared" si="7"/>
        <v>2024-056-5</v>
      </c>
      <c r="C579" s="58">
        <v>2024</v>
      </c>
      <c r="D579" s="58" t="s">
        <v>87</v>
      </c>
      <c r="E579" s="58">
        <v>5</v>
      </c>
      <c r="F579" s="59" t="s">
        <v>2007</v>
      </c>
      <c r="G579" s="58"/>
      <c r="H579" s="60"/>
      <c r="I579" s="61"/>
    </row>
    <row r="580" spans="2:9" s="2" customFormat="1" x14ac:dyDescent="0.2">
      <c r="B580" s="62" t="str">
        <f t="shared" si="7"/>
        <v>2024-057-0</v>
      </c>
      <c r="C580" s="63">
        <v>2024</v>
      </c>
      <c r="D580" s="63" t="s">
        <v>88</v>
      </c>
      <c r="E580" s="63">
        <v>0</v>
      </c>
      <c r="F580" s="64" t="s">
        <v>127</v>
      </c>
      <c r="G580" s="63"/>
      <c r="H580" s="65"/>
      <c r="I580" s="66"/>
    </row>
    <row r="581" spans="2:9" s="2" customFormat="1" x14ac:dyDescent="0.2">
      <c r="B581" s="51" t="str">
        <f t="shared" si="7"/>
        <v>2024-057-1</v>
      </c>
      <c r="C581" s="52">
        <v>2024</v>
      </c>
      <c r="D581" s="52" t="s">
        <v>88</v>
      </c>
      <c r="E581" s="52">
        <v>1</v>
      </c>
      <c r="F581" s="54" t="s">
        <v>481</v>
      </c>
      <c r="G581" s="52"/>
      <c r="H581" s="55"/>
      <c r="I581" s="56"/>
    </row>
    <row r="582" spans="2:9" s="2" customFormat="1" ht="27" x14ac:dyDescent="0.2">
      <c r="B582" s="51" t="str">
        <f t="shared" si="7"/>
        <v>2024-057-2</v>
      </c>
      <c r="C582" s="52">
        <v>2024</v>
      </c>
      <c r="D582" s="52" t="s">
        <v>88</v>
      </c>
      <c r="E582" s="52">
        <v>2</v>
      </c>
      <c r="F582" s="54" t="s">
        <v>876</v>
      </c>
      <c r="G582" s="52" t="s">
        <v>3391</v>
      </c>
      <c r="H582" s="55"/>
      <c r="I582" s="56"/>
    </row>
    <row r="583" spans="2:9" s="2" customFormat="1" x14ac:dyDescent="0.2">
      <c r="B583" s="51" t="str">
        <f t="shared" si="7"/>
        <v>2024-057-3</v>
      </c>
      <c r="C583" s="52">
        <v>2024</v>
      </c>
      <c r="D583" s="52" t="s">
        <v>88</v>
      </c>
      <c r="E583" s="52">
        <v>3</v>
      </c>
      <c r="F583" s="54" t="s">
        <v>1267</v>
      </c>
      <c r="G583" s="52"/>
      <c r="H583" s="55"/>
      <c r="I583" s="56"/>
    </row>
    <row r="584" spans="2:9" s="2" customFormat="1" x14ac:dyDescent="0.2">
      <c r="B584" s="51" t="str">
        <f t="shared" si="7"/>
        <v>2024-057-4</v>
      </c>
      <c r="C584" s="52">
        <v>2024</v>
      </c>
      <c r="D584" s="52" t="s">
        <v>88</v>
      </c>
      <c r="E584" s="52">
        <v>4</v>
      </c>
      <c r="F584" s="54" t="s">
        <v>608</v>
      </c>
      <c r="G584" s="52"/>
      <c r="H584" s="55"/>
      <c r="I584" s="56"/>
    </row>
    <row r="585" spans="2:9" s="2" customFormat="1" x14ac:dyDescent="0.2">
      <c r="B585" s="57" t="str">
        <f t="shared" si="7"/>
        <v>2024-057-5</v>
      </c>
      <c r="C585" s="58">
        <v>2024</v>
      </c>
      <c r="D585" s="58" t="s">
        <v>88</v>
      </c>
      <c r="E585" s="58">
        <v>5</v>
      </c>
      <c r="F585" s="59" t="s">
        <v>733</v>
      </c>
      <c r="G585" s="58"/>
      <c r="H585" s="60"/>
      <c r="I585" s="61"/>
    </row>
    <row r="586" spans="2:9" s="2" customFormat="1" x14ac:dyDescent="0.2">
      <c r="B586" s="62" t="str">
        <f t="shared" si="7"/>
        <v>2024-058-0</v>
      </c>
      <c r="C586" s="63">
        <v>2024</v>
      </c>
      <c r="D586" s="63" t="s">
        <v>89</v>
      </c>
      <c r="E586" s="63">
        <v>0</v>
      </c>
      <c r="F586" s="64" t="s">
        <v>128</v>
      </c>
      <c r="G586" s="63"/>
      <c r="H586" s="65"/>
      <c r="I586" s="66"/>
    </row>
    <row r="587" spans="2:9" s="2" customFormat="1" x14ac:dyDescent="0.2">
      <c r="B587" s="51" t="str">
        <f t="shared" si="7"/>
        <v>2024-058-1</v>
      </c>
      <c r="C587" s="52">
        <v>2024</v>
      </c>
      <c r="D587" s="52" t="s">
        <v>89</v>
      </c>
      <c r="E587" s="52">
        <v>1</v>
      </c>
      <c r="F587" s="54" t="s">
        <v>482</v>
      </c>
      <c r="G587" s="52"/>
      <c r="H587" s="55"/>
      <c r="I587" s="56"/>
    </row>
    <row r="588" spans="2:9" s="2" customFormat="1" ht="27" x14ac:dyDescent="0.2">
      <c r="B588" s="51" t="str">
        <f t="shared" si="7"/>
        <v>2024-058-2</v>
      </c>
      <c r="C588" s="52">
        <v>2024</v>
      </c>
      <c r="D588" s="52" t="s">
        <v>89</v>
      </c>
      <c r="E588" s="52">
        <v>2</v>
      </c>
      <c r="F588" s="54" t="s">
        <v>877</v>
      </c>
      <c r="G588" s="52"/>
      <c r="H588" s="55"/>
      <c r="I588" s="56"/>
    </row>
    <row r="589" spans="2:9" s="2" customFormat="1" ht="27" x14ac:dyDescent="0.2">
      <c r="B589" s="51" t="str">
        <f t="shared" si="7"/>
        <v>2024-058-3</v>
      </c>
      <c r="C589" s="52">
        <v>2024</v>
      </c>
      <c r="D589" s="52" t="s">
        <v>89</v>
      </c>
      <c r="E589" s="52">
        <v>3</v>
      </c>
      <c r="F589" s="54" t="s">
        <v>1022</v>
      </c>
      <c r="G589" s="52"/>
      <c r="H589" s="55"/>
      <c r="I589" s="56"/>
    </row>
    <row r="590" spans="2:9" s="2" customFormat="1" x14ac:dyDescent="0.2">
      <c r="B590" s="51" t="str">
        <f t="shared" si="7"/>
        <v>2024-058-4</v>
      </c>
      <c r="C590" s="52">
        <v>2024</v>
      </c>
      <c r="D590" s="52" t="s">
        <v>89</v>
      </c>
      <c r="E590" s="52">
        <v>4</v>
      </c>
      <c r="F590" s="54" t="s">
        <v>832</v>
      </c>
      <c r="G590" s="52"/>
      <c r="H590" s="55"/>
      <c r="I590" s="56"/>
    </row>
    <row r="591" spans="2:9" s="2" customFormat="1" ht="27" x14ac:dyDescent="0.2">
      <c r="B591" s="57" t="str">
        <f t="shared" si="7"/>
        <v>2024-058-5</v>
      </c>
      <c r="C591" s="58">
        <v>2024</v>
      </c>
      <c r="D591" s="58" t="s">
        <v>89</v>
      </c>
      <c r="E591" s="58">
        <v>5</v>
      </c>
      <c r="F591" s="59" t="s">
        <v>2008</v>
      </c>
      <c r="G591" s="58" t="s">
        <v>3391</v>
      </c>
      <c r="H591" s="60"/>
      <c r="I591" s="61"/>
    </row>
    <row r="592" spans="2:9" s="2" customFormat="1" x14ac:dyDescent="0.2">
      <c r="B592" s="62" t="str">
        <f t="shared" si="7"/>
        <v>2024-059-0</v>
      </c>
      <c r="C592" s="63">
        <v>2024</v>
      </c>
      <c r="D592" s="63" t="s">
        <v>90</v>
      </c>
      <c r="E592" s="63">
        <v>0</v>
      </c>
      <c r="F592" s="64" t="s">
        <v>129</v>
      </c>
      <c r="G592" s="63"/>
      <c r="H592" s="65"/>
      <c r="I592" s="66"/>
    </row>
    <row r="593" spans="2:9" s="2" customFormat="1" x14ac:dyDescent="0.2">
      <c r="B593" s="51" t="str">
        <f t="shared" si="7"/>
        <v>2024-059-1</v>
      </c>
      <c r="C593" s="52">
        <v>2024</v>
      </c>
      <c r="D593" s="52" t="s">
        <v>90</v>
      </c>
      <c r="E593" s="52">
        <v>1</v>
      </c>
      <c r="F593" s="54" t="s">
        <v>483</v>
      </c>
      <c r="G593" s="52"/>
      <c r="H593" s="55"/>
      <c r="I593" s="56"/>
    </row>
    <row r="594" spans="2:9" s="2" customFormat="1" x14ac:dyDescent="0.2">
      <c r="B594" s="51" t="str">
        <f t="shared" si="7"/>
        <v>2024-059-2</v>
      </c>
      <c r="C594" s="52">
        <v>2024</v>
      </c>
      <c r="D594" s="52" t="s">
        <v>90</v>
      </c>
      <c r="E594" s="52">
        <v>2</v>
      </c>
      <c r="F594" s="54" t="s">
        <v>878</v>
      </c>
      <c r="G594" s="52"/>
      <c r="H594" s="55"/>
      <c r="I594" s="56"/>
    </row>
    <row r="595" spans="2:9" s="2" customFormat="1" ht="27" x14ac:dyDescent="0.2">
      <c r="B595" s="51" t="str">
        <f t="shared" si="7"/>
        <v>2024-059-3</v>
      </c>
      <c r="C595" s="52">
        <v>2024</v>
      </c>
      <c r="D595" s="52" t="s">
        <v>90</v>
      </c>
      <c r="E595" s="52">
        <v>3</v>
      </c>
      <c r="F595" s="54" t="s">
        <v>1268</v>
      </c>
      <c r="G595" s="52"/>
      <c r="H595" s="55"/>
      <c r="I595" s="56"/>
    </row>
    <row r="596" spans="2:9" s="2" customFormat="1" ht="27" x14ac:dyDescent="0.2">
      <c r="B596" s="51" t="str">
        <f t="shared" si="7"/>
        <v>2024-059-4</v>
      </c>
      <c r="C596" s="52">
        <v>2024</v>
      </c>
      <c r="D596" s="52" t="s">
        <v>90</v>
      </c>
      <c r="E596" s="52">
        <v>4</v>
      </c>
      <c r="F596" s="54" t="s">
        <v>1644</v>
      </c>
      <c r="G596" s="52" t="s">
        <v>3391</v>
      </c>
      <c r="H596" s="55"/>
      <c r="I596" s="56"/>
    </row>
    <row r="597" spans="2:9" s="2" customFormat="1" ht="27" x14ac:dyDescent="0.2">
      <c r="B597" s="57" t="str">
        <f t="shared" si="7"/>
        <v>2024-059-5</v>
      </c>
      <c r="C597" s="58">
        <v>2024</v>
      </c>
      <c r="D597" s="58" t="s">
        <v>90</v>
      </c>
      <c r="E597" s="58">
        <v>5</v>
      </c>
      <c r="F597" s="59" t="s">
        <v>2009</v>
      </c>
      <c r="G597" s="58"/>
      <c r="H597" s="60"/>
      <c r="I597" s="61"/>
    </row>
    <row r="598" spans="2:9" s="2" customFormat="1" x14ac:dyDescent="0.2">
      <c r="B598" s="62" t="str">
        <f t="shared" si="7"/>
        <v>2024-060-0</v>
      </c>
      <c r="C598" s="63">
        <v>2024</v>
      </c>
      <c r="D598" s="63" t="s">
        <v>91</v>
      </c>
      <c r="E598" s="63">
        <v>0</v>
      </c>
      <c r="F598" s="64" t="s">
        <v>130</v>
      </c>
      <c r="G598" s="63"/>
      <c r="H598" s="65"/>
      <c r="I598" s="66"/>
    </row>
    <row r="599" spans="2:9" s="2" customFormat="1" x14ac:dyDescent="0.2">
      <c r="B599" s="51" t="str">
        <f t="shared" si="7"/>
        <v>2024-060-1</v>
      </c>
      <c r="C599" s="52">
        <v>2024</v>
      </c>
      <c r="D599" s="52" t="s">
        <v>91</v>
      </c>
      <c r="E599" s="52">
        <v>1</v>
      </c>
      <c r="F599" s="54" t="s">
        <v>484</v>
      </c>
      <c r="G599" s="52" t="s">
        <v>3391</v>
      </c>
      <c r="H599" s="55"/>
      <c r="I599" s="56"/>
    </row>
    <row r="600" spans="2:9" s="2" customFormat="1" x14ac:dyDescent="0.2">
      <c r="B600" s="51" t="str">
        <f t="shared" si="7"/>
        <v>2024-060-2</v>
      </c>
      <c r="C600" s="52">
        <v>2024</v>
      </c>
      <c r="D600" s="52" t="s">
        <v>91</v>
      </c>
      <c r="E600" s="52">
        <v>2</v>
      </c>
      <c r="F600" s="54" t="s">
        <v>879</v>
      </c>
      <c r="G600" s="52"/>
      <c r="H600" s="55"/>
      <c r="I600" s="56"/>
    </row>
    <row r="601" spans="2:9" s="2" customFormat="1" x14ac:dyDescent="0.2">
      <c r="B601" s="51" t="str">
        <f t="shared" si="7"/>
        <v>2024-060-3</v>
      </c>
      <c r="C601" s="52">
        <v>2024</v>
      </c>
      <c r="D601" s="52" t="s">
        <v>91</v>
      </c>
      <c r="E601" s="52">
        <v>3</v>
      </c>
      <c r="F601" s="54" t="s">
        <v>1269</v>
      </c>
      <c r="G601" s="52"/>
      <c r="H601" s="55"/>
      <c r="I601" s="56"/>
    </row>
    <row r="602" spans="2:9" s="2" customFormat="1" ht="27" x14ac:dyDescent="0.2">
      <c r="B602" s="51" t="str">
        <f t="shared" si="7"/>
        <v>2024-060-4</v>
      </c>
      <c r="C602" s="52">
        <v>2024</v>
      </c>
      <c r="D602" s="52" t="s">
        <v>91</v>
      </c>
      <c r="E602" s="52">
        <v>4</v>
      </c>
      <c r="F602" s="54" t="s">
        <v>1645</v>
      </c>
      <c r="G602" s="52"/>
      <c r="H602" s="55"/>
      <c r="I602" s="56"/>
    </row>
    <row r="603" spans="2:9" s="2" customFormat="1" x14ac:dyDescent="0.2">
      <c r="B603" s="57" t="str">
        <f t="shared" si="7"/>
        <v>2024-060-5</v>
      </c>
      <c r="C603" s="58">
        <v>2024</v>
      </c>
      <c r="D603" s="58" t="s">
        <v>91</v>
      </c>
      <c r="E603" s="58">
        <v>5</v>
      </c>
      <c r="F603" s="59" t="s">
        <v>1621</v>
      </c>
      <c r="G603" s="58"/>
      <c r="H603" s="60"/>
      <c r="I603" s="61"/>
    </row>
    <row r="604" spans="2:9" s="2" customFormat="1" ht="81" x14ac:dyDescent="0.2">
      <c r="B604" s="62" t="str">
        <f t="shared" si="7"/>
        <v>2024-061-0</v>
      </c>
      <c r="C604" s="63">
        <v>2024</v>
      </c>
      <c r="D604" s="63" t="s">
        <v>92</v>
      </c>
      <c r="E604" s="63">
        <v>0</v>
      </c>
      <c r="F604" s="64" t="s">
        <v>131</v>
      </c>
      <c r="G604" s="63"/>
      <c r="H604" s="65"/>
      <c r="I604" s="66"/>
    </row>
    <row r="605" spans="2:9" s="2" customFormat="1" x14ac:dyDescent="0.2">
      <c r="B605" s="51" t="str">
        <f t="shared" si="7"/>
        <v>2024-061-1</v>
      </c>
      <c r="C605" s="52">
        <v>2024</v>
      </c>
      <c r="D605" s="52" t="s">
        <v>92</v>
      </c>
      <c r="E605" s="52">
        <v>1</v>
      </c>
      <c r="F605" s="54" t="s">
        <v>485</v>
      </c>
      <c r="G605" s="52"/>
      <c r="H605" s="55"/>
      <c r="I605" s="56"/>
    </row>
    <row r="606" spans="2:9" s="2" customFormat="1" x14ac:dyDescent="0.2">
      <c r="B606" s="51" t="str">
        <f t="shared" si="7"/>
        <v>2024-061-2</v>
      </c>
      <c r="C606" s="52">
        <v>2024</v>
      </c>
      <c r="D606" s="52" t="s">
        <v>92</v>
      </c>
      <c r="E606" s="52">
        <v>2</v>
      </c>
      <c r="F606" s="54" t="s">
        <v>880</v>
      </c>
      <c r="G606" s="52" t="s">
        <v>3391</v>
      </c>
      <c r="H606" s="55"/>
      <c r="I606" s="56"/>
    </row>
    <row r="607" spans="2:9" s="2" customFormat="1" x14ac:dyDescent="0.2">
      <c r="B607" s="51" t="str">
        <f t="shared" si="7"/>
        <v>2024-061-3</v>
      </c>
      <c r="C607" s="52">
        <v>2024</v>
      </c>
      <c r="D607" s="52" t="s">
        <v>92</v>
      </c>
      <c r="E607" s="52">
        <v>3</v>
      </c>
      <c r="F607" s="54" t="s">
        <v>1270</v>
      </c>
      <c r="G607" s="52"/>
      <c r="H607" s="55"/>
      <c r="I607" s="56"/>
    </row>
    <row r="608" spans="2:9" s="2" customFormat="1" x14ac:dyDescent="0.2">
      <c r="B608" s="51" t="str">
        <f t="shared" si="7"/>
        <v>2024-061-4</v>
      </c>
      <c r="C608" s="52">
        <v>2024</v>
      </c>
      <c r="D608" s="52" t="s">
        <v>92</v>
      </c>
      <c r="E608" s="52">
        <v>4</v>
      </c>
      <c r="F608" s="54" t="s">
        <v>1646</v>
      </c>
      <c r="G608" s="52"/>
      <c r="H608" s="55"/>
      <c r="I608" s="56"/>
    </row>
    <row r="609" spans="2:9" s="2" customFormat="1" x14ac:dyDescent="0.2">
      <c r="B609" s="57" t="str">
        <f t="shared" si="7"/>
        <v>2024-061-5</v>
      </c>
      <c r="C609" s="58">
        <v>2024</v>
      </c>
      <c r="D609" s="58" t="s">
        <v>92</v>
      </c>
      <c r="E609" s="58">
        <v>5</v>
      </c>
      <c r="F609" s="59" t="s">
        <v>2010</v>
      </c>
      <c r="G609" s="58"/>
      <c r="H609" s="60"/>
      <c r="I609" s="61"/>
    </row>
    <row r="610" spans="2:9" s="2" customFormat="1" x14ac:dyDescent="0.2">
      <c r="B610" s="62" t="str">
        <f t="shared" si="7"/>
        <v>2024-062-0</v>
      </c>
      <c r="C610" s="63">
        <v>2024</v>
      </c>
      <c r="D610" s="63" t="s">
        <v>93</v>
      </c>
      <c r="E610" s="63">
        <v>0</v>
      </c>
      <c r="F610" s="64" t="s">
        <v>132</v>
      </c>
      <c r="G610" s="63"/>
      <c r="H610" s="65"/>
      <c r="I610" s="66"/>
    </row>
    <row r="611" spans="2:9" s="2" customFormat="1" ht="27" x14ac:dyDescent="0.2">
      <c r="B611" s="51" t="str">
        <f t="shared" si="7"/>
        <v>2024-062-1</v>
      </c>
      <c r="C611" s="52">
        <v>2024</v>
      </c>
      <c r="D611" s="52" t="s">
        <v>93</v>
      </c>
      <c r="E611" s="52">
        <v>1</v>
      </c>
      <c r="F611" s="54" t="s">
        <v>486</v>
      </c>
      <c r="G611" s="52"/>
      <c r="H611" s="55"/>
      <c r="I611" s="56"/>
    </row>
    <row r="612" spans="2:9" s="2" customFormat="1" ht="27" x14ac:dyDescent="0.2">
      <c r="B612" s="51" t="str">
        <f t="shared" si="7"/>
        <v>2024-062-2</v>
      </c>
      <c r="C612" s="52">
        <v>2024</v>
      </c>
      <c r="D612" s="52" t="s">
        <v>93</v>
      </c>
      <c r="E612" s="52">
        <v>2</v>
      </c>
      <c r="F612" s="54" t="s">
        <v>881</v>
      </c>
      <c r="G612" s="52"/>
      <c r="H612" s="55"/>
      <c r="I612" s="56"/>
    </row>
    <row r="613" spans="2:9" s="2" customFormat="1" ht="27" x14ac:dyDescent="0.2">
      <c r="B613" s="51" t="str">
        <f t="shared" ref="B613:B676" si="8">C613&amp;"-"&amp;D613&amp;"-"&amp;E613</f>
        <v>2024-062-3</v>
      </c>
      <c r="C613" s="52">
        <v>2024</v>
      </c>
      <c r="D613" s="52" t="s">
        <v>93</v>
      </c>
      <c r="E613" s="52">
        <v>3</v>
      </c>
      <c r="F613" s="54" t="s">
        <v>1271</v>
      </c>
      <c r="G613" s="52"/>
      <c r="H613" s="55"/>
      <c r="I613" s="56"/>
    </row>
    <row r="614" spans="2:9" s="2" customFormat="1" ht="27" x14ac:dyDescent="0.2">
      <c r="B614" s="51" t="str">
        <f t="shared" si="8"/>
        <v>2024-062-4</v>
      </c>
      <c r="C614" s="52">
        <v>2024</v>
      </c>
      <c r="D614" s="52" t="s">
        <v>93</v>
      </c>
      <c r="E614" s="52">
        <v>4</v>
      </c>
      <c r="F614" s="54" t="s">
        <v>1647</v>
      </c>
      <c r="G614" s="52"/>
      <c r="H614" s="55"/>
      <c r="I614" s="56"/>
    </row>
    <row r="615" spans="2:9" s="2" customFormat="1" ht="27" x14ac:dyDescent="0.2">
      <c r="B615" s="57" t="str">
        <f t="shared" si="8"/>
        <v>2024-062-5</v>
      </c>
      <c r="C615" s="58">
        <v>2024</v>
      </c>
      <c r="D615" s="58" t="s">
        <v>93</v>
      </c>
      <c r="E615" s="58">
        <v>5</v>
      </c>
      <c r="F615" s="59" t="s">
        <v>2011</v>
      </c>
      <c r="G615" s="58" t="s">
        <v>3391</v>
      </c>
      <c r="H615" s="60"/>
      <c r="I615" s="61"/>
    </row>
    <row r="616" spans="2:9" s="2" customFormat="1" x14ac:dyDescent="0.2">
      <c r="B616" s="62" t="str">
        <f t="shared" si="8"/>
        <v>2024-063-0</v>
      </c>
      <c r="C616" s="63">
        <v>2024</v>
      </c>
      <c r="D616" s="63" t="s">
        <v>94</v>
      </c>
      <c r="E616" s="63">
        <v>0</v>
      </c>
      <c r="F616" s="64" t="s">
        <v>133</v>
      </c>
      <c r="G616" s="63"/>
      <c r="H616" s="65"/>
      <c r="I616" s="66"/>
    </row>
    <row r="617" spans="2:9" s="2" customFormat="1" x14ac:dyDescent="0.2">
      <c r="B617" s="51" t="str">
        <f t="shared" si="8"/>
        <v>2024-063-1</v>
      </c>
      <c r="C617" s="52">
        <v>2024</v>
      </c>
      <c r="D617" s="52" t="s">
        <v>94</v>
      </c>
      <c r="E617" s="52">
        <v>1</v>
      </c>
      <c r="F617" s="54" t="s">
        <v>487</v>
      </c>
      <c r="G617" s="52"/>
      <c r="H617" s="55"/>
      <c r="I617" s="56"/>
    </row>
    <row r="618" spans="2:9" s="2" customFormat="1" ht="27" x14ac:dyDescent="0.2">
      <c r="B618" s="51" t="str">
        <f t="shared" si="8"/>
        <v>2024-063-2</v>
      </c>
      <c r="C618" s="52">
        <v>2024</v>
      </c>
      <c r="D618" s="52" t="s">
        <v>94</v>
      </c>
      <c r="E618" s="52">
        <v>2</v>
      </c>
      <c r="F618" s="54" t="s">
        <v>882</v>
      </c>
      <c r="G618" s="52"/>
      <c r="H618" s="55"/>
      <c r="I618" s="56"/>
    </row>
    <row r="619" spans="2:9" s="2" customFormat="1" ht="27" x14ac:dyDescent="0.2">
      <c r="B619" s="51" t="str">
        <f t="shared" si="8"/>
        <v>2024-063-3</v>
      </c>
      <c r="C619" s="52">
        <v>2024</v>
      </c>
      <c r="D619" s="52" t="s">
        <v>94</v>
      </c>
      <c r="E619" s="52">
        <v>3</v>
      </c>
      <c r="F619" s="54" t="s">
        <v>1272</v>
      </c>
      <c r="G619" s="52"/>
      <c r="H619" s="55"/>
      <c r="I619" s="56"/>
    </row>
    <row r="620" spans="2:9" s="2" customFormat="1" ht="27" x14ac:dyDescent="0.2">
      <c r="B620" s="51" t="str">
        <f t="shared" si="8"/>
        <v>2024-063-4</v>
      </c>
      <c r="C620" s="52">
        <v>2024</v>
      </c>
      <c r="D620" s="52" t="s">
        <v>94</v>
      </c>
      <c r="E620" s="52">
        <v>4</v>
      </c>
      <c r="F620" s="54" t="s">
        <v>1648</v>
      </c>
      <c r="G620" s="52" t="s">
        <v>3391</v>
      </c>
      <c r="H620" s="55"/>
      <c r="I620" s="56"/>
    </row>
    <row r="621" spans="2:9" s="2" customFormat="1" ht="27" x14ac:dyDescent="0.2">
      <c r="B621" s="57" t="str">
        <f t="shared" si="8"/>
        <v>2024-063-5</v>
      </c>
      <c r="C621" s="58">
        <v>2024</v>
      </c>
      <c r="D621" s="58" t="s">
        <v>94</v>
      </c>
      <c r="E621" s="58">
        <v>5</v>
      </c>
      <c r="F621" s="59" t="s">
        <v>2012</v>
      </c>
      <c r="G621" s="58"/>
      <c r="H621" s="60"/>
      <c r="I621" s="61"/>
    </row>
    <row r="622" spans="2:9" s="2" customFormat="1" ht="81" x14ac:dyDescent="0.2">
      <c r="B622" s="62" t="str">
        <f t="shared" si="8"/>
        <v>2024-064-0</v>
      </c>
      <c r="C622" s="63">
        <v>2024</v>
      </c>
      <c r="D622" s="63" t="s">
        <v>95</v>
      </c>
      <c r="E622" s="63">
        <v>0</v>
      </c>
      <c r="F622" s="64" t="s">
        <v>134</v>
      </c>
      <c r="G622" s="63"/>
      <c r="H622" s="65"/>
      <c r="I622" s="66"/>
    </row>
    <row r="623" spans="2:9" s="2" customFormat="1" x14ac:dyDescent="0.2">
      <c r="B623" s="51" t="str">
        <f t="shared" si="8"/>
        <v>2024-064-1</v>
      </c>
      <c r="C623" s="52">
        <v>2024</v>
      </c>
      <c r="D623" s="52" t="s">
        <v>95</v>
      </c>
      <c r="E623" s="52">
        <v>1</v>
      </c>
      <c r="F623" s="54" t="s">
        <v>21</v>
      </c>
      <c r="G623" s="52"/>
      <c r="H623" s="55"/>
      <c r="I623" s="56"/>
    </row>
    <row r="624" spans="2:9" s="2" customFormat="1" x14ac:dyDescent="0.2">
      <c r="B624" s="51" t="str">
        <f t="shared" si="8"/>
        <v>2024-064-2</v>
      </c>
      <c r="C624" s="52">
        <v>2024</v>
      </c>
      <c r="D624" s="52" t="s">
        <v>95</v>
      </c>
      <c r="E624" s="52">
        <v>2</v>
      </c>
      <c r="F624" s="54" t="s">
        <v>20</v>
      </c>
      <c r="G624" s="52"/>
      <c r="H624" s="55"/>
      <c r="I624" s="56"/>
    </row>
    <row r="625" spans="2:9" x14ac:dyDescent="0.2">
      <c r="B625" s="51" t="str">
        <f t="shared" si="8"/>
        <v>2024-064-3</v>
      </c>
      <c r="C625" s="52">
        <v>2024</v>
      </c>
      <c r="D625" s="52" t="s">
        <v>95</v>
      </c>
      <c r="E625" s="52">
        <v>3</v>
      </c>
      <c r="F625" s="54" t="s">
        <v>38</v>
      </c>
      <c r="G625" s="52"/>
      <c r="H625" s="55"/>
      <c r="I625" s="56"/>
    </row>
    <row r="626" spans="2:9" x14ac:dyDescent="0.2">
      <c r="B626" s="51" t="str">
        <f t="shared" si="8"/>
        <v>2024-064-4</v>
      </c>
      <c r="C626" s="52">
        <v>2024</v>
      </c>
      <c r="D626" s="52" t="s">
        <v>95</v>
      </c>
      <c r="E626" s="52">
        <v>4</v>
      </c>
      <c r="F626" s="54" t="s">
        <v>1649</v>
      </c>
      <c r="G626" s="52"/>
      <c r="H626" s="55"/>
      <c r="I626" s="56"/>
    </row>
    <row r="627" spans="2:9" x14ac:dyDescent="0.2">
      <c r="B627" s="57" t="str">
        <f t="shared" si="8"/>
        <v>2024-064-5</v>
      </c>
      <c r="C627" s="58">
        <v>2024</v>
      </c>
      <c r="D627" s="58" t="s">
        <v>95</v>
      </c>
      <c r="E627" s="58">
        <v>5</v>
      </c>
      <c r="F627" s="59" t="s">
        <v>52</v>
      </c>
      <c r="G627" s="58" t="s">
        <v>3391</v>
      </c>
      <c r="H627" s="60"/>
      <c r="I627" s="61"/>
    </row>
    <row r="628" spans="2:9" x14ac:dyDescent="0.2">
      <c r="B628" s="62" t="str">
        <f t="shared" si="8"/>
        <v>2024-065-0</v>
      </c>
      <c r="C628" s="63">
        <v>2024</v>
      </c>
      <c r="D628" s="63" t="s">
        <v>96</v>
      </c>
      <c r="E628" s="63">
        <v>0</v>
      </c>
      <c r="F628" s="64" t="s">
        <v>135</v>
      </c>
      <c r="G628" s="63"/>
      <c r="H628" s="65"/>
      <c r="I628" s="66"/>
    </row>
    <row r="629" spans="2:9" x14ac:dyDescent="0.2">
      <c r="B629" s="51" t="str">
        <f t="shared" si="8"/>
        <v>2024-065-1</v>
      </c>
      <c r="C629" s="52">
        <v>2024</v>
      </c>
      <c r="D629" s="52" t="s">
        <v>96</v>
      </c>
      <c r="E629" s="52">
        <v>1</v>
      </c>
      <c r="F629" s="54" t="s">
        <v>488</v>
      </c>
      <c r="G629" s="52"/>
      <c r="H629" s="55"/>
      <c r="I629" s="56"/>
    </row>
    <row r="630" spans="2:9" x14ac:dyDescent="0.2">
      <c r="B630" s="51" t="str">
        <f t="shared" si="8"/>
        <v>2024-065-2</v>
      </c>
      <c r="C630" s="52">
        <v>2024</v>
      </c>
      <c r="D630" s="52" t="s">
        <v>96</v>
      </c>
      <c r="E630" s="52">
        <v>2</v>
      </c>
      <c r="F630" s="54" t="s">
        <v>883</v>
      </c>
      <c r="G630" s="52"/>
      <c r="H630" s="55"/>
      <c r="I630" s="56"/>
    </row>
    <row r="631" spans="2:9" ht="27" x14ac:dyDescent="0.2">
      <c r="B631" s="51" t="str">
        <f t="shared" si="8"/>
        <v>2024-065-3</v>
      </c>
      <c r="C631" s="52">
        <v>2024</v>
      </c>
      <c r="D631" s="52" t="s">
        <v>96</v>
      </c>
      <c r="E631" s="52">
        <v>3</v>
      </c>
      <c r="F631" s="54" t="s">
        <v>1273</v>
      </c>
      <c r="G631" s="52" t="s">
        <v>3391</v>
      </c>
      <c r="H631" s="55"/>
      <c r="I631" s="56"/>
    </row>
    <row r="632" spans="2:9" x14ac:dyDescent="0.2">
      <c r="B632" s="51" t="str">
        <f t="shared" si="8"/>
        <v>2024-065-4</v>
      </c>
      <c r="C632" s="52">
        <v>2024</v>
      </c>
      <c r="D632" s="52" t="s">
        <v>96</v>
      </c>
      <c r="E632" s="52">
        <v>4</v>
      </c>
      <c r="F632" s="54" t="s">
        <v>1650</v>
      </c>
      <c r="G632" s="52"/>
      <c r="H632" s="55"/>
      <c r="I632" s="56"/>
    </row>
    <row r="633" spans="2:9" x14ac:dyDescent="0.2">
      <c r="B633" s="57" t="str">
        <f t="shared" si="8"/>
        <v>2024-065-5</v>
      </c>
      <c r="C633" s="58">
        <v>2024</v>
      </c>
      <c r="D633" s="58" t="s">
        <v>96</v>
      </c>
      <c r="E633" s="58">
        <v>5</v>
      </c>
      <c r="F633" s="59" t="s">
        <v>2013</v>
      </c>
      <c r="G633" s="58"/>
      <c r="H633" s="60"/>
      <c r="I633" s="61"/>
    </row>
    <row r="634" spans="2:9" x14ac:dyDescent="0.2">
      <c r="B634" s="62" t="str">
        <f t="shared" si="8"/>
        <v>2024-066-0</v>
      </c>
      <c r="C634" s="63">
        <v>2024</v>
      </c>
      <c r="D634" s="63" t="s">
        <v>97</v>
      </c>
      <c r="E634" s="63">
        <v>0</v>
      </c>
      <c r="F634" s="64" t="s">
        <v>136</v>
      </c>
      <c r="G634" s="63"/>
      <c r="H634" s="65"/>
      <c r="I634" s="66"/>
    </row>
    <row r="635" spans="2:9" ht="27" x14ac:dyDescent="0.2">
      <c r="B635" s="51" t="str">
        <f t="shared" si="8"/>
        <v>2024-066-1</v>
      </c>
      <c r="C635" s="52">
        <v>2024</v>
      </c>
      <c r="D635" s="52" t="s">
        <v>97</v>
      </c>
      <c r="E635" s="52">
        <v>1</v>
      </c>
      <c r="F635" s="54" t="s">
        <v>489</v>
      </c>
      <c r="G635" s="52"/>
      <c r="H635" s="55"/>
      <c r="I635" s="56"/>
    </row>
    <row r="636" spans="2:9" ht="27" x14ac:dyDescent="0.2">
      <c r="B636" s="51" t="str">
        <f t="shared" si="8"/>
        <v>2024-066-2</v>
      </c>
      <c r="C636" s="52">
        <v>2024</v>
      </c>
      <c r="D636" s="52" t="s">
        <v>97</v>
      </c>
      <c r="E636" s="52">
        <v>2</v>
      </c>
      <c r="F636" s="54" t="s">
        <v>884</v>
      </c>
      <c r="G636" s="52"/>
      <c r="H636" s="55"/>
      <c r="I636" s="56"/>
    </row>
    <row r="637" spans="2:9" ht="27" x14ac:dyDescent="0.2">
      <c r="B637" s="51" t="str">
        <f t="shared" si="8"/>
        <v>2024-066-3</v>
      </c>
      <c r="C637" s="52">
        <v>2024</v>
      </c>
      <c r="D637" s="52" t="s">
        <v>97</v>
      </c>
      <c r="E637" s="52">
        <v>3</v>
      </c>
      <c r="F637" s="54" t="s">
        <v>1274</v>
      </c>
      <c r="G637" s="52"/>
      <c r="H637" s="55"/>
      <c r="I637" s="56"/>
    </row>
    <row r="638" spans="2:9" x14ac:dyDescent="0.2">
      <c r="B638" s="51" t="str">
        <f t="shared" si="8"/>
        <v>2024-066-4</v>
      </c>
      <c r="C638" s="52">
        <v>2024</v>
      </c>
      <c r="D638" s="52" t="s">
        <v>97</v>
      </c>
      <c r="E638" s="52">
        <v>4</v>
      </c>
      <c r="F638" s="54" t="s">
        <v>1651</v>
      </c>
      <c r="G638" s="52" t="s">
        <v>3391</v>
      </c>
      <c r="H638" s="55"/>
      <c r="I638" s="56"/>
    </row>
    <row r="639" spans="2:9" x14ac:dyDescent="0.2">
      <c r="B639" s="57" t="str">
        <f t="shared" si="8"/>
        <v>2024-066-5</v>
      </c>
      <c r="C639" s="58">
        <v>2024</v>
      </c>
      <c r="D639" s="58" t="s">
        <v>97</v>
      </c>
      <c r="E639" s="58">
        <v>5</v>
      </c>
      <c r="F639" s="59" t="s">
        <v>2014</v>
      </c>
      <c r="G639" s="58"/>
      <c r="H639" s="60"/>
      <c r="I639" s="61"/>
    </row>
    <row r="640" spans="2:9" x14ac:dyDescent="0.2">
      <c r="B640" s="62" t="str">
        <f t="shared" si="8"/>
        <v>2024-067-0</v>
      </c>
      <c r="C640" s="63">
        <v>2024</v>
      </c>
      <c r="D640" s="63" t="s">
        <v>98</v>
      </c>
      <c r="E640" s="63">
        <v>0</v>
      </c>
      <c r="F640" s="64" t="s">
        <v>137</v>
      </c>
      <c r="G640" s="63"/>
      <c r="H640" s="65"/>
      <c r="I640" s="66"/>
    </row>
    <row r="641" spans="2:9" x14ac:dyDescent="0.2">
      <c r="B641" s="51" t="str">
        <f t="shared" si="8"/>
        <v>2024-067-1</v>
      </c>
      <c r="C641" s="52">
        <v>2024</v>
      </c>
      <c r="D641" s="52" t="s">
        <v>98</v>
      </c>
      <c r="E641" s="52">
        <v>1</v>
      </c>
      <c r="F641" s="54" t="s">
        <v>490</v>
      </c>
      <c r="G641" s="52"/>
      <c r="H641" s="55"/>
      <c r="I641" s="56"/>
    </row>
    <row r="642" spans="2:9" x14ac:dyDescent="0.2">
      <c r="B642" s="51" t="str">
        <f t="shared" si="8"/>
        <v>2024-067-2</v>
      </c>
      <c r="C642" s="52">
        <v>2024</v>
      </c>
      <c r="D642" s="52" t="s">
        <v>98</v>
      </c>
      <c r="E642" s="52">
        <v>2</v>
      </c>
      <c r="F642" s="54" t="s">
        <v>885</v>
      </c>
      <c r="G642" s="52" t="s">
        <v>3391</v>
      </c>
      <c r="H642" s="55"/>
      <c r="I642" s="56"/>
    </row>
    <row r="643" spans="2:9" x14ac:dyDescent="0.2">
      <c r="B643" s="51" t="str">
        <f t="shared" si="8"/>
        <v>2024-067-3</v>
      </c>
      <c r="C643" s="52">
        <v>2024</v>
      </c>
      <c r="D643" s="52" t="s">
        <v>98</v>
      </c>
      <c r="E643" s="52">
        <v>3</v>
      </c>
      <c r="F643" s="54" t="s">
        <v>1275</v>
      </c>
      <c r="G643" s="52"/>
      <c r="H643" s="55"/>
      <c r="I643" s="56"/>
    </row>
    <row r="644" spans="2:9" x14ac:dyDescent="0.2">
      <c r="B644" s="51" t="str">
        <f t="shared" si="8"/>
        <v>2024-067-4</v>
      </c>
      <c r="C644" s="52">
        <v>2024</v>
      </c>
      <c r="D644" s="52" t="s">
        <v>98</v>
      </c>
      <c r="E644" s="52">
        <v>4</v>
      </c>
      <c r="F644" s="54" t="s">
        <v>1652</v>
      </c>
      <c r="G644" s="52"/>
      <c r="H644" s="55"/>
      <c r="I644" s="56"/>
    </row>
    <row r="645" spans="2:9" x14ac:dyDescent="0.2">
      <c r="B645" s="57" t="str">
        <f t="shared" si="8"/>
        <v>2024-067-5</v>
      </c>
      <c r="C645" s="58">
        <v>2024</v>
      </c>
      <c r="D645" s="58" t="s">
        <v>98</v>
      </c>
      <c r="E645" s="58">
        <v>5</v>
      </c>
      <c r="F645" s="59" t="s">
        <v>2015</v>
      </c>
      <c r="G645" s="58"/>
      <c r="H645" s="60"/>
      <c r="I645" s="61"/>
    </row>
    <row r="646" spans="2:9" x14ac:dyDescent="0.2">
      <c r="B646" s="62" t="str">
        <f t="shared" si="8"/>
        <v>2024-068-0</v>
      </c>
      <c r="C646" s="63">
        <v>2024</v>
      </c>
      <c r="D646" s="63" t="s">
        <v>99</v>
      </c>
      <c r="E646" s="63">
        <v>0</v>
      </c>
      <c r="F646" s="64" t="s">
        <v>138</v>
      </c>
      <c r="G646" s="63"/>
      <c r="H646" s="65"/>
      <c r="I646" s="66"/>
    </row>
    <row r="647" spans="2:9" ht="27" x14ac:dyDescent="0.2">
      <c r="B647" s="51" t="str">
        <f t="shared" si="8"/>
        <v>2024-068-1</v>
      </c>
      <c r="C647" s="52">
        <v>2024</v>
      </c>
      <c r="D647" s="52" t="s">
        <v>99</v>
      </c>
      <c r="E647" s="52">
        <v>1</v>
      </c>
      <c r="F647" s="54" t="s">
        <v>491</v>
      </c>
      <c r="G647" s="52"/>
      <c r="H647" s="55"/>
      <c r="I647" s="56"/>
    </row>
    <row r="648" spans="2:9" ht="27" x14ac:dyDescent="0.2">
      <c r="B648" s="51" t="str">
        <f t="shared" si="8"/>
        <v>2024-068-2</v>
      </c>
      <c r="C648" s="52">
        <v>2024</v>
      </c>
      <c r="D648" s="52" t="s">
        <v>99</v>
      </c>
      <c r="E648" s="52">
        <v>2</v>
      </c>
      <c r="F648" s="54" t="s">
        <v>886</v>
      </c>
      <c r="G648" s="52"/>
      <c r="H648" s="55"/>
      <c r="I648" s="56"/>
    </row>
    <row r="649" spans="2:9" x14ac:dyDescent="0.2">
      <c r="B649" s="51" t="str">
        <f t="shared" si="8"/>
        <v>2024-068-3</v>
      </c>
      <c r="C649" s="52">
        <v>2024</v>
      </c>
      <c r="D649" s="52" t="s">
        <v>99</v>
      </c>
      <c r="E649" s="52">
        <v>3</v>
      </c>
      <c r="F649" s="54" t="s">
        <v>1276</v>
      </c>
      <c r="G649" s="52"/>
      <c r="H649" s="55"/>
      <c r="I649" s="56"/>
    </row>
    <row r="650" spans="2:9" x14ac:dyDescent="0.2">
      <c r="B650" s="51" t="str">
        <f t="shared" si="8"/>
        <v>2024-068-4</v>
      </c>
      <c r="C650" s="52">
        <v>2024</v>
      </c>
      <c r="D650" s="52" t="s">
        <v>99</v>
      </c>
      <c r="E650" s="52">
        <v>4</v>
      </c>
      <c r="F650" s="54" t="s">
        <v>1653</v>
      </c>
      <c r="G650" s="52"/>
      <c r="H650" s="55"/>
      <c r="I650" s="56"/>
    </row>
    <row r="651" spans="2:9" x14ac:dyDescent="0.2">
      <c r="B651" s="57" t="str">
        <f t="shared" si="8"/>
        <v>2024-068-5</v>
      </c>
      <c r="C651" s="58">
        <v>2024</v>
      </c>
      <c r="D651" s="58" t="s">
        <v>99</v>
      </c>
      <c r="E651" s="58">
        <v>5</v>
      </c>
      <c r="F651" s="59" t="s">
        <v>2016</v>
      </c>
      <c r="G651" s="58" t="s">
        <v>3391</v>
      </c>
      <c r="H651" s="60"/>
      <c r="I651" s="61"/>
    </row>
    <row r="652" spans="2:9" x14ac:dyDescent="0.2">
      <c r="B652" s="62" t="str">
        <f t="shared" si="8"/>
        <v>2024-069-0</v>
      </c>
      <c r="C652" s="63">
        <v>2024</v>
      </c>
      <c r="D652" s="63" t="s">
        <v>100</v>
      </c>
      <c r="E652" s="63">
        <v>0</v>
      </c>
      <c r="F652" s="64" t="s">
        <v>139</v>
      </c>
      <c r="G652" s="63"/>
      <c r="H652" s="65"/>
      <c r="I652" s="66"/>
    </row>
    <row r="653" spans="2:9" x14ac:dyDescent="0.2">
      <c r="B653" s="51" t="str">
        <f t="shared" si="8"/>
        <v>2024-069-1</v>
      </c>
      <c r="C653" s="52">
        <v>2024</v>
      </c>
      <c r="D653" s="52" t="s">
        <v>100</v>
      </c>
      <c r="E653" s="52">
        <v>1</v>
      </c>
      <c r="F653" s="54" t="s">
        <v>492</v>
      </c>
      <c r="G653" s="52"/>
      <c r="H653" s="55"/>
      <c r="I653" s="56"/>
    </row>
    <row r="654" spans="2:9" ht="27" x14ac:dyDescent="0.2">
      <c r="B654" s="51" t="str">
        <f t="shared" si="8"/>
        <v>2024-069-2</v>
      </c>
      <c r="C654" s="52">
        <v>2024</v>
      </c>
      <c r="D654" s="52" t="s">
        <v>100</v>
      </c>
      <c r="E654" s="52">
        <v>2</v>
      </c>
      <c r="F654" s="54" t="s">
        <v>887</v>
      </c>
      <c r="G654" s="52"/>
      <c r="H654" s="55"/>
      <c r="I654" s="56"/>
    </row>
    <row r="655" spans="2:9" ht="27" x14ac:dyDescent="0.2">
      <c r="B655" s="51" t="str">
        <f t="shared" si="8"/>
        <v>2024-069-3</v>
      </c>
      <c r="C655" s="52">
        <v>2024</v>
      </c>
      <c r="D655" s="52" t="s">
        <v>100</v>
      </c>
      <c r="E655" s="52">
        <v>3</v>
      </c>
      <c r="F655" s="54" t="s">
        <v>1277</v>
      </c>
      <c r="G655" s="52" t="s">
        <v>3391</v>
      </c>
      <c r="H655" s="55"/>
      <c r="I655" s="56"/>
    </row>
    <row r="656" spans="2:9" ht="27" x14ac:dyDescent="0.2">
      <c r="B656" s="51" t="str">
        <f t="shared" si="8"/>
        <v>2024-069-4</v>
      </c>
      <c r="C656" s="52">
        <v>2024</v>
      </c>
      <c r="D656" s="52" t="s">
        <v>100</v>
      </c>
      <c r="E656" s="52">
        <v>4</v>
      </c>
      <c r="F656" s="54" t="s">
        <v>1654</v>
      </c>
      <c r="G656" s="52"/>
      <c r="H656" s="55"/>
      <c r="I656" s="56"/>
    </row>
    <row r="657" spans="2:9" x14ac:dyDescent="0.2">
      <c r="B657" s="57" t="str">
        <f t="shared" si="8"/>
        <v>2024-069-5</v>
      </c>
      <c r="C657" s="58">
        <v>2024</v>
      </c>
      <c r="D657" s="58" t="s">
        <v>100</v>
      </c>
      <c r="E657" s="58">
        <v>5</v>
      </c>
      <c r="F657" s="59" t="s">
        <v>2017</v>
      </c>
      <c r="G657" s="58"/>
      <c r="H657" s="60"/>
      <c r="I657" s="61"/>
    </row>
    <row r="658" spans="2:9" x14ac:dyDescent="0.2">
      <c r="B658" s="62" t="str">
        <f t="shared" si="8"/>
        <v>2024-070-0</v>
      </c>
      <c r="C658" s="63">
        <v>2024</v>
      </c>
      <c r="D658" s="63" t="s">
        <v>101</v>
      </c>
      <c r="E658" s="63">
        <v>0</v>
      </c>
      <c r="F658" s="64" t="s">
        <v>140</v>
      </c>
      <c r="G658" s="63"/>
      <c r="H658" s="65"/>
      <c r="I658" s="66"/>
    </row>
    <row r="659" spans="2:9" ht="27" x14ac:dyDescent="0.2">
      <c r="B659" s="51" t="str">
        <f t="shared" si="8"/>
        <v>2024-070-1</v>
      </c>
      <c r="C659" s="52">
        <v>2024</v>
      </c>
      <c r="D659" s="52" t="s">
        <v>101</v>
      </c>
      <c r="E659" s="52">
        <v>1</v>
      </c>
      <c r="F659" s="54" t="s">
        <v>493</v>
      </c>
      <c r="G659" s="52"/>
      <c r="H659" s="55"/>
      <c r="I659" s="56"/>
    </row>
    <row r="660" spans="2:9" x14ac:dyDescent="0.2">
      <c r="B660" s="51" t="str">
        <f t="shared" si="8"/>
        <v>2024-070-2</v>
      </c>
      <c r="C660" s="52">
        <v>2024</v>
      </c>
      <c r="D660" s="52" t="s">
        <v>101</v>
      </c>
      <c r="E660" s="52">
        <v>2</v>
      </c>
      <c r="F660" s="54" t="s">
        <v>888</v>
      </c>
      <c r="G660" s="52" t="s">
        <v>3391</v>
      </c>
      <c r="H660" s="55"/>
      <c r="I660" s="56"/>
    </row>
    <row r="661" spans="2:9" ht="27" x14ac:dyDescent="0.2">
      <c r="B661" s="51" t="str">
        <f t="shared" si="8"/>
        <v>2024-070-3</v>
      </c>
      <c r="C661" s="52">
        <v>2024</v>
      </c>
      <c r="D661" s="52" t="s">
        <v>101</v>
      </c>
      <c r="E661" s="52">
        <v>3</v>
      </c>
      <c r="F661" s="54" t="s">
        <v>1278</v>
      </c>
      <c r="G661" s="52"/>
      <c r="H661" s="55"/>
      <c r="I661" s="56"/>
    </row>
    <row r="662" spans="2:9" ht="27" x14ac:dyDescent="0.2">
      <c r="B662" s="51" t="str">
        <f t="shared" si="8"/>
        <v>2024-070-4</v>
      </c>
      <c r="C662" s="52">
        <v>2024</v>
      </c>
      <c r="D662" s="52" t="s">
        <v>101</v>
      </c>
      <c r="E662" s="52">
        <v>4</v>
      </c>
      <c r="F662" s="54" t="s">
        <v>1655</v>
      </c>
      <c r="G662" s="52"/>
      <c r="H662" s="55"/>
      <c r="I662" s="56"/>
    </row>
    <row r="663" spans="2:9" ht="27" x14ac:dyDescent="0.2">
      <c r="B663" s="57" t="str">
        <f t="shared" si="8"/>
        <v>2024-070-5</v>
      </c>
      <c r="C663" s="58">
        <v>2024</v>
      </c>
      <c r="D663" s="58" t="s">
        <v>101</v>
      </c>
      <c r="E663" s="58">
        <v>5</v>
      </c>
      <c r="F663" s="59" t="s">
        <v>2018</v>
      </c>
      <c r="G663" s="58"/>
      <c r="H663" s="60"/>
      <c r="I663" s="61"/>
    </row>
    <row r="664" spans="2:9" ht="67.5" x14ac:dyDescent="0.2">
      <c r="B664" s="62" t="str">
        <f t="shared" si="8"/>
        <v>2024-071-0</v>
      </c>
      <c r="C664" s="63">
        <v>2024</v>
      </c>
      <c r="D664" s="63" t="s">
        <v>102</v>
      </c>
      <c r="E664" s="63">
        <v>0</v>
      </c>
      <c r="F664" s="64" t="s">
        <v>141</v>
      </c>
      <c r="G664" s="63"/>
      <c r="H664" s="65"/>
      <c r="I664" s="66"/>
    </row>
    <row r="665" spans="2:9" x14ac:dyDescent="0.2">
      <c r="B665" s="51" t="str">
        <f t="shared" si="8"/>
        <v>2024-071-1</v>
      </c>
      <c r="C665" s="52">
        <v>2024</v>
      </c>
      <c r="D665" s="52" t="s">
        <v>102</v>
      </c>
      <c r="E665" s="52">
        <v>1</v>
      </c>
      <c r="F665" s="54" t="s">
        <v>21</v>
      </c>
      <c r="G665" s="52"/>
      <c r="H665" s="55"/>
      <c r="I665" s="56"/>
    </row>
    <row r="666" spans="2:9" x14ac:dyDescent="0.2">
      <c r="B666" s="51" t="str">
        <f t="shared" si="8"/>
        <v>2024-071-2</v>
      </c>
      <c r="C666" s="52">
        <v>2024</v>
      </c>
      <c r="D666" s="52" t="s">
        <v>102</v>
      </c>
      <c r="E666" s="52">
        <v>2</v>
      </c>
      <c r="F666" s="54" t="s">
        <v>20</v>
      </c>
      <c r="G666" s="52"/>
      <c r="H666" s="55"/>
      <c r="I666" s="56"/>
    </row>
    <row r="667" spans="2:9" x14ac:dyDescent="0.2">
      <c r="B667" s="51" t="str">
        <f t="shared" si="8"/>
        <v>2024-071-3</v>
      </c>
      <c r="C667" s="52">
        <v>2024</v>
      </c>
      <c r="D667" s="52" t="s">
        <v>102</v>
      </c>
      <c r="E667" s="52">
        <v>3</v>
      </c>
      <c r="F667" s="54" t="s">
        <v>39</v>
      </c>
      <c r="G667" s="52"/>
      <c r="H667" s="55"/>
      <c r="I667" s="56"/>
    </row>
    <row r="668" spans="2:9" x14ac:dyDescent="0.2">
      <c r="B668" s="51" t="str">
        <f t="shared" si="8"/>
        <v>2024-071-4</v>
      </c>
      <c r="C668" s="52">
        <v>2024</v>
      </c>
      <c r="D668" s="52" t="s">
        <v>102</v>
      </c>
      <c r="E668" s="52">
        <v>4</v>
      </c>
      <c r="F668" s="54" t="s">
        <v>44</v>
      </c>
      <c r="G668" s="52"/>
      <c r="H668" s="55"/>
      <c r="I668" s="56"/>
    </row>
    <row r="669" spans="2:9" x14ac:dyDescent="0.2">
      <c r="B669" s="57" t="str">
        <f t="shared" si="8"/>
        <v>2024-071-5</v>
      </c>
      <c r="C669" s="58">
        <v>2024</v>
      </c>
      <c r="D669" s="58" t="s">
        <v>102</v>
      </c>
      <c r="E669" s="58">
        <v>5</v>
      </c>
      <c r="F669" s="59" t="s">
        <v>49</v>
      </c>
      <c r="G669" s="58" t="s">
        <v>3391</v>
      </c>
      <c r="H669" s="60"/>
      <c r="I669" s="61"/>
    </row>
    <row r="670" spans="2:9" x14ac:dyDescent="0.2">
      <c r="B670" s="62" t="str">
        <f t="shared" si="8"/>
        <v>2024-072-0</v>
      </c>
      <c r="C670" s="63">
        <v>2024</v>
      </c>
      <c r="D670" s="63" t="s">
        <v>103</v>
      </c>
      <c r="E670" s="63">
        <v>0</v>
      </c>
      <c r="F670" s="64" t="s">
        <v>142</v>
      </c>
      <c r="G670" s="63"/>
      <c r="H670" s="65"/>
      <c r="I670" s="66"/>
    </row>
    <row r="671" spans="2:9" x14ac:dyDescent="0.2">
      <c r="B671" s="51" t="str">
        <f t="shared" si="8"/>
        <v>2024-072-1</v>
      </c>
      <c r="C671" s="52">
        <v>2024</v>
      </c>
      <c r="D671" s="52" t="s">
        <v>103</v>
      </c>
      <c r="E671" s="52">
        <v>1</v>
      </c>
      <c r="F671" s="54" t="s">
        <v>494</v>
      </c>
      <c r="G671" s="52" t="s">
        <v>3391</v>
      </c>
      <c r="H671" s="55"/>
      <c r="I671" s="56"/>
    </row>
    <row r="672" spans="2:9" x14ac:dyDescent="0.2">
      <c r="B672" s="51" t="str">
        <f t="shared" si="8"/>
        <v>2024-072-2</v>
      </c>
      <c r="C672" s="52">
        <v>2024</v>
      </c>
      <c r="D672" s="52" t="s">
        <v>103</v>
      </c>
      <c r="E672" s="52">
        <v>2</v>
      </c>
      <c r="F672" s="54" t="s">
        <v>889</v>
      </c>
      <c r="G672" s="52"/>
      <c r="H672" s="55"/>
      <c r="I672" s="56"/>
    </row>
    <row r="673" spans="2:9" ht="27" x14ac:dyDescent="0.2">
      <c r="B673" s="51" t="str">
        <f t="shared" si="8"/>
        <v>2024-072-3</v>
      </c>
      <c r="C673" s="52">
        <v>2024</v>
      </c>
      <c r="D673" s="52" t="s">
        <v>103</v>
      </c>
      <c r="E673" s="52">
        <v>3</v>
      </c>
      <c r="F673" s="54" t="s">
        <v>1279</v>
      </c>
      <c r="G673" s="52"/>
      <c r="H673" s="55"/>
      <c r="I673" s="56"/>
    </row>
    <row r="674" spans="2:9" x14ac:dyDescent="0.2">
      <c r="B674" s="51" t="str">
        <f t="shared" si="8"/>
        <v>2024-072-4</v>
      </c>
      <c r="C674" s="52">
        <v>2024</v>
      </c>
      <c r="D674" s="52" t="s">
        <v>103</v>
      </c>
      <c r="E674" s="52">
        <v>4</v>
      </c>
      <c r="F674" s="54" t="s">
        <v>1656</v>
      </c>
      <c r="G674" s="52"/>
      <c r="H674" s="55"/>
      <c r="I674" s="56"/>
    </row>
    <row r="675" spans="2:9" x14ac:dyDescent="0.2">
      <c r="B675" s="57" t="str">
        <f t="shared" si="8"/>
        <v>2024-072-5</v>
      </c>
      <c r="C675" s="58">
        <v>2024</v>
      </c>
      <c r="D675" s="58" t="s">
        <v>103</v>
      </c>
      <c r="E675" s="58">
        <v>5</v>
      </c>
      <c r="F675" s="59" t="s">
        <v>2019</v>
      </c>
      <c r="G675" s="58"/>
      <c r="H675" s="60"/>
      <c r="I675" s="61"/>
    </row>
    <row r="676" spans="2:9" x14ac:dyDescent="0.2">
      <c r="B676" s="62" t="str">
        <f t="shared" si="8"/>
        <v>2024-073-0</v>
      </c>
      <c r="C676" s="63">
        <v>2024</v>
      </c>
      <c r="D676" s="63" t="s">
        <v>104</v>
      </c>
      <c r="E676" s="63">
        <v>0</v>
      </c>
      <c r="F676" s="64" t="s">
        <v>143</v>
      </c>
      <c r="G676" s="63"/>
      <c r="H676" s="65"/>
      <c r="I676" s="66"/>
    </row>
    <row r="677" spans="2:9" x14ac:dyDescent="0.2">
      <c r="B677" s="51" t="str">
        <f t="shared" ref="B677:B740" si="9">C677&amp;"-"&amp;D677&amp;"-"&amp;E677</f>
        <v>2024-073-1</v>
      </c>
      <c r="C677" s="52">
        <v>2024</v>
      </c>
      <c r="D677" s="52" t="s">
        <v>104</v>
      </c>
      <c r="E677" s="52">
        <v>1</v>
      </c>
      <c r="F677" s="54" t="s">
        <v>495</v>
      </c>
      <c r="G677" s="52"/>
      <c r="H677" s="55"/>
      <c r="I677" s="56"/>
    </row>
    <row r="678" spans="2:9" x14ac:dyDescent="0.2">
      <c r="B678" s="51" t="str">
        <f t="shared" si="9"/>
        <v>2024-073-2</v>
      </c>
      <c r="C678" s="52">
        <v>2024</v>
      </c>
      <c r="D678" s="52" t="s">
        <v>104</v>
      </c>
      <c r="E678" s="52">
        <v>2</v>
      </c>
      <c r="F678" s="54" t="s">
        <v>890</v>
      </c>
      <c r="G678" s="52"/>
      <c r="H678" s="55"/>
      <c r="I678" s="56"/>
    </row>
    <row r="679" spans="2:9" x14ac:dyDescent="0.2">
      <c r="B679" s="51" t="str">
        <f t="shared" si="9"/>
        <v>2024-073-3</v>
      </c>
      <c r="C679" s="52">
        <v>2024</v>
      </c>
      <c r="D679" s="52" t="s">
        <v>104</v>
      </c>
      <c r="E679" s="52">
        <v>3</v>
      </c>
      <c r="F679" s="54" t="s">
        <v>1280</v>
      </c>
      <c r="G679" s="52" t="s">
        <v>3391</v>
      </c>
      <c r="H679" s="55"/>
      <c r="I679" s="56"/>
    </row>
    <row r="680" spans="2:9" x14ac:dyDescent="0.2">
      <c r="B680" s="51" t="str">
        <f t="shared" si="9"/>
        <v>2024-073-4</v>
      </c>
      <c r="C680" s="52">
        <v>2024</v>
      </c>
      <c r="D680" s="52" t="s">
        <v>104</v>
      </c>
      <c r="E680" s="52">
        <v>4</v>
      </c>
      <c r="F680" s="54" t="s">
        <v>1657</v>
      </c>
      <c r="G680" s="52"/>
      <c r="H680" s="55"/>
      <c r="I680" s="56"/>
    </row>
    <row r="681" spans="2:9" x14ac:dyDescent="0.2">
      <c r="B681" s="57" t="str">
        <f t="shared" si="9"/>
        <v>2024-073-5</v>
      </c>
      <c r="C681" s="58">
        <v>2024</v>
      </c>
      <c r="D681" s="58" t="s">
        <v>104</v>
      </c>
      <c r="E681" s="58">
        <v>5</v>
      </c>
      <c r="F681" s="59" t="s">
        <v>2020</v>
      </c>
      <c r="G681" s="58"/>
      <c r="H681" s="60"/>
      <c r="I681" s="61"/>
    </row>
    <row r="682" spans="2:9" x14ac:dyDescent="0.2">
      <c r="B682" s="62" t="str">
        <f t="shared" si="9"/>
        <v>2024-074-0</v>
      </c>
      <c r="C682" s="63">
        <v>2024</v>
      </c>
      <c r="D682" s="63" t="s">
        <v>105</v>
      </c>
      <c r="E682" s="63">
        <v>0</v>
      </c>
      <c r="F682" s="64" t="s">
        <v>144</v>
      </c>
      <c r="G682" s="63"/>
      <c r="H682" s="65"/>
      <c r="I682" s="66"/>
    </row>
    <row r="683" spans="2:9" x14ac:dyDescent="0.2">
      <c r="B683" s="51" t="str">
        <f t="shared" si="9"/>
        <v>2024-074-1</v>
      </c>
      <c r="C683" s="52">
        <v>2024</v>
      </c>
      <c r="D683" s="52" t="s">
        <v>105</v>
      </c>
      <c r="E683" s="52">
        <v>1</v>
      </c>
      <c r="F683" s="54" t="s">
        <v>496</v>
      </c>
      <c r="G683" s="52"/>
      <c r="H683" s="55"/>
      <c r="I683" s="56"/>
    </row>
    <row r="684" spans="2:9" x14ac:dyDescent="0.2">
      <c r="B684" s="51" t="str">
        <f t="shared" si="9"/>
        <v>2024-074-2</v>
      </c>
      <c r="C684" s="52">
        <v>2024</v>
      </c>
      <c r="D684" s="52" t="s">
        <v>105</v>
      </c>
      <c r="E684" s="52">
        <v>2</v>
      </c>
      <c r="F684" s="54" t="s">
        <v>891</v>
      </c>
      <c r="G684" s="52" t="s">
        <v>3391</v>
      </c>
      <c r="H684" s="55"/>
      <c r="I684" s="56"/>
    </row>
    <row r="685" spans="2:9" x14ac:dyDescent="0.2">
      <c r="B685" s="51" t="str">
        <f t="shared" si="9"/>
        <v>2024-074-3</v>
      </c>
      <c r="C685" s="52">
        <v>2024</v>
      </c>
      <c r="D685" s="52" t="s">
        <v>105</v>
      </c>
      <c r="E685" s="52">
        <v>3</v>
      </c>
      <c r="F685" s="54" t="s">
        <v>1281</v>
      </c>
      <c r="G685" s="52"/>
      <c r="H685" s="55"/>
      <c r="I685" s="56"/>
    </row>
    <row r="686" spans="2:9" x14ac:dyDescent="0.2">
      <c r="B686" s="51" t="str">
        <f t="shared" si="9"/>
        <v>2024-074-4</v>
      </c>
      <c r="C686" s="52">
        <v>2024</v>
      </c>
      <c r="D686" s="52" t="s">
        <v>105</v>
      </c>
      <c r="E686" s="52">
        <v>4</v>
      </c>
      <c r="F686" s="54" t="s">
        <v>1658</v>
      </c>
      <c r="G686" s="52"/>
      <c r="H686" s="55"/>
      <c r="I686" s="56"/>
    </row>
    <row r="687" spans="2:9" ht="27" x14ac:dyDescent="0.2">
      <c r="B687" s="57" t="str">
        <f t="shared" si="9"/>
        <v>2024-074-5</v>
      </c>
      <c r="C687" s="58">
        <v>2024</v>
      </c>
      <c r="D687" s="58" t="s">
        <v>105</v>
      </c>
      <c r="E687" s="58">
        <v>5</v>
      </c>
      <c r="F687" s="59" t="s">
        <v>2021</v>
      </c>
      <c r="G687" s="58"/>
      <c r="H687" s="60"/>
      <c r="I687" s="61"/>
    </row>
    <row r="688" spans="2:9" x14ac:dyDescent="0.2">
      <c r="B688" s="62" t="str">
        <f t="shared" si="9"/>
        <v>2024-075-0</v>
      </c>
      <c r="C688" s="63">
        <v>2024</v>
      </c>
      <c r="D688" s="63" t="s">
        <v>106</v>
      </c>
      <c r="E688" s="63">
        <v>0</v>
      </c>
      <c r="F688" s="64" t="s">
        <v>145</v>
      </c>
      <c r="G688" s="63"/>
      <c r="H688" s="65"/>
      <c r="I688" s="66"/>
    </row>
    <row r="689" spans="2:9" x14ac:dyDescent="0.2">
      <c r="B689" s="51" t="str">
        <f t="shared" si="9"/>
        <v>2024-075-1</v>
      </c>
      <c r="C689" s="52">
        <v>2024</v>
      </c>
      <c r="D689" s="52" t="s">
        <v>106</v>
      </c>
      <c r="E689" s="52">
        <v>1</v>
      </c>
      <c r="F689" s="54" t="s">
        <v>497</v>
      </c>
      <c r="G689" s="52"/>
      <c r="H689" s="55"/>
      <c r="I689" s="56"/>
    </row>
    <row r="690" spans="2:9" ht="27" x14ac:dyDescent="0.2">
      <c r="B690" s="51" t="str">
        <f t="shared" si="9"/>
        <v>2024-075-2</v>
      </c>
      <c r="C690" s="52">
        <v>2024</v>
      </c>
      <c r="D690" s="52" t="s">
        <v>106</v>
      </c>
      <c r="E690" s="52">
        <v>2</v>
      </c>
      <c r="F690" s="54" t="s">
        <v>892</v>
      </c>
      <c r="G690" s="52" t="s">
        <v>3391</v>
      </c>
      <c r="H690" s="55"/>
      <c r="I690" s="56"/>
    </row>
    <row r="691" spans="2:9" x14ac:dyDescent="0.2">
      <c r="B691" s="51" t="str">
        <f t="shared" si="9"/>
        <v>2024-075-3</v>
      </c>
      <c r="C691" s="52">
        <v>2024</v>
      </c>
      <c r="D691" s="52" t="s">
        <v>106</v>
      </c>
      <c r="E691" s="52">
        <v>3</v>
      </c>
      <c r="F691" s="54" t="s">
        <v>1282</v>
      </c>
      <c r="G691" s="52"/>
      <c r="H691" s="55"/>
      <c r="I691" s="56"/>
    </row>
    <row r="692" spans="2:9" x14ac:dyDescent="0.2">
      <c r="B692" s="51" t="str">
        <f t="shared" si="9"/>
        <v>2024-075-4</v>
      </c>
      <c r="C692" s="52">
        <v>2024</v>
      </c>
      <c r="D692" s="52" t="s">
        <v>106</v>
      </c>
      <c r="E692" s="52">
        <v>4</v>
      </c>
      <c r="F692" s="54" t="s">
        <v>1659</v>
      </c>
      <c r="G692" s="52"/>
      <c r="H692" s="55"/>
      <c r="I692" s="56"/>
    </row>
    <row r="693" spans="2:9" ht="27" x14ac:dyDescent="0.2">
      <c r="B693" s="57" t="str">
        <f t="shared" si="9"/>
        <v>2024-075-5</v>
      </c>
      <c r="C693" s="58">
        <v>2024</v>
      </c>
      <c r="D693" s="58" t="s">
        <v>106</v>
      </c>
      <c r="E693" s="58">
        <v>5</v>
      </c>
      <c r="F693" s="59" t="s">
        <v>2022</v>
      </c>
      <c r="G693" s="58"/>
      <c r="H693" s="60"/>
      <c r="I693" s="61"/>
    </row>
    <row r="694" spans="2:9" x14ac:dyDescent="0.2">
      <c r="B694" s="62" t="str">
        <f t="shared" si="9"/>
        <v>2024-076-0</v>
      </c>
      <c r="C694" s="63">
        <v>2024</v>
      </c>
      <c r="D694" s="63" t="s">
        <v>107</v>
      </c>
      <c r="E694" s="63">
        <v>0</v>
      </c>
      <c r="F694" s="64" t="s">
        <v>146</v>
      </c>
      <c r="G694" s="63"/>
      <c r="H694" s="65"/>
      <c r="I694" s="66"/>
    </row>
    <row r="695" spans="2:9" x14ac:dyDescent="0.2">
      <c r="B695" s="51" t="str">
        <f t="shared" si="9"/>
        <v>2024-076-1</v>
      </c>
      <c r="C695" s="52">
        <v>2024</v>
      </c>
      <c r="D695" s="52" t="s">
        <v>107</v>
      </c>
      <c r="E695" s="52">
        <v>1</v>
      </c>
      <c r="F695" s="54" t="s">
        <v>498</v>
      </c>
      <c r="G695" s="52" t="s">
        <v>3391</v>
      </c>
      <c r="H695" s="55"/>
      <c r="I695" s="56"/>
    </row>
    <row r="696" spans="2:9" x14ac:dyDescent="0.2">
      <c r="B696" s="51" t="str">
        <f t="shared" si="9"/>
        <v>2024-076-2</v>
      </c>
      <c r="C696" s="52">
        <v>2024</v>
      </c>
      <c r="D696" s="52" t="s">
        <v>107</v>
      </c>
      <c r="E696" s="52">
        <v>2</v>
      </c>
      <c r="F696" s="54" t="s">
        <v>893</v>
      </c>
      <c r="G696" s="52"/>
      <c r="H696" s="55"/>
      <c r="I696" s="56"/>
    </row>
    <row r="697" spans="2:9" ht="27" x14ac:dyDescent="0.2">
      <c r="B697" s="51" t="str">
        <f t="shared" si="9"/>
        <v>2024-076-3</v>
      </c>
      <c r="C697" s="52">
        <v>2024</v>
      </c>
      <c r="D697" s="52" t="s">
        <v>107</v>
      </c>
      <c r="E697" s="52">
        <v>3</v>
      </c>
      <c r="F697" s="54" t="s">
        <v>1283</v>
      </c>
      <c r="G697" s="52"/>
      <c r="H697" s="55"/>
      <c r="I697" s="56"/>
    </row>
    <row r="698" spans="2:9" ht="27" x14ac:dyDescent="0.2">
      <c r="B698" s="51" t="str">
        <f t="shared" si="9"/>
        <v>2024-076-4</v>
      </c>
      <c r="C698" s="52">
        <v>2024</v>
      </c>
      <c r="D698" s="52" t="s">
        <v>107</v>
      </c>
      <c r="E698" s="52">
        <v>4</v>
      </c>
      <c r="F698" s="54" t="s">
        <v>1660</v>
      </c>
      <c r="G698" s="52"/>
      <c r="H698" s="55"/>
      <c r="I698" s="56"/>
    </row>
    <row r="699" spans="2:9" ht="27" x14ac:dyDescent="0.2">
      <c r="B699" s="57" t="str">
        <f t="shared" si="9"/>
        <v>2024-076-5</v>
      </c>
      <c r="C699" s="58">
        <v>2024</v>
      </c>
      <c r="D699" s="58" t="s">
        <v>107</v>
      </c>
      <c r="E699" s="58">
        <v>5</v>
      </c>
      <c r="F699" s="59" t="s">
        <v>2023</v>
      </c>
      <c r="G699" s="58"/>
      <c r="H699" s="60"/>
      <c r="I699" s="61"/>
    </row>
    <row r="700" spans="2:9" x14ac:dyDescent="0.2">
      <c r="B700" s="62" t="str">
        <f t="shared" si="9"/>
        <v>2024-077-0</v>
      </c>
      <c r="C700" s="63">
        <v>2024</v>
      </c>
      <c r="D700" s="63" t="s">
        <v>108</v>
      </c>
      <c r="E700" s="63">
        <v>0</v>
      </c>
      <c r="F700" s="64" t="s">
        <v>147</v>
      </c>
      <c r="G700" s="63"/>
      <c r="H700" s="65"/>
      <c r="I700" s="66"/>
    </row>
    <row r="701" spans="2:9" x14ac:dyDescent="0.2">
      <c r="B701" s="51" t="str">
        <f t="shared" si="9"/>
        <v>2024-077-1</v>
      </c>
      <c r="C701" s="52">
        <v>2024</v>
      </c>
      <c r="D701" s="52" t="s">
        <v>108</v>
      </c>
      <c r="E701" s="52">
        <v>1</v>
      </c>
      <c r="F701" s="54" t="s">
        <v>499</v>
      </c>
      <c r="G701" s="52"/>
      <c r="H701" s="55"/>
      <c r="I701" s="56"/>
    </row>
    <row r="702" spans="2:9" x14ac:dyDescent="0.2">
      <c r="B702" s="51" t="str">
        <f t="shared" si="9"/>
        <v>2024-077-2</v>
      </c>
      <c r="C702" s="52">
        <v>2024</v>
      </c>
      <c r="D702" s="52" t="s">
        <v>108</v>
      </c>
      <c r="E702" s="52">
        <v>2</v>
      </c>
      <c r="F702" s="54" t="s">
        <v>894</v>
      </c>
      <c r="G702" s="52"/>
      <c r="H702" s="55"/>
      <c r="I702" s="56"/>
    </row>
    <row r="703" spans="2:9" ht="27" x14ac:dyDescent="0.2">
      <c r="B703" s="51" t="str">
        <f t="shared" si="9"/>
        <v>2024-077-3</v>
      </c>
      <c r="C703" s="52">
        <v>2024</v>
      </c>
      <c r="D703" s="52" t="s">
        <v>108</v>
      </c>
      <c r="E703" s="52">
        <v>3</v>
      </c>
      <c r="F703" s="54" t="s">
        <v>1284</v>
      </c>
      <c r="G703" s="52"/>
      <c r="H703" s="55"/>
      <c r="I703" s="56"/>
    </row>
    <row r="704" spans="2:9" x14ac:dyDescent="0.2">
      <c r="B704" s="51" t="str">
        <f t="shared" si="9"/>
        <v>2024-077-4</v>
      </c>
      <c r="C704" s="52">
        <v>2024</v>
      </c>
      <c r="D704" s="52" t="s">
        <v>108</v>
      </c>
      <c r="E704" s="52">
        <v>4</v>
      </c>
      <c r="F704" s="54" t="s">
        <v>1661</v>
      </c>
      <c r="G704" s="52" t="s">
        <v>3391</v>
      </c>
      <c r="H704" s="55"/>
      <c r="I704" s="56"/>
    </row>
    <row r="705" spans="2:9" x14ac:dyDescent="0.2">
      <c r="B705" s="57" t="str">
        <f t="shared" si="9"/>
        <v>2024-077-5</v>
      </c>
      <c r="C705" s="58">
        <v>2024</v>
      </c>
      <c r="D705" s="58" t="s">
        <v>108</v>
      </c>
      <c r="E705" s="58">
        <v>5</v>
      </c>
      <c r="F705" s="59" t="s">
        <v>2024</v>
      </c>
      <c r="G705" s="58"/>
      <c r="H705" s="60"/>
      <c r="I705" s="61"/>
    </row>
    <row r="706" spans="2:9" x14ac:dyDescent="0.2">
      <c r="B706" s="62" t="str">
        <f t="shared" si="9"/>
        <v>2024-078-0</v>
      </c>
      <c r="C706" s="63">
        <v>2024</v>
      </c>
      <c r="D706" s="63" t="s">
        <v>109</v>
      </c>
      <c r="E706" s="63">
        <v>0</v>
      </c>
      <c r="F706" s="64" t="s">
        <v>148</v>
      </c>
      <c r="G706" s="63"/>
      <c r="H706" s="65"/>
      <c r="I706" s="66"/>
    </row>
    <row r="707" spans="2:9" x14ac:dyDescent="0.2">
      <c r="B707" s="51" t="str">
        <f t="shared" si="9"/>
        <v>2024-078-1</v>
      </c>
      <c r="C707" s="52">
        <v>2024</v>
      </c>
      <c r="D707" s="52" t="s">
        <v>109</v>
      </c>
      <c r="E707" s="52">
        <v>1</v>
      </c>
      <c r="F707" s="54" t="s">
        <v>500</v>
      </c>
      <c r="G707" s="52"/>
      <c r="H707" s="55"/>
      <c r="I707" s="56"/>
    </row>
    <row r="708" spans="2:9" x14ac:dyDescent="0.2">
      <c r="B708" s="51" t="str">
        <f t="shared" si="9"/>
        <v>2024-078-2</v>
      </c>
      <c r="C708" s="52">
        <v>2024</v>
      </c>
      <c r="D708" s="52" t="s">
        <v>109</v>
      </c>
      <c r="E708" s="52">
        <v>2</v>
      </c>
      <c r="F708" s="54" t="s">
        <v>895</v>
      </c>
      <c r="G708" s="52" t="s">
        <v>3391</v>
      </c>
      <c r="H708" s="55"/>
      <c r="I708" s="56"/>
    </row>
    <row r="709" spans="2:9" x14ac:dyDescent="0.2">
      <c r="B709" s="51" t="str">
        <f t="shared" si="9"/>
        <v>2024-078-3</v>
      </c>
      <c r="C709" s="52">
        <v>2024</v>
      </c>
      <c r="D709" s="52" t="s">
        <v>109</v>
      </c>
      <c r="E709" s="52">
        <v>3</v>
      </c>
      <c r="F709" s="54" t="s">
        <v>1285</v>
      </c>
      <c r="G709" s="52"/>
      <c r="H709" s="55"/>
      <c r="I709" s="56"/>
    </row>
    <row r="710" spans="2:9" x14ac:dyDescent="0.2">
      <c r="B710" s="51" t="str">
        <f t="shared" si="9"/>
        <v>2024-078-4</v>
      </c>
      <c r="C710" s="52">
        <v>2024</v>
      </c>
      <c r="D710" s="52" t="s">
        <v>109</v>
      </c>
      <c r="E710" s="52">
        <v>4</v>
      </c>
      <c r="F710" s="54" t="s">
        <v>1662</v>
      </c>
      <c r="G710" s="52"/>
      <c r="H710" s="55"/>
      <c r="I710" s="56"/>
    </row>
    <row r="711" spans="2:9" x14ac:dyDescent="0.2">
      <c r="B711" s="57" t="str">
        <f t="shared" si="9"/>
        <v>2024-078-5</v>
      </c>
      <c r="C711" s="58">
        <v>2024</v>
      </c>
      <c r="D711" s="58" t="s">
        <v>109</v>
      </c>
      <c r="E711" s="58">
        <v>5</v>
      </c>
      <c r="F711" s="59" t="s">
        <v>2025</v>
      </c>
      <c r="G711" s="58"/>
      <c r="H711" s="60"/>
      <c r="I711" s="61"/>
    </row>
    <row r="712" spans="2:9" x14ac:dyDescent="0.2">
      <c r="B712" s="62" t="str">
        <f t="shared" si="9"/>
        <v>2024-079-0</v>
      </c>
      <c r="C712" s="63">
        <v>2024</v>
      </c>
      <c r="D712" s="63" t="s">
        <v>110</v>
      </c>
      <c r="E712" s="63">
        <v>0</v>
      </c>
      <c r="F712" s="64" t="s">
        <v>149</v>
      </c>
      <c r="G712" s="63"/>
      <c r="H712" s="65"/>
      <c r="I712" s="66"/>
    </row>
    <row r="713" spans="2:9" x14ac:dyDescent="0.2">
      <c r="B713" s="51" t="str">
        <f t="shared" si="9"/>
        <v>2024-079-1</v>
      </c>
      <c r="C713" s="52">
        <v>2024</v>
      </c>
      <c r="D713" s="52" t="s">
        <v>110</v>
      </c>
      <c r="E713" s="52">
        <v>1</v>
      </c>
      <c r="F713" s="54" t="s">
        <v>501</v>
      </c>
      <c r="G713" s="52"/>
      <c r="H713" s="55"/>
      <c r="I713" s="56"/>
    </row>
    <row r="714" spans="2:9" ht="27" x14ac:dyDescent="0.2">
      <c r="B714" s="51" t="str">
        <f t="shared" si="9"/>
        <v>2024-079-2</v>
      </c>
      <c r="C714" s="52">
        <v>2024</v>
      </c>
      <c r="D714" s="52" t="s">
        <v>110</v>
      </c>
      <c r="E714" s="52">
        <v>2</v>
      </c>
      <c r="F714" s="54" t="s">
        <v>2816</v>
      </c>
      <c r="G714" s="52"/>
      <c r="H714" s="55"/>
      <c r="I714" s="56"/>
    </row>
    <row r="715" spans="2:9" x14ac:dyDescent="0.2">
      <c r="B715" s="51" t="str">
        <f t="shared" si="9"/>
        <v>2024-079-3</v>
      </c>
      <c r="C715" s="52">
        <v>2024</v>
      </c>
      <c r="D715" s="52" t="s">
        <v>110</v>
      </c>
      <c r="E715" s="52">
        <v>3</v>
      </c>
      <c r="F715" s="54" t="s">
        <v>1286</v>
      </c>
      <c r="G715" s="52"/>
      <c r="H715" s="55"/>
      <c r="I715" s="56"/>
    </row>
    <row r="716" spans="2:9" x14ac:dyDescent="0.2">
      <c r="B716" s="51" t="str">
        <f t="shared" si="9"/>
        <v>2024-079-4</v>
      </c>
      <c r="C716" s="52">
        <v>2024</v>
      </c>
      <c r="D716" s="52" t="s">
        <v>110</v>
      </c>
      <c r="E716" s="52">
        <v>4</v>
      </c>
      <c r="F716" s="54" t="s">
        <v>1663</v>
      </c>
      <c r="G716" s="52"/>
      <c r="H716" s="55"/>
      <c r="I716" s="56"/>
    </row>
    <row r="717" spans="2:9" ht="27" x14ac:dyDescent="0.2">
      <c r="B717" s="57" t="str">
        <f t="shared" si="9"/>
        <v>2024-079-5</v>
      </c>
      <c r="C717" s="58">
        <v>2024</v>
      </c>
      <c r="D717" s="58" t="s">
        <v>110</v>
      </c>
      <c r="E717" s="58">
        <v>5</v>
      </c>
      <c r="F717" s="59" t="s">
        <v>2026</v>
      </c>
      <c r="G717" s="58" t="s">
        <v>3391</v>
      </c>
      <c r="H717" s="60"/>
      <c r="I717" s="61"/>
    </row>
    <row r="718" spans="2:9" x14ac:dyDescent="0.2">
      <c r="B718" s="62" t="str">
        <f t="shared" si="9"/>
        <v>2024-080-0</v>
      </c>
      <c r="C718" s="63">
        <v>2024</v>
      </c>
      <c r="D718" s="63" t="s">
        <v>111</v>
      </c>
      <c r="E718" s="63">
        <v>0</v>
      </c>
      <c r="F718" s="64" t="s">
        <v>150</v>
      </c>
      <c r="G718" s="63"/>
      <c r="H718" s="65"/>
      <c r="I718" s="66"/>
    </row>
    <row r="719" spans="2:9" ht="27" x14ac:dyDescent="0.2">
      <c r="B719" s="51" t="str">
        <f t="shared" si="9"/>
        <v>2024-080-1</v>
      </c>
      <c r="C719" s="52">
        <v>2024</v>
      </c>
      <c r="D719" s="52" t="s">
        <v>111</v>
      </c>
      <c r="E719" s="52">
        <v>1</v>
      </c>
      <c r="F719" s="54" t="s">
        <v>502</v>
      </c>
      <c r="G719" s="52" t="s">
        <v>3391</v>
      </c>
      <c r="H719" s="55"/>
      <c r="I719" s="56"/>
    </row>
    <row r="720" spans="2:9" x14ac:dyDescent="0.2">
      <c r="B720" s="51" t="str">
        <f t="shared" si="9"/>
        <v>2024-080-2</v>
      </c>
      <c r="C720" s="52">
        <v>2024</v>
      </c>
      <c r="D720" s="52" t="s">
        <v>111</v>
      </c>
      <c r="E720" s="52">
        <v>2</v>
      </c>
      <c r="F720" s="54" t="s">
        <v>896</v>
      </c>
      <c r="G720" s="52"/>
      <c r="H720" s="55"/>
      <c r="I720" s="56"/>
    </row>
    <row r="721" spans="2:9" ht="27" x14ac:dyDescent="0.2">
      <c r="B721" s="51" t="str">
        <f t="shared" si="9"/>
        <v>2024-080-3</v>
      </c>
      <c r="C721" s="52">
        <v>2024</v>
      </c>
      <c r="D721" s="52" t="s">
        <v>111</v>
      </c>
      <c r="E721" s="52">
        <v>3</v>
      </c>
      <c r="F721" s="54" t="s">
        <v>1287</v>
      </c>
      <c r="G721" s="52"/>
      <c r="H721" s="55"/>
      <c r="I721" s="56"/>
    </row>
    <row r="722" spans="2:9" x14ac:dyDescent="0.2">
      <c r="B722" s="51" t="str">
        <f t="shared" si="9"/>
        <v>2024-080-4</v>
      </c>
      <c r="C722" s="52">
        <v>2024</v>
      </c>
      <c r="D722" s="52" t="s">
        <v>111</v>
      </c>
      <c r="E722" s="52">
        <v>4</v>
      </c>
      <c r="F722" s="54" t="s">
        <v>1664</v>
      </c>
      <c r="G722" s="52"/>
      <c r="H722" s="55"/>
      <c r="I722" s="56"/>
    </row>
    <row r="723" spans="2:9" ht="14.25" thickBot="1" x14ac:dyDescent="0.25">
      <c r="B723" s="67" t="str">
        <f t="shared" si="9"/>
        <v>2024-080-5</v>
      </c>
      <c r="C723" s="68">
        <v>2024</v>
      </c>
      <c r="D723" s="68" t="s">
        <v>111</v>
      </c>
      <c r="E723" s="68">
        <v>5</v>
      </c>
      <c r="F723" s="69" t="s">
        <v>2027</v>
      </c>
      <c r="G723" s="68"/>
      <c r="H723" s="70"/>
      <c r="I723" s="71"/>
    </row>
    <row r="724" spans="2:9" x14ac:dyDescent="0.2">
      <c r="B724" s="45" t="str">
        <f t="shared" si="9"/>
        <v>2023-026-0</v>
      </c>
      <c r="C724" s="46">
        <v>2023</v>
      </c>
      <c r="D724" s="46" t="s">
        <v>4</v>
      </c>
      <c r="E724" s="47">
        <v>0</v>
      </c>
      <c r="F724" s="48" t="s">
        <v>151</v>
      </c>
      <c r="G724" s="46"/>
      <c r="H724" s="49"/>
      <c r="I724" s="50"/>
    </row>
    <row r="725" spans="2:9" ht="27" x14ac:dyDescent="0.2">
      <c r="B725" s="51" t="str">
        <f t="shared" si="9"/>
        <v>2023-026-1</v>
      </c>
      <c r="C725" s="52">
        <v>2023</v>
      </c>
      <c r="D725" s="52" t="s">
        <v>4</v>
      </c>
      <c r="E725" s="52">
        <v>1</v>
      </c>
      <c r="F725" s="54" t="s">
        <v>503</v>
      </c>
      <c r="G725" s="52" t="s">
        <v>3391</v>
      </c>
      <c r="H725" s="55"/>
      <c r="I725" s="56"/>
    </row>
    <row r="726" spans="2:9" ht="27" x14ac:dyDescent="0.2">
      <c r="B726" s="51" t="str">
        <f t="shared" si="9"/>
        <v>2023-026-2</v>
      </c>
      <c r="C726" s="52">
        <v>2023</v>
      </c>
      <c r="D726" s="52" t="s">
        <v>4</v>
      </c>
      <c r="E726" s="52">
        <v>2</v>
      </c>
      <c r="F726" s="54" t="s">
        <v>897</v>
      </c>
      <c r="G726" s="52"/>
      <c r="H726" s="55"/>
      <c r="I726" s="56"/>
    </row>
    <row r="727" spans="2:9" x14ac:dyDescent="0.2">
      <c r="B727" s="51" t="str">
        <f t="shared" si="9"/>
        <v>2023-026-3</v>
      </c>
      <c r="C727" s="52">
        <v>2023</v>
      </c>
      <c r="D727" s="52" t="s">
        <v>4</v>
      </c>
      <c r="E727" s="52">
        <v>3</v>
      </c>
      <c r="F727" s="54" t="s">
        <v>867</v>
      </c>
      <c r="G727" s="52"/>
      <c r="H727" s="55"/>
      <c r="I727" s="56"/>
    </row>
    <row r="728" spans="2:9" ht="27" x14ac:dyDescent="0.2">
      <c r="B728" s="51" t="str">
        <f t="shared" si="9"/>
        <v>2023-026-4</v>
      </c>
      <c r="C728" s="52">
        <v>2023</v>
      </c>
      <c r="D728" s="52" t="s">
        <v>4</v>
      </c>
      <c r="E728" s="52">
        <v>4</v>
      </c>
      <c r="F728" s="54" t="s">
        <v>1256</v>
      </c>
      <c r="G728" s="52"/>
      <c r="H728" s="55"/>
      <c r="I728" s="56"/>
    </row>
    <row r="729" spans="2:9" ht="27" x14ac:dyDescent="0.2">
      <c r="B729" s="57" t="str">
        <f t="shared" si="9"/>
        <v>2023-026-5</v>
      </c>
      <c r="C729" s="58">
        <v>2023</v>
      </c>
      <c r="D729" s="58" t="s">
        <v>4</v>
      </c>
      <c r="E729" s="58">
        <v>5</v>
      </c>
      <c r="F729" s="59" t="s">
        <v>2028</v>
      </c>
      <c r="G729" s="58"/>
      <c r="H729" s="60"/>
      <c r="I729" s="61"/>
    </row>
    <row r="730" spans="2:9" ht="67.5" x14ac:dyDescent="0.2">
      <c r="B730" s="62" t="str">
        <f t="shared" si="9"/>
        <v>2023-027-0</v>
      </c>
      <c r="C730" s="63">
        <v>2023</v>
      </c>
      <c r="D730" s="63" t="s">
        <v>5</v>
      </c>
      <c r="E730" s="63">
        <v>0</v>
      </c>
      <c r="F730" s="64" t="s">
        <v>152</v>
      </c>
      <c r="G730" s="63"/>
      <c r="H730" s="65"/>
      <c r="I730" s="66"/>
    </row>
    <row r="731" spans="2:9" x14ac:dyDescent="0.2">
      <c r="B731" s="51" t="str">
        <f t="shared" si="9"/>
        <v>2023-027-1</v>
      </c>
      <c r="C731" s="52">
        <v>2023</v>
      </c>
      <c r="D731" s="52" t="s">
        <v>5</v>
      </c>
      <c r="E731" s="52">
        <v>1</v>
      </c>
      <c r="F731" s="54" t="s">
        <v>475</v>
      </c>
      <c r="G731" s="52"/>
      <c r="H731" s="55"/>
      <c r="I731" s="56"/>
    </row>
    <row r="732" spans="2:9" x14ac:dyDescent="0.2">
      <c r="B732" s="51" t="str">
        <f t="shared" si="9"/>
        <v>2023-027-2</v>
      </c>
      <c r="C732" s="52">
        <v>2023</v>
      </c>
      <c r="D732" s="52" t="s">
        <v>5</v>
      </c>
      <c r="E732" s="52">
        <v>2</v>
      </c>
      <c r="F732" s="54" t="s">
        <v>24</v>
      </c>
      <c r="G732" s="52"/>
      <c r="H732" s="55"/>
      <c r="I732" s="56"/>
    </row>
    <row r="733" spans="2:9" x14ac:dyDescent="0.2">
      <c r="B733" s="51" t="str">
        <f t="shared" si="9"/>
        <v>2023-027-3</v>
      </c>
      <c r="C733" s="52">
        <v>2023</v>
      </c>
      <c r="D733" s="52" t="s">
        <v>5</v>
      </c>
      <c r="E733" s="52">
        <v>3</v>
      </c>
      <c r="F733" s="54" t="s">
        <v>34</v>
      </c>
      <c r="G733" s="52" t="s">
        <v>3391</v>
      </c>
      <c r="H733" s="55"/>
      <c r="I733" s="56"/>
    </row>
    <row r="734" spans="2:9" x14ac:dyDescent="0.2">
      <c r="B734" s="51" t="str">
        <f t="shared" si="9"/>
        <v>2023-027-4</v>
      </c>
      <c r="C734" s="52">
        <v>2023</v>
      </c>
      <c r="D734" s="52" t="s">
        <v>5</v>
      </c>
      <c r="E734" s="52">
        <v>4</v>
      </c>
      <c r="F734" s="54" t="s">
        <v>41</v>
      </c>
      <c r="G734" s="52"/>
      <c r="H734" s="55"/>
      <c r="I734" s="56"/>
    </row>
    <row r="735" spans="2:9" x14ac:dyDescent="0.2">
      <c r="B735" s="57" t="str">
        <f t="shared" si="9"/>
        <v>2023-027-5</v>
      </c>
      <c r="C735" s="58">
        <v>2023</v>
      </c>
      <c r="D735" s="58" t="s">
        <v>5</v>
      </c>
      <c r="E735" s="58">
        <v>5</v>
      </c>
      <c r="F735" s="59" t="s">
        <v>45</v>
      </c>
      <c r="G735" s="58"/>
      <c r="H735" s="60"/>
      <c r="I735" s="61"/>
    </row>
    <row r="736" spans="2:9" x14ac:dyDescent="0.2">
      <c r="B736" s="62" t="str">
        <f t="shared" si="9"/>
        <v>2023-028-0</v>
      </c>
      <c r="C736" s="63">
        <v>2023</v>
      </c>
      <c r="D736" s="63" t="s">
        <v>6</v>
      </c>
      <c r="E736" s="63">
        <v>0</v>
      </c>
      <c r="F736" s="64" t="s">
        <v>153</v>
      </c>
      <c r="G736" s="63"/>
      <c r="H736" s="65"/>
      <c r="I736" s="66"/>
    </row>
    <row r="737" spans="2:9" ht="27" x14ac:dyDescent="0.2">
      <c r="B737" s="51" t="str">
        <f t="shared" si="9"/>
        <v>2023-028-1</v>
      </c>
      <c r="C737" s="52">
        <v>2023</v>
      </c>
      <c r="D737" s="52" t="s">
        <v>6</v>
      </c>
      <c r="E737" s="52">
        <v>1</v>
      </c>
      <c r="F737" s="54" t="s">
        <v>504</v>
      </c>
      <c r="G737" s="52"/>
      <c r="H737" s="55"/>
      <c r="I737" s="56"/>
    </row>
    <row r="738" spans="2:9" ht="27" x14ac:dyDescent="0.2">
      <c r="B738" s="51" t="str">
        <f t="shared" si="9"/>
        <v>2023-028-2</v>
      </c>
      <c r="C738" s="52">
        <v>2023</v>
      </c>
      <c r="D738" s="52" t="s">
        <v>6</v>
      </c>
      <c r="E738" s="52">
        <v>2</v>
      </c>
      <c r="F738" s="54" t="s">
        <v>898</v>
      </c>
      <c r="G738" s="52" t="s">
        <v>3391</v>
      </c>
      <c r="H738" s="55"/>
      <c r="I738" s="56"/>
    </row>
    <row r="739" spans="2:9" x14ac:dyDescent="0.2">
      <c r="B739" s="51" t="str">
        <f t="shared" si="9"/>
        <v>2023-028-3</v>
      </c>
      <c r="C739" s="52">
        <v>2023</v>
      </c>
      <c r="D739" s="52" t="s">
        <v>6</v>
      </c>
      <c r="E739" s="52">
        <v>3</v>
      </c>
      <c r="F739" s="54" t="s">
        <v>1288</v>
      </c>
      <c r="G739" s="52"/>
      <c r="H739" s="55"/>
      <c r="I739" s="56"/>
    </row>
    <row r="740" spans="2:9" x14ac:dyDescent="0.2">
      <c r="B740" s="51" t="str">
        <f t="shared" si="9"/>
        <v>2023-028-4</v>
      </c>
      <c r="C740" s="52">
        <v>2023</v>
      </c>
      <c r="D740" s="52" t="s">
        <v>6</v>
      </c>
      <c r="E740" s="52">
        <v>4</v>
      </c>
      <c r="F740" s="54" t="s">
        <v>1665</v>
      </c>
      <c r="G740" s="52"/>
      <c r="H740" s="55"/>
      <c r="I740" s="56"/>
    </row>
    <row r="741" spans="2:9" x14ac:dyDescent="0.2">
      <c r="B741" s="57" t="str">
        <f t="shared" ref="B741:B804" si="10">C741&amp;"-"&amp;D741&amp;"-"&amp;E741</f>
        <v>2023-028-5</v>
      </c>
      <c r="C741" s="58">
        <v>2023</v>
      </c>
      <c r="D741" s="58" t="s">
        <v>6</v>
      </c>
      <c r="E741" s="58">
        <v>5</v>
      </c>
      <c r="F741" s="59" t="s">
        <v>1050</v>
      </c>
      <c r="G741" s="58"/>
      <c r="H741" s="60"/>
      <c r="I741" s="61"/>
    </row>
    <row r="742" spans="2:9" x14ac:dyDescent="0.2">
      <c r="B742" s="62" t="str">
        <f t="shared" si="10"/>
        <v>2023-029-0</v>
      </c>
      <c r="C742" s="63">
        <v>2023</v>
      </c>
      <c r="D742" s="63" t="s">
        <v>7</v>
      </c>
      <c r="E742" s="63">
        <v>0</v>
      </c>
      <c r="F742" s="64" t="s">
        <v>154</v>
      </c>
      <c r="G742" s="63"/>
      <c r="H742" s="65"/>
      <c r="I742" s="66"/>
    </row>
    <row r="743" spans="2:9" ht="27" x14ac:dyDescent="0.2">
      <c r="B743" s="51" t="str">
        <f t="shared" si="10"/>
        <v>2023-029-1</v>
      </c>
      <c r="C743" s="52">
        <v>2023</v>
      </c>
      <c r="D743" s="52" t="s">
        <v>7</v>
      </c>
      <c r="E743" s="52">
        <v>1</v>
      </c>
      <c r="F743" s="54" t="s">
        <v>505</v>
      </c>
      <c r="G743" s="52"/>
      <c r="H743" s="55"/>
      <c r="I743" s="56"/>
    </row>
    <row r="744" spans="2:9" ht="27" x14ac:dyDescent="0.2">
      <c r="B744" s="51" t="str">
        <f t="shared" si="10"/>
        <v>2023-029-2</v>
      </c>
      <c r="C744" s="52">
        <v>2023</v>
      </c>
      <c r="D744" s="52" t="s">
        <v>7</v>
      </c>
      <c r="E744" s="52">
        <v>2</v>
      </c>
      <c r="F744" s="54" t="s">
        <v>899</v>
      </c>
      <c r="G744" s="52"/>
      <c r="H744" s="55"/>
      <c r="I744" s="56"/>
    </row>
    <row r="745" spans="2:9" ht="27" x14ac:dyDescent="0.2">
      <c r="B745" s="51" t="str">
        <f t="shared" si="10"/>
        <v>2023-029-3</v>
      </c>
      <c r="C745" s="52">
        <v>2023</v>
      </c>
      <c r="D745" s="52" t="s">
        <v>7</v>
      </c>
      <c r="E745" s="52">
        <v>3</v>
      </c>
      <c r="F745" s="54" t="s">
        <v>1289</v>
      </c>
      <c r="G745" s="52"/>
      <c r="H745" s="55"/>
      <c r="I745" s="56"/>
    </row>
    <row r="746" spans="2:9" ht="27" x14ac:dyDescent="0.2">
      <c r="B746" s="51" t="str">
        <f t="shared" si="10"/>
        <v>2023-029-4</v>
      </c>
      <c r="C746" s="52">
        <v>2023</v>
      </c>
      <c r="D746" s="52" t="s">
        <v>7</v>
      </c>
      <c r="E746" s="52">
        <v>4</v>
      </c>
      <c r="F746" s="54" t="s">
        <v>1666</v>
      </c>
      <c r="G746" s="52"/>
      <c r="H746" s="55"/>
      <c r="I746" s="56"/>
    </row>
    <row r="747" spans="2:9" x14ac:dyDescent="0.2">
      <c r="B747" s="57" t="str">
        <f t="shared" si="10"/>
        <v>2023-029-5</v>
      </c>
      <c r="C747" s="58">
        <v>2023</v>
      </c>
      <c r="D747" s="58" t="s">
        <v>7</v>
      </c>
      <c r="E747" s="58">
        <v>5</v>
      </c>
      <c r="F747" s="59" t="s">
        <v>2029</v>
      </c>
      <c r="G747" s="58" t="s">
        <v>3391</v>
      </c>
      <c r="H747" s="60"/>
      <c r="I747" s="61"/>
    </row>
    <row r="748" spans="2:9" x14ac:dyDescent="0.2">
      <c r="B748" s="62" t="str">
        <f t="shared" si="10"/>
        <v>2023-030-0</v>
      </c>
      <c r="C748" s="63">
        <v>2023</v>
      </c>
      <c r="D748" s="63" t="s">
        <v>8</v>
      </c>
      <c r="E748" s="63">
        <v>0</v>
      </c>
      <c r="F748" s="64" t="s">
        <v>155</v>
      </c>
      <c r="G748" s="63"/>
      <c r="H748" s="65"/>
      <c r="I748" s="66"/>
    </row>
    <row r="749" spans="2:9" x14ac:dyDescent="0.2">
      <c r="B749" s="51" t="str">
        <f t="shared" si="10"/>
        <v>2023-030-1</v>
      </c>
      <c r="C749" s="52">
        <v>2023</v>
      </c>
      <c r="D749" s="52" t="s">
        <v>8</v>
      </c>
      <c r="E749" s="52">
        <v>1</v>
      </c>
      <c r="F749" s="54" t="s">
        <v>506</v>
      </c>
      <c r="G749" s="52" t="s">
        <v>3391</v>
      </c>
      <c r="H749" s="55"/>
      <c r="I749" s="56"/>
    </row>
    <row r="750" spans="2:9" ht="27" x14ac:dyDescent="0.2">
      <c r="B750" s="51" t="str">
        <f t="shared" si="10"/>
        <v>2023-030-2</v>
      </c>
      <c r="C750" s="52">
        <v>2023</v>
      </c>
      <c r="D750" s="52" t="s">
        <v>8</v>
      </c>
      <c r="E750" s="52">
        <v>2</v>
      </c>
      <c r="F750" s="54" t="s">
        <v>900</v>
      </c>
      <c r="G750" s="52"/>
      <c r="H750" s="55"/>
      <c r="I750" s="56"/>
    </row>
    <row r="751" spans="2:9" ht="27" x14ac:dyDescent="0.2">
      <c r="B751" s="51" t="str">
        <f t="shared" si="10"/>
        <v>2023-030-3</v>
      </c>
      <c r="C751" s="52">
        <v>2023</v>
      </c>
      <c r="D751" s="52" t="s">
        <v>8</v>
      </c>
      <c r="E751" s="52">
        <v>3</v>
      </c>
      <c r="F751" s="54" t="s">
        <v>1290</v>
      </c>
      <c r="G751" s="52"/>
      <c r="H751" s="55"/>
      <c r="I751" s="56"/>
    </row>
    <row r="752" spans="2:9" ht="27" x14ac:dyDescent="0.2">
      <c r="B752" s="51" t="str">
        <f t="shared" si="10"/>
        <v>2023-030-4</v>
      </c>
      <c r="C752" s="52">
        <v>2023</v>
      </c>
      <c r="D752" s="52" t="s">
        <v>8</v>
      </c>
      <c r="E752" s="52">
        <v>4</v>
      </c>
      <c r="F752" s="54" t="s">
        <v>1667</v>
      </c>
      <c r="G752" s="52"/>
      <c r="H752" s="55"/>
      <c r="I752" s="56"/>
    </row>
    <row r="753" spans="2:9" ht="27" x14ac:dyDescent="0.2">
      <c r="B753" s="57" t="str">
        <f t="shared" si="10"/>
        <v>2023-030-5</v>
      </c>
      <c r="C753" s="58">
        <v>2023</v>
      </c>
      <c r="D753" s="58" t="s">
        <v>8</v>
      </c>
      <c r="E753" s="58">
        <v>5</v>
      </c>
      <c r="F753" s="59" t="s">
        <v>2030</v>
      </c>
      <c r="G753" s="58"/>
      <c r="H753" s="60"/>
      <c r="I753" s="61"/>
    </row>
    <row r="754" spans="2:9" x14ac:dyDescent="0.2">
      <c r="B754" s="62" t="str">
        <f t="shared" si="10"/>
        <v>2023-031-0</v>
      </c>
      <c r="C754" s="63">
        <v>2023</v>
      </c>
      <c r="D754" s="63" t="s">
        <v>9</v>
      </c>
      <c r="E754" s="63">
        <v>0</v>
      </c>
      <c r="F754" s="64" t="s">
        <v>156</v>
      </c>
      <c r="G754" s="63"/>
      <c r="H754" s="65"/>
      <c r="I754" s="66"/>
    </row>
    <row r="755" spans="2:9" x14ac:dyDescent="0.2">
      <c r="B755" s="51" t="str">
        <f t="shared" si="10"/>
        <v>2023-031-1</v>
      </c>
      <c r="C755" s="52">
        <v>2023</v>
      </c>
      <c r="D755" s="52" t="s">
        <v>9</v>
      </c>
      <c r="E755" s="52">
        <v>1</v>
      </c>
      <c r="F755" s="54" t="s">
        <v>507</v>
      </c>
      <c r="G755" s="52"/>
      <c r="H755" s="55"/>
      <c r="I755" s="56"/>
    </row>
    <row r="756" spans="2:9" x14ac:dyDescent="0.2">
      <c r="B756" s="51" t="str">
        <f t="shared" si="10"/>
        <v>2023-031-2</v>
      </c>
      <c r="C756" s="52">
        <v>2023</v>
      </c>
      <c r="D756" s="52" t="s">
        <v>9</v>
      </c>
      <c r="E756" s="52">
        <v>2</v>
      </c>
      <c r="F756" s="54" t="s">
        <v>901</v>
      </c>
      <c r="G756" s="52" t="s">
        <v>3391</v>
      </c>
      <c r="H756" s="55"/>
      <c r="I756" s="56"/>
    </row>
    <row r="757" spans="2:9" x14ac:dyDescent="0.2">
      <c r="B757" s="51" t="str">
        <f t="shared" si="10"/>
        <v>2023-031-3</v>
      </c>
      <c r="C757" s="52">
        <v>2023</v>
      </c>
      <c r="D757" s="52" t="s">
        <v>9</v>
      </c>
      <c r="E757" s="52">
        <v>3</v>
      </c>
      <c r="F757" s="54" t="s">
        <v>1291</v>
      </c>
      <c r="G757" s="52"/>
      <c r="H757" s="55"/>
      <c r="I757" s="56"/>
    </row>
    <row r="758" spans="2:9" x14ac:dyDescent="0.2">
      <c r="B758" s="51" t="str">
        <f t="shared" si="10"/>
        <v>2023-031-4</v>
      </c>
      <c r="C758" s="52">
        <v>2023</v>
      </c>
      <c r="D758" s="52" t="s">
        <v>9</v>
      </c>
      <c r="E758" s="52">
        <v>4</v>
      </c>
      <c r="F758" s="54" t="s">
        <v>1668</v>
      </c>
      <c r="G758" s="52"/>
      <c r="H758" s="55"/>
      <c r="I758" s="56"/>
    </row>
    <row r="759" spans="2:9" x14ac:dyDescent="0.2">
      <c r="B759" s="57" t="str">
        <f t="shared" si="10"/>
        <v>2023-031-5</v>
      </c>
      <c r="C759" s="58">
        <v>2023</v>
      </c>
      <c r="D759" s="58" t="s">
        <v>9</v>
      </c>
      <c r="E759" s="58">
        <v>5</v>
      </c>
      <c r="F759" s="59" t="s">
        <v>2031</v>
      </c>
      <c r="G759" s="58"/>
      <c r="H759" s="60"/>
      <c r="I759" s="61"/>
    </row>
    <row r="760" spans="2:9" x14ac:dyDescent="0.2">
      <c r="B760" s="62" t="str">
        <f t="shared" si="10"/>
        <v>2023-032-0</v>
      </c>
      <c r="C760" s="63">
        <v>2023</v>
      </c>
      <c r="D760" s="63" t="s">
        <v>10</v>
      </c>
      <c r="E760" s="63">
        <v>0</v>
      </c>
      <c r="F760" s="64" t="s">
        <v>157</v>
      </c>
      <c r="G760" s="63"/>
      <c r="H760" s="65"/>
      <c r="I760" s="66"/>
    </row>
    <row r="761" spans="2:9" ht="27" x14ac:dyDescent="0.2">
      <c r="B761" s="51" t="str">
        <f t="shared" si="10"/>
        <v>2023-032-1</v>
      </c>
      <c r="C761" s="52">
        <v>2023</v>
      </c>
      <c r="D761" s="52" t="s">
        <v>10</v>
      </c>
      <c r="E761" s="52">
        <v>1</v>
      </c>
      <c r="F761" s="54" t="s">
        <v>508</v>
      </c>
      <c r="G761" s="52"/>
      <c r="H761" s="55"/>
      <c r="I761" s="56"/>
    </row>
    <row r="762" spans="2:9" ht="27" x14ac:dyDescent="0.2">
      <c r="B762" s="51" t="str">
        <f t="shared" si="10"/>
        <v>2023-032-2</v>
      </c>
      <c r="C762" s="52">
        <v>2023</v>
      </c>
      <c r="D762" s="52" t="s">
        <v>10</v>
      </c>
      <c r="E762" s="52">
        <v>2</v>
      </c>
      <c r="F762" s="54" t="s">
        <v>902</v>
      </c>
      <c r="G762" s="52" t="s">
        <v>3391</v>
      </c>
      <c r="H762" s="55"/>
      <c r="I762" s="56"/>
    </row>
    <row r="763" spans="2:9" ht="27" x14ac:dyDescent="0.2">
      <c r="B763" s="51" t="str">
        <f t="shared" si="10"/>
        <v>2023-032-3</v>
      </c>
      <c r="C763" s="52">
        <v>2023</v>
      </c>
      <c r="D763" s="52" t="s">
        <v>10</v>
      </c>
      <c r="E763" s="52">
        <v>3</v>
      </c>
      <c r="F763" s="54" t="s">
        <v>1292</v>
      </c>
      <c r="G763" s="52"/>
      <c r="H763" s="55"/>
      <c r="I763" s="56"/>
    </row>
    <row r="764" spans="2:9" x14ac:dyDescent="0.2">
      <c r="B764" s="51" t="str">
        <f t="shared" si="10"/>
        <v>2023-032-4</v>
      </c>
      <c r="C764" s="52">
        <v>2023</v>
      </c>
      <c r="D764" s="52" t="s">
        <v>10</v>
      </c>
      <c r="E764" s="52">
        <v>4</v>
      </c>
      <c r="F764" s="54" t="s">
        <v>1669</v>
      </c>
      <c r="G764" s="52"/>
      <c r="H764" s="55"/>
      <c r="I764" s="56"/>
    </row>
    <row r="765" spans="2:9" ht="27" x14ac:dyDescent="0.2">
      <c r="B765" s="57" t="str">
        <f t="shared" si="10"/>
        <v>2023-032-5</v>
      </c>
      <c r="C765" s="58">
        <v>2023</v>
      </c>
      <c r="D765" s="58" t="s">
        <v>10</v>
      </c>
      <c r="E765" s="58">
        <v>5</v>
      </c>
      <c r="F765" s="59" t="s">
        <v>2817</v>
      </c>
      <c r="G765" s="58"/>
      <c r="H765" s="60"/>
      <c r="I765" s="61"/>
    </row>
    <row r="766" spans="2:9" x14ac:dyDescent="0.2">
      <c r="B766" s="62" t="str">
        <f t="shared" si="10"/>
        <v>2023-033-0</v>
      </c>
      <c r="C766" s="63">
        <v>2023</v>
      </c>
      <c r="D766" s="63" t="s">
        <v>11</v>
      </c>
      <c r="E766" s="63">
        <v>0</v>
      </c>
      <c r="F766" s="64" t="s">
        <v>120</v>
      </c>
      <c r="G766" s="63"/>
      <c r="H766" s="65"/>
      <c r="I766" s="66"/>
    </row>
    <row r="767" spans="2:9" x14ac:dyDescent="0.2">
      <c r="B767" s="51" t="str">
        <f t="shared" si="10"/>
        <v>2023-033-1</v>
      </c>
      <c r="C767" s="52">
        <v>2023</v>
      </c>
      <c r="D767" s="52" t="s">
        <v>11</v>
      </c>
      <c r="E767" s="52">
        <v>1</v>
      </c>
      <c r="F767" s="54" t="s">
        <v>509</v>
      </c>
      <c r="G767" s="52"/>
      <c r="H767" s="55"/>
      <c r="I767" s="56"/>
    </row>
    <row r="768" spans="2:9" x14ac:dyDescent="0.2">
      <c r="B768" s="51" t="str">
        <f t="shared" si="10"/>
        <v>2023-033-2</v>
      </c>
      <c r="C768" s="52">
        <v>2023</v>
      </c>
      <c r="D768" s="52" t="s">
        <v>11</v>
      </c>
      <c r="E768" s="52">
        <v>2</v>
      </c>
      <c r="F768" s="54" t="s">
        <v>903</v>
      </c>
      <c r="G768" s="52"/>
      <c r="H768" s="55"/>
      <c r="I768" s="56"/>
    </row>
    <row r="769" spans="2:9" x14ac:dyDescent="0.2">
      <c r="B769" s="51" t="str">
        <f t="shared" si="10"/>
        <v>2023-033-3</v>
      </c>
      <c r="C769" s="52">
        <v>2023</v>
      </c>
      <c r="D769" s="52" t="s">
        <v>11</v>
      </c>
      <c r="E769" s="52">
        <v>3</v>
      </c>
      <c r="F769" s="54" t="s">
        <v>1293</v>
      </c>
      <c r="G769" s="52"/>
      <c r="H769" s="55"/>
      <c r="I769" s="56"/>
    </row>
    <row r="770" spans="2:9" ht="27" x14ac:dyDescent="0.2">
      <c r="B770" s="51" t="str">
        <f t="shared" si="10"/>
        <v>2023-033-4</v>
      </c>
      <c r="C770" s="52">
        <v>2023</v>
      </c>
      <c r="D770" s="52" t="s">
        <v>11</v>
      </c>
      <c r="E770" s="52">
        <v>4</v>
      </c>
      <c r="F770" s="54" t="s">
        <v>1670</v>
      </c>
      <c r="G770" s="52"/>
      <c r="H770" s="55"/>
      <c r="I770" s="56"/>
    </row>
    <row r="771" spans="2:9" ht="27" x14ac:dyDescent="0.2">
      <c r="B771" s="57" t="str">
        <f t="shared" si="10"/>
        <v>2023-033-5</v>
      </c>
      <c r="C771" s="58">
        <v>2023</v>
      </c>
      <c r="D771" s="58" t="s">
        <v>11</v>
      </c>
      <c r="E771" s="58">
        <v>5</v>
      </c>
      <c r="F771" s="59" t="s">
        <v>2032</v>
      </c>
      <c r="G771" s="58" t="s">
        <v>3391</v>
      </c>
      <c r="H771" s="60"/>
      <c r="I771" s="61"/>
    </row>
    <row r="772" spans="2:9" x14ac:dyDescent="0.2">
      <c r="B772" s="62" t="str">
        <f t="shared" si="10"/>
        <v>2023-034-0</v>
      </c>
      <c r="C772" s="63">
        <v>2023</v>
      </c>
      <c r="D772" s="63" t="s">
        <v>12</v>
      </c>
      <c r="E772" s="63">
        <v>0</v>
      </c>
      <c r="F772" s="64" t="s">
        <v>158</v>
      </c>
      <c r="G772" s="63"/>
      <c r="H772" s="65"/>
      <c r="I772" s="66"/>
    </row>
    <row r="773" spans="2:9" x14ac:dyDescent="0.2">
      <c r="B773" s="51" t="str">
        <f t="shared" si="10"/>
        <v>2023-034-1</v>
      </c>
      <c r="C773" s="52">
        <v>2023</v>
      </c>
      <c r="D773" s="52" t="s">
        <v>12</v>
      </c>
      <c r="E773" s="52">
        <v>1</v>
      </c>
      <c r="F773" s="54" t="s">
        <v>510</v>
      </c>
      <c r="G773" s="52" t="s">
        <v>3391</v>
      </c>
      <c r="H773" s="55"/>
      <c r="I773" s="56"/>
    </row>
    <row r="774" spans="2:9" x14ac:dyDescent="0.2">
      <c r="B774" s="51" t="str">
        <f t="shared" si="10"/>
        <v>2023-034-2</v>
      </c>
      <c r="C774" s="52">
        <v>2023</v>
      </c>
      <c r="D774" s="52" t="s">
        <v>12</v>
      </c>
      <c r="E774" s="52">
        <v>2</v>
      </c>
      <c r="F774" s="54" t="s">
        <v>904</v>
      </c>
      <c r="G774" s="52"/>
      <c r="H774" s="55"/>
      <c r="I774" s="56"/>
    </row>
    <row r="775" spans="2:9" x14ac:dyDescent="0.2">
      <c r="B775" s="51" t="str">
        <f t="shared" si="10"/>
        <v>2023-034-3</v>
      </c>
      <c r="C775" s="52">
        <v>2023</v>
      </c>
      <c r="D775" s="52" t="s">
        <v>12</v>
      </c>
      <c r="E775" s="52">
        <v>3</v>
      </c>
      <c r="F775" s="54" t="s">
        <v>1294</v>
      </c>
      <c r="G775" s="52"/>
      <c r="H775" s="55"/>
      <c r="I775" s="56"/>
    </row>
    <row r="776" spans="2:9" x14ac:dyDescent="0.2">
      <c r="B776" s="51" t="str">
        <f t="shared" si="10"/>
        <v>2023-034-4</v>
      </c>
      <c r="C776" s="52">
        <v>2023</v>
      </c>
      <c r="D776" s="52" t="s">
        <v>12</v>
      </c>
      <c r="E776" s="52">
        <v>4</v>
      </c>
      <c r="F776" s="54" t="s">
        <v>1671</v>
      </c>
      <c r="G776" s="52"/>
      <c r="H776" s="55"/>
      <c r="I776" s="56"/>
    </row>
    <row r="777" spans="2:9" ht="27" x14ac:dyDescent="0.2">
      <c r="B777" s="57" t="str">
        <f t="shared" si="10"/>
        <v>2023-034-5</v>
      </c>
      <c r="C777" s="58">
        <v>2023</v>
      </c>
      <c r="D777" s="58" t="s">
        <v>12</v>
      </c>
      <c r="E777" s="58">
        <v>5</v>
      </c>
      <c r="F777" s="59" t="s">
        <v>1214</v>
      </c>
      <c r="G777" s="58"/>
      <c r="H777" s="60"/>
      <c r="I777" s="61"/>
    </row>
    <row r="778" spans="2:9" x14ac:dyDescent="0.2">
      <c r="B778" s="62" t="str">
        <f t="shared" si="10"/>
        <v>2023-035-0</v>
      </c>
      <c r="C778" s="63">
        <v>2023</v>
      </c>
      <c r="D778" s="63" t="s">
        <v>13</v>
      </c>
      <c r="E778" s="63">
        <v>0</v>
      </c>
      <c r="F778" s="64" t="s">
        <v>159</v>
      </c>
      <c r="G778" s="63"/>
      <c r="H778" s="65"/>
      <c r="I778" s="66"/>
    </row>
    <row r="779" spans="2:9" ht="27" x14ac:dyDescent="0.2">
      <c r="B779" s="51" t="str">
        <f t="shared" si="10"/>
        <v>2023-035-1</v>
      </c>
      <c r="C779" s="52">
        <v>2023</v>
      </c>
      <c r="D779" s="52" t="s">
        <v>13</v>
      </c>
      <c r="E779" s="52">
        <v>1</v>
      </c>
      <c r="F779" s="54" t="s">
        <v>511</v>
      </c>
      <c r="G779" s="52"/>
      <c r="H779" s="55"/>
      <c r="I779" s="56"/>
    </row>
    <row r="780" spans="2:9" ht="27" x14ac:dyDescent="0.2">
      <c r="B780" s="51" t="str">
        <f t="shared" si="10"/>
        <v>2023-035-2</v>
      </c>
      <c r="C780" s="52">
        <v>2023</v>
      </c>
      <c r="D780" s="52" t="s">
        <v>13</v>
      </c>
      <c r="E780" s="52">
        <v>2</v>
      </c>
      <c r="F780" s="54" t="s">
        <v>905</v>
      </c>
      <c r="G780" s="52"/>
      <c r="H780" s="55"/>
      <c r="I780" s="56"/>
    </row>
    <row r="781" spans="2:9" ht="27" x14ac:dyDescent="0.2">
      <c r="B781" s="51" t="str">
        <f t="shared" si="10"/>
        <v>2023-035-3</v>
      </c>
      <c r="C781" s="52">
        <v>2023</v>
      </c>
      <c r="D781" s="52" t="s">
        <v>13</v>
      </c>
      <c r="E781" s="52">
        <v>3</v>
      </c>
      <c r="F781" s="54" t="s">
        <v>1295</v>
      </c>
      <c r="G781" s="52"/>
      <c r="H781" s="55"/>
      <c r="I781" s="56"/>
    </row>
    <row r="782" spans="2:9" ht="27" x14ac:dyDescent="0.2">
      <c r="B782" s="51" t="str">
        <f t="shared" si="10"/>
        <v>2023-035-4</v>
      </c>
      <c r="C782" s="52">
        <v>2023</v>
      </c>
      <c r="D782" s="52" t="s">
        <v>13</v>
      </c>
      <c r="E782" s="52">
        <v>4</v>
      </c>
      <c r="F782" s="54" t="s">
        <v>1672</v>
      </c>
      <c r="G782" s="52" t="s">
        <v>3391</v>
      </c>
      <c r="H782" s="55"/>
      <c r="I782" s="56"/>
    </row>
    <row r="783" spans="2:9" ht="27" x14ac:dyDescent="0.2">
      <c r="B783" s="57" t="str">
        <f t="shared" si="10"/>
        <v>2023-035-5</v>
      </c>
      <c r="C783" s="58">
        <v>2023</v>
      </c>
      <c r="D783" s="58" t="s">
        <v>13</v>
      </c>
      <c r="E783" s="58">
        <v>5</v>
      </c>
      <c r="F783" s="59" t="s">
        <v>2033</v>
      </c>
      <c r="G783" s="58"/>
      <c r="H783" s="60"/>
      <c r="I783" s="61"/>
    </row>
    <row r="784" spans="2:9" ht="54" x14ac:dyDescent="0.2">
      <c r="B784" s="62" t="str">
        <f t="shared" si="10"/>
        <v>2023-036-0</v>
      </c>
      <c r="C784" s="63">
        <v>2023</v>
      </c>
      <c r="D784" s="63" t="s">
        <v>14</v>
      </c>
      <c r="E784" s="63">
        <v>0</v>
      </c>
      <c r="F784" s="64" t="s">
        <v>3635</v>
      </c>
      <c r="G784" s="63"/>
      <c r="H784" s="65"/>
      <c r="I784" s="66"/>
    </row>
    <row r="785" spans="2:9" x14ac:dyDescent="0.2">
      <c r="B785" s="51" t="str">
        <f t="shared" si="10"/>
        <v>2023-036-1</v>
      </c>
      <c r="C785" s="52">
        <v>2023</v>
      </c>
      <c r="D785" s="52" t="s">
        <v>14</v>
      </c>
      <c r="E785" s="52">
        <v>1</v>
      </c>
      <c r="F785" s="54" t="s">
        <v>3636</v>
      </c>
      <c r="G785" s="52"/>
      <c r="H785" s="55"/>
      <c r="I785" s="56"/>
    </row>
    <row r="786" spans="2:9" x14ac:dyDescent="0.2">
      <c r="B786" s="51" t="str">
        <f t="shared" si="10"/>
        <v>2023-036-2</v>
      </c>
      <c r="C786" s="52">
        <v>2023</v>
      </c>
      <c r="D786" s="52" t="s">
        <v>14</v>
      </c>
      <c r="E786" s="52">
        <v>2</v>
      </c>
      <c r="F786" s="54" t="s">
        <v>3637</v>
      </c>
      <c r="G786" s="52"/>
      <c r="H786" s="55"/>
      <c r="I786" s="56"/>
    </row>
    <row r="787" spans="2:9" x14ac:dyDescent="0.2">
      <c r="B787" s="51" t="str">
        <f t="shared" si="10"/>
        <v>2023-036-3</v>
      </c>
      <c r="C787" s="52">
        <v>2023</v>
      </c>
      <c r="D787" s="52" t="s">
        <v>14</v>
      </c>
      <c r="E787" s="52">
        <v>3</v>
      </c>
      <c r="F787" s="54" t="s">
        <v>1296</v>
      </c>
      <c r="G787" s="52"/>
      <c r="H787" s="55"/>
      <c r="I787" s="56"/>
    </row>
    <row r="788" spans="2:9" x14ac:dyDescent="0.2">
      <c r="B788" s="51" t="str">
        <f t="shared" si="10"/>
        <v>2023-036-4</v>
      </c>
      <c r="C788" s="52">
        <v>2023</v>
      </c>
      <c r="D788" s="52" t="s">
        <v>14</v>
      </c>
      <c r="E788" s="52">
        <v>4</v>
      </c>
      <c r="F788" s="54" t="s">
        <v>1673</v>
      </c>
      <c r="G788" s="52" t="s">
        <v>3391</v>
      </c>
      <c r="H788" s="55"/>
      <c r="I788" s="56"/>
    </row>
    <row r="789" spans="2:9" x14ac:dyDescent="0.2">
      <c r="B789" s="57" t="str">
        <f t="shared" si="10"/>
        <v>2023-036-5</v>
      </c>
      <c r="C789" s="58">
        <v>2023</v>
      </c>
      <c r="D789" s="58" t="s">
        <v>14</v>
      </c>
      <c r="E789" s="58">
        <v>5</v>
      </c>
      <c r="F789" s="59" t="s">
        <v>2034</v>
      </c>
      <c r="G789" s="58"/>
      <c r="H789" s="60"/>
      <c r="I789" s="61"/>
    </row>
    <row r="790" spans="2:9" x14ac:dyDescent="0.2">
      <c r="B790" s="62" t="str">
        <f t="shared" si="10"/>
        <v>2023-037-0</v>
      </c>
      <c r="C790" s="63">
        <v>2023</v>
      </c>
      <c r="D790" s="63" t="s">
        <v>15</v>
      </c>
      <c r="E790" s="63">
        <v>0</v>
      </c>
      <c r="F790" s="64" t="s">
        <v>160</v>
      </c>
      <c r="G790" s="63"/>
      <c r="H790" s="65"/>
      <c r="I790" s="66"/>
    </row>
    <row r="791" spans="2:9" ht="27" x14ac:dyDescent="0.2">
      <c r="B791" s="51" t="str">
        <f t="shared" si="10"/>
        <v>2023-037-1</v>
      </c>
      <c r="C791" s="52">
        <v>2023</v>
      </c>
      <c r="D791" s="52" t="s">
        <v>15</v>
      </c>
      <c r="E791" s="52">
        <v>1</v>
      </c>
      <c r="F791" s="54" t="s">
        <v>512</v>
      </c>
      <c r="G791" s="52"/>
      <c r="H791" s="55"/>
      <c r="I791" s="56"/>
    </row>
    <row r="792" spans="2:9" ht="27" x14ac:dyDescent="0.2">
      <c r="B792" s="51" t="str">
        <f t="shared" si="10"/>
        <v>2023-037-2</v>
      </c>
      <c r="C792" s="52">
        <v>2023</v>
      </c>
      <c r="D792" s="52" t="s">
        <v>15</v>
      </c>
      <c r="E792" s="52">
        <v>2</v>
      </c>
      <c r="F792" s="54" t="s">
        <v>906</v>
      </c>
      <c r="G792" s="52"/>
      <c r="H792" s="55"/>
      <c r="I792" s="56"/>
    </row>
    <row r="793" spans="2:9" x14ac:dyDescent="0.2">
      <c r="B793" s="51" t="str">
        <f t="shared" si="10"/>
        <v>2023-037-3</v>
      </c>
      <c r="C793" s="52">
        <v>2023</v>
      </c>
      <c r="D793" s="52" t="s">
        <v>15</v>
      </c>
      <c r="E793" s="52">
        <v>3</v>
      </c>
      <c r="F793" s="54" t="s">
        <v>1297</v>
      </c>
      <c r="G793" s="52"/>
      <c r="H793" s="55"/>
      <c r="I793" s="56"/>
    </row>
    <row r="794" spans="2:9" ht="27" x14ac:dyDescent="0.2">
      <c r="B794" s="51" t="str">
        <f t="shared" si="10"/>
        <v>2023-037-4</v>
      </c>
      <c r="C794" s="52">
        <v>2023</v>
      </c>
      <c r="D794" s="52" t="s">
        <v>15</v>
      </c>
      <c r="E794" s="52">
        <v>4</v>
      </c>
      <c r="F794" s="54" t="s">
        <v>1674</v>
      </c>
      <c r="G794" s="52"/>
      <c r="H794" s="55"/>
      <c r="I794" s="56"/>
    </row>
    <row r="795" spans="2:9" x14ac:dyDescent="0.2">
      <c r="B795" s="57" t="str">
        <f t="shared" si="10"/>
        <v>2023-037-5</v>
      </c>
      <c r="C795" s="58">
        <v>2023</v>
      </c>
      <c r="D795" s="58" t="s">
        <v>15</v>
      </c>
      <c r="E795" s="58">
        <v>5</v>
      </c>
      <c r="F795" s="59" t="s">
        <v>2035</v>
      </c>
      <c r="G795" s="58" t="s">
        <v>3391</v>
      </c>
      <c r="H795" s="60"/>
      <c r="I795" s="61"/>
    </row>
    <row r="796" spans="2:9" x14ac:dyDescent="0.2">
      <c r="B796" s="62" t="str">
        <f t="shared" si="10"/>
        <v>2023-038-0</v>
      </c>
      <c r="C796" s="63">
        <v>2023</v>
      </c>
      <c r="D796" s="63" t="s">
        <v>16</v>
      </c>
      <c r="E796" s="63">
        <v>0</v>
      </c>
      <c r="F796" s="64" t="s">
        <v>161</v>
      </c>
      <c r="G796" s="63"/>
      <c r="H796" s="65"/>
      <c r="I796" s="66"/>
    </row>
    <row r="797" spans="2:9" x14ac:dyDescent="0.2">
      <c r="B797" s="51" t="str">
        <f t="shared" si="10"/>
        <v>2023-038-1</v>
      </c>
      <c r="C797" s="52">
        <v>2023</v>
      </c>
      <c r="D797" s="52" t="s">
        <v>16</v>
      </c>
      <c r="E797" s="52">
        <v>1</v>
      </c>
      <c r="F797" s="54" t="s">
        <v>513</v>
      </c>
      <c r="G797" s="52"/>
      <c r="H797" s="55"/>
      <c r="I797" s="56"/>
    </row>
    <row r="798" spans="2:9" ht="27" x14ac:dyDescent="0.2">
      <c r="B798" s="51" t="str">
        <f t="shared" si="10"/>
        <v>2023-038-2</v>
      </c>
      <c r="C798" s="52">
        <v>2023</v>
      </c>
      <c r="D798" s="52" t="s">
        <v>16</v>
      </c>
      <c r="E798" s="52">
        <v>2</v>
      </c>
      <c r="F798" s="54" t="s">
        <v>907</v>
      </c>
      <c r="G798" s="52"/>
      <c r="H798" s="55"/>
      <c r="I798" s="56"/>
    </row>
    <row r="799" spans="2:9" ht="27" x14ac:dyDescent="0.2">
      <c r="B799" s="51" t="str">
        <f t="shared" si="10"/>
        <v>2023-038-3</v>
      </c>
      <c r="C799" s="52">
        <v>2023</v>
      </c>
      <c r="D799" s="52" t="s">
        <v>16</v>
      </c>
      <c r="E799" s="52">
        <v>3</v>
      </c>
      <c r="F799" s="54" t="s">
        <v>1298</v>
      </c>
      <c r="G799" s="52"/>
      <c r="H799" s="55"/>
      <c r="I799" s="56"/>
    </row>
    <row r="800" spans="2:9" ht="27" x14ac:dyDescent="0.2">
      <c r="B800" s="51" t="str">
        <f t="shared" si="10"/>
        <v>2023-038-4</v>
      </c>
      <c r="C800" s="52">
        <v>2023</v>
      </c>
      <c r="D800" s="52" t="s">
        <v>16</v>
      </c>
      <c r="E800" s="52">
        <v>4</v>
      </c>
      <c r="F800" s="54" t="s">
        <v>1675</v>
      </c>
      <c r="G800" s="52" t="s">
        <v>3391</v>
      </c>
      <c r="H800" s="55"/>
      <c r="I800" s="56"/>
    </row>
    <row r="801" spans="2:9" ht="27" x14ac:dyDescent="0.2">
      <c r="B801" s="57" t="str">
        <f t="shared" si="10"/>
        <v>2023-038-5</v>
      </c>
      <c r="C801" s="58">
        <v>2023</v>
      </c>
      <c r="D801" s="58" t="s">
        <v>16</v>
      </c>
      <c r="E801" s="58">
        <v>5</v>
      </c>
      <c r="F801" s="59" t="s">
        <v>2036</v>
      </c>
      <c r="G801" s="58"/>
      <c r="H801" s="60"/>
      <c r="I801" s="61"/>
    </row>
    <row r="802" spans="2:9" x14ac:dyDescent="0.2">
      <c r="B802" s="62" t="str">
        <f t="shared" si="10"/>
        <v>2023-039-0</v>
      </c>
      <c r="C802" s="63">
        <v>2023</v>
      </c>
      <c r="D802" s="63" t="s">
        <v>17</v>
      </c>
      <c r="E802" s="63">
        <v>0</v>
      </c>
      <c r="F802" s="64" t="s">
        <v>162</v>
      </c>
      <c r="G802" s="63"/>
      <c r="H802" s="65"/>
      <c r="I802" s="66"/>
    </row>
    <row r="803" spans="2:9" x14ac:dyDescent="0.2">
      <c r="B803" s="51" t="str">
        <f t="shared" si="10"/>
        <v>2023-039-1</v>
      </c>
      <c r="C803" s="52">
        <v>2023</v>
      </c>
      <c r="D803" s="52" t="s">
        <v>17</v>
      </c>
      <c r="E803" s="52">
        <v>1</v>
      </c>
      <c r="F803" s="54" t="s">
        <v>514</v>
      </c>
      <c r="G803" s="52"/>
      <c r="H803" s="55"/>
      <c r="I803" s="56"/>
    </row>
    <row r="804" spans="2:9" x14ac:dyDescent="0.2">
      <c r="B804" s="51" t="str">
        <f t="shared" si="10"/>
        <v>2023-039-2</v>
      </c>
      <c r="C804" s="52">
        <v>2023</v>
      </c>
      <c r="D804" s="52" t="s">
        <v>17</v>
      </c>
      <c r="E804" s="52">
        <v>2</v>
      </c>
      <c r="F804" s="54" t="s">
        <v>908</v>
      </c>
      <c r="G804" s="52"/>
      <c r="H804" s="55"/>
      <c r="I804" s="56"/>
    </row>
    <row r="805" spans="2:9" ht="27" x14ac:dyDescent="0.2">
      <c r="B805" s="51" t="str">
        <f t="shared" ref="B805:B868" si="11">C805&amp;"-"&amp;D805&amp;"-"&amp;E805</f>
        <v>2023-039-3</v>
      </c>
      <c r="C805" s="52">
        <v>2023</v>
      </c>
      <c r="D805" s="52" t="s">
        <v>17</v>
      </c>
      <c r="E805" s="52">
        <v>3</v>
      </c>
      <c r="F805" s="54" t="s">
        <v>1299</v>
      </c>
      <c r="G805" s="52"/>
      <c r="H805" s="55"/>
      <c r="I805" s="56"/>
    </row>
    <row r="806" spans="2:9" ht="27" x14ac:dyDescent="0.2">
      <c r="B806" s="51" t="str">
        <f t="shared" si="11"/>
        <v>2023-039-4</v>
      </c>
      <c r="C806" s="52">
        <v>2023</v>
      </c>
      <c r="D806" s="52" t="s">
        <v>17</v>
      </c>
      <c r="E806" s="52">
        <v>4</v>
      </c>
      <c r="F806" s="54" t="s">
        <v>1676</v>
      </c>
      <c r="G806" s="52"/>
      <c r="H806" s="55"/>
      <c r="I806" s="56"/>
    </row>
    <row r="807" spans="2:9" ht="27" x14ac:dyDescent="0.2">
      <c r="B807" s="57" t="str">
        <f t="shared" si="11"/>
        <v>2023-039-5</v>
      </c>
      <c r="C807" s="58">
        <v>2023</v>
      </c>
      <c r="D807" s="58" t="s">
        <v>17</v>
      </c>
      <c r="E807" s="58">
        <v>5</v>
      </c>
      <c r="F807" s="59" t="s">
        <v>2037</v>
      </c>
      <c r="G807" s="58" t="s">
        <v>3391</v>
      </c>
      <c r="H807" s="60"/>
      <c r="I807" s="61"/>
    </row>
    <row r="808" spans="2:9" x14ac:dyDescent="0.2">
      <c r="B808" s="62" t="str">
        <f t="shared" si="11"/>
        <v>2023-040-0</v>
      </c>
      <c r="C808" s="63">
        <v>2023</v>
      </c>
      <c r="D808" s="63" t="s">
        <v>18</v>
      </c>
      <c r="E808" s="63">
        <v>0</v>
      </c>
      <c r="F808" s="64" t="s">
        <v>163</v>
      </c>
      <c r="G808" s="63"/>
      <c r="H808" s="65"/>
      <c r="I808" s="66"/>
    </row>
    <row r="809" spans="2:9" x14ac:dyDescent="0.2">
      <c r="B809" s="51" t="str">
        <f t="shared" si="11"/>
        <v>2023-040-1</v>
      </c>
      <c r="C809" s="52">
        <v>2023</v>
      </c>
      <c r="D809" s="52" t="s">
        <v>18</v>
      </c>
      <c r="E809" s="52">
        <v>1</v>
      </c>
      <c r="F809" s="54" t="s">
        <v>515</v>
      </c>
      <c r="G809" s="52"/>
      <c r="H809" s="55"/>
      <c r="I809" s="56"/>
    </row>
    <row r="810" spans="2:9" x14ac:dyDescent="0.2">
      <c r="B810" s="51" t="str">
        <f t="shared" si="11"/>
        <v>2023-040-2</v>
      </c>
      <c r="C810" s="52">
        <v>2023</v>
      </c>
      <c r="D810" s="52" t="s">
        <v>18</v>
      </c>
      <c r="E810" s="52">
        <v>2</v>
      </c>
      <c r="F810" s="54" t="s">
        <v>909</v>
      </c>
      <c r="G810" s="52"/>
      <c r="H810" s="55"/>
      <c r="I810" s="56"/>
    </row>
    <row r="811" spans="2:9" ht="27" x14ac:dyDescent="0.2">
      <c r="B811" s="51" t="str">
        <f t="shared" si="11"/>
        <v>2023-040-3</v>
      </c>
      <c r="C811" s="52">
        <v>2023</v>
      </c>
      <c r="D811" s="52" t="s">
        <v>18</v>
      </c>
      <c r="E811" s="52">
        <v>3</v>
      </c>
      <c r="F811" s="54" t="s">
        <v>1300</v>
      </c>
      <c r="G811" s="52" t="s">
        <v>3391</v>
      </c>
      <c r="H811" s="55"/>
      <c r="I811" s="56"/>
    </row>
    <row r="812" spans="2:9" x14ac:dyDescent="0.2">
      <c r="B812" s="51" t="str">
        <f t="shared" si="11"/>
        <v>2023-040-4</v>
      </c>
      <c r="C812" s="52">
        <v>2023</v>
      </c>
      <c r="D812" s="52" t="s">
        <v>18</v>
      </c>
      <c r="E812" s="52">
        <v>4</v>
      </c>
      <c r="F812" s="54" t="s">
        <v>733</v>
      </c>
      <c r="G812" s="52"/>
      <c r="H812" s="55"/>
      <c r="I812" s="56"/>
    </row>
    <row r="813" spans="2:9" x14ac:dyDescent="0.2">
      <c r="B813" s="57" t="str">
        <f t="shared" si="11"/>
        <v>2023-040-5</v>
      </c>
      <c r="C813" s="58">
        <v>2023</v>
      </c>
      <c r="D813" s="58" t="s">
        <v>18</v>
      </c>
      <c r="E813" s="58">
        <v>5</v>
      </c>
      <c r="F813" s="59" t="s">
        <v>977</v>
      </c>
      <c r="G813" s="58"/>
      <c r="H813" s="60"/>
      <c r="I813" s="61"/>
    </row>
    <row r="814" spans="2:9" ht="40.5" x14ac:dyDescent="0.2">
      <c r="B814" s="62" t="str">
        <f t="shared" si="11"/>
        <v>2023-041-0</v>
      </c>
      <c r="C814" s="63">
        <v>2023</v>
      </c>
      <c r="D814" s="63" t="s">
        <v>72</v>
      </c>
      <c r="E814" s="63">
        <v>0</v>
      </c>
      <c r="F814" s="64" t="s">
        <v>164</v>
      </c>
      <c r="G814" s="63"/>
      <c r="H814" s="65"/>
      <c r="I814" s="66"/>
    </row>
    <row r="815" spans="2:9" x14ac:dyDescent="0.2">
      <c r="B815" s="51" t="str">
        <f t="shared" si="11"/>
        <v>2023-041-1</v>
      </c>
      <c r="C815" s="52">
        <v>2023</v>
      </c>
      <c r="D815" s="52" t="s">
        <v>72</v>
      </c>
      <c r="E815" s="52">
        <v>1</v>
      </c>
      <c r="F815" s="54" t="s">
        <v>516</v>
      </c>
      <c r="G815" s="52"/>
      <c r="H815" s="55"/>
      <c r="I815" s="56"/>
    </row>
    <row r="816" spans="2:9" x14ac:dyDescent="0.2">
      <c r="B816" s="51" t="str">
        <f t="shared" si="11"/>
        <v>2023-041-2</v>
      </c>
      <c r="C816" s="52">
        <v>2023</v>
      </c>
      <c r="D816" s="52" t="s">
        <v>72</v>
      </c>
      <c r="E816" s="52">
        <v>2</v>
      </c>
      <c r="F816" s="54" t="s">
        <v>910</v>
      </c>
      <c r="G816" s="52"/>
      <c r="H816" s="55"/>
      <c r="I816" s="56"/>
    </row>
    <row r="817" spans="2:9" x14ac:dyDescent="0.2">
      <c r="B817" s="51" t="str">
        <f t="shared" si="11"/>
        <v>2023-041-3</v>
      </c>
      <c r="C817" s="52">
        <v>2023</v>
      </c>
      <c r="D817" s="52" t="s">
        <v>72</v>
      </c>
      <c r="E817" s="52">
        <v>3</v>
      </c>
      <c r="F817" s="54" t="s">
        <v>1301</v>
      </c>
      <c r="G817" s="52"/>
      <c r="H817" s="55"/>
      <c r="I817" s="56"/>
    </row>
    <row r="818" spans="2:9" x14ac:dyDescent="0.2">
      <c r="B818" s="51" t="str">
        <f t="shared" si="11"/>
        <v>2023-041-4</v>
      </c>
      <c r="C818" s="52">
        <v>2023</v>
      </c>
      <c r="D818" s="52" t="s">
        <v>72</v>
      </c>
      <c r="E818" s="52">
        <v>4</v>
      </c>
      <c r="F818" s="54" t="s">
        <v>1677</v>
      </c>
      <c r="G818" s="52" t="s">
        <v>3391</v>
      </c>
      <c r="H818" s="55"/>
      <c r="I818" s="56"/>
    </row>
    <row r="819" spans="2:9" x14ac:dyDescent="0.2">
      <c r="B819" s="57" t="str">
        <f t="shared" si="11"/>
        <v>2023-041-5</v>
      </c>
      <c r="C819" s="58">
        <v>2023</v>
      </c>
      <c r="D819" s="58" t="s">
        <v>72</v>
      </c>
      <c r="E819" s="58">
        <v>5</v>
      </c>
      <c r="F819" s="59" t="s">
        <v>2038</v>
      </c>
      <c r="G819" s="58"/>
      <c r="H819" s="60"/>
      <c r="I819" s="61"/>
    </row>
    <row r="820" spans="2:9" x14ac:dyDescent="0.2">
      <c r="B820" s="62" t="str">
        <f t="shared" si="11"/>
        <v>2023-042-0</v>
      </c>
      <c r="C820" s="63">
        <v>2023</v>
      </c>
      <c r="D820" s="63" t="s">
        <v>73</v>
      </c>
      <c r="E820" s="63">
        <v>0</v>
      </c>
      <c r="F820" s="64" t="s">
        <v>165</v>
      </c>
      <c r="G820" s="63"/>
      <c r="H820" s="65"/>
      <c r="I820" s="66"/>
    </row>
    <row r="821" spans="2:9" x14ac:dyDescent="0.2">
      <c r="B821" s="51" t="str">
        <f t="shared" si="11"/>
        <v>2023-042-1</v>
      </c>
      <c r="C821" s="52">
        <v>2023</v>
      </c>
      <c r="D821" s="52" t="s">
        <v>73</v>
      </c>
      <c r="E821" s="52">
        <v>1</v>
      </c>
      <c r="F821" s="54" t="s">
        <v>517</v>
      </c>
      <c r="G821" s="52" t="s">
        <v>3391</v>
      </c>
      <c r="H821" s="55"/>
      <c r="I821" s="56"/>
    </row>
    <row r="822" spans="2:9" x14ac:dyDescent="0.2">
      <c r="B822" s="51" t="str">
        <f t="shared" si="11"/>
        <v>2023-042-2</v>
      </c>
      <c r="C822" s="52">
        <v>2023</v>
      </c>
      <c r="D822" s="52" t="s">
        <v>73</v>
      </c>
      <c r="E822" s="52">
        <v>2</v>
      </c>
      <c r="F822" s="54" t="s">
        <v>911</v>
      </c>
      <c r="G822" s="52"/>
      <c r="H822" s="55"/>
      <c r="I822" s="56"/>
    </row>
    <row r="823" spans="2:9" x14ac:dyDescent="0.2">
      <c r="B823" s="51" t="str">
        <f t="shared" si="11"/>
        <v>2023-042-3</v>
      </c>
      <c r="C823" s="52">
        <v>2023</v>
      </c>
      <c r="D823" s="52" t="s">
        <v>73</v>
      </c>
      <c r="E823" s="52">
        <v>3</v>
      </c>
      <c r="F823" s="54" t="s">
        <v>1302</v>
      </c>
      <c r="G823" s="52"/>
      <c r="H823" s="55"/>
      <c r="I823" s="56"/>
    </row>
    <row r="824" spans="2:9" x14ac:dyDescent="0.2">
      <c r="B824" s="51" t="str">
        <f t="shared" si="11"/>
        <v>2023-042-4</v>
      </c>
      <c r="C824" s="52">
        <v>2023</v>
      </c>
      <c r="D824" s="52" t="s">
        <v>73</v>
      </c>
      <c r="E824" s="52">
        <v>4</v>
      </c>
      <c r="F824" s="54" t="s">
        <v>1678</v>
      </c>
      <c r="G824" s="52"/>
      <c r="H824" s="55"/>
      <c r="I824" s="56"/>
    </row>
    <row r="825" spans="2:9" x14ac:dyDescent="0.2">
      <c r="B825" s="57" t="str">
        <f t="shared" si="11"/>
        <v>2023-042-5</v>
      </c>
      <c r="C825" s="58">
        <v>2023</v>
      </c>
      <c r="D825" s="58" t="s">
        <v>73</v>
      </c>
      <c r="E825" s="58">
        <v>5</v>
      </c>
      <c r="F825" s="59" t="s">
        <v>2039</v>
      </c>
      <c r="G825" s="58"/>
      <c r="H825" s="60"/>
      <c r="I825" s="61"/>
    </row>
    <row r="826" spans="2:9" x14ac:dyDescent="0.2">
      <c r="B826" s="62" t="str">
        <f t="shared" si="11"/>
        <v>2023-043-0</v>
      </c>
      <c r="C826" s="63">
        <v>2023</v>
      </c>
      <c r="D826" s="63" t="s">
        <v>74</v>
      </c>
      <c r="E826" s="63">
        <v>0</v>
      </c>
      <c r="F826" s="64" t="s">
        <v>166</v>
      </c>
      <c r="G826" s="63"/>
      <c r="H826" s="65"/>
      <c r="I826" s="66"/>
    </row>
    <row r="827" spans="2:9" x14ac:dyDescent="0.2">
      <c r="B827" s="51" t="str">
        <f t="shared" si="11"/>
        <v>2023-043-1</v>
      </c>
      <c r="C827" s="52">
        <v>2023</v>
      </c>
      <c r="D827" s="52" t="s">
        <v>74</v>
      </c>
      <c r="E827" s="52">
        <v>1</v>
      </c>
      <c r="F827" s="54" t="s">
        <v>518</v>
      </c>
      <c r="G827" s="52"/>
      <c r="H827" s="55"/>
      <c r="I827" s="56"/>
    </row>
    <row r="828" spans="2:9" ht="27" x14ac:dyDescent="0.2">
      <c r="B828" s="51" t="str">
        <f t="shared" si="11"/>
        <v>2023-043-2</v>
      </c>
      <c r="C828" s="52">
        <v>2023</v>
      </c>
      <c r="D828" s="52" t="s">
        <v>74</v>
      </c>
      <c r="E828" s="52">
        <v>2</v>
      </c>
      <c r="F828" s="54" t="s">
        <v>912</v>
      </c>
      <c r="G828" s="52" t="s">
        <v>3391</v>
      </c>
      <c r="H828" s="55"/>
      <c r="I828" s="56"/>
    </row>
    <row r="829" spans="2:9" x14ac:dyDescent="0.2">
      <c r="B829" s="51" t="str">
        <f t="shared" si="11"/>
        <v>2023-043-3</v>
      </c>
      <c r="C829" s="52">
        <v>2023</v>
      </c>
      <c r="D829" s="52" t="s">
        <v>74</v>
      </c>
      <c r="E829" s="52">
        <v>3</v>
      </c>
      <c r="F829" s="54" t="s">
        <v>1303</v>
      </c>
      <c r="G829" s="52"/>
      <c r="H829" s="55"/>
      <c r="I829" s="56"/>
    </row>
    <row r="830" spans="2:9" ht="27" x14ac:dyDescent="0.2">
      <c r="B830" s="51" t="str">
        <f t="shared" si="11"/>
        <v>2023-043-4</v>
      </c>
      <c r="C830" s="52">
        <v>2023</v>
      </c>
      <c r="D830" s="52" t="s">
        <v>74</v>
      </c>
      <c r="E830" s="52">
        <v>4</v>
      </c>
      <c r="F830" s="54" t="s">
        <v>1679</v>
      </c>
      <c r="G830" s="52"/>
      <c r="H830" s="55"/>
      <c r="I830" s="56"/>
    </row>
    <row r="831" spans="2:9" x14ac:dyDescent="0.2">
      <c r="B831" s="57" t="str">
        <f t="shared" si="11"/>
        <v>2023-043-5</v>
      </c>
      <c r="C831" s="58">
        <v>2023</v>
      </c>
      <c r="D831" s="58" t="s">
        <v>74</v>
      </c>
      <c r="E831" s="58">
        <v>5</v>
      </c>
      <c r="F831" s="59" t="s">
        <v>2040</v>
      </c>
      <c r="G831" s="58"/>
      <c r="H831" s="60"/>
      <c r="I831" s="61"/>
    </row>
    <row r="832" spans="2:9" x14ac:dyDescent="0.2">
      <c r="B832" s="62" t="str">
        <f t="shared" si="11"/>
        <v>2023-044-0</v>
      </c>
      <c r="C832" s="63">
        <v>2023</v>
      </c>
      <c r="D832" s="63" t="s">
        <v>75</v>
      </c>
      <c r="E832" s="63">
        <v>0</v>
      </c>
      <c r="F832" s="64" t="s">
        <v>167</v>
      </c>
      <c r="G832" s="63"/>
      <c r="H832" s="65"/>
      <c r="I832" s="66"/>
    </row>
    <row r="833" spans="2:9" ht="27" x14ac:dyDescent="0.2">
      <c r="B833" s="51" t="str">
        <f t="shared" si="11"/>
        <v>2023-044-1</v>
      </c>
      <c r="C833" s="52">
        <v>2023</v>
      </c>
      <c r="D833" s="52" t="s">
        <v>75</v>
      </c>
      <c r="E833" s="52">
        <v>1</v>
      </c>
      <c r="F833" s="54" t="s">
        <v>519</v>
      </c>
      <c r="G833" s="52"/>
      <c r="H833" s="55"/>
      <c r="I833" s="56"/>
    </row>
    <row r="834" spans="2:9" x14ac:dyDescent="0.2">
      <c r="B834" s="51" t="str">
        <f t="shared" si="11"/>
        <v>2023-044-2</v>
      </c>
      <c r="C834" s="52">
        <v>2023</v>
      </c>
      <c r="D834" s="52" t="s">
        <v>75</v>
      </c>
      <c r="E834" s="52">
        <v>2</v>
      </c>
      <c r="F834" s="54" t="s">
        <v>913</v>
      </c>
      <c r="G834" s="52"/>
      <c r="H834" s="55"/>
      <c r="I834" s="56"/>
    </row>
    <row r="835" spans="2:9" x14ac:dyDescent="0.2">
      <c r="B835" s="51" t="str">
        <f t="shared" si="11"/>
        <v>2023-044-3</v>
      </c>
      <c r="C835" s="52">
        <v>2023</v>
      </c>
      <c r="D835" s="52" t="s">
        <v>75</v>
      </c>
      <c r="E835" s="52">
        <v>3</v>
      </c>
      <c r="F835" s="54" t="s">
        <v>1304</v>
      </c>
      <c r="G835" s="52"/>
      <c r="H835" s="55"/>
      <c r="I835" s="56"/>
    </row>
    <row r="836" spans="2:9" x14ac:dyDescent="0.2">
      <c r="B836" s="51" t="str">
        <f t="shared" si="11"/>
        <v>2023-044-4</v>
      </c>
      <c r="C836" s="52">
        <v>2023</v>
      </c>
      <c r="D836" s="52" t="s">
        <v>75</v>
      </c>
      <c r="E836" s="52">
        <v>4</v>
      </c>
      <c r="F836" s="54" t="s">
        <v>1680</v>
      </c>
      <c r="G836" s="52"/>
      <c r="H836" s="55"/>
      <c r="I836" s="56"/>
    </row>
    <row r="837" spans="2:9" ht="27" x14ac:dyDescent="0.2">
      <c r="B837" s="57" t="str">
        <f t="shared" si="11"/>
        <v>2023-044-5</v>
      </c>
      <c r="C837" s="58">
        <v>2023</v>
      </c>
      <c r="D837" s="58" t="s">
        <v>75</v>
      </c>
      <c r="E837" s="58">
        <v>5</v>
      </c>
      <c r="F837" s="59" t="s">
        <v>2041</v>
      </c>
      <c r="G837" s="58" t="s">
        <v>3391</v>
      </c>
      <c r="H837" s="60"/>
      <c r="I837" s="61"/>
    </row>
    <row r="838" spans="2:9" x14ac:dyDescent="0.2">
      <c r="B838" s="62" t="str">
        <f t="shared" si="11"/>
        <v>2023-045-0</v>
      </c>
      <c r="C838" s="63">
        <v>2023</v>
      </c>
      <c r="D838" s="63" t="s">
        <v>76</v>
      </c>
      <c r="E838" s="63">
        <v>0</v>
      </c>
      <c r="F838" s="64" t="s">
        <v>168</v>
      </c>
      <c r="G838" s="63"/>
      <c r="H838" s="65"/>
      <c r="I838" s="66"/>
    </row>
    <row r="839" spans="2:9" x14ac:dyDescent="0.2">
      <c r="B839" s="51" t="str">
        <f t="shared" si="11"/>
        <v>2023-045-1</v>
      </c>
      <c r="C839" s="52">
        <v>2023</v>
      </c>
      <c r="D839" s="52" t="s">
        <v>76</v>
      </c>
      <c r="E839" s="52">
        <v>1</v>
      </c>
      <c r="F839" s="54" t="s">
        <v>520</v>
      </c>
      <c r="G839" s="52"/>
      <c r="H839" s="55"/>
      <c r="I839" s="56"/>
    </row>
    <row r="840" spans="2:9" x14ac:dyDescent="0.2">
      <c r="B840" s="51" t="str">
        <f t="shared" si="11"/>
        <v>2023-045-2</v>
      </c>
      <c r="C840" s="52">
        <v>2023</v>
      </c>
      <c r="D840" s="52" t="s">
        <v>76</v>
      </c>
      <c r="E840" s="52">
        <v>2</v>
      </c>
      <c r="F840" s="54" t="s">
        <v>914</v>
      </c>
      <c r="G840" s="52"/>
      <c r="H840" s="55"/>
      <c r="I840" s="56"/>
    </row>
    <row r="841" spans="2:9" ht="40.5" x14ac:dyDescent="0.2">
      <c r="B841" s="51" t="str">
        <f t="shared" si="11"/>
        <v>2023-045-3</v>
      </c>
      <c r="C841" s="52">
        <v>2023</v>
      </c>
      <c r="D841" s="52" t="s">
        <v>76</v>
      </c>
      <c r="E841" s="52">
        <v>3</v>
      </c>
      <c r="F841" s="54" t="s">
        <v>1305</v>
      </c>
      <c r="G841" s="52"/>
      <c r="H841" s="55"/>
      <c r="I841" s="56"/>
    </row>
    <row r="842" spans="2:9" ht="27" x14ac:dyDescent="0.2">
      <c r="B842" s="51" t="str">
        <f t="shared" si="11"/>
        <v>2023-045-4</v>
      </c>
      <c r="C842" s="52">
        <v>2023</v>
      </c>
      <c r="D842" s="52" t="s">
        <v>76</v>
      </c>
      <c r="E842" s="52">
        <v>4</v>
      </c>
      <c r="F842" s="54" t="s">
        <v>1681</v>
      </c>
      <c r="G842" s="52" t="s">
        <v>3391</v>
      </c>
      <c r="H842" s="55"/>
      <c r="I842" s="56"/>
    </row>
    <row r="843" spans="2:9" x14ac:dyDescent="0.2">
      <c r="B843" s="57" t="str">
        <f t="shared" si="11"/>
        <v>2023-045-5</v>
      </c>
      <c r="C843" s="58">
        <v>2023</v>
      </c>
      <c r="D843" s="58" t="s">
        <v>76</v>
      </c>
      <c r="E843" s="58">
        <v>5</v>
      </c>
      <c r="F843" s="59" t="s">
        <v>2042</v>
      </c>
      <c r="G843" s="58"/>
      <c r="H843" s="60"/>
      <c r="I843" s="61"/>
    </row>
    <row r="844" spans="2:9" ht="94.5" x14ac:dyDescent="0.2">
      <c r="B844" s="62" t="str">
        <f t="shared" si="11"/>
        <v>2023-046-0</v>
      </c>
      <c r="C844" s="63">
        <v>2023</v>
      </c>
      <c r="D844" s="63" t="s">
        <v>77</v>
      </c>
      <c r="E844" s="63">
        <v>0</v>
      </c>
      <c r="F844" s="64" t="s">
        <v>169</v>
      </c>
      <c r="G844" s="63"/>
      <c r="H844" s="65"/>
      <c r="I844" s="66"/>
    </row>
    <row r="845" spans="2:9" x14ac:dyDescent="0.2">
      <c r="B845" s="51" t="str">
        <f t="shared" si="11"/>
        <v>2023-046-1</v>
      </c>
      <c r="C845" s="52">
        <v>2023</v>
      </c>
      <c r="D845" s="52" t="s">
        <v>77</v>
      </c>
      <c r="E845" s="52">
        <v>1</v>
      </c>
      <c r="F845" s="54" t="s">
        <v>21</v>
      </c>
      <c r="G845" s="52"/>
      <c r="H845" s="55"/>
      <c r="I845" s="56"/>
    </row>
    <row r="846" spans="2:9" x14ac:dyDescent="0.2">
      <c r="B846" s="51" t="str">
        <f t="shared" si="11"/>
        <v>2023-046-2</v>
      </c>
      <c r="C846" s="52">
        <v>2023</v>
      </c>
      <c r="D846" s="52" t="s">
        <v>77</v>
      </c>
      <c r="E846" s="52">
        <v>2</v>
      </c>
      <c r="F846" s="54" t="s">
        <v>38</v>
      </c>
      <c r="G846" s="52"/>
      <c r="H846" s="55"/>
      <c r="I846" s="56"/>
    </row>
    <row r="847" spans="2:9" x14ac:dyDescent="0.2">
      <c r="B847" s="51" t="str">
        <f t="shared" si="11"/>
        <v>2023-046-3</v>
      </c>
      <c r="C847" s="52">
        <v>2023</v>
      </c>
      <c r="D847" s="52" t="s">
        <v>77</v>
      </c>
      <c r="E847" s="52">
        <v>3</v>
      </c>
      <c r="F847" s="54" t="s">
        <v>22</v>
      </c>
      <c r="G847" s="52" t="s">
        <v>3391</v>
      </c>
      <c r="H847" s="55"/>
      <c r="I847" s="56"/>
    </row>
    <row r="848" spans="2:9" x14ac:dyDescent="0.2">
      <c r="B848" s="51" t="str">
        <f t="shared" si="11"/>
        <v>2023-046-4</v>
      </c>
      <c r="C848" s="52">
        <v>2023</v>
      </c>
      <c r="D848" s="52" t="s">
        <v>77</v>
      </c>
      <c r="E848" s="52">
        <v>4</v>
      </c>
      <c r="F848" s="54" t="s">
        <v>31</v>
      </c>
      <c r="G848" s="52"/>
      <c r="H848" s="55"/>
      <c r="I848" s="56"/>
    </row>
    <row r="849" spans="2:9" x14ac:dyDescent="0.2">
      <c r="B849" s="57" t="str">
        <f t="shared" si="11"/>
        <v>2023-046-5</v>
      </c>
      <c r="C849" s="58">
        <v>2023</v>
      </c>
      <c r="D849" s="58" t="s">
        <v>77</v>
      </c>
      <c r="E849" s="58">
        <v>5</v>
      </c>
      <c r="F849" s="59" t="s">
        <v>44</v>
      </c>
      <c r="G849" s="58"/>
      <c r="H849" s="60"/>
      <c r="I849" s="61"/>
    </row>
    <row r="850" spans="2:9" x14ac:dyDescent="0.2">
      <c r="B850" s="62" t="str">
        <f t="shared" si="11"/>
        <v>2023-047-0</v>
      </c>
      <c r="C850" s="63">
        <v>2023</v>
      </c>
      <c r="D850" s="63" t="s">
        <v>78</v>
      </c>
      <c r="E850" s="63">
        <v>0</v>
      </c>
      <c r="F850" s="64" t="s">
        <v>170</v>
      </c>
      <c r="G850" s="63"/>
      <c r="H850" s="65"/>
      <c r="I850" s="66"/>
    </row>
    <row r="851" spans="2:9" x14ac:dyDescent="0.2">
      <c r="B851" s="51" t="str">
        <f t="shared" si="11"/>
        <v>2023-047-1</v>
      </c>
      <c r="C851" s="52">
        <v>2023</v>
      </c>
      <c r="D851" s="52" t="s">
        <v>78</v>
      </c>
      <c r="E851" s="52">
        <v>1</v>
      </c>
      <c r="F851" s="54" t="s">
        <v>521</v>
      </c>
      <c r="G851" s="52"/>
      <c r="H851" s="55"/>
      <c r="I851" s="56"/>
    </row>
    <row r="852" spans="2:9" x14ac:dyDescent="0.2">
      <c r="B852" s="51" t="str">
        <f t="shared" si="11"/>
        <v>2023-047-2</v>
      </c>
      <c r="C852" s="52">
        <v>2023</v>
      </c>
      <c r="D852" s="52" t="s">
        <v>78</v>
      </c>
      <c r="E852" s="52">
        <v>2</v>
      </c>
      <c r="F852" s="54" t="s">
        <v>915</v>
      </c>
      <c r="G852" s="52"/>
      <c r="H852" s="55"/>
      <c r="I852" s="56"/>
    </row>
    <row r="853" spans="2:9" ht="27" x14ac:dyDescent="0.2">
      <c r="B853" s="51" t="str">
        <f t="shared" si="11"/>
        <v>2023-047-3</v>
      </c>
      <c r="C853" s="52">
        <v>2023</v>
      </c>
      <c r="D853" s="52" t="s">
        <v>78</v>
      </c>
      <c r="E853" s="52">
        <v>3</v>
      </c>
      <c r="F853" s="54" t="s">
        <v>1306</v>
      </c>
      <c r="G853" s="52"/>
      <c r="H853" s="55"/>
      <c r="I853" s="56"/>
    </row>
    <row r="854" spans="2:9" ht="27" x14ac:dyDescent="0.2">
      <c r="B854" s="51" t="str">
        <f t="shared" si="11"/>
        <v>2023-047-4</v>
      </c>
      <c r="C854" s="52">
        <v>2023</v>
      </c>
      <c r="D854" s="52" t="s">
        <v>78</v>
      </c>
      <c r="E854" s="52">
        <v>4</v>
      </c>
      <c r="F854" s="54" t="s">
        <v>1682</v>
      </c>
      <c r="G854" s="52"/>
      <c r="H854" s="55"/>
      <c r="I854" s="56"/>
    </row>
    <row r="855" spans="2:9" x14ac:dyDescent="0.2">
      <c r="B855" s="57" t="str">
        <f t="shared" si="11"/>
        <v>2023-047-5</v>
      </c>
      <c r="C855" s="58">
        <v>2023</v>
      </c>
      <c r="D855" s="58" t="s">
        <v>78</v>
      </c>
      <c r="E855" s="58">
        <v>5</v>
      </c>
      <c r="F855" s="59" t="s">
        <v>2043</v>
      </c>
      <c r="G855" s="58" t="s">
        <v>3391</v>
      </c>
      <c r="H855" s="60"/>
      <c r="I855" s="61"/>
    </row>
    <row r="856" spans="2:9" x14ac:dyDescent="0.2">
      <c r="B856" s="62" t="str">
        <f t="shared" si="11"/>
        <v>2023-048-0</v>
      </c>
      <c r="C856" s="63">
        <v>2023</v>
      </c>
      <c r="D856" s="63" t="s">
        <v>79</v>
      </c>
      <c r="E856" s="63">
        <v>0</v>
      </c>
      <c r="F856" s="64" t="s">
        <v>171</v>
      </c>
      <c r="G856" s="63"/>
      <c r="H856" s="65"/>
      <c r="I856" s="66"/>
    </row>
    <row r="857" spans="2:9" x14ac:dyDescent="0.2">
      <c r="B857" s="51" t="str">
        <f t="shared" si="11"/>
        <v>2023-048-1</v>
      </c>
      <c r="C857" s="52">
        <v>2023</v>
      </c>
      <c r="D857" s="52" t="s">
        <v>79</v>
      </c>
      <c r="E857" s="52">
        <v>1</v>
      </c>
      <c r="F857" s="54" t="s">
        <v>522</v>
      </c>
      <c r="G857" s="52"/>
      <c r="H857" s="55"/>
      <c r="I857" s="56"/>
    </row>
    <row r="858" spans="2:9" x14ac:dyDescent="0.2">
      <c r="B858" s="51" t="str">
        <f t="shared" si="11"/>
        <v>2023-048-2</v>
      </c>
      <c r="C858" s="52">
        <v>2023</v>
      </c>
      <c r="D858" s="52" t="s">
        <v>79</v>
      </c>
      <c r="E858" s="52">
        <v>2</v>
      </c>
      <c r="F858" s="54" t="s">
        <v>916</v>
      </c>
      <c r="G858" s="52"/>
      <c r="H858" s="55"/>
      <c r="I858" s="56"/>
    </row>
    <row r="859" spans="2:9" ht="27" x14ac:dyDescent="0.2">
      <c r="B859" s="51" t="str">
        <f t="shared" si="11"/>
        <v>2023-048-3</v>
      </c>
      <c r="C859" s="52">
        <v>2023</v>
      </c>
      <c r="D859" s="52" t="s">
        <v>79</v>
      </c>
      <c r="E859" s="52">
        <v>3</v>
      </c>
      <c r="F859" s="54" t="s">
        <v>1307</v>
      </c>
      <c r="G859" s="52"/>
      <c r="H859" s="55"/>
      <c r="I859" s="56"/>
    </row>
    <row r="860" spans="2:9" ht="27" x14ac:dyDescent="0.2">
      <c r="B860" s="51" t="str">
        <f t="shared" si="11"/>
        <v>2023-048-4</v>
      </c>
      <c r="C860" s="52">
        <v>2023</v>
      </c>
      <c r="D860" s="52" t="s">
        <v>79</v>
      </c>
      <c r="E860" s="52">
        <v>4</v>
      </c>
      <c r="F860" s="54" t="s">
        <v>1683</v>
      </c>
      <c r="G860" s="52" t="s">
        <v>3391</v>
      </c>
      <c r="H860" s="55"/>
      <c r="I860" s="56"/>
    </row>
    <row r="861" spans="2:9" x14ac:dyDescent="0.2">
      <c r="B861" s="57" t="str">
        <f t="shared" si="11"/>
        <v>2023-048-5</v>
      </c>
      <c r="C861" s="58">
        <v>2023</v>
      </c>
      <c r="D861" s="58" t="s">
        <v>79</v>
      </c>
      <c r="E861" s="58">
        <v>5</v>
      </c>
      <c r="F861" s="59" t="s">
        <v>1706</v>
      </c>
      <c r="G861" s="58"/>
      <c r="H861" s="60"/>
      <c r="I861" s="61"/>
    </row>
    <row r="862" spans="2:9" x14ac:dyDescent="0.2">
      <c r="B862" s="62" t="str">
        <f t="shared" si="11"/>
        <v>2023-049-0</v>
      </c>
      <c r="C862" s="63">
        <v>2023</v>
      </c>
      <c r="D862" s="63" t="s">
        <v>80</v>
      </c>
      <c r="E862" s="63">
        <v>0</v>
      </c>
      <c r="F862" s="64" t="s">
        <v>172</v>
      </c>
      <c r="G862" s="63"/>
      <c r="H862" s="65"/>
      <c r="I862" s="66"/>
    </row>
    <row r="863" spans="2:9" x14ac:dyDescent="0.2">
      <c r="B863" s="51" t="str">
        <f t="shared" si="11"/>
        <v>2023-049-1</v>
      </c>
      <c r="C863" s="52">
        <v>2023</v>
      </c>
      <c r="D863" s="52" t="s">
        <v>80</v>
      </c>
      <c r="E863" s="52">
        <v>1</v>
      </c>
      <c r="F863" s="54" t="s">
        <v>523</v>
      </c>
      <c r="G863" s="52"/>
      <c r="H863" s="55"/>
      <c r="I863" s="56"/>
    </row>
    <row r="864" spans="2:9" x14ac:dyDescent="0.2">
      <c r="B864" s="51" t="str">
        <f t="shared" si="11"/>
        <v>2023-049-2</v>
      </c>
      <c r="C864" s="52">
        <v>2023</v>
      </c>
      <c r="D864" s="52" t="s">
        <v>80</v>
      </c>
      <c r="E864" s="52">
        <v>2</v>
      </c>
      <c r="F864" s="54" t="s">
        <v>917</v>
      </c>
      <c r="G864" s="52"/>
      <c r="H864" s="55"/>
      <c r="I864" s="56"/>
    </row>
    <row r="865" spans="2:9" x14ac:dyDescent="0.2">
      <c r="B865" s="51" t="str">
        <f t="shared" si="11"/>
        <v>2023-049-3</v>
      </c>
      <c r="C865" s="52">
        <v>2023</v>
      </c>
      <c r="D865" s="52" t="s">
        <v>80</v>
      </c>
      <c r="E865" s="52">
        <v>3</v>
      </c>
      <c r="F865" s="54" t="s">
        <v>1308</v>
      </c>
      <c r="G865" s="52" t="s">
        <v>3391</v>
      </c>
      <c r="H865" s="55"/>
      <c r="I865" s="56"/>
    </row>
    <row r="866" spans="2:9" x14ac:dyDescent="0.2">
      <c r="B866" s="51" t="str">
        <f t="shared" si="11"/>
        <v>2023-049-4</v>
      </c>
      <c r="C866" s="52">
        <v>2023</v>
      </c>
      <c r="D866" s="52" t="s">
        <v>80</v>
      </c>
      <c r="E866" s="52">
        <v>4</v>
      </c>
      <c r="F866" s="54" t="s">
        <v>1684</v>
      </c>
      <c r="G866" s="52"/>
      <c r="H866" s="55"/>
      <c r="I866" s="56"/>
    </row>
    <row r="867" spans="2:9" ht="27" x14ac:dyDescent="0.2">
      <c r="B867" s="57" t="str">
        <f t="shared" si="11"/>
        <v>2023-049-5</v>
      </c>
      <c r="C867" s="58">
        <v>2023</v>
      </c>
      <c r="D867" s="58" t="s">
        <v>80</v>
      </c>
      <c r="E867" s="58">
        <v>5</v>
      </c>
      <c r="F867" s="59" t="s">
        <v>2044</v>
      </c>
      <c r="G867" s="58"/>
      <c r="H867" s="60"/>
      <c r="I867" s="61"/>
    </row>
    <row r="868" spans="2:9" x14ac:dyDescent="0.2">
      <c r="B868" s="62" t="str">
        <f t="shared" si="11"/>
        <v>2023-050-0</v>
      </c>
      <c r="C868" s="63">
        <v>2023</v>
      </c>
      <c r="D868" s="63" t="s">
        <v>81</v>
      </c>
      <c r="E868" s="63">
        <v>0</v>
      </c>
      <c r="F868" s="64" t="s">
        <v>173</v>
      </c>
      <c r="G868" s="63"/>
      <c r="H868" s="65"/>
      <c r="I868" s="66"/>
    </row>
    <row r="869" spans="2:9" x14ac:dyDescent="0.2">
      <c r="B869" s="51" t="str">
        <f t="shared" ref="B869:B873" si="12">C869&amp;"-"&amp;D869&amp;"-"&amp;E869</f>
        <v>2023-050-1</v>
      </c>
      <c r="C869" s="52">
        <v>2023</v>
      </c>
      <c r="D869" s="52" t="s">
        <v>81</v>
      </c>
      <c r="E869" s="52">
        <v>1</v>
      </c>
      <c r="F869" s="54" t="s">
        <v>524</v>
      </c>
      <c r="G869" s="52"/>
      <c r="H869" s="55"/>
      <c r="I869" s="56"/>
    </row>
    <row r="870" spans="2:9" x14ac:dyDescent="0.2">
      <c r="B870" s="51" t="str">
        <f t="shared" si="12"/>
        <v>2023-050-2</v>
      </c>
      <c r="C870" s="52">
        <v>2023</v>
      </c>
      <c r="D870" s="52" t="s">
        <v>81</v>
      </c>
      <c r="E870" s="52">
        <v>2</v>
      </c>
      <c r="F870" s="54" t="s">
        <v>918</v>
      </c>
      <c r="G870" s="52"/>
      <c r="H870" s="55"/>
      <c r="I870" s="56"/>
    </row>
    <row r="871" spans="2:9" ht="27" x14ac:dyDescent="0.2">
      <c r="B871" s="51" t="str">
        <f t="shared" si="12"/>
        <v>2023-050-3</v>
      </c>
      <c r="C871" s="52">
        <v>2023</v>
      </c>
      <c r="D871" s="52" t="s">
        <v>81</v>
      </c>
      <c r="E871" s="52">
        <v>3</v>
      </c>
      <c r="F871" s="54" t="s">
        <v>1309</v>
      </c>
      <c r="G871" s="52" t="s">
        <v>3391</v>
      </c>
      <c r="H871" s="55"/>
      <c r="I871" s="56"/>
    </row>
    <row r="872" spans="2:9" x14ac:dyDescent="0.2">
      <c r="B872" s="51" t="str">
        <f t="shared" si="12"/>
        <v>2023-050-4</v>
      </c>
      <c r="C872" s="52">
        <v>2023</v>
      </c>
      <c r="D872" s="52" t="s">
        <v>81</v>
      </c>
      <c r="E872" s="52">
        <v>4</v>
      </c>
      <c r="F872" s="54" t="s">
        <v>1394</v>
      </c>
      <c r="G872" s="52"/>
      <c r="H872" s="55"/>
      <c r="I872" s="56"/>
    </row>
    <row r="873" spans="2:9" ht="27.75" thickBot="1" x14ac:dyDescent="0.25">
      <c r="B873" s="67" t="str">
        <f t="shared" si="12"/>
        <v>2023-050-5</v>
      </c>
      <c r="C873" s="68">
        <v>2023</v>
      </c>
      <c r="D873" s="68" t="s">
        <v>81</v>
      </c>
      <c r="E873" s="68">
        <v>5</v>
      </c>
      <c r="F873" s="69" t="s">
        <v>2045</v>
      </c>
      <c r="G873" s="68"/>
      <c r="H873" s="70"/>
      <c r="I873" s="71"/>
    </row>
    <row r="874" spans="2:9" x14ac:dyDescent="0.2">
      <c r="B874" s="45" t="str">
        <f t="shared" ref="B874:B906" si="13">C874&amp;"-"&amp;D874&amp;"-"&amp;E874</f>
        <v>2022-026-0</v>
      </c>
      <c r="C874" s="46">
        <v>2022</v>
      </c>
      <c r="D874" s="46" t="s">
        <v>4</v>
      </c>
      <c r="E874" s="46">
        <v>0</v>
      </c>
      <c r="F874" s="48" t="s">
        <v>174</v>
      </c>
      <c r="G874" s="46"/>
      <c r="H874" s="49"/>
      <c r="I874" s="50"/>
    </row>
    <row r="875" spans="2:9" ht="27" x14ac:dyDescent="0.2">
      <c r="B875" s="51" t="str">
        <f t="shared" si="13"/>
        <v>2022-026-1</v>
      </c>
      <c r="C875" s="52">
        <v>2022</v>
      </c>
      <c r="D875" s="52" t="s">
        <v>4</v>
      </c>
      <c r="E875" s="52">
        <v>1</v>
      </c>
      <c r="F875" s="54" t="s">
        <v>525</v>
      </c>
      <c r="G875" s="52"/>
      <c r="H875" s="55"/>
      <c r="I875" s="56"/>
    </row>
    <row r="876" spans="2:9" x14ac:dyDescent="0.2">
      <c r="B876" s="51" t="str">
        <f t="shared" si="13"/>
        <v>2022-026-2</v>
      </c>
      <c r="C876" s="52">
        <v>2022</v>
      </c>
      <c r="D876" s="52" t="s">
        <v>4</v>
      </c>
      <c r="E876" s="52">
        <v>2</v>
      </c>
      <c r="F876" s="54" t="s">
        <v>571</v>
      </c>
      <c r="G876" s="52"/>
      <c r="H876" s="55"/>
      <c r="I876" s="56"/>
    </row>
    <row r="877" spans="2:9" ht="40.5" x14ac:dyDescent="0.2">
      <c r="B877" s="51" t="str">
        <f t="shared" si="13"/>
        <v>2022-026-3</v>
      </c>
      <c r="C877" s="52">
        <v>2022</v>
      </c>
      <c r="D877" s="52" t="s">
        <v>4</v>
      </c>
      <c r="E877" s="52">
        <v>3</v>
      </c>
      <c r="F877" s="54" t="s">
        <v>1310</v>
      </c>
      <c r="G877" s="52"/>
      <c r="H877" s="55"/>
      <c r="I877" s="56"/>
    </row>
    <row r="878" spans="2:9" ht="27" x14ac:dyDescent="0.2">
      <c r="B878" s="51" t="str">
        <f t="shared" si="13"/>
        <v>2022-026-4</v>
      </c>
      <c r="C878" s="52">
        <v>2022</v>
      </c>
      <c r="D878" s="52" t="s">
        <v>4</v>
      </c>
      <c r="E878" s="52">
        <v>4</v>
      </c>
      <c r="F878" s="54" t="s">
        <v>1685</v>
      </c>
      <c r="G878" s="52"/>
      <c r="H878" s="55"/>
      <c r="I878" s="56"/>
    </row>
    <row r="879" spans="2:9" ht="27" x14ac:dyDescent="0.2">
      <c r="B879" s="57" t="str">
        <f t="shared" si="13"/>
        <v>2022-026-5</v>
      </c>
      <c r="C879" s="58">
        <v>2022</v>
      </c>
      <c r="D879" s="58" t="s">
        <v>4</v>
      </c>
      <c r="E879" s="58">
        <v>5</v>
      </c>
      <c r="F879" s="59" t="s">
        <v>2046</v>
      </c>
      <c r="G879" s="58" t="s">
        <v>3391</v>
      </c>
      <c r="H879" s="60"/>
      <c r="I879" s="61"/>
    </row>
    <row r="880" spans="2:9" ht="81" x14ac:dyDescent="0.2">
      <c r="B880" s="62" t="str">
        <f t="shared" si="13"/>
        <v>2022-027-0</v>
      </c>
      <c r="C880" s="63">
        <v>2022</v>
      </c>
      <c r="D880" s="63" t="s">
        <v>5</v>
      </c>
      <c r="E880" s="63">
        <v>0</v>
      </c>
      <c r="F880" s="64" t="s">
        <v>175</v>
      </c>
      <c r="G880" s="63"/>
      <c r="H880" s="65"/>
      <c r="I880" s="66"/>
    </row>
    <row r="881" spans="2:9" x14ac:dyDescent="0.2">
      <c r="B881" s="51" t="str">
        <f t="shared" si="13"/>
        <v>2022-027-1</v>
      </c>
      <c r="C881" s="52">
        <v>2022</v>
      </c>
      <c r="D881" s="52" t="s">
        <v>5</v>
      </c>
      <c r="E881" s="52">
        <v>1</v>
      </c>
      <c r="F881" s="54" t="s">
        <v>526</v>
      </c>
      <c r="G881" s="52"/>
      <c r="H881" s="55"/>
      <c r="I881" s="56"/>
    </row>
    <row r="882" spans="2:9" x14ac:dyDescent="0.2">
      <c r="B882" s="51" t="str">
        <f t="shared" si="13"/>
        <v>2022-027-2</v>
      </c>
      <c r="C882" s="52">
        <v>2022</v>
      </c>
      <c r="D882" s="52" t="s">
        <v>5</v>
      </c>
      <c r="E882" s="52">
        <v>2</v>
      </c>
      <c r="F882" s="54" t="s">
        <v>919</v>
      </c>
      <c r="G882" s="52"/>
      <c r="H882" s="55"/>
      <c r="I882" s="56"/>
    </row>
    <row r="883" spans="2:9" x14ac:dyDescent="0.2">
      <c r="B883" s="51" t="str">
        <f t="shared" si="13"/>
        <v>2022-027-3</v>
      </c>
      <c r="C883" s="52">
        <v>2022</v>
      </c>
      <c r="D883" s="52" t="s">
        <v>5</v>
      </c>
      <c r="E883" s="52">
        <v>3</v>
      </c>
      <c r="F883" s="54" t="s">
        <v>1311</v>
      </c>
      <c r="G883" s="52" t="s">
        <v>3391</v>
      </c>
      <c r="H883" s="55"/>
      <c r="I883" s="56"/>
    </row>
    <row r="884" spans="2:9" x14ac:dyDescent="0.2">
      <c r="B884" s="51" t="str">
        <f t="shared" si="13"/>
        <v>2022-027-4</v>
      </c>
      <c r="C884" s="52">
        <v>2022</v>
      </c>
      <c r="D884" s="52" t="s">
        <v>5</v>
      </c>
      <c r="E884" s="52">
        <v>4</v>
      </c>
      <c r="F884" s="54" t="s">
        <v>1686</v>
      </c>
      <c r="G884" s="52"/>
      <c r="H884" s="55"/>
      <c r="I884" s="56"/>
    </row>
    <row r="885" spans="2:9" x14ac:dyDescent="0.2">
      <c r="B885" s="57" t="str">
        <f t="shared" si="13"/>
        <v>2022-027-5</v>
      </c>
      <c r="C885" s="58">
        <v>2022</v>
      </c>
      <c r="D885" s="58" t="s">
        <v>5</v>
      </c>
      <c r="E885" s="58">
        <v>5</v>
      </c>
      <c r="F885" s="59" t="s">
        <v>2047</v>
      </c>
      <c r="G885" s="58"/>
      <c r="H885" s="60"/>
      <c r="I885" s="61"/>
    </row>
    <row r="886" spans="2:9" x14ac:dyDescent="0.2">
      <c r="B886" s="62" t="str">
        <f t="shared" si="13"/>
        <v>2022-028-0</v>
      </c>
      <c r="C886" s="63">
        <v>2022</v>
      </c>
      <c r="D886" s="63" t="s">
        <v>6</v>
      </c>
      <c r="E886" s="63">
        <v>0</v>
      </c>
      <c r="F886" s="64" t="s">
        <v>176</v>
      </c>
      <c r="G886" s="63"/>
      <c r="H886" s="65"/>
      <c r="I886" s="66"/>
    </row>
    <row r="887" spans="2:9" ht="27" x14ac:dyDescent="0.2">
      <c r="B887" s="51" t="str">
        <f t="shared" si="13"/>
        <v>2022-028-1</v>
      </c>
      <c r="C887" s="52">
        <v>2022</v>
      </c>
      <c r="D887" s="52" t="s">
        <v>6</v>
      </c>
      <c r="E887" s="52">
        <v>1</v>
      </c>
      <c r="F887" s="54" t="s">
        <v>527</v>
      </c>
      <c r="G887" s="52"/>
      <c r="H887" s="55"/>
      <c r="I887" s="56"/>
    </row>
    <row r="888" spans="2:9" x14ac:dyDescent="0.2">
      <c r="B888" s="51" t="str">
        <f t="shared" si="13"/>
        <v>2022-028-2</v>
      </c>
      <c r="C888" s="52">
        <v>2022</v>
      </c>
      <c r="D888" s="52" t="s">
        <v>6</v>
      </c>
      <c r="E888" s="52">
        <v>2</v>
      </c>
      <c r="F888" s="54" t="s">
        <v>920</v>
      </c>
      <c r="G888" s="52"/>
      <c r="H888" s="55"/>
      <c r="I888" s="56"/>
    </row>
    <row r="889" spans="2:9" x14ac:dyDescent="0.2">
      <c r="B889" s="51" t="str">
        <f t="shared" si="13"/>
        <v>2022-028-3</v>
      </c>
      <c r="C889" s="52">
        <v>2022</v>
      </c>
      <c r="D889" s="52" t="s">
        <v>6</v>
      </c>
      <c r="E889" s="52">
        <v>3</v>
      </c>
      <c r="F889" s="54" t="s">
        <v>1312</v>
      </c>
      <c r="G889" s="52"/>
      <c r="H889" s="55"/>
      <c r="I889" s="56"/>
    </row>
    <row r="890" spans="2:9" x14ac:dyDescent="0.2">
      <c r="B890" s="51" t="str">
        <f t="shared" si="13"/>
        <v>2022-028-4</v>
      </c>
      <c r="C890" s="52">
        <v>2022</v>
      </c>
      <c r="D890" s="52" t="s">
        <v>6</v>
      </c>
      <c r="E890" s="52">
        <v>4</v>
      </c>
      <c r="F890" s="54" t="s">
        <v>1687</v>
      </c>
      <c r="G890" s="52"/>
      <c r="H890" s="55"/>
      <c r="I890" s="56"/>
    </row>
    <row r="891" spans="2:9" ht="27" x14ac:dyDescent="0.2">
      <c r="B891" s="57" t="str">
        <f t="shared" si="13"/>
        <v>2022-028-5</v>
      </c>
      <c r="C891" s="58">
        <v>2022</v>
      </c>
      <c r="D891" s="58" t="s">
        <v>6</v>
      </c>
      <c r="E891" s="58">
        <v>5</v>
      </c>
      <c r="F891" s="59" t="s">
        <v>2048</v>
      </c>
      <c r="G891" s="58" t="s">
        <v>3391</v>
      </c>
      <c r="H891" s="60"/>
      <c r="I891" s="61"/>
    </row>
    <row r="892" spans="2:9" x14ac:dyDescent="0.2">
      <c r="B892" s="62" t="str">
        <f t="shared" si="13"/>
        <v>2022-029-0</v>
      </c>
      <c r="C892" s="63">
        <v>2022</v>
      </c>
      <c r="D892" s="63" t="s">
        <v>7</v>
      </c>
      <c r="E892" s="63">
        <v>0</v>
      </c>
      <c r="F892" s="64" t="s">
        <v>177</v>
      </c>
      <c r="G892" s="63"/>
      <c r="H892" s="65"/>
      <c r="I892" s="66"/>
    </row>
    <row r="893" spans="2:9" x14ac:dyDescent="0.2">
      <c r="B893" s="51" t="str">
        <f t="shared" si="13"/>
        <v>2022-029-1</v>
      </c>
      <c r="C893" s="52">
        <v>2022</v>
      </c>
      <c r="D893" s="52" t="s">
        <v>7</v>
      </c>
      <c r="E893" s="52">
        <v>1</v>
      </c>
      <c r="F893" s="54" t="s">
        <v>528</v>
      </c>
      <c r="G893" s="52" t="s">
        <v>3391</v>
      </c>
      <c r="H893" s="55"/>
      <c r="I893" s="56"/>
    </row>
    <row r="894" spans="2:9" x14ac:dyDescent="0.2">
      <c r="B894" s="51" t="str">
        <f t="shared" si="13"/>
        <v>2022-029-2</v>
      </c>
      <c r="C894" s="52">
        <v>2022</v>
      </c>
      <c r="D894" s="52" t="s">
        <v>7</v>
      </c>
      <c r="E894" s="52">
        <v>2</v>
      </c>
      <c r="F894" s="54" t="s">
        <v>921</v>
      </c>
      <c r="G894" s="52"/>
      <c r="H894" s="55"/>
      <c r="I894" s="56"/>
    </row>
    <row r="895" spans="2:9" ht="27" x14ac:dyDescent="0.2">
      <c r="B895" s="51" t="str">
        <f t="shared" si="13"/>
        <v>2022-029-3</v>
      </c>
      <c r="C895" s="52">
        <v>2022</v>
      </c>
      <c r="D895" s="52" t="s">
        <v>7</v>
      </c>
      <c r="E895" s="52">
        <v>3</v>
      </c>
      <c r="F895" s="54" t="s">
        <v>1313</v>
      </c>
      <c r="G895" s="52"/>
      <c r="H895" s="55"/>
      <c r="I895" s="56"/>
    </row>
    <row r="896" spans="2:9" x14ac:dyDescent="0.2">
      <c r="B896" s="51" t="str">
        <f t="shared" si="13"/>
        <v>2022-029-4</v>
      </c>
      <c r="C896" s="52">
        <v>2022</v>
      </c>
      <c r="D896" s="52" t="s">
        <v>7</v>
      </c>
      <c r="E896" s="52">
        <v>4</v>
      </c>
      <c r="F896" s="54" t="s">
        <v>1688</v>
      </c>
      <c r="G896" s="52"/>
      <c r="H896" s="55"/>
      <c r="I896" s="56"/>
    </row>
    <row r="897" spans="2:9" x14ac:dyDescent="0.2">
      <c r="B897" s="57" t="str">
        <f t="shared" si="13"/>
        <v>2022-029-5</v>
      </c>
      <c r="C897" s="58">
        <v>2022</v>
      </c>
      <c r="D897" s="58" t="s">
        <v>7</v>
      </c>
      <c r="E897" s="58">
        <v>5</v>
      </c>
      <c r="F897" s="59" t="s">
        <v>2049</v>
      </c>
      <c r="G897" s="58"/>
      <c r="H897" s="60"/>
      <c r="I897" s="61"/>
    </row>
    <row r="898" spans="2:9" x14ac:dyDescent="0.2">
      <c r="B898" s="62" t="str">
        <f t="shared" si="13"/>
        <v>2022-030-0</v>
      </c>
      <c r="C898" s="63">
        <v>2022</v>
      </c>
      <c r="D898" s="63" t="s">
        <v>8</v>
      </c>
      <c r="E898" s="63">
        <v>0</v>
      </c>
      <c r="F898" s="64" t="s">
        <v>178</v>
      </c>
      <c r="G898" s="63"/>
      <c r="H898" s="65"/>
      <c r="I898" s="66"/>
    </row>
    <row r="899" spans="2:9" ht="27" x14ac:dyDescent="0.2">
      <c r="B899" s="51" t="str">
        <f t="shared" si="13"/>
        <v>2022-030-1</v>
      </c>
      <c r="C899" s="52">
        <v>2022</v>
      </c>
      <c r="D899" s="52" t="s">
        <v>8</v>
      </c>
      <c r="E899" s="52">
        <v>1</v>
      </c>
      <c r="F899" s="54" t="s">
        <v>529</v>
      </c>
      <c r="G899" s="52"/>
      <c r="H899" s="55"/>
      <c r="I899" s="56"/>
    </row>
    <row r="900" spans="2:9" ht="27" x14ac:dyDescent="0.2">
      <c r="B900" s="51" t="str">
        <f t="shared" si="13"/>
        <v>2022-030-2</v>
      </c>
      <c r="C900" s="52">
        <v>2022</v>
      </c>
      <c r="D900" s="52" t="s">
        <v>8</v>
      </c>
      <c r="E900" s="52">
        <v>2</v>
      </c>
      <c r="F900" s="54" t="s">
        <v>922</v>
      </c>
      <c r="G900" s="52"/>
      <c r="H900" s="55"/>
      <c r="I900" s="56"/>
    </row>
    <row r="901" spans="2:9" ht="27" x14ac:dyDescent="0.2">
      <c r="B901" s="51" t="str">
        <f t="shared" si="13"/>
        <v>2022-030-3</v>
      </c>
      <c r="C901" s="52">
        <v>2022</v>
      </c>
      <c r="D901" s="52" t="s">
        <v>8</v>
      </c>
      <c r="E901" s="52">
        <v>3</v>
      </c>
      <c r="F901" s="54" t="s">
        <v>505</v>
      </c>
      <c r="G901" s="52"/>
      <c r="H901" s="55"/>
      <c r="I901" s="56"/>
    </row>
    <row r="902" spans="2:9" x14ac:dyDescent="0.2">
      <c r="B902" s="51" t="str">
        <f t="shared" si="13"/>
        <v>2022-030-4</v>
      </c>
      <c r="C902" s="52">
        <v>2022</v>
      </c>
      <c r="D902" s="52" t="s">
        <v>8</v>
      </c>
      <c r="E902" s="52">
        <v>4</v>
      </c>
      <c r="F902" s="54" t="s">
        <v>1689</v>
      </c>
      <c r="G902" s="52" t="s">
        <v>3391</v>
      </c>
      <c r="H902" s="55"/>
      <c r="I902" s="56"/>
    </row>
    <row r="903" spans="2:9" ht="27" x14ac:dyDescent="0.2">
      <c r="B903" s="57" t="str">
        <f t="shared" si="13"/>
        <v>2022-030-5</v>
      </c>
      <c r="C903" s="58">
        <v>2022</v>
      </c>
      <c r="D903" s="58" t="s">
        <v>8</v>
      </c>
      <c r="E903" s="58">
        <v>5</v>
      </c>
      <c r="F903" s="59" t="s">
        <v>2050</v>
      </c>
      <c r="G903" s="58"/>
      <c r="H903" s="60"/>
      <c r="I903" s="61"/>
    </row>
    <row r="904" spans="2:9" x14ac:dyDescent="0.2">
      <c r="B904" s="62" t="str">
        <f t="shared" si="13"/>
        <v>2022-031-0</v>
      </c>
      <c r="C904" s="63">
        <v>2022</v>
      </c>
      <c r="D904" s="63" t="s">
        <v>9</v>
      </c>
      <c r="E904" s="63">
        <v>0</v>
      </c>
      <c r="F904" s="64" t="s">
        <v>179</v>
      </c>
      <c r="G904" s="63"/>
      <c r="H904" s="65"/>
      <c r="I904" s="66"/>
    </row>
    <row r="905" spans="2:9" x14ac:dyDescent="0.2">
      <c r="B905" s="51" t="str">
        <f t="shared" si="13"/>
        <v>2022-031-1</v>
      </c>
      <c r="C905" s="52">
        <v>2022</v>
      </c>
      <c r="D905" s="52" t="s">
        <v>9</v>
      </c>
      <c r="E905" s="52">
        <v>1</v>
      </c>
      <c r="F905" s="54" t="s">
        <v>530</v>
      </c>
      <c r="G905" s="52"/>
      <c r="H905" s="55"/>
      <c r="I905" s="56"/>
    </row>
    <row r="906" spans="2:9" x14ac:dyDescent="0.2">
      <c r="B906" s="51" t="str">
        <f t="shared" si="13"/>
        <v>2022-031-2</v>
      </c>
      <c r="C906" s="52">
        <v>2022</v>
      </c>
      <c r="D906" s="52" t="s">
        <v>9</v>
      </c>
      <c r="E906" s="52">
        <v>2</v>
      </c>
      <c r="F906" s="54" t="s">
        <v>923</v>
      </c>
      <c r="G906" s="52"/>
      <c r="H906" s="55"/>
      <c r="I906" s="56"/>
    </row>
    <row r="907" spans="2:9" ht="27" x14ac:dyDescent="0.2">
      <c r="B907" s="51" t="str">
        <f t="shared" ref="B907:B970" si="14">C907&amp;"-"&amp;D907&amp;"-"&amp;E907</f>
        <v>2022-031-3</v>
      </c>
      <c r="C907" s="52">
        <v>2022</v>
      </c>
      <c r="D907" s="52" t="s">
        <v>9</v>
      </c>
      <c r="E907" s="52">
        <v>3</v>
      </c>
      <c r="F907" s="54" t="s">
        <v>1314</v>
      </c>
      <c r="G907" s="52"/>
      <c r="H907" s="55"/>
      <c r="I907" s="56"/>
    </row>
    <row r="908" spans="2:9" ht="27" x14ac:dyDescent="0.2">
      <c r="B908" s="51" t="str">
        <f t="shared" si="14"/>
        <v>2022-031-4</v>
      </c>
      <c r="C908" s="52">
        <v>2022</v>
      </c>
      <c r="D908" s="52" t="s">
        <v>9</v>
      </c>
      <c r="E908" s="52">
        <v>4</v>
      </c>
      <c r="F908" s="54" t="s">
        <v>1690</v>
      </c>
      <c r="G908" s="52" t="s">
        <v>3391</v>
      </c>
      <c r="H908" s="55"/>
      <c r="I908" s="56"/>
    </row>
    <row r="909" spans="2:9" ht="27" x14ac:dyDescent="0.2">
      <c r="B909" s="57" t="str">
        <f t="shared" si="14"/>
        <v>2022-031-5</v>
      </c>
      <c r="C909" s="58">
        <v>2022</v>
      </c>
      <c r="D909" s="58" t="s">
        <v>9</v>
      </c>
      <c r="E909" s="58">
        <v>5</v>
      </c>
      <c r="F909" s="59" t="s">
        <v>2051</v>
      </c>
      <c r="G909" s="58"/>
      <c r="H909" s="60"/>
      <c r="I909" s="61"/>
    </row>
    <row r="910" spans="2:9" x14ac:dyDescent="0.2">
      <c r="B910" s="62" t="str">
        <f t="shared" si="14"/>
        <v>2022-032-0</v>
      </c>
      <c r="C910" s="63">
        <v>2022</v>
      </c>
      <c r="D910" s="63" t="s">
        <v>10</v>
      </c>
      <c r="E910" s="63">
        <v>0</v>
      </c>
      <c r="F910" s="64" t="s">
        <v>180</v>
      </c>
      <c r="G910" s="63"/>
      <c r="H910" s="65"/>
      <c r="I910" s="66"/>
    </row>
    <row r="911" spans="2:9" ht="27" x14ac:dyDescent="0.2">
      <c r="B911" s="51" t="str">
        <f t="shared" si="14"/>
        <v>2022-032-1</v>
      </c>
      <c r="C911" s="52">
        <v>2022</v>
      </c>
      <c r="D911" s="52" t="s">
        <v>10</v>
      </c>
      <c r="E911" s="52">
        <v>1</v>
      </c>
      <c r="F911" s="54" t="s">
        <v>531</v>
      </c>
      <c r="G911" s="52"/>
      <c r="H911" s="55"/>
      <c r="I911" s="56"/>
    </row>
    <row r="912" spans="2:9" ht="27" x14ac:dyDescent="0.2">
      <c r="B912" s="51" t="str">
        <f t="shared" si="14"/>
        <v>2022-032-2</v>
      </c>
      <c r="C912" s="52">
        <v>2022</v>
      </c>
      <c r="D912" s="52" t="s">
        <v>10</v>
      </c>
      <c r="E912" s="52">
        <v>2</v>
      </c>
      <c r="F912" s="54" t="s">
        <v>924</v>
      </c>
      <c r="G912" s="52"/>
      <c r="H912" s="55"/>
      <c r="I912" s="56"/>
    </row>
    <row r="913" spans="2:9" ht="40.5" x14ac:dyDescent="0.2">
      <c r="B913" s="51" t="str">
        <f t="shared" si="14"/>
        <v>2022-032-3</v>
      </c>
      <c r="C913" s="52">
        <v>2022</v>
      </c>
      <c r="D913" s="52" t="s">
        <v>10</v>
      </c>
      <c r="E913" s="52">
        <v>3</v>
      </c>
      <c r="F913" s="54" t="s">
        <v>1315</v>
      </c>
      <c r="G913" s="52" t="s">
        <v>3391</v>
      </c>
      <c r="H913" s="55"/>
      <c r="I913" s="56"/>
    </row>
    <row r="914" spans="2:9" ht="27" x14ac:dyDescent="0.2">
      <c r="B914" s="51" t="str">
        <f t="shared" si="14"/>
        <v>2022-032-4</v>
      </c>
      <c r="C914" s="52">
        <v>2022</v>
      </c>
      <c r="D914" s="52" t="s">
        <v>10</v>
      </c>
      <c r="E914" s="52">
        <v>4</v>
      </c>
      <c r="F914" s="54" t="s">
        <v>1691</v>
      </c>
      <c r="G914" s="52"/>
      <c r="H914" s="55"/>
      <c r="I914" s="56"/>
    </row>
    <row r="915" spans="2:9" ht="27" x14ac:dyDescent="0.2">
      <c r="B915" s="57" t="str">
        <f t="shared" si="14"/>
        <v>2022-032-5</v>
      </c>
      <c r="C915" s="58">
        <v>2022</v>
      </c>
      <c r="D915" s="58" t="s">
        <v>10</v>
      </c>
      <c r="E915" s="58">
        <v>5</v>
      </c>
      <c r="F915" s="59" t="s">
        <v>2052</v>
      </c>
      <c r="G915" s="58"/>
      <c r="H915" s="60"/>
      <c r="I915" s="61"/>
    </row>
    <row r="916" spans="2:9" x14ac:dyDescent="0.2">
      <c r="B916" s="62" t="str">
        <f t="shared" si="14"/>
        <v>2022-033-0</v>
      </c>
      <c r="C916" s="63">
        <v>2022</v>
      </c>
      <c r="D916" s="63" t="s">
        <v>11</v>
      </c>
      <c r="E916" s="63">
        <v>0</v>
      </c>
      <c r="F916" s="64" t="s">
        <v>181</v>
      </c>
      <c r="G916" s="63"/>
      <c r="H916" s="65"/>
      <c r="I916" s="66"/>
    </row>
    <row r="917" spans="2:9" x14ac:dyDescent="0.2">
      <c r="B917" s="51" t="str">
        <f t="shared" si="14"/>
        <v>2022-033-1</v>
      </c>
      <c r="C917" s="52">
        <v>2022</v>
      </c>
      <c r="D917" s="52" t="s">
        <v>11</v>
      </c>
      <c r="E917" s="52">
        <v>1</v>
      </c>
      <c r="F917" s="54" t="s">
        <v>473</v>
      </c>
      <c r="G917" s="52"/>
      <c r="H917" s="55"/>
      <c r="I917" s="56"/>
    </row>
    <row r="918" spans="2:9" ht="27" x14ac:dyDescent="0.2">
      <c r="B918" s="51" t="str">
        <f t="shared" si="14"/>
        <v>2022-033-2</v>
      </c>
      <c r="C918" s="52">
        <v>2022</v>
      </c>
      <c r="D918" s="52" t="s">
        <v>11</v>
      </c>
      <c r="E918" s="52">
        <v>2</v>
      </c>
      <c r="F918" s="54" t="s">
        <v>925</v>
      </c>
      <c r="G918" s="52"/>
      <c r="H918" s="55"/>
      <c r="I918" s="56"/>
    </row>
    <row r="919" spans="2:9" x14ac:dyDescent="0.2">
      <c r="B919" s="51" t="str">
        <f t="shared" si="14"/>
        <v>2022-033-3</v>
      </c>
      <c r="C919" s="52">
        <v>2022</v>
      </c>
      <c r="D919" s="52" t="s">
        <v>11</v>
      </c>
      <c r="E919" s="52">
        <v>3</v>
      </c>
      <c r="F919" s="54" t="s">
        <v>1316</v>
      </c>
      <c r="G919" s="52"/>
      <c r="H919" s="55"/>
      <c r="I919" s="56"/>
    </row>
    <row r="920" spans="2:9" x14ac:dyDescent="0.2">
      <c r="B920" s="51" t="str">
        <f t="shared" si="14"/>
        <v>2022-033-4</v>
      </c>
      <c r="C920" s="52">
        <v>2022</v>
      </c>
      <c r="D920" s="52" t="s">
        <v>11</v>
      </c>
      <c r="E920" s="52">
        <v>4</v>
      </c>
      <c r="F920" s="54" t="s">
        <v>1692</v>
      </c>
      <c r="G920" s="52" t="s">
        <v>3391</v>
      </c>
      <c r="H920" s="55"/>
      <c r="I920" s="56"/>
    </row>
    <row r="921" spans="2:9" ht="27" x14ac:dyDescent="0.2">
      <c r="B921" s="57" t="str">
        <f t="shared" si="14"/>
        <v>2022-033-5</v>
      </c>
      <c r="C921" s="58">
        <v>2022</v>
      </c>
      <c r="D921" s="58" t="s">
        <v>11</v>
      </c>
      <c r="E921" s="58">
        <v>5</v>
      </c>
      <c r="F921" s="59" t="s">
        <v>2053</v>
      </c>
      <c r="G921" s="58"/>
      <c r="H921" s="60"/>
      <c r="I921" s="61"/>
    </row>
    <row r="922" spans="2:9" x14ac:dyDescent="0.2">
      <c r="B922" s="62" t="str">
        <f t="shared" si="14"/>
        <v>2022-034-0</v>
      </c>
      <c r="C922" s="63">
        <v>2022</v>
      </c>
      <c r="D922" s="63" t="s">
        <v>12</v>
      </c>
      <c r="E922" s="63">
        <v>0</v>
      </c>
      <c r="F922" s="64" t="s">
        <v>182</v>
      </c>
      <c r="G922" s="63"/>
      <c r="H922" s="65"/>
      <c r="I922" s="66"/>
    </row>
    <row r="923" spans="2:9" x14ac:dyDescent="0.2">
      <c r="B923" s="51" t="str">
        <f t="shared" si="14"/>
        <v>2022-034-1</v>
      </c>
      <c r="C923" s="52">
        <v>2022</v>
      </c>
      <c r="D923" s="52" t="s">
        <v>12</v>
      </c>
      <c r="E923" s="52">
        <v>1</v>
      </c>
      <c r="F923" s="54" t="s">
        <v>532</v>
      </c>
      <c r="G923" s="52"/>
      <c r="H923" s="55"/>
      <c r="I923" s="56"/>
    </row>
    <row r="924" spans="2:9" ht="27" x14ac:dyDescent="0.2">
      <c r="B924" s="51" t="str">
        <f t="shared" si="14"/>
        <v>2022-034-2</v>
      </c>
      <c r="C924" s="52">
        <v>2022</v>
      </c>
      <c r="D924" s="52" t="s">
        <v>12</v>
      </c>
      <c r="E924" s="52">
        <v>2</v>
      </c>
      <c r="F924" s="54" t="s">
        <v>926</v>
      </c>
      <c r="G924" s="52" t="s">
        <v>3391</v>
      </c>
      <c r="H924" s="55"/>
      <c r="I924" s="56"/>
    </row>
    <row r="925" spans="2:9" x14ac:dyDescent="0.2">
      <c r="B925" s="51" t="str">
        <f t="shared" si="14"/>
        <v>2022-034-3</v>
      </c>
      <c r="C925" s="52">
        <v>2022</v>
      </c>
      <c r="D925" s="52" t="s">
        <v>12</v>
      </c>
      <c r="E925" s="52">
        <v>3</v>
      </c>
      <c r="F925" s="54" t="s">
        <v>625</v>
      </c>
      <c r="G925" s="52"/>
      <c r="H925" s="55"/>
      <c r="I925" s="56"/>
    </row>
    <row r="926" spans="2:9" x14ac:dyDescent="0.2">
      <c r="B926" s="51" t="str">
        <f t="shared" si="14"/>
        <v>2022-034-4</v>
      </c>
      <c r="C926" s="52">
        <v>2022</v>
      </c>
      <c r="D926" s="52" t="s">
        <v>12</v>
      </c>
      <c r="E926" s="52">
        <v>4</v>
      </c>
      <c r="F926" s="54" t="s">
        <v>1693</v>
      </c>
      <c r="G926" s="52"/>
      <c r="H926" s="55"/>
      <c r="I926" s="56"/>
    </row>
    <row r="927" spans="2:9" x14ac:dyDescent="0.2">
      <c r="B927" s="57" t="str">
        <f t="shared" si="14"/>
        <v>2022-034-5</v>
      </c>
      <c r="C927" s="58">
        <v>2022</v>
      </c>
      <c r="D927" s="58" t="s">
        <v>12</v>
      </c>
      <c r="E927" s="58">
        <v>5</v>
      </c>
      <c r="F927" s="59" t="s">
        <v>2054</v>
      </c>
      <c r="G927" s="58"/>
      <c r="H927" s="60"/>
      <c r="I927" s="61"/>
    </row>
    <row r="928" spans="2:9" ht="81" x14ac:dyDescent="0.2">
      <c r="B928" s="62" t="str">
        <f t="shared" si="14"/>
        <v>2022-035-0</v>
      </c>
      <c r="C928" s="63">
        <v>2022</v>
      </c>
      <c r="D928" s="63" t="s">
        <v>13</v>
      </c>
      <c r="E928" s="63">
        <v>0</v>
      </c>
      <c r="F928" s="64" t="s">
        <v>183</v>
      </c>
      <c r="G928" s="63"/>
      <c r="H928" s="65"/>
      <c r="I928" s="66"/>
    </row>
    <row r="929" spans="2:9" x14ac:dyDescent="0.2">
      <c r="B929" s="51" t="str">
        <f t="shared" si="14"/>
        <v>2022-035-1</v>
      </c>
      <c r="C929" s="52">
        <v>2022</v>
      </c>
      <c r="D929" s="52" t="s">
        <v>13</v>
      </c>
      <c r="E929" s="52">
        <v>1</v>
      </c>
      <c r="F929" s="54" t="s">
        <v>533</v>
      </c>
      <c r="G929" s="52"/>
      <c r="H929" s="55"/>
      <c r="I929" s="56"/>
    </row>
    <row r="930" spans="2:9" x14ac:dyDescent="0.2">
      <c r="B930" s="51" t="str">
        <f t="shared" si="14"/>
        <v>2022-035-2</v>
      </c>
      <c r="C930" s="52">
        <v>2022</v>
      </c>
      <c r="D930" s="52" t="s">
        <v>13</v>
      </c>
      <c r="E930" s="52">
        <v>2</v>
      </c>
      <c r="F930" s="54" t="s">
        <v>927</v>
      </c>
      <c r="G930" s="52"/>
      <c r="H930" s="55"/>
      <c r="I930" s="56"/>
    </row>
    <row r="931" spans="2:9" x14ac:dyDescent="0.2">
      <c r="B931" s="51" t="str">
        <f t="shared" si="14"/>
        <v>2022-035-3</v>
      </c>
      <c r="C931" s="52">
        <v>2022</v>
      </c>
      <c r="D931" s="52" t="s">
        <v>13</v>
      </c>
      <c r="E931" s="52">
        <v>3</v>
      </c>
      <c r="F931" s="54" t="s">
        <v>1317</v>
      </c>
      <c r="G931" s="52" t="s">
        <v>3391</v>
      </c>
      <c r="H931" s="55"/>
      <c r="I931" s="56"/>
    </row>
    <row r="932" spans="2:9" x14ac:dyDescent="0.2">
      <c r="B932" s="51" t="str">
        <f t="shared" si="14"/>
        <v>2022-035-4</v>
      </c>
      <c r="C932" s="52">
        <v>2022</v>
      </c>
      <c r="D932" s="52" t="s">
        <v>13</v>
      </c>
      <c r="E932" s="52">
        <v>4</v>
      </c>
      <c r="F932" s="54" t="s">
        <v>1694</v>
      </c>
      <c r="G932" s="52"/>
      <c r="H932" s="55"/>
      <c r="I932" s="56"/>
    </row>
    <row r="933" spans="2:9" x14ac:dyDescent="0.2">
      <c r="B933" s="57" t="str">
        <f t="shared" si="14"/>
        <v>2022-035-5</v>
      </c>
      <c r="C933" s="58">
        <v>2022</v>
      </c>
      <c r="D933" s="58" t="s">
        <v>13</v>
      </c>
      <c r="E933" s="58">
        <v>5</v>
      </c>
      <c r="F933" s="59" t="s">
        <v>2055</v>
      </c>
      <c r="G933" s="58"/>
      <c r="H933" s="60"/>
      <c r="I933" s="61"/>
    </row>
    <row r="934" spans="2:9" x14ac:dyDescent="0.2">
      <c r="B934" s="62" t="str">
        <f t="shared" si="14"/>
        <v>2022-036-0</v>
      </c>
      <c r="C934" s="63">
        <v>2022</v>
      </c>
      <c r="D934" s="63" t="s">
        <v>14</v>
      </c>
      <c r="E934" s="63">
        <v>0</v>
      </c>
      <c r="F934" s="64" t="s">
        <v>184</v>
      </c>
      <c r="G934" s="63"/>
      <c r="H934" s="65"/>
      <c r="I934" s="66"/>
    </row>
    <row r="935" spans="2:9" x14ac:dyDescent="0.2">
      <c r="B935" s="51" t="str">
        <f t="shared" si="14"/>
        <v>2022-036-1</v>
      </c>
      <c r="C935" s="52">
        <v>2022</v>
      </c>
      <c r="D935" s="52" t="s">
        <v>14</v>
      </c>
      <c r="E935" s="52">
        <v>1</v>
      </c>
      <c r="F935" s="54" t="s">
        <v>534</v>
      </c>
      <c r="G935" s="52"/>
      <c r="H935" s="55"/>
      <c r="I935" s="56"/>
    </row>
    <row r="936" spans="2:9" x14ac:dyDescent="0.2">
      <c r="B936" s="51" t="str">
        <f t="shared" si="14"/>
        <v>2022-036-2</v>
      </c>
      <c r="C936" s="52">
        <v>2022</v>
      </c>
      <c r="D936" s="52" t="s">
        <v>14</v>
      </c>
      <c r="E936" s="52">
        <v>2</v>
      </c>
      <c r="F936" s="54" t="s">
        <v>928</v>
      </c>
      <c r="G936" s="52"/>
      <c r="H936" s="55"/>
      <c r="I936" s="56"/>
    </row>
    <row r="937" spans="2:9" ht="27" x14ac:dyDescent="0.2">
      <c r="B937" s="51" t="str">
        <f t="shared" si="14"/>
        <v>2022-036-3</v>
      </c>
      <c r="C937" s="52">
        <v>2022</v>
      </c>
      <c r="D937" s="52" t="s">
        <v>14</v>
      </c>
      <c r="E937" s="52">
        <v>3</v>
      </c>
      <c r="F937" s="54" t="s">
        <v>1318</v>
      </c>
      <c r="G937" s="52"/>
      <c r="H937" s="55"/>
      <c r="I937" s="56"/>
    </row>
    <row r="938" spans="2:9" ht="27" x14ac:dyDescent="0.2">
      <c r="B938" s="51" t="str">
        <f t="shared" si="14"/>
        <v>2022-036-4</v>
      </c>
      <c r="C938" s="52">
        <v>2022</v>
      </c>
      <c r="D938" s="52" t="s">
        <v>14</v>
      </c>
      <c r="E938" s="52">
        <v>4</v>
      </c>
      <c r="F938" s="54" t="s">
        <v>1695</v>
      </c>
      <c r="G938" s="52"/>
      <c r="H938" s="55"/>
      <c r="I938" s="56"/>
    </row>
    <row r="939" spans="2:9" ht="27" x14ac:dyDescent="0.2">
      <c r="B939" s="57" t="str">
        <f t="shared" si="14"/>
        <v>2022-036-5</v>
      </c>
      <c r="C939" s="58">
        <v>2022</v>
      </c>
      <c r="D939" s="58" t="s">
        <v>14</v>
      </c>
      <c r="E939" s="58">
        <v>5</v>
      </c>
      <c r="F939" s="59" t="s">
        <v>2056</v>
      </c>
      <c r="G939" s="58" t="s">
        <v>3391</v>
      </c>
      <c r="H939" s="60"/>
      <c r="I939" s="61"/>
    </row>
    <row r="940" spans="2:9" x14ac:dyDescent="0.2">
      <c r="B940" s="62" t="str">
        <f t="shared" si="14"/>
        <v>2022-037-0</v>
      </c>
      <c r="C940" s="63">
        <v>2022</v>
      </c>
      <c r="D940" s="63" t="s">
        <v>15</v>
      </c>
      <c r="E940" s="63">
        <v>0</v>
      </c>
      <c r="F940" s="64" t="s">
        <v>185</v>
      </c>
      <c r="G940" s="63"/>
      <c r="H940" s="65"/>
      <c r="I940" s="66"/>
    </row>
    <row r="941" spans="2:9" x14ac:dyDescent="0.2">
      <c r="B941" s="51" t="str">
        <f t="shared" si="14"/>
        <v>2022-037-1</v>
      </c>
      <c r="C941" s="52">
        <v>2022</v>
      </c>
      <c r="D941" s="52" t="s">
        <v>15</v>
      </c>
      <c r="E941" s="52">
        <v>1</v>
      </c>
      <c r="F941" s="54" t="s">
        <v>535</v>
      </c>
      <c r="G941" s="52"/>
      <c r="H941" s="55"/>
      <c r="I941" s="56"/>
    </row>
    <row r="942" spans="2:9" x14ac:dyDescent="0.2">
      <c r="B942" s="51" t="str">
        <f t="shared" si="14"/>
        <v>2022-037-2</v>
      </c>
      <c r="C942" s="52">
        <v>2022</v>
      </c>
      <c r="D942" s="52" t="s">
        <v>15</v>
      </c>
      <c r="E942" s="52">
        <v>2</v>
      </c>
      <c r="F942" s="54" t="s">
        <v>929</v>
      </c>
      <c r="G942" s="52"/>
      <c r="H942" s="55"/>
      <c r="I942" s="56"/>
    </row>
    <row r="943" spans="2:9" x14ac:dyDescent="0.2">
      <c r="B943" s="51" t="str">
        <f t="shared" si="14"/>
        <v>2022-037-3</v>
      </c>
      <c r="C943" s="52">
        <v>2022</v>
      </c>
      <c r="D943" s="52" t="s">
        <v>15</v>
      </c>
      <c r="E943" s="52">
        <v>3</v>
      </c>
      <c r="F943" s="54" t="s">
        <v>1319</v>
      </c>
      <c r="G943" s="52" t="s">
        <v>3391</v>
      </c>
      <c r="H943" s="55"/>
      <c r="I943" s="56"/>
    </row>
    <row r="944" spans="2:9" ht="27" x14ac:dyDescent="0.2">
      <c r="B944" s="51" t="str">
        <f t="shared" si="14"/>
        <v>2022-037-4</v>
      </c>
      <c r="C944" s="52">
        <v>2022</v>
      </c>
      <c r="D944" s="52" t="s">
        <v>15</v>
      </c>
      <c r="E944" s="52">
        <v>4</v>
      </c>
      <c r="F944" s="54" t="s">
        <v>1696</v>
      </c>
      <c r="G944" s="52"/>
      <c r="H944" s="55"/>
      <c r="I944" s="56"/>
    </row>
    <row r="945" spans="2:9" x14ac:dyDescent="0.2">
      <c r="B945" s="57" t="str">
        <f t="shared" si="14"/>
        <v>2022-037-5</v>
      </c>
      <c r="C945" s="58">
        <v>2022</v>
      </c>
      <c r="D945" s="58" t="s">
        <v>15</v>
      </c>
      <c r="E945" s="58">
        <v>5</v>
      </c>
      <c r="F945" s="59" t="s">
        <v>2057</v>
      </c>
      <c r="G945" s="58"/>
      <c r="H945" s="60"/>
      <c r="I945" s="61"/>
    </row>
    <row r="946" spans="2:9" x14ac:dyDescent="0.2">
      <c r="B946" s="62" t="str">
        <f t="shared" si="14"/>
        <v>2022-038-0</v>
      </c>
      <c r="C946" s="63">
        <v>2022</v>
      </c>
      <c r="D946" s="63" t="s">
        <v>16</v>
      </c>
      <c r="E946" s="63">
        <v>0</v>
      </c>
      <c r="F946" s="64" t="s">
        <v>186</v>
      </c>
      <c r="G946" s="63"/>
      <c r="H946" s="65"/>
      <c r="I946" s="66"/>
    </row>
    <row r="947" spans="2:9" x14ac:dyDescent="0.2">
      <c r="B947" s="51" t="str">
        <f t="shared" si="14"/>
        <v>2022-038-1</v>
      </c>
      <c r="C947" s="52">
        <v>2022</v>
      </c>
      <c r="D947" s="52" t="s">
        <v>16</v>
      </c>
      <c r="E947" s="52">
        <v>1</v>
      </c>
      <c r="F947" s="54" t="s">
        <v>536</v>
      </c>
      <c r="G947" s="52"/>
      <c r="H947" s="55"/>
      <c r="I947" s="56"/>
    </row>
    <row r="948" spans="2:9" x14ac:dyDescent="0.2">
      <c r="B948" s="51" t="str">
        <f t="shared" si="14"/>
        <v>2022-038-2</v>
      </c>
      <c r="C948" s="52">
        <v>2022</v>
      </c>
      <c r="D948" s="52" t="s">
        <v>16</v>
      </c>
      <c r="E948" s="52">
        <v>2</v>
      </c>
      <c r="F948" s="54" t="s">
        <v>930</v>
      </c>
      <c r="G948" s="52" t="s">
        <v>3391</v>
      </c>
      <c r="H948" s="55"/>
      <c r="I948" s="56"/>
    </row>
    <row r="949" spans="2:9" x14ac:dyDescent="0.2">
      <c r="B949" s="51" t="str">
        <f t="shared" si="14"/>
        <v>2022-038-3</v>
      </c>
      <c r="C949" s="52">
        <v>2022</v>
      </c>
      <c r="D949" s="52" t="s">
        <v>16</v>
      </c>
      <c r="E949" s="52">
        <v>3</v>
      </c>
      <c r="F949" s="54" t="s">
        <v>1320</v>
      </c>
      <c r="G949" s="52"/>
      <c r="H949" s="55"/>
      <c r="I949" s="56"/>
    </row>
    <row r="950" spans="2:9" ht="27" x14ac:dyDescent="0.2">
      <c r="B950" s="51" t="str">
        <f t="shared" si="14"/>
        <v>2022-038-4</v>
      </c>
      <c r="C950" s="52">
        <v>2022</v>
      </c>
      <c r="D950" s="52" t="s">
        <v>16</v>
      </c>
      <c r="E950" s="52">
        <v>4</v>
      </c>
      <c r="F950" s="54" t="s">
        <v>1697</v>
      </c>
      <c r="G950" s="52"/>
      <c r="H950" s="55"/>
      <c r="I950" s="56"/>
    </row>
    <row r="951" spans="2:9" x14ac:dyDescent="0.2">
      <c r="B951" s="57" t="str">
        <f t="shared" si="14"/>
        <v>2022-038-5</v>
      </c>
      <c r="C951" s="58">
        <v>2022</v>
      </c>
      <c r="D951" s="58" t="s">
        <v>16</v>
      </c>
      <c r="E951" s="58">
        <v>5</v>
      </c>
      <c r="F951" s="59" t="s">
        <v>2058</v>
      </c>
      <c r="G951" s="58"/>
      <c r="H951" s="60"/>
      <c r="I951" s="61"/>
    </row>
    <row r="952" spans="2:9" ht="94.5" x14ac:dyDescent="0.2">
      <c r="B952" s="62" t="str">
        <f t="shared" si="14"/>
        <v>2022-039-0</v>
      </c>
      <c r="C952" s="63">
        <v>2022</v>
      </c>
      <c r="D952" s="63" t="s">
        <v>17</v>
      </c>
      <c r="E952" s="63">
        <v>0</v>
      </c>
      <c r="F952" s="64" t="s">
        <v>187</v>
      </c>
      <c r="G952" s="63"/>
      <c r="H952" s="65"/>
      <c r="I952" s="66"/>
    </row>
    <row r="953" spans="2:9" x14ac:dyDescent="0.2">
      <c r="B953" s="51" t="str">
        <f t="shared" si="14"/>
        <v>2022-039-1</v>
      </c>
      <c r="C953" s="52">
        <v>2022</v>
      </c>
      <c r="D953" s="52" t="s">
        <v>17</v>
      </c>
      <c r="E953" s="52">
        <v>1</v>
      </c>
      <c r="F953" s="54" t="s">
        <v>537</v>
      </c>
      <c r="G953" s="52"/>
      <c r="H953" s="55"/>
      <c r="I953" s="56"/>
    </row>
    <row r="954" spans="2:9" x14ac:dyDescent="0.2">
      <c r="B954" s="51" t="str">
        <f t="shared" si="14"/>
        <v>2022-039-2</v>
      </c>
      <c r="C954" s="52">
        <v>2022</v>
      </c>
      <c r="D954" s="52" t="s">
        <v>17</v>
      </c>
      <c r="E954" s="52">
        <v>2</v>
      </c>
      <c r="F954" s="54" t="s">
        <v>931</v>
      </c>
      <c r="G954" s="52"/>
      <c r="H954" s="55"/>
      <c r="I954" s="56"/>
    </row>
    <row r="955" spans="2:9" x14ac:dyDescent="0.2">
      <c r="B955" s="51" t="str">
        <f t="shared" si="14"/>
        <v>2022-039-3</v>
      </c>
      <c r="C955" s="52">
        <v>2022</v>
      </c>
      <c r="D955" s="52" t="s">
        <v>17</v>
      </c>
      <c r="E955" s="52">
        <v>3</v>
      </c>
      <c r="F955" s="54" t="s">
        <v>1321</v>
      </c>
      <c r="G955" s="52" t="s">
        <v>3391</v>
      </c>
      <c r="H955" s="55"/>
      <c r="I955" s="56"/>
    </row>
    <row r="956" spans="2:9" x14ac:dyDescent="0.2">
      <c r="B956" s="51" t="str">
        <f t="shared" si="14"/>
        <v>2022-039-4</v>
      </c>
      <c r="C956" s="52">
        <v>2022</v>
      </c>
      <c r="D956" s="52" t="s">
        <v>17</v>
      </c>
      <c r="E956" s="52">
        <v>4</v>
      </c>
      <c r="F956" s="54" t="s">
        <v>52</v>
      </c>
      <c r="G956" s="52"/>
      <c r="H956" s="55"/>
      <c r="I956" s="56"/>
    </row>
    <row r="957" spans="2:9" x14ac:dyDescent="0.2">
      <c r="B957" s="57" t="str">
        <f t="shared" si="14"/>
        <v>2022-039-5</v>
      </c>
      <c r="C957" s="58">
        <v>2022</v>
      </c>
      <c r="D957" s="58" t="s">
        <v>17</v>
      </c>
      <c r="E957" s="58">
        <v>5</v>
      </c>
      <c r="F957" s="59" t="s">
        <v>2059</v>
      </c>
      <c r="G957" s="58"/>
      <c r="H957" s="60"/>
      <c r="I957" s="61"/>
    </row>
    <row r="958" spans="2:9" x14ac:dyDescent="0.2">
      <c r="B958" s="62" t="str">
        <f t="shared" si="14"/>
        <v>2022-040-0</v>
      </c>
      <c r="C958" s="63">
        <v>2022</v>
      </c>
      <c r="D958" s="63" t="s">
        <v>18</v>
      </c>
      <c r="E958" s="63">
        <v>0</v>
      </c>
      <c r="F958" s="64" t="s">
        <v>188</v>
      </c>
      <c r="G958" s="63"/>
      <c r="H958" s="65"/>
      <c r="I958" s="66"/>
    </row>
    <row r="959" spans="2:9" ht="27" x14ac:dyDescent="0.2">
      <c r="B959" s="51" t="str">
        <f t="shared" si="14"/>
        <v>2022-040-1</v>
      </c>
      <c r="C959" s="52">
        <v>2022</v>
      </c>
      <c r="D959" s="52" t="s">
        <v>18</v>
      </c>
      <c r="E959" s="52">
        <v>1</v>
      </c>
      <c r="F959" s="54" t="s">
        <v>538</v>
      </c>
      <c r="G959" s="52" t="s">
        <v>3391</v>
      </c>
      <c r="H959" s="55"/>
      <c r="I959" s="56"/>
    </row>
    <row r="960" spans="2:9" ht="27" x14ac:dyDescent="0.2">
      <c r="B960" s="51" t="str">
        <f t="shared" si="14"/>
        <v>2022-040-2</v>
      </c>
      <c r="C960" s="52">
        <v>2022</v>
      </c>
      <c r="D960" s="52" t="s">
        <v>18</v>
      </c>
      <c r="E960" s="52">
        <v>2</v>
      </c>
      <c r="F960" s="54" t="s">
        <v>932</v>
      </c>
      <c r="G960" s="52"/>
      <c r="H960" s="55"/>
      <c r="I960" s="56"/>
    </row>
    <row r="961" spans="2:9" ht="27" x14ac:dyDescent="0.2">
      <c r="B961" s="51" t="str">
        <f t="shared" si="14"/>
        <v>2022-040-3</v>
      </c>
      <c r="C961" s="52">
        <v>2022</v>
      </c>
      <c r="D961" s="52" t="s">
        <v>18</v>
      </c>
      <c r="E961" s="52">
        <v>3</v>
      </c>
      <c r="F961" s="54" t="s">
        <v>1322</v>
      </c>
      <c r="G961" s="52"/>
      <c r="H961" s="55"/>
      <c r="I961" s="56"/>
    </row>
    <row r="962" spans="2:9" ht="27" x14ac:dyDescent="0.2">
      <c r="B962" s="51" t="str">
        <f t="shared" si="14"/>
        <v>2022-040-4</v>
      </c>
      <c r="C962" s="52">
        <v>2022</v>
      </c>
      <c r="D962" s="52" t="s">
        <v>18</v>
      </c>
      <c r="E962" s="52">
        <v>4</v>
      </c>
      <c r="F962" s="54" t="s">
        <v>1698</v>
      </c>
      <c r="G962" s="52"/>
      <c r="H962" s="55"/>
      <c r="I962" s="56"/>
    </row>
    <row r="963" spans="2:9" ht="27" x14ac:dyDescent="0.2">
      <c r="B963" s="57" t="str">
        <f t="shared" si="14"/>
        <v>2022-040-5</v>
      </c>
      <c r="C963" s="58">
        <v>2022</v>
      </c>
      <c r="D963" s="58" t="s">
        <v>18</v>
      </c>
      <c r="E963" s="58">
        <v>5</v>
      </c>
      <c r="F963" s="59" t="s">
        <v>2060</v>
      </c>
      <c r="G963" s="58"/>
      <c r="H963" s="60"/>
      <c r="I963" s="61"/>
    </row>
    <row r="964" spans="2:9" ht="27" x14ac:dyDescent="0.2">
      <c r="B964" s="62" t="str">
        <f t="shared" si="14"/>
        <v>2022-041-0</v>
      </c>
      <c r="C964" s="63">
        <v>2022</v>
      </c>
      <c r="D964" s="63" t="s">
        <v>72</v>
      </c>
      <c r="E964" s="63">
        <v>0</v>
      </c>
      <c r="F964" s="64" t="s">
        <v>189</v>
      </c>
      <c r="G964" s="63"/>
      <c r="H964" s="65"/>
      <c r="I964" s="66"/>
    </row>
    <row r="965" spans="2:9" x14ac:dyDescent="0.2">
      <c r="B965" s="51" t="str">
        <f t="shared" si="14"/>
        <v>2022-041-1</v>
      </c>
      <c r="C965" s="52">
        <v>2022</v>
      </c>
      <c r="D965" s="52" t="s">
        <v>72</v>
      </c>
      <c r="E965" s="52">
        <v>1</v>
      </c>
      <c r="F965" s="54" t="s">
        <v>539</v>
      </c>
      <c r="G965" s="52" t="s">
        <v>3391</v>
      </c>
      <c r="H965" s="55"/>
      <c r="I965" s="56"/>
    </row>
    <row r="966" spans="2:9" x14ac:dyDescent="0.2">
      <c r="B966" s="51" t="str">
        <f t="shared" si="14"/>
        <v>2022-041-2</v>
      </c>
      <c r="C966" s="52">
        <v>2022</v>
      </c>
      <c r="D966" s="52" t="s">
        <v>72</v>
      </c>
      <c r="E966" s="52">
        <v>2</v>
      </c>
      <c r="F966" s="54" t="s">
        <v>933</v>
      </c>
      <c r="G966" s="52"/>
      <c r="H966" s="55"/>
      <c r="I966" s="56"/>
    </row>
    <row r="967" spans="2:9" x14ac:dyDescent="0.2">
      <c r="B967" s="51" t="str">
        <f t="shared" si="14"/>
        <v>2022-041-3</v>
      </c>
      <c r="C967" s="52">
        <v>2022</v>
      </c>
      <c r="D967" s="52" t="s">
        <v>72</v>
      </c>
      <c r="E967" s="52">
        <v>3</v>
      </c>
      <c r="F967" s="54" t="s">
        <v>1323</v>
      </c>
      <c r="G967" s="52"/>
      <c r="H967" s="55"/>
      <c r="I967" s="56"/>
    </row>
    <row r="968" spans="2:9" x14ac:dyDescent="0.2">
      <c r="B968" s="51" t="str">
        <f t="shared" si="14"/>
        <v>2022-041-4</v>
      </c>
      <c r="C968" s="52">
        <v>2022</v>
      </c>
      <c r="D968" s="52" t="s">
        <v>72</v>
      </c>
      <c r="E968" s="52">
        <v>4</v>
      </c>
      <c r="F968" s="54" t="s">
        <v>1699</v>
      </c>
      <c r="G968" s="52"/>
      <c r="H968" s="55"/>
      <c r="I968" s="56"/>
    </row>
    <row r="969" spans="2:9" x14ac:dyDescent="0.2">
      <c r="B969" s="57" t="str">
        <f t="shared" si="14"/>
        <v>2022-041-5</v>
      </c>
      <c r="C969" s="58">
        <v>2022</v>
      </c>
      <c r="D969" s="58" t="s">
        <v>72</v>
      </c>
      <c r="E969" s="58">
        <v>5</v>
      </c>
      <c r="F969" s="59" t="s">
        <v>2061</v>
      </c>
      <c r="G969" s="58"/>
      <c r="H969" s="60"/>
      <c r="I969" s="61"/>
    </row>
    <row r="970" spans="2:9" x14ac:dyDescent="0.2">
      <c r="B970" s="62" t="str">
        <f t="shared" si="14"/>
        <v>2022-042-0</v>
      </c>
      <c r="C970" s="63">
        <v>2022</v>
      </c>
      <c r="D970" s="63" t="s">
        <v>73</v>
      </c>
      <c r="E970" s="63">
        <v>0</v>
      </c>
      <c r="F970" s="64" t="s">
        <v>190</v>
      </c>
      <c r="G970" s="63"/>
      <c r="H970" s="65"/>
      <c r="I970" s="66"/>
    </row>
    <row r="971" spans="2:9" x14ac:dyDescent="0.2">
      <c r="B971" s="51" t="str">
        <f t="shared" ref="B971:B1023" si="15">C971&amp;"-"&amp;D971&amp;"-"&amp;E971</f>
        <v>2022-042-1</v>
      </c>
      <c r="C971" s="52">
        <v>2022</v>
      </c>
      <c r="D971" s="52" t="s">
        <v>73</v>
      </c>
      <c r="E971" s="52">
        <v>1</v>
      </c>
      <c r="F971" s="54" t="s">
        <v>540</v>
      </c>
      <c r="G971" s="52"/>
      <c r="H971" s="55"/>
      <c r="I971" s="56"/>
    </row>
    <row r="972" spans="2:9" ht="27" x14ac:dyDescent="0.2">
      <c r="B972" s="51" t="str">
        <f t="shared" si="15"/>
        <v>2022-042-2</v>
      </c>
      <c r="C972" s="52">
        <v>2022</v>
      </c>
      <c r="D972" s="52" t="s">
        <v>73</v>
      </c>
      <c r="E972" s="52">
        <v>2</v>
      </c>
      <c r="F972" s="54" t="s">
        <v>934</v>
      </c>
      <c r="G972" s="52" t="s">
        <v>3391</v>
      </c>
      <c r="H972" s="55"/>
      <c r="I972" s="56"/>
    </row>
    <row r="973" spans="2:9" x14ac:dyDescent="0.2">
      <c r="B973" s="51" t="str">
        <f t="shared" si="15"/>
        <v>2022-042-3</v>
      </c>
      <c r="C973" s="52">
        <v>2022</v>
      </c>
      <c r="D973" s="52" t="s">
        <v>73</v>
      </c>
      <c r="E973" s="52">
        <v>3</v>
      </c>
      <c r="F973" s="54" t="s">
        <v>1324</v>
      </c>
      <c r="G973" s="52"/>
      <c r="H973" s="55"/>
      <c r="I973" s="56"/>
    </row>
    <row r="974" spans="2:9" x14ac:dyDescent="0.2">
      <c r="B974" s="51" t="str">
        <f t="shared" si="15"/>
        <v>2022-042-4</v>
      </c>
      <c r="C974" s="52">
        <v>2022</v>
      </c>
      <c r="D974" s="52" t="s">
        <v>73</v>
      </c>
      <c r="E974" s="52">
        <v>4</v>
      </c>
      <c r="F974" s="54" t="s">
        <v>1700</v>
      </c>
      <c r="G974" s="52"/>
      <c r="H974" s="55"/>
      <c r="I974" s="56"/>
    </row>
    <row r="975" spans="2:9" ht="27" x14ac:dyDescent="0.2">
      <c r="B975" s="57" t="str">
        <f t="shared" si="15"/>
        <v>2022-042-5</v>
      </c>
      <c r="C975" s="58">
        <v>2022</v>
      </c>
      <c r="D975" s="58" t="s">
        <v>73</v>
      </c>
      <c r="E975" s="58">
        <v>5</v>
      </c>
      <c r="F975" s="59" t="s">
        <v>2062</v>
      </c>
      <c r="G975" s="58"/>
      <c r="H975" s="60"/>
      <c r="I975" s="61"/>
    </row>
    <row r="976" spans="2:9" x14ac:dyDescent="0.2">
      <c r="B976" s="62" t="str">
        <f t="shared" si="15"/>
        <v>2022-043-0</v>
      </c>
      <c r="C976" s="63">
        <v>2022</v>
      </c>
      <c r="D976" s="63" t="s">
        <v>74</v>
      </c>
      <c r="E976" s="63">
        <v>0</v>
      </c>
      <c r="F976" s="64" t="s">
        <v>163</v>
      </c>
      <c r="G976" s="63"/>
      <c r="H976" s="65"/>
      <c r="I976" s="66"/>
    </row>
    <row r="977" spans="2:9" ht="27" x14ac:dyDescent="0.2">
      <c r="B977" s="51" t="str">
        <f t="shared" si="15"/>
        <v>2022-043-1</v>
      </c>
      <c r="C977" s="52">
        <v>2022</v>
      </c>
      <c r="D977" s="52" t="s">
        <v>74</v>
      </c>
      <c r="E977" s="52">
        <v>1</v>
      </c>
      <c r="F977" s="54" t="s">
        <v>541</v>
      </c>
      <c r="G977" s="52"/>
      <c r="H977" s="55"/>
      <c r="I977" s="56"/>
    </row>
    <row r="978" spans="2:9" ht="27" x14ac:dyDescent="0.2">
      <c r="B978" s="51" t="str">
        <f t="shared" si="15"/>
        <v>2022-043-2</v>
      </c>
      <c r="C978" s="52">
        <v>2022</v>
      </c>
      <c r="D978" s="52" t="s">
        <v>74</v>
      </c>
      <c r="E978" s="52">
        <v>2</v>
      </c>
      <c r="F978" s="54" t="s">
        <v>935</v>
      </c>
      <c r="G978" s="52"/>
      <c r="H978" s="55"/>
      <c r="I978" s="56"/>
    </row>
    <row r="979" spans="2:9" ht="27" x14ac:dyDescent="0.2">
      <c r="B979" s="51" t="str">
        <f t="shared" si="15"/>
        <v>2022-043-3</v>
      </c>
      <c r="C979" s="52">
        <v>2022</v>
      </c>
      <c r="D979" s="52" t="s">
        <v>74</v>
      </c>
      <c r="E979" s="52">
        <v>3</v>
      </c>
      <c r="F979" s="54" t="s">
        <v>1325</v>
      </c>
      <c r="G979" s="52"/>
      <c r="H979" s="55"/>
      <c r="I979" s="56"/>
    </row>
    <row r="980" spans="2:9" x14ac:dyDescent="0.2">
      <c r="B980" s="51" t="str">
        <f t="shared" si="15"/>
        <v>2022-043-4</v>
      </c>
      <c r="C980" s="52">
        <v>2022</v>
      </c>
      <c r="D980" s="52" t="s">
        <v>74</v>
      </c>
      <c r="E980" s="52">
        <v>4</v>
      </c>
      <c r="F980" s="54" t="s">
        <v>1701</v>
      </c>
      <c r="G980" s="52"/>
      <c r="H980" s="55"/>
      <c r="I980" s="56"/>
    </row>
    <row r="981" spans="2:9" x14ac:dyDescent="0.2">
      <c r="B981" s="57" t="str">
        <f t="shared" si="15"/>
        <v>2022-043-5</v>
      </c>
      <c r="C981" s="58">
        <v>2022</v>
      </c>
      <c r="D981" s="58" t="s">
        <v>74</v>
      </c>
      <c r="E981" s="58">
        <v>5</v>
      </c>
      <c r="F981" s="59" t="s">
        <v>2063</v>
      </c>
      <c r="G981" s="58" t="s">
        <v>3391</v>
      </c>
      <c r="H981" s="60"/>
      <c r="I981" s="61"/>
    </row>
    <row r="982" spans="2:9" x14ac:dyDescent="0.2">
      <c r="B982" s="62" t="str">
        <f t="shared" si="15"/>
        <v>2022-044-0</v>
      </c>
      <c r="C982" s="63">
        <v>2022</v>
      </c>
      <c r="D982" s="63" t="s">
        <v>75</v>
      </c>
      <c r="E982" s="63">
        <v>0</v>
      </c>
      <c r="F982" s="64" t="s">
        <v>191</v>
      </c>
      <c r="G982" s="63"/>
      <c r="H982" s="65"/>
      <c r="I982" s="66"/>
    </row>
    <row r="983" spans="2:9" x14ac:dyDescent="0.2">
      <c r="B983" s="51" t="str">
        <f t="shared" si="15"/>
        <v>2022-044-1</v>
      </c>
      <c r="C983" s="52">
        <v>2022</v>
      </c>
      <c r="D983" s="52" t="s">
        <v>75</v>
      </c>
      <c r="E983" s="52">
        <v>1</v>
      </c>
      <c r="F983" s="54" t="s">
        <v>542</v>
      </c>
      <c r="G983" s="52" t="s">
        <v>3391</v>
      </c>
      <c r="H983" s="55"/>
      <c r="I983" s="56"/>
    </row>
    <row r="984" spans="2:9" x14ac:dyDescent="0.2">
      <c r="B984" s="51" t="str">
        <f t="shared" si="15"/>
        <v>2022-044-2</v>
      </c>
      <c r="C984" s="52">
        <v>2022</v>
      </c>
      <c r="D984" s="52" t="s">
        <v>75</v>
      </c>
      <c r="E984" s="52">
        <v>2</v>
      </c>
      <c r="F984" s="54" t="s">
        <v>936</v>
      </c>
      <c r="G984" s="52"/>
      <c r="H984" s="55"/>
      <c r="I984" s="56"/>
    </row>
    <row r="985" spans="2:9" ht="27" x14ac:dyDescent="0.2">
      <c r="B985" s="51" t="str">
        <f t="shared" si="15"/>
        <v>2022-044-3</v>
      </c>
      <c r="C985" s="52">
        <v>2022</v>
      </c>
      <c r="D985" s="52" t="s">
        <v>75</v>
      </c>
      <c r="E985" s="52">
        <v>3</v>
      </c>
      <c r="F985" s="54" t="s">
        <v>1326</v>
      </c>
      <c r="G985" s="52"/>
      <c r="H985" s="55"/>
      <c r="I985" s="56"/>
    </row>
    <row r="986" spans="2:9" x14ac:dyDescent="0.2">
      <c r="B986" s="51" t="str">
        <f t="shared" si="15"/>
        <v>2022-044-4</v>
      </c>
      <c r="C986" s="52">
        <v>2022</v>
      </c>
      <c r="D986" s="52" t="s">
        <v>75</v>
      </c>
      <c r="E986" s="52">
        <v>4</v>
      </c>
      <c r="F986" s="54" t="s">
        <v>1702</v>
      </c>
      <c r="G986" s="52"/>
      <c r="H986" s="55"/>
      <c r="I986" s="56"/>
    </row>
    <row r="987" spans="2:9" ht="27" x14ac:dyDescent="0.2">
      <c r="B987" s="57" t="str">
        <f t="shared" si="15"/>
        <v>2022-044-5</v>
      </c>
      <c r="C987" s="58">
        <v>2022</v>
      </c>
      <c r="D987" s="58" t="s">
        <v>75</v>
      </c>
      <c r="E987" s="58">
        <v>5</v>
      </c>
      <c r="F987" s="59" t="s">
        <v>2064</v>
      </c>
      <c r="G987" s="58"/>
      <c r="H987" s="60"/>
      <c r="I987" s="61"/>
    </row>
    <row r="988" spans="2:9" ht="27" x14ac:dyDescent="0.2">
      <c r="B988" s="62" t="str">
        <f t="shared" si="15"/>
        <v>2022-045-0</v>
      </c>
      <c r="C988" s="63">
        <v>2022</v>
      </c>
      <c r="D988" s="63" t="s">
        <v>76</v>
      </c>
      <c r="E988" s="63">
        <v>0</v>
      </c>
      <c r="F988" s="64" t="s">
        <v>192</v>
      </c>
      <c r="G988" s="63"/>
      <c r="H988" s="65"/>
      <c r="I988" s="66"/>
    </row>
    <row r="989" spans="2:9" x14ac:dyDescent="0.2">
      <c r="B989" s="51" t="str">
        <f t="shared" si="15"/>
        <v>2022-045-1</v>
      </c>
      <c r="C989" s="52">
        <v>2022</v>
      </c>
      <c r="D989" s="52" t="s">
        <v>76</v>
      </c>
      <c r="E989" s="52">
        <v>1</v>
      </c>
      <c r="F989" s="54" t="s">
        <v>543</v>
      </c>
      <c r="G989" s="52"/>
      <c r="H989" s="55"/>
      <c r="I989" s="56"/>
    </row>
    <row r="990" spans="2:9" x14ac:dyDescent="0.2">
      <c r="B990" s="51" t="str">
        <f t="shared" si="15"/>
        <v>2022-045-2</v>
      </c>
      <c r="C990" s="52">
        <v>2022</v>
      </c>
      <c r="D990" s="52" t="s">
        <v>76</v>
      </c>
      <c r="E990" s="52">
        <v>2</v>
      </c>
      <c r="F990" s="54" t="s">
        <v>937</v>
      </c>
      <c r="G990" s="52" t="s">
        <v>3391</v>
      </c>
      <c r="H990" s="55"/>
      <c r="I990" s="56"/>
    </row>
    <row r="991" spans="2:9" x14ac:dyDescent="0.2">
      <c r="B991" s="51" t="str">
        <f t="shared" si="15"/>
        <v>2022-045-3</v>
      </c>
      <c r="C991" s="52">
        <v>2022</v>
      </c>
      <c r="D991" s="52" t="s">
        <v>76</v>
      </c>
      <c r="E991" s="52">
        <v>3</v>
      </c>
      <c r="F991" s="54" t="s">
        <v>1327</v>
      </c>
      <c r="G991" s="52"/>
      <c r="H991" s="55"/>
      <c r="I991" s="56"/>
    </row>
    <row r="992" spans="2:9" x14ac:dyDescent="0.2">
      <c r="B992" s="51" t="str">
        <f t="shared" si="15"/>
        <v>2022-045-4</v>
      </c>
      <c r="C992" s="52">
        <v>2022</v>
      </c>
      <c r="D992" s="52" t="s">
        <v>76</v>
      </c>
      <c r="E992" s="52">
        <v>4</v>
      </c>
      <c r="F992" s="54" t="s">
        <v>1703</v>
      </c>
      <c r="G992" s="52"/>
      <c r="H992" s="55"/>
      <c r="I992" s="56"/>
    </row>
    <row r="993" spans="2:9" x14ac:dyDescent="0.2">
      <c r="B993" s="57" t="str">
        <f t="shared" si="15"/>
        <v>2022-045-5</v>
      </c>
      <c r="C993" s="58">
        <v>2022</v>
      </c>
      <c r="D993" s="58" t="s">
        <v>76</v>
      </c>
      <c r="E993" s="58">
        <v>5</v>
      </c>
      <c r="F993" s="59" t="s">
        <v>2065</v>
      </c>
      <c r="G993" s="58"/>
      <c r="H993" s="60"/>
      <c r="I993" s="61"/>
    </row>
    <row r="994" spans="2:9" x14ac:dyDescent="0.2">
      <c r="B994" s="62" t="str">
        <f t="shared" si="15"/>
        <v>2022-046-0</v>
      </c>
      <c r="C994" s="63">
        <v>2022</v>
      </c>
      <c r="D994" s="63" t="s">
        <v>77</v>
      </c>
      <c r="E994" s="63">
        <v>0</v>
      </c>
      <c r="F994" s="64" t="s">
        <v>193</v>
      </c>
      <c r="G994" s="63"/>
      <c r="H994" s="65"/>
      <c r="I994" s="66"/>
    </row>
    <row r="995" spans="2:9" x14ac:dyDescent="0.2">
      <c r="B995" s="51" t="str">
        <f t="shared" si="15"/>
        <v>2022-046-1</v>
      </c>
      <c r="C995" s="52">
        <v>2022</v>
      </c>
      <c r="D995" s="52" t="s">
        <v>77</v>
      </c>
      <c r="E995" s="52">
        <v>1</v>
      </c>
      <c r="F995" s="54" t="s">
        <v>544</v>
      </c>
      <c r="G995" s="52"/>
      <c r="H995" s="55"/>
      <c r="I995" s="56"/>
    </row>
    <row r="996" spans="2:9" x14ac:dyDescent="0.2">
      <c r="B996" s="51" t="str">
        <f t="shared" si="15"/>
        <v>2022-046-2</v>
      </c>
      <c r="C996" s="52">
        <v>2022</v>
      </c>
      <c r="D996" s="52" t="s">
        <v>77</v>
      </c>
      <c r="E996" s="52">
        <v>2</v>
      </c>
      <c r="F996" s="54" t="s">
        <v>938</v>
      </c>
      <c r="G996" s="52"/>
      <c r="H996" s="55"/>
      <c r="I996" s="56"/>
    </row>
    <row r="997" spans="2:9" x14ac:dyDescent="0.2">
      <c r="B997" s="51" t="str">
        <f t="shared" si="15"/>
        <v>2022-046-3</v>
      </c>
      <c r="C997" s="52">
        <v>2022</v>
      </c>
      <c r="D997" s="52" t="s">
        <v>77</v>
      </c>
      <c r="E997" s="52">
        <v>3</v>
      </c>
      <c r="F997" s="54" t="s">
        <v>1328</v>
      </c>
      <c r="G997" s="52" t="s">
        <v>3391</v>
      </c>
      <c r="H997" s="55"/>
      <c r="I997" s="56"/>
    </row>
    <row r="998" spans="2:9" ht="27" x14ac:dyDescent="0.2">
      <c r="B998" s="51" t="str">
        <f t="shared" si="15"/>
        <v>2022-046-4</v>
      </c>
      <c r="C998" s="52">
        <v>2022</v>
      </c>
      <c r="D998" s="52" t="s">
        <v>77</v>
      </c>
      <c r="E998" s="52">
        <v>4</v>
      </c>
      <c r="F998" s="54" t="s">
        <v>1704</v>
      </c>
      <c r="G998" s="52"/>
      <c r="H998" s="55"/>
      <c r="I998" s="56"/>
    </row>
    <row r="999" spans="2:9" x14ac:dyDescent="0.2">
      <c r="B999" s="57" t="str">
        <f t="shared" si="15"/>
        <v>2022-046-5</v>
      </c>
      <c r="C999" s="58">
        <v>2022</v>
      </c>
      <c r="D999" s="58" t="s">
        <v>77</v>
      </c>
      <c r="E999" s="58">
        <v>5</v>
      </c>
      <c r="F999" s="59" t="s">
        <v>2066</v>
      </c>
      <c r="G999" s="58"/>
      <c r="H999" s="60"/>
      <c r="I999" s="61"/>
    </row>
    <row r="1000" spans="2:9" x14ac:dyDescent="0.2">
      <c r="B1000" s="62" t="str">
        <f t="shared" si="15"/>
        <v>2022-047-0</v>
      </c>
      <c r="C1000" s="63">
        <v>2022</v>
      </c>
      <c r="D1000" s="63" t="s">
        <v>78</v>
      </c>
      <c r="E1000" s="63">
        <v>0</v>
      </c>
      <c r="F1000" s="64" t="s">
        <v>194</v>
      </c>
      <c r="G1000" s="63"/>
      <c r="H1000" s="65"/>
      <c r="I1000" s="66"/>
    </row>
    <row r="1001" spans="2:9" ht="27" x14ac:dyDescent="0.2">
      <c r="B1001" s="51" t="str">
        <f t="shared" si="15"/>
        <v>2022-047-1</v>
      </c>
      <c r="C1001" s="52">
        <v>2022</v>
      </c>
      <c r="D1001" s="52" t="s">
        <v>78</v>
      </c>
      <c r="E1001" s="52">
        <v>1</v>
      </c>
      <c r="F1001" s="54" t="s">
        <v>545</v>
      </c>
      <c r="G1001" s="52"/>
      <c r="H1001" s="55"/>
      <c r="I1001" s="56"/>
    </row>
    <row r="1002" spans="2:9" ht="27" x14ac:dyDescent="0.2">
      <c r="B1002" s="51" t="str">
        <f t="shared" si="15"/>
        <v>2022-047-2</v>
      </c>
      <c r="C1002" s="52">
        <v>2022</v>
      </c>
      <c r="D1002" s="52" t="s">
        <v>78</v>
      </c>
      <c r="E1002" s="52">
        <v>2</v>
      </c>
      <c r="F1002" s="54" t="s">
        <v>939</v>
      </c>
      <c r="G1002" s="52"/>
      <c r="H1002" s="55"/>
      <c r="I1002" s="56"/>
    </row>
    <row r="1003" spans="2:9" x14ac:dyDescent="0.2">
      <c r="B1003" s="51" t="str">
        <f t="shared" si="15"/>
        <v>2022-047-3</v>
      </c>
      <c r="C1003" s="52">
        <v>2022</v>
      </c>
      <c r="D1003" s="52" t="s">
        <v>78</v>
      </c>
      <c r="E1003" s="52">
        <v>3</v>
      </c>
      <c r="F1003" s="54" t="s">
        <v>1329</v>
      </c>
      <c r="G1003" s="52" t="s">
        <v>3391</v>
      </c>
      <c r="H1003" s="55"/>
      <c r="I1003" s="56"/>
    </row>
    <row r="1004" spans="2:9" x14ac:dyDescent="0.2">
      <c r="B1004" s="51" t="str">
        <f t="shared" si="15"/>
        <v>2022-047-4</v>
      </c>
      <c r="C1004" s="52">
        <v>2022</v>
      </c>
      <c r="D1004" s="52" t="s">
        <v>78</v>
      </c>
      <c r="E1004" s="52">
        <v>4</v>
      </c>
      <c r="F1004" s="54" t="s">
        <v>1705</v>
      </c>
      <c r="G1004" s="52"/>
      <c r="H1004" s="55"/>
      <c r="I1004" s="56"/>
    </row>
    <row r="1005" spans="2:9" x14ac:dyDescent="0.2">
      <c r="B1005" s="57" t="str">
        <f t="shared" si="15"/>
        <v>2022-047-5</v>
      </c>
      <c r="C1005" s="58">
        <v>2022</v>
      </c>
      <c r="D1005" s="58" t="s">
        <v>78</v>
      </c>
      <c r="E1005" s="58">
        <v>5</v>
      </c>
      <c r="F1005" s="59" t="s">
        <v>1653</v>
      </c>
      <c r="G1005" s="58"/>
      <c r="H1005" s="60"/>
      <c r="I1005" s="61"/>
    </row>
    <row r="1006" spans="2:9" x14ac:dyDescent="0.2">
      <c r="B1006" s="62" t="str">
        <f t="shared" si="15"/>
        <v>2022-048-0</v>
      </c>
      <c r="C1006" s="63">
        <v>2022</v>
      </c>
      <c r="D1006" s="63" t="s">
        <v>79</v>
      </c>
      <c r="E1006" s="63">
        <v>0</v>
      </c>
      <c r="F1006" s="64" t="s">
        <v>171</v>
      </c>
      <c r="G1006" s="63"/>
      <c r="H1006" s="65"/>
      <c r="I1006" s="66"/>
    </row>
    <row r="1007" spans="2:9" ht="27" x14ac:dyDescent="0.2">
      <c r="B1007" s="51" t="str">
        <f t="shared" si="15"/>
        <v>2022-048-1</v>
      </c>
      <c r="C1007" s="52">
        <v>2022</v>
      </c>
      <c r="D1007" s="52" t="s">
        <v>79</v>
      </c>
      <c r="E1007" s="52">
        <v>1</v>
      </c>
      <c r="F1007" s="54" t="s">
        <v>546</v>
      </c>
      <c r="G1007" s="52" t="s">
        <v>3391</v>
      </c>
      <c r="H1007" s="55"/>
      <c r="I1007" s="56"/>
    </row>
    <row r="1008" spans="2:9" x14ac:dyDescent="0.2">
      <c r="B1008" s="51" t="str">
        <f t="shared" si="15"/>
        <v>2022-048-2</v>
      </c>
      <c r="C1008" s="52">
        <v>2022</v>
      </c>
      <c r="D1008" s="52" t="s">
        <v>79</v>
      </c>
      <c r="E1008" s="52">
        <v>2</v>
      </c>
      <c r="F1008" s="54" t="s">
        <v>940</v>
      </c>
      <c r="G1008" s="52"/>
      <c r="H1008" s="55"/>
      <c r="I1008" s="56"/>
    </row>
    <row r="1009" spans="2:9" ht="27" x14ac:dyDescent="0.2">
      <c r="B1009" s="51" t="str">
        <f t="shared" si="15"/>
        <v>2022-048-3</v>
      </c>
      <c r="C1009" s="52">
        <v>2022</v>
      </c>
      <c r="D1009" s="52" t="s">
        <v>79</v>
      </c>
      <c r="E1009" s="52">
        <v>3</v>
      </c>
      <c r="F1009" s="54" t="s">
        <v>1330</v>
      </c>
      <c r="G1009" s="52"/>
      <c r="H1009" s="55"/>
      <c r="I1009" s="56"/>
    </row>
    <row r="1010" spans="2:9" x14ac:dyDescent="0.2">
      <c r="B1010" s="51" t="str">
        <f t="shared" si="15"/>
        <v>2022-048-4</v>
      </c>
      <c r="C1010" s="52">
        <v>2022</v>
      </c>
      <c r="D1010" s="52" t="s">
        <v>79</v>
      </c>
      <c r="E1010" s="52">
        <v>4</v>
      </c>
      <c r="F1010" s="54" t="s">
        <v>1706</v>
      </c>
      <c r="G1010" s="52"/>
      <c r="H1010" s="55"/>
      <c r="I1010" s="56"/>
    </row>
    <row r="1011" spans="2:9" ht="27" x14ac:dyDescent="0.2">
      <c r="B1011" s="57" t="str">
        <f t="shared" si="15"/>
        <v>2022-048-5</v>
      </c>
      <c r="C1011" s="58">
        <v>2022</v>
      </c>
      <c r="D1011" s="58" t="s">
        <v>79</v>
      </c>
      <c r="E1011" s="58">
        <v>5</v>
      </c>
      <c r="F1011" s="59" t="s">
        <v>2067</v>
      </c>
      <c r="G1011" s="58"/>
      <c r="H1011" s="60"/>
      <c r="I1011" s="61"/>
    </row>
    <row r="1012" spans="2:9" x14ac:dyDescent="0.2">
      <c r="B1012" s="62" t="str">
        <f t="shared" si="15"/>
        <v>2022-049-0</v>
      </c>
      <c r="C1012" s="63">
        <v>2022</v>
      </c>
      <c r="D1012" s="63" t="s">
        <v>80</v>
      </c>
      <c r="E1012" s="63">
        <v>0</v>
      </c>
      <c r="F1012" s="64" t="s">
        <v>195</v>
      </c>
      <c r="G1012" s="63"/>
      <c r="H1012" s="65"/>
      <c r="I1012" s="66"/>
    </row>
    <row r="1013" spans="2:9" x14ac:dyDescent="0.2">
      <c r="B1013" s="51" t="str">
        <f t="shared" si="15"/>
        <v>2022-049-1</v>
      </c>
      <c r="C1013" s="52">
        <v>2022</v>
      </c>
      <c r="D1013" s="52" t="s">
        <v>80</v>
      </c>
      <c r="E1013" s="52">
        <v>1</v>
      </c>
      <c r="F1013" s="54" t="s">
        <v>547</v>
      </c>
      <c r="G1013" s="52"/>
      <c r="H1013" s="55"/>
      <c r="I1013" s="56"/>
    </row>
    <row r="1014" spans="2:9" x14ac:dyDescent="0.2">
      <c r="B1014" s="51" t="str">
        <f t="shared" si="15"/>
        <v>2022-049-2</v>
      </c>
      <c r="C1014" s="52">
        <v>2022</v>
      </c>
      <c r="D1014" s="52" t="s">
        <v>80</v>
      </c>
      <c r="E1014" s="52">
        <v>2</v>
      </c>
      <c r="F1014" s="54" t="s">
        <v>941</v>
      </c>
      <c r="G1014" s="52"/>
      <c r="H1014" s="55"/>
      <c r="I1014" s="56"/>
    </row>
    <row r="1015" spans="2:9" x14ac:dyDescent="0.2">
      <c r="B1015" s="51" t="str">
        <f t="shared" si="15"/>
        <v>2022-049-3</v>
      </c>
      <c r="C1015" s="52">
        <v>2022</v>
      </c>
      <c r="D1015" s="52" t="s">
        <v>80</v>
      </c>
      <c r="E1015" s="52">
        <v>3</v>
      </c>
      <c r="F1015" s="54" t="s">
        <v>1331</v>
      </c>
      <c r="G1015" s="52"/>
      <c r="H1015" s="55"/>
      <c r="I1015" s="56"/>
    </row>
    <row r="1016" spans="2:9" ht="27" x14ac:dyDescent="0.2">
      <c r="B1016" s="51" t="str">
        <f t="shared" si="15"/>
        <v>2022-049-4</v>
      </c>
      <c r="C1016" s="52">
        <v>2022</v>
      </c>
      <c r="D1016" s="52" t="s">
        <v>80</v>
      </c>
      <c r="E1016" s="52">
        <v>4</v>
      </c>
      <c r="F1016" s="54" t="s">
        <v>1707</v>
      </c>
      <c r="G1016" s="52" t="s">
        <v>3391</v>
      </c>
      <c r="H1016" s="55"/>
      <c r="I1016" s="56"/>
    </row>
    <row r="1017" spans="2:9" x14ac:dyDescent="0.2">
      <c r="B1017" s="57" t="str">
        <f t="shared" si="15"/>
        <v>2022-049-5</v>
      </c>
      <c r="C1017" s="58">
        <v>2022</v>
      </c>
      <c r="D1017" s="58" t="s">
        <v>80</v>
      </c>
      <c r="E1017" s="58">
        <v>5</v>
      </c>
      <c r="F1017" s="59" t="s">
        <v>2068</v>
      </c>
      <c r="G1017" s="58"/>
      <c r="H1017" s="60"/>
      <c r="I1017" s="61"/>
    </row>
    <row r="1018" spans="2:9" x14ac:dyDescent="0.2">
      <c r="B1018" s="62" t="str">
        <f t="shared" si="15"/>
        <v>2022-050-0</v>
      </c>
      <c r="C1018" s="63">
        <v>2022</v>
      </c>
      <c r="D1018" s="63" t="s">
        <v>81</v>
      </c>
      <c r="E1018" s="63">
        <v>0</v>
      </c>
      <c r="F1018" s="64" t="s">
        <v>196</v>
      </c>
      <c r="G1018" s="63"/>
      <c r="H1018" s="65"/>
      <c r="I1018" s="66"/>
    </row>
    <row r="1019" spans="2:9" x14ac:dyDescent="0.2">
      <c r="B1019" s="51" t="str">
        <f t="shared" si="15"/>
        <v>2022-050-1</v>
      </c>
      <c r="C1019" s="52">
        <v>2022</v>
      </c>
      <c r="D1019" s="52" t="s">
        <v>81</v>
      </c>
      <c r="E1019" s="52">
        <v>1</v>
      </c>
      <c r="F1019" s="54" t="s">
        <v>548</v>
      </c>
      <c r="G1019" s="52"/>
      <c r="H1019" s="55"/>
      <c r="I1019" s="56"/>
    </row>
    <row r="1020" spans="2:9" ht="27" x14ac:dyDescent="0.2">
      <c r="B1020" s="51" t="str">
        <f t="shared" si="15"/>
        <v>2022-050-2</v>
      </c>
      <c r="C1020" s="52">
        <v>2022</v>
      </c>
      <c r="D1020" s="52" t="s">
        <v>81</v>
      </c>
      <c r="E1020" s="52">
        <v>2</v>
      </c>
      <c r="F1020" s="54" t="s">
        <v>942</v>
      </c>
      <c r="G1020" s="52"/>
      <c r="H1020" s="55"/>
      <c r="I1020" s="56"/>
    </row>
    <row r="1021" spans="2:9" x14ac:dyDescent="0.2">
      <c r="B1021" s="51" t="str">
        <f t="shared" si="15"/>
        <v>2022-050-3</v>
      </c>
      <c r="C1021" s="52">
        <v>2022</v>
      </c>
      <c r="D1021" s="52" t="s">
        <v>81</v>
      </c>
      <c r="E1021" s="52">
        <v>3</v>
      </c>
      <c r="F1021" s="54" t="s">
        <v>1332</v>
      </c>
      <c r="G1021" s="52"/>
      <c r="H1021" s="55"/>
      <c r="I1021" s="56"/>
    </row>
    <row r="1022" spans="2:9" x14ac:dyDescent="0.2">
      <c r="B1022" s="51" t="str">
        <f t="shared" si="15"/>
        <v>2022-050-4</v>
      </c>
      <c r="C1022" s="52">
        <v>2022</v>
      </c>
      <c r="D1022" s="52" t="s">
        <v>81</v>
      </c>
      <c r="E1022" s="52">
        <v>4</v>
      </c>
      <c r="F1022" s="54" t="s">
        <v>1708</v>
      </c>
      <c r="G1022" s="52"/>
      <c r="H1022" s="55"/>
      <c r="I1022" s="56"/>
    </row>
    <row r="1023" spans="2:9" ht="27.75" thickBot="1" x14ac:dyDescent="0.25">
      <c r="B1023" s="67" t="str">
        <f t="shared" si="15"/>
        <v>2022-050-5</v>
      </c>
      <c r="C1023" s="68">
        <v>2022</v>
      </c>
      <c r="D1023" s="68" t="s">
        <v>81</v>
      </c>
      <c r="E1023" s="68">
        <v>5</v>
      </c>
      <c r="F1023" s="69" t="s">
        <v>2069</v>
      </c>
      <c r="G1023" s="68" t="s">
        <v>3391</v>
      </c>
      <c r="H1023" s="70"/>
      <c r="I1023" s="71"/>
    </row>
    <row r="1024" spans="2:9" ht="67.5" x14ac:dyDescent="0.2">
      <c r="B1024" s="45" t="str">
        <f t="shared" ref="B1024:B1072" si="16">C1024&amp;"-"&amp;D1024&amp;"-"&amp;E1024</f>
        <v>2021-026-0</v>
      </c>
      <c r="C1024" s="46">
        <v>2021</v>
      </c>
      <c r="D1024" s="46" t="s">
        <v>4</v>
      </c>
      <c r="E1024" s="46">
        <v>0</v>
      </c>
      <c r="F1024" s="48" t="s">
        <v>197</v>
      </c>
      <c r="G1024" s="46"/>
      <c r="H1024" s="49"/>
      <c r="I1024" s="50"/>
    </row>
    <row r="1025" spans="2:9" x14ac:dyDescent="0.2">
      <c r="B1025" s="51" t="str">
        <f t="shared" si="16"/>
        <v>2021-026-1</v>
      </c>
      <c r="C1025" s="52">
        <v>2021</v>
      </c>
      <c r="D1025" s="52" t="s">
        <v>4</v>
      </c>
      <c r="E1025" s="52">
        <v>1</v>
      </c>
      <c r="F1025" s="54" t="s">
        <v>20</v>
      </c>
      <c r="G1025" s="52"/>
      <c r="H1025" s="55"/>
      <c r="I1025" s="56"/>
    </row>
    <row r="1026" spans="2:9" x14ac:dyDescent="0.2">
      <c r="B1026" s="51" t="str">
        <f t="shared" si="16"/>
        <v>2021-026-2</v>
      </c>
      <c r="C1026" s="52">
        <v>2021</v>
      </c>
      <c r="D1026" s="52" t="s">
        <v>4</v>
      </c>
      <c r="E1026" s="52">
        <v>2</v>
      </c>
      <c r="F1026" s="54" t="s">
        <v>25</v>
      </c>
      <c r="G1026" s="52" t="s">
        <v>3391</v>
      </c>
      <c r="H1026" s="55"/>
      <c r="I1026" s="56"/>
    </row>
    <row r="1027" spans="2:9" x14ac:dyDescent="0.2">
      <c r="B1027" s="51" t="str">
        <f t="shared" si="16"/>
        <v>2021-026-3</v>
      </c>
      <c r="C1027" s="52">
        <v>2021</v>
      </c>
      <c r="D1027" s="52" t="s">
        <v>4</v>
      </c>
      <c r="E1027" s="52">
        <v>3</v>
      </c>
      <c r="F1027" s="54" t="s">
        <v>35</v>
      </c>
      <c r="G1027" s="52"/>
      <c r="H1027" s="55"/>
      <c r="I1027" s="56"/>
    </row>
    <row r="1028" spans="2:9" x14ac:dyDescent="0.2">
      <c r="B1028" s="51" t="str">
        <f t="shared" si="16"/>
        <v>2021-026-4</v>
      </c>
      <c r="C1028" s="52">
        <v>2021</v>
      </c>
      <c r="D1028" s="52" t="s">
        <v>4</v>
      </c>
      <c r="E1028" s="52">
        <v>4</v>
      </c>
      <c r="F1028" s="54" t="s">
        <v>38</v>
      </c>
      <c r="G1028" s="52"/>
      <c r="H1028" s="55"/>
      <c r="I1028" s="56"/>
    </row>
    <row r="1029" spans="2:9" x14ac:dyDescent="0.2">
      <c r="B1029" s="57" t="str">
        <f t="shared" si="16"/>
        <v>2021-026-5</v>
      </c>
      <c r="C1029" s="58">
        <v>2021</v>
      </c>
      <c r="D1029" s="58" t="s">
        <v>4</v>
      </c>
      <c r="E1029" s="58">
        <v>5</v>
      </c>
      <c r="F1029" s="59" t="s">
        <v>32</v>
      </c>
      <c r="G1029" s="58"/>
      <c r="H1029" s="60"/>
      <c r="I1029" s="61"/>
    </row>
    <row r="1030" spans="2:9" x14ac:dyDescent="0.2">
      <c r="B1030" s="62" t="str">
        <f t="shared" si="16"/>
        <v>2021-027-0</v>
      </c>
      <c r="C1030" s="63">
        <v>2021</v>
      </c>
      <c r="D1030" s="63" t="s">
        <v>5</v>
      </c>
      <c r="E1030" s="63">
        <v>0</v>
      </c>
      <c r="F1030" s="64" t="s">
        <v>198</v>
      </c>
      <c r="G1030" s="63"/>
      <c r="H1030" s="65"/>
      <c r="I1030" s="66"/>
    </row>
    <row r="1031" spans="2:9" x14ac:dyDescent="0.2">
      <c r="B1031" s="51" t="str">
        <f t="shared" si="16"/>
        <v>2021-027-1</v>
      </c>
      <c r="C1031" s="52">
        <v>2021</v>
      </c>
      <c r="D1031" s="52" t="s">
        <v>5</v>
      </c>
      <c r="E1031" s="52">
        <v>1</v>
      </c>
      <c r="F1031" s="54" t="s">
        <v>549</v>
      </c>
      <c r="G1031" s="52"/>
      <c r="H1031" s="55"/>
      <c r="I1031" s="56"/>
    </row>
    <row r="1032" spans="2:9" ht="27" x14ac:dyDescent="0.2">
      <c r="B1032" s="51" t="str">
        <f t="shared" si="16"/>
        <v>2021-027-2</v>
      </c>
      <c r="C1032" s="52">
        <v>2021</v>
      </c>
      <c r="D1032" s="52" t="s">
        <v>5</v>
      </c>
      <c r="E1032" s="52">
        <v>2</v>
      </c>
      <c r="F1032" s="54" t="s">
        <v>943</v>
      </c>
      <c r="G1032" s="52"/>
      <c r="H1032" s="55"/>
      <c r="I1032" s="56"/>
    </row>
    <row r="1033" spans="2:9" ht="27" x14ac:dyDescent="0.2">
      <c r="B1033" s="51" t="str">
        <f t="shared" si="16"/>
        <v>2021-027-3</v>
      </c>
      <c r="C1033" s="52">
        <v>2021</v>
      </c>
      <c r="D1033" s="52" t="s">
        <v>5</v>
      </c>
      <c r="E1033" s="52">
        <v>3</v>
      </c>
      <c r="F1033" s="54" t="s">
        <v>1333</v>
      </c>
      <c r="G1033" s="52" t="s">
        <v>3391</v>
      </c>
      <c r="H1033" s="55"/>
      <c r="I1033" s="56"/>
    </row>
    <row r="1034" spans="2:9" x14ac:dyDescent="0.2">
      <c r="B1034" s="51" t="str">
        <f t="shared" si="16"/>
        <v>2021-027-4</v>
      </c>
      <c r="C1034" s="52">
        <v>2021</v>
      </c>
      <c r="D1034" s="52" t="s">
        <v>5</v>
      </c>
      <c r="E1034" s="52">
        <v>4</v>
      </c>
      <c r="F1034" s="54" t="s">
        <v>1013</v>
      </c>
      <c r="G1034" s="52"/>
      <c r="H1034" s="55"/>
      <c r="I1034" s="56"/>
    </row>
    <row r="1035" spans="2:9" x14ac:dyDescent="0.2">
      <c r="B1035" s="57" t="str">
        <f t="shared" si="16"/>
        <v>2021-027-5</v>
      </c>
      <c r="C1035" s="58">
        <v>2021</v>
      </c>
      <c r="D1035" s="58" t="s">
        <v>5</v>
      </c>
      <c r="E1035" s="58">
        <v>5</v>
      </c>
      <c r="F1035" s="59" t="s">
        <v>2070</v>
      </c>
      <c r="G1035" s="58"/>
      <c r="H1035" s="60"/>
      <c r="I1035" s="61"/>
    </row>
    <row r="1036" spans="2:9" x14ac:dyDescent="0.2">
      <c r="B1036" s="62" t="str">
        <f t="shared" si="16"/>
        <v>2021-028-0</v>
      </c>
      <c r="C1036" s="63">
        <v>2021</v>
      </c>
      <c r="D1036" s="63" t="s">
        <v>6</v>
      </c>
      <c r="E1036" s="63">
        <v>0</v>
      </c>
      <c r="F1036" s="64" t="s">
        <v>199</v>
      </c>
      <c r="G1036" s="63"/>
      <c r="H1036" s="65"/>
      <c r="I1036" s="66"/>
    </row>
    <row r="1037" spans="2:9" x14ac:dyDescent="0.2">
      <c r="B1037" s="51" t="str">
        <f t="shared" si="16"/>
        <v>2021-028-1</v>
      </c>
      <c r="C1037" s="52">
        <v>2021</v>
      </c>
      <c r="D1037" s="52" t="s">
        <v>6</v>
      </c>
      <c r="E1037" s="52">
        <v>1</v>
      </c>
      <c r="F1037" s="54" t="s">
        <v>550</v>
      </c>
      <c r="G1037" s="52" t="s">
        <v>3391</v>
      </c>
      <c r="H1037" s="55"/>
      <c r="I1037" s="56"/>
    </row>
    <row r="1038" spans="2:9" x14ac:dyDescent="0.2">
      <c r="B1038" s="51" t="str">
        <f t="shared" si="16"/>
        <v>2021-028-2</v>
      </c>
      <c r="C1038" s="52">
        <v>2021</v>
      </c>
      <c r="D1038" s="52" t="s">
        <v>6</v>
      </c>
      <c r="E1038" s="52">
        <v>2</v>
      </c>
      <c r="F1038" s="54" t="s">
        <v>944</v>
      </c>
      <c r="G1038" s="52"/>
      <c r="H1038" s="55"/>
      <c r="I1038" s="56"/>
    </row>
    <row r="1039" spans="2:9" ht="27" x14ac:dyDescent="0.2">
      <c r="B1039" s="51" t="str">
        <f t="shared" si="16"/>
        <v>2021-028-3</v>
      </c>
      <c r="C1039" s="52">
        <v>2021</v>
      </c>
      <c r="D1039" s="52" t="s">
        <v>6</v>
      </c>
      <c r="E1039" s="52">
        <v>3</v>
      </c>
      <c r="F1039" s="54" t="s">
        <v>1334</v>
      </c>
      <c r="G1039" s="52"/>
      <c r="H1039" s="55"/>
      <c r="I1039" s="56"/>
    </row>
    <row r="1040" spans="2:9" ht="27" x14ac:dyDescent="0.2">
      <c r="B1040" s="51" t="str">
        <f t="shared" si="16"/>
        <v>2021-028-4</v>
      </c>
      <c r="C1040" s="52">
        <v>2021</v>
      </c>
      <c r="D1040" s="52" t="s">
        <v>6</v>
      </c>
      <c r="E1040" s="52">
        <v>4</v>
      </c>
      <c r="F1040" s="54" t="s">
        <v>1709</v>
      </c>
      <c r="G1040" s="52"/>
      <c r="H1040" s="55"/>
      <c r="I1040" s="56"/>
    </row>
    <row r="1041" spans="2:9" ht="27" x14ac:dyDescent="0.2">
      <c r="B1041" s="57" t="str">
        <f t="shared" si="16"/>
        <v>2021-028-5</v>
      </c>
      <c r="C1041" s="58">
        <v>2021</v>
      </c>
      <c r="D1041" s="58" t="s">
        <v>6</v>
      </c>
      <c r="E1041" s="58">
        <v>5</v>
      </c>
      <c r="F1041" s="59" t="s">
        <v>1130</v>
      </c>
      <c r="G1041" s="58"/>
      <c r="H1041" s="60"/>
      <c r="I1041" s="61"/>
    </row>
    <row r="1042" spans="2:9" x14ac:dyDescent="0.2">
      <c r="B1042" s="62" t="str">
        <f t="shared" si="16"/>
        <v>2021-029-0</v>
      </c>
      <c r="C1042" s="63">
        <v>2021</v>
      </c>
      <c r="D1042" s="63" t="s">
        <v>7</v>
      </c>
      <c r="E1042" s="63">
        <v>0</v>
      </c>
      <c r="F1042" s="64" t="s">
        <v>200</v>
      </c>
      <c r="G1042" s="63"/>
      <c r="H1042" s="65"/>
      <c r="I1042" s="66"/>
    </row>
    <row r="1043" spans="2:9" x14ac:dyDescent="0.2">
      <c r="B1043" s="51" t="str">
        <f t="shared" si="16"/>
        <v>2021-029-1</v>
      </c>
      <c r="C1043" s="52">
        <v>2021</v>
      </c>
      <c r="D1043" s="52" t="s">
        <v>7</v>
      </c>
      <c r="E1043" s="52">
        <v>1</v>
      </c>
      <c r="F1043" s="54" t="s">
        <v>551</v>
      </c>
      <c r="G1043" s="52"/>
      <c r="H1043" s="55"/>
      <c r="I1043" s="56"/>
    </row>
    <row r="1044" spans="2:9" x14ac:dyDescent="0.2">
      <c r="B1044" s="51" t="str">
        <f t="shared" si="16"/>
        <v>2021-029-2</v>
      </c>
      <c r="C1044" s="52">
        <v>2021</v>
      </c>
      <c r="D1044" s="52" t="s">
        <v>7</v>
      </c>
      <c r="E1044" s="52">
        <v>2</v>
      </c>
      <c r="F1044" s="54" t="s">
        <v>945</v>
      </c>
      <c r="G1044" s="52"/>
      <c r="H1044" s="55"/>
      <c r="I1044" s="56"/>
    </row>
    <row r="1045" spans="2:9" x14ac:dyDescent="0.2">
      <c r="B1045" s="51" t="str">
        <f t="shared" si="16"/>
        <v>2021-029-3</v>
      </c>
      <c r="C1045" s="52">
        <v>2021</v>
      </c>
      <c r="D1045" s="52" t="s">
        <v>7</v>
      </c>
      <c r="E1045" s="52">
        <v>3</v>
      </c>
      <c r="F1045" s="54" t="s">
        <v>1335</v>
      </c>
      <c r="G1045" s="52"/>
      <c r="H1045" s="55"/>
      <c r="I1045" s="56"/>
    </row>
    <row r="1046" spans="2:9" x14ac:dyDescent="0.2">
      <c r="B1046" s="51" t="str">
        <f t="shared" si="16"/>
        <v>2021-029-4</v>
      </c>
      <c r="C1046" s="52">
        <v>2021</v>
      </c>
      <c r="D1046" s="52" t="s">
        <v>7</v>
      </c>
      <c r="E1046" s="52">
        <v>4</v>
      </c>
      <c r="F1046" s="54" t="s">
        <v>1710</v>
      </c>
      <c r="G1046" s="52" t="s">
        <v>3391</v>
      </c>
      <c r="H1046" s="55"/>
      <c r="I1046" s="56"/>
    </row>
    <row r="1047" spans="2:9" x14ac:dyDescent="0.2">
      <c r="B1047" s="57" t="str">
        <f t="shared" si="16"/>
        <v>2021-029-5</v>
      </c>
      <c r="C1047" s="58">
        <v>2021</v>
      </c>
      <c r="D1047" s="58" t="s">
        <v>7</v>
      </c>
      <c r="E1047" s="58">
        <v>5</v>
      </c>
      <c r="F1047" s="59" t="s">
        <v>2071</v>
      </c>
      <c r="G1047" s="58"/>
      <c r="H1047" s="60"/>
      <c r="I1047" s="61"/>
    </row>
    <row r="1048" spans="2:9" x14ac:dyDescent="0.2">
      <c r="B1048" s="62" t="str">
        <f t="shared" si="16"/>
        <v>2021-030-0</v>
      </c>
      <c r="C1048" s="63">
        <v>2021</v>
      </c>
      <c r="D1048" s="63" t="s">
        <v>8</v>
      </c>
      <c r="E1048" s="63">
        <v>0</v>
      </c>
      <c r="F1048" s="64" t="s">
        <v>201</v>
      </c>
      <c r="G1048" s="63"/>
      <c r="H1048" s="65"/>
      <c r="I1048" s="66"/>
    </row>
    <row r="1049" spans="2:9" x14ac:dyDescent="0.2">
      <c r="B1049" s="51" t="str">
        <f t="shared" si="16"/>
        <v>2021-030-1</v>
      </c>
      <c r="C1049" s="52">
        <v>2021</v>
      </c>
      <c r="D1049" s="52" t="s">
        <v>8</v>
      </c>
      <c r="E1049" s="52">
        <v>1</v>
      </c>
      <c r="F1049" s="54" t="s">
        <v>552</v>
      </c>
      <c r="G1049" s="52"/>
      <c r="H1049" s="55"/>
      <c r="I1049" s="56"/>
    </row>
    <row r="1050" spans="2:9" x14ac:dyDescent="0.2">
      <c r="B1050" s="51" t="str">
        <f t="shared" si="16"/>
        <v>2021-030-2</v>
      </c>
      <c r="C1050" s="52">
        <v>2021</v>
      </c>
      <c r="D1050" s="52" t="s">
        <v>8</v>
      </c>
      <c r="E1050" s="52">
        <v>2</v>
      </c>
      <c r="F1050" s="54" t="s">
        <v>946</v>
      </c>
      <c r="G1050" s="52"/>
      <c r="H1050" s="55"/>
      <c r="I1050" s="56"/>
    </row>
    <row r="1051" spans="2:9" x14ac:dyDescent="0.2">
      <c r="B1051" s="51" t="str">
        <f t="shared" si="16"/>
        <v>2021-030-3</v>
      </c>
      <c r="C1051" s="52">
        <v>2021</v>
      </c>
      <c r="D1051" s="52" t="s">
        <v>8</v>
      </c>
      <c r="E1051" s="52">
        <v>3</v>
      </c>
      <c r="F1051" s="54" t="s">
        <v>1336</v>
      </c>
      <c r="G1051" s="52" t="s">
        <v>3391</v>
      </c>
      <c r="H1051" s="55"/>
      <c r="I1051" s="56"/>
    </row>
    <row r="1052" spans="2:9" x14ac:dyDescent="0.2">
      <c r="B1052" s="51" t="str">
        <f t="shared" si="16"/>
        <v>2021-030-4</v>
      </c>
      <c r="C1052" s="52">
        <v>2021</v>
      </c>
      <c r="D1052" s="52" t="s">
        <v>8</v>
      </c>
      <c r="E1052" s="52">
        <v>4</v>
      </c>
      <c r="F1052" s="54" t="s">
        <v>1711</v>
      </c>
      <c r="G1052" s="52"/>
      <c r="H1052" s="55"/>
      <c r="I1052" s="56"/>
    </row>
    <row r="1053" spans="2:9" x14ac:dyDescent="0.2">
      <c r="B1053" s="57" t="str">
        <f t="shared" si="16"/>
        <v>2021-030-5</v>
      </c>
      <c r="C1053" s="58">
        <v>2021</v>
      </c>
      <c r="D1053" s="58" t="s">
        <v>8</v>
      </c>
      <c r="E1053" s="58">
        <v>5</v>
      </c>
      <c r="F1053" s="59" t="s">
        <v>901</v>
      </c>
      <c r="G1053" s="58"/>
      <c r="H1053" s="60"/>
      <c r="I1053" s="61"/>
    </row>
    <row r="1054" spans="2:9" x14ac:dyDescent="0.2">
      <c r="B1054" s="62" t="str">
        <f t="shared" si="16"/>
        <v>2021-031-0</v>
      </c>
      <c r="C1054" s="63">
        <v>2021</v>
      </c>
      <c r="D1054" s="63" t="s">
        <v>9</v>
      </c>
      <c r="E1054" s="63">
        <v>0</v>
      </c>
      <c r="F1054" s="64" t="s">
        <v>202</v>
      </c>
      <c r="G1054" s="63"/>
      <c r="H1054" s="65"/>
      <c r="I1054" s="66"/>
    </row>
    <row r="1055" spans="2:9" x14ac:dyDescent="0.2">
      <c r="B1055" s="51" t="str">
        <f t="shared" si="16"/>
        <v>2021-031-1</v>
      </c>
      <c r="C1055" s="52">
        <v>2021</v>
      </c>
      <c r="D1055" s="52" t="s">
        <v>9</v>
      </c>
      <c r="E1055" s="52">
        <v>1</v>
      </c>
      <c r="F1055" s="54" t="s">
        <v>509</v>
      </c>
      <c r="G1055" s="52"/>
      <c r="H1055" s="55"/>
      <c r="I1055" s="56"/>
    </row>
    <row r="1056" spans="2:9" ht="27" x14ac:dyDescent="0.2">
      <c r="B1056" s="51" t="str">
        <f t="shared" si="16"/>
        <v>2021-031-2</v>
      </c>
      <c r="C1056" s="52">
        <v>2021</v>
      </c>
      <c r="D1056" s="52" t="s">
        <v>9</v>
      </c>
      <c r="E1056" s="52">
        <v>2</v>
      </c>
      <c r="F1056" s="54" t="s">
        <v>947</v>
      </c>
      <c r="G1056" s="52" t="s">
        <v>3391</v>
      </c>
      <c r="H1056" s="55"/>
      <c r="I1056" s="56"/>
    </row>
    <row r="1057" spans="2:9" ht="27" x14ac:dyDescent="0.2">
      <c r="B1057" s="51" t="str">
        <f t="shared" si="16"/>
        <v>2021-031-3</v>
      </c>
      <c r="C1057" s="52">
        <v>2021</v>
      </c>
      <c r="D1057" s="52" t="s">
        <v>9</v>
      </c>
      <c r="E1057" s="52">
        <v>3</v>
      </c>
      <c r="F1057" s="54" t="s">
        <v>1337</v>
      </c>
      <c r="G1057" s="52"/>
      <c r="H1057" s="55"/>
      <c r="I1057" s="56"/>
    </row>
    <row r="1058" spans="2:9" ht="27" x14ac:dyDescent="0.2">
      <c r="B1058" s="51" t="str">
        <f t="shared" si="16"/>
        <v>2021-031-4</v>
      </c>
      <c r="C1058" s="52">
        <v>2021</v>
      </c>
      <c r="D1058" s="52" t="s">
        <v>9</v>
      </c>
      <c r="E1058" s="52">
        <v>4</v>
      </c>
      <c r="F1058" s="54" t="s">
        <v>1712</v>
      </c>
      <c r="G1058" s="52"/>
      <c r="H1058" s="55"/>
      <c r="I1058" s="56"/>
    </row>
    <row r="1059" spans="2:9" ht="40.5" x14ac:dyDescent="0.2">
      <c r="B1059" s="57" t="str">
        <f t="shared" si="16"/>
        <v>2021-031-5</v>
      </c>
      <c r="C1059" s="58">
        <v>2021</v>
      </c>
      <c r="D1059" s="58" t="s">
        <v>9</v>
      </c>
      <c r="E1059" s="58">
        <v>5</v>
      </c>
      <c r="F1059" s="59" t="s">
        <v>2072</v>
      </c>
      <c r="G1059" s="58"/>
      <c r="H1059" s="60"/>
      <c r="I1059" s="61"/>
    </row>
    <row r="1060" spans="2:9" x14ac:dyDescent="0.2">
      <c r="B1060" s="62" t="str">
        <f t="shared" si="16"/>
        <v>2021-032-0</v>
      </c>
      <c r="C1060" s="63">
        <v>2021</v>
      </c>
      <c r="D1060" s="63" t="s">
        <v>10</v>
      </c>
      <c r="E1060" s="63">
        <v>0</v>
      </c>
      <c r="F1060" s="64" t="s">
        <v>203</v>
      </c>
      <c r="G1060" s="63"/>
      <c r="H1060" s="65"/>
      <c r="I1060" s="66"/>
    </row>
    <row r="1061" spans="2:9" x14ac:dyDescent="0.2">
      <c r="B1061" s="51" t="str">
        <f t="shared" si="16"/>
        <v>2021-032-1</v>
      </c>
      <c r="C1061" s="52">
        <v>2021</v>
      </c>
      <c r="D1061" s="52" t="s">
        <v>10</v>
      </c>
      <c r="E1061" s="52">
        <v>1</v>
      </c>
      <c r="F1061" s="54" t="s">
        <v>553</v>
      </c>
      <c r="G1061" s="52"/>
      <c r="H1061" s="55"/>
      <c r="I1061" s="56"/>
    </row>
    <row r="1062" spans="2:9" ht="27" x14ac:dyDescent="0.2">
      <c r="B1062" s="51" t="str">
        <f t="shared" si="16"/>
        <v>2021-032-2</v>
      </c>
      <c r="C1062" s="52">
        <v>2021</v>
      </c>
      <c r="D1062" s="52" t="s">
        <v>10</v>
      </c>
      <c r="E1062" s="52">
        <v>2</v>
      </c>
      <c r="F1062" s="54" t="s">
        <v>948</v>
      </c>
      <c r="G1062" s="52" t="s">
        <v>3391</v>
      </c>
      <c r="H1062" s="55"/>
      <c r="I1062" s="56"/>
    </row>
    <row r="1063" spans="2:9" x14ac:dyDescent="0.2">
      <c r="B1063" s="51" t="str">
        <f t="shared" si="16"/>
        <v>2021-032-3</v>
      </c>
      <c r="C1063" s="52">
        <v>2021</v>
      </c>
      <c r="D1063" s="52" t="s">
        <v>10</v>
      </c>
      <c r="E1063" s="52">
        <v>3</v>
      </c>
      <c r="F1063" s="54" t="s">
        <v>1338</v>
      </c>
      <c r="G1063" s="52"/>
      <c r="H1063" s="55"/>
      <c r="I1063" s="56"/>
    </row>
    <row r="1064" spans="2:9" ht="40.5" x14ac:dyDescent="0.2">
      <c r="B1064" s="51" t="str">
        <f t="shared" si="16"/>
        <v>2021-032-4</v>
      </c>
      <c r="C1064" s="52">
        <v>2021</v>
      </c>
      <c r="D1064" s="52" t="s">
        <v>10</v>
      </c>
      <c r="E1064" s="52">
        <v>4</v>
      </c>
      <c r="F1064" s="54" t="s">
        <v>1713</v>
      </c>
      <c r="G1064" s="52"/>
      <c r="H1064" s="55"/>
      <c r="I1064" s="56"/>
    </row>
    <row r="1065" spans="2:9" ht="40.5" x14ac:dyDescent="0.2">
      <c r="B1065" s="57" t="str">
        <f t="shared" si="16"/>
        <v>2021-032-5</v>
      </c>
      <c r="C1065" s="58">
        <v>2021</v>
      </c>
      <c r="D1065" s="58" t="s">
        <v>10</v>
      </c>
      <c r="E1065" s="58">
        <v>5</v>
      </c>
      <c r="F1065" s="59" t="s">
        <v>2073</v>
      </c>
      <c r="G1065" s="58"/>
      <c r="H1065" s="60"/>
      <c r="I1065" s="61"/>
    </row>
    <row r="1066" spans="2:9" x14ac:dyDescent="0.2">
      <c r="B1066" s="62" t="str">
        <f t="shared" si="16"/>
        <v>2021-033-0</v>
      </c>
      <c r="C1066" s="63">
        <v>2021</v>
      </c>
      <c r="D1066" s="63" t="s">
        <v>11</v>
      </c>
      <c r="E1066" s="63">
        <v>0</v>
      </c>
      <c r="F1066" s="64" t="s">
        <v>204</v>
      </c>
      <c r="G1066" s="63"/>
      <c r="H1066" s="65"/>
      <c r="I1066" s="66"/>
    </row>
    <row r="1067" spans="2:9" ht="27" x14ac:dyDescent="0.2">
      <c r="B1067" s="51" t="str">
        <f t="shared" si="16"/>
        <v>2021-033-1</v>
      </c>
      <c r="C1067" s="52">
        <v>2021</v>
      </c>
      <c r="D1067" s="52" t="s">
        <v>11</v>
      </c>
      <c r="E1067" s="52">
        <v>1</v>
      </c>
      <c r="F1067" s="54" t="s">
        <v>554</v>
      </c>
      <c r="G1067" s="52"/>
      <c r="H1067" s="55"/>
      <c r="I1067" s="56"/>
    </row>
    <row r="1068" spans="2:9" ht="27" x14ac:dyDescent="0.2">
      <c r="B1068" s="51" t="str">
        <f t="shared" si="16"/>
        <v>2021-033-2</v>
      </c>
      <c r="C1068" s="52">
        <v>2021</v>
      </c>
      <c r="D1068" s="52" t="s">
        <v>11</v>
      </c>
      <c r="E1068" s="52">
        <v>2</v>
      </c>
      <c r="F1068" s="54" t="s">
        <v>949</v>
      </c>
      <c r="G1068" s="52"/>
      <c r="H1068" s="55"/>
      <c r="I1068" s="56"/>
    </row>
    <row r="1069" spans="2:9" ht="40.5" x14ac:dyDescent="0.2">
      <c r="B1069" s="51" t="str">
        <f t="shared" si="16"/>
        <v>2021-033-3</v>
      </c>
      <c r="C1069" s="52">
        <v>2021</v>
      </c>
      <c r="D1069" s="52" t="s">
        <v>11</v>
      </c>
      <c r="E1069" s="52">
        <v>3</v>
      </c>
      <c r="F1069" s="54" t="s">
        <v>1339</v>
      </c>
      <c r="G1069" s="52"/>
      <c r="H1069" s="55"/>
      <c r="I1069" s="56"/>
    </row>
    <row r="1070" spans="2:9" ht="27" x14ac:dyDescent="0.2">
      <c r="B1070" s="51" t="str">
        <f t="shared" si="16"/>
        <v>2021-033-4</v>
      </c>
      <c r="C1070" s="52">
        <v>2021</v>
      </c>
      <c r="D1070" s="52" t="s">
        <v>11</v>
      </c>
      <c r="E1070" s="52">
        <v>4</v>
      </c>
      <c r="F1070" s="54" t="s">
        <v>1714</v>
      </c>
      <c r="G1070" s="52"/>
      <c r="H1070" s="55"/>
      <c r="I1070" s="56"/>
    </row>
    <row r="1071" spans="2:9" ht="27" x14ac:dyDescent="0.2">
      <c r="B1071" s="57" t="str">
        <f t="shared" si="16"/>
        <v>2021-033-5</v>
      </c>
      <c r="C1071" s="58">
        <v>2021</v>
      </c>
      <c r="D1071" s="58" t="s">
        <v>11</v>
      </c>
      <c r="E1071" s="58">
        <v>5</v>
      </c>
      <c r="F1071" s="59" t="s">
        <v>2074</v>
      </c>
      <c r="G1071" s="58" t="s">
        <v>3391</v>
      </c>
      <c r="H1071" s="60"/>
      <c r="I1071" s="61"/>
    </row>
    <row r="1072" spans="2:9" x14ac:dyDescent="0.2">
      <c r="B1072" s="62" t="str">
        <f t="shared" si="16"/>
        <v>2021-034-0</v>
      </c>
      <c r="C1072" s="63">
        <v>2021</v>
      </c>
      <c r="D1072" s="63" t="s">
        <v>12</v>
      </c>
      <c r="E1072" s="63">
        <v>0</v>
      </c>
      <c r="F1072" s="64" t="s">
        <v>184</v>
      </c>
      <c r="G1072" s="63"/>
      <c r="H1072" s="65"/>
      <c r="I1072" s="66"/>
    </row>
    <row r="1073" spans="2:9" x14ac:dyDescent="0.2">
      <c r="B1073" s="51" t="str">
        <f t="shared" ref="B1073:B1136" si="17">C1073&amp;"-"&amp;D1073&amp;"-"&amp;E1073</f>
        <v>2021-034-1</v>
      </c>
      <c r="C1073" s="52">
        <v>2021</v>
      </c>
      <c r="D1073" s="52" t="s">
        <v>12</v>
      </c>
      <c r="E1073" s="52">
        <v>1</v>
      </c>
      <c r="F1073" s="54" t="s">
        <v>555</v>
      </c>
      <c r="G1073" s="52" t="s">
        <v>3391</v>
      </c>
      <c r="H1073" s="55"/>
      <c r="I1073" s="56"/>
    </row>
    <row r="1074" spans="2:9" x14ac:dyDescent="0.2">
      <c r="B1074" s="51" t="str">
        <f t="shared" si="17"/>
        <v>2021-034-2</v>
      </c>
      <c r="C1074" s="52">
        <v>2021</v>
      </c>
      <c r="D1074" s="52" t="s">
        <v>12</v>
      </c>
      <c r="E1074" s="52">
        <v>2</v>
      </c>
      <c r="F1074" s="54" t="s">
        <v>950</v>
      </c>
      <c r="G1074" s="52"/>
      <c r="H1074" s="55"/>
      <c r="I1074" s="56"/>
    </row>
    <row r="1075" spans="2:9" x14ac:dyDescent="0.2">
      <c r="B1075" s="51" t="str">
        <f t="shared" si="17"/>
        <v>2021-034-3</v>
      </c>
      <c r="C1075" s="52">
        <v>2021</v>
      </c>
      <c r="D1075" s="52" t="s">
        <v>12</v>
      </c>
      <c r="E1075" s="52">
        <v>3</v>
      </c>
      <c r="F1075" s="54" t="s">
        <v>1340</v>
      </c>
      <c r="G1075" s="52"/>
      <c r="H1075" s="55"/>
      <c r="I1075" s="56"/>
    </row>
    <row r="1076" spans="2:9" ht="27" x14ac:dyDescent="0.2">
      <c r="B1076" s="51" t="str">
        <f t="shared" si="17"/>
        <v>2021-034-4</v>
      </c>
      <c r="C1076" s="52">
        <v>2021</v>
      </c>
      <c r="D1076" s="52" t="s">
        <v>12</v>
      </c>
      <c r="E1076" s="52">
        <v>4</v>
      </c>
      <c r="F1076" s="54" t="s">
        <v>1441</v>
      </c>
      <c r="G1076" s="52"/>
      <c r="H1076" s="55"/>
      <c r="I1076" s="56"/>
    </row>
    <row r="1077" spans="2:9" x14ac:dyDescent="0.2">
      <c r="B1077" s="57" t="str">
        <f t="shared" si="17"/>
        <v>2021-034-5</v>
      </c>
      <c r="C1077" s="58">
        <v>2021</v>
      </c>
      <c r="D1077" s="58" t="s">
        <v>12</v>
      </c>
      <c r="E1077" s="58">
        <v>5</v>
      </c>
      <c r="F1077" s="59" t="s">
        <v>2075</v>
      </c>
      <c r="G1077" s="58"/>
      <c r="H1077" s="60"/>
      <c r="I1077" s="61"/>
    </row>
    <row r="1078" spans="2:9" x14ac:dyDescent="0.2">
      <c r="B1078" s="62" t="str">
        <f t="shared" si="17"/>
        <v>2021-035-0</v>
      </c>
      <c r="C1078" s="63">
        <v>2021</v>
      </c>
      <c r="D1078" s="63" t="s">
        <v>13</v>
      </c>
      <c r="E1078" s="63">
        <v>0</v>
      </c>
      <c r="F1078" s="64" t="s">
        <v>205</v>
      </c>
      <c r="G1078" s="63"/>
      <c r="H1078" s="65"/>
      <c r="I1078" s="66"/>
    </row>
    <row r="1079" spans="2:9" ht="27" x14ac:dyDescent="0.2">
      <c r="B1079" s="51" t="str">
        <f t="shared" si="17"/>
        <v>2021-035-1</v>
      </c>
      <c r="C1079" s="52">
        <v>2021</v>
      </c>
      <c r="D1079" s="52" t="s">
        <v>13</v>
      </c>
      <c r="E1079" s="52">
        <v>1</v>
      </c>
      <c r="F1079" s="54" t="s">
        <v>556</v>
      </c>
      <c r="G1079" s="52"/>
      <c r="H1079" s="55"/>
      <c r="I1079" s="56"/>
    </row>
    <row r="1080" spans="2:9" ht="40.5" x14ac:dyDescent="0.2">
      <c r="B1080" s="51" t="str">
        <f t="shared" si="17"/>
        <v>2021-035-2</v>
      </c>
      <c r="C1080" s="52">
        <v>2021</v>
      </c>
      <c r="D1080" s="52" t="s">
        <v>13</v>
      </c>
      <c r="E1080" s="52">
        <v>2</v>
      </c>
      <c r="F1080" s="54" t="s">
        <v>951</v>
      </c>
      <c r="G1080" s="52"/>
      <c r="H1080" s="55"/>
      <c r="I1080" s="56"/>
    </row>
    <row r="1081" spans="2:9" ht="27" x14ac:dyDescent="0.2">
      <c r="B1081" s="51" t="str">
        <f t="shared" si="17"/>
        <v>2021-035-3</v>
      </c>
      <c r="C1081" s="52">
        <v>2021</v>
      </c>
      <c r="D1081" s="52" t="s">
        <v>13</v>
      </c>
      <c r="E1081" s="52">
        <v>3</v>
      </c>
      <c r="F1081" s="54" t="s">
        <v>1341</v>
      </c>
      <c r="G1081" s="52"/>
      <c r="H1081" s="55"/>
      <c r="I1081" s="56"/>
    </row>
    <row r="1082" spans="2:9" ht="27" x14ac:dyDescent="0.2">
      <c r="B1082" s="51" t="str">
        <f t="shared" si="17"/>
        <v>2021-035-4</v>
      </c>
      <c r="C1082" s="52">
        <v>2021</v>
      </c>
      <c r="D1082" s="52" t="s">
        <v>13</v>
      </c>
      <c r="E1082" s="52">
        <v>4</v>
      </c>
      <c r="F1082" s="54" t="s">
        <v>1715</v>
      </c>
      <c r="G1082" s="52" t="s">
        <v>3391</v>
      </c>
      <c r="H1082" s="55"/>
      <c r="I1082" s="56"/>
    </row>
    <row r="1083" spans="2:9" x14ac:dyDescent="0.2">
      <c r="B1083" s="57" t="str">
        <f t="shared" si="17"/>
        <v>2021-035-5</v>
      </c>
      <c r="C1083" s="58">
        <v>2021</v>
      </c>
      <c r="D1083" s="58" t="s">
        <v>13</v>
      </c>
      <c r="E1083" s="58">
        <v>5</v>
      </c>
      <c r="F1083" s="59" t="s">
        <v>2076</v>
      </c>
      <c r="G1083" s="58"/>
      <c r="H1083" s="60"/>
      <c r="I1083" s="61"/>
    </row>
    <row r="1084" spans="2:9" x14ac:dyDescent="0.2">
      <c r="B1084" s="62" t="str">
        <f t="shared" si="17"/>
        <v>2021-036-0</v>
      </c>
      <c r="C1084" s="63">
        <v>2021</v>
      </c>
      <c r="D1084" s="63" t="s">
        <v>14</v>
      </c>
      <c r="E1084" s="63">
        <v>0</v>
      </c>
      <c r="F1084" s="64" t="s">
        <v>206</v>
      </c>
      <c r="G1084" s="63"/>
      <c r="H1084" s="65"/>
      <c r="I1084" s="66"/>
    </row>
    <row r="1085" spans="2:9" x14ac:dyDescent="0.2">
      <c r="B1085" s="51" t="str">
        <f t="shared" si="17"/>
        <v>2021-036-1</v>
      </c>
      <c r="C1085" s="52">
        <v>2021</v>
      </c>
      <c r="D1085" s="52" t="s">
        <v>14</v>
      </c>
      <c r="E1085" s="52">
        <v>1</v>
      </c>
      <c r="F1085" s="54" t="s">
        <v>557</v>
      </c>
      <c r="G1085" s="52"/>
      <c r="H1085" s="55"/>
      <c r="I1085" s="56"/>
    </row>
    <row r="1086" spans="2:9" ht="27" x14ac:dyDescent="0.2">
      <c r="B1086" s="51" t="str">
        <f t="shared" si="17"/>
        <v>2021-036-2</v>
      </c>
      <c r="C1086" s="52">
        <v>2021</v>
      </c>
      <c r="D1086" s="52" t="s">
        <v>14</v>
      </c>
      <c r="E1086" s="52">
        <v>2</v>
      </c>
      <c r="F1086" s="54" t="s">
        <v>952</v>
      </c>
      <c r="G1086" s="52"/>
      <c r="H1086" s="55"/>
      <c r="I1086" s="56"/>
    </row>
    <row r="1087" spans="2:9" ht="27" x14ac:dyDescent="0.2">
      <c r="B1087" s="51" t="str">
        <f t="shared" si="17"/>
        <v>2021-036-3</v>
      </c>
      <c r="C1087" s="52">
        <v>2021</v>
      </c>
      <c r="D1087" s="52" t="s">
        <v>14</v>
      </c>
      <c r="E1087" s="52">
        <v>3</v>
      </c>
      <c r="F1087" s="54" t="s">
        <v>1342</v>
      </c>
      <c r="G1087" s="52" t="s">
        <v>3391</v>
      </c>
      <c r="H1087" s="55"/>
      <c r="I1087" s="56"/>
    </row>
    <row r="1088" spans="2:9" ht="27" x14ac:dyDescent="0.2">
      <c r="B1088" s="51" t="str">
        <f t="shared" si="17"/>
        <v>2021-036-4</v>
      </c>
      <c r="C1088" s="52">
        <v>2021</v>
      </c>
      <c r="D1088" s="52" t="s">
        <v>14</v>
      </c>
      <c r="E1088" s="52">
        <v>4</v>
      </c>
      <c r="F1088" s="54" t="s">
        <v>1716</v>
      </c>
      <c r="G1088" s="52"/>
      <c r="H1088" s="55"/>
      <c r="I1088" s="56"/>
    </row>
    <row r="1089" spans="2:9" ht="27" x14ac:dyDescent="0.2">
      <c r="B1089" s="57" t="str">
        <f t="shared" si="17"/>
        <v>2021-036-5</v>
      </c>
      <c r="C1089" s="58">
        <v>2021</v>
      </c>
      <c r="D1089" s="58" t="s">
        <v>14</v>
      </c>
      <c r="E1089" s="58">
        <v>5</v>
      </c>
      <c r="F1089" s="59" t="s">
        <v>991</v>
      </c>
      <c r="G1089" s="58"/>
      <c r="H1089" s="60"/>
      <c r="I1089" s="61"/>
    </row>
    <row r="1090" spans="2:9" x14ac:dyDescent="0.2">
      <c r="B1090" s="62" t="str">
        <f t="shared" si="17"/>
        <v>2021-037-0</v>
      </c>
      <c r="C1090" s="63">
        <v>2021</v>
      </c>
      <c r="D1090" s="63" t="s">
        <v>15</v>
      </c>
      <c r="E1090" s="63">
        <v>0</v>
      </c>
      <c r="F1090" s="64" t="s">
        <v>127</v>
      </c>
      <c r="G1090" s="63"/>
      <c r="H1090" s="65"/>
      <c r="I1090" s="66"/>
    </row>
    <row r="1091" spans="2:9" ht="27" x14ac:dyDescent="0.2">
      <c r="B1091" s="51" t="str">
        <f t="shared" si="17"/>
        <v>2021-037-1</v>
      </c>
      <c r="C1091" s="52">
        <v>2021</v>
      </c>
      <c r="D1091" s="52" t="s">
        <v>15</v>
      </c>
      <c r="E1091" s="52">
        <v>1</v>
      </c>
      <c r="F1091" s="54" t="s">
        <v>558</v>
      </c>
      <c r="G1091" s="52"/>
      <c r="H1091" s="55"/>
      <c r="I1091" s="56"/>
    </row>
    <row r="1092" spans="2:9" x14ac:dyDescent="0.2">
      <c r="B1092" s="51" t="str">
        <f t="shared" si="17"/>
        <v>2021-037-2</v>
      </c>
      <c r="C1092" s="52">
        <v>2021</v>
      </c>
      <c r="D1092" s="52" t="s">
        <v>15</v>
      </c>
      <c r="E1092" s="52">
        <v>2</v>
      </c>
      <c r="F1092" s="54" t="s">
        <v>953</v>
      </c>
      <c r="G1092" s="52"/>
      <c r="H1092" s="55"/>
      <c r="I1092" s="56"/>
    </row>
    <row r="1093" spans="2:9" ht="27" x14ac:dyDescent="0.2">
      <c r="B1093" s="51" t="str">
        <f t="shared" si="17"/>
        <v>2021-037-3</v>
      </c>
      <c r="C1093" s="52">
        <v>2021</v>
      </c>
      <c r="D1093" s="52" t="s">
        <v>15</v>
      </c>
      <c r="E1093" s="52">
        <v>3</v>
      </c>
      <c r="F1093" s="54" t="s">
        <v>1343</v>
      </c>
      <c r="G1093" s="52"/>
      <c r="H1093" s="55"/>
      <c r="I1093" s="56"/>
    </row>
    <row r="1094" spans="2:9" x14ac:dyDescent="0.2">
      <c r="B1094" s="51" t="str">
        <f t="shared" si="17"/>
        <v>2021-037-4</v>
      </c>
      <c r="C1094" s="52">
        <v>2021</v>
      </c>
      <c r="D1094" s="52" t="s">
        <v>15</v>
      </c>
      <c r="E1094" s="52">
        <v>4</v>
      </c>
      <c r="F1094" s="54" t="s">
        <v>1717</v>
      </c>
      <c r="G1094" s="52" t="s">
        <v>3391</v>
      </c>
      <c r="H1094" s="55"/>
      <c r="I1094" s="56"/>
    </row>
    <row r="1095" spans="2:9" ht="27" x14ac:dyDescent="0.2">
      <c r="B1095" s="57" t="str">
        <f t="shared" si="17"/>
        <v>2021-037-5</v>
      </c>
      <c r="C1095" s="58">
        <v>2021</v>
      </c>
      <c r="D1095" s="58" t="s">
        <v>15</v>
      </c>
      <c r="E1095" s="58">
        <v>5</v>
      </c>
      <c r="F1095" s="59" t="s">
        <v>670</v>
      </c>
      <c r="G1095" s="58"/>
      <c r="H1095" s="60"/>
      <c r="I1095" s="61"/>
    </row>
    <row r="1096" spans="2:9" x14ac:dyDescent="0.2">
      <c r="B1096" s="62" t="str">
        <f t="shared" si="17"/>
        <v>2021-038-0</v>
      </c>
      <c r="C1096" s="63">
        <v>2021</v>
      </c>
      <c r="D1096" s="63" t="s">
        <v>16</v>
      </c>
      <c r="E1096" s="63">
        <v>0</v>
      </c>
      <c r="F1096" s="64" t="s">
        <v>207</v>
      </c>
      <c r="G1096" s="63"/>
      <c r="H1096" s="65"/>
      <c r="I1096" s="66"/>
    </row>
    <row r="1097" spans="2:9" ht="27" x14ac:dyDescent="0.2">
      <c r="B1097" s="51" t="str">
        <f t="shared" si="17"/>
        <v>2021-038-1</v>
      </c>
      <c r="C1097" s="52">
        <v>2021</v>
      </c>
      <c r="D1097" s="52" t="s">
        <v>16</v>
      </c>
      <c r="E1097" s="52">
        <v>1</v>
      </c>
      <c r="F1097" s="54" t="s">
        <v>559</v>
      </c>
      <c r="G1097" s="52"/>
      <c r="H1097" s="55"/>
      <c r="I1097" s="56"/>
    </row>
    <row r="1098" spans="2:9" ht="27" x14ac:dyDescent="0.2">
      <c r="B1098" s="51" t="str">
        <f t="shared" si="17"/>
        <v>2021-038-2</v>
      </c>
      <c r="C1098" s="52">
        <v>2021</v>
      </c>
      <c r="D1098" s="52" t="s">
        <v>16</v>
      </c>
      <c r="E1098" s="52">
        <v>2</v>
      </c>
      <c r="F1098" s="54" t="s">
        <v>954</v>
      </c>
      <c r="G1098" s="52" t="s">
        <v>3391</v>
      </c>
      <c r="H1098" s="55"/>
      <c r="I1098" s="56"/>
    </row>
    <row r="1099" spans="2:9" x14ac:dyDescent="0.2">
      <c r="B1099" s="51" t="str">
        <f t="shared" si="17"/>
        <v>2021-038-3</v>
      </c>
      <c r="C1099" s="52">
        <v>2021</v>
      </c>
      <c r="D1099" s="52" t="s">
        <v>16</v>
      </c>
      <c r="E1099" s="52">
        <v>3</v>
      </c>
      <c r="F1099" s="54" t="s">
        <v>733</v>
      </c>
      <c r="G1099" s="52"/>
      <c r="H1099" s="55"/>
      <c r="I1099" s="56"/>
    </row>
    <row r="1100" spans="2:9" x14ac:dyDescent="0.2">
      <c r="B1100" s="51" t="str">
        <f t="shared" si="17"/>
        <v>2021-038-4</v>
      </c>
      <c r="C1100" s="52">
        <v>2021</v>
      </c>
      <c r="D1100" s="52" t="s">
        <v>16</v>
      </c>
      <c r="E1100" s="52">
        <v>4</v>
      </c>
      <c r="F1100" s="54" t="s">
        <v>1718</v>
      </c>
      <c r="G1100" s="52"/>
      <c r="H1100" s="55"/>
      <c r="I1100" s="56"/>
    </row>
    <row r="1101" spans="2:9" x14ac:dyDescent="0.2">
      <c r="B1101" s="57" t="str">
        <f t="shared" si="17"/>
        <v>2021-038-5</v>
      </c>
      <c r="C1101" s="58">
        <v>2021</v>
      </c>
      <c r="D1101" s="58" t="s">
        <v>16</v>
      </c>
      <c r="E1101" s="58">
        <v>5</v>
      </c>
      <c r="F1101" s="59" t="s">
        <v>2077</v>
      </c>
      <c r="G1101" s="58"/>
      <c r="H1101" s="60"/>
      <c r="I1101" s="61"/>
    </row>
    <row r="1102" spans="2:9" x14ac:dyDescent="0.2">
      <c r="B1102" s="62" t="str">
        <f t="shared" si="17"/>
        <v>2021-039-0</v>
      </c>
      <c r="C1102" s="63">
        <v>2021</v>
      </c>
      <c r="D1102" s="63" t="s">
        <v>17</v>
      </c>
      <c r="E1102" s="63">
        <v>0</v>
      </c>
      <c r="F1102" s="64" t="s">
        <v>208</v>
      </c>
      <c r="G1102" s="63"/>
      <c r="H1102" s="65"/>
      <c r="I1102" s="66"/>
    </row>
    <row r="1103" spans="2:9" ht="27" x14ac:dyDescent="0.2">
      <c r="B1103" s="51" t="str">
        <f t="shared" si="17"/>
        <v>2021-039-1</v>
      </c>
      <c r="C1103" s="52">
        <v>2021</v>
      </c>
      <c r="D1103" s="52" t="s">
        <v>17</v>
      </c>
      <c r="E1103" s="52">
        <v>1</v>
      </c>
      <c r="F1103" s="54" t="s">
        <v>560</v>
      </c>
      <c r="G1103" s="52"/>
      <c r="H1103" s="55"/>
      <c r="I1103" s="56"/>
    </row>
    <row r="1104" spans="2:9" ht="27" x14ac:dyDescent="0.2">
      <c r="B1104" s="51" t="str">
        <f t="shared" si="17"/>
        <v>2021-039-2</v>
      </c>
      <c r="C1104" s="52">
        <v>2021</v>
      </c>
      <c r="D1104" s="52" t="s">
        <v>17</v>
      </c>
      <c r="E1104" s="52">
        <v>2</v>
      </c>
      <c r="F1104" s="54" t="s">
        <v>955</v>
      </c>
      <c r="G1104" s="52"/>
      <c r="H1104" s="55"/>
      <c r="I1104" s="56"/>
    </row>
    <row r="1105" spans="2:9" ht="27" x14ac:dyDescent="0.2">
      <c r="B1105" s="51" t="str">
        <f t="shared" si="17"/>
        <v>2021-039-3</v>
      </c>
      <c r="C1105" s="52">
        <v>2021</v>
      </c>
      <c r="D1105" s="52" t="s">
        <v>17</v>
      </c>
      <c r="E1105" s="52">
        <v>3</v>
      </c>
      <c r="F1105" s="54" t="s">
        <v>1344</v>
      </c>
      <c r="G1105" s="52" t="s">
        <v>3391</v>
      </c>
      <c r="H1105" s="55"/>
      <c r="I1105" s="56"/>
    </row>
    <row r="1106" spans="2:9" ht="27" x14ac:dyDescent="0.2">
      <c r="B1106" s="51" t="str">
        <f t="shared" si="17"/>
        <v>2021-039-4</v>
      </c>
      <c r="C1106" s="52">
        <v>2021</v>
      </c>
      <c r="D1106" s="52" t="s">
        <v>17</v>
      </c>
      <c r="E1106" s="52">
        <v>4</v>
      </c>
      <c r="F1106" s="54" t="s">
        <v>1719</v>
      </c>
      <c r="G1106" s="52"/>
      <c r="H1106" s="55"/>
      <c r="I1106" s="56"/>
    </row>
    <row r="1107" spans="2:9" ht="27" x14ac:dyDescent="0.2">
      <c r="B1107" s="57" t="str">
        <f t="shared" si="17"/>
        <v>2021-039-5</v>
      </c>
      <c r="C1107" s="58">
        <v>2021</v>
      </c>
      <c r="D1107" s="58" t="s">
        <v>17</v>
      </c>
      <c r="E1107" s="58">
        <v>5</v>
      </c>
      <c r="F1107" s="59" t="s">
        <v>2078</v>
      </c>
      <c r="G1107" s="58"/>
      <c r="H1107" s="60"/>
      <c r="I1107" s="61"/>
    </row>
    <row r="1108" spans="2:9" x14ac:dyDescent="0.2">
      <c r="B1108" s="62" t="str">
        <f t="shared" si="17"/>
        <v>2021-040-0</v>
      </c>
      <c r="C1108" s="63">
        <v>2021</v>
      </c>
      <c r="D1108" s="63" t="s">
        <v>18</v>
      </c>
      <c r="E1108" s="63">
        <v>0</v>
      </c>
      <c r="F1108" s="64" t="s">
        <v>209</v>
      </c>
      <c r="G1108" s="63"/>
      <c r="H1108" s="65"/>
      <c r="I1108" s="66"/>
    </row>
    <row r="1109" spans="2:9" x14ac:dyDescent="0.2">
      <c r="B1109" s="51" t="str">
        <f t="shared" si="17"/>
        <v>2021-040-1</v>
      </c>
      <c r="C1109" s="52">
        <v>2021</v>
      </c>
      <c r="D1109" s="52" t="s">
        <v>18</v>
      </c>
      <c r="E1109" s="52">
        <v>1</v>
      </c>
      <c r="F1109" s="54" t="s">
        <v>561</v>
      </c>
      <c r="G1109" s="52" t="s">
        <v>3391</v>
      </c>
      <c r="H1109" s="55"/>
      <c r="I1109" s="56"/>
    </row>
    <row r="1110" spans="2:9" x14ac:dyDescent="0.2">
      <c r="B1110" s="51" t="str">
        <f t="shared" si="17"/>
        <v>2021-040-2</v>
      </c>
      <c r="C1110" s="52">
        <v>2021</v>
      </c>
      <c r="D1110" s="52" t="s">
        <v>18</v>
      </c>
      <c r="E1110" s="52">
        <v>2</v>
      </c>
      <c r="F1110" s="54" t="s">
        <v>956</v>
      </c>
      <c r="G1110" s="52"/>
      <c r="H1110" s="55"/>
      <c r="I1110" s="56"/>
    </row>
    <row r="1111" spans="2:9" ht="27" x14ac:dyDescent="0.2">
      <c r="B1111" s="51" t="str">
        <f t="shared" si="17"/>
        <v>2021-040-3</v>
      </c>
      <c r="C1111" s="52">
        <v>2021</v>
      </c>
      <c r="D1111" s="52" t="s">
        <v>18</v>
      </c>
      <c r="E1111" s="52">
        <v>3</v>
      </c>
      <c r="F1111" s="54" t="s">
        <v>1345</v>
      </c>
      <c r="G1111" s="52"/>
      <c r="H1111" s="55"/>
      <c r="I1111" s="56"/>
    </row>
    <row r="1112" spans="2:9" ht="27" x14ac:dyDescent="0.2">
      <c r="B1112" s="51" t="str">
        <f t="shared" si="17"/>
        <v>2021-040-4</v>
      </c>
      <c r="C1112" s="52">
        <v>2021</v>
      </c>
      <c r="D1112" s="52" t="s">
        <v>18</v>
      </c>
      <c r="E1112" s="52">
        <v>4</v>
      </c>
      <c r="F1112" s="54" t="s">
        <v>1720</v>
      </c>
      <c r="G1112" s="52"/>
      <c r="H1112" s="55"/>
      <c r="I1112" s="56"/>
    </row>
    <row r="1113" spans="2:9" ht="27" x14ac:dyDescent="0.2">
      <c r="B1113" s="57" t="str">
        <f t="shared" si="17"/>
        <v>2021-040-5</v>
      </c>
      <c r="C1113" s="58">
        <v>2021</v>
      </c>
      <c r="D1113" s="58" t="s">
        <v>18</v>
      </c>
      <c r="E1113" s="58">
        <v>5</v>
      </c>
      <c r="F1113" s="59" t="s">
        <v>2079</v>
      </c>
      <c r="G1113" s="58"/>
      <c r="H1113" s="60"/>
      <c r="I1113" s="61"/>
    </row>
    <row r="1114" spans="2:9" x14ac:dyDescent="0.2">
      <c r="B1114" s="62" t="str">
        <f t="shared" si="17"/>
        <v>2021-041-0</v>
      </c>
      <c r="C1114" s="63">
        <v>2021</v>
      </c>
      <c r="D1114" s="63" t="s">
        <v>72</v>
      </c>
      <c r="E1114" s="63">
        <v>0</v>
      </c>
      <c r="F1114" s="64" t="s">
        <v>210</v>
      </c>
      <c r="G1114" s="63"/>
      <c r="H1114" s="65"/>
      <c r="I1114" s="66"/>
    </row>
    <row r="1115" spans="2:9" x14ac:dyDescent="0.2">
      <c r="B1115" s="51" t="str">
        <f t="shared" si="17"/>
        <v>2021-041-1</v>
      </c>
      <c r="C1115" s="52">
        <v>2021</v>
      </c>
      <c r="D1115" s="52" t="s">
        <v>72</v>
      </c>
      <c r="E1115" s="52">
        <v>1</v>
      </c>
      <c r="F1115" s="54" t="s">
        <v>2818</v>
      </c>
      <c r="G1115" s="52"/>
      <c r="H1115" s="55"/>
      <c r="I1115" s="56"/>
    </row>
    <row r="1116" spans="2:9" ht="27" x14ac:dyDescent="0.2">
      <c r="B1116" s="51" t="str">
        <f t="shared" si="17"/>
        <v>2021-041-2</v>
      </c>
      <c r="C1116" s="52">
        <v>2021</v>
      </c>
      <c r="D1116" s="52" t="s">
        <v>72</v>
      </c>
      <c r="E1116" s="52">
        <v>2</v>
      </c>
      <c r="F1116" s="54" t="s">
        <v>2819</v>
      </c>
      <c r="G1116" s="52"/>
      <c r="H1116" s="55"/>
      <c r="I1116" s="56"/>
    </row>
    <row r="1117" spans="2:9" x14ac:dyDescent="0.2">
      <c r="B1117" s="51" t="str">
        <f t="shared" si="17"/>
        <v>2021-041-3</v>
      </c>
      <c r="C1117" s="52">
        <v>2021</v>
      </c>
      <c r="D1117" s="52" t="s">
        <v>72</v>
      </c>
      <c r="E1117" s="52">
        <v>3</v>
      </c>
      <c r="F1117" s="54" t="s">
        <v>2820</v>
      </c>
      <c r="G1117" s="52" t="s">
        <v>3391</v>
      </c>
      <c r="H1117" s="55"/>
      <c r="I1117" s="56"/>
    </row>
    <row r="1118" spans="2:9" x14ac:dyDescent="0.2">
      <c r="B1118" s="51" t="str">
        <f t="shared" si="17"/>
        <v>2021-041-4</v>
      </c>
      <c r="C1118" s="52">
        <v>2021</v>
      </c>
      <c r="D1118" s="52" t="s">
        <v>72</v>
      </c>
      <c r="E1118" s="52">
        <v>4</v>
      </c>
      <c r="F1118" s="54" t="s">
        <v>2821</v>
      </c>
      <c r="G1118" s="52"/>
      <c r="H1118" s="55"/>
      <c r="I1118" s="56"/>
    </row>
    <row r="1119" spans="2:9" x14ac:dyDescent="0.2">
      <c r="B1119" s="57" t="str">
        <f t="shared" si="17"/>
        <v>2021-041-5</v>
      </c>
      <c r="C1119" s="58">
        <v>2021</v>
      </c>
      <c r="D1119" s="58" t="s">
        <v>72</v>
      </c>
      <c r="E1119" s="58">
        <v>5</v>
      </c>
      <c r="F1119" s="59" t="s">
        <v>2822</v>
      </c>
      <c r="G1119" s="58"/>
      <c r="H1119" s="60"/>
      <c r="I1119" s="61"/>
    </row>
    <row r="1120" spans="2:9" x14ac:dyDescent="0.2">
      <c r="B1120" s="62" t="str">
        <f t="shared" si="17"/>
        <v>2021-042-0</v>
      </c>
      <c r="C1120" s="63">
        <v>2021</v>
      </c>
      <c r="D1120" s="63" t="s">
        <v>73</v>
      </c>
      <c r="E1120" s="63">
        <v>0</v>
      </c>
      <c r="F1120" s="64" t="s">
        <v>211</v>
      </c>
      <c r="G1120" s="63"/>
      <c r="H1120" s="65"/>
      <c r="I1120" s="66"/>
    </row>
    <row r="1121" spans="2:9" x14ac:dyDescent="0.2">
      <c r="B1121" s="51" t="str">
        <f t="shared" si="17"/>
        <v>2021-042-1</v>
      </c>
      <c r="C1121" s="52">
        <v>2021</v>
      </c>
      <c r="D1121" s="52" t="s">
        <v>73</v>
      </c>
      <c r="E1121" s="52">
        <v>1</v>
      </c>
      <c r="F1121" s="54" t="s">
        <v>562</v>
      </c>
      <c r="G1121" s="52"/>
      <c r="H1121" s="55"/>
      <c r="I1121" s="56"/>
    </row>
    <row r="1122" spans="2:9" x14ac:dyDescent="0.2">
      <c r="B1122" s="51" t="str">
        <f t="shared" si="17"/>
        <v>2021-042-2</v>
      </c>
      <c r="C1122" s="52">
        <v>2021</v>
      </c>
      <c r="D1122" s="52" t="s">
        <v>73</v>
      </c>
      <c r="E1122" s="52">
        <v>2</v>
      </c>
      <c r="F1122" s="54" t="s">
        <v>957</v>
      </c>
      <c r="G1122" s="52"/>
      <c r="H1122" s="55"/>
      <c r="I1122" s="56"/>
    </row>
    <row r="1123" spans="2:9" x14ac:dyDescent="0.2">
      <c r="B1123" s="51" t="str">
        <f t="shared" si="17"/>
        <v>2021-042-3</v>
      </c>
      <c r="C1123" s="52">
        <v>2021</v>
      </c>
      <c r="D1123" s="52" t="s">
        <v>73</v>
      </c>
      <c r="E1123" s="52">
        <v>3</v>
      </c>
      <c r="F1123" s="54" t="s">
        <v>736</v>
      </c>
      <c r="G1123" s="52"/>
      <c r="H1123" s="55"/>
      <c r="I1123" s="56"/>
    </row>
    <row r="1124" spans="2:9" x14ac:dyDescent="0.2">
      <c r="B1124" s="51" t="str">
        <f t="shared" si="17"/>
        <v>2021-042-4</v>
      </c>
      <c r="C1124" s="52">
        <v>2021</v>
      </c>
      <c r="D1124" s="52" t="s">
        <v>73</v>
      </c>
      <c r="E1124" s="52">
        <v>4</v>
      </c>
      <c r="F1124" s="54" t="s">
        <v>979</v>
      </c>
      <c r="G1124" s="52"/>
      <c r="H1124" s="55"/>
      <c r="I1124" s="56"/>
    </row>
    <row r="1125" spans="2:9" x14ac:dyDescent="0.2">
      <c r="B1125" s="57" t="str">
        <f t="shared" si="17"/>
        <v>2021-042-5</v>
      </c>
      <c r="C1125" s="58">
        <v>2021</v>
      </c>
      <c r="D1125" s="58" t="s">
        <v>73</v>
      </c>
      <c r="E1125" s="58">
        <v>5</v>
      </c>
      <c r="F1125" s="59" t="s">
        <v>2080</v>
      </c>
      <c r="G1125" s="58" t="s">
        <v>3391</v>
      </c>
      <c r="H1125" s="60"/>
      <c r="I1125" s="61"/>
    </row>
    <row r="1126" spans="2:9" ht="54" x14ac:dyDescent="0.2">
      <c r="B1126" s="62" t="str">
        <f t="shared" si="17"/>
        <v>2021-043-0</v>
      </c>
      <c r="C1126" s="63">
        <v>2021</v>
      </c>
      <c r="D1126" s="63" t="s">
        <v>74</v>
      </c>
      <c r="E1126" s="63">
        <v>0</v>
      </c>
      <c r="F1126" s="64" t="s">
        <v>212</v>
      </c>
      <c r="G1126" s="63"/>
      <c r="H1126" s="65"/>
      <c r="I1126" s="66"/>
    </row>
    <row r="1127" spans="2:9" x14ac:dyDescent="0.2">
      <c r="B1127" s="51" t="str">
        <f t="shared" si="17"/>
        <v>2021-043-1</v>
      </c>
      <c r="C1127" s="52">
        <v>2021</v>
      </c>
      <c r="D1127" s="52" t="s">
        <v>74</v>
      </c>
      <c r="E1127" s="52">
        <v>1</v>
      </c>
      <c r="F1127" s="54" t="s">
        <v>563</v>
      </c>
      <c r="G1127" s="52"/>
      <c r="H1127" s="55"/>
      <c r="I1127" s="56"/>
    </row>
    <row r="1128" spans="2:9" x14ac:dyDescent="0.2">
      <c r="B1128" s="51" t="str">
        <f t="shared" si="17"/>
        <v>2021-043-2</v>
      </c>
      <c r="C1128" s="52">
        <v>2021</v>
      </c>
      <c r="D1128" s="52" t="s">
        <v>74</v>
      </c>
      <c r="E1128" s="52">
        <v>2</v>
      </c>
      <c r="F1128" s="54" t="s">
        <v>26</v>
      </c>
      <c r="G1128" s="52"/>
      <c r="H1128" s="55"/>
      <c r="I1128" s="56"/>
    </row>
    <row r="1129" spans="2:9" x14ac:dyDescent="0.2">
      <c r="B1129" s="51" t="str">
        <f t="shared" si="17"/>
        <v>2021-043-3</v>
      </c>
      <c r="C1129" s="52">
        <v>2021</v>
      </c>
      <c r="D1129" s="52" t="s">
        <v>74</v>
      </c>
      <c r="E1129" s="52">
        <v>3</v>
      </c>
      <c r="F1129" s="54" t="s">
        <v>42</v>
      </c>
      <c r="G1129" s="52"/>
      <c r="H1129" s="55"/>
      <c r="I1129" s="56"/>
    </row>
    <row r="1130" spans="2:9" x14ac:dyDescent="0.2">
      <c r="B1130" s="51" t="str">
        <f t="shared" si="17"/>
        <v>2021-043-4</v>
      </c>
      <c r="C1130" s="52">
        <v>2021</v>
      </c>
      <c r="D1130" s="52" t="s">
        <v>74</v>
      </c>
      <c r="E1130" s="52">
        <v>4</v>
      </c>
      <c r="F1130" s="54" t="s">
        <v>46</v>
      </c>
      <c r="G1130" s="52" t="s">
        <v>3391</v>
      </c>
      <c r="H1130" s="55"/>
      <c r="I1130" s="56"/>
    </row>
    <row r="1131" spans="2:9" x14ac:dyDescent="0.2">
      <c r="B1131" s="57" t="str">
        <f t="shared" si="17"/>
        <v>2021-043-5</v>
      </c>
      <c r="C1131" s="58">
        <v>2021</v>
      </c>
      <c r="D1131" s="58" t="s">
        <v>74</v>
      </c>
      <c r="E1131" s="58">
        <v>5</v>
      </c>
      <c r="F1131" s="59" t="s">
        <v>51</v>
      </c>
      <c r="G1131" s="58"/>
      <c r="H1131" s="60"/>
      <c r="I1131" s="61"/>
    </row>
    <row r="1132" spans="2:9" x14ac:dyDescent="0.2">
      <c r="B1132" s="62" t="str">
        <f t="shared" si="17"/>
        <v>2021-044-0</v>
      </c>
      <c r="C1132" s="63">
        <v>2021</v>
      </c>
      <c r="D1132" s="63" t="s">
        <v>75</v>
      </c>
      <c r="E1132" s="63">
        <v>0</v>
      </c>
      <c r="F1132" s="64" t="s">
        <v>213</v>
      </c>
      <c r="G1132" s="63"/>
      <c r="H1132" s="65"/>
      <c r="I1132" s="66"/>
    </row>
    <row r="1133" spans="2:9" x14ac:dyDescent="0.2">
      <c r="B1133" s="51" t="str">
        <f t="shared" si="17"/>
        <v>2021-044-1</v>
      </c>
      <c r="C1133" s="52">
        <v>2021</v>
      </c>
      <c r="D1133" s="52" t="s">
        <v>75</v>
      </c>
      <c r="E1133" s="52">
        <v>1</v>
      </c>
      <c r="F1133" s="54" t="s">
        <v>564</v>
      </c>
      <c r="G1133" s="52"/>
      <c r="H1133" s="55"/>
      <c r="I1133" s="56"/>
    </row>
    <row r="1134" spans="2:9" x14ac:dyDescent="0.2">
      <c r="B1134" s="51" t="str">
        <f t="shared" si="17"/>
        <v>2021-044-2</v>
      </c>
      <c r="C1134" s="52">
        <v>2021</v>
      </c>
      <c r="D1134" s="52" t="s">
        <v>75</v>
      </c>
      <c r="E1134" s="52">
        <v>2</v>
      </c>
      <c r="F1134" s="54" t="s">
        <v>760</v>
      </c>
      <c r="G1134" s="52"/>
      <c r="H1134" s="55"/>
      <c r="I1134" s="56"/>
    </row>
    <row r="1135" spans="2:9" x14ac:dyDescent="0.2">
      <c r="B1135" s="51" t="str">
        <f t="shared" si="17"/>
        <v>2021-044-3</v>
      </c>
      <c r="C1135" s="52">
        <v>2021</v>
      </c>
      <c r="D1135" s="52" t="s">
        <v>75</v>
      </c>
      <c r="E1135" s="52">
        <v>3</v>
      </c>
      <c r="F1135" s="54" t="s">
        <v>1346</v>
      </c>
      <c r="G1135" s="52"/>
      <c r="H1135" s="55"/>
      <c r="I1135" s="56"/>
    </row>
    <row r="1136" spans="2:9" x14ac:dyDescent="0.2">
      <c r="B1136" s="51" t="str">
        <f t="shared" si="17"/>
        <v>2021-044-4</v>
      </c>
      <c r="C1136" s="52">
        <v>2021</v>
      </c>
      <c r="D1136" s="52" t="s">
        <v>75</v>
      </c>
      <c r="E1136" s="52">
        <v>4</v>
      </c>
      <c r="F1136" s="54" t="s">
        <v>1721</v>
      </c>
      <c r="G1136" s="52"/>
      <c r="H1136" s="55"/>
      <c r="I1136" s="56"/>
    </row>
    <row r="1137" spans="2:9" ht="27" x14ac:dyDescent="0.2">
      <c r="B1137" s="57" t="str">
        <f t="shared" ref="B1137:B1173" si="18">C1137&amp;"-"&amp;D1137&amp;"-"&amp;E1137</f>
        <v>2021-044-5</v>
      </c>
      <c r="C1137" s="58">
        <v>2021</v>
      </c>
      <c r="D1137" s="58" t="s">
        <v>75</v>
      </c>
      <c r="E1137" s="58">
        <v>5</v>
      </c>
      <c r="F1137" s="59" t="s">
        <v>2081</v>
      </c>
      <c r="G1137" s="58" t="s">
        <v>3391</v>
      </c>
      <c r="H1137" s="60"/>
      <c r="I1137" s="61"/>
    </row>
    <row r="1138" spans="2:9" x14ac:dyDescent="0.2">
      <c r="B1138" s="62" t="str">
        <f t="shared" si="18"/>
        <v>2021-045-0</v>
      </c>
      <c r="C1138" s="63">
        <v>2021</v>
      </c>
      <c r="D1138" s="63" t="s">
        <v>76</v>
      </c>
      <c r="E1138" s="63">
        <v>0</v>
      </c>
      <c r="F1138" s="64" t="s">
        <v>123</v>
      </c>
      <c r="G1138" s="63"/>
      <c r="H1138" s="65"/>
      <c r="I1138" s="66"/>
    </row>
    <row r="1139" spans="2:9" ht="27" x14ac:dyDescent="0.2">
      <c r="B1139" s="51" t="str">
        <f t="shared" si="18"/>
        <v>2021-045-1</v>
      </c>
      <c r="C1139" s="52">
        <v>2021</v>
      </c>
      <c r="D1139" s="52" t="s">
        <v>76</v>
      </c>
      <c r="E1139" s="52">
        <v>1</v>
      </c>
      <c r="F1139" s="54" t="s">
        <v>565</v>
      </c>
      <c r="G1139" s="52" t="s">
        <v>3391</v>
      </c>
      <c r="H1139" s="55"/>
      <c r="I1139" s="56"/>
    </row>
    <row r="1140" spans="2:9" ht="27" x14ac:dyDescent="0.2">
      <c r="B1140" s="51" t="str">
        <f t="shared" si="18"/>
        <v>2021-045-2</v>
      </c>
      <c r="C1140" s="52">
        <v>2021</v>
      </c>
      <c r="D1140" s="52" t="s">
        <v>76</v>
      </c>
      <c r="E1140" s="52">
        <v>2</v>
      </c>
      <c r="F1140" s="54" t="s">
        <v>958</v>
      </c>
      <c r="G1140" s="52"/>
      <c r="H1140" s="55"/>
      <c r="I1140" s="56"/>
    </row>
    <row r="1141" spans="2:9" ht="27" x14ac:dyDescent="0.2">
      <c r="B1141" s="51" t="str">
        <f t="shared" si="18"/>
        <v>2021-045-3</v>
      </c>
      <c r="C1141" s="52">
        <v>2021</v>
      </c>
      <c r="D1141" s="52" t="s">
        <v>76</v>
      </c>
      <c r="E1141" s="52">
        <v>3</v>
      </c>
      <c r="F1141" s="54" t="s">
        <v>1347</v>
      </c>
      <c r="G1141" s="52"/>
      <c r="H1141" s="55"/>
      <c r="I1141" s="56"/>
    </row>
    <row r="1142" spans="2:9" ht="27" x14ac:dyDescent="0.2">
      <c r="B1142" s="51" t="str">
        <f t="shared" si="18"/>
        <v>2021-045-4</v>
      </c>
      <c r="C1142" s="52">
        <v>2021</v>
      </c>
      <c r="D1142" s="52" t="s">
        <v>76</v>
      </c>
      <c r="E1142" s="52">
        <v>4</v>
      </c>
      <c r="F1142" s="54" t="s">
        <v>1722</v>
      </c>
      <c r="G1142" s="52"/>
      <c r="H1142" s="55"/>
      <c r="I1142" s="56"/>
    </row>
    <row r="1143" spans="2:9" x14ac:dyDescent="0.2">
      <c r="B1143" s="57" t="str">
        <f t="shared" si="18"/>
        <v>2021-045-5</v>
      </c>
      <c r="C1143" s="58">
        <v>2021</v>
      </c>
      <c r="D1143" s="58" t="s">
        <v>76</v>
      </c>
      <c r="E1143" s="58">
        <v>5</v>
      </c>
      <c r="F1143" s="59" t="s">
        <v>2082</v>
      </c>
      <c r="G1143" s="58"/>
      <c r="H1143" s="60"/>
      <c r="I1143" s="61"/>
    </row>
    <row r="1144" spans="2:9" x14ac:dyDescent="0.2">
      <c r="B1144" s="62" t="str">
        <f t="shared" si="18"/>
        <v>2021-046-0</v>
      </c>
      <c r="C1144" s="63">
        <v>2021</v>
      </c>
      <c r="D1144" s="63" t="s">
        <v>77</v>
      </c>
      <c r="E1144" s="63">
        <v>0</v>
      </c>
      <c r="F1144" s="64" t="s">
        <v>214</v>
      </c>
      <c r="G1144" s="63"/>
      <c r="H1144" s="65"/>
      <c r="I1144" s="66"/>
    </row>
    <row r="1145" spans="2:9" x14ac:dyDescent="0.2">
      <c r="B1145" s="51" t="str">
        <f t="shared" si="18"/>
        <v>2021-046-1</v>
      </c>
      <c r="C1145" s="52">
        <v>2021</v>
      </c>
      <c r="D1145" s="52" t="s">
        <v>77</v>
      </c>
      <c r="E1145" s="52">
        <v>1</v>
      </c>
      <c r="F1145" s="54" t="s">
        <v>566</v>
      </c>
      <c r="G1145" s="52"/>
      <c r="H1145" s="55"/>
      <c r="I1145" s="56"/>
    </row>
    <row r="1146" spans="2:9" x14ac:dyDescent="0.2">
      <c r="B1146" s="51" t="str">
        <f t="shared" si="18"/>
        <v>2021-046-2</v>
      </c>
      <c r="C1146" s="52">
        <v>2021</v>
      </c>
      <c r="D1146" s="52" t="s">
        <v>77</v>
      </c>
      <c r="E1146" s="52">
        <v>2</v>
      </c>
      <c r="F1146" s="54" t="s">
        <v>959</v>
      </c>
      <c r="G1146" s="52" t="s">
        <v>3391</v>
      </c>
      <c r="H1146" s="55"/>
      <c r="I1146" s="56"/>
    </row>
    <row r="1147" spans="2:9" x14ac:dyDescent="0.2">
      <c r="B1147" s="51" t="str">
        <f t="shared" si="18"/>
        <v>2021-046-3</v>
      </c>
      <c r="C1147" s="52">
        <v>2021</v>
      </c>
      <c r="D1147" s="52" t="s">
        <v>77</v>
      </c>
      <c r="E1147" s="52">
        <v>3</v>
      </c>
      <c r="F1147" s="54" t="s">
        <v>1348</v>
      </c>
      <c r="G1147" s="52"/>
      <c r="H1147" s="55"/>
      <c r="I1147" s="56"/>
    </row>
    <row r="1148" spans="2:9" x14ac:dyDescent="0.2">
      <c r="B1148" s="51" t="str">
        <f t="shared" si="18"/>
        <v>2021-046-4</v>
      </c>
      <c r="C1148" s="52">
        <v>2021</v>
      </c>
      <c r="D1148" s="52" t="s">
        <v>77</v>
      </c>
      <c r="E1148" s="52">
        <v>4</v>
      </c>
      <c r="F1148" s="54" t="s">
        <v>1723</v>
      </c>
      <c r="G1148" s="52"/>
      <c r="H1148" s="55"/>
      <c r="I1148" s="56"/>
    </row>
    <row r="1149" spans="2:9" x14ac:dyDescent="0.2">
      <c r="B1149" s="57" t="str">
        <f t="shared" si="18"/>
        <v>2021-046-5</v>
      </c>
      <c r="C1149" s="58">
        <v>2021</v>
      </c>
      <c r="D1149" s="58" t="s">
        <v>77</v>
      </c>
      <c r="E1149" s="58">
        <v>5</v>
      </c>
      <c r="F1149" s="59" t="s">
        <v>2083</v>
      </c>
      <c r="G1149" s="58"/>
      <c r="H1149" s="60"/>
      <c r="I1149" s="61"/>
    </row>
    <row r="1150" spans="2:9" x14ac:dyDescent="0.2">
      <c r="B1150" s="62" t="str">
        <f t="shared" si="18"/>
        <v>2021-047-0</v>
      </c>
      <c r="C1150" s="63">
        <v>2021</v>
      </c>
      <c r="D1150" s="63" t="s">
        <v>78</v>
      </c>
      <c r="E1150" s="63">
        <v>0</v>
      </c>
      <c r="F1150" s="64" t="s">
        <v>170</v>
      </c>
      <c r="G1150" s="63"/>
      <c r="H1150" s="65"/>
      <c r="I1150" s="66"/>
    </row>
    <row r="1151" spans="2:9" x14ac:dyDescent="0.2">
      <c r="B1151" s="51" t="str">
        <f t="shared" si="18"/>
        <v>2021-047-1</v>
      </c>
      <c r="C1151" s="52">
        <v>2021</v>
      </c>
      <c r="D1151" s="52" t="s">
        <v>78</v>
      </c>
      <c r="E1151" s="52">
        <v>1</v>
      </c>
      <c r="F1151" s="54" t="s">
        <v>567</v>
      </c>
      <c r="G1151" s="52"/>
      <c r="H1151" s="55"/>
      <c r="I1151" s="56"/>
    </row>
    <row r="1152" spans="2:9" x14ac:dyDescent="0.2">
      <c r="B1152" s="51" t="str">
        <f t="shared" si="18"/>
        <v>2021-047-2</v>
      </c>
      <c r="C1152" s="52">
        <v>2021</v>
      </c>
      <c r="D1152" s="52" t="s">
        <v>78</v>
      </c>
      <c r="E1152" s="52">
        <v>2</v>
      </c>
      <c r="F1152" s="54" t="s">
        <v>960</v>
      </c>
      <c r="G1152" s="52"/>
      <c r="H1152" s="55"/>
      <c r="I1152" s="56"/>
    </row>
    <row r="1153" spans="2:9" x14ac:dyDescent="0.2">
      <c r="B1153" s="51" t="str">
        <f t="shared" si="18"/>
        <v>2021-047-3</v>
      </c>
      <c r="C1153" s="52">
        <v>2021</v>
      </c>
      <c r="D1153" s="52" t="s">
        <v>78</v>
      </c>
      <c r="E1153" s="52">
        <v>3</v>
      </c>
      <c r="F1153" s="54" t="s">
        <v>1349</v>
      </c>
      <c r="G1153" s="52"/>
      <c r="H1153" s="55"/>
      <c r="I1153" s="56"/>
    </row>
    <row r="1154" spans="2:9" ht="27" x14ac:dyDescent="0.2">
      <c r="B1154" s="51" t="str">
        <f t="shared" si="18"/>
        <v>2021-047-4</v>
      </c>
      <c r="C1154" s="52">
        <v>2021</v>
      </c>
      <c r="D1154" s="52" t="s">
        <v>78</v>
      </c>
      <c r="E1154" s="52">
        <v>4</v>
      </c>
      <c r="F1154" s="54" t="s">
        <v>1724</v>
      </c>
      <c r="G1154" s="52" t="s">
        <v>3391</v>
      </c>
      <c r="H1154" s="55"/>
      <c r="I1154" s="56"/>
    </row>
    <row r="1155" spans="2:9" ht="27" x14ac:dyDescent="0.2">
      <c r="B1155" s="57" t="str">
        <f t="shared" si="18"/>
        <v>2021-047-5</v>
      </c>
      <c r="C1155" s="58">
        <v>2021</v>
      </c>
      <c r="D1155" s="58" t="s">
        <v>78</v>
      </c>
      <c r="E1155" s="58">
        <v>5</v>
      </c>
      <c r="F1155" s="59" t="s">
        <v>2084</v>
      </c>
      <c r="G1155" s="58"/>
      <c r="H1155" s="60"/>
      <c r="I1155" s="61"/>
    </row>
    <row r="1156" spans="2:9" x14ac:dyDescent="0.2">
      <c r="B1156" s="62" t="str">
        <f t="shared" si="18"/>
        <v>2021-048-0</v>
      </c>
      <c r="C1156" s="63">
        <v>2021</v>
      </c>
      <c r="D1156" s="63" t="s">
        <v>79</v>
      </c>
      <c r="E1156" s="63">
        <v>0</v>
      </c>
      <c r="F1156" s="64" t="s">
        <v>167</v>
      </c>
      <c r="G1156" s="63"/>
      <c r="H1156" s="65"/>
      <c r="I1156" s="66"/>
    </row>
    <row r="1157" spans="2:9" x14ac:dyDescent="0.2">
      <c r="B1157" s="51" t="str">
        <f t="shared" si="18"/>
        <v>2021-048-1</v>
      </c>
      <c r="C1157" s="52">
        <v>2021</v>
      </c>
      <c r="D1157" s="52" t="s">
        <v>79</v>
      </c>
      <c r="E1157" s="52">
        <v>1</v>
      </c>
      <c r="F1157" s="54" t="s">
        <v>568</v>
      </c>
      <c r="G1157" s="52"/>
      <c r="H1157" s="55"/>
      <c r="I1157" s="56"/>
    </row>
    <row r="1158" spans="2:9" x14ac:dyDescent="0.2">
      <c r="B1158" s="51" t="str">
        <f t="shared" si="18"/>
        <v>2021-048-2</v>
      </c>
      <c r="C1158" s="52">
        <v>2021</v>
      </c>
      <c r="D1158" s="52" t="s">
        <v>79</v>
      </c>
      <c r="E1158" s="52">
        <v>2</v>
      </c>
      <c r="F1158" s="54" t="s">
        <v>961</v>
      </c>
      <c r="G1158" s="52"/>
      <c r="H1158" s="55"/>
      <c r="I1158" s="56"/>
    </row>
    <row r="1159" spans="2:9" x14ac:dyDescent="0.2">
      <c r="B1159" s="51" t="str">
        <f t="shared" si="18"/>
        <v>2021-048-3</v>
      </c>
      <c r="C1159" s="52">
        <v>2021</v>
      </c>
      <c r="D1159" s="52" t="s">
        <v>79</v>
      </c>
      <c r="E1159" s="52">
        <v>3</v>
      </c>
      <c r="F1159" s="54" t="s">
        <v>1350</v>
      </c>
      <c r="G1159" s="52"/>
      <c r="H1159" s="55"/>
      <c r="I1159" s="56"/>
    </row>
    <row r="1160" spans="2:9" x14ac:dyDescent="0.2">
      <c r="B1160" s="51" t="str">
        <f t="shared" si="18"/>
        <v>2021-048-4</v>
      </c>
      <c r="C1160" s="52">
        <v>2021</v>
      </c>
      <c r="D1160" s="52" t="s">
        <v>79</v>
      </c>
      <c r="E1160" s="52">
        <v>4</v>
      </c>
      <c r="F1160" s="54" t="s">
        <v>1725</v>
      </c>
      <c r="G1160" s="52" t="s">
        <v>3391</v>
      </c>
      <c r="H1160" s="55"/>
      <c r="I1160" s="56"/>
    </row>
    <row r="1161" spans="2:9" x14ac:dyDescent="0.2">
      <c r="B1161" s="57" t="str">
        <f t="shared" si="18"/>
        <v>2021-048-5</v>
      </c>
      <c r="C1161" s="58">
        <v>2021</v>
      </c>
      <c r="D1161" s="58" t="s">
        <v>79</v>
      </c>
      <c r="E1161" s="58">
        <v>5</v>
      </c>
      <c r="F1161" s="59" t="s">
        <v>2085</v>
      </c>
      <c r="G1161" s="58"/>
      <c r="H1161" s="60"/>
      <c r="I1161" s="61"/>
    </row>
    <row r="1162" spans="2:9" x14ac:dyDescent="0.2">
      <c r="B1162" s="62" t="str">
        <f t="shared" si="18"/>
        <v>2021-049-0</v>
      </c>
      <c r="C1162" s="63">
        <v>2021</v>
      </c>
      <c r="D1162" s="63" t="s">
        <v>80</v>
      </c>
      <c r="E1162" s="63">
        <v>0</v>
      </c>
      <c r="F1162" s="64" t="s">
        <v>172</v>
      </c>
      <c r="G1162" s="63"/>
      <c r="H1162" s="65"/>
      <c r="I1162" s="66"/>
    </row>
    <row r="1163" spans="2:9" x14ac:dyDescent="0.2">
      <c r="B1163" s="51" t="str">
        <f t="shared" si="18"/>
        <v>2021-049-1</v>
      </c>
      <c r="C1163" s="52">
        <v>2021</v>
      </c>
      <c r="D1163" s="52" t="s">
        <v>80</v>
      </c>
      <c r="E1163" s="52">
        <v>1</v>
      </c>
      <c r="F1163" s="54" t="s">
        <v>569</v>
      </c>
      <c r="G1163" s="52" t="s">
        <v>3391</v>
      </c>
      <c r="H1163" s="55"/>
      <c r="I1163" s="56"/>
    </row>
    <row r="1164" spans="2:9" x14ac:dyDescent="0.2">
      <c r="B1164" s="51" t="str">
        <f t="shared" si="18"/>
        <v>2021-049-2</v>
      </c>
      <c r="C1164" s="52">
        <v>2021</v>
      </c>
      <c r="D1164" s="52" t="s">
        <v>80</v>
      </c>
      <c r="E1164" s="52">
        <v>2</v>
      </c>
      <c r="F1164" s="54" t="s">
        <v>962</v>
      </c>
      <c r="G1164" s="52"/>
      <c r="H1164" s="55"/>
      <c r="I1164" s="56"/>
    </row>
    <row r="1165" spans="2:9" x14ac:dyDescent="0.2">
      <c r="B1165" s="51" t="str">
        <f t="shared" si="18"/>
        <v>2021-049-3</v>
      </c>
      <c r="C1165" s="52">
        <v>2021</v>
      </c>
      <c r="D1165" s="52" t="s">
        <v>80</v>
      </c>
      <c r="E1165" s="52">
        <v>3</v>
      </c>
      <c r="F1165" s="54" t="s">
        <v>1351</v>
      </c>
      <c r="G1165" s="52"/>
      <c r="H1165" s="55"/>
      <c r="I1165" s="56"/>
    </row>
    <row r="1166" spans="2:9" x14ac:dyDescent="0.2">
      <c r="B1166" s="51" t="str">
        <f t="shared" si="18"/>
        <v>2021-049-4</v>
      </c>
      <c r="C1166" s="52">
        <v>2021</v>
      </c>
      <c r="D1166" s="52" t="s">
        <v>80</v>
      </c>
      <c r="E1166" s="52">
        <v>4</v>
      </c>
      <c r="F1166" s="54" t="s">
        <v>890</v>
      </c>
      <c r="G1166" s="52"/>
      <c r="H1166" s="55"/>
      <c r="I1166" s="56"/>
    </row>
    <row r="1167" spans="2:9" x14ac:dyDescent="0.2">
      <c r="B1167" s="57" t="str">
        <f t="shared" si="18"/>
        <v>2021-049-5</v>
      </c>
      <c r="C1167" s="58">
        <v>2021</v>
      </c>
      <c r="D1167" s="58" t="s">
        <v>80</v>
      </c>
      <c r="E1167" s="58">
        <v>5</v>
      </c>
      <c r="F1167" s="59" t="s">
        <v>2086</v>
      </c>
      <c r="G1167" s="58"/>
      <c r="H1167" s="60"/>
      <c r="I1167" s="61"/>
    </row>
    <row r="1168" spans="2:9" x14ac:dyDescent="0.2">
      <c r="B1168" s="62" t="str">
        <f t="shared" si="18"/>
        <v>2021-050-0</v>
      </c>
      <c r="C1168" s="63">
        <v>2021</v>
      </c>
      <c r="D1168" s="63" t="s">
        <v>81</v>
      </c>
      <c r="E1168" s="63">
        <v>0</v>
      </c>
      <c r="F1168" s="64" t="s">
        <v>171</v>
      </c>
      <c r="G1168" s="63"/>
      <c r="H1168" s="65"/>
      <c r="I1168" s="66"/>
    </row>
    <row r="1169" spans="2:9" x14ac:dyDescent="0.2">
      <c r="B1169" s="51" t="str">
        <f t="shared" si="18"/>
        <v>2021-050-1</v>
      </c>
      <c r="C1169" s="52">
        <v>2021</v>
      </c>
      <c r="D1169" s="52" t="s">
        <v>81</v>
      </c>
      <c r="E1169" s="52">
        <v>1</v>
      </c>
      <c r="F1169" s="54" t="s">
        <v>570</v>
      </c>
      <c r="G1169" s="52"/>
      <c r="H1169" s="55"/>
      <c r="I1169" s="56"/>
    </row>
    <row r="1170" spans="2:9" ht="27" x14ac:dyDescent="0.2">
      <c r="B1170" s="51" t="str">
        <f t="shared" si="18"/>
        <v>2021-050-2</v>
      </c>
      <c r="C1170" s="52">
        <v>2021</v>
      </c>
      <c r="D1170" s="52" t="s">
        <v>81</v>
      </c>
      <c r="E1170" s="52">
        <v>2</v>
      </c>
      <c r="F1170" s="54" t="s">
        <v>963</v>
      </c>
      <c r="G1170" s="52"/>
      <c r="H1170" s="55"/>
      <c r="I1170" s="56"/>
    </row>
    <row r="1171" spans="2:9" x14ac:dyDescent="0.2">
      <c r="B1171" s="51" t="str">
        <f t="shared" si="18"/>
        <v>2021-050-3</v>
      </c>
      <c r="C1171" s="52">
        <v>2021</v>
      </c>
      <c r="D1171" s="52" t="s">
        <v>81</v>
      </c>
      <c r="E1171" s="52">
        <v>3</v>
      </c>
      <c r="F1171" s="54" t="s">
        <v>1352</v>
      </c>
      <c r="G1171" s="52"/>
      <c r="H1171" s="55"/>
      <c r="I1171" s="56"/>
    </row>
    <row r="1172" spans="2:9" x14ac:dyDescent="0.2">
      <c r="B1172" s="51" t="str">
        <f t="shared" si="18"/>
        <v>2021-050-4</v>
      </c>
      <c r="C1172" s="52">
        <v>2021</v>
      </c>
      <c r="D1172" s="52" t="s">
        <v>81</v>
      </c>
      <c r="E1172" s="52">
        <v>4</v>
      </c>
      <c r="F1172" s="54" t="s">
        <v>742</v>
      </c>
      <c r="G1172" s="52"/>
      <c r="H1172" s="55"/>
      <c r="I1172" s="56"/>
    </row>
    <row r="1173" spans="2:9" ht="27.75" thickBot="1" x14ac:dyDescent="0.25">
      <c r="B1173" s="67" t="str">
        <f t="shared" si="18"/>
        <v>2021-050-5</v>
      </c>
      <c r="C1173" s="68">
        <v>2021</v>
      </c>
      <c r="D1173" s="68" t="s">
        <v>81</v>
      </c>
      <c r="E1173" s="68">
        <v>5</v>
      </c>
      <c r="F1173" s="69" t="s">
        <v>2087</v>
      </c>
      <c r="G1173" s="68" t="s">
        <v>3391</v>
      </c>
      <c r="H1173" s="70"/>
      <c r="I1173" s="71"/>
    </row>
    <row r="1174" spans="2:9" x14ac:dyDescent="0.2">
      <c r="B1174" s="45" t="str">
        <f t="shared" ref="B1174" si="19">C1174&amp;"-"&amp;D1174&amp;"-"&amp;E1174</f>
        <v>2020-026-0</v>
      </c>
      <c r="C1174" s="46">
        <v>2020</v>
      </c>
      <c r="D1174" s="46" t="s">
        <v>4</v>
      </c>
      <c r="E1174" s="46">
        <v>0</v>
      </c>
      <c r="F1174" s="48" t="s">
        <v>215</v>
      </c>
      <c r="G1174" s="46"/>
      <c r="H1174" s="49"/>
      <c r="I1174" s="50"/>
    </row>
    <row r="1175" spans="2:9" x14ac:dyDescent="0.2">
      <c r="B1175" s="51" t="str">
        <f t="shared" ref="B1175:B1238" si="20">C1175&amp;"-"&amp;D1175&amp;"-"&amp;E1175</f>
        <v>2020-026-1</v>
      </c>
      <c r="C1175" s="52">
        <v>2020</v>
      </c>
      <c r="D1175" s="52" t="s">
        <v>4</v>
      </c>
      <c r="E1175" s="52">
        <v>1</v>
      </c>
      <c r="F1175" s="54" t="s">
        <v>571</v>
      </c>
      <c r="G1175" s="52"/>
      <c r="H1175" s="55"/>
      <c r="I1175" s="56"/>
    </row>
    <row r="1176" spans="2:9" x14ac:dyDescent="0.2">
      <c r="B1176" s="51" t="str">
        <f t="shared" si="20"/>
        <v>2020-026-2</v>
      </c>
      <c r="C1176" s="52">
        <v>2020</v>
      </c>
      <c r="D1176" s="52" t="s">
        <v>4</v>
      </c>
      <c r="E1176" s="52">
        <v>2</v>
      </c>
      <c r="F1176" s="54" t="s">
        <v>964</v>
      </c>
      <c r="G1176" s="52"/>
      <c r="H1176" s="55"/>
      <c r="I1176" s="56"/>
    </row>
    <row r="1177" spans="2:9" x14ac:dyDescent="0.2">
      <c r="B1177" s="51" t="str">
        <f t="shared" si="20"/>
        <v>2020-026-3</v>
      </c>
      <c r="C1177" s="52">
        <v>2020</v>
      </c>
      <c r="D1177" s="52" t="s">
        <v>4</v>
      </c>
      <c r="E1177" s="52">
        <v>3</v>
      </c>
      <c r="F1177" s="54" t="s">
        <v>1353</v>
      </c>
      <c r="G1177" s="52"/>
      <c r="H1177" s="55"/>
      <c r="I1177" s="56"/>
    </row>
    <row r="1178" spans="2:9" x14ac:dyDescent="0.2">
      <c r="B1178" s="51" t="str">
        <f t="shared" si="20"/>
        <v>2020-026-4</v>
      </c>
      <c r="C1178" s="52">
        <v>2020</v>
      </c>
      <c r="D1178" s="52" t="s">
        <v>4</v>
      </c>
      <c r="E1178" s="52">
        <v>4</v>
      </c>
      <c r="F1178" s="54" t="s">
        <v>1726</v>
      </c>
      <c r="G1178" s="52"/>
      <c r="H1178" s="55"/>
      <c r="I1178" s="56"/>
    </row>
    <row r="1179" spans="2:9" ht="27" x14ac:dyDescent="0.2">
      <c r="B1179" s="57" t="str">
        <f t="shared" si="20"/>
        <v>2020-026-5</v>
      </c>
      <c r="C1179" s="58">
        <v>2020</v>
      </c>
      <c r="D1179" s="58" t="s">
        <v>4</v>
      </c>
      <c r="E1179" s="58">
        <v>5</v>
      </c>
      <c r="F1179" s="59" t="s">
        <v>2088</v>
      </c>
      <c r="G1179" s="58" t="s">
        <v>3391</v>
      </c>
      <c r="H1179" s="60"/>
      <c r="I1179" s="61"/>
    </row>
    <row r="1180" spans="2:9" ht="81" x14ac:dyDescent="0.2">
      <c r="B1180" s="62" t="str">
        <f t="shared" si="20"/>
        <v>2020-027-0</v>
      </c>
      <c r="C1180" s="63">
        <v>2020</v>
      </c>
      <c r="D1180" s="63" t="s">
        <v>5</v>
      </c>
      <c r="E1180" s="63">
        <v>0</v>
      </c>
      <c r="F1180" s="64" t="s">
        <v>216</v>
      </c>
      <c r="G1180" s="63"/>
      <c r="H1180" s="65"/>
      <c r="I1180" s="66"/>
    </row>
    <row r="1181" spans="2:9" x14ac:dyDescent="0.2">
      <c r="B1181" s="51" t="str">
        <f t="shared" si="20"/>
        <v>2020-027-1</v>
      </c>
      <c r="C1181" s="52">
        <v>2020</v>
      </c>
      <c r="D1181" s="52" t="s">
        <v>5</v>
      </c>
      <c r="E1181" s="52">
        <v>1</v>
      </c>
      <c r="F1181" s="54" t="s">
        <v>71</v>
      </c>
      <c r="G1181" s="52" t="s">
        <v>3391</v>
      </c>
      <c r="H1181" s="55"/>
      <c r="I1181" s="56"/>
    </row>
    <row r="1182" spans="2:9" x14ac:dyDescent="0.2">
      <c r="B1182" s="51" t="str">
        <f t="shared" si="20"/>
        <v>2020-027-2</v>
      </c>
      <c r="C1182" s="52">
        <v>2020</v>
      </c>
      <c r="D1182" s="52" t="s">
        <v>5</v>
      </c>
      <c r="E1182" s="52">
        <v>2</v>
      </c>
      <c r="F1182" s="54" t="s">
        <v>965</v>
      </c>
      <c r="G1182" s="52"/>
      <c r="H1182" s="55"/>
      <c r="I1182" s="56"/>
    </row>
    <row r="1183" spans="2:9" x14ac:dyDescent="0.2">
      <c r="B1183" s="51" t="str">
        <f t="shared" si="20"/>
        <v>2020-027-3</v>
      </c>
      <c r="C1183" s="52">
        <v>2020</v>
      </c>
      <c r="D1183" s="52" t="s">
        <v>5</v>
      </c>
      <c r="E1183" s="52">
        <v>3</v>
      </c>
      <c r="F1183" s="54" t="s">
        <v>931</v>
      </c>
      <c r="G1183" s="52"/>
      <c r="H1183" s="55"/>
      <c r="I1183" s="56"/>
    </row>
    <row r="1184" spans="2:9" x14ac:dyDescent="0.2">
      <c r="B1184" s="51" t="str">
        <f t="shared" si="20"/>
        <v>2020-027-4</v>
      </c>
      <c r="C1184" s="52">
        <v>2020</v>
      </c>
      <c r="D1184" s="52" t="s">
        <v>5</v>
      </c>
      <c r="E1184" s="52">
        <v>4</v>
      </c>
      <c r="F1184" s="54" t="s">
        <v>1649</v>
      </c>
      <c r="G1184" s="52"/>
      <c r="H1184" s="55"/>
      <c r="I1184" s="56"/>
    </row>
    <row r="1185" spans="2:9" x14ac:dyDescent="0.2">
      <c r="B1185" s="57" t="str">
        <f t="shared" si="20"/>
        <v>2020-027-5</v>
      </c>
      <c r="C1185" s="58">
        <v>2020</v>
      </c>
      <c r="D1185" s="58" t="s">
        <v>5</v>
      </c>
      <c r="E1185" s="58">
        <v>5</v>
      </c>
      <c r="F1185" s="59" t="s">
        <v>29</v>
      </c>
      <c r="G1185" s="58"/>
      <c r="H1185" s="60"/>
      <c r="I1185" s="61"/>
    </row>
    <row r="1186" spans="2:9" ht="27" x14ac:dyDescent="0.2">
      <c r="B1186" s="62" t="str">
        <f t="shared" si="20"/>
        <v>2020-028-0</v>
      </c>
      <c r="C1186" s="63">
        <v>2020</v>
      </c>
      <c r="D1186" s="63" t="s">
        <v>6</v>
      </c>
      <c r="E1186" s="63">
        <v>0</v>
      </c>
      <c r="F1186" s="64" t="s">
        <v>217</v>
      </c>
      <c r="G1186" s="63"/>
      <c r="H1186" s="65"/>
      <c r="I1186" s="66"/>
    </row>
    <row r="1187" spans="2:9" x14ac:dyDescent="0.2">
      <c r="B1187" s="51" t="str">
        <f t="shared" si="20"/>
        <v>2020-028-1</v>
      </c>
      <c r="C1187" s="52">
        <v>2020</v>
      </c>
      <c r="D1187" s="52" t="s">
        <v>6</v>
      </c>
      <c r="E1187" s="52">
        <v>1</v>
      </c>
      <c r="F1187" s="54" t="s">
        <v>572</v>
      </c>
      <c r="G1187" s="52"/>
      <c r="H1187" s="55"/>
      <c r="I1187" s="56"/>
    </row>
    <row r="1188" spans="2:9" x14ac:dyDescent="0.2">
      <c r="B1188" s="51" t="str">
        <f t="shared" si="20"/>
        <v>2020-028-2</v>
      </c>
      <c r="C1188" s="52">
        <v>2020</v>
      </c>
      <c r="D1188" s="52" t="s">
        <v>6</v>
      </c>
      <c r="E1188" s="52">
        <v>2</v>
      </c>
      <c r="F1188" s="54" t="s">
        <v>966</v>
      </c>
      <c r="G1188" s="52"/>
      <c r="H1188" s="55"/>
      <c r="I1188" s="56"/>
    </row>
    <row r="1189" spans="2:9" x14ac:dyDescent="0.2">
      <c r="B1189" s="51" t="str">
        <f t="shared" si="20"/>
        <v>2020-028-3</v>
      </c>
      <c r="C1189" s="52">
        <v>2020</v>
      </c>
      <c r="D1189" s="52" t="s">
        <v>6</v>
      </c>
      <c r="E1189" s="52">
        <v>3</v>
      </c>
      <c r="F1189" s="54" t="s">
        <v>1354</v>
      </c>
      <c r="G1189" s="52" t="s">
        <v>3391</v>
      </c>
      <c r="H1189" s="55"/>
      <c r="I1189" s="56"/>
    </row>
    <row r="1190" spans="2:9" x14ac:dyDescent="0.2">
      <c r="B1190" s="51" t="str">
        <f t="shared" si="20"/>
        <v>2020-028-4</v>
      </c>
      <c r="C1190" s="52">
        <v>2020</v>
      </c>
      <c r="D1190" s="52" t="s">
        <v>6</v>
      </c>
      <c r="E1190" s="52">
        <v>4</v>
      </c>
      <c r="F1190" s="54" t="s">
        <v>1727</v>
      </c>
      <c r="G1190" s="52"/>
      <c r="H1190" s="55"/>
      <c r="I1190" s="56"/>
    </row>
    <row r="1191" spans="2:9" x14ac:dyDescent="0.2">
      <c r="B1191" s="57" t="str">
        <f t="shared" si="20"/>
        <v>2020-028-5</v>
      </c>
      <c r="C1191" s="58">
        <v>2020</v>
      </c>
      <c r="D1191" s="58" t="s">
        <v>6</v>
      </c>
      <c r="E1191" s="58">
        <v>5</v>
      </c>
      <c r="F1191" s="59" t="s">
        <v>2089</v>
      </c>
      <c r="G1191" s="58"/>
      <c r="H1191" s="60"/>
      <c r="I1191" s="61"/>
    </row>
    <row r="1192" spans="2:9" ht="27" x14ac:dyDescent="0.2">
      <c r="B1192" s="62" t="str">
        <f t="shared" si="20"/>
        <v>2020-029-0</v>
      </c>
      <c r="C1192" s="63">
        <v>2020</v>
      </c>
      <c r="D1192" s="63" t="s">
        <v>7</v>
      </c>
      <c r="E1192" s="63">
        <v>0</v>
      </c>
      <c r="F1192" s="64" t="s">
        <v>218</v>
      </c>
      <c r="G1192" s="63"/>
      <c r="H1192" s="65"/>
      <c r="I1192" s="66"/>
    </row>
    <row r="1193" spans="2:9" x14ac:dyDescent="0.2">
      <c r="B1193" s="51" t="str">
        <f t="shared" si="20"/>
        <v>2020-029-1</v>
      </c>
      <c r="C1193" s="52">
        <v>2020</v>
      </c>
      <c r="D1193" s="52" t="s">
        <v>7</v>
      </c>
      <c r="E1193" s="52">
        <v>1</v>
      </c>
      <c r="F1193" s="54" t="s">
        <v>573</v>
      </c>
      <c r="G1193" s="52" t="s">
        <v>3391</v>
      </c>
      <c r="H1193" s="55"/>
      <c r="I1193" s="56"/>
    </row>
    <row r="1194" spans="2:9" x14ac:dyDescent="0.2">
      <c r="B1194" s="51" t="str">
        <f t="shared" si="20"/>
        <v>2020-029-2</v>
      </c>
      <c r="C1194" s="52">
        <v>2020</v>
      </c>
      <c r="D1194" s="52" t="s">
        <v>7</v>
      </c>
      <c r="E1194" s="52">
        <v>2</v>
      </c>
      <c r="F1194" s="54" t="s">
        <v>967</v>
      </c>
      <c r="G1194" s="52"/>
      <c r="H1194" s="55"/>
      <c r="I1194" s="56"/>
    </row>
    <row r="1195" spans="2:9" x14ac:dyDescent="0.2">
      <c r="B1195" s="51" t="str">
        <f t="shared" si="20"/>
        <v>2020-029-3</v>
      </c>
      <c r="C1195" s="52">
        <v>2020</v>
      </c>
      <c r="D1195" s="52" t="s">
        <v>7</v>
      </c>
      <c r="E1195" s="52">
        <v>3</v>
      </c>
      <c r="F1195" s="54" t="s">
        <v>1355</v>
      </c>
      <c r="G1195" s="52"/>
      <c r="H1195" s="55"/>
      <c r="I1195" s="56"/>
    </row>
    <row r="1196" spans="2:9" x14ac:dyDescent="0.2">
      <c r="B1196" s="51" t="str">
        <f t="shared" si="20"/>
        <v>2020-029-4</v>
      </c>
      <c r="C1196" s="52">
        <v>2020</v>
      </c>
      <c r="D1196" s="52" t="s">
        <v>7</v>
      </c>
      <c r="E1196" s="52">
        <v>4</v>
      </c>
      <c r="F1196" s="54" t="s">
        <v>1728</v>
      </c>
      <c r="G1196" s="52"/>
      <c r="H1196" s="55"/>
      <c r="I1196" s="56"/>
    </row>
    <row r="1197" spans="2:9" x14ac:dyDescent="0.2">
      <c r="B1197" s="57" t="str">
        <f t="shared" si="20"/>
        <v>2020-029-5</v>
      </c>
      <c r="C1197" s="58">
        <v>2020</v>
      </c>
      <c r="D1197" s="58" t="s">
        <v>7</v>
      </c>
      <c r="E1197" s="58">
        <v>5</v>
      </c>
      <c r="F1197" s="59" t="s">
        <v>2090</v>
      </c>
      <c r="G1197" s="58"/>
      <c r="H1197" s="60"/>
      <c r="I1197" s="61"/>
    </row>
    <row r="1198" spans="2:9" x14ac:dyDescent="0.2">
      <c r="B1198" s="62" t="str">
        <f t="shared" si="20"/>
        <v>2020-030-0</v>
      </c>
      <c r="C1198" s="63">
        <v>2020</v>
      </c>
      <c r="D1198" s="63" t="s">
        <v>8</v>
      </c>
      <c r="E1198" s="63">
        <v>0</v>
      </c>
      <c r="F1198" s="64" t="s">
        <v>219</v>
      </c>
      <c r="G1198" s="63"/>
      <c r="H1198" s="65"/>
      <c r="I1198" s="66"/>
    </row>
    <row r="1199" spans="2:9" x14ac:dyDescent="0.2">
      <c r="B1199" s="51" t="str">
        <f t="shared" si="20"/>
        <v>2020-030-1</v>
      </c>
      <c r="C1199" s="52">
        <v>2020</v>
      </c>
      <c r="D1199" s="52" t="s">
        <v>8</v>
      </c>
      <c r="E1199" s="52">
        <v>1</v>
      </c>
      <c r="F1199" s="54" t="s">
        <v>574</v>
      </c>
      <c r="G1199" s="52"/>
      <c r="H1199" s="55"/>
      <c r="I1199" s="56"/>
    </row>
    <row r="1200" spans="2:9" x14ac:dyDescent="0.2">
      <c r="B1200" s="51" t="str">
        <f t="shared" si="20"/>
        <v>2020-030-2</v>
      </c>
      <c r="C1200" s="52">
        <v>2020</v>
      </c>
      <c r="D1200" s="52" t="s">
        <v>8</v>
      </c>
      <c r="E1200" s="52">
        <v>2</v>
      </c>
      <c r="F1200" s="54" t="s">
        <v>509</v>
      </c>
      <c r="G1200" s="52" t="s">
        <v>3391</v>
      </c>
      <c r="H1200" s="55"/>
      <c r="I1200" s="56"/>
    </row>
    <row r="1201" spans="2:9" x14ac:dyDescent="0.2">
      <c r="B1201" s="51" t="str">
        <f t="shared" si="20"/>
        <v>2020-030-3</v>
      </c>
      <c r="C1201" s="52">
        <v>2020</v>
      </c>
      <c r="D1201" s="52" t="s">
        <v>8</v>
      </c>
      <c r="E1201" s="52">
        <v>3</v>
      </c>
      <c r="F1201" s="54" t="s">
        <v>1356</v>
      </c>
      <c r="G1201" s="52"/>
      <c r="H1201" s="55"/>
      <c r="I1201" s="56"/>
    </row>
    <row r="1202" spans="2:9" x14ac:dyDescent="0.2">
      <c r="B1202" s="51" t="str">
        <f t="shared" si="20"/>
        <v>2020-030-4</v>
      </c>
      <c r="C1202" s="52">
        <v>2020</v>
      </c>
      <c r="D1202" s="52" t="s">
        <v>8</v>
      </c>
      <c r="E1202" s="52">
        <v>4</v>
      </c>
      <c r="F1202" s="54" t="s">
        <v>1729</v>
      </c>
      <c r="G1202" s="52"/>
      <c r="H1202" s="55"/>
      <c r="I1202" s="56"/>
    </row>
    <row r="1203" spans="2:9" ht="27" x14ac:dyDescent="0.2">
      <c r="B1203" s="57" t="str">
        <f t="shared" si="20"/>
        <v>2020-030-5</v>
      </c>
      <c r="C1203" s="58">
        <v>2020</v>
      </c>
      <c r="D1203" s="58" t="s">
        <v>8</v>
      </c>
      <c r="E1203" s="58">
        <v>5</v>
      </c>
      <c r="F1203" s="59" t="s">
        <v>2091</v>
      </c>
      <c r="G1203" s="58"/>
      <c r="H1203" s="60"/>
      <c r="I1203" s="61"/>
    </row>
    <row r="1204" spans="2:9" ht="27" x14ac:dyDescent="0.2">
      <c r="B1204" s="62" t="str">
        <f t="shared" si="20"/>
        <v>2020-031-0</v>
      </c>
      <c r="C1204" s="63">
        <v>2020</v>
      </c>
      <c r="D1204" s="63" t="s">
        <v>9</v>
      </c>
      <c r="E1204" s="63">
        <v>0</v>
      </c>
      <c r="F1204" s="64" t="s">
        <v>220</v>
      </c>
      <c r="G1204" s="63"/>
      <c r="H1204" s="65"/>
      <c r="I1204" s="66"/>
    </row>
    <row r="1205" spans="2:9" x14ac:dyDescent="0.2">
      <c r="B1205" s="51" t="str">
        <f t="shared" si="20"/>
        <v>2020-031-1</v>
      </c>
      <c r="C1205" s="52">
        <v>2020</v>
      </c>
      <c r="D1205" s="52" t="s">
        <v>9</v>
      </c>
      <c r="E1205" s="52">
        <v>1</v>
      </c>
      <c r="F1205" s="54" t="s">
        <v>575</v>
      </c>
      <c r="G1205" s="52" t="s">
        <v>3391</v>
      </c>
      <c r="H1205" s="55"/>
      <c r="I1205" s="56"/>
    </row>
    <row r="1206" spans="2:9" x14ac:dyDescent="0.2">
      <c r="B1206" s="51" t="str">
        <f t="shared" si="20"/>
        <v>2020-031-2</v>
      </c>
      <c r="C1206" s="52">
        <v>2020</v>
      </c>
      <c r="D1206" s="52" t="s">
        <v>9</v>
      </c>
      <c r="E1206" s="52">
        <v>2</v>
      </c>
      <c r="F1206" s="54" t="s">
        <v>968</v>
      </c>
      <c r="G1206" s="52"/>
      <c r="H1206" s="55"/>
      <c r="I1206" s="56"/>
    </row>
    <row r="1207" spans="2:9" x14ac:dyDescent="0.2">
      <c r="B1207" s="51" t="str">
        <f t="shared" si="20"/>
        <v>2020-031-3</v>
      </c>
      <c r="C1207" s="52">
        <v>2020</v>
      </c>
      <c r="D1207" s="52" t="s">
        <v>9</v>
      </c>
      <c r="E1207" s="52">
        <v>3</v>
      </c>
      <c r="F1207" s="54" t="s">
        <v>1357</v>
      </c>
      <c r="G1207" s="52"/>
      <c r="H1207" s="55"/>
      <c r="I1207" s="56"/>
    </row>
    <row r="1208" spans="2:9" x14ac:dyDescent="0.2">
      <c r="B1208" s="51" t="str">
        <f t="shared" si="20"/>
        <v>2020-031-4</v>
      </c>
      <c r="C1208" s="52">
        <v>2020</v>
      </c>
      <c r="D1208" s="52" t="s">
        <v>9</v>
      </c>
      <c r="E1208" s="52">
        <v>4</v>
      </c>
      <c r="F1208" s="54" t="s">
        <v>1730</v>
      </c>
      <c r="G1208" s="52"/>
      <c r="H1208" s="55"/>
      <c r="I1208" s="56"/>
    </row>
    <row r="1209" spans="2:9" x14ac:dyDescent="0.2">
      <c r="B1209" s="57" t="str">
        <f t="shared" si="20"/>
        <v>2020-031-5</v>
      </c>
      <c r="C1209" s="58">
        <v>2020</v>
      </c>
      <c r="D1209" s="58" t="s">
        <v>9</v>
      </c>
      <c r="E1209" s="58">
        <v>5</v>
      </c>
      <c r="F1209" s="59" t="s">
        <v>2092</v>
      </c>
      <c r="G1209" s="58"/>
      <c r="H1209" s="60"/>
      <c r="I1209" s="61"/>
    </row>
    <row r="1210" spans="2:9" x14ac:dyDescent="0.2">
      <c r="B1210" s="62" t="str">
        <f t="shared" si="20"/>
        <v>2020-032-0</v>
      </c>
      <c r="C1210" s="63">
        <v>2020</v>
      </c>
      <c r="D1210" s="63" t="s">
        <v>10</v>
      </c>
      <c r="E1210" s="63">
        <v>0</v>
      </c>
      <c r="F1210" s="64" t="s">
        <v>221</v>
      </c>
      <c r="G1210" s="63"/>
      <c r="H1210" s="65"/>
      <c r="I1210" s="66"/>
    </row>
    <row r="1211" spans="2:9" x14ac:dyDescent="0.2">
      <c r="B1211" s="51" t="str">
        <f t="shared" si="20"/>
        <v>2020-032-1</v>
      </c>
      <c r="C1211" s="52">
        <v>2020</v>
      </c>
      <c r="D1211" s="52" t="s">
        <v>10</v>
      </c>
      <c r="E1211" s="52">
        <v>1</v>
      </c>
      <c r="F1211" s="54" t="s">
        <v>576</v>
      </c>
      <c r="G1211" s="52"/>
      <c r="H1211" s="55"/>
      <c r="I1211" s="56"/>
    </row>
    <row r="1212" spans="2:9" ht="27" x14ac:dyDescent="0.2">
      <c r="B1212" s="51" t="str">
        <f t="shared" si="20"/>
        <v>2020-032-2</v>
      </c>
      <c r="C1212" s="52">
        <v>2020</v>
      </c>
      <c r="D1212" s="52" t="s">
        <v>10</v>
      </c>
      <c r="E1212" s="52">
        <v>2</v>
      </c>
      <c r="F1212" s="54" t="s">
        <v>969</v>
      </c>
      <c r="G1212" s="52"/>
      <c r="H1212" s="55"/>
      <c r="I1212" s="56"/>
    </row>
    <row r="1213" spans="2:9" x14ac:dyDescent="0.2">
      <c r="B1213" s="51" t="str">
        <f t="shared" si="20"/>
        <v>2020-032-3</v>
      </c>
      <c r="C1213" s="52">
        <v>2020</v>
      </c>
      <c r="D1213" s="52" t="s">
        <v>10</v>
      </c>
      <c r="E1213" s="52">
        <v>3</v>
      </c>
      <c r="F1213" s="54" t="s">
        <v>1358</v>
      </c>
      <c r="G1213" s="52"/>
      <c r="H1213" s="55"/>
      <c r="I1213" s="56"/>
    </row>
    <row r="1214" spans="2:9" x14ac:dyDescent="0.2">
      <c r="B1214" s="51" t="str">
        <f t="shared" si="20"/>
        <v>2020-032-4</v>
      </c>
      <c r="C1214" s="52">
        <v>2020</v>
      </c>
      <c r="D1214" s="52" t="s">
        <v>10</v>
      </c>
      <c r="E1214" s="52">
        <v>4</v>
      </c>
      <c r="F1214" s="54" t="s">
        <v>1731</v>
      </c>
      <c r="G1214" s="52" t="s">
        <v>3391</v>
      </c>
      <c r="H1214" s="55"/>
      <c r="I1214" s="56"/>
    </row>
    <row r="1215" spans="2:9" x14ac:dyDescent="0.2">
      <c r="B1215" s="57" t="str">
        <f t="shared" si="20"/>
        <v>2020-032-5</v>
      </c>
      <c r="C1215" s="58">
        <v>2020</v>
      </c>
      <c r="D1215" s="58" t="s">
        <v>10</v>
      </c>
      <c r="E1215" s="58">
        <v>5</v>
      </c>
      <c r="F1215" s="59" t="s">
        <v>2093</v>
      </c>
      <c r="G1215" s="58"/>
      <c r="H1215" s="60"/>
      <c r="I1215" s="61"/>
    </row>
    <row r="1216" spans="2:9" x14ac:dyDescent="0.2">
      <c r="B1216" s="62" t="str">
        <f t="shared" si="20"/>
        <v>2020-033-0</v>
      </c>
      <c r="C1216" s="63">
        <v>2020</v>
      </c>
      <c r="D1216" s="63" t="s">
        <v>11</v>
      </c>
      <c r="E1216" s="63">
        <v>0</v>
      </c>
      <c r="F1216" s="64" t="s">
        <v>158</v>
      </c>
      <c r="G1216" s="63"/>
      <c r="H1216" s="65"/>
      <c r="I1216" s="66"/>
    </row>
    <row r="1217" spans="2:9" x14ac:dyDescent="0.2">
      <c r="B1217" s="51" t="str">
        <f t="shared" si="20"/>
        <v>2020-033-1</v>
      </c>
      <c r="C1217" s="52">
        <v>2020</v>
      </c>
      <c r="D1217" s="52" t="s">
        <v>11</v>
      </c>
      <c r="E1217" s="52">
        <v>1</v>
      </c>
      <c r="F1217" s="54" t="s">
        <v>577</v>
      </c>
      <c r="G1217" s="52"/>
      <c r="H1217" s="55"/>
      <c r="I1217" s="56"/>
    </row>
    <row r="1218" spans="2:9" x14ac:dyDescent="0.2">
      <c r="B1218" s="51" t="str">
        <f t="shared" si="20"/>
        <v>2020-033-2</v>
      </c>
      <c r="C1218" s="52">
        <v>2020</v>
      </c>
      <c r="D1218" s="52" t="s">
        <v>11</v>
      </c>
      <c r="E1218" s="52">
        <v>2</v>
      </c>
      <c r="F1218" s="54" t="s">
        <v>970</v>
      </c>
      <c r="G1218" s="52"/>
      <c r="H1218" s="55"/>
      <c r="I1218" s="56"/>
    </row>
    <row r="1219" spans="2:9" x14ac:dyDescent="0.2">
      <c r="B1219" s="51" t="str">
        <f t="shared" si="20"/>
        <v>2020-033-3</v>
      </c>
      <c r="C1219" s="52">
        <v>2020</v>
      </c>
      <c r="D1219" s="52" t="s">
        <v>11</v>
      </c>
      <c r="E1219" s="52">
        <v>3</v>
      </c>
      <c r="F1219" s="54" t="s">
        <v>1359</v>
      </c>
      <c r="G1219" s="52" t="s">
        <v>3391</v>
      </c>
      <c r="H1219" s="55"/>
      <c r="I1219" s="56"/>
    </row>
    <row r="1220" spans="2:9" x14ac:dyDescent="0.2">
      <c r="B1220" s="51" t="str">
        <f t="shared" si="20"/>
        <v>2020-033-4</v>
      </c>
      <c r="C1220" s="52">
        <v>2020</v>
      </c>
      <c r="D1220" s="52" t="s">
        <v>11</v>
      </c>
      <c r="E1220" s="52">
        <v>4</v>
      </c>
      <c r="F1220" s="54" t="s">
        <v>1732</v>
      </c>
      <c r="G1220" s="52"/>
      <c r="H1220" s="55"/>
      <c r="I1220" s="56"/>
    </row>
    <row r="1221" spans="2:9" x14ac:dyDescent="0.2">
      <c r="B1221" s="57" t="str">
        <f t="shared" si="20"/>
        <v>2020-033-5</v>
      </c>
      <c r="C1221" s="58">
        <v>2020</v>
      </c>
      <c r="D1221" s="58" t="s">
        <v>11</v>
      </c>
      <c r="E1221" s="58">
        <v>5</v>
      </c>
      <c r="F1221" s="59" t="s">
        <v>2094</v>
      </c>
      <c r="G1221" s="58"/>
      <c r="H1221" s="60"/>
      <c r="I1221" s="61"/>
    </row>
    <row r="1222" spans="2:9" x14ac:dyDescent="0.2">
      <c r="B1222" s="62" t="str">
        <f t="shared" si="20"/>
        <v>2020-034-0</v>
      </c>
      <c r="C1222" s="63">
        <v>2020</v>
      </c>
      <c r="D1222" s="63" t="s">
        <v>12</v>
      </c>
      <c r="E1222" s="63">
        <v>0</v>
      </c>
      <c r="F1222" s="64" t="s">
        <v>222</v>
      </c>
      <c r="G1222" s="63"/>
      <c r="H1222" s="65"/>
      <c r="I1222" s="66"/>
    </row>
    <row r="1223" spans="2:9" x14ac:dyDescent="0.2">
      <c r="B1223" s="51" t="str">
        <f t="shared" si="20"/>
        <v>2020-034-1</v>
      </c>
      <c r="C1223" s="52">
        <v>2020</v>
      </c>
      <c r="D1223" s="52" t="s">
        <v>12</v>
      </c>
      <c r="E1223" s="52">
        <v>1</v>
      </c>
      <c r="F1223" s="54" t="s">
        <v>578</v>
      </c>
      <c r="G1223" s="52"/>
      <c r="H1223" s="55"/>
      <c r="I1223" s="56"/>
    </row>
    <row r="1224" spans="2:9" x14ac:dyDescent="0.2">
      <c r="B1224" s="51" t="str">
        <f t="shared" si="20"/>
        <v>2020-034-2</v>
      </c>
      <c r="C1224" s="52">
        <v>2020</v>
      </c>
      <c r="D1224" s="52" t="s">
        <v>12</v>
      </c>
      <c r="E1224" s="52">
        <v>2</v>
      </c>
      <c r="F1224" s="54" t="s">
        <v>971</v>
      </c>
      <c r="G1224" s="52" t="s">
        <v>3391</v>
      </c>
      <c r="H1224" s="55"/>
      <c r="I1224" s="56"/>
    </row>
    <row r="1225" spans="2:9" x14ac:dyDescent="0.2">
      <c r="B1225" s="51" t="str">
        <f t="shared" si="20"/>
        <v>2020-034-3</v>
      </c>
      <c r="C1225" s="52">
        <v>2020</v>
      </c>
      <c r="D1225" s="52" t="s">
        <v>12</v>
      </c>
      <c r="E1225" s="52">
        <v>3</v>
      </c>
      <c r="F1225" s="54" t="s">
        <v>1360</v>
      </c>
      <c r="G1225" s="52"/>
      <c r="H1225" s="55"/>
      <c r="I1225" s="56"/>
    </row>
    <row r="1226" spans="2:9" ht="27" x14ac:dyDescent="0.2">
      <c r="B1226" s="51" t="str">
        <f t="shared" si="20"/>
        <v>2020-034-4</v>
      </c>
      <c r="C1226" s="52">
        <v>2020</v>
      </c>
      <c r="D1226" s="52" t="s">
        <v>12</v>
      </c>
      <c r="E1226" s="52">
        <v>4</v>
      </c>
      <c r="F1226" s="54" t="s">
        <v>479</v>
      </c>
      <c r="G1226" s="52"/>
      <c r="H1226" s="55"/>
      <c r="I1226" s="56"/>
    </row>
    <row r="1227" spans="2:9" ht="27" x14ac:dyDescent="0.2">
      <c r="B1227" s="57" t="str">
        <f t="shared" si="20"/>
        <v>2020-034-5</v>
      </c>
      <c r="C1227" s="58">
        <v>2020</v>
      </c>
      <c r="D1227" s="58" t="s">
        <v>12</v>
      </c>
      <c r="E1227" s="58">
        <v>5</v>
      </c>
      <c r="F1227" s="59" t="s">
        <v>2095</v>
      </c>
      <c r="G1227" s="58"/>
      <c r="H1227" s="60"/>
      <c r="I1227" s="61"/>
    </row>
    <row r="1228" spans="2:9" ht="54" x14ac:dyDescent="0.2">
      <c r="B1228" s="62" t="str">
        <f t="shared" si="20"/>
        <v>2020-035-0</v>
      </c>
      <c r="C1228" s="63">
        <v>2020</v>
      </c>
      <c r="D1228" s="63" t="s">
        <v>13</v>
      </c>
      <c r="E1228" s="63">
        <v>0</v>
      </c>
      <c r="F1228" s="64" t="s">
        <v>223</v>
      </c>
      <c r="G1228" s="63"/>
      <c r="H1228" s="65"/>
      <c r="I1228" s="66"/>
    </row>
    <row r="1229" spans="2:9" x14ac:dyDescent="0.2">
      <c r="B1229" s="51" t="str">
        <f t="shared" si="20"/>
        <v>2020-035-1</v>
      </c>
      <c r="C1229" s="52">
        <v>2020</v>
      </c>
      <c r="D1229" s="52" t="s">
        <v>13</v>
      </c>
      <c r="E1229" s="52">
        <v>1</v>
      </c>
      <c r="F1229" s="54" t="s">
        <v>579</v>
      </c>
      <c r="G1229" s="52"/>
      <c r="H1229" s="55"/>
      <c r="I1229" s="56"/>
    </row>
    <row r="1230" spans="2:9" x14ac:dyDescent="0.2">
      <c r="B1230" s="51" t="str">
        <f t="shared" si="20"/>
        <v>2020-035-2</v>
      </c>
      <c r="C1230" s="52">
        <v>2020</v>
      </c>
      <c r="D1230" s="52" t="s">
        <v>13</v>
      </c>
      <c r="E1230" s="52">
        <v>2</v>
      </c>
      <c r="F1230" s="54" t="s">
        <v>972</v>
      </c>
      <c r="G1230" s="52"/>
      <c r="H1230" s="55"/>
      <c r="I1230" s="56"/>
    </row>
    <row r="1231" spans="2:9" x14ac:dyDescent="0.2">
      <c r="B1231" s="51" t="str">
        <f t="shared" si="20"/>
        <v>2020-035-3</v>
      </c>
      <c r="C1231" s="52">
        <v>2020</v>
      </c>
      <c r="D1231" s="52" t="s">
        <v>13</v>
      </c>
      <c r="E1231" s="52">
        <v>3</v>
      </c>
      <c r="F1231" s="54" t="s">
        <v>1361</v>
      </c>
      <c r="G1231" s="52"/>
      <c r="H1231" s="55"/>
      <c r="I1231" s="56"/>
    </row>
    <row r="1232" spans="2:9" x14ac:dyDescent="0.2">
      <c r="B1232" s="51" t="str">
        <f t="shared" si="20"/>
        <v>2020-035-4</v>
      </c>
      <c r="C1232" s="52">
        <v>2020</v>
      </c>
      <c r="D1232" s="52" t="s">
        <v>13</v>
      </c>
      <c r="E1232" s="52">
        <v>4</v>
      </c>
      <c r="F1232" s="54" t="s">
        <v>1733</v>
      </c>
      <c r="G1232" s="52"/>
      <c r="H1232" s="55"/>
      <c r="I1232" s="56"/>
    </row>
    <row r="1233" spans="2:9" x14ac:dyDescent="0.2">
      <c r="B1233" s="57" t="str">
        <f t="shared" si="20"/>
        <v>2020-035-5</v>
      </c>
      <c r="C1233" s="58">
        <v>2020</v>
      </c>
      <c r="D1233" s="58" t="s">
        <v>13</v>
      </c>
      <c r="E1233" s="58">
        <v>5</v>
      </c>
      <c r="F1233" s="59" t="s">
        <v>2096</v>
      </c>
      <c r="G1233" s="58" t="s">
        <v>3391</v>
      </c>
      <c r="H1233" s="60"/>
      <c r="I1233" s="61"/>
    </row>
    <row r="1234" spans="2:9" x14ac:dyDescent="0.2">
      <c r="B1234" s="62" t="str">
        <f t="shared" si="20"/>
        <v>2020-036-0</v>
      </c>
      <c r="C1234" s="63">
        <v>2020</v>
      </c>
      <c r="D1234" s="63" t="s">
        <v>14</v>
      </c>
      <c r="E1234" s="63">
        <v>0</v>
      </c>
      <c r="F1234" s="64" t="s">
        <v>224</v>
      </c>
      <c r="G1234" s="63"/>
      <c r="H1234" s="65"/>
      <c r="I1234" s="66"/>
    </row>
    <row r="1235" spans="2:9" x14ac:dyDescent="0.2">
      <c r="B1235" s="51" t="str">
        <f t="shared" si="20"/>
        <v>2020-036-1</v>
      </c>
      <c r="C1235" s="52">
        <v>2020</v>
      </c>
      <c r="D1235" s="52" t="s">
        <v>14</v>
      </c>
      <c r="E1235" s="52">
        <v>1</v>
      </c>
      <c r="F1235" s="54" t="s">
        <v>580</v>
      </c>
      <c r="G1235" s="52"/>
      <c r="H1235" s="55"/>
      <c r="I1235" s="56"/>
    </row>
    <row r="1236" spans="2:9" x14ac:dyDescent="0.2">
      <c r="B1236" s="51" t="str">
        <f t="shared" si="20"/>
        <v>2020-036-2</v>
      </c>
      <c r="C1236" s="52">
        <v>2020</v>
      </c>
      <c r="D1236" s="52" t="s">
        <v>14</v>
      </c>
      <c r="E1236" s="52">
        <v>2</v>
      </c>
      <c r="F1236" s="54" t="s">
        <v>973</v>
      </c>
      <c r="G1236" s="52"/>
      <c r="H1236" s="55"/>
      <c r="I1236" s="56"/>
    </row>
    <row r="1237" spans="2:9" x14ac:dyDescent="0.2">
      <c r="B1237" s="51" t="str">
        <f t="shared" si="20"/>
        <v>2020-036-3</v>
      </c>
      <c r="C1237" s="52">
        <v>2020</v>
      </c>
      <c r="D1237" s="52" t="s">
        <v>14</v>
      </c>
      <c r="E1237" s="52">
        <v>3</v>
      </c>
      <c r="F1237" s="54" t="s">
        <v>1362</v>
      </c>
      <c r="G1237" s="52" t="s">
        <v>3391</v>
      </c>
      <c r="H1237" s="55"/>
      <c r="I1237" s="56"/>
    </row>
    <row r="1238" spans="2:9" x14ac:dyDescent="0.2">
      <c r="B1238" s="51" t="str">
        <f t="shared" si="20"/>
        <v>2020-036-4</v>
      </c>
      <c r="C1238" s="52">
        <v>2020</v>
      </c>
      <c r="D1238" s="52" t="s">
        <v>14</v>
      </c>
      <c r="E1238" s="52">
        <v>4</v>
      </c>
      <c r="F1238" s="54" t="s">
        <v>928</v>
      </c>
      <c r="G1238" s="52"/>
      <c r="H1238" s="55"/>
      <c r="I1238" s="56"/>
    </row>
    <row r="1239" spans="2:9" x14ac:dyDescent="0.2">
      <c r="B1239" s="57" t="str">
        <f t="shared" ref="B1239:B1302" si="21">C1239&amp;"-"&amp;D1239&amp;"-"&amp;E1239</f>
        <v>2020-036-5</v>
      </c>
      <c r="C1239" s="58">
        <v>2020</v>
      </c>
      <c r="D1239" s="58" t="s">
        <v>14</v>
      </c>
      <c r="E1239" s="58">
        <v>5</v>
      </c>
      <c r="F1239" s="59" t="s">
        <v>996</v>
      </c>
      <c r="G1239" s="58"/>
      <c r="H1239" s="60"/>
      <c r="I1239" s="61"/>
    </row>
    <row r="1240" spans="2:9" x14ac:dyDescent="0.2">
      <c r="B1240" s="62" t="str">
        <f t="shared" si="21"/>
        <v>2020-037-0</v>
      </c>
      <c r="C1240" s="63">
        <v>2020</v>
      </c>
      <c r="D1240" s="63" t="s">
        <v>15</v>
      </c>
      <c r="E1240" s="63">
        <v>0</v>
      </c>
      <c r="F1240" s="64" t="s">
        <v>163</v>
      </c>
      <c r="G1240" s="63"/>
      <c r="H1240" s="65"/>
      <c r="I1240" s="66"/>
    </row>
    <row r="1241" spans="2:9" ht="27" x14ac:dyDescent="0.2">
      <c r="B1241" s="51" t="str">
        <f t="shared" si="21"/>
        <v>2020-037-1</v>
      </c>
      <c r="C1241" s="52">
        <v>2020</v>
      </c>
      <c r="D1241" s="52" t="s">
        <v>15</v>
      </c>
      <c r="E1241" s="52">
        <v>1</v>
      </c>
      <c r="F1241" s="54" t="s">
        <v>581</v>
      </c>
      <c r="G1241" s="52"/>
      <c r="H1241" s="55"/>
      <c r="I1241" s="56"/>
    </row>
    <row r="1242" spans="2:9" ht="27" x14ac:dyDescent="0.2">
      <c r="B1242" s="51" t="str">
        <f t="shared" si="21"/>
        <v>2020-037-2</v>
      </c>
      <c r="C1242" s="52">
        <v>2020</v>
      </c>
      <c r="D1242" s="52" t="s">
        <v>15</v>
      </c>
      <c r="E1242" s="52">
        <v>2</v>
      </c>
      <c r="F1242" s="54" t="s">
        <v>974</v>
      </c>
      <c r="G1242" s="52" t="s">
        <v>3391</v>
      </c>
      <c r="H1242" s="55"/>
      <c r="I1242" s="56"/>
    </row>
    <row r="1243" spans="2:9" x14ac:dyDescent="0.2">
      <c r="B1243" s="51" t="str">
        <f t="shared" si="21"/>
        <v>2020-037-3</v>
      </c>
      <c r="C1243" s="52">
        <v>2020</v>
      </c>
      <c r="D1243" s="52" t="s">
        <v>15</v>
      </c>
      <c r="E1243" s="52">
        <v>3</v>
      </c>
      <c r="F1243" s="54" t="s">
        <v>909</v>
      </c>
      <c r="G1243" s="52"/>
      <c r="H1243" s="55"/>
      <c r="I1243" s="56"/>
    </row>
    <row r="1244" spans="2:9" x14ac:dyDescent="0.2">
      <c r="B1244" s="51" t="str">
        <f t="shared" si="21"/>
        <v>2020-037-4</v>
      </c>
      <c r="C1244" s="52">
        <v>2020</v>
      </c>
      <c r="D1244" s="52" t="s">
        <v>15</v>
      </c>
      <c r="E1244" s="52">
        <v>4</v>
      </c>
      <c r="F1244" s="54" t="s">
        <v>608</v>
      </c>
      <c r="G1244" s="52"/>
      <c r="H1244" s="55"/>
      <c r="I1244" s="56"/>
    </row>
    <row r="1245" spans="2:9" ht="27" x14ac:dyDescent="0.2">
      <c r="B1245" s="57" t="str">
        <f t="shared" si="21"/>
        <v>2020-037-5</v>
      </c>
      <c r="C1245" s="58">
        <v>2020</v>
      </c>
      <c r="D1245" s="58" t="s">
        <v>15</v>
      </c>
      <c r="E1245" s="58">
        <v>5</v>
      </c>
      <c r="F1245" s="59" t="s">
        <v>2097</v>
      </c>
      <c r="G1245" s="58"/>
      <c r="H1245" s="60"/>
      <c r="I1245" s="61"/>
    </row>
    <row r="1246" spans="2:9" x14ac:dyDescent="0.2">
      <c r="B1246" s="62" t="str">
        <f t="shared" si="21"/>
        <v>2020-038-0</v>
      </c>
      <c r="C1246" s="63">
        <v>2020</v>
      </c>
      <c r="D1246" s="63" t="s">
        <v>16</v>
      </c>
      <c r="E1246" s="63">
        <v>0</v>
      </c>
      <c r="F1246" s="64" t="s">
        <v>225</v>
      </c>
      <c r="G1246" s="63"/>
      <c r="H1246" s="65"/>
      <c r="I1246" s="66"/>
    </row>
    <row r="1247" spans="2:9" ht="27" x14ac:dyDescent="0.2">
      <c r="B1247" s="51" t="str">
        <f t="shared" si="21"/>
        <v>2020-038-1</v>
      </c>
      <c r="C1247" s="52">
        <v>2020</v>
      </c>
      <c r="D1247" s="52" t="s">
        <v>16</v>
      </c>
      <c r="E1247" s="52">
        <v>1</v>
      </c>
      <c r="F1247" s="54" t="s">
        <v>582</v>
      </c>
      <c r="G1247" s="52"/>
      <c r="H1247" s="55"/>
      <c r="I1247" s="56"/>
    </row>
    <row r="1248" spans="2:9" ht="27" x14ac:dyDescent="0.2">
      <c r="B1248" s="51" t="str">
        <f t="shared" si="21"/>
        <v>2020-038-2</v>
      </c>
      <c r="C1248" s="52">
        <v>2020</v>
      </c>
      <c r="D1248" s="52" t="s">
        <v>16</v>
      </c>
      <c r="E1248" s="52">
        <v>2</v>
      </c>
      <c r="F1248" s="54" t="s">
        <v>975</v>
      </c>
      <c r="G1248" s="52"/>
      <c r="H1248" s="55"/>
      <c r="I1248" s="56"/>
    </row>
    <row r="1249" spans="2:9" x14ac:dyDescent="0.2">
      <c r="B1249" s="51" t="str">
        <f t="shared" si="21"/>
        <v>2020-038-3</v>
      </c>
      <c r="C1249" s="52">
        <v>2020</v>
      </c>
      <c r="D1249" s="52" t="s">
        <v>16</v>
      </c>
      <c r="E1249" s="52">
        <v>3</v>
      </c>
      <c r="F1249" s="54" t="s">
        <v>956</v>
      </c>
      <c r="G1249" s="52"/>
      <c r="H1249" s="55"/>
      <c r="I1249" s="56"/>
    </row>
    <row r="1250" spans="2:9" ht="27" x14ac:dyDescent="0.2">
      <c r="B1250" s="51" t="str">
        <f t="shared" si="21"/>
        <v>2020-038-4</v>
      </c>
      <c r="C1250" s="52">
        <v>2020</v>
      </c>
      <c r="D1250" s="52" t="s">
        <v>16</v>
      </c>
      <c r="E1250" s="52">
        <v>4</v>
      </c>
      <c r="F1250" s="54" t="s">
        <v>1469</v>
      </c>
      <c r="G1250" s="52"/>
      <c r="H1250" s="55"/>
      <c r="I1250" s="56"/>
    </row>
    <row r="1251" spans="2:9" ht="27" x14ac:dyDescent="0.2">
      <c r="B1251" s="57" t="str">
        <f t="shared" si="21"/>
        <v>2020-038-5</v>
      </c>
      <c r="C1251" s="58">
        <v>2020</v>
      </c>
      <c r="D1251" s="58" t="s">
        <v>16</v>
      </c>
      <c r="E1251" s="58">
        <v>5</v>
      </c>
      <c r="F1251" s="59" t="s">
        <v>2098</v>
      </c>
      <c r="G1251" s="58" t="s">
        <v>3391</v>
      </c>
      <c r="H1251" s="60"/>
      <c r="I1251" s="61"/>
    </row>
    <row r="1252" spans="2:9" x14ac:dyDescent="0.2">
      <c r="B1252" s="62" t="str">
        <f t="shared" si="21"/>
        <v>2020-039-0</v>
      </c>
      <c r="C1252" s="63">
        <v>2020</v>
      </c>
      <c r="D1252" s="63" t="s">
        <v>17</v>
      </c>
      <c r="E1252" s="63">
        <v>0</v>
      </c>
      <c r="F1252" s="64" t="s">
        <v>226</v>
      </c>
      <c r="G1252" s="63"/>
      <c r="H1252" s="65"/>
      <c r="I1252" s="66"/>
    </row>
    <row r="1253" spans="2:9" x14ac:dyDescent="0.2">
      <c r="B1253" s="51" t="str">
        <f t="shared" si="21"/>
        <v>2020-039-1</v>
      </c>
      <c r="C1253" s="52">
        <v>2020</v>
      </c>
      <c r="D1253" s="52" t="s">
        <v>17</v>
      </c>
      <c r="E1253" s="52">
        <v>1</v>
      </c>
      <c r="F1253" s="54" t="s">
        <v>583</v>
      </c>
      <c r="G1253" s="52"/>
      <c r="H1253" s="55"/>
      <c r="I1253" s="56"/>
    </row>
    <row r="1254" spans="2:9" x14ac:dyDescent="0.2">
      <c r="B1254" s="51" t="str">
        <f t="shared" si="21"/>
        <v>2020-039-2</v>
      </c>
      <c r="C1254" s="52">
        <v>2020</v>
      </c>
      <c r="D1254" s="52" t="s">
        <v>17</v>
      </c>
      <c r="E1254" s="52">
        <v>2</v>
      </c>
      <c r="F1254" s="54" t="s">
        <v>976</v>
      </c>
      <c r="G1254" s="52"/>
      <c r="H1254" s="55"/>
      <c r="I1254" s="56"/>
    </row>
    <row r="1255" spans="2:9" ht="27" x14ac:dyDescent="0.2">
      <c r="B1255" s="51" t="str">
        <f t="shared" si="21"/>
        <v>2020-039-3</v>
      </c>
      <c r="C1255" s="52">
        <v>2020</v>
      </c>
      <c r="D1255" s="52" t="s">
        <v>17</v>
      </c>
      <c r="E1255" s="52">
        <v>3</v>
      </c>
      <c r="F1255" s="54" t="s">
        <v>1363</v>
      </c>
      <c r="G1255" s="52"/>
      <c r="H1255" s="55"/>
      <c r="I1255" s="56"/>
    </row>
    <row r="1256" spans="2:9" ht="27" x14ac:dyDescent="0.2">
      <c r="B1256" s="51" t="str">
        <f t="shared" si="21"/>
        <v>2020-039-4</v>
      </c>
      <c r="C1256" s="52">
        <v>2020</v>
      </c>
      <c r="D1256" s="52" t="s">
        <v>17</v>
      </c>
      <c r="E1256" s="52">
        <v>4</v>
      </c>
      <c r="F1256" s="54" t="s">
        <v>1734</v>
      </c>
      <c r="G1256" s="52" t="s">
        <v>3391</v>
      </c>
      <c r="H1256" s="55"/>
      <c r="I1256" s="56"/>
    </row>
    <row r="1257" spans="2:9" x14ac:dyDescent="0.2">
      <c r="B1257" s="57" t="str">
        <f t="shared" si="21"/>
        <v>2020-039-5</v>
      </c>
      <c r="C1257" s="58">
        <v>2020</v>
      </c>
      <c r="D1257" s="58" t="s">
        <v>17</v>
      </c>
      <c r="E1257" s="58">
        <v>5</v>
      </c>
      <c r="F1257" s="59" t="s">
        <v>2099</v>
      </c>
      <c r="G1257" s="58"/>
      <c r="H1257" s="60"/>
      <c r="I1257" s="61"/>
    </row>
    <row r="1258" spans="2:9" x14ac:dyDescent="0.2">
      <c r="B1258" s="62" t="str">
        <f t="shared" si="21"/>
        <v>2020-040-0</v>
      </c>
      <c r="C1258" s="63">
        <v>2020</v>
      </c>
      <c r="D1258" s="63" t="s">
        <v>18</v>
      </c>
      <c r="E1258" s="63">
        <v>0</v>
      </c>
      <c r="F1258" s="64" t="s">
        <v>163</v>
      </c>
      <c r="G1258" s="63"/>
      <c r="H1258" s="65"/>
      <c r="I1258" s="66"/>
    </row>
    <row r="1259" spans="2:9" x14ac:dyDescent="0.2">
      <c r="B1259" s="51" t="str">
        <f t="shared" si="21"/>
        <v>2020-040-1</v>
      </c>
      <c r="C1259" s="52">
        <v>2020</v>
      </c>
      <c r="D1259" s="52" t="s">
        <v>18</v>
      </c>
      <c r="E1259" s="52">
        <v>1</v>
      </c>
      <c r="F1259" s="54" t="s">
        <v>584</v>
      </c>
      <c r="G1259" s="52" t="s">
        <v>3391</v>
      </c>
      <c r="H1259" s="55"/>
      <c r="I1259" s="56"/>
    </row>
    <row r="1260" spans="2:9" x14ac:dyDescent="0.2">
      <c r="B1260" s="51" t="str">
        <f t="shared" si="21"/>
        <v>2020-040-2</v>
      </c>
      <c r="C1260" s="52">
        <v>2020</v>
      </c>
      <c r="D1260" s="52" t="s">
        <v>18</v>
      </c>
      <c r="E1260" s="52">
        <v>2</v>
      </c>
      <c r="F1260" s="54" t="s">
        <v>977</v>
      </c>
      <c r="G1260" s="52"/>
      <c r="H1260" s="55"/>
      <c r="I1260" s="56"/>
    </row>
    <row r="1261" spans="2:9" ht="40.5" x14ac:dyDescent="0.2">
      <c r="B1261" s="51" t="str">
        <f t="shared" si="21"/>
        <v>2020-040-3</v>
      </c>
      <c r="C1261" s="52">
        <v>2020</v>
      </c>
      <c r="D1261" s="52" t="s">
        <v>18</v>
      </c>
      <c r="E1261" s="52">
        <v>3</v>
      </c>
      <c r="F1261" s="54" t="s">
        <v>1364</v>
      </c>
      <c r="G1261" s="52"/>
      <c r="H1261" s="55"/>
      <c r="I1261" s="56"/>
    </row>
    <row r="1262" spans="2:9" x14ac:dyDescent="0.2">
      <c r="B1262" s="51" t="str">
        <f t="shared" si="21"/>
        <v>2020-040-4</v>
      </c>
      <c r="C1262" s="52">
        <v>2020</v>
      </c>
      <c r="D1262" s="52" t="s">
        <v>18</v>
      </c>
      <c r="E1262" s="52">
        <v>4</v>
      </c>
      <c r="F1262" s="54" t="s">
        <v>609</v>
      </c>
      <c r="G1262" s="52"/>
      <c r="H1262" s="55"/>
      <c r="I1262" s="56"/>
    </row>
    <row r="1263" spans="2:9" x14ac:dyDescent="0.2">
      <c r="B1263" s="57" t="str">
        <f t="shared" si="21"/>
        <v>2020-040-5</v>
      </c>
      <c r="C1263" s="58">
        <v>2020</v>
      </c>
      <c r="D1263" s="58" t="s">
        <v>18</v>
      </c>
      <c r="E1263" s="58">
        <v>5</v>
      </c>
      <c r="F1263" s="59" t="s">
        <v>2100</v>
      </c>
      <c r="G1263" s="58"/>
      <c r="H1263" s="60"/>
      <c r="I1263" s="61"/>
    </row>
    <row r="1264" spans="2:9" x14ac:dyDescent="0.2">
      <c r="B1264" s="62" t="str">
        <f t="shared" si="21"/>
        <v>2020-041-0</v>
      </c>
      <c r="C1264" s="63">
        <v>2020</v>
      </c>
      <c r="D1264" s="63" t="s">
        <v>72</v>
      </c>
      <c r="E1264" s="63">
        <v>0</v>
      </c>
      <c r="F1264" s="64" t="s">
        <v>227</v>
      </c>
      <c r="G1264" s="63"/>
      <c r="H1264" s="65"/>
      <c r="I1264" s="66"/>
    </row>
    <row r="1265" spans="2:9" ht="27" x14ac:dyDescent="0.2">
      <c r="B1265" s="51" t="str">
        <f t="shared" si="21"/>
        <v>2020-041-1</v>
      </c>
      <c r="C1265" s="52">
        <v>2020</v>
      </c>
      <c r="D1265" s="52" t="s">
        <v>72</v>
      </c>
      <c r="E1265" s="52">
        <v>1</v>
      </c>
      <c r="F1265" s="54" t="s">
        <v>585</v>
      </c>
      <c r="G1265" s="52"/>
      <c r="H1265" s="55"/>
      <c r="I1265" s="56"/>
    </row>
    <row r="1266" spans="2:9" x14ac:dyDescent="0.2">
      <c r="B1266" s="51" t="str">
        <f t="shared" si="21"/>
        <v>2020-041-2</v>
      </c>
      <c r="C1266" s="52">
        <v>2020</v>
      </c>
      <c r="D1266" s="52" t="s">
        <v>72</v>
      </c>
      <c r="E1266" s="52">
        <v>2</v>
      </c>
      <c r="F1266" s="54" t="s">
        <v>978</v>
      </c>
      <c r="G1266" s="52"/>
      <c r="H1266" s="55"/>
      <c r="I1266" s="56"/>
    </row>
    <row r="1267" spans="2:9" x14ac:dyDescent="0.2">
      <c r="B1267" s="51" t="str">
        <f t="shared" si="21"/>
        <v>2020-041-3</v>
      </c>
      <c r="C1267" s="52">
        <v>2020</v>
      </c>
      <c r="D1267" s="52" t="s">
        <v>72</v>
      </c>
      <c r="E1267" s="52">
        <v>3</v>
      </c>
      <c r="F1267" s="54" t="s">
        <v>1365</v>
      </c>
      <c r="G1267" s="52"/>
      <c r="H1267" s="55"/>
      <c r="I1267" s="56"/>
    </row>
    <row r="1268" spans="2:9" ht="27" x14ac:dyDescent="0.2">
      <c r="B1268" s="51" t="str">
        <f t="shared" si="21"/>
        <v>2020-041-4</v>
      </c>
      <c r="C1268" s="52">
        <v>2020</v>
      </c>
      <c r="D1268" s="52" t="s">
        <v>72</v>
      </c>
      <c r="E1268" s="52">
        <v>4</v>
      </c>
      <c r="F1268" s="54" t="s">
        <v>1735</v>
      </c>
      <c r="G1268" s="52"/>
      <c r="H1268" s="55"/>
      <c r="I1268" s="56"/>
    </row>
    <row r="1269" spans="2:9" ht="27" x14ac:dyDescent="0.2">
      <c r="B1269" s="57" t="str">
        <f t="shared" si="21"/>
        <v>2020-041-5</v>
      </c>
      <c r="C1269" s="58">
        <v>2020</v>
      </c>
      <c r="D1269" s="58" t="s">
        <v>72</v>
      </c>
      <c r="E1269" s="58">
        <v>5</v>
      </c>
      <c r="F1269" s="59" t="s">
        <v>2101</v>
      </c>
      <c r="G1269" s="58" t="s">
        <v>3391</v>
      </c>
      <c r="H1269" s="60"/>
      <c r="I1269" s="61"/>
    </row>
    <row r="1270" spans="2:9" x14ac:dyDescent="0.2">
      <c r="B1270" s="62" t="str">
        <f t="shared" si="21"/>
        <v>2020-042-0</v>
      </c>
      <c r="C1270" s="63">
        <v>2020</v>
      </c>
      <c r="D1270" s="63" t="s">
        <v>73</v>
      </c>
      <c r="E1270" s="63">
        <v>0</v>
      </c>
      <c r="F1270" s="64" t="s">
        <v>228</v>
      </c>
      <c r="G1270" s="63"/>
      <c r="H1270" s="65"/>
      <c r="I1270" s="66"/>
    </row>
    <row r="1271" spans="2:9" x14ac:dyDescent="0.2">
      <c r="B1271" s="51" t="str">
        <f t="shared" si="21"/>
        <v>2020-042-1</v>
      </c>
      <c r="C1271" s="52">
        <v>2020</v>
      </c>
      <c r="D1271" s="52" t="s">
        <v>73</v>
      </c>
      <c r="E1271" s="52">
        <v>1</v>
      </c>
      <c r="F1271" s="54" t="s">
        <v>586</v>
      </c>
      <c r="G1271" s="52"/>
      <c r="H1271" s="55"/>
      <c r="I1271" s="56"/>
    </row>
    <row r="1272" spans="2:9" x14ac:dyDescent="0.2">
      <c r="B1272" s="51" t="str">
        <f t="shared" si="21"/>
        <v>2020-042-2</v>
      </c>
      <c r="C1272" s="52">
        <v>2020</v>
      </c>
      <c r="D1272" s="52" t="s">
        <v>73</v>
      </c>
      <c r="E1272" s="52">
        <v>2</v>
      </c>
      <c r="F1272" s="54" t="s">
        <v>979</v>
      </c>
      <c r="G1272" s="52" t="s">
        <v>3391</v>
      </c>
      <c r="H1272" s="55"/>
      <c r="I1272" s="56"/>
    </row>
    <row r="1273" spans="2:9" x14ac:dyDescent="0.2">
      <c r="B1273" s="51" t="str">
        <f t="shared" si="21"/>
        <v>2020-042-3</v>
      </c>
      <c r="C1273" s="52">
        <v>2020</v>
      </c>
      <c r="D1273" s="52" t="s">
        <v>73</v>
      </c>
      <c r="E1273" s="52">
        <v>3</v>
      </c>
      <c r="F1273" s="54" t="s">
        <v>1366</v>
      </c>
      <c r="G1273" s="52"/>
      <c r="H1273" s="55"/>
      <c r="I1273" s="56"/>
    </row>
    <row r="1274" spans="2:9" x14ac:dyDescent="0.2">
      <c r="B1274" s="51" t="str">
        <f t="shared" si="21"/>
        <v>2020-042-4</v>
      </c>
      <c r="C1274" s="52">
        <v>2020</v>
      </c>
      <c r="D1274" s="52" t="s">
        <v>73</v>
      </c>
      <c r="E1274" s="52">
        <v>4</v>
      </c>
      <c r="F1274" s="54" t="s">
        <v>1736</v>
      </c>
      <c r="G1274" s="52"/>
      <c r="H1274" s="55"/>
      <c r="I1274" s="56"/>
    </row>
    <row r="1275" spans="2:9" x14ac:dyDescent="0.2">
      <c r="B1275" s="57" t="str">
        <f t="shared" si="21"/>
        <v>2020-042-5</v>
      </c>
      <c r="C1275" s="58">
        <v>2020</v>
      </c>
      <c r="D1275" s="58" t="s">
        <v>73</v>
      </c>
      <c r="E1275" s="58">
        <v>5</v>
      </c>
      <c r="F1275" s="59" t="s">
        <v>2102</v>
      </c>
      <c r="G1275" s="58"/>
      <c r="H1275" s="60"/>
      <c r="I1275" s="61"/>
    </row>
    <row r="1276" spans="2:9" x14ac:dyDescent="0.2">
      <c r="B1276" s="62" t="str">
        <f t="shared" si="21"/>
        <v>2020-043-0</v>
      </c>
      <c r="C1276" s="63">
        <v>2020</v>
      </c>
      <c r="D1276" s="63" t="s">
        <v>74</v>
      </c>
      <c r="E1276" s="63">
        <v>0</v>
      </c>
      <c r="F1276" s="64" t="s">
        <v>229</v>
      </c>
      <c r="G1276" s="63"/>
      <c r="H1276" s="65"/>
      <c r="I1276" s="66"/>
    </row>
    <row r="1277" spans="2:9" ht="27" x14ac:dyDescent="0.2">
      <c r="B1277" s="51" t="str">
        <f t="shared" si="21"/>
        <v>2020-043-1</v>
      </c>
      <c r="C1277" s="52">
        <v>2020</v>
      </c>
      <c r="D1277" s="52" t="s">
        <v>74</v>
      </c>
      <c r="E1277" s="52">
        <v>1</v>
      </c>
      <c r="F1277" s="54" t="s">
        <v>587</v>
      </c>
      <c r="G1277" s="52"/>
      <c r="H1277" s="55"/>
      <c r="I1277" s="56"/>
    </row>
    <row r="1278" spans="2:9" ht="27" x14ac:dyDescent="0.2">
      <c r="B1278" s="51" t="str">
        <f t="shared" si="21"/>
        <v>2020-043-2</v>
      </c>
      <c r="C1278" s="52">
        <v>2020</v>
      </c>
      <c r="D1278" s="52" t="s">
        <v>74</v>
      </c>
      <c r="E1278" s="52">
        <v>2</v>
      </c>
      <c r="F1278" s="54" t="s">
        <v>980</v>
      </c>
      <c r="G1278" s="52"/>
      <c r="H1278" s="55"/>
      <c r="I1278" s="56"/>
    </row>
    <row r="1279" spans="2:9" ht="27" x14ac:dyDescent="0.2">
      <c r="B1279" s="51" t="str">
        <f t="shared" si="21"/>
        <v>2020-043-3</v>
      </c>
      <c r="C1279" s="52">
        <v>2020</v>
      </c>
      <c r="D1279" s="52" t="s">
        <v>74</v>
      </c>
      <c r="E1279" s="52">
        <v>3</v>
      </c>
      <c r="F1279" s="54" t="s">
        <v>1058</v>
      </c>
      <c r="G1279" s="52"/>
      <c r="H1279" s="55"/>
      <c r="I1279" s="56"/>
    </row>
    <row r="1280" spans="2:9" ht="27" x14ac:dyDescent="0.2">
      <c r="B1280" s="51" t="str">
        <f t="shared" si="21"/>
        <v>2020-043-4</v>
      </c>
      <c r="C1280" s="52">
        <v>2020</v>
      </c>
      <c r="D1280" s="52" t="s">
        <v>74</v>
      </c>
      <c r="E1280" s="52">
        <v>4</v>
      </c>
      <c r="F1280" s="54" t="s">
        <v>1737</v>
      </c>
      <c r="G1280" s="52" t="s">
        <v>3391</v>
      </c>
      <c r="H1280" s="55"/>
      <c r="I1280" s="56"/>
    </row>
    <row r="1281" spans="2:9" x14ac:dyDescent="0.2">
      <c r="B1281" s="57" t="str">
        <f t="shared" si="21"/>
        <v>2020-043-5</v>
      </c>
      <c r="C1281" s="58">
        <v>2020</v>
      </c>
      <c r="D1281" s="58" t="s">
        <v>74</v>
      </c>
      <c r="E1281" s="58">
        <v>5</v>
      </c>
      <c r="F1281" s="59" t="s">
        <v>2103</v>
      </c>
      <c r="G1281" s="58"/>
      <c r="H1281" s="60"/>
      <c r="I1281" s="61"/>
    </row>
    <row r="1282" spans="2:9" x14ac:dyDescent="0.2">
      <c r="B1282" s="62" t="str">
        <f t="shared" si="21"/>
        <v>2020-044-0</v>
      </c>
      <c r="C1282" s="63">
        <v>2020</v>
      </c>
      <c r="D1282" s="63" t="s">
        <v>75</v>
      </c>
      <c r="E1282" s="63">
        <v>0</v>
      </c>
      <c r="F1282" s="64" t="s">
        <v>123</v>
      </c>
      <c r="G1282" s="63"/>
      <c r="H1282" s="65"/>
      <c r="I1282" s="66"/>
    </row>
    <row r="1283" spans="2:9" ht="27" x14ac:dyDescent="0.2">
      <c r="B1283" s="51" t="str">
        <f t="shared" si="21"/>
        <v>2020-044-1</v>
      </c>
      <c r="C1283" s="52">
        <v>2020</v>
      </c>
      <c r="D1283" s="52" t="s">
        <v>75</v>
      </c>
      <c r="E1283" s="52">
        <v>1</v>
      </c>
      <c r="F1283" s="54" t="s">
        <v>588</v>
      </c>
      <c r="G1283" s="52"/>
      <c r="H1283" s="55"/>
      <c r="I1283" s="56"/>
    </row>
    <row r="1284" spans="2:9" ht="40.5" x14ac:dyDescent="0.2">
      <c r="B1284" s="51" t="str">
        <f t="shared" si="21"/>
        <v>2020-044-2</v>
      </c>
      <c r="C1284" s="52">
        <v>2020</v>
      </c>
      <c r="D1284" s="52" t="s">
        <v>75</v>
      </c>
      <c r="E1284" s="52">
        <v>2</v>
      </c>
      <c r="F1284" s="54" t="s">
        <v>981</v>
      </c>
      <c r="G1284" s="52"/>
      <c r="H1284" s="55"/>
      <c r="I1284" s="56"/>
    </row>
    <row r="1285" spans="2:9" x14ac:dyDescent="0.2">
      <c r="B1285" s="51" t="str">
        <f t="shared" si="21"/>
        <v>2020-044-3</v>
      </c>
      <c r="C1285" s="52">
        <v>2020</v>
      </c>
      <c r="D1285" s="52" t="s">
        <v>75</v>
      </c>
      <c r="E1285" s="52">
        <v>3</v>
      </c>
      <c r="F1285" s="54" t="s">
        <v>1367</v>
      </c>
      <c r="G1285" s="52" t="s">
        <v>3391</v>
      </c>
      <c r="H1285" s="55"/>
      <c r="I1285" s="56"/>
    </row>
    <row r="1286" spans="2:9" ht="27" x14ac:dyDescent="0.2">
      <c r="B1286" s="51" t="str">
        <f t="shared" si="21"/>
        <v>2020-044-4</v>
      </c>
      <c r="C1286" s="52">
        <v>2020</v>
      </c>
      <c r="D1286" s="52" t="s">
        <v>75</v>
      </c>
      <c r="E1286" s="52">
        <v>4</v>
      </c>
      <c r="F1286" s="54" t="s">
        <v>1738</v>
      </c>
      <c r="G1286" s="52"/>
      <c r="H1286" s="55"/>
      <c r="I1286" s="56"/>
    </row>
    <row r="1287" spans="2:9" ht="27" x14ac:dyDescent="0.2">
      <c r="B1287" s="57" t="str">
        <f t="shared" si="21"/>
        <v>2020-044-5</v>
      </c>
      <c r="C1287" s="58">
        <v>2020</v>
      </c>
      <c r="D1287" s="58" t="s">
        <v>75</v>
      </c>
      <c r="E1287" s="58">
        <v>5</v>
      </c>
      <c r="F1287" s="59" t="s">
        <v>958</v>
      </c>
      <c r="G1287" s="58"/>
      <c r="H1287" s="60"/>
      <c r="I1287" s="61"/>
    </row>
    <row r="1288" spans="2:9" ht="94.5" x14ac:dyDescent="0.2">
      <c r="B1288" s="62" t="str">
        <f t="shared" si="21"/>
        <v>2020-045-0</v>
      </c>
      <c r="C1288" s="63">
        <v>2020</v>
      </c>
      <c r="D1288" s="63" t="s">
        <v>76</v>
      </c>
      <c r="E1288" s="63">
        <v>0</v>
      </c>
      <c r="F1288" s="64" t="s">
        <v>230</v>
      </c>
      <c r="G1288" s="63"/>
      <c r="H1288" s="65"/>
      <c r="I1288" s="66"/>
    </row>
    <row r="1289" spans="2:9" x14ac:dyDescent="0.2">
      <c r="B1289" s="51" t="str">
        <f t="shared" si="21"/>
        <v>2020-045-1</v>
      </c>
      <c r="C1289" s="52">
        <v>2020</v>
      </c>
      <c r="D1289" s="52" t="s">
        <v>76</v>
      </c>
      <c r="E1289" s="52">
        <v>1</v>
      </c>
      <c r="F1289" s="54" t="s">
        <v>22</v>
      </c>
      <c r="G1289" s="52"/>
      <c r="H1289" s="55"/>
      <c r="I1289" s="56"/>
    </row>
    <row r="1290" spans="2:9" x14ac:dyDescent="0.2">
      <c r="B1290" s="51" t="str">
        <f t="shared" si="21"/>
        <v>2020-045-2</v>
      </c>
      <c r="C1290" s="52">
        <v>2020</v>
      </c>
      <c r="D1290" s="52" t="s">
        <v>76</v>
      </c>
      <c r="E1290" s="52">
        <v>2</v>
      </c>
      <c r="F1290" s="54" t="s">
        <v>982</v>
      </c>
      <c r="G1290" s="52" t="s">
        <v>3391</v>
      </c>
      <c r="H1290" s="55"/>
      <c r="I1290" s="56"/>
    </row>
    <row r="1291" spans="2:9" x14ac:dyDescent="0.2">
      <c r="B1291" s="51" t="str">
        <f t="shared" si="21"/>
        <v>2020-045-3</v>
      </c>
      <c r="C1291" s="52">
        <v>2020</v>
      </c>
      <c r="D1291" s="52" t="s">
        <v>76</v>
      </c>
      <c r="E1291" s="52">
        <v>3</v>
      </c>
      <c r="F1291" s="54" t="s">
        <v>1368</v>
      </c>
      <c r="G1291" s="52"/>
      <c r="H1291" s="55"/>
      <c r="I1291" s="56"/>
    </row>
    <row r="1292" spans="2:9" x14ac:dyDescent="0.2">
      <c r="B1292" s="51" t="str">
        <f t="shared" si="21"/>
        <v>2020-045-4</v>
      </c>
      <c r="C1292" s="52">
        <v>2020</v>
      </c>
      <c r="D1292" s="52" t="s">
        <v>76</v>
      </c>
      <c r="E1292" s="52">
        <v>4</v>
      </c>
      <c r="F1292" s="54" t="s">
        <v>44</v>
      </c>
      <c r="G1292" s="52"/>
      <c r="H1292" s="55"/>
      <c r="I1292" s="56"/>
    </row>
    <row r="1293" spans="2:9" x14ac:dyDescent="0.2">
      <c r="B1293" s="57" t="str">
        <f t="shared" si="21"/>
        <v>2020-045-5</v>
      </c>
      <c r="C1293" s="58">
        <v>2020</v>
      </c>
      <c r="D1293" s="58" t="s">
        <v>76</v>
      </c>
      <c r="E1293" s="58">
        <v>5</v>
      </c>
      <c r="F1293" s="59" t="s">
        <v>2059</v>
      </c>
      <c r="G1293" s="58"/>
      <c r="H1293" s="60"/>
      <c r="I1293" s="61"/>
    </row>
    <row r="1294" spans="2:9" x14ac:dyDescent="0.2">
      <c r="B1294" s="62" t="str">
        <f t="shared" si="21"/>
        <v>2020-046-0</v>
      </c>
      <c r="C1294" s="63">
        <v>2020</v>
      </c>
      <c r="D1294" s="63" t="s">
        <v>77</v>
      </c>
      <c r="E1294" s="63">
        <v>0</v>
      </c>
      <c r="F1294" s="64" t="s">
        <v>213</v>
      </c>
      <c r="G1294" s="63"/>
      <c r="H1294" s="65"/>
      <c r="I1294" s="66"/>
    </row>
    <row r="1295" spans="2:9" ht="27" x14ac:dyDescent="0.2">
      <c r="B1295" s="51" t="str">
        <f t="shared" si="21"/>
        <v>2020-046-1</v>
      </c>
      <c r="C1295" s="52">
        <v>2020</v>
      </c>
      <c r="D1295" s="52" t="s">
        <v>77</v>
      </c>
      <c r="E1295" s="52">
        <v>1</v>
      </c>
      <c r="F1295" s="54" t="s">
        <v>589</v>
      </c>
      <c r="G1295" s="52"/>
      <c r="H1295" s="55"/>
      <c r="I1295" s="56"/>
    </row>
    <row r="1296" spans="2:9" ht="27" x14ac:dyDescent="0.2">
      <c r="B1296" s="51" t="str">
        <f t="shared" si="21"/>
        <v>2020-046-2</v>
      </c>
      <c r="C1296" s="52">
        <v>2020</v>
      </c>
      <c r="D1296" s="52" t="s">
        <v>77</v>
      </c>
      <c r="E1296" s="52">
        <v>2</v>
      </c>
      <c r="F1296" s="54" t="s">
        <v>983</v>
      </c>
      <c r="G1296" s="52"/>
      <c r="H1296" s="55"/>
      <c r="I1296" s="56"/>
    </row>
    <row r="1297" spans="2:9" x14ac:dyDescent="0.2">
      <c r="B1297" s="51" t="str">
        <f t="shared" si="21"/>
        <v>2020-046-3</v>
      </c>
      <c r="C1297" s="52">
        <v>2020</v>
      </c>
      <c r="D1297" s="52" t="s">
        <v>77</v>
      </c>
      <c r="E1297" s="52">
        <v>3</v>
      </c>
      <c r="F1297" s="54" t="s">
        <v>1369</v>
      </c>
      <c r="G1297" s="52"/>
      <c r="H1297" s="55"/>
      <c r="I1297" s="56"/>
    </row>
    <row r="1298" spans="2:9" ht="27" x14ac:dyDescent="0.2">
      <c r="B1298" s="51" t="str">
        <f t="shared" si="21"/>
        <v>2020-046-4</v>
      </c>
      <c r="C1298" s="52">
        <v>2020</v>
      </c>
      <c r="D1298" s="52" t="s">
        <v>77</v>
      </c>
      <c r="E1298" s="52">
        <v>4</v>
      </c>
      <c r="F1298" s="54" t="s">
        <v>1739</v>
      </c>
      <c r="G1298" s="52" t="s">
        <v>3391</v>
      </c>
      <c r="H1298" s="55"/>
      <c r="I1298" s="56"/>
    </row>
    <row r="1299" spans="2:9" ht="27" x14ac:dyDescent="0.2">
      <c r="B1299" s="57" t="str">
        <f t="shared" si="21"/>
        <v>2020-046-5</v>
      </c>
      <c r="C1299" s="58">
        <v>2020</v>
      </c>
      <c r="D1299" s="58" t="s">
        <v>77</v>
      </c>
      <c r="E1299" s="58">
        <v>5</v>
      </c>
      <c r="F1299" s="59" t="s">
        <v>2104</v>
      </c>
      <c r="G1299" s="58"/>
      <c r="H1299" s="60"/>
      <c r="I1299" s="61"/>
    </row>
    <row r="1300" spans="2:9" x14ac:dyDescent="0.2">
      <c r="B1300" s="62" t="str">
        <f t="shared" si="21"/>
        <v>2020-047-0</v>
      </c>
      <c r="C1300" s="63">
        <v>2020</v>
      </c>
      <c r="D1300" s="63" t="s">
        <v>78</v>
      </c>
      <c r="E1300" s="63">
        <v>0</v>
      </c>
      <c r="F1300" s="64" t="s">
        <v>143</v>
      </c>
      <c r="G1300" s="63"/>
      <c r="H1300" s="65"/>
      <c r="I1300" s="66"/>
    </row>
    <row r="1301" spans="2:9" x14ac:dyDescent="0.2">
      <c r="B1301" s="51" t="str">
        <f t="shared" si="21"/>
        <v>2020-047-1</v>
      </c>
      <c r="C1301" s="52">
        <v>2020</v>
      </c>
      <c r="D1301" s="52" t="s">
        <v>78</v>
      </c>
      <c r="E1301" s="52">
        <v>1</v>
      </c>
      <c r="F1301" s="54" t="s">
        <v>590</v>
      </c>
      <c r="G1301" s="52"/>
      <c r="H1301" s="55"/>
      <c r="I1301" s="56"/>
    </row>
    <row r="1302" spans="2:9" ht="27" x14ac:dyDescent="0.2">
      <c r="B1302" s="51" t="str">
        <f t="shared" si="21"/>
        <v>2020-047-2</v>
      </c>
      <c r="C1302" s="52">
        <v>2020</v>
      </c>
      <c r="D1302" s="52" t="s">
        <v>78</v>
      </c>
      <c r="E1302" s="52">
        <v>2</v>
      </c>
      <c r="F1302" s="54" t="s">
        <v>984</v>
      </c>
      <c r="G1302" s="52"/>
      <c r="H1302" s="55"/>
      <c r="I1302" s="56"/>
    </row>
    <row r="1303" spans="2:9" ht="27" x14ac:dyDescent="0.2">
      <c r="B1303" s="51" t="str">
        <f t="shared" ref="B1303:B1323" si="22">C1303&amp;"-"&amp;D1303&amp;"-"&amp;E1303</f>
        <v>2020-047-3</v>
      </c>
      <c r="C1303" s="52">
        <v>2020</v>
      </c>
      <c r="D1303" s="52" t="s">
        <v>78</v>
      </c>
      <c r="E1303" s="52">
        <v>3</v>
      </c>
      <c r="F1303" s="54" t="s">
        <v>1370</v>
      </c>
      <c r="G1303" s="52" t="s">
        <v>3391</v>
      </c>
      <c r="H1303" s="55"/>
      <c r="I1303" s="56"/>
    </row>
    <row r="1304" spans="2:9" x14ac:dyDescent="0.2">
      <c r="B1304" s="51" t="str">
        <f t="shared" si="22"/>
        <v>2020-047-4</v>
      </c>
      <c r="C1304" s="52">
        <v>2020</v>
      </c>
      <c r="D1304" s="52" t="s">
        <v>78</v>
      </c>
      <c r="E1304" s="52">
        <v>4</v>
      </c>
      <c r="F1304" s="54" t="s">
        <v>1663</v>
      </c>
      <c r="G1304" s="52"/>
      <c r="H1304" s="55"/>
      <c r="I1304" s="56"/>
    </row>
    <row r="1305" spans="2:9" ht="27" x14ac:dyDescent="0.2">
      <c r="B1305" s="57" t="str">
        <f t="shared" si="22"/>
        <v>2020-047-5</v>
      </c>
      <c r="C1305" s="58">
        <v>2020</v>
      </c>
      <c r="D1305" s="58" t="s">
        <v>78</v>
      </c>
      <c r="E1305" s="58">
        <v>5</v>
      </c>
      <c r="F1305" s="59" t="s">
        <v>1707</v>
      </c>
      <c r="G1305" s="58"/>
      <c r="H1305" s="60"/>
      <c r="I1305" s="61"/>
    </row>
    <row r="1306" spans="2:9" x14ac:dyDescent="0.2">
      <c r="B1306" s="62" t="str">
        <f t="shared" si="22"/>
        <v>2020-048-0</v>
      </c>
      <c r="C1306" s="63">
        <v>2020</v>
      </c>
      <c r="D1306" s="63" t="s">
        <v>79</v>
      </c>
      <c r="E1306" s="63">
        <v>0</v>
      </c>
      <c r="F1306" s="64" t="s">
        <v>231</v>
      </c>
      <c r="G1306" s="63"/>
      <c r="H1306" s="65"/>
      <c r="I1306" s="66"/>
    </row>
    <row r="1307" spans="2:9" ht="27" x14ac:dyDescent="0.2">
      <c r="B1307" s="51" t="str">
        <f t="shared" si="22"/>
        <v>2020-048-1</v>
      </c>
      <c r="C1307" s="52">
        <v>2020</v>
      </c>
      <c r="D1307" s="52" t="s">
        <v>79</v>
      </c>
      <c r="E1307" s="52">
        <v>1</v>
      </c>
      <c r="F1307" s="54" t="s">
        <v>591</v>
      </c>
      <c r="G1307" s="52"/>
      <c r="H1307" s="55"/>
      <c r="I1307" s="56"/>
    </row>
    <row r="1308" spans="2:9" x14ac:dyDescent="0.2">
      <c r="B1308" s="51" t="str">
        <f t="shared" si="22"/>
        <v>2020-048-2</v>
      </c>
      <c r="C1308" s="52">
        <v>2020</v>
      </c>
      <c r="D1308" s="52" t="s">
        <v>79</v>
      </c>
      <c r="E1308" s="52">
        <v>2</v>
      </c>
      <c r="F1308" s="54" t="s">
        <v>985</v>
      </c>
      <c r="G1308" s="52"/>
      <c r="H1308" s="55"/>
      <c r="I1308" s="56"/>
    </row>
    <row r="1309" spans="2:9" ht="27" x14ac:dyDescent="0.2">
      <c r="B1309" s="51" t="str">
        <f t="shared" si="22"/>
        <v>2020-048-3</v>
      </c>
      <c r="C1309" s="52">
        <v>2020</v>
      </c>
      <c r="D1309" s="52" t="s">
        <v>79</v>
      </c>
      <c r="E1309" s="52">
        <v>3</v>
      </c>
      <c r="F1309" s="54" t="s">
        <v>1371</v>
      </c>
      <c r="G1309" s="52"/>
      <c r="H1309" s="55"/>
      <c r="I1309" s="56"/>
    </row>
    <row r="1310" spans="2:9" ht="27" x14ac:dyDescent="0.2">
      <c r="B1310" s="51" t="str">
        <f t="shared" si="22"/>
        <v>2020-048-4</v>
      </c>
      <c r="C1310" s="52">
        <v>2020</v>
      </c>
      <c r="D1310" s="52" t="s">
        <v>79</v>
      </c>
      <c r="E1310" s="52">
        <v>4</v>
      </c>
      <c r="F1310" s="54" t="s">
        <v>1740</v>
      </c>
      <c r="G1310" s="52" t="s">
        <v>3391</v>
      </c>
      <c r="H1310" s="55"/>
      <c r="I1310" s="56"/>
    </row>
    <row r="1311" spans="2:9" ht="27" x14ac:dyDescent="0.2">
      <c r="B1311" s="57" t="str">
        <f t="shared" si="22"/>
        <v>2020-048-5</v>
      </c>
      <c r="C1311" s="58">
        <v>2020</v>
      </c>
      <c r="D1311" s="58" t="s">
        <v>79</v>
      </c>
      <c r="E1311" s="58">
        <v>5</v>
      </c>
      <c r="F1311" s="59" t="s">
        <v>1307</v>
      </c>
      <c r="G1311" s="58"/>
      <c r="H1311" s="60"/>
      <c r="I1311" s="61"/>
    </row>
    <row r="1312" spans="2:9" x14ac:dyDescent="0.2">
      <c r="B1312" s="62" t="str">
        <f t="shared" si="22"/>
        <v>2020-049-0</v>
      </c>
      <c r="C1312" s="63">
        <v>2020</v>
      </c>
      <c r="D1312" s="63" t="s">
        <v>80</v>
      </c>
      <c r="E1312" s="63">
        <v>0</v>
      </c>
      <c r="F1312" s="64" t="s">
        <v>167</v>
      </c>
      <c r="G1312" s="63"/>
      <c r="H1312" s="65"/>
      <c r="I1312" s="66"/>
    </row>
    <row r="1313" spans="2:9" ht="27" x14ac:dyDescent="0.2">
      <c r="B1313" s="51" t="str">
        <f t="shared" si="22"/>
        <v>2020-049-1</v>
      </c>
      <c r="C1313" s="52">
        <v>2020</v>
      </c>
      <c r="D1313" s="52" t="s">
        <v>80</v>
      </c>
      <c r="E1313" s="52">
        <v>1</v>
      </c>
      <c r="F1313" s="54" t="s">
        <v>592</v>
      </c>
      <c r="G1313" s="52"/>
      <c r="H1313" s="55"/>
      <c r="I1313" s="56"/>
    </row>
    <row r="1314" spans="2:9" x14ac:dyDescent="0.2">
      <c r="B1314" s="51" t="str">
        <f t="shared" si="22"/>
        <v>2020-049-2</v>
      </c>
      <c r="C1314" s="52">
        <v>2020</v>
      </c>
      <c r="D1314" s="52" t="s">
        <v>80</v>
      </c>
      <c r="E1314" s="52">
        <v>2</v>
      </c>
      <c r="F1314" s="54" t="s">
        <v>568</v>
      </c>
      <c r="G1314" s="52"/>
      <c r="H1314" s="55"/>
      <c r="I1314" s="56"/>
    </row>
    <row r="1315" spans="2:9" ht="27" x14ac:dyDescent="0.2">
      <c r="B1315" s="51" t="str">
        <f t="shared" si="22"/>
        <v>2020-049-3</v>
      </c>
      <c r="C1315" s="52">
        <v>2020</v>
      </c>
      <c r="D1315" s="52" t="s">
        <v>80</v>
      </c>
      <c r="E1315" s="52">
        <v>3</v>
      </c>
      <c r="F1315" s="54" t="s">
        <v>1372</v>
      </c>
      <c r="G1315" s="52" t="s">
        <v>3391</v>
      </c>
      <c r="H1315" s="55"/>
      <c r="I1315" s="56"/>
    </row>
    <row r="1316" spans="2:9" x14ac:dyDescent="0.2">
      <c r="B1316" s="51" t="str">
        <f t="shared" si="22"/>
        <v>2020-049-4</v>
      </c>
      <c r="C1316" s="52">
        <v>2020</v>
      </c>
      <c r="D1316" s="52" t="s">
        <v>80</v>
      </c>
      <c r="E1316" s="52">
        <v>4</v>
      </c>
      <c r="F1316" s="54" t="s">
        <v>1741</v>
      </c>
      <c r="G1316" s="52"/>
      <c r="H1316" s="55"/>
      <c r="I1316" s="56"/>
    </row>
    <row r="1317" spans="2:9" ht="27" x14ac:dyDescent="0.2">
      <c r="B1317" s="57" t="str">
        <f t="shared" si="22"/>
        <v>2020-049-5</v>
      </c>
      <c r="C1317" s="58">
        <v>2020</v>
      </c>
      <c r="D1317" s="58" t="s">
        <v>80</v>
      </c>
      <c r="E1317" s="58">
        <v>5</v>
      </c>
      <c r="F1317" s="59" t="s">
        <v>2105</v>
      </c>
      <c r="G1317" s="58"/>
      <c r="H1317" s="60"/>
      <c r="I1317" s="61"/>
    </row>
    <row r="1318" spans="2:9" x14ac:dyDescent="0.2">
      <c r="B1318" s="62" t="str">
        <f t="shared" si="22"/>
        <v>2020-050-0</v>
      </c>
      <c r="C1318" s="63">
        <v>2020</v>
      </c>
      <c r="D1318" s="63" t="s">
        <v>81</v>
      </c>
      <c r="E1318" s="63">
        <v>0</v>
      </c>
      <c r="F1318" s="64" t="s">
        <v>194</v>
      </c>
      <c r="G1318" s="63"/>
      <c r="H1318" s="65"/>
      <c r="I1318" s="66"/>
    </row>
    <row r="1319" spans="2:9" x14ac:dyDescent="0.2">
      <c r="B1319" s="51" t="str">
        <f t="shared" si="22"/>
        <v>2020-050-1</v>
      </c>
      <c r="C1319" s="52">
        <v>2020</v>
      </c>
      <c r="D1319" s="52" t="s">
        <v>81</v>
      </c>
      <c r="E1319" s="52">
        <v>1</v>
      </c>
      <c r="F1319" s="54" t="s">
        <v>593</v>
      </c>
      <c r="G1319" s="52"/>
      <c r="H1319" s="55"/>
      <c r="I1319" s="56"/>
    </row>
    <row r="1320" spans="2:9" x14ac:dyDescent="0.2">
      <c r="B1320" s="51" t="str">
        <f t="shared" si="22"/>
        <v>2020-050-2</v>
      </c>
      <c r="C1320" s="52">
        <v>2020</v>
      </c>
      <c r="D1320" s="52" t="s">
        <v>81</v>
      </c>
      <c r="E1320" s="52">
        <v>2</v>
      </c>
      <c r="F1320" s="54" t="s">
        <v>986</v>
      </c>
      <c r="G1320" s="52"/>
      <c r="H1320" s="55"/>
      <c r="I1320" s="56"/>
    </row>
    <row r="1321" spans="2:9" x14ac:dyDescent="0.2">
      <c r="B1321" s="51" t="str">
        <f t="shared" si="22"/>
        <v>2020-050-3</v>
      </c>
      <c r="C1321" s="52">
        <v>2020</v>
      </c>
      <c r="D1321" s="52" t="s">
        <v>81</v>
      </c>
      <c r="E1321" s="52">
        <v>3</v>
      </c>
      <c r="F1321" s="54" t="s">
        <v>1373</v>
      </c>
      <c r="G1321" s="52"/>
      <c r="H1321" s="55"/>
      <c r="I1321" s="56"/>
    </row>
    <row r="1322" spans="2:9" x14ac:dyDescent="0.2">
      <c r="B1322" s="51" t="str">
        <f t="shared" si="22"/>
        <v>2020-050-4</v>
      </c>
      <c r="C1322" s="52">
        <v>2020</v>
      </c>
      <c r="D1322" s="52" t="s">
        <v>81</v>
      </c>
      <c r="E1322" s="52">
        <v>4</v>
      </c>
      <c r="F1322" s="54" t="s">
        <v>1742</v>
      </c>
      <c r="G1322" s="52"/>
      <c r="H1322" s="55"/>
      <c r="I1322" s="56"/>
    </row>
    <row r="1323" spans="2:9" ht="27.75" thickBot="1" x14ac:dyDescent="0.25">
      <c r="B1323" s="67" t="str">
        <f t="shared" si="22"/>
        <v>2020-050-5</v>
      </c>
      <c r="C1323" s="68">
        <v>2020</v>
      </c>
      <c r="D1323" s="68" t="s">
        <v>81</v>
      </c>
      <c r="E1323" s="68">
        <v>5</v>
      </c>
      <c r="F1323" s="69" t="s">
        <v>2106</v>
      </c>
      <c r="G1323" s="68" t="s">
        <v>3391</v>
      </c>
      <c r="H1323" s="70"/>
      <c r="I1323" s="71"/>
    </row>
    <row r="1324" spans="2:9" ht="67.5" x14ac:dyDescent="0.2">
      <c r="B1324" s="45" t="str">
        <f t="shared" ref="B1324:B1340" si="23">C1324&amp;"-"&amp;D1324&amp;"-"&amp;E1324</f>
        <v>2019-026-0</v>
      </c>
      <c r="C1324" s="46">
        <v>2019</v>
      </c>
      <c r="D1324" s="46" t="s">
        <v>4</v>
      </c>
      <c r="E1324" s="46">
        <v>0</v>
      </c>
      <c r="F1324" s="48" t="s">
        <v>232</v>
      </c>
      <c r="G1324" s="46"/>
      <c r="H1324" s="49"/>
      <c r="I1324" s="50"/>
    </row>
    <row r="1325" spans="2:9" x14ac:dyDescent="0.2">
      <c r="B1325" s="51" t="str">
        <f t="shared" si="23"/>
        <v>2019-026-1</v>
      </c>
      <c r="C1325" s="52">
        <v>2019</v>
      </c>
      <c r="D1325" s="52" t="s">
        <v>4</v>
      </c>
      <c r="E1325" s="52">
        <v>1</v>
      </c>
      <c r="F1325" s="54" t="s">
        <v>594</v>
      </c>
      <c r="G1325" s="52" t="s">
        <v>3391</v>
      </c>
      <c r="H1325" s="55"/>
      <c r="I1325" s="56"/>
    </row>
    <row r="1326" spans="2:9" x14ac:dyDescent="0.2">
      <c r="B1326" s="51" t="str">
        <f t="shared" si="23"/>
        <v>2019-026-2</v>
      </c>
      <c r="C1326" s="52">
        <v>2019</v>
      </c>
      <c r="D1326" s="52" t="s">
        <v>4</v>
      </c>
      <c r="E1326" s="52">
        <v>2</v>
      </c>
      <c r="F1326" s="54" t="s">
        <v>987</v>
      </c>
      <c r="G1326" s="52"/>
      <c r="H1326" s="55"/>
      <c r="I1326" s="56"/>
    </row>
    <row r="1327" spans="2:9" x14ac:dyDescent="0.2">
      <c r="B1327" s="51" t="str">
        <f t="shared" si="23"/>
        <v>2019-026-3</v>
      </c>
      <c r="C1327" s="52">
        <v>2019</v>
      </c>
      <c r="D1327" s="52" t="s">
        <v>4</v>
      </c>
      <c r="E1327" s="52">
        <v>3</v>
      </c>
      <c r="F1327" s="54" t="s">
        <v>1374</v>
      </c>
      <c r="G1327" s="52"/>
      <c r="H1327" s="55"/>
      <c r="I1327" s="56"/>
    </row>
    <row r="1328" spans="2:9" x14ac:dyDescent="0.2">
      <c r="B1328" s="51" t="str">
        <f t="shared" si="23"/>
        <v>2019-026-4</v>
      </c>
      <c r="C1328" s="52">
        <v>2019</v>
      </c>
      <c r="D1328" s="52" t="s">
        <v>4</v>
      </c>
      <c r="E1328" s="52">
        <v>4</v>
      </c>
      <c r="F1328" s="54" t="s">
        <v>1743</v>
      </c>
      <c r="G1328" s="52"/>
      <c r="H1328" s="55"/>
      <c r="I1328" s="56"/>
    </row>
    <row r="1329" spans="2:9" x14ac:dyDescent="0.2">
      <c r="B1329" s="57" t="str">
        <f t="shared" si="23"/>
        <v>2019-026-5</v>
      </c>
      <c r="C1329" s="58">
        <v>2019</v>
      </c>
      <c r="D1329" s="58" t="s">
        <v>4</v>
      </c>
      <c r="E1329" s="58">
        <v>5</v>
      </c>
      <c r="F1329" s="59" t="s">
        <v>2107</v>
      </c>
      <c r="G1329" s="58"/>
      <c r="H1329" s="60"/>
      <c r="I1329" s="61"/>
    </row>
    <row r="1330" spans="2:9" x14ac:dyDescent="0.2">
      <c r="B1330" s="62" t="str">
        <f t="shared" si="23"/>
        <v>2019-027-0</v>
      </c>
      <c r="C1330" s="63">
        <v>2019</v>
      </c>
      <c r="D1330" s="63" t="s">
        <v>5</v>
      </c>
      <c r="E1330" s="63">
        <v>0</v>
      </c>
      <c r="F1330" s="64" t="s">
        <v>113</v>
      </c>
      <c r="G1330" s="63"/>
      <c r="H1330" s="65"/>
      <c r="I1330" s="66"/>
    </row>
    <row r="1331" spans="2:9" x14ac:dyDescent="0.2">
      <c r="B1331" s="51" t="str">
        <f t="shared" si="23"/>
        <v>2019-027-1</v>
      </c>
      <c r="C1331" s="52">
        <v>2019</v>
      </c>
      <c r="D1331" s="52" t="s">
        <v>5</v>
      </c>
      <c r="E1331" s="52">
        <v>1</v>
      </c>
      <c r="F1331" s="54" t="s">
        <v>595</v>
      </c>
      <c r="G1331" s="52"/>
      <c r="H1331" s="55"/>
      <c r="I1331" s="56"/>
    </row>
    <row r="1332" spans="2:9" x14ac:dyDescent="0.2">
      <c r="B1332" s="51" t="str">
        <f t="shared" si="23"/>
        <v>2019-027-2</v>
      </c>
      <c r="C1332" s="52">
        <v>2019</v>
      </c>
      <c r="D1332" s="52" t="s">
        <v>5</v>
      </c>
      <c r="E1332" s="52">
        <v>2</v>
      </c>
      <c r="F1332" s="54" t="s">
        <v>988</v>
      </c>
      <c r="G1332" s="52"/>
      <c r="H1332" s="55"/>
      <c r="I1332" s="56"/>
    </row>
    <row r="1333" spans="2:9" x14ac:dyDescent="0.2">
      <c r="B1333" s="51" t="str">
        <f t="shared" si="23"/>
        <v>2019-027-3</v>
      </c>
      <c r="C1333" s="52">
        <v>2019</v>
      </c>
      <c r="D1333" s="52" t="s">
        <v>5</v>
      </c>
      <c r="E1333" s="52">
        <v>3</v>
      </c>
      <c r="F1333" s="54" t="s">
        <v>964</v>
      </c>
      <c r="G1333" s="52"/>
      <c r="H1333" s="55"/>
      <c r="I1333" s="56"/>
    </row>
    <row r="1334" spans="2:9" x14ac:dyDescent="0.2">
      <c r="B1334" s="51" t="str">
        <f t="shared" si="23"/>
        <v>2019-027-4</v>
      </c>
      <c r="C1334" s="52">
        <v>2019</v>
      </c>
      <c r="D1334" s="52" t="s">
        <v>5</v>
      </c>
      <c r="E1334" s="52">
        <v>4</v>
      </c>
      <c r="F1334" s="54" t="s">
        <v>1744</v>
      </c>
      <c r="G1334" s="52"/>
      <c r="H1334" s="55"/>
      <c r="I1334" s="56"/>
    </row>
    <row r="1335" spans="2:9" x14ac:dyDescent="0.2">
      <c r="B1335" s="57" t="str">
        <f t="shared" si="23"/>
        <v>2019-027-5</v>
      </c>
      <c r="C1335" s="58">
        <v>2019</v>
      </c>
      <c r="D1335" s="58" t="s">
        <v>5</v>
      </c>
      <c r="E1335" s="58">
        <v>5</v>
      </c>
      <c r="F1335" s="59" t="s">
        <v>2108</v>
      </c>
      <c r="G1335" s="58" t="s">
        <v>3391</v>
      </c>
      <c r="H1335" s="60"/>
      <c r="I1335" s="61"/>
    </row>
    <row r="1336" spans="2:9" x14ac:dyDescent="0.2">
      <c r="B1336" s="62" t="str">
        <f t="shared" si="23"/>
        <v>2019-028-0</v>
      </c>
      <c r="C1336" s="63">
        <v>2019</v>
      </c>
      <c r="D1336" s="63" t="s">
        <v>6</v>
      </c>
      <c r="E1336" s="63">
        <v>0</v>
      </c>
      <c r="F1336" s="64" t="s">
        <v>233</v>
      </c>
      <c r="G1336" s="63"/>
      <c r="H1336" s="65"/>
      <c r="I1336" s="66"/>
    </row>
    <row r="1337" spans="2:9" x14ac:dyDescent="0.2">
      <c r="B1337" s="51" t="str">
        <f t="shared" si="23"/>
        <v>2019-028-1</v>
      </c>
      <c r="C1337" s="52">
        <v>2019</v>
      </c>
      <c r="D1337" s="52" t="s">
        <v>6</v>
      </c>
      <c r="E1337" s="52">
        <v>1</v>
      </c>
      <c r="F1337" s="54" t="s">
        <v>596</v>
      </c>
      <c r="G1337" s="52"/>
      <c r="H1337" s="55"/>
      <c r="I1337" s="56"/>
    </row>
    <row r="1338" spans="2:9" x14ac:dyDescent="0.2">
      <c r="B1338" s="51" t="str">
        <f t="shared" si="23"/>
        <v>2019-028-2</v>
      </c>
      <c r="C1338" s="52">
        <v>2019</v>
      </c>
      <c r="D1338" s="52" t="s">
        <v>6</v>
      </c>
      <c r="E1338" s="52">
        <v>2</v>
      </c>
      <c r="F1338" s="54" t="s">
        <v>36</v>
      </c>
      <c r="G1338" s="52"/>
      <c r="H1338" s="55"/>
      <c r="I1338" s="56"/>
    </row>
    <row r="1339" spans="2:9" ht="27" x14ac:dyDescent="0.2">
      <c r="B1339" s="51" t="str">
        <f t="shared" si="23"/>
        <v>2019-028-3</v>
      </c>
      <c r="C1339" s="52">
        <v>2019</v>
      </c>
      <c r="D1339" s="52" t="s">
        <v>6</v>
      </c>
      <c r="E1339" s="52">
        <v>3</v>
      </c>
      <c r="F1339" s="54" t="s">
        <v>1375</v>
      </c>
      <c r="G1339" s="52" t="s">
        <v>3391</v>
      </c>
      <c r="H1339" s="55"/>
      <c r="I1339" s="56"/>
    </row>
    <row r="1340" spans="2:9" ht="27" x14ac:dyDescent="0.2">
      <c r="B1340" s="51" t="str">
        <f t="shared" si="23"/>
        <v>2019-028-4</v>
      </c>
      <c r="C1340" s="52">
        <v>2019</v>
      </c>
      <c r="D1340" s="52" t="s">
        <v>6</v>
      </c>
      <c r="E1340" s="52">
        <v>4</v>
      </c>
      <c r="F1340" s="54" t="s">
        <v>1745</v>
      </c>
      <c r="G1340" s="52"/>
      <c r="H1340" s="55"/>
      <c r="I1340" s="56"/>
    </row>
    <row r="1341" spans="2:9" ht="27" x14ac:dyDescent="0.2">
      <c r="B1341" s="57" t="str">
        <f t="shared" ref="B1341:B1404" si="24">C1341&amp;"-"&amp;D1341&amp;"-"&amp;E1341</f>
        <v>2019-028-5</v>
      </c>
      <c r="C1341" s="58">
        <v>2019</v>
      </c>
      <c r="D1341" s="58" t="s">
        <v>6</v>
      </c>
      <c r="E1341" s="58">
        <v>5</v>
      </c>
      <c r="F1341" s="59" t="s">
        <v>2109</v>
      </c>
      <c r="G1341" s="58"/>
      <c r="H1341" s="60"/>
      <c r="I1341" s="61"/>
    </row>
    <row r="1342" spans="2:9" ht="67.5" x14ac:dyDescent="0.2">
      <c r="B1342" s="62" t="str">
        <f t="shared" si="24"/>
        <v>2019-029-0</v>
      </c>
      <c r="C1342" s="63">
        <v>2019</v>
      </c>
      <c r="D1342" s="63" t="s">
        <v>7</v>
      </c>
      <c r="E1342" s="63">
        <v>0</v>
      </c>
      <c r="F1342" s="64" t="s">
        <v>234</v>
      </c>
      <c r="G1342" s="63"/>
      <c r="H1342" s="65"/>
      <c r="I1342" s="66"/>
    </row>
    <row r="1343" spans="2:9" x14ac:dyDescent="0.2">
      <c r="B1343" s="51" t="str">
        <f t="shared" si="24"/>
        <v>2019-029-1</v>
      </c>
      <c r="C1343" s="52">
        <v>2019</v>
      </c>
      <c r="D1343" s="52" t="s">
        <v>7</v>
      </c>
      <c r="E1343" s="52">
        <v>1</v>
      </c>
      <c r="F1343" s="54" t="s">
        <v>475</v>
      </c>
      <c r="G1343" s="52"/>
      <c r="H1343" s="55"/>
      <c r="I1343" s="56"/>
    </row>
    <row r="1344" spans="2:9" x14ac:dyDescent="0.2">
      <c r="B1344" s="51" t="str">
        <f t="shared" si="24"/>
        <v>2019-029-2</v>
      </c>
      <c r="C1344" s="52">
        <v>2019</v>
      </c>
      <c r="D1344" s="52" t="s">
        <v>7</v>
      </c>
      <c r="E1344" s="52">
        <v>2</v>
      </c>
      <c r="F1344" s="54" t="s">
        <v>24</v>
      </c>
      <c r="G1344" s="52"/>
      <c r="H1344" s="55"/>
      <c r="I1344" s="56"/>
    </row>
    <row r="1345" spans="2:9" x14ac:dyDescent="0.2">
      <c r="B1345" s="51" t="str">
        <f t="shared" si="24"/>
        <v>2019-029-3</v>
      </c>
      <c r="C1345" s="52">
        <v>2019</v>
      </c>
      <c r="D1345" s="52" t="s">
        <v>7</v>
      </c>
      <c r="E1345" s="52">
        <v>3</v>
      </c>
      <c r="F1345" s="54" t="s">
        <v>34</v>
      </c>
      <c r="G1345" s="52"/>
      <c r="H1345" s="55"/>
      <c r="I1345" s="56"/>
    </row>
    <row r="1346" spans="2:9" x14ac:dyDescent="0.2">
      <c r="B1346" s="51" t="str">
        <f t="shared" si="24"/>
        <v>2019-029-4</v>
      </c>
      <c r="C1346" s="52">
        <v>2019</v>
      </c>
      <c r="D1346" s="52" t="s">
        <v>7</v>
      </c>
      <c r="E1346" s="52">
        <v>4</v>
      </c>
      <c r="F1346" s="54" t="s">
        <v>41</v>
      </c>
      <c r="G1346" s="52" t="s">
        <v>3391</v>
      </c>
      <c r="H1346" s="55"/>
      <c r="I1346" s="56"/>
    </row>
    <row r="1347" spans="2:9" x14ac:dyDescent="0.2">
      <c r="B1347" s="57" t="str">
        <f t="shared" si="24"/>
        <v>2019-029-5</v>
      </c>
      <c r="C1347" s="58">
        <v>2019</v>
      </c>
      <c r="D1347" s="58" t="s">
        <v>7</v>
      </c>
      <c r="E1347" s="58">
        <v>5</v>
      </c>
      <c r="F1347" s="59" t="s">
        <v>45</v>
      </c>
      <c r="G1347" s="58"/>
      <c r="H1347" s="60"/>
      <c r="I1347" s="61"/>
    </row>
    <row r="1348" spans="2:9" x14ac:dyDescent="0.2">
      <c r="B1348" s="62" t="str">
        <f t="shared" si="24"/>
        <v>2019-030-0</v>
      </c>
      <c r="C1348" s="63">
        <v>2019</v>
      </c>
      <c r="D1348" s="63" t="s">
        <v>8</v>
      </c>
      <c r="E1348" s="63">
        <v>0</v>
      </c>
      <c r="F1348" s="64" t="s">
        <v>235</v>
      </c>
      <c r="G1348" s="63"/>
      <c r="H1348" s="65"/>
      <c r="I1348" s="66"/>
    </row>
    <row r="1349" spans="2:9" x14ac:dyDescent="0.2">
      <c r="B1349" s="51" t="str">
        <f t="shared" si="24"/>
        <v>2019-030-1</v>
      </c>
      <c r="C1349" s="52">
        <v>2019</v>
      </c>
      <c r="D1349" s="52" t="s">
        <v>8</v>
      </c>
      <c r="E1349" s="52">
        <v>1</v>
      </c>
      <c r="F1349" s="54" t="s">
        <v>597</v>
      </c>
      <c r="G1349" s="52" t="s">
        <v>3391</v>
      </c>
      <c r="H1349" s="55"/>
      <c r="I1349" s="56"/>
    </row>
    <row r="1350" spans="2:9" x14ac:dyDescent="0.2">
      <c r="B1350" s="51" t="str">
        <f t="shared" si="24"/>
        <v>2019-030-2</v>
      </c>
      <c r="C1350" s="52">
        <v>2019</v>
      </c>
      <c r="D1350" s="52" t="s">
        <v>8</v>
      </c>
      <c r="E1350" s="52">
        <v>2</v>
      </c>
      <c r="F1350" s="54" t="s">
        <v>989</v>
      </c>
      <c r="G1350" s="52"/>
      <c r="H1350" s="55"/>
      <c r="I1350" s="56"/>
    </row>
    <row r="1351" spans="2:9" x14ac:dyDescent="0.2">
      <c r="B1351" s="51" t="str">
        <f t="shared" si="24"/>
        <v>2019-030-3</v>
      </c>
      <c r="C1351" s="52">
        <v>2019</v>
      </c>
      <c r="D1351" s="52" t="s">
        <v>8</v>
      </c>
      <c r="E1351" s="52">
        <v>3</v>
      </c>
      <c r="F1351" s="54" t="s">
        <v>945</v>
      </c>
      <c r="G1351" s="52"/>
      <c r="H1351" s="55"/>
      <c r="I1351" s="56"/>
    </row>
    <row r="1352" spans="2:9" x14ac:dyDescent="0.2">
      <c r="B1352" s="51" t="str">
        <f t="shared" si="24"/>
        <v>2019-030-4</v>
      </c>
      <c r="C1352" s="52">
        <v>2019</v>
      </c>
      <c r="D1352" s="52" t="s">
        <v>8</v>
      </c>
      <c r="E1352" s="52">
        <v>4</v>
      </c>
      <c r="F1352" s="54" t="s">
        <v>778</v>
      </c>
      <c r="G1352" s="52"/>
      <c r="H1352" s="55"/>
      <c r="I1352" s="56"/>
    </row>
    <row r="1353" spans="2:9" x14ac:dyDescent="0.2">
      <c r="B1353" s="57" t="str">
        <f t="shared" si="24"/>
        <v>2019-030-5</v>
      </c>
      <c r="C1353" s="58">
        <v>2019</v>
      </c>
      <c r="D1353" s="58" t="s">
        <v>8</v>
      </c>
      <c r="E1353" s="58">
        <v>5</v>
      </c>
      <c r="F1353" s="59" t="s">
        <v>551</v>
      </c>
      <c r="G1353" s="58"/>
      <c r="H1353" s="60"/>
      <c r="I1353" s="61"/>
    </row>
    <row r="1354" spans="2:9" x14ac:dyDescent="0.2">
      <c r="B1354" s="62" t="str">
        <f t="shared" si="24"/>
        <v>2019-031-0</v>
      </c>
      <c r="C1354" s="63">
        <v>2019</v>
      </c>
      <c r="D1354" s="63" t="s">
        <v>9</v>
      </c>
      <c r="E1354" s="63">
        <v>0</v>
      </c>
      <c r="F1354" s="64" t="s">
        <v>236</v>
      </c>
      <c r="G1354" s="63"/>
      <c r="H1354" s="65"/>
      <c r="I1354" s="66"/>
    </row>
    <row r="1355" spans="2:9" x14ac:dyDescent="0.2">
      <c r="B1355" s="51" t="str">
        <f t="shared" si="24"/>
        <v>2019-031-1</v>
      </c>
      <c r="C1355" s="52">
        <v>2019</v>
      </c>
      <c r="D1355" s="52" t="s">
        <v>9</v>
      </c>
      <c r="E1355" s="52">
        <v>1</v>
      </c>
      <c r="F1355" s="54" t="s">
        <v>598</v>
      </c>
      <c r="G1355" s="52"/>
      <c r="H1355" s="55"/>
      <c r="I1355" s="56"/>
    </row>
    <row r="1356" spans="2:9" x14ac:dyDescent="0.2">
      <c r="B1356" s="51" t="str">
        <f t="shared" si="24"/>
        <v>2019-031-2</v>
      </c>
      <c r="C1356" s="52">
        <v>2019</v>
      </c>
      <c r="D1356" s="52" t="s">
        <v>9</v>
      </c>
      <c r="E1356" s="52">
        <v>2</v>
      </c>
      <c r="F1356" s="54" t="s">
        <v>990</v>
      </c>
      <c r="G1356" s="52"/>
      <c r="H1356" s="55"/>
      <c r="I1356" s="56"/>
    </row>
    <row r="1357" spans="2:9" ht="27" x14ac:dyDescent="0.2">
      <c r="B1357" s="51" t="str">
        <f t="shared" si="24"/>
        <v>2019-031-3</v>
      </c>
      <c r="C1357" s="52">
        <v>2019</v>
      </c>
      <c r="D1357" s="52" t="s">
        <v>9</v>
      </c>
      <c r="E1357" s="52">
        <v>3</v>
      </c>
      <c r="F1357" s="54" t="s">
        <v>1376</v>
      </c>
      <c r="G1357" s="52" t="s">
        <v>3391</v>
      </c>
      <c r="H1357" s="55"/>
      <c r="I1357" s="56"/>
    </row>
    <row r="1358" spans="2:9" x14ac:dyDescent="0.2">
      <c r="B1358" s="51" t="str">
        <f t="shared" si="24"/>
        <v>2019-031-4</v>
      </c>
      <c r="C1358" s="52">
        <v>2019</v>
      </c>
      <c r="D1358" s="52" t="s">
        <v>9</v>
      </c>
      <c r="E1358" s="52">
        <v>4</v>
      </c>
      <c r="F1358" s="54" t="s">
        <v>1746</v>
      </c>
      <c r="G1358" s="52"/>
      <c r="H1358" s="55"/>
      <c r="I1358" s="56"/>
    </row>
    <row r="1359" spans="2:9" ht="27" x14ac:dyDescent="0.2">
      <c r="B1359" s="57" t="str">
        <f t="shared" si="24"/>
        <v>2019-031-5</v>
      </c>
      <c r="C1359" s="58">
        <v>2019</v>
      </c>
      <c r="D1359" s="58" t="s">
        <v>9</v>
      </c>
      <c r="E1359" s="58">
        <v>5</v>
      </c>
      <c r="F1359" s="59" t="s">
        <v>471</v>
      </c>
      <c r="G1359" s="58"/>
      <c r="H1359" s="60"/>
      <c r="I1359" s="61"/>
    </row>
    <row r="1360" spans="2:9" x14ac:dyDescent="0.2">
      <c r="B1360" s="62" t="str">
        <f t="shared" si="24"/>
        <v>2019-032-0</v>
      </c>
      <c r="C1360" s="63">
        <v>2019</v>
      </c>
      <c r="D1360" s="63" t="s">
        <v>10</v>
      </c>
      <c r="E1360" s="63">
        <v>0</v>
      </c>
      <c r="F1360" s="64" t="s">
        <v>119</v>
      </c>
      <c r="G1360" s="63"/>
      <c r="H1360" s="65"/>
      <c r="I1360" s="66"/>
    </row>
    <row r="1361" spans="2:9" x14ac:dyDescent="0.2">
      <c r="B1361" s="51" t="str">
        <f t="shared" si="24"/>
        <v>2019-032-1</v>
      </c>
      <c r="C1361" s="52">
        <v>2019</v>
      </c>
      <c r="D1361" s="52" t="s">
        <v>10</v>
      </c>
      <c r="E1361" s="52">
        <v>1</v>
      </c>
      <c r="F1361" s="54" t="s">
        <v>599</v>
      </c>
      <c r="G1361" s="52"/>
      <c r="H1361" s="55"/>
      <c r="I1361" s="56"/>
    </row>
    <row r="1362" spans="2:9" ht="27" x14ac:dyDescent="0.2">
      <c r="B1362" s="51" t="str">
        <f t="shared" si="24"/>
        <v>2019-032-2</v>
      </c>
      <c r="C1362" s="52">
        <v>2019</v>
      </c>
      <c r="D1362" s="52" t="s">
        <v>10</v>
      </c>
      <c r="E1362" s="52">
        <v>2</v>
      </c>
      <c r="F1362" s="54" t="s">
        <v>991</v>
      </c>
      <c r="G1362" s="52"/>
      <c r="H1362" s="55"/>
      <c r="I1362" s="56"/>
    </row>
    <row r="1363" spans="2:9" x14ac:dyDescent="0.2">
      <c r="B1363" s="51" t="str">
        <f t="shared" si="24"/>
        <v>2019-032-3</v>
      </c>
      <c r="C1363" s="52">
        <v>2019</v>
      </c>
      <c r="D1363" s="52" t="s">
        <v>10</v>
      </c>
      <c r="E1363" s="52">
        <v>3</v>
      </c>
      <c r="F1363" s="54" t="s">
        <v>970</v>
      </c>
      <c r="G1363" s="52"/>
      <c r="H1363" s="55"/>
      <c r="I1363" s="56"/>
    </row>
    <row r="1364" spans="2:9" ht="27" x14ac:dyDescent="0.2">
      <c r="B1364" s="51" t="str">
        <f t="shared" si="24"/>
        <v>2019-032-4</v>
      </c>
      <c r="C1364" s="52">
        <v>2019</v>
      </c>
      <c r="D1364" s="52" t="s">
        <v>10</v>
      </c>
      <c r="E1364" s="52">
        <v>4</v>
      </c>
      <c r="F1364" s="54" t="s">
        <v>1747</v>
      </c>
      <c r="G1364" s="52" t="s">
        <v>3391</v>
      </c>
      <c r="H1364" s="55"/>
      <c r="I1364" s="56"/>
    </row>
    <row r="1365" spans="2:9" ht="27" x14ac:dyDescent="0.2">
      <c r="B1365" s="57" t="str">
        <f t="shared" si="24"/>
        <v>2019-032-5</v>
      </c>
      <c r="C1365" s="58">
        <v>2019</v>
      </c>
      <c r="D1365" s="58" t="s">
        <v>10</v>
      </c>
      <c r="E1365" s="58">
        <v>5</v>
      </c>
      <c r="F1365" s="59" t="s">
        <v>2110</v>
      </c>
      <c r="G1365" s="58"/>
      <c r="H1365" s="60"/>
      <c r="I1365" s="61"/>
    </row>
    <row r="1366" spans="2:9" x14ac:dyDescent="0.2">
      <c r="B1366" s="62" t="str">
        <f t="shared" si="24"/>
        <v>2019-033-0</v>
      </c>
      <c r="C1366" s="63">
        <v>2019</v>
      </c>
      <c r="D1366" s="63" t="s">
        <v>11</v>
      </c>
      <c r="E1366" s="63">
        <v>0</v>
      </c>
      <c r="F1366" s="64" t="s">
        <v>237</v>
      </c>
      <c r="G1366" s="63"/>
      <c r="H1366" s="65"/>
      <c r="I1366" s="66"/>
    </row>
    <row r="1367" spans="2:9" x14ac:dyDescent="0.2">
      <c r="B1367" s="51" t="str">
        <f t="shared" si="24"/>
        <v>2019-033-1</v>
      </c>
      <c r="C1367" s="52">
        <v>2019</v>
      </c>
      <c r="D1367" s="52" t="s">
        <v>11</v>
      </c>
      <c r="E1367" s="52">
        <v>1</v>
      </c>
      <c r="F1367" s="54" t="s">
        <v>600</v>
      </c>
      <c r="G1367" s="52"/>
      <c r="H1367" s="55"/>
      <c r="I1367" s="56"/>
    </row>
    <row r="1368" spans="2:9" ht="27" x14ac:dyDescent="0.2">
      <c r="B1368" s="51" t="str">
        <f t="shared" si="24"/>
        <v>2019-033-2</v>
      </c>
      <c r="C1368" s="52">
        <v>2019</v>
      </c>
      <c r="D1368" s="52" t="s">
        <v>11</v>
      </c>
      <c r="E1368" s="52">
        <v>2</v>
      </c>
      <c r="F1368" s="54" t="s">
        <v>992</v>
      </c>
      <c r="G1368" s="52"/>
      <c r="H1368" s="55"/>
      <c r="I1368" s="56"/>
    </row>
    <row r="1369" spans="2:9" x14ac:dyDescent="0.2">
      <c r="B1369" s="51" t="str">
        <f t="shared" si="24"/>
        <v>2019-033-3</v>
      </c>
      <c r="C1369" s="52">
        <v>2019</v>
      </c>
      <c r="D1369" s="52" t="s">
        <v>11</v>
      </c>
      <c r="E1369" s="52">
        <v>3</v>
      </c>
      <c r="F1369" s="54" t="s">
        <v>1377</v>
      </c>
      <c r="G1369" s="52" t="s">
        <v>3391</v>
      </c>
      <c r="H1369" s="55"/>
      <c r="I1369" s="56"/>
    </row>
    <row r="1370" spans="2:9" ht="27" x14ac:dyDescent="0.2">
      <c r="B1370" s="51" t="str">
        <f t="shared" si="24"/>
        <v>2019-033-4</v>
      </c>
      <c r="C1370" s="52">
        <v>2019</v>
      </c>
      <c r="D1370" s="52" t="s">
        <v>11</v>
      </c>
      <c r="E1370" s="52">
        <v>4</v>
      </c>
      <c r="F1370" s="54" t="s">
        <v>1748</v>
      </c>
      <c r="G1370" s="52"/>
      <c r="H1370" s="55"/>
      <c r="I1370" s="56"/>
    </row>
    <row r="1371" spans="2:9" ht="27" x14ac:dyDescent="0.2">
      <c r="B1371" s="57" t="str">
        <f t="shared" si="24"/>
        <v>2019-033-5</v>
      </c>
      <c r="C1371" s="58">
        <v>2019</v>
      </c>
      <c r="D1371" s="58" t="s">
        <v>11</v>
      </c>
      <c r="E1371" s="58">
        <v>5</v>
      </c>
      <c r="F1371" s="59" t="s">
        <v>2111</v>
      </c>
      <c r="G1371" s="58"/>
      <c r="H1371" s="60"/>
      <c r="I1371" s="61"/>
    </row>
    <row r="1372" spans="2:9" x14ac:dyDescent="0.2">
      <c r="B1372" s="62" t="str">
        <f t="shared" si="24"/>
        <v>2019-034-0</v>
      </c>
      <c r="C1372" s="63">
        <v>2019</v>
      </c>
      <c r="D1372" s="63" t="s">
        <v>12</v>
      </c>
      <c r="E1372" s="63">
        <v>0</v>
      </c>
      <c r="F1372" s="64" t="s">
        <v>238</v>
      </c>
      <c r="G1372" s="63"/>
      <c r="H1372" s="65"/>
      <c r="I1372" s="66"/>
    </row>
    <row r="1373" spans="2:9" x14ac:dyDescent="0.2">
      <c r="B1373" s="51" t="str">
        <f t="shared" si="24"/>
        <v>2019-034-1</v>
      </c>
      <c r="C1373" s="52">
        <v>2019</v>
      </c>
      <c r="D1373" s="52" t="s">
        <v>12</v>
      </c>
      <c r="E1373" s="52">
        <v>1</v>
      </c>
      <c r="F1373" s="54" t="s">
        <v>601</v>
      </c>
      <c r="G1373" s="52"/>
      <c r="H1373" s="55"/>
      <c r="I1373" s="56"/>
    </row>
    <row r="1374" spans="2:9" ht="27" x14ac:dyDescent="0.2">
      <c r="B1374" s="51" t="str">
        <f t="shared" si="24"/>
        <v>2019-034-2</v>
      </c>
      <c r="C1374" s="52">
        <v>2019</v>
      </c>
      <c r="D1374" s="52" t="s">
        <v>12</v>
      </c>
      <c r="E1374" s="52">
        <v>2</v>
      </c>
      <c r="F1374" s="54" t="s">
        <v>993</v>
      </c>
      <c r="G1374" s="52" t="s">
        <v>3391</v>
      </c>
      <c r="H1374" s="55"/>
      <c r="I1374" s="56"/>
    </row>
    <row r="1375" spans="2:9" x14ac:dyDescent="0.2">
      <c r="B1375" s="51" t="str">
        <f t="shared" si="24"/>
        <v>2019-034-3</v>
      </c>
      <c r="C1375" s="52">
        <v>2019</v>
      </c>
      <c r="D1375" s="52" t="s">
        <v>12</v>
      </c>
      <c r="E1375" s="52">
        <v>3</v>
      </c>
      <c r="F1375" s="54" t="s">
        <v>1378</v>
      </c>
      <c r="G1375" s="52"/>
      <c r="H1375" s="55"/>
      <c r="I1375" s="56"/>
    </row>
    <row r="1376" spans="2:9" x14ac:dyDescent="0.2">
      <c r="B1376" s="51" t="str">
        <f t="shared" si="24"/>
        <v>2019-034-4</v>
      </c>
      <c r="C1376" s="52">
        <v>2019</v>
      </c>
      <c r="D1376" s="52" t="s">
        <v>12</v>
      </c>
      <c r="E1376" s="52">
        <v>4</v>
      </c>
      <c r="F1376" s="54" t="s">
        <v>1749</v>
      </c>
      <c r="G1376" s="52"/>
      <c r="H1376" s="55"/>
      <c r="I1376" s="56"/>
    </row>
    <row r="1377" spans="2:9" ht="27" x14ac:dyDescent="0.2">
      <c r="B1377" s="57" t="str">
        <f t="shared" si="24"/>
        <v>2019-034-5</v>
      </c>
      <c r="C1377" s="58">
        <v>2019</v>
      </c>
      <c r="D1377" s="58" t="s">
        <v>12</v>
      </c>
      <c r="E1377" s="58">
        <v>5</v>
      </c>
      <c r="F1377" s="59" t="s">
        <v>2112</v>
      </c>
      <c r="G1377" s="58"/>
      <c r="H1377" s="60"/>
      <c r="I1377" s="61"/>
    </row>
    <row r="1378" spans="2:9" x14ac:dyDescent="0.2">
      <c r="B1378" s="62" t="str">
        <f t="shared" si="24"/>
        <v>2019-035-0</v>
      </c>
      <c r="C1378" s="63">
        <v>2019</v>
      </c>
      <c r="D1378" s="63" t="s">
        <v>13</v>
      </c>
      <c r="E1378" s="63">
        <v>0</v>
      </c>
      <c r="F1378" s="64" t="s">
        <v>239</v>
      </c>
      <c r="G1378" s="63"/>
      <c r="H1378" s="65"/>
      <c r="I1378" s="66"/>
    </row>
    <row r="1379" spans="2:9" x14ac:dyDescent="0.2">
      <c r="B1379" s="51" t="str">
        <f t="shared" si="24"/>
        <v>2019-035-1</v>
      </c>
      <c r="C1379" s="52">
        <v>2019</v>
      </c>
      <c r="D1379" s="52" t="s">
        <v>13</v>
      </c>
      <c r="E1379" s="52">
        <v>1</v>
      </c>
      <c r="F1379" s="54" t="s">
        <v>602</v>
      </c>
      <c r="G1379" s="52"/>
      <c r="H1379" s="55"/>
      <c r="I1379" s="56"/>
    </row>
    <row r="1380" spans="2:9" ht="27" x14ac:dyDescent="0.2">
      <c r="B1380" s="51" t="str">
        <f t="shared" si="24"/>
        <v>2019-035-2</v>
      </c>
      <c r="C1380" s="52">
        <v>2019</v>
      </c>
      <c r="D1380" s="52" t="s">
        <v>13</v>
      </c>
      <c r="E1380" s="52">
        <v>2</v>
      </c>
      <c r="F1380" s="54" t="s">
        <v>994</v>
      </c>
      <c r="G1380" s="52" t="s">
        <v>3391</v>
      </c>
      <c r="H1380" s="55"/>
      <c r="I1380" s="56"/>
    </row>
    <row r="1381" spans="2:9" x14ac:dyDescent="0.2">
      <c r="B1381" s="51" t="str">
        <f t="shared" si="24"/>
        <v>2019-035-3</v>
      </c>
      <c r="C1381" s="52">
        <v>2019</v>
      </c>
      <c r="D1381" s="52" t="s">
        <v>13</v>
      </c>
      <c r="E1381" s="52">
        <v>3</v>
      </c>
      <c r="F1381" s="54" t="s">
        <v>1379</v>
      </c>
      <c r="G1381" s="52"/>
      <c r="H1381" s="55"/>
      <c r="I1381" s="56"/>
    </row>
    <row r="1382" spans="2:9" ht="27" x14ac:dyDescent="0.2">
      <c r="B1382" s="51" t="str">
        <f t="shared" si="24"/>
        <v>2019-035-4</v>
      </c>
      <c r="C1382" s="52">
        <v>2019</v>
      </c>
      <c r="D1382" s="52" t="s">
        <v>13</v>
      </c>
      <c r="E1382" s="52">
        <v>4</v>
      </c>
      <c r="F1382" s="54" t="s">
        <v>1750</v>
      </c>
      <c r="G1382" s="52"/>
      <c r="H1382" s="55"/>
      <c r="I1382" s="56"/>
    </row>
    <row r="1383" spans="2:9" x14ac:dyDescent="0.2">
      <c r="B1383" s="57" t="str">
        <f t="shared" si="24"/>
        <v>2019-035-5</v>
      </c>
      <c r="C1383" s="58">
        <v>2019</v>
      </c>
      <c r="D1383" s="58" t="s">
        <v>13</v>
      </c>
      <c r="E1383" s="58">
        <v>5</v>
      </c>
      <c r="F1383" s="59" t="s">
        <v>2113</v>
      </c>
      <c r="G1383" s="58"/>
      <c r="H1383" s="60"/>
      <c r="I1383" s="61"/>
    </row>
    <row r="1384" spans="2:9" x14ac:dyDescent="0.2">
      <c r="B1384" s="62" t="str">
        <f t="shared" si="24"/>
        <v>2019-036-0</v>
      </c>
      <c r="C1384" s="63">
        <v>2019</v>
      </c>
      <c r="D1384" s="63" t="s">
        <v>14</v>
      </c>
      <c r="E1384" s="63">
        <v>0</v>
      </c>
      <c r="F1384" s="64" t="s">
        <v>240</v>
      </c>
      <c r="G1384" s="63"/>
      <c r="H1384" s="65"/>
      <c r="I1384" s="66"/>
    </row>
    <row r="1385" spans="2:9" ht="27" x14ac:dyDescent="0.2">
      <c r="B1385" s="51" t="str">
        <f t="shared" si="24"/>
        <v>2019-036-1</v>
      </c>
      <c r="C1385" s="52">
        <v>2019</v>
      </c>
      <c r="D1385" s="52" t="s">
        <v>14</v>
      </c>
      <c r="E1385" s="52">
        <v>1</v>
      </c>
      <c r="F1385" s="54" t="s">
        <v>603</v>
      </c>
      <c r="G1385" s="52"/>
      <c r="H1385" s="55"/>
      <c r="I1385" s="56"/>
    </row>
    <row r="1386" spans="2:9" ht="27" x14ac:dyDescent="0.2">
      <c r="B1386" s="51" t="str">
        <f t="shared" si="24"/>
        <v>2019-036-2</v>
      </c>
      <c r="C1386" s="52">
        <v>2019</v>
      </c>
      <c r="D1386" s="52" t="s">
        <v>14</v>
      </c>
      <c r="E1386" s="52">
        <v>2</v>
      </c>
      <c r="F1386" s="54" t="s">
        <v>995</v>
      </c>
      <c r="G1386" s="52"/>
      <c r="H1386" s="55"/>
      <c r="I1386" s="56"/>
    </row>
    <row r="1387" spans="2:9" ht="27" x14ac:dyDescent="0.2">
      <c r="B1387" s="51" t="str">
        <f t="shared" si="24"/>
        <v>2019-036-3</v>
      </c>
      <c r="C1387" s="52">
        <v>2019</v>
      </c>
      <c r="D1387" s="52" t="s">
        <v>14</v>
      </c>
      <c r="E1387" s="52">
        <v>3</v>
      </c>
      <c r="F1387" s="54" t="s">
        <v>1380</v>
      </c>
      <c r="G1387" s="52"/>
      <c r="H1387" s="55"/>
      <c r="I1387" s="56"/>
    </row>
    <row r="1388" spans="2:9" ht="27" x14ac:dyDescent="0.2">
      <c r="B1388" s="51" t="str">
        <f t="shared" si="24"/>
        <v>2019-036-4</v>
      </c>
      <c r="C1388" s="52">
        <v>2019</v>
      </c>
      <c r="D1388" s="52" t="s">
        <v>14</v>
      </c>
      <c r="E1388" s="52">
        <v>4</v>
      </c>
      <c r="F1388" s="54" t="s">
        <v>1751</v>
      </c>
      <c r="G1388" s="52"/>
      <c r="H1388" s="55"/>
      <c r="I1388" s="56"/>
    </row>
    <row r="1389" spans="2:9" ht="40.5" x14ac:dyDescent="0.2">
      <c r="B1389" s="57" t="str">
        <f t="shared" si="24"/>
        <v>2019-036-5</v>
      </c>
      <c r="C1389" s="58">
        <v>2019</v>
      </c>
      <c r="D1389" s="58" t="s">
        <v>14</v>
      </c>
      <c r="E1389" s="58">
        <v>5</v>
      </c>
      <c r="F1389" s="59" t="s">
        <v>2114</v>
      </c>
      <c r="G1389" s="58" t="s">
        <v>3391</v>
      </c>
      <c r="H1389" s="60"/>
      <c r="I1389" s="61"/>
    </row>
    <row r="1390" spans="2:9" x14ac:dyDescent="0.2">
      <c r="B1390" s="62" t="str">
        <f t="shared" si="24"/>
        <v>2019-037-0</v>
      </c>
      <c r="C1390" s="63">
        <v>2019</v>
      </c>
      <c r="D1390" s="63" t="s">
        <v>15</v>
      </c>
      <c r="E1390" s="63">
        <v>0</v>
      </c>
      <c r="F1390" s="64" t="s">
        <v>241</v>
      </c>
      <c r="G1390" s="63"/>
      <c r="H1390" s="65"/>
      <c r="I1390" s="66"/>
    </row>
    <row r="1391" spans="2:9" x14ac:dyDescent="0.2">
      <c r="B1391" s="51" t="str">
        <f t="shared" si="24"/>
        <v>2019-037-1</v>
      </c>
      <c r="C1391" s="52">
        <v>2019</v>
      </c>
      <c r="D1391" s="52" t="s">
        <v>15</v>
      </c>
      <c r="E1391" s="52">
        <v>1</v>
      </c>
      <c r="F1391" s="54" t="s">
        <v>580</v>
      </c>
      <c r="G1391" s="52"/>
      <c r="H1391" s="55"/>
      <c r="I1391" s="56"/>
    </row>
    <row r="1392" spans="2:9" x14ac:dyDescent="0.2">
      <c r="B1392" s="51" t="str">
        <f t="shared" si="24"/>
        <v>2019-037-2</v>
      </c>
      <c r="C1392" s="52">
        <v>2019</v>
      </c>
      <c r="D1392" s="52" t="s">
        <v>15</v>
      </c>
      <c r="E1392" s="52">
        <v>2</v>
      </c>
      <c r="F1392" s="54" t="s">
        <v>996</v>
      </c>
      <c r="G1392" s="52"/>
      <c r="H1392" s="55"/>
      <c r="I1392" s="56"/>
    </row>
    <row r="1393" spans="2:9" x14ac:dyDescent="0.2">
      <c r="B1393" s="51" t="str">
        <f t="shared" si="24"/>
        <v>2019-037-3</v>
      </c>
      <c r="C1393" s="52">
        <v>2019</v>
      </c>
      <c r="D1393" s="52" t="s">
        <v>15</v>
      </c>
      <c r="E1393" s="52">
        <v>3</v>
      </c>
      <c r="F1393" s="54" t="s">
        <v>532</v>
      </c>
      <c r="G1393" s="52"/>
      <c r="H1393" s="55"/>
      <c r="I1393" s="56"/>
    </row>
    <row r="1394" spans="2:9" ht="40.5" x14ac:dyDescent="0.2">
      <c r="B1394" s="51" t="str">
        <f t="shared" si="24"/>
        <v>2019-037-4</v>
      </c>
      <c r="C1394" s="52">
        <v>2019</v>
      </c>
      <c r="D1394" s="52" t="s">
        <v>15</v>
      </c>
      <c r="E1394" s="52">
        <v>4</v>
      </c>
      <c r="F1394" s="54" t="s">
        <v>1752</v>
      </c>
      <c r="G1394" s="52"/>
      <c r="H1394" s="55"/>
      <c r="I1394" s="56"/>
    </row>
    <row r="1395" spans="2:9" ht="27" x14ac:dyDescent="0.2">
      <c r="B1395" s="57" t="str">
        <f t="shared" si="24"/>
        <v>2019-037-5</v>
      </c>
      <c r="C1395" s="58">
        <v>2019</v>
      </c>
      <c r="D1395" s="58" t="s">
        <v>15</v>
      </c>
      <c r="E1395" s="58">
        <v>5</v>
      </c>
      <c r="F1395" s="59" t="s">
        <v>2115</v>
      </c>
      <c r="G1395" s="58" t="s">
        <v>3391</v>
      </c>
      <c r="H1395" s="60"/>
      <c r="I1395" s="61"/>
    </row>
    <row r="1396" spans="2:9" x14ac:dyDescent="0.2">
      <c r="B1396" s="62" t="str">
        <f t="shared" si="24"/>
        <v>2019-038-0</v>
      </c>
      <c r="C1396" s="63">
        <v>2019</v>
      </c>
      <c r="D1396" s="63" t="s">
        <v>16</v>
      </c>
      <c r="E1396" s="63">
        <v>0</v>
      </c>
      <c r="F1396" s="64" t="s">
        <v>242</v>
      </c>
      <c r="G1396" s="63"/>
      <c r="H1396" s="65"/>
      <c r="I1396" s="66"/>
    </row>
    <row r="1397" spans="2:9" x14ac:dyDescent="0.2">
      <c r="B1397" s="51" t="str">
        <f t="shared" si="24"/>
        <v>2019-038-1</v>
      </c>
      <c r="C1397" s="52">
        <v>2019</v>
      </c>
      <c r="D1397" s="52" t="s">
        <v>16</v>
      </c>
      <c r="E1397" s="52">
        <v>1</v>
      </c>
      <c r="F1397" s="54" t="s">
        <v>604</v>
      </c>
      <c r="G1397" s="52"/>
      <c r="H1397" s="55"/>
      <c r="I1397" s="56"/>
    </row>
    <row r="1398" spans="2:9" x14ac:dyDescent="0.2">
      <c r="B1398" s="51" t="str">
        <f t="shared" si="24"/>
        <v>2019-038-2</v>
      </c>
      <c r="C1398" s="52">
        <v>2019</v>
      </c>
      <c r="D1398" s="52" t="s">
        <v>16</v>
      </c>
      <c r="E1398" s="52">
        <v>2</v>
      </c>
      <c r="F1398" s="54" t="s">
        <v>997</v>
      </c>
      <c r="G1398" s="52"/>
      <c r="H1398" s="55"/>
      <c r="I1398" s="56"/>
    </row>
    <row r="1399" spans="2:9" x14ac:dyDescent="0.2">
      <c r="B1399" s="51" t="str">
        <f t="shared" si="24"/>
        <v>2019-038-3</v>
      </c>
      <c r="C1399" s="52">
        <v>2019</v>
      </c>
      <c r="D1399" s="52" t="s">
        <v>16</v>
      </c>
      <c r="E1399" s="52">
        <v>3</v>
      </c>
      <c r="F1399" s="54" t="s">
        <v>829</v>
      </c>
      <c r="G1399" s="52"/>
      <c r="H1399" s="55"/>
      <c r="I1399" s="56"/>
    </row>
    <row r="1400" spans="2:9" x14ac:dyDescent="0.2">
      <c r="B1400" s="51" t="str">
        <f t="shared" si="24"/>
        <v>2019-038-4</v>
      </c>
      <c r="C1400" s="52">
        <v>2019</v>
      </c>
      <c r="D1400" s="52" t="s">
        <v>16</v>
      </c>
      <c r="E1400" s="52">
        <v>4</v>
      </c>
      <c r="F1400" s="54" t="s">
        <v>1753</v>
      </c>
      <c r="G1400" s="52" t="s">
        <v>3391</v>
      </c>
      <c r="H1400" s="55"/>
      <c r="I1400" s="56"/>
    </row>
    <row r="1401" spans="2:9" x14ac:dyDescent="0.2">
      <c r="B1401" s="57" t="str">
        <f t="shared" si="24"/>
        <v>2019-038-5</v>
      </c>
      <c r="C1401" s="58">
        <v>2019</v>
      </c>
      <c r="D1401" s="58" t="s">
        <v>16</v>
      </c>
      <c r="E1401" s="58">
        <v>5</v>
      </c>
      <c r="F1401" s="59" t="s">
        <v>1145</v>
      </c>
      <c r="G1401" s="58"/>
      <c r="H1401" s="60"/>
      <c r="I1401" s="61"/>
    </row>
    <row r="1402" spans="2:9" x14ac:dyDescent="0.2">
      <c r="B1402" s="62" t="str">
        <f t="shared" si="24"/>
        <v>2019-039-0</v>
      </c>
      <c r="C1402" s="63">
        <v>2019</v>
      </c>
      <c r="D1402" s="63" t="s">
        <v>17</v>
      </c>
      <c r="E1402" s="63">
        <v>0</v>
      </c>
      <c r="F1402" s="64" t="s">
        <v>243</v>
      </c>
      <c r="G1402" s="63"/>
      <c r="H1402" s="65"/>
      <c r="I1402" s="66"/>
    </row>
    <row r="1403" spans="2:9" x14ac:dyDescent="0.2">
      <c r="B1403" s="51" t="str">
        <f t="shared" si="24"/>
        <v>2019-039-1</v>
      </c>
      <c r="C1403" s="52">
        <v>2019</v>
      </c>
      <c r="D1403" s="52" t="s">
        <v>17</v>
      </c>
      <c r="E1403" s="52">
        <v>1</v>
      </c>
      <c r="F1403" s="54" t="s">
        <v>605</v>
      </c>
      <c r="G1403" s="52"/>
      <c r="H1403" s="55"/>
      <c r="I1403" s="56"/>
    </row>
    <row r="1404" spans="2:9" ht="27" x14ac:dyDescent="0.2">
      <c r="B1404" s="51" t="str">
        <f t="shared" si="24"/>
        <v>2019-039-2</v>
      </c>
      <c r="C1404" s="52">
        <v>2019</v>
      </c>
      <c r="D1404" s="52" t="s">
        <v>17</v>
      </c>
      <c r="E1404" s="52">
        <v>2</v>
      </c>
      <c r="F1404" s="54" t="s">
        <v>998</v>
      </c>
      <c r="G1404" s="52"/>
      <c r="H1404" s="55"/>
      <c r="I1404" s="56"/>
    </row>
    <row r="1405" spans="2:9" ht="27" x14ac:dyDescent="0.2">
      <c r="B1405" s="51" t="str">
        <f t="shared" ref="B1405:B1468" si="25">C1405&amp;"-"&amp;D1405&amp;"-"&amp;E1405</f>
        <v>2019-039-3</v>
      </c>
      <c r="C1405" s="52">
        <v>2019</v>
      </c>
      <c r="D1405" s="52" t="s">
        <v>17</v>
      </c>
      <c r="E1405" s="52">
        <v>3</v>
      </c>
      <c r="F1405" s="54" t="s">
        <v>1381</v>
      </c>
      <c r="G1405" s="52" t="s">
        <v>3391</v>
      </c>
      <c r="H1405" s="55"/>
      <c r="I1405" s="56"/>
    </row>
    <row r="1406" spans="2:9" x14ac:dyDescent="0.2">
      <c r="B1406" s="51" t="str">
        <f t="shared" si="25"/>
        <v>2019-039-4</v>
      </c>
      <c r="C1406" s="52">
        <v>2019</v>
      </c>
      <c r="D1406" s="52" t="s">
        <v>17</v>
      </c>
      <c r="E1406" s="52">
        <v>4</v>
      </c>
      <c r="F1406" s="54" t="s">
        <v>1754</v>
      </c>
      <c r="G1406" s="52"/>
      <c r="H1406" s="55"/>
      <c r="I1406" s="56"/>
    </row>
    <row r="1407" spans="2:9" x14ac:dyDescent="0.2">
      <c r="B1407" s="57" t="str">
        <f t="shared" si="25"/>
        <v>2019-039-5</v>
      </c>
      <c r="C1407" s="58">
        <v>2019</v>
      </c>
      <c r="D1407" s="58" t="s">
        <v>17</v>
      </c>
      <c r="E1407" s="58">
        <v>5</v>
      </c>
      <c r="F1407" s="59" t="s">
        <v>2116</v>
      </c>
      <c r="G1407" s="58"/>
      <c r="H1407" s="60"/>
      <c r="I1407" s="61"/>
    </row>
    <row r="1408" spans="2:9" x14ac:dyDescent="0.2">
      <c r="B1408" s="62" t="str">
        <f t="shared" si="25"/>
        <v>2019-040-0</v>
      </c>
      <c r="C1408" s="63">
        <v>2019</v>
      </c>
      <c r="D1408" s="63" t="s">
        <v>18</v>
      </c>
      <c r="E1408" s="63">
        <v>0</v>
      </c>
      <c r="F1408" s="64" t="s">
        <v>244</v>
      </c>
      <c r="G1408" s="63"/>
      <c r="H1408" s="65"/>
      <c r="I1408" s="66"/>
    </row>
    <row r="1409" spans="2:9" x14ac:dyDescent="0.2">
      <c r="B1409" s="51" t="str">
        <f t="shared" si="25"/>
        <v>2019-040-1</v>
      </c>
      <c r="C1409" s="52">
        <v>2019</v>
      </c>
      <c r="D1409" s="52" t="s">
        <v>18</v>
      </c>
      <c r="E1409" s="52">
        <v>1</v>
      </c>
      <c r="F1409" s="54" t="s">
        <v>606</v>
      </c>
      <c r="G1409" s="52" t="s">
        <v>3391</v>
      </c>
      <c r="H1409" s="55"/>
      <c r="I1409" s="56"/>
    </row>
    <row r="1410" spans="2:9" x14ac:dyDescent="0.2">
      <c r="B1410" s="51" t="str">
        <f t="shared" si="25"/>
        <v>2019-040-2</v>
      </c>
      <c r="C1410" s="52">
        <v>2019</v>
      </c>
      <c r="D1410" s="52" t="s">
        <v>18</v>
      </c>
      <c r="E1410" s="52">
        <v>2</v>
      </c>
      <c r="F1410" s="54" t="s">
        <v>999</v>
      </c>
      <c r="G1410" s="52"/>
      <c r="H1410" s="55"/>
      <c r="I1410" s="56"/>
    </row>
    <row r="1411" spans="2:9" ht="27" x14ac:dyDescent="0.2">
      <c r="B1411" s="51" t="str">
        <f t="shared" si="25"/>
        <v>2019-040-3</v>
      </c>
      <c r="C1411" s="52">
        <v>2019</v>
      </c>
      <c r="D1411" s="52" t="s">
        <v>18</v>
      </c>
      <c r="E1411" s="52">
        <v>3</v>
      </c>
      <c r="F1411" s="54" t="s">
        <v>1382</v>
      </c>
      <c r="G1411" s="52"/>
      <c r="H1411" s="55"/>
      <c r="I1411" s="56"/>
    </row>
    <row r="1412" spans="2:9" x14ac:dyDescent="0.2">
      <c r="B1412" s="51" t="str">
        <f t="shared" si="25"/>
        <v>2019-040-4</v>
      </c>
      <c r="C1412" s="52">
        <v>2019</v>
      </c>
      <c r="D1412" s="52" t="s">
        <v>18</v>
      </c>
      <c r="E1412" s="52">
        <v>4</v>
      </c>
      <c r="F1412" s="54" t="s">
        <v>1755</v>
      </c>
      <c r="G1412" s="52"/>
      <c r="H1412" s="55"/>
      <c r="I1412" s="56"/>
    </row>
    <row r="1413" spans="2:9" ht="27" x14ac:dyDescent="0.2">
      <c r="B1413" s="57" t="str">
        <f t="shared" si="25"/>
        <v>2019-040-5</v>
      </c>
      <c r="C1413" s="58">
        <v>2019</v>
      </c>
      <c r="D1413" s="58" t="s">
        <v>18</v>
      </c>
      <c r="E1413" s="58">
        <v>5</v>
      </c>
      <c r="F1413" s="59" t="s">
        <v>2117</v>
      </c>
      <c r="G1413" s="58"/>
      <c r="H1413" s="60"/>
      <c r="I1413" s="61"/>
    </row>
    <row r="1414" spans="2:9" x14ac:dyDescent="0.2">
      <c r="B1414" s="62" t="str">
        <f t="shared" si="25"/>
        <v>2019-041-0</v>
      </c>
      <c r="C1414" s="63">
        <v>2019</v>
      </c>
      <c r="D1414" s="63" t="s">
        <v>72</v>
      </c>
      <c r="E1414" s="63">
        <v>0</v>
      </c>
      <c r="F1414" s="64" t="s">
        <v>245</v>
      </c>
      <c r="G1414" s="63"/>
      <c r="H1414" s="65"/>
      <c r="I1414" s="66"/>
    </row>
    <row r="1415" spans="2:9" x14ac:dyDescent="0.2">
      <c r="B1415" s="51" t="str">
        <f t="shared" si="25"/>
        <v>2019-041-1</v>
      </c>
      <c r="C1415" s="52">
        <v>2019</v>
      </c>
      <c r="D1415" s="52" t="s">
        <v>72</v>
      </c>
      <c r="E1415" s="52">
        <v>1</v>
      </c>
      <c r="F1415" s="54" t="s">
        <v>607</v>
      </c>
      <c r="G1415" s="52" t="s">
        <v>3391</v>
      </c>
      <c r="H1415" s="55"/>
      <c r="I1415" s="56"/>
    </row>
    <row r="1416" spans="2:9" x14ac:dyDescent="0.2">
      <c r="B1416" s="51" t="str">
        <f t="shared" si="25"/>
        <v>2019-041-2</v>
      </c>
      <c r="C1416" s="52">
        <v>2019</v>
      </c>
      <c r="D1416" s="52" t="s">
        <v>72</v>
      </c>
      <c r="E1416" s="52">
        <v>2</v>
      </c>
      <c r="F1416" s="54" t="s">
        <v>1000</v>
      </c>
      <c r="G1416" s="52"/>
      <c r="H1416" s="55"/>
      <c r="I1416" s="56"/>
    </row>
    <row r="1417" spans="2:9" ht="27" x14ac:dyDescent="0.2">
      <c r="B1417" s="51" t="str">
        <f t="shared" si="25"/>
        <v>2019-041-3</v>
      </c>
      <c r="C1417" s="52">
        <v>2019</v>
      </c>
      <c r="D1417" s="52" t="s">
        <v>72</v>
      </c>
      <c r="E1417" s="52">
        <v>3</v>
      </c>
      <c r="F1417" s="54" t="s">
        <v>1383</v>
      </c>
      <c r="G1417" s="52"/>
      <c r="H1417" s="55"/>
      <c r="I1417" s="56"/>
    </row>
    <row r="1418" spans="2:9" x14ac:dyDescent="0.2">
      <c r="B1418" s="51" t="str">
        <f t="shared" si="25"/>
        <v>2019-041-4</v>
      </c>
      <c r="C1418" s="52">
        <v>2019</v>
      </c>
      <c r="D1418" s="52" t="s">
        <v>72</v>
      </c>
      <c r="E1418" s="52">
        <v>4</v>
      </c>
      <c r="F1418" s="54" t="s">
        <v>1756</v>
      </c>
      <c r="G1418" s="52"/>
      <c r="H1418" s="55"/>
      <c r="I1418" s="56"/>
    </row>
    <row r="1419" spans="2:9" ht="27" x14ac:dyDescent="0.2">
      <c r="B1419" s="57" t="str">
        <f t="shared" si="25"/>
        <v>2019-041-5</v>
      </c>
      <c r="C1419" s="58">
        <v>2019</v>
      </c>
      <c r="D1419" s="58" t="s">
        <v>72</v>
      </c>
      <c r="E1419" s="58">
        <v>5</v>
      </c>
      <c r="F1419" s="59" t="s">
        <v>1857</v>
      </c>
      <c r="G1419" s="58"/>
      <c r="H1419" s="60"/>
      <c r="I1419" s="61"/>
    </row>
    <row r="1420" spans="2:9" x14ac:dyDescent="0.2">
      <c r="B1420" s="62" t="str">
        <f t="shared" si="25"/>
        <v>2019-042-0</v>
      </c>
      <c r="C1420" s="63">
        <v>2019</v>
      </c>
      <c r="D1420" s="63" t="s">
        <v>73</v>
      </c>
      <c r="E1420" s="63">
        <v>0</v>
      </c>
      <c r="F1420" s="64" t="s">
        <v>127</v>
      </c>
      <c r="G1420" s="63"/>
      <c r="H1420" s="65"/>
      <c r="I1420" s="66"/>
    </row>
    <row r="1421" spans="2:9" x14ac:dyDescent="0.2">
      <c r="B1421" s="51" t="str">
        <f t="shared" si="25"/>
        <v>2019-042-1</v>
      </c>
      <c r="C1421" s="52">
        <v>2019</v>
      </c>
      <c r="D1421" s="52" t="s">
        <v>73</v>
      </c>
      <c r="E1421" s="52">
        <v>1</v>
      </c>
      <c r="F1421" s="54" t="s">
        <v>608</v>
      </c>
      <c r="G1421" s="52"/>
      <c r="H1421" s="55"/>
      <c r="I1421" s="56"/>
    </row>
    <row r="1422" spans="2:9" ht="27" x14ac:dyDescent="0.2">
      <c r="B1422" s="51" t="str">
        <f t="shared" si="25"/>
        <v>2019-042-2</v>
      </c>
      <c r="C1422" s="52">
        <v>2019</v>
      </c>
      <c r="D1422" s="52" t="s">
        <v>73</v>
      </c>
      <c r="E1422" s="52">
        <v>2</v>
      </c>
      <c r="F1422" s="54" t="s">
        <v>1001</v>
      </c>
      <c r="G1422" s="52"/>
      <c r="H1422" s="55"/>
      <c r="I1422" s="56"/>
    </row>
    <row r="1423" spans="2:9" x14ac:dyDescent="0.2">
      <c r="B1423" s="51" t="str">
        <f t="shared" si="25"/>
        <v>2019-042-3</v>
      </c>
      <c r="C1423" s="52">
        <v>2019</v>
      </c>
      <c r="D1423" s="52" t="s">
        <v>73</v>
      </c>
      <c r="E1423" s="52">
        <v>3</v>
      </c>
      <c r="F1423" s="54" t="s">
        <v>1384</v>
      </c>
      <c r="G1423" s="52"/>
      <c r="H1423" s="55"/>
      <c r="I1423" s="56"/>
    </row>
    <row r="1424" spans="2:9" x14ac:dyDescent="0.2">
      <c r="B1424" s="51" t="str">
        <f t="shared" si="25"/>
        <v>2019-042-4</v>
      </c>
      <c r="C1424" s="52">
        <v>2019</v>
      </c>
      <c r="D1424" s="52" t="s">
        <v>73</v>
      </c>
      <c r="E1424" s="52">
        <v>4</v>
      </c>
      <c r="F1424" s="54" t="s">
        <v>909</v>
      </c>
      <c r="G1424" s="52"/>
      <c r="H1424" s="55"/>
      <c r="I1424" s="56"/>
    </row>
    <row r="1425" spans="2:9" ht="27" x14ac:dyDescent="0.2">
      <c r="B1425" s="57" t="str">
        <f t="shared" si="25"/>
        <v>2019-042-5</v>
      </c>
      <c r="C1425" s="58">
        <v>2019</v>
      </c>
      <c r="D1425" s="58" t="s">
        <v>73</v>
      </c>
      <c r="E1425" s="58">
        <v>5</v>
      </c>
      <c r="F1425" s="59" t="s">
        <v>2118</v>
      </c>
      <c r="G1425" s="58" t="s">
        <v>3391</v>
      </c>
      <c r="H1425" s="60"/>
      <c r="I1425" s="61"/>
    </row>
    <row r="1426" spans="2:9" x14ac:dyDescent="0.2">
      <c r="B1426" s="62" t="str">
        <f t="shared" si="25"/>
        <v>2019-043-0</v>
      </c>
      <c r="C1426" s="63">
        <v>2019</v>
      </c>
      <c r="D1426" s="63" t="s">
        <v>74</v>
      </c>
      <c r="E1426" s="63">
        <v>0</v>
      </c>
      <c r="F1426" s="64" t="s">
        <v>246</v>
      </c>
      <c r="G1426" s="63"/>
      <c r="H1426" s="65"/>
      <c r="I1426" s="66"/>
    </row>
    <row r="1427" spans="2:9" x14ac:dyDescent="0.2">
      <c r="B1427" s="51" t="str">
        <f t="shared" si="25"/>
        <v>2019-043-1</v>
      </c>
      <c r="C1427" s="52">
        <v>2019</v>
      </c>
      <c r="D1427" s="52" t="s">
        <v>74</v>
      </c>
      <c r="E1427" s="52">
        <v>1</v>
      </c>
      <c r="F1427" s="54" t="s">
        <v>609</v>
      </c>
      <c r="G1427" s="52"/>
      <c r="H1427" s="55"/>
      <c r="I1427" s="56"/>
    </row>
    <row r="1428" spans="2:9" ht="27" x14ac:dyDescent="0.2">
      <c r="B1428" s="51" t="str">
        <f t="shared" si="25"/>
        <v>2019-043-2</v>
      </c>
      <c r="C1428" s="52">
        <v>2019</v>
      </c>
      <c r="D1428" s="52" t="s">
        <v>74</v>
      </c>
      <c r="E1428" s="52">
        <v>2</v>
      </c>
      <c r="F1428" s="54" t="s">
        <v>1002</v>
      </c>
      <c r="G1428" s="52"/>
      <c r="H1428" s="55"/>
      <c r="I1428" s="56"/>
    </row>
    <row r="1429" spans="2:9" ht="27" x14ac:dyDescent="0.2">
      <c r="B1429" s="51" t="str">
        <f t="shared" si="25"/>
        <v>2019-043-3</v>
      </c>
      <c r="C1429" s="52">
        <v>2019</v>
      </c>
      <c r="D1429" s="52" t="s">
        <v>74</v>
      </c>
      <c r="E1429" s="52">
        <v>3</v>
      </c>
      <c r="F1429" s="54" t="s">
        <v>1385</v>
      </c>
      <c r="G1429" s="52"/>
      <c r="H1429" s="55"/>
      <c r="I1429" s="56"/>
    </row>
    <row r="1430" spans="2:9" x14ac:dyDescent="0.2">
      <c r="B1430" s="51" t="str">
        <f t="shared" si="25"/>
        <v>2019-043-4</v>
      </c>
      <c r="C1430" s="52">
        <v>2019</v>
      </c>
      <c r="D1430" s="52" t="s">
        <v>74</v>
      </c>
      <c r="E1430" s="52">
        <v>4</v>
      </c>
      <c r="F1430" s="54" t="s">
        <v>977</v>
      </c>
      <c r="G1430" s="52"/>
      <c r="H1430" s="55"/>
      <c r="I1430" s="56"/>
    </row>
    <row r="1431" spans="2:9" ht="27" x14ac:dyDescent="0.2">
      <c r="B1431" s="57" t="str">
        <f t="shared" si="25"/>
        <v>2019-043-5</v>
      </c>
      <c r="C1431" s="58">
        <v>2019</v>
      </c>
      <c r="D1431" s="58" t="s">
        <v>74</v>
      </c>
      <c r="E1431" s="58">
        <v>5</v>
      </c>
      <c r="F1431" s="59" t="s">
        <v>2119</v>
      </c>
      <c r="G1431" s="58" t="s">
        <v>3391</v>
      </c>
      <c r="H1431" s="60"/>
      <c r="I1431" s="61"/>
    </row>
    <row r="1432" spans="2:9" x14ac:dyDescent="0.2">
      <c r="B1432" s="62" t="str">
        <f t="shared" si="25"/>
        <v>2019-044-0</v>
      </c>
      <c r="C1432" s="63">
        <v>2019</v>
      </c>
      <c r="D1432" s="63" t="s">
        <v>75</v>
      </c>
      <c r="E1432" s="63">
        <v>0</v>
      </c>
      <c r="F1432" s="64" t="s">
        <v>247</v>
      </c>
      <c r="G1432" s="63"/>
      <c r="H1432" s="65"/>
      <c r="I1432" s="66"/>
    </row>
    <row r="1433" spans="2:9" ht="27" x14ac:dyDescent="0.2">
      <c r="B1433" s="51" t="str">
        <f t="shared" si="25"/>
        <v>2019-044-1</v>
      </c>
      <c r="C1433" s="52">
        <v>2019</v>
      </c>
      <c r="D1433" s="52" t="s">
        <v>75</v>
      </c>
      <c r="E1433" s="52">
        <v>1</v>
      </c>
      <c r="F1433" s="54" t="s">
        <v>610</v>
      </c>
      <c r="G1433" s="52"/>
      <c r="H1433" s="55"/>
      <c r="I1433" s="56"/>
    </row>
    <row r="1434" spans="2:9" ht="27" x14ac:dyDescent="0.2">
      <c r="B1434" s="51" t="str">
        <f t="shared" si="25"/>
        <v>2019-044-2</v>
      </c>
      <c r="C1434" s="52">
        <v>2019</v>
      </c>
      <c r="D1434" s="52" t="s">
        <v>75</v>
      </c>
      <c r="E1434" s="52">
        <v>2</v>
      </c>
      <c r="F1434" s="54" t="s">
        <v>1003</v>
      </c>
      <c r="G1434" s="52"/>
      <c r="H1434" s="55"/>
      <c r="I1434" s="56"/>
    </row>
    <row r="1435" spans="2:9" ht="27" x14ac:dyDescent="0.2">
      <c r="B1435" s="51" t="str">
        <f t="shared" si="25"/>
        <v>2019-044-3</v>
      </c>
      <c r="C1435" s="52">
        <v>2019</v>
      </c>
      <c r="D1435" s="52" t="s">
        <v>75</v>
      </c>
      <c r="E1435" s="52">
        <v>3</v>
      </c>
      <c r="F1435" s="54" t="s">
        <v>1386</v>
      </c>
      <c r="G1435" s="52" t="s">
        <v>3391</v>
      </c>
      <c r="H1435" s="55"/>
      <c r="I1435" s="56"/>
    </row>
    <row r="1436" spans="2:9" ht="27" x14ac:dyDescent="0.2">
      <c r="B1436" s="51" t="str">
        <f t="shared" si="25"/>
        <v>2019-044-4</v>
      </c>
      <c r="C1436" s="52">
        <v>2019</v>
      </c>
      <c r="D1436" s="52" t="s">
        <v>75</v>
      </c>
      <c r="E1436" s="52">
        <v>4</v>
      </c>
      <c r="F1436" s="54" t="s">
        <v>1757</v>
      </c>
      <c r="G1436" s="52"/>
      <c r="H1436" s="55"/>
      <c r="I1436" s="56"/>
    </row>
    <row r="1437" spans="2:9" ht="27" x14ac:dyDescent="0.2">
      <c r="B1437" s="57" t="str">
        <f t="shared" si="25"/>
        <v>2019-044-5</v>
      </c>
      <c r="C1437" s="58">
        <v>2019</v>
      </c>
      <c r="D1437" s="58" t="s">
        <v>75</v>
      </c>
      <c r="E1437" s="58">
        <v>5</v>
      </c>
      <c r="F1437" s="59" t="s">
        <v>2120</v>
      </c>
      <c r="G1437" s="58"/>
      <c r="H1437" s="60"/>
      <c r="I1437" s="61"/>
    </row>
    <row r="1438" spans="2:9" x14ac:dyDescent="0.2">
      <c r="B1438" s="62" t="str">
        <f t="shared" si="25"/>
        <v>2019-045-0</v>
      </c>
      <c r="C1438" s="63">
        <v>2019</v>
      </c>
      <c r="D1438" s="63" t="s">
        <v>76</v>
      </c>
      <c r="E1438" s="63">
        <v>0</v>
      </c>
      <c r="F1438" s="64" t="s">
        <v>248</v>
      </c>
      <c r="G1438" s="63"/>
      <c r="H1438" s="65"/>
      <c r="I1438" s="66"/>
    </row>
    <row r="1439" spans="2:9" x14ac:dyDescent="0.2">
      <c r="B1439" s="51" t="str">
        <f t="shared" si="25"/>
        <v>2019-045-1</v>
      </c>
      <c r="C1439" s="52">
        <v>2019</v>
      </c>
      <c r="D1439" s="52" t="s">
        <v>76</v>
      </c>
      <c r="E1439" s="52">
        <v>1</v>
      </c>
      <c r="F1439" s="54" t="s">
        <v>611</v>
      </c>
      <c r="G1439" s="52"/>
      <c r="H1439" s="55"/>
      <c r="I1439" s="56"/>
    </row>
    <row r="1440" spans="2:9" ht="27" x14ac:dyDescent="0.2">
      <c r="B1440" s="51" t="str">
        <f t="shared" si="25"/>
        <v>2019-045-2</v>
      </c>
      <c r="C1440" s="52">
        <v>2019</v>
      </c>
      <c r="D1440" s="52" t="s">
        <v>76</v>
      </c>
      <c r="E1440" s="52">
        <v>2</v>
      </c>
      <c r="F1440" s="54" t="s">
        <v>1004</v>
      </c>
      <c r="G1440" s="52"/>
      <c r="H1440" s="55"/>
      <c r="I1440" s="56"/>
    </row>
    <row r="1441" spans="2:9" ht="27" x14ac:dyDescent="0.2">
      <c r="B1441" s="51" t="str">
        <f t="shared" si="25"/>
        <v>2019-045-3</v>
      </c>
      <c r="C1441" s="52">
        <v>2019</v>
      </c>
      <c r="D1441" s="52" t="s">
        <v>76</v>
      </c>
      <c r="E1441" s="52">
        <v>3</v>
      </c>
      <c r="F1441" s="54" t="s">
        <v>1387</v>
      </c>
      <c r="G1441" s="52" t="s">
        <v>3391</v>
      </c>
      <c r="H1441" s="55"/>
      <c r="I1441" s="56"/>
    </row>
    <row r="1442" spans="2:9" ht="27" x14ac:dyDescent="0.2">
      <c r="B1442" s="51" t="str">
        <f t="shared" si="25"/>
        <v>2019-045-4</v>
      </c>
      <c r="C1442" s="52">
        <v>2019</v>
      </c>
      <c r="D1442" s="52" t="s">
        <v>76</v>
      </c>
      <c r="E1442" s="52">
        <v>4</v>
      </c>
      <c r="F1442" s="54" t="s">
        <v>1758</v>
      </c>
      <c r="G1442" s="52"/>
      <c r="H1442" s="55"/>
      <c r="I1442" s="56"/>
    </row>
    <row r="1443" spans="2:9" ht="40.5" x14ac:dyDescent="0.2">
      <c r="B1443" s="57" t="str">
        <f t="shared" si="25"/>
        <v>2019-045-5</v>
      </c>
      <c r="C1443" s="58">
        <v>2019</v>
      </c>
      <c r="D1443" s="58" t="s">
        <v>76</v>
      </c>
      <c r="E1443" s="58">
        <v>5</v>
      </c>
      <c r="F1443" s="59" t="s">
        <v>2121</v>
      </c>
      <c r="G1443" s="58"/>
      <c r="H1443" s="60"/>
      <c r="I1443" s="61"/>
    </row>
    <row r="1444" spans="2:9" x14ac:dyDescent="0.2">
      <c r="B1444" s="62" t="str">
        <f t="shared" si="25"/>
        <v>2019-046-0</v>
      </c>
      <c r="C1444" s="63">
        <v>2019</v>
      </c>
      <c r="D1444" s="63" t="s">
        <v>77</v>
      </c>
      <c r="E1444" s="63">
        <v>0</v>
      </c>
      <c r="F1444" s="64" t="s">
        <v>249</v>
      </c>
      <c r="G1444" s="63"/>
      <c r="H1444" s="65"/>
      <c r="I1444" s="66"/>
    </row>
    <row r="1445" spans="2:9" ht="27" x14ac:dyDescent="0.2">
      <c r="B1445" s="51" t="str">
        <f t="shared" si="25"/>
        <v>2019-046-1</v>
      </c>
      <c r="C1445" s="52">
        <v>2019</v>
      </c>
      <c r="D1445" s="52" t="s">
        <v>77</v>
      </c>
      <c r="E1445" s="52">
        <v>1</v>
      </c>
      <c r="F1445" s="54" t="s">
        <v>612</v>
      </c>
      <c r="G1445" s="52"/>
      <c r="H1445" s="55"/>
      <c r="I1445" s="56"/>
    </row>
    <row r="1446" spans="2:9" ht="27" x14ac:dyDescent="0.2">
      <c r="B1446" s="51" t="str">
        <f t="shared" si="25"/>
        <v>2019-046-2</v>
      </c>
      <c r="C1446" s="52">
        <v>2019</v>
      </c>
      <c r="D1446" s="52" t="s">
        <v>77</v>
      </c>
      <c r="E1446" s="52">
        <v>2</v>
      </c>
      <c r="F1446" s="54" t="s">
        <v>1005</v>
      </c>
      <c r="G1446" s="52"/>
      <c r="H1446" s="55"/>
      <c r="I1446" s="56"/>
    </row>
    <row r="1447" spans="2:9" ht="27" x14ac:dyDescent="0.2">
      <c r="B1447" s="51" t="str">
        <f t="shared" si="25"/>
        <v>2019-046-3</v>
      </c>
      <c r="C1447" s="52">
        <v>2019</v>
      </c>
      <c r="D1447" s="52" t="s">
        <v>77</v>
      </c>
      <c r="E1447" s="52">
        <v>3</v>
      </c>
      <c r="F1447" s="54" t="s">
        <v>1388</v>
      </c>
      <c r="G1447" s="52"/>
      <c r="H1447" s="55"/>
      <c r="I1447" s="56"/>
    </row>
    <row r="1448" spans="2:9" x14ac:dyDescent="0.2">
      <c r="B1448" s="51" t="str">
        <f t="shared" si="25"/>
        <v>2019-046-4</v>
      </c>
      <c r="C1448" s="52">
        <v>2019</v>
      </c>
      <c r="D1448" s="52" t="s">
        <v>77</v>
      </c>
      <c r="E1448" s="52">
        <v>4</v>
      </c>
      <c r="F1448" s="54" t="s">
        <v>1759</v>
      </c>
      <c r="G1448" s="52" t="s">
        <v>3391</v>
      </c>
      <c r="H1448" s="55"/>
      <c r="I1448" s="56"/>
    </row>
    <row r="1449" spans="2:9" ht="27" x14ac:dyDescent="0.2">
      <c r="B1449" s="57" t="str">
        <f t="shared" si="25"/>
        <v>2019-046-5</v>
      </c>
      <c r="C1449" s="58">
        <v>2019</v>
      </c>
      <c r="D1449" s="58" t="s">
        <v>77</v>
      </c>
      <c r="E1449" s="58">
        <v>5</v>
      </c>
      <c r="F1449" s="59" t="s">
        <v>2122</v>
      </c>
      <c r="G1449" s="58"/>
      <c r="H1449" s="60"/>
      <c r="I1449" s="61"/>
    </row>
    <row r="1450" spans="2:9" x14ac:dyDescent="0.2">
      <c r="B1450" s="62" t="str">
        <f t="shared" si="25"/>
        <v>2019-047-0</v>
      </c>
      <c r="C1450" s="63">
        <v>2019</v>
      </c>
      <c r="D1450" s="63" t="s">
        <v>78</v>
      </c>
      <c r="E1450" s="63">
        <v>0</v>
      </c>
      <c r="F1450" s="64" t="s">
        <v>250</v>
      </c>
      <c r="G1450" s="63"/>
      <c r="H1450" s="65"/>
      <c r="I1450" s="66"/>
    </row>
    <row r="1451" spans="2:9" x14ac:dyDescent="0.2">
      <c r="B1451" s="51" t="str">
        <f t="shared" si="25"/>
        <v>2019-047-1</v>
      </c>
      <c r="C1451" s="52">
        <v>2019</v>
      </c>
      <c r="D1451" s="52" t="s">
        <v>78</v>
      </c>
      <c r="E1451" s="52">
        <v>1</v>
      </c>
      <c r="F1451" s="54" t="s">
        <v>613</v>
      </c>
      <c r="G1451" s="52"/>
      <c r="H1451" s="55"/>
      <c r="I1451" s="56"/>
    </row>
    <row r="1452" spans="2:9" x14ac:dyDescent="0.2">
      <c r="B1452" s="51" t="str">
        <f t="shared" si="25"/>
        <v>2019-047-2</v>
      </c>
      <c r="C1452" s="52">
        <v>2019</v>
      </c>
      <c r="D1452" s="52" t="s">
        <v>78</v>
      </c>
      <c r="E1452" s="52">
        <v>2</v>
      </c>
      <c r="F1452" s="54" t="s">
        <v>1006</v>
      </c>
      <c r="G1452" s="52" t="s">
        <v>3391</v>
      </c>
      <c r="H1452" s="55"/>
      <c r="I1452" s="56"/>
    </row>
    <row r="1453" spans="2:9" x14ac:dyDescent="0.2">
      <c r="B1453" s="51" t="str">
        <f t="shared" si="25"/>
        <v>2019-047-3</v>
      </c>
      <c r="C1453" s="52">
        <v>2019</v>
      </c>
      <c r="D1453" s="52" t="s">
        <v>78</v>
      </c>
      <c r="E1453" s="52">
        <v>3</v>
      </c>
      <c r="F1453" s="54" t="s">
        <v>1389</v>
      </c>
      <c r="G1453" s="52"/>
      <c r="H1453" s="55"/>
      <c r="I1453" s="56"/>
    </row>
    <row r="1454" spans="2:9" x14ac:dyDescent="0.2">
      <c r="B1454" s="51" t="str">
        <f t="shared" si="25"/>
        <v>2019-047-4</v>
      </c>
      <c r="C1454" s="52">
        <v>2019</v>
      </c>
      <c r="D1454" s="52" t="s">
        <v>78</v>
      </c>
      <c r="E1454" s="52">
        <v>4</v>
      </c>
      <c r="F1454" s="54" t="s">
        <v>490</v>
      </c>
      <c r="G1454" s="52"/>
      <c r="H1454" s="55"/>
      <c r="I1454" s="56"/>
    </row>
    <row r="1455" spans="2:9" x14ac:dyDescent="0.2">
      <c r="B1455" s="57" t="str">
        <f t="shared" si="25"/>
        <v>2019-047-5</v>
      </c>
      <c r="C1455" s="58">
        <v>2019</v>
      </c>
      <c r="D1455" s="58" t="s">
        <v>78</v>
      </c>
      <c r="E1455" s="58">
        <v>5</v>
      </c>
      <c r="F1455" s="59" t="s">
        <v>1493</v>
      </c>
      <c r="G1455" s="58"/>
      <c r="H1455" s="60"/>
      <c r="I1455" s="61"/>
    </row>
    <row r="1456" spans="2:9" x14ac:dyDescent="0.2">
      <c r="B1456" s="62" t="str">
        <f t="shared" si="25"/>
        <v>2019-048-0</v>
      </c>
      <c r="C1456" s="63">
        <v>2019</v>
      </c>
      <c r="D1456" s="63" t="s">
        <v>79</v>
      </c>
      <c r="E1456" s="63">
        <v>0</v>
      </c>
      <c r="F1456" s="64" t="s">
        <v>194</v>
      </c>
      <c r="G1456" s="63"/>
      <c r="H1456" s="65"/>
      <c r="I1456" s="66"/>
    </row>
    <row r="1457" spans="2:9" x14ac:dyDescent="0.2">
      <c r="B1457" s="51" t="str">
        <f t="shared" si="25"/>
        <v>2019-048-1</v>
      </c>
      <c r="C1457" s="52">
        <v>2019</v>
      </c>
      <c r="D1457" s="52" t="s">
        <v>79</v>
      </c>
      <c r="E1457" s="52">
        <v>1</v>
      </c>
      <c r="F1457" s="54" t="s">
        <v>593</v>
      </c>
      <c r="G1457" s="52"/>
      <c r="H1457" s="55"/>
      <c r="I1457" s="56"/>
    </row>
    <row r="1458" spans="2:9" ht="27" x14ac:dyDescent="0.2">
      <c r="B1458" s="51" t="str">
        <f t="shared" si="25"/>
        <v>2019-048-2</v>
      </c>
      <c r="C1458" s="52">
        <v>2019</v>
      </c>
      <c r="D1458" s="52" t="s">
        <v>79</v>
      </c>
      <c r="E1458" s="52">
        <v>2</v>
      </c>
      <c r="F1458" s="54" t="s">
        <v>1007</v>
      </c>
      <c r="G1458" s="52" t="s">
        <v>3391</v>
      </c>
      <c r="H1458" s="55"/>
      <c r="I1458" s="56"/>
    </row>
    <row r="1459" spans="2:9" x14ac:dyDescent="0.2">
      <c r="B1459" s="51" t="str">
        <f t="shared" si="25"/>
        <v>2019-048-3</v>
      </c>
      <c r="C1459" s="52">
        <v>2019</v>
      </c>
      <c r="D1459" s="52" t="s">
        <v>79</v>
      </c>
      <c r="E1459" s="52">
        <v>3</v>
      </c>
      <c r="F1459" s="54" t="s">
        <v>1390</v>
      </c>
      <c r="G1459" s="52"/>
      <c r="H1459" s="55"/>
      <c r="I1459" s="56"/>
    </row>
    <row r="1460" spans="2:9" x14ac:dyDescent="0.2">
      <c r="B1460" s="51" t="str">
        <f t="shared" si="25"/>
        <v>2019-048-4</v>
      </c>
      <c r="C1460" s="52">
        <v>2019</v>
      </c>
      <c r="D1460" s="52" t="s">
        <v>79</v>
      </c>
      <c r="E1460" s="52">
        <v>4</v>
      </c>
      <c r="F1460" s="54" t="s">
        <v>1760</v>
      </c>
      <c r="G1460" s="52"/>
      <c r="H1460" s="55"/>
      <c r="I1460" s="56"/>
    </row>
    <row r="1461" spans="2:9" x14ac:dyDescent="0.2">
      <c r="B1461" s="57" t="str">
        <f t="shared" si="25"/>
        <v>2019-048-5</v>
      </c>
      <c r="C1461" s="58">
        <v>2019</v>
      </c>
      <c r="D1461" s="58" t="s">
        <v>79</v>
      </c>
      <c r="E1461" s="58">
        <v>5</v>
      </c>
      <c r="F1461" s="59" t="s">
        <v>2123</v>
      </c>
      <c r="G1461" s="58"/>
      <c r="H1461" s="60"/>
      <c r="I1461" s="61"/>
    </row>
    <row r="1462" spans="2:9" x14ac:dyDescent="0.2">
      <c r="B1462" s="62" t="str">
        <f t="shared" si="25"/>
        <v>2019-049-0</v>
      </c>
      <c r="C1462" s="63">
        <v>2019</v>
      </c>
      <c r="D1462" s="63" t="s">
        <v>80</v>
      </c>
      <c r="E1462" s="63">
        <v>0</v>
      </c>
      <c r="F1462" s="64" t="s">
        <v>251</v>
      </c>
      <c r="G1462" s="63"/>
      <c r="H1462" s="65"/>
      <c r="I1462" s="66"/>
    </row>
    <row r="1463" spans="2:9" x14ac:dyDescent="0.2">
      <c r="B1463" s="51" t="str">
        <f t="shared" si="25"/>
        <v>2019-049-1</v>
      </c>
      <c r="C1463" s="52">
        <v>2019</v>
      </c>
      <c r="D1463" s="52" t="s">
        <v>80</v>
      </c>
      <c r="E1463" s="52">
        <v>1</v>
      </c>
      <c r="F1463" s="54" t="s">
        <v>614</v>
      </c>
      <c r="G1463" s="52"/>
      <c r="H1463" s="55"/>
      <c r="I1463" s="56"/>
    </row>
    <row r="1464" spans="2:9" x14ac:dyDescent="0.2">
      <c r="B1464" s="51" t="str">
        <f t="shared" si="25"/>
        <v>2019-049-2</v>
      </c>
      <c r="C1464" s="52">
        <v>2019</v>
      </c>
      <c r="D1464" s="52" t="s">
        <v>80</v>
      </c>
      <c r="E1464" s="52">
        <v>2</v>
      </c>
      <c r="F1464" s="54" t="s">
        <v>1008</v>
      </c>
      <c r="G1464" s="52"/>
      <c r="H1464" s="55"/>
      <c r="I1464" s="56"/>
    </row>
    <row r="1465" spans="2:9" x14ac:dyDescent="0.2">
      <c r="B1465" s="51" t="str">
        <f t="shared" si="25"/>
        <v>2019-049-3</v>
      </c>
      <c r="C1465" s="52">
        <v>2019</v>
      </c>
      <c r="D1465" s="52" t="s">
        <v>80</v>
      </c>
      <c r="E1465" s="52">
        <v>3</v>
      </c>
      <c r="F1465" s="54" t="s">
        <v>1391</v>
      </c>
      <c r="G1465" s="52"/>
      <c r="H1465" s="55"/>
      <c r="I1465" s="56"/>
    </row>
    <row r="1466" spans="2:9" ht="27" x14ac:dyDescent="0.2">
      <c r="B1466" s="51" t="str">
        <f t="shared" si="25"/>
        <v>2019-049-4</v>
      </c>
      <c r="C1466" s="52">
        <v>2019</v>
      </c>
      <c r="D1466" s="52" t="s">
        <v>80</v>
      </c>
      <c r="E1466" s="52">
        <v>4</v>
      </c>
      <c r="F1466" s="54" t="s">
        <v>1761</v>
      </c>
      <c r="G1466" s="52" t="s">
        <v>3391</v>
      </c>
      <c r="H1466" s="55"/>
      <c r="I1466" s="56"/>
    </row>
    <row r="1467" spans="2:9" ht="27" x14ac:dyDescent="0.2">
      <c r="B1467" s="57" t="str">
        <f t="shared" si="25"/>
        <v>2019-049-5</v>
      </c>
      <c r="C1467" s="58">
        <v>2019</v>
      </c>
      <c r="D1467" s="58" t="s">
        <v>80</v>
      </c>
      <c r="E1467" s="58">
        <v>5</v>
      </c>
      <c r="F1467" s="59" t="s">
        <v>2087</v>
      </c>
      <c r="G1467" s="58"/>
      <c r="H1467" s="60"/>
      <c r="I1467" s="61"/>
    </row>
    <row r="1468" spans="2:9" x14ac:dyDescent="0.2">
      <c r="B1468" s="62" t="str">
        <f t="shared" si="25"/>
        <v>2019-050-0</v>
      </c>
      <c r="C1468" s="63">
        <v>2019</v>
      </c>
      <c r="D1468" s="63" t="s">
        <v>81</v>
      </c>
      <c r="E1468" s="63">
        <v>0</v>
      </c>
      <c r="F1468" s="64" t="s">
        <v>252</v>
      </c>
      <c r="G1468" s="63"/>
      <c r="H1468" s="65"/>
      <c r="I1468" s="66"/>
    </row>
    <row r="1469" spans="2:9" x14ac:dyDescent="0.2">
      <c r="B1469" s="51" t="str">
        <f t="shared" ref="B1469:B1473" si="26">C1469&amp;"-"&amp;D1469&amp;"-"&amp;E1469</f>
        <v>2019-050-1</v>
      </c>
      <c r="C1469" s="52">
        <v>2019</v>
      </c>
      <c r="D1469" s="52" t="s">
        <v>81</v>
      </c>
      <c r="E1469" s="52">
        <v>1</v>
      </c>
      <c r="F1469" s="54" t="s">
        <v>522</v>
      </c>
      <c r="G1469" s="52"/>
      <c r="H1469" s="55"/>
      <c r="I1469" s="56"/>
    </row>
    <row r="1470" spans="2:9" ht="27" x14ac:dyDescent="0.2">
      <c r="B1470" s="51" t="str">
        <f t="shared" si="26"/>
        <v>2019-050-2</v>
      </c>
      <c r="C1470" s="52">
        <v>2019</v>
      </c>
      <c r="D1470" s="52" t="s">
        <v>81</v>
      </c>
      <c r="E1470" s="52">
        <v>2</v>
      </c>
      <c r="F1470" s="54" t="s">
        <v>1009</v>
      </c>
      <c r="G1470" s="52"/>
      <c r="H1470" s="55"/>
      <c r="I1470" s="56"/>
    </row>
    <row r="1471" spans="2:9" ht="27" x14ac:dyDescent="0.2">
      <c r="B1471" s="51" t="str">
        <f t="shared" si="26"/>
        <v>2019-050-3</v>
      </c>
      <c r="C1471" s="52">
        <v>2019</v>
      </c>
      <c r="D1471" s="52" t="s">
        <v>81</v>
      </c>
      <c r="E1471" s="52">
        <v>3</v>
      </c>
      <c r="F1471" s="54" t="s">
        <v>1392</v>
      </c>
      <c r="G1471" s="52"/>
      <c r="H1471" s="55"/>
      <c r="I1471" s="56"/>
    </row>
    <row r="1472" spans="2:9" x14ac:dyDescent="0.2">
      <c r="B1472" s="51" t="str">
        <f t="shared" si="26"/>
        <v>2019-050-4</v>
      </c>
      <c r="C1472" s="52">
        <v>2019</v>
      </c>
      <c r="D1472" s="52" t="s">
        <v>81</v>
      </c>
      <c r="E1472" s="52">
        <v>4</v>
      </c>
      <c r="F1472" s="54" t="s">
        <v>717</v>
      </c>
      <c r="G1472" s="52"/>
      <c r="H1472" s="55"/>
      <c r="I1472" s="56"/>
    </row>
    <row r="1473" spans="2:9" ht="14.25" thickBot="1" x14ac:dyDescent="0.25">
      <c r="B1473" s="67" t="str">
        <f t="shared" si="26"/>
        <v>2019-050-5</v>
      </c>
      <c r="C1473" s="68">
        <v>2019</v>
      </c>
      <c r="D1473" s="68" t="s">
        <v>81</v>
      </c>
      <c r="E1473" s="68">
        <v>5</v>
      </c>
      <c r="F1473" s="69" t="s">
        <v>2124</v>
      </c>
      <c r="G1473" s="68" t="s">
        <v>3391</v>
      </c>
      <c r="H1473" s="70"/>
      <c r="I1473" s="71"/>
    </row>
    <row r="1474" spans="2:9" x14ac:dyDescent="0.2">
      <c r="B1474" s="45" t="str">
        <f t="shared" ref="B1474:B1506" si="27">C1474&amp;"-"&amp;D1474&amp;"-"&amp;E1474</f>
        <v>2018-026-0</v>
      </c>
      <c r="C1474" s="46">
        <v>2018</v>
      </c>
      <c r="D1474" s="46" t="s">
        <v>4</v>
      </c>
      <c r="E1474" s="46">
        <v>0</v>
      </c>
      <c r="F1474" s="48" t="s">
        <v>253</v>
      </c>
      <c r="G1474" s="46"/>
      <c r="H1474" s="49"/>
      <c r="I1474" s="50"/>
    </row>
    <row r="1475" spans="2:9" x14ac:dyDescent="0.2">
      <c r="B1475" s="51" t="str">
        <f t="shared" si="27"/>
        <v>2018-026-1</v>
      </c>
      <c r="C1475" s="52">
        <v>2018</v>
      </c>
      <c r="D1475" s="52" t="s">
        <v>4</v>
      </c>
      <c r="E1475" s="52">
        <v>1</v>
      </c>
      <c r="F1475" s="54" t="s">
        <v>615</v>
      </c>
      <c r="G1475" s="52"/>
      <c r="H1475" s="55"/>
      <c r="I1475" s="56"/>
    </row>
    <row r="1476" spans="2:9" ht="27" x14ac:dyDescent="0.2">
      <c r="B1476" s="51" t="str">
        <f t="shared" si="27"/>
        <v>2018-026-2</v>
      </c>
      <c r="C1476" s="52">
        <v>2018</v>
      </c>
      <c r="D1476" s="52" t="s">
        <v>4</v>
      </c>
      <c r="E1476" s="52">
        <v>2</v>
      </c>
      <c r="F1476" s="54" t="s">
        <v>1010</v>
      </c>
      <c r="G1476" s="52"/>
      <c r="H1476" s="55"/>
      <c r="I1476" s="56"/>
    </row>
    <row r="1477" spans="2:9" x14ac:dyDescent="0.2">
      <c r="B1477" s="51" t="str">
        <f t="shared" si="27"/>
        <v>2018-026-3</v>
      </c>
      <c r="C1477" s="52">
        <v>2018</v>
      </c>
      <c r="D1477" s="52" t="s">
        <v>4</v>
      </c>
      <c r="E1477" s="52">
        <v>3</v>
      </c>
      <c r="F1477" s="54" t="s">
        <v>1393</v>
      </c>
      <c r="G1477" s="52"/>
      <c r="H1477" s="55"/>
      <c r="I1477" s="56"/>
    </row>
    <row r="1478" spans="2:9" x14ac:dyDescent="0.2">
      <c r="B1478" s="51" t="str">
        <f t="shared" si="27"/>
        <v>2018-026-4</v>
      </c>
      <c r="C1478" s="52">
        <v>2018</v>
      </c>
      <c r="D1478" s="52" t="s">
        <v>4</v>
      </c>
      <c r="E1478" s="52">
        <v>4</v>
      </c>
      <c r="F1478" s="54" t="s">
        <v>1762</v>
      </c>
      <c r="G1478" s="52" t="s">
        <v>3391</v>
      </c>
      <c r="H1478" s="55"/>
      <c r="I1478" s="56"/>
    </row>
    <row r="1479" spans="2:9" ht="27" x14ac:dyDescent="0.2">
      <c r="B1479" s="57" t="str">
        <f t="shared" si="27"/>
        <v>2018-026-5</v>
      </c>
      <c r="C1479" s="58">
        <v>2018</v>
      </c>
      <c r="D1479" s="58" t="s">
        <v>4</v>
      </c>
      <c r="E1479" s="58">
        <v>5</v>
      </c>
      <c r="F1479" s="59" t="s">
        <v>2125</v>
      </c>
      <c r="G1479" s="58"/>
      <c r="H1479" s="60"/>
      <c r="I1479" s="61"/>
    </row>
    <row r="1480" spans="2:9" x14ac:dyDescent="0.2">
      <c r="B1480" s="62" t="str">
        <f t="shared" si="27"/>
        <v>2018-027-0</v>
      </c>
      <c r="C1480" s="63">
        <v>2018</v>
      </c>
      <c r="D1480" s="63" t="s">
        <v>5</v>
      </c>
      <c r="E1480" s="63">
        <v>0</v>
      </c>
      <c r="F1480" s="64" t="s">
        <v>254</v>
      </c>
      <c r="G1480" s="63"/>
      <c r="H1480" s="65"/>
      <c r="I1480" s="66"/>
    </row>
    <row r="1481" spans="2:9" x14ac:dyDescent="0.2">
      <c r="B1481" s="51" t="str">
        <f t="shared" si="27"/>
        <v>2018-027-1</v>
      </c>
      <c r="C1481" s="52">
        <v>2018</v>
      </c>
      <c r="D1481" s="52" t="s">
        <v>5</v>
      </c>
      <c r="E1481" s="52">
        <v>1</v>
      </c>
      <c r="F1481" s="54" t="s">
        <v>616</v>
      </c>
      <c r="G1481" s="52" t="s">
        <v>3391</v>
      </c>
      <c r="H1481" s="55"/>
      <c r="I1481" s="56"/>
    </row>
    <row r="1482" spans="2:9" x14ac:dyDescent="0.2">
      <c r="B1482" s="51" t="str">
        <f t="shared" si="27"/>
        <v>2018-027-2</v>
      </c>
      <c r="C1482" s="52">
        <v>2018</v>
      </c>
      <c r="D1482" s="52" t="s">
        <v>5</v>
      </c>
      <c r="E1482" s="52">
        <v>2</v>
      </c>
      <c r="F1482" s="54" t="s">
        <v>1011</v>
      </c>
      <c r="G1482" s="52"/>
      <c r="H1482" s="55"/>
      <c r="I1482" s="56"/>
    </row>
    <row r="1483" spans="2:9" x14ac:dyDescent="0.2">
      <c r="B1483" s="51" t="str">
        <f t="shared" si="27"/>
        <v>2018-027-3</v>
      </c>
      <c r="C1483" s="52">
        <v>2018</v>
      </c>
      <c r="D1483" s="52" t="s">
        <v>5</v>
      </c>
      <c r="E1483" s="52">
        <v>3</v>
      </c>
      <c r="F1483" s="54" t="s">
        <v>1394</v>
      </c>
      <c r="G1483" s="52"/>
      <c r="H1483" s="55"/>
      <c r="I1483" s="56"/>
    </row>
    <row r="1484" spans="2:9" x14ac:dyDescent="0.2">
      <c r="B1484" s="51" t="str">
        <f t="shared" si="27"/>
        <v>2018-027-4</v>
      </c>
      <c r="C1484" s="52">
        <v>2018</v>
      </c>
      <c r="D1484" s="52" t="s">
        <v>5</v>
      </c>
      <c r="E1484" s="52">
        <v>4</v>
      </c>
      <c r="F1484" s="54" t="s">
        <v>1763</v>
      </c>
      <c r="G1484" s="52"/>
      <c r="H1484" s="55"/>
      <c r="I1484" s="56"/>
    </row>
    <row r="1485" spans="2:9" x14ac:dyDescent="0.2">
      <c r="B1485" s="57" t="str">
        <f t="shared" si="27"/>
        <v>2018-027-5</v>
      </c>
      <c r="C1485" s="58">
        <v>2018</v>
      </c>
      <c r="D1485" s="58" t="s">
        <v>5</v>
      </c>
      <c r="E1485" s="58">
        <v>5</v>
      </c>
      <c r="F1485" s="59" t="s">
        <v>2126</v>
      </c>
      <c r="G1485" s="58"/>
      <c r="H1485" s="60"/>
      <c r="I1485" s="61"/>
    </row>
    <row r="1486" spans="2:9" x14ac:dyDescent="0.2">
      <c r="B1486" s="62" t="str">
        <f t="shared" si="27"/>
        <v>2018-028-0</v>
      </c>
      <c r="C1486" s="63">
        <v>2018</v>
      </c>
      <c r="D1486" s="63" t="s">
        <v>6</v>
      </c>
      <c r="E1486" s="63">
        <v>0</v>
      </c>
      <c r="F1486" s="64" t="s">
        <v>114</v>
      </c>
      <c r="G1486" s="63"/>
      <c r="H1486" s="65"/>
      <c r="I1486" s="66"/>
    </row>
    <row r="1487" spans="2:9" x14ac:dyDescent="0.2">
      <c r="B1487" s="51" t="str">
        <f t="shared" si="27"/>
        <v>2018-028-1</v>
      </c>
      <c r="C1487" s="52">
        <v>2018</v>
      </c>
      <c r="D1487" s="52" t="s">
        <v>6</v>
      </c>
      <c r="E1487" s="52">
        <v>1</v>
      </c>
      <c r="F1487" s="54" t="s">
        <v>617</v>
      </c>
      <c r="G1487" s="52" t="s">
        <v>3391</v>
      </c>
      <c r="H1487" s="55"/>
      <c r="I1487" s="56"/>
    </row>
    <row r="1488" spans="2:9" x14ac:dyDescent="0.2">
      <c r="B1488" s="51" t="str">
        <f t="shared" si="27"/>
        <v>2018-028-2</v>
      </c>
      <c r="C1488" s="52">
        <v>2018</v>
      </c>
      <c r="D1488" s="52" t="s">
        <v>6</v>
      </c>
      <c r="E1488" s="52">
        <v>2</v>
      </c>
      <c r="F1488" s="54" t="s">
        <v>1012</v>
      </c>
      <c r="G1488" s="52"/>
      <c r="H1488" s="55"/>
      <c r="I1488" s="56"/>
    </row>
    <row r="1489" spans="2:9" x14ac:dyDescent="0.2">
      <c r="B1489" s="51" t="str">
        <f t="shared" si="27"/>
        <v>2018-028-3</v>
      </c>
      <c r="C1489" s="52">
        <v>2018</v>
      </c>
      <c r="D1489" s="52" t="s">
        <v>6</v>
      </c>
      <c r="E1489" s="52">
        <v>3</v>
      </c>
      <c r="F1489" s="54" t="s">
        <v>1395</v>
      </c>
      <c r="G1489" s="52"/>
      <c r="H1489" s="55"/>
      <c r="I1489" s="56"/>
    </row>
    <row r="1490" spans="2:9" x14ac:dyDescent="0.2">
      <c r="B1490" s="51" t="str">
        <f t="shared" si="27"/>
        <v>2018-028-4</v>
      </c>
      <c r="C1490" s="52">
        <v>2018</v>
      </c>
      <c r="D1490" s="52" t="s">
        <v>6</v>
      </c>
      <c r="E1490" s="52">
        <v>4</v>
      </c>
      <c r="F1490" s="54" t="s">
        <v>1764</v>
      </c>
      <c r="G1490" s="52"/>
      <c r="H1490" s="55"/>
      <c r="I1490" s="56"/>
    </row>
    <row r="1491" spans="2:9" x14ac:dyDescent="0.2">
      <c r="B1491" s="57" t="str">
        <f t="shared" si="27"/>
        <v>2018-028-5</v>
      </c>
      <c r="C1491" s="58">
        <v>2018</v>
      </c>
      <c r="D1491" s="58" t="s">
        <v>6</v>
      </c>
      <c r="E1491" s="58">
        <v>5</v>
      </c>
      <c r="F1491" s="59" t="s">
        <v>2127</v>
      </c>
      <c r="G1491" s="58"/>
      <c r="H1491" s="60"/>
      <c r="I1491" s="61"/>
    </row>
    <row r="1492" spans="2:9" x14ac:dyDescent="0.2">
      <c r="B1492" s="62" t="str">
        <f t="shared" si="27"/>
        <v>2018-029-0</v>
      </c>
      <c r="C1492" s="63">
        <v>2018</v>
      </c>
      <c r="D1492" s="63" t="s">
        <v>7</v>
      </c>
      <c r="E1492" s="63">
        <v>0</v>
      </c>
      <c r="F1492" s="64" t="s">
        <v>114</v>
      </c>
      <c r="G1492" s="63"/>
      <c r="H1492" s="65"/>
      <c r="I1492" s="66"/>
    </row>
    <row r="1493" spans="2:9" x14ac:dyDescent="0.2">
      <c r="B1493" s="51" t="str">
        <f t="shared" si="27"/>
        <v>2018-029-1</v>
      </c>
      <c r="C1493" s="52">
        <v>2018</v>
      </c>
      <c r="D1493" s="52" t="s">
        <v>7</v>
      </c>
      <c r="E1493" s="52">
        <v>1</v>
      </c>
      <c r="F1493" s="54" t="s">
        <v>618</v>
      </c>
      <c r="G1493" s="52"/>
      <c r="H1493" s="55"/>
      <c r="I1493" s="56"/>
    </row>
    <row r="1494" spans="2:9" x14ac:dyDescent="0.2">
      <c r="B1494" s="51" t="str">
        <f t="shared" si="27"/>
        <v>2018-029-2</v>
      </c>
      <c r="C1494" s="52">
        <v>2018</v>
      </c>
      <c r="D1494" s="52" t="s">
        <v>7</v>
      </c>
      <c r="E1494" s="52">
        <v>2</v>
      </c>
      <c r="F1494" s="54" t="s">
        <v>1013</v>
      </c>
      <c r="G1494" s="52"/>
      <c r="H1494" s="55"/>
      <c r="I1494" s="56"/>
    </row>
    <row r="1495" spans="2:9" x14ac:dyDescent="0.2">
      <c r="B1495" s="51" t="str">
        <f t="shared" si="27"/>
        <v>2018-029-3</v>
      </c>
      <c r="C1495" s="52">
        <v>2018</v>
      </c>
      <c r="D1495" s="52" t="s">
        <v>7</v>
      </c>
      <c r="E1495" s="52">
        <v>3</v>
      </c>
      <c r="F1495" s="54" t="s">
        <v>1396</v>
      </c>
      <c r="G1495" s="52"/>
      <c r="H1495" s="55"/>
      <c r="I1495" s="56"/>
    </row>
    <row r="1496" spans="2:9" x14ac:dyDescent="0.2">
      <c r="B1496" s="51" t="str">
        <f t="shared" si="27"/>
        <v>2018-029-4</v>
      </c>
      <c r="C1496" s="52">
        <v>2018</v>
      </c>
      <c r="D1496" s="52" t="s">
        <v>7</v>
      </c>
      <c r="E1496" s="52">
        <v>4</v>
      </c>
      <c r="F1496" s="54" t="s">
        <v>1765</v>
      </c>
      <c r="G1496" s="52"/>
      <c r="H1496" s="55"/>
      <c r="I1496" s="56"/>
    </row>
    <row r="1497" spans="2:9" x14ac:dyDescent="0.2">
      <c r="B1497" s="57" t="str">
        <f t="shared" si="27"/>
        <v>2018-029-5</v>
      </c>
      <c r="C1497" s="58">
        <v>2018</v>
      </c>
      <c r="D1497" s="58" t="s">
        <v>7</v>
      </c>
      <c r="E1497" s="58">
        <v>5</v>
      </c>
      <c r="F1497" s="59" t="s">
        <v>2128</v>
      </c>
      <c r="G1497" s="58" t="s">
        <v>3391</v>
      </c>
      <c r="H1497" s="60"/>
      <c r="I1497" s="61"/>
    </row>
    <row r="1498" spans="2:9" ht="27" x14ac:dyDescent="0.2">
      <c r="B1498" s="62" t="str">
        <f t="shared" si="27"/>
        <v>2018-030-0</v>
      </c>
      <c r="C1498" s="63">
        <v>2018</v>
      </c>
      <c r="D1498" s="63" t="s">
        <v>8</v>
      </c>
      <c r="E1498" s="63">
        <v>0</v>
      </c>
      <c r="F1498" s="64" t="s">
        <v>255</v>
      </c>
      <c r="G1498" s="63"/>
      <c r="H1498" s="65"/>
      <c r="I1498" s="66"/>
    </row>
    <row r="1499" spans="2:9" x14ac:dyDescent="0.2">
      <c r="B1499" s="51" t="str">
        <f t="shared" si="27"/>
        <v>2018-030-1</v>
      </c>
      <c r="C1499" s="52">
        <v>2018</v>
      </c>
      <c r="D1499" s="52" t="s">
        <v>8</v>
      </c>
      <c r="E1499" s="52">
        <v>1</v>
      </c>
      <c r="F1499" s="54" t="s">
        <v>619</v>
      </c>
      <c r="G1499" s="52"/>
      <c r="H1499" s="55"/>
      <c r="I1499" s="56"/>
    </row>
    <row r="1500" spans="2:9" x14ac:dyDescent="0.2">
      <c r="B1500" s="51" t="str">
        <f t="shared" si="27"/>
        <v>2018-030-2</v>
      </c>
      <c r="C1500" s="52">
        <v>2018</v>
      </c>
      <c r="D1500" s="52" t="s">
        <v>8</v>
      </c>
      <c r="E1500" s="52">
        <v>2</v>
      </c>
      <c r="F1500" s="54" t="s">
        <v>1014</v>
      </c>
      <c r="G1500" s="52"/>
      <c r="H1500" s="55"/>
      <c r="I1500" s="56"/>
    </row>
    <row r="1501" spans="2:9" x14ac:dyDescent="0.2">
      <c r="B1501" s="51" t="str">
        <f t="shared" si="27"/>
        <v>2018-030-3</v>
      </c>
      <c r="C1501" s="52">
        <v>2018</v>
      </c>
      <c r="D1501" s="52" t="s">
        <v>8</v>
      </c>
      <c r="E1501" s="52">
        <v>3</v>
      </c>
      <c r="F1501" s="54" t="s">
        <v>1397</v>
      </c>
      <c r="G1501" s="52"/>
      <c r="H1501" s="55"/>
      <c r="I1501" s="56"/>
    </row>
    <row r="1502" spans="2:9" x14ac:dyDescent="0.2">
      <c r="B1502" s="51" t="str">
        <f t="shared" si="27"/>
        <v>2018-030-4</v>
      </c>
      <c r="C1502" s="52">
        <v>2018</v>
      </c>
      <c r="D1502" s="52" t="s">
        <v>8</v>
      </c>
      <c r="E1502" s="52">
        <v>4</v>
      </c>
      <c r="F1502" s="54" t="s">
        <v>1766</v>
      </c>
      <c r="G1502" s="52" t="s">
        <v>3391</v>
      </c>
      <c r="H1502" s="55"/>
      <c r="I1502" s="56"/>
    </row>
    <row r="1503" spans="2:9" x14ac:dyDescent="0.2">
      <c r="B1503" s="57" t="str">
        <f t="shared" si="27"/>
        <v>2018-030-5</v>
      </c>
      <c r="C1503" s="58">
        <v>2018</v>
      </c>
      <c r="D1503" s="58" t="s">
        <v>8</v>
      </c>
      <c r="E1503" s="58">
        <v>5</v>
      </c>
      <c r="F1503" s="59" t="s">
        <v>2129</v>
      </c>
      <c r="G1503" s="58"/>
      <c r="H1503" s="60"/>
      <c r="I1503" s="61"/>
    </row>
    <row r="1504" spans="2:9" x14ac:dyDescent="0.2">
      <c r="B1504" s="62" t="str">
        <f t="shared" si="27"/>
        <v>2018-031-0</v>
      </c>
      <c r="C1504" s="63">
        <v>2018</v>
      </c>
      <c r="D1504" s="63" t="s">
        <v>9</v>
      </c>
      <c r="E1504" s="63">
        <v>0</v>
      </c>
      <c r="F1504" s="64" t="s">
        <v>256</v>
      </c>
      <c r="G1504" s="63"/>
      <c r="H1504" s="65"/>
      <c r="I1504" s="66"/>
    </row>
    <row r="1505" spans="2:9" x14ac:dyDescent="0.2">
      <c r="B1505" s="51" t="str">
        <f t="shared" si="27"/>
        <v>2018-031-1</v>
      </c>
      <c r="C1505" s="52">
        <v>2018</v>
      </c>
      <c r="D1505" s="52" t="s">
        <v>9</v>
      </c>
      <c r="E1505" s="52">
        <v>1</v>
      </c>
      <c r="F1505" s="54" t="s">
        <v>620</v>
      </c>
      <c r="G1505" s="52" t="s">
        <v>3391</v>
      </c>
      <c r="H1505" s="55"/>
      <c r="I1505" s="56"/>
    </row>
    <row r="1506" spans="2:9" ht="27" x14ac:dyDescent="0.2">
      <c r="B1506" s="51" t="str">
        <f t="shared" si="27"/>
        <v>2018-031-2</v>
      </c>
      <c r="C1506" s="52">
        <v>2018</v>
      </c>
      <c r="D1506" s="52" t="s">
        <v>9</v>
      </c>
      <c r="E1506" s="52">
        <v>2</v>
      </c>
      <c r="F1506" s="54" t="s">
        <v>1015</v>
      </c>
      <c r="G1506" s="52"/>
      <c r="H1506" s="55"/>
      <c r="I1506" s="56"/>
    </row>
    <row r="1507" spans="2:9" ht="27" x14ac:dyDescent="0.2">
      <c r="B1507" s="51" t="str">
        <f t="shared" ref="B1507:B1570" si="28">C1507&amp;"-"&amp;D1507&amp;"-"&amp;E1507</f>
        <v>2018-031-3</v>
      </c>
      <c r="C1507" s="52">
        <v>2018</v>
      </c>
      <c r="D1507" s="52" t="s">
        <v>9</v>
      </c>
      <c r="E1507" s="52">
        <v>3</v>
      </c>
      <c r="F1507" s="54" t="s">
        <v>1398</v>
      </c>
      <c r="G1507" s="52"/>
      <c r="H1507" s="55"/>
      <c r="I1507" s="56"/>
    </row>
    <row r="1508" spans="2:9" x14ac:dyDescent="0.2">
      <c r="B1508" s="51" t="str">
        <f t="shared" si="28"/>
        <v>2018-031-4</v>
      </c>
      <c r="C1508" s="52">
        <v>2018</v>
      </c>
      <c r="D1508" s="52" t="s">
        <v>9</v>
      </c>
      <c r="E1508" s="52">
        <v>4</v>
      </c>
      <c r="F1508" s="54" t="s">
        <v>474</v>
      </c>
      <c r="G1508" s="52"/>
      <c r="H1508" s="55"/>
      <c r="I1508" s="56"/>
    </row>
    <row r="1509" spans="2:9" ht="27" x14ac:dyDescent="0.2">
      <c r="B1509" s="57" t="str">
        <f t="shared" si="28"/>
        <v>2018-031-5</v>
      </c>
      <c r="C1509" s="58">
        <v>2018</v>
      </c>
      <c r="D1509" s="58" t="s">
        <v>9</v>
      </c>
      <c r="E1509" s="58">
        <v>5</v>
      </c>
      <c r="F1509" s="59" t="s">
        <v>922</v>
      </c>
      <c r="G1509" s="58"/>
      <c r="H1509" s="60"/>
      <c r="I1509" s="61"/>
    </row>
    <row r="1510" spans="2:9" x14ac:dyDescent="0.2">
      <c r="B1510" s="62" t="str">
        <f t="shared" si="28"/>
        <v>2018-032-0</v>
      </c>
      <c r="C1510" s="63">
        <v>2018</v>
      </c>
      <c r="D1510" s="63" t="s">
        <v>10</v>
      </c>
      <c r="E1510" s="63">
        <v>0</v>
      </c>
      <c r="F1510" s="64" t="s">
        <v>238</v>
      </c>
      <c r="G1510" s="63"/>
      <c r="H1510" s="65"/>
      <c r="I1510" s="66"/>
    </row>
    <row r="1511" spans="2:9" ht="27" x14ac:dyDescent="0.2">
      <c r="B1511" s="51" t="str">
        <f t="shared" si="28"/>
        <v>2018-032-1</v>
      </c>
      <c r="C1511" s="52">
        <v>2018</v>
      </c>
      <c r="D1511" s="52" t="s">
        <v>10</v>
      </c>
      <c r="E1511" s="52">
        <v>1</v>
      </c>
      <c r="F1511" s="54" t="s">
        <v>621</v>
      </c>
      <c r="G1511" s="52"/>
      <c r="H1511" s="55"/>
      <c r="I1511" s="56"/>
    </row>
    <row r="1512" spans="2:9" ht="27" x14ac:dyDescent="0.2">
      <c r="B1512" s="51" t="str">
        <f t="shared" si="28"/>
        <v>2018-032-2</v>
      </c>
      <c r="C1512" s="52">
        <v>2018</v>
      </c>
      <c r="D1512" s="52" t="s">
        <v>10</v>
      </c>
      <c r="E1512" s="52">
        <v>2</v>
      </c>
      <c r="F1512" s="54" t="s">
        <v>1016</v>
      </c>
      <c r="G1512" s="52"/>
      <c r="H1512" s="55"/>
      <c r="I1512" s="56"/>
    </row>
    <row r="1513" spans="2:9" x14ac:dyDescent="0.2">
      <c r="B1513" s="51" t="str">
        <f t="shared" si="28"/>
        <v>2018-032-3</v>
      </c>
      <c r="C1513" s="52">
        <v>2018</v>
      </c>
      <c r="D1513" s="52" t="s">
        <v>10</v>
      </c>
      <c r="E1513" s="52">
        <v>3</v>
      </c>
      <c r="F1513" s="54" t="s">
        <v>1399</v>
      </c>
      <c r="G1513" s="52" t="s">
        <v>3391</v>
      </c>
      <c r="H1513" s="55"/>
      <c r="I1513" s="56"/>
    </row>
    <row r="1514" spans="2:9" ht="27" x14ac:dyDescent="0.2">
      <c r="B1514" s="51" t="str">
        <f t="shared" si="28"/>
        <v>2018-032-4</v>
      </c>
      <c r="C1514" s="52">
        <v>2018</v>
      </c>
      <c r="D1514" s="52" t="s">
        <v>10</v>
      </c>
      <c r="E1514" s="52">
        <v>4</v>
      </c>
      <c r="F1514" s="54" t="s">
        <v>1767</v>
      </c>
      <c r="G1514" s="52"/>
      <c r="H1514" s="55"/>
      <c r="I1514" s="56"/>
    </row>
    <row r="1515" spans="2:9" ht="27" x14ac:dyDescent="0.2">
      <c r="B1515" s="57" t="str">
        <f t="shared" si="28"/>
        <v>2018-032-5</v>
      </c>
      <c r="C1515" s="58">
        <v>2018</v>
      </c>
      <c r="D1515" s="58" t="s">
        <v>10</v>
      </c>
      <c r="E1515" s="58">
        <v>5</v>
      </c>
      <c r="F1515" s="59" t="s">
        <v>2130</v>
      </c>
      <c r="G1515" s="58"/>
      <c r="H1515" s="60"/>
      <c r="I1515" s="61"/>
    </row>
    <row r="1516" spans="2:9" x14ac:dyDescent="0.2">
      <c r="B1516" s="62" t="str">
        <f t="shared" si="28"/>
        <v>2018-033-0</v>
      </c>
      <c r="C1516" s="63">
        <v>2018</v>
      </c>
      <c r="D1516" s="63" t="s">
        <v>11</v>
      </c>
      <c r="E1516" s="63">
        <v>0</v>
      </c>
      <c r="F1516" s="64" t="s">
        <v>180</v>
      </c>
      <c r="G1516" s="63"/>
      <c r="H1516" s="65"/>
      <c r="I1516" s="66"/>
    </row>
    <row r="1517" spans="2:9" ht="27" x14ac:dyDescent="0.2">
      <c r="B1517" s="51" t="str">
        <f t="shared" si="28"/>
        <v>2018-033-1</v>
      </c>
      <c r="C1517" s="52">
        <v>2018</v>
      </c>
      <c r="D1517" s="52" t="s">
        <v>11</v>
      </c>
      <c r="E1517" s="52">
        <v>1</v>
      </c>
      <c r="F1517" s="54" t="s">
        <v>622</v>
      </c>
      <c r="G1517" s="52"/>
      <c r="H1517" s="55"/>
      <c r="I1517" s="56"/>
    </row>
    <row r="1518" spans="2:9" x14ac:dyDescent="0.2">
      <c r="B1518" s="51" t="str">
        <f t="shared" si="28"/>
        <v>2018-033-2</v>
      </c>
      <c r="C1518" s="52">
        <v>2018</v>
      </c>
      <c r="D1518" s="52" t="s">
        <v>11</v>
      </c>
      <c r="E1518" s="52">
        <v>2</v>
      </c>
      <c r="F1518" s="54" t="s">
        <v>1017</v>
      </c>
      <c r="G1518" s="52"/>
      <c r="H1518" s="55"/>
      <c r="I1518" s="56"/>
    </row>
    <row r="1519" spans="2:9" ht="27" x14ac:dyDescent="0.2">
      <c r="B1519" s="51" t="str">
        <f t="shared" si="28"/>
        <v>2018-033-3</v>
      </c>
      <c r="C1519" s="52">
        <v>2018</v>
      </c>
      <c r="D1519" s="52" t="s">
        <v>11</v>
      </c>
      <c r="E1519" s="52">
        <v>3</v>
      </c>
      <c r="F1519" s="54" t="s">
        <v>1400</v>
      </c>
      <c r="G1519" s="52"/>
      <c r="H1519" s="55"/>
      <c r="I1519" s="56"/>
    </row>
    <row r="1520" spans="2:9" ht="27" x14ac:dyDescent="0.2">
      <c r="B1520" s="51" t="str">
        <f t="shared" si="28"/>
        <v>2018-033-4</v>
      </c>
      <c r="C1520" s="52">
        <v>2018</v>
      </c>
      <c r="D1520" s="52" t="s">
        <v>11</v>
      </c>
      <c r="E1520" s="52">
        <v>4</v>
      </c>
      <c r="F1520" s="54" t="s">
        <v>1768</v>
      </c>
      <c r="G1520" s="52" t="s">
        <v>3391</v>
      </c>
      <c r="H1520" s="55"/>
      <c r="I1520" s="56"/>
    </row>
    <row r="1521" spans="2:9" ht="27" x14ac:dyDescent="0.2">
      <c r="B1521" s="57" t="str">
        <f t="shared" si="28"/>
        <v>2018-033-5</v>
      </c>
      <c r="C1521" s="58">
        <v>2018</v>
      </c>
      <c r="D1521" s="58" t="s">
        <v>11</v>
      </c>
      <c r="E1521" s="58">
        <v>5</v>
      </c>
      <c r="F1521" s="59" t="s">
        <v>2131</v>
      </c>
      <c r="G1521" s="58"/>
      <c r="H1521" s="60"/>
      <c r="I1521" s="61"/>
    </row>
    <row r="1522" spans="2:9" x14ac:dyDescent="0.2">
      <c r="B1522" s="62" t="str">
        <f t="shared" si="28"/>
        <v>2018-034-0</v>
      </c>
      <c r="C1522" s="63">
        <v>2018</v>
      </c>
      <c r="D1522" s="63" t="s">
        <v>12</v>
      </c>
      <c r="E1522" s="63">
        <v>0</v>
      </c>
      <c r="F1522" s="64" t="s">
        <v>257</v>
      </c>
      <c r="G1522" s="63"/>
      <c r="H1522" s="65"/>
      <c r="I1522" s="66"/>
    </row>
    <row r="1523" spans="2:9" ht="27" x14ac:dyDescent="0.2">
      <c r="B1523" s="51" t="str">
        <f t="shared" si="28"/>
        <v>2018-034-1</v>
      </c>
      <c r="C1523" s="52">
        <v>2018</v>
      </c>
      <c r="D1523" s="52" t="s">
        <v>12</v>
      </c>
      <c r="E1523" s="52">
        <v>1</v>
      </c>
      <c r="F1523" s="54" t="s">
        <v>623</v>
      </c>
      <c r="G1523" s="52"/>
      <c r="H1523" s="55"/>
      <c r="I1523" s="56"/>
    </row>
    <row r="1524" spans="2:9" x14ac:dyDescent="0.2">
      <c r="B1524" s="51" t="str">
        <f t="shared" si="28"/>
        <v>2018-034-2</v>
      </c>
      <c r="C1524" s="52">
        <v>2018</v>
      </c>
      <c r="D1524" s="52" t="s">
        <v>12</v>
      </c>
      <c r="E1524" s="52">
        <v>2</v>
      </c>
      <c r="F1524" s="54" t="s">
        <v>1018</v>
      </c>
      <c r="G1524" s="52" t="s">
        <v>3391</v>
      </c>
      <c r="H1524" s="55"/>
      <c r="I1524" s="56"/>
    </row>
    <row r="1525" spans="2:9" ht="27" x14ac:dyDescent="0.2">
      <c r="B1525" s="51" t="str">
        <f t="shared" si="28"/>
        <v>2018-034-3</v>
      </c>
      <c r="C1525" s="52">
        <v>2018</v>
      </c>
      <c r="D1525" s="52" t="s">
        <v>12</v>
      </c>
      <c r="E1525" s="52">
        <v>3</v>
      </c>
      <c r="F1525" s="54" t="s">
        <v>869</v>
      </c>
      <c r="G1525" s="52"/>
      <c r="H1525" s="55"/>
      <c r="I1525" s="56"/>
    </row>
    <row r="1526" spans="2:9" ht="27" x14ac:dyDescent="0.2">
      <c r="B1526" s="51" t="str">
        <f t="shared" si="28"/>
        <v>2018-034-4</v>
      </c>
      <c r="C1526" s="52">
        <v>2018</v>
      </c>
      <c r="D1526" s="52" t="s">
        <v>12</v>
      </c>
      <c r="E1526" s="52">
        <v>4</v>
      </c>
      <c r="F1526" s="54" t="s">
        <v>1769</v>
      </c>
      <c r="G1526" s="52"/>
      <c r="H1526" s="55"/>
      <c r="I1526" s="56"/>
    </row>
    <row r="1527" spans="2:9" ht="27" x14ac:dyDescent="0.2">
      <c r="B1527" s="57" t="str">
        <f t="shared" si="28"/>
        <v>2018-034-5</v>
      </c>
      <c r="C1527" s="58">
        <v>2018</v>
      </c>
      <c r="D1527" s="58" t="s">
        <v>12</v>
      </c>
      <c r="E1527" s="58">
        <v>5</v>
      </c>
      <c r="F1527" s="59" t="s">
        <v>2132</v>
      </c>
      <c r="G1527" s="58"/>
      <c r="H1527" s="60"/>
      <c r="I1527" s="61"/>
    </row>
    <row r="1528" spans="2:9" x14ac:dyDescent="0.2">
      <c r="B1528" s="62" t="str">
        <f t="shared" si="28"/>
        <v>2018-035-0</v>
      </c>
      <c r="C1528" s="63">
        <v>2018</v>
      </c>
      <c r="D1528" s="63" t="s">
        <v>13</v>
      </c>
      <c r="E1528" s="63">
        <v>0</v>
      </c>
      <c r="F1528" s="64" t="s">
        <v>241</v>
      </c>
      <c r="G1528" s="63"/>
      <c r="H1528" s="65"/>
      <c r="I1528" s="66"/>
    </row>
    <row r="1529" spans="2:9" x14ac:dyDescent="0.2">
      <c r="B1529" s="51" t="str">
        <f t="shared" si="28"/>
        <v>2018-035-1</v>
      </c>
      <c r="C1529" s="52">
        <v>2018</v>
      </c>
      <c r="D1529" s="52" t="s">
        <v>13</v>
      </c>
      <c r="E1529" s="52">
        <v>1</v>
      </c>
      <c r="F1529" s="54" t="s">
        <v>624</v>
      </c>
      <c r="G1529" s="52"/>
      <c r="H1529" s="55"/>
      <c r="I1529" s="56"/>
    </row>
    <row r="1530" spans="2:9" ht="27" x14ac:dyDescent="0.2">
      <c r="B1530" s="51" t="str">
        <f t="shared" si="28"/>
        <v>2018-035-2</v>
      </c>
      <c r="C1530" s="52">
        <v>2018</v>
      </c>
      <c r="D1530" s="52" t="s">
        <v>13</v>
      </c>
      <c r="E1530" s="52">
        <v>2</v>
      </c>
      <c r="F1530" s="54" t="s">
        <v>1019</v>
      </c>
      <c r="G1530" s="52"/>
      <c r="H1530" s="55"/>
      <c r="I1530" s="56"/>
    </row>
    <row r="1531" spans="2:9" ht="27" x14ac:dyDescent="0.2">
      <c r="B1531" s="51" t="str">
        <f t="shared" si="28"/>
        <v>2018-035-3</v>
      </c>
      <c r="C1531" s="52">
        <v>2018</v>
      </c>
      <c r="D1531" s="52" t="s">
        <v>13</v>
      </c>
      <c r="E1531" s="52">
        <v>3</v>
      </c>
      <c r="F1531" s="54" t="s">
        <v>1401</v>
      </c>
      <c r="G1531" s="52"/>
      <c r="H1531" s="55"/>
      <c r="I1531" s="56"/>
    </row>
    <row r="1532" spans="2:9" ht="27" x14ac:dyDescent="0.2">
      <c r="B1532" s="51" t="str">
        <f t="shared" si="28"/>
        <v>2018-035-4</v>
      </c>
      <c r="C1532" s="52">
        <v>2018</v>
      </c>
      <c r="D1532" s="52" t="s">
        <v>13</v>
      </c>
      <c r="E1532" s="52">
        <v>4</v>
      </c>
      <c r="F1532" s="54" t="s">
        <v>1770</v>
      </c>
      <c r="G1532" s="52" t="s">
        <v>3391</v>
      </c>
      <c r="H1532" s="55"/>
      <c r="I1532" s="56"/>
    </row>
    <row r="1533" spans="2:9" ht="27" x14ac:dyDescent="0.2">
      <c r="B1533" s="57" t="str">
        <f t="shared" si="28"/>
        <v>2018-035-5</v>
      </c>
      <c r="C1533" s="58">
        <v>2018</v>
      </c>
      <c r="D1533" s="58" t="s">
        <v>13</v>
      </c>
      <c r="E1533" s="58">
        <v>5</v>
      </c>
      <c r="F1533" s="59" t="s">
        <v>2133</v>
      </c>
      <c r="G1533" s="58"/>
      <c r="H1533" s="60"/>
      <c r="I1533" s="61"/>
    </row>
    <row r="1534" spans="2:9" x14ac:dyDescent="0.2">
      <c r="B1534" s="62" t="str">
        <f t="shared" si="28"/>
        <v>2018-036-0</v>
      </c>
      <c r="C1534" s="63">
        <v>2018</v>
      </c>
      <c r="D1534" s="63" t="s">
        <v>14</v>
      </c>
      <c r="E1534" s="63">
        <v>0</v>
      </c>
      <c r="F1534" s="64" t="s">
        <v>182</v>
      </c>
      <c r="G1534" s="63"/>
      <c r="H1534" s="65"/>
      <c r="I1534" s="66"/>
    </row>
    <row r="1535" spans="2:9" x14ac:dyDescent="0.2">
      <c r="B1535" s="51" t="str">
        <f t="shared" si="28"/>
        <v>2018-036-1</v>
      </c>
      <c r="C1535" s="52">
        <v>2018</v>
      </c>
      <c r="D1535" s="52" t="s">
        <v>14</v>
      </c>
      <c r="E1535" s="52">
        <v>1</v>
      </c>
      <c r="F1535" s="54" t="s">
        <v>625</v>
      </c>
      <c r="G1535" s="52"/>
      <c r="H1535" s="55"/>
      <c r="I1535" s="56"/>
    </row>
    <row r="1536" spans="2:9" ht="27" x14ac:dyDescent="0.2">
      <c r="B1536" s="51" t="str">
        <f t="shared" si="28"/>
        <v>2018-036-2</v>
      </c>
      <c r="C1536" s="52">
        <v>2018</v>
      </c>
      <c r="D1536" s="52" t="s">
        <v>14</v>
      </c>
      <c r="E1536" s="52">
        <v>2</v>
      </c>
      <c r="F1536" s="54" t="s">
        <v>1020</v>
      </c>
      <c r="G1536" s="52" t="s">
        <v>3391</v>
      </c>
      <c r="H1536" s="55"/>
      <c r="I1536" s="56"/>
    </row>
    <row r="1537" spans="2:9" x14ac:dyDescent="0.2">
      <c r="B1537" s="51" t="str">
        <f t="shared" si="28"/>
        <v>2018-036-3</v>
      </c>
      <c r="C1537" s="52">
        <v>2018</v>
      </c>
      <c r="D1537" s="52" t="s">
        <v>14</v>
      </c>
      <c r="E1537" s="52">
        <v>3</v>
      </c>
      <c r="F1537" s="54" t="s">
        <v>1402</v>
      </c>
      <c r="G1537" s="52"/>
      <c r="H1537" s="55"/>
      <c r="I1537" s="56"/>
    </row>
    <row r="1538" spans="2:9" x14ac:dyDescent="0.2">
      <c r="B1538" s="51" t="str">
        <f t="shared" si="28"/>
        <v>2018-036-4</v>
      </c>
      <c r="C1538" s="52">
        <v>2018</v>
      </c>
      <c r="D1538" s="52" t="s">
        <v>14</v>
      </c>
      <c r="E1538" s="52">
        <v>4</v>
      </c>
      <c r="F1538" s="54" t="s">
        <v>1340</v>
      </c>
      <c r="G1538" s="52"/>
      <c r="H1538" s="55"/>
      <c r="I1538" s="56"/>
    </row>
    <row r="1539" spans="2:9" x14ac:dyDescent="0.2">
      <c r="B1539" s="57" t="str">
        <f t="shared" si="28"/>
        <v>2018-036-5</v>
      </c>
      <c r="C1539" s="58">
        <v>2018</v>
      </c>
      <c r="D1539" s="58" t="s">
        <v>14</v>
      </c>
      <c r="E1539" s="58">
        <v>5</v>
      </c>
      <c r="F1539" s="59" t="s">
        <v>580</v>
      </c>
      <c r="G1539" s="58"/>
      <c r="H1539" s="60"/>
      <c r="I1539" s="61"/>
    </row>
    <row r="1540" spans="2:9" x14ac:dyDescent="0.2">
      <c r="B1540" s="62" t="str">
        <f t="shared" si="28"/>
        <v>2018-037-0</v>
      </c>
      <c r="C1540" s="63">
        <v>2018</v>
      </c>
      <c r="D1540" s="63" t="s">
        <v>15</v>
      </c>
      <c r="E1540" s="63">
        <v>0</v>
      </c>
      <c r="F1540" s="64" t="s">
        <v>258</v>
      </c>
      <c r="G1540" s="63"/>
      <c r="H1540" s="65"/>
      <c r="I1540" s="66"/>
    </row>
    <row r="1541" spans="2:9" ht="40.5" x14ac:dyDescent="0.2">
      <c r="B1541" s="51" t="str">
        <f t="shared" si="28"/>
        <v>2018-037-1</v>
      </c>
      <c r="C1541" s="52">
        <v>2018</v>
      </c>
      <c r="D1541" s="52" t="s">
        <v>15</v>
      </c>
      <c r="E1541" s="52">
        <v>1</v>
      </c>
      <c r="F1541" s="54" t="s">
        <v>626</v>
      </c>
      <c r="G1541" s="52" t="s">
        <v>3391</v>
      </c>
      <c r="H1541" s="55"/>
      <c r="I1541" s="56"/>
    </row>
    <row r="1542" spans="2:9" x14ac:dyDescent="0.2">
      <c r="B1542" s="51" t="str">
        <f t="shared" si="28"/>
        <v>2018-037-2</v>
      </c>
      <c r="C1542" s="52">
        <v>2018</v>
      </c>
      <c r="D1542" s="52" t="s">
        <v>15</v>
      </c>
      <c r="E1542" s="52">
        <v>2</v>
      </c>
      <c r="F1542" s="54" t="s">
        <v>1021</v>
      </c>
      <c r="G1542" s="52"/>
      <c r="H1542" s="55"/>
      <c r="I1542" s="56"/>
    </row>
    <row r="1543" spans="2:9" ht="27" x14ac:dyDescent="0.2">
      <c r="B1543" s="51" t="str">
        <f t="shared" si="28"/>
        <v>2018-037-3</v>
      </c>
      <c r="C1543" s="52">
        <v>2018</v>
      </c>
      <c r="D1543" s="52" t="s">
        <v>15</v>
      </c>
      <c r="E1543" s="52">
        <v>3</v>
      </c>
      <c r="F1543" s="54" t="s">
        <v>1403</v>
      </c>
      <c r="G1543" s="52"/>
      <c r="H1543" s="55"/>
      <c r="I1543" s="56"/>
    </row>
    <row r="1544" spans="2:9" ht="27" x14ac:dyDescent="0.2">
      <c r="B1544" s="51" t="str">
        <f t="shared" si="28"/>
        <v>2018-037-4</v>
      </c>
      <c r="C1544" s="52">
        <v>2018</v>
      </c>
      <c r="D1544" s="52" t="s">
        <v>15</v>
      </c>
      <c r="E1544" s="52">
        <v>4</v>
      </c>
      <c r="F1544" s="54" t="s">
        <v>1771</v>
      </c>
      <c r="G1544" s="52"/>
      <c r="H1544" s="55"/>
      <c r="I1544" s="56"/>
    </row>
    <row r="1545" spans="2:9" x14ac:dyDescent="0.2">
      <c r="B1545" s="57" t="str">
        <f t="shared" si="28"/>
        <v>2018-037-5</v>
      </c>
      <c r="C1545" s="58">
        <v>2018</v>
      </c>
      <c r="D1545" s="58" t="s">
        <v>15</v>
      </c>
      <c r="E1545" s="58">
        <v>5</v>
      </c>
      <c r="F1545" s="59" t="s">
        <v>2134</v>
      </c>
      <c r="G1545" s="58"/>
      <c r="H1545" s="60"/>
      <c r="I1545" s="61"/>
    </row>
    <row r="1546" spans="2:9" x14ac:dyDescent="0.2">
      <c r="B1546" s="62" t="str">
        <f t="shared" si="28"/>
        <v>2018-038-0</v>
      </c>
      <c r="C1546" s="63">
        <v>2018</v>
      </c>
      <c r="D1546" s="63" t="s">
        <v>16</v>
      </c>
      <c r="E1546" s="63">
        <v>0</v>
      </c>
      <c r="F1546" s="64" t="s">
        <v>127</v>
      </c>
      <c r="G1546" s="63"/>
      <c r="H1546" s="65"/>
      <c r="I1546" s="66"/>
    </row>
    <row r="1547" spans="2:9" ht="27" x14ac:dyDescent="0.2">
      <c r="B1547" s="51" t="str">
        <f t="shared" si="28"/>
        <v>2018-038-1</v>
      </c>
      <c r="C1547" s="52">
        <v>2018</v>
      </c>
      <c r="D1547" s="52" t="s">
        <v>16</v>
      </c>
      <c r="E1547" s="52">
        <v>1</v>
      </c>
      <c r="F1547" s="54" t="s">
        <v>627</v>
      </c>
      <c r="G1547" s="52" t="s">
        <v>3391</v>
      </c>
      <c r="H1547" s="55"/>
      <c r="I1547" s="56"/>
    </row>
    <row r="1548" spans="2:9" ht="27" x14ac:dyDescent="0.2">
      <c r="B1548" s="51" t="str">
        <f t="shared" si="28"/>
        <v>2018-038-2</v>
      </c>
      <c r="C1548" s="52">
        <v>2018</v>
      </c>
      <c r="D1548" s="52" t="s">
        <v>16</v>
      </c>
      <c r="E1548" s="52">
        <v>2</v>
      </c>
      <c r="F1548" s="54" t="s">
        <v>1022</v>
      </c>
      <c r="G1548" s="52"/>
      <c r="H1548" s="55"/>
      <c r="I1548" s="56"/>
    </row>
    <row r="1549" spans="2:9" x14ac:dyDescent="0.2">
      <c r="B1549" s="51" t="str">
        <f t="shared" si="28"/>
        <v>2018-038-3</v>
      </c>
      <c r="C1549" s="52">
        <v>2018</v>
      </c>
      <c r="D1549" s="52" t="s">
        <v>16</v>
      </c>
      <c r="E1549" s="52">
        <v>3</v>
      </c>
      <c r="F1549" s="54" t="s">
        <v>1404</v>
      </c>
      <c r="G1549" s="52"/>
      <c r="H1549" s="55"/>
      <c r="I1549" s="56"/>
    </row>
    <row r="1550" spans="2:9" x14ac:dyDescent="0.2">
      <c r="B1550" s="51" t="str">
        <f t="shared" si="28"/>
        <v>2018-038-4</v>
      </c>
      <c r="C1550" s="52">
        <v>2018</v>
      </c>
      <c r="D1550" s="52" t="s">
        <v>16</v>
      </c>
      <c r="E1550" s="52">
        <v>4</v>
      </c>
      <c r="F1550" s="54" t="s">
        <v>725</v>
      </c>
      <c r="G1550" s="52"/>
      <c r="H1550" s="55"/>
      <c r="I1550" s="56"/>
    </row>
    <row r="1551" spans="2:9" x14ac:dyDescent="0.2">
      <c r="B1551" s="57" t="str">
        <f t="shared" si="28"/>
        <v>2018-038-5</v>
      </c>
      <c r="C1551" s="58">
        <v>2018</v>
      </c>
      <c r="D1551" s="58" t="s">
        <v>16</v>
      </c>
      <c r="E1551" s="58">
        <v>5</v>
      </c>
      <c r="F1551" s="59" t="s">
        <v>977</v>
      </c>
      <c r="G1551" s="58"/>
      <c r="H1551" s="60"/>
      <c r="I1551" s="61"/>
    </row>
    <row r="1552" spans="2:9" ht="108" x14ac:dyDescent="0.2">
      <c r="B1552" s="62" t="str">
        <f t="shared" si="28"/>
        <v>2018-039-0</v>
      </c>
      <c r="C1552" s="63">
        <v>2018</v>
      </c>
      <c r="D1552" s="63" t="s">
        <v>17</v>
      </c>
      <c r="E1552" s="63">
        <v>0</v>
      </c>
      <c r="F1552" s="64" t="s">
        <v>259</v>
      </c>
      <c r="G1552" s="63"/>
      <c r="H1552" s="65"/>
      <c r="I1552" s="66"/>
    </row>
    <row r="1553" spans="2:9" x14ac:dyDescent="0.2">
      <c r="B1553" s="51" t="str">
        <f t="shared" si="28"/>
        <v>2018-039-1</v>
      </c>
      <c r="C1553" s="52">
        <v>2018</v>
      </c>
      <c r="D1553" s="52" t="s">
        <v>17</v>
      </c>
      <c r="E1553" s="52">
        <v>1</v>
      </c>
      <c r="F1553" s="54" t="s">
        <v>20</v>
      </c>
      <c r="G1553" s="52"/>
      <c r="H1553" s="55"/>
      <c r="I1553" s="56"/>
    </row>
    <row r="1554" spans="2:9" x14ac:dyDescent="0.2">
      <c r="B1554" s="51" t="str">
        <f t="shared" si="28"/>
        <v>2018-039-2</v>
      </c>
      <c r="C1554" s="52">
        <v>2018</v>
      </c>
      <c r="D1554" s="52" t="s">
        <v>17</v>
      </c>
      <c r="E1554" s="52">
        <v>2</v>
      </c>
      <c r="F1554" s="54" t="s">
        <v>25</v>
      </c>
      <c r="G1554" s="52" t="s">
        <v>3391</v>
      </c>
      <c r="H1554" s="55"/>
      <c r="I1554" s="56"/>
    </row>
    <row r="1555" spans="2:9" x14ac:dyDescent="0.2">
      <c r="B1555" s="51" t="str">
        <f t="shared" si="28"/>
        <v>2018-039-3</v>
      </c>
      <c r="C1555" s="52">
        <v>2018</v>
      </c>
      <c r="D1555" s="52" t="s">
        <v>17</v>
      </c>
      <c r="E1555" s="52">
        <v>3</v>
      </c>
      <c r="F1555" s="54" t="s">
        <v>35</v>
      </c>
      <c r="G1555" s="52"/>
      <c r="H1555" s="55"/>
      <c r="I1555" s="56"/>
    </row>
    <row r="1556" spans="2:9" x14ac:dyDescent="0.2">
      <c r="B1556" s="51" t="str">
        <f t="shared" si="28"/>
        <v>2018-039-4</v>
      </c>
      <c r="C1556" s="52">
        <v>2018</v>
      </c>
      <c r="D1556" s="52" t="s">
        <v>17</v>
      </c>
      <c r="E1556" s="52">
        <v>4</v>
      </c>
      <c r="F1556" s="54" t="s">
        <v>38</v>
      </c>
      <c r="G1556" s="52"/>
      <c r="H1556" s="55"/>
      <c r="I1556" s="56"/>
    </row>
    <row r="1557" spans="2:9" x14ac:dyDescent="0.2">
      <c r="B1557" s="57" t="str">
        <f t="shared" si="28"/>
        <v>2018-039-5</v>
      </c>
      <c r="C1557" s="58">
        <v>2018</v>
      </c>
      <c r="D1557" s="58" t="s">
        <v>17</v>
      </c>
      <c r="E1557" s="58">
        <v>5</v>
      </c>
      <c r="F1557" s="59" t="s">
        <v>32</v>
      </c>
      <c r="G1557" s="58"/>
      <c r="H1557" s="60"/>
      <c r="I1557" s="61"/>
    </row>
    <row r="1558" spans="2:9" x14ac:dyDescent="0.2">
      <c r="B1558" s="62" t="str">
        <f t="shared" si="28"/>
        <v>2018-040-0</v>
      </c>
      <c r="C1558" s="63">
        <v>2018</v>
      </c>
      <c r="D1558" s="63" t="s">
        <v>18</v>
      </c>
      <c r="E1558" s="63">
        <v>0</v>
      </c>
      <c r="F1558" s="64" t="s">
        <v>161</v>
      </c>
      <c r="G1558" s="63"/>
      <c r="H1558" s="65"/>
      <c r="I1558" s="66"/>
    </row>
    <row r="1559" spans="2:9" x14ac:dyDescent="0.2">
      <c r="B1559" s="51" t="str">
        <f t="shared" si="28"/>
        <v>2018-040-1</v>
      </c>
      <c r="C1559" s="52">
        <v>2018</v>
      </c>
      <c r="D1559" s="52" t="s">
        <v>18</v>
      </c>
      <c r="E1559" s="52">
        <v>1</v>
      </c>
      <c r="F1559" s="54" t="s">
        <v>628</v>
      </c>
      <c r="G1559" s="52"/>
      <c r="H1559" s="55"/>
      <c r="I1559" s="56"/>
    </row>
    <row r="1560" spans="2:9" x14ac:dyDescent="0.2">
      <c r="B1560" s="51" t="str">
        <f t="shared" si="28"/>
        <v>2018-040-2</v>
      </c>
      <c r="C1560" s="52">
        <v>2018</v>
      </c>
      <c r="D1560" s="52" t="s">
        <v>18</v>
      </c>
      <c r="E1560" s="52">
        <v>2</v>
      </c>
      <c r="F1560" s="54" t="s">
        <v>515</v>
      </c>
      <c r="G1560" s="52"/>
      <c r="H1560" s="55"/>
      <c r="I1560" s="56"/>
    </row>
    <row r="1561" spans="2:9" ht="27" x14ac:dyDescent="0.2">
      <c r="B1561" s="51" t="str">
        <f t="shared" si="28"/>
        <v>2018-040-3</v>
      </c>
      <c r="C1561" s="52">
        <v>2018</v>
      </c>
      <c r="D1561" s="52" t="s">
        <v>18</v>
      </c>
      <c r="E1561" s="52">
        <v>3</v>
      </c>
      <c r="F1561" s="54" t="s">
        <v>1405</v>
      </c>
      <c r="G1561" s="52"/>
      <c r="H1561" s="55"/>
      <c r="I1561" s="56"/>
    </row>
    <row r="1562" spans="2:9" ht="27" x14ac:dyDescent="0.2">
      <c r="B1562" s="51" t="str">
        <f t="shared" si="28"/>
        <v>2018-040-4</v>
      </c>
      <c r="C1562" s="52">
        <v>2018</v>
      </c>
      <c r="D1562" s="52" t="s">
        <v>18</v>
      </c>
      <c r="E1562" s="52">
        <v>4</v>
      </c>
      <c r="F1562" s="54" t="s">
        <v>1772</v>
      </c>
      <c r="G1562" s="52"/>
      <c r="H1562" s="55"/>
      <c r="I1562" s="56"/>
    </row>
    <row r="1563" spans="2:9" x14ac:dyDescent="0.2">
      <c r="B1563" s="57" t="str">
        <f t="shared" si="28"/>
        <v>2018-040-5</v>
      </c>
      <c r="C1563" s="58">
        <v>2018</v>
      </c>
      <c r="D1563" s="58" t="s">
        <v>18</v>
      </c>
      <c r="E1563" s="58">
        <v>5</v>
      </c>
      <c r="F1563" s="59" t="s">
        <v>2135</v>
      </c>
      <c r="G1563" s="58" t="s">
        <v>3391</v>
      </c>
      <c r="H1563" s="60"/>
      <c r="I1563" s="61"/>
    </row>
    <row r="1564" spans="2:9" x14ac:dyDescent="0.2">
      <c r="B1564" s="62" t="str">
        <f t="shared" si="28"/>
        <v>2018-041-0</v>
      </c>
      <c r="C1564" s="63">
        <v>2018</v>
      </c>
      <c r="D1564" s="63" t="s">
        <v>72</v>
      </c>
      <c r="E1564" s="63">
        <v>0</v>
      </c>
      <c r="F1564" s="64" t="s">
        <v>260</v>
      </c>
      <c r="G1564" s="63"/>
      <c r="H1564" s="65"/>
      <c r="I1564" s="66"/>
    </row>
    <row r="1565" spans="2:9" x14ac:dyDescent="0.2">
      <c r="B1565" s="51" t="str">
        <f t="shared" si="28"/>
        <v>2018-041-1</v>
      </c>
      <c r="C1565" s="52">
        <v>2018</v>
      </c>
      <c r="D1565" s="52" t="s">
        <v>72</v>
      </c>
      <c r="E1565" s="52">
        <v>1</v>
      </c>
      <c r="F1565" s="54" t="s">
        <v>629</v>
      </c>
      <c r="G1565" s="52"/>
      <c r="H1565" s="55"/>
      <c r="I1565" s="56"/>
    </row>
    <row r="1566" spans="2:9" x14ac:dyDescent="0.2">
      <c r="B1566" s="51" t="str">
        <f t="shared" si="28"/>
        <v>2018-041-2</v>
      </c>
      <c r="C1566" s="52">
        <v>2018</v>
      </c>
      <c r="D1566" s="52" t="s">
        <v>72</v>
      </c>
      <c r="E1566" s="52">
        <v>2</v>
      </c>
      <c r="F1566" s="54" t="s">
        <v>562</v>
      </c>
      <c r="G1566" s="52"/>
      <c r="H1566" s="55"/>
      <c r="I1566" s="56"/>
    </row>
    <row r="1567" spans="2:9" x14ac:dyDescent="0.2">
      <c r="B1567" s="51" t="str">
        <f t="shared" si="28"/>
        <v>2018-041-3</v>
      </c>
      <c r="C1567" s="52">
        <v>2018</v>
      </c>
      <c r="D1567" s="52" t="s">
        <v>72</v>
      </c>
      <c r="E1567" s="52">
        <v>3</v>
      </c>
      <c r="F1567" s="54" t="s">
        <v>1406</v>
      </c>
      <c r="G1567" s="52"/>
      <c r="H1567" s="55"/>
      <c r="I1567" s="56"/>
    </row>
    <row r="1568" spans="2:9" ht="27" x14ac:dyDescent="0.2">
      <c r="B1568" s="51" t="str">
        <f t="shared" si="28"/>
        <v>2018-041-4</v>
      </c>
      <c r="C1568" s="52">
        <v>2018</v>
      </c>
      <c r="D1568" s="52" t="s">
        <v>72</v>
      </c>
      <c r="E1568" s="52">
        <v>4</v>
      </c>
      <c r="F1568" s="54" t="s">
        <v>1773</v>
      </c>
      <c r="G1568" s="52"/>
      <c r="H1568" s="55"/>
      <c r="I1568" s="56"/>
    </row>
    <row r="1569" spans="2:9" x14ac:dyDescent="0.2">
      <c r="B1569" s="57" t="str">
        <f t="shared" si="28"/>
        <v>2018-041-5</v>
      </c>
      <c r="C1569" s="58">
        <v>2018</v>
      </c>
      <c r="D1569" s="58" t="s">
        <v>72</v>
      </c>
      <c r="E1569" s="58">
        <v>5</v>
      </c>
      <c r="F1569" s="59" t="s">
        <v>2136</v>
      </c>
      <c r="G1569" s="58" t="s">
        <v>3391</v>
      </c>
      <c r="H1569" s="60"/>
      <c r="I1569" s="61"/>
    </row>
    <row r="1570" spans="2:9" x14ac:dyDescent="0.2">
      <c r="B1570" s="62" t="str">
        <f t="shared" si="28"/>
        <v>2018-042-0</v>
      </c>
      <c r="C1570" s="63">
        <v>2018</v>
      </c>
      <c r="D1570" s="63" t="s">
        <v>73</v>
      </c>
      <c r="E1570" s="63">
        <v>0</v>
      </c>
      <c r="F1570" s="64" t="s">
        <v>261</v>
      </c>
      <c r="G1570" s="63"/>
      <c r="H1570" s="65"/>
      <c r="I1570" s="66"/>
    </row>
    <row r="1571" spans="2:9" ht="27" x14ac:dyDescent="0.2">
      <c r="B1571" s="51" t="str">
        <f t="shared" ref="B1571:B1623" si="29">C1571&amp;"-"&amp;D1571&amp;"-"&amp;E1571</f>
        <v>2018-042-1</v>
      </c>
      <c r="C1571" s="52">
        <v>2018</v>
      </c>
      <c r="D1571" s="52" t="s">
        <v>73</v>
      </c>
      <c r="E1571" s="52">
        <v>1</v>
      </c>
      <c r="F1571" s="54" t="s">
        <v>630</v>
      </c>
      <c r="G1571" s="52"/>
      <c r="H1571" s="55"/>
      <c r="I1571" s="56"/>
    </row>
    <row r="1572" spans="2:9" x14ac:dyDescent="0.2">
      <c r="B1572" s="51" t="str">
        <f t="shared" si="29"/>
        <v>2018-042-2</v>
      </c>
      <c r="C1572" s="52">
        <v>2018</v>
      </c>
      <c r="D1572" s="52" t="s">
        <v>73</v>
      </c>
      <c r="E1572" s="52">
        <v>2</v>
      </c>
      <c r="F1572" s="54" t="s">
        <v>1023</v>
      </c>
      <c r="G1572" s="52"/>
      <c r="H1572" s="55"/>
      <c r="I1572" s="56"/>
    </row>
    <row r="1573" spans="2:9" ht="27" x14ac:dyDescent="0.2">
      <c r="B1573" s="51" t="str">
        <f t="shared" si="29"/>
        <v>2018-042-3</v>
      </c>
      <c r="C1573" s="52">
        <v>2018</v>
      </c>
      <c r="D1573" s="52" t="s">
        <v>73</v>
      </c>
      <c r="E1573" s="52">
        <v>3</v>
      </c>
      <c r="F1573" s="54" t="s">
        <v>1407</v>
      </c>
      <c r="G1573" s="52" t="s">
        <v>3391</v>
      </c>
      <c r="H1573" s="55"/>
      <c r="I1573" s="56"/>
    </row>
    <row r="1574" spans="2:9" x14ac:dyDescent="0.2">
      <c r="B1574" s="51" t="str">
        <f t="shared" si="29"/>
        <v>2018-042-4</v>
      </c>
      <c r="C1574" s="52">
        <v>2018</v>
      </c>
      <c r="D1574" s="52" t="s">
        <v>73</v>
      </c>
      <c r="E1574" s="52">
        <v>4</v>
      </c>
      <c r="F1574" s="54" t="s">
        <v>1774</v>
      </c>
      <c r="G1574" s="52"/>
      <c r="H1574" s="55"/>
      <c r="I1574" s="56"/>
    </row>
    <row r="1575" spans="2:9" x14ac:dyDescent="0.2">
      <c r="B1575" s="57" t="str">
        <f t="shared" si="29"/>
        <v>2018-042-5</v>
      </c>
      <c r="C1575" s="58">
        <v>2018</v>
      </c>
      <c r="D1575" s="58" t="s">
        <v>73</v>
      </c>
      <c r="E1575" s="58">
        <v>5</v>
      </c>
      <c r="F1575" s="59" t="s">
        <v>2137</v>
      </c>
      <c r="G1575" s="58"/>
      <c r="H1575" s="60"/>
      <c r="I1575" s="61"/>
    </row>
    <row r="1576" spans="2:9" x14ac:dyDescent="0.2">
      <c r="B1576" s="62" t="str">
        <f t="shared" si="29"/>
        <v>2018-043-0</v>
      </c>
      <c r="C1576" s="63">
        <v>2018</v>
      </c>
      <c r="D1576" s="63" t="s">
        <v>74</v>
      </c>
      <c r="E1576" s="63">
        <v>0</v>
      </c>
      <c r="F1576" s="64" t="s">
        <v>262</v>
      </c>
      <c r="G1576" s="63"/>
      <c r="H1576" s="65"/>
      <c r="I1576" s="66"/>
    </row>
    <row r="1577" spans="2:9" x14ac:dyDescent="0.2">
      <c r="B1577" s="51" t="str">
        <f t="shared" si="29"/>
        <v>2018-043-1</v>
      </c>
      <c r="C1577" s="52">
        <v>2018</v>
      </c>
      <c r="D1577" s="52" t="s">
        <v>74</v>
      </c>
      <c r="E1577" s="52">
        <v>1</v>
      </c>
      <c r="F1577" s="54" t="s">
        <v>631</v>
      </c>
      <c r="G1577" s="52"/>
      <c r="H1577" s="55"/>
      <c r="I1577" s="56"/>
    </row>
    <row r="1578" spans="2:9" x14ac:dyDescent="0.2">
      <c r="B1578" s="51" t="str">
        <f t="shared" si="29"/>
        <v>2018-043-2</v>
      </c>
      <c r="C1578" s="52">
        <v>2018</v>
      </c>
      <c r="D1578" s="52" t="s">
        <v>74</v>
      </c>
      <c r="E1578" s="52">
        <v>2</v>
      </c>
      <c r="F1578" s="54" t="s">
        <v>1024</v>
      </c>
      <c r="G1578" s="52"/>
      <c r="H1578" s="55"/>
      <c r="I1578" s="56"/>
    </row>
    <row r="1579" spans="2:9" x14ac:dyDescent="0.2">
      <c r="B1579" s="51" t="str">
        <f t="shared" si="29"/>
        <v>2018-043-3</v>
      </c>
      <c r="C1579" s="52">
        <v>2018</v>
      </c>
      <c r="D1579" s="52" t="s">
        <v>74</v>
      </c>
      <c r="E1579" s="52">
        <v>3</v>
      </c>
      <c r="F1579" s="54" t="s">
        <v>1408</v>
      </c>
      <c r="G1579" s="52" t="s">
        <v>3391</v>
      </c>
      <c r="H1579" s="55"/>
      <c r="I1579" s="56"/>
    </row>
    <row r="1580" spans="2:9" x14ac:dyDescent="0.2">
      <c r="B1580" s="51" t="str">
        <f t="shared" si="29"/>
        <v>2018-043-4</v>
      </c>
      <c r="C1580" s="52">
        <v>2018</v>
      </c>
      <c r="D1580" s="52" t="s">
        <v>74</v>
      </c>
      <c r="E1580" s="52">
        <v>4</v>
      </c>
      <c r="F1580" s="54" t="s">
        <v>1775</v>
      </c>
      <c r="G1580" s="52"/>
      <c r="H1580" s="55"/>
      <c r="I1580" s="56"/>
    </row>
    <row r="1581" spans="2:9" x14ac:dyDescent="0.2">
      <c r="B1581" s="57" t="str">
        <f t="shared" si="29"/>
        <v>2018-043-5</v>
      </c>
      <c r="C1581" s="58">
        <v>2018</v>
      </c>
      <c r="D1581" s="58" t="s">
        <v>74</v>
      </c>
      <c r="E1581" s="58">
        <v>5</v>
      </c>
      <c r="F1581" s="59" t="s">
        <v>2138</v>
      </c>
      <c r="G1581" s="58"/>
      <c r="H1581" s="60"/>
      <c r="I1581" s="61"/>
    </row>
    <row r="1582" spans="2:9" x14ac:dyDescent="0.2">
      <c r="B1582" s="62" t="str">
        <f t="shared" si="29"/>
        <v>2018-044-0</v>
      </c>
      <c r="C1582" s="63">
        <v>2018</v>
      </c>
      <c r="D1582" s="63" t="s">
        <v>75</v>
      </c>
      <c r="E1582" s="63">
        <v>0</v>
      </c>
      <c r="F1582" s="64" t="s">
        <v>263</v>
      </c>
      <c r="G1582" s="63"/>
      <c r="H1582" s="65"/>
      <c r="I1582" s="66"/>
    </row>
    <row r="1583" spans="2:9" x14ac:dyDescent="0.2">
      <c r="B1583" s="51" t="str">
        <f t="shared" si="29"/>
        <v>2018-044-1</v>
      </c>
      <c r="C1583" s="52">
        <v>2018</v>
      </c>
      <c r="D1583" s="52" t="s">
        <v>75</v>
      </c>
      <c r="E1583" s="52">
        <v>1</v>
      </c>
      <c r="F1583" s="54" t="s">
        <v>632</v>
      </c>
      <c r="G1583" s="52"/>
      <c r="H1583" s="55"/>
      <c r="I1583" s="56"/>
    </row>
    <row r="1584" spans="2:9" x14ac:dyDescent="0.2">
      <c r="B1584" s="51" t="str">
        <f t="shared" si="29"/>
        <v>2018-044-2</v>
      </c>
      <c r="C1584" s="52">
        <v>2018</v>
      </c>
      <c r="D1584" s="52" t="s">
        <v>75</v>
      </c>
      <c r="E1584" s="52">
        <v>2</v>
      </c>
      <c r="F1584" s="54" t="s">
        <v>1025</v>
      </c>
      <c r="G1584" s="52"/>
      <c r="H1584" s="55"/>
      <c r="I1584" s="56"/>
    </row>
    <row r="1585" spans="2:9" ht="27" x14ac:dyDescent="0.2">
      <c r="B1585" s="51" t="str">
        <f t="shared" si="29"/>
        <v>2018-044-3</v>
      </c>
      <c r="C1585" s="52">
        <v>2018</v>
      </c>
      <c r="D1585" s="52" t="s">
        <v>75</v>
      </c>
      <c r="E1585" s="52">
        <v>3</v>
      </c>
      <c r="F1585" s="54" t="s">
        <v>1409</v>
      </c>
      <c r="G1585" s="52"/>
      <c r="H1585" s="55"/>
      <c r="I1585" s="56"/>
    </row>
    <row r="1586" spans="2:9" ht="27" x14ac:dyDescent="0.2">
      <c r="B1586" s="51" t="str">
        <f t="shared" si="29"/>
        <v>2018-044-4</v>
      </c>
      <c r="C1586" s="52">
        <v>2018</v>
      </c>
      <c r="D1586" s="52" t="s">
        <v>75</v>
      </c>
      <c r="E1586" s="52">
        <v>4</v>
      </c>
      <c r="F1586" s="54" t="s">
        <v>1776</v>
      </c>
      <c r="G1586" s="52"/>
      <c r="H1586" s="55"/>
      <c r="I1586" s="56"/>
    </row>
    <row r="1587" spans="2:9" x14ac:dyDescent="0.2">
      <c r="B1587" s="57" t="str">
        <f t="shared" si="29"/>
        <v>2018-044-5</v>
      </c>
      <c r="C1587" s="58">
        <v>2018</v>
      </c>
      <c r="D1587" s="58" t="s">
        <v>75</v>
      </c>
      <c r="E1587" s="58">
        <v>5</v>
      </c>
      <c r="F1587" s="59" t="s">
        <v>2003</v>
      </c>
      <c r="G1587" s="58" t="s">
        <v>3391</v>
      </c>
      <c r="H1587" s="60"/>
      <c r="I1587" s="61"/>
    </row>
    <row r="1588" spans="2:9" ht="27" x14ac:dyDescent="0.2">
      <c r="B1588" s="62" t="str">
        <f t="shared" si="29"/>
        <v>2018-045-0</v>
      </c>
      <c r="C1588" s="63">
        <v>2018</v>
      </c>
      <c r="D1588" s="63" t="s">
        <v>76</v>
      </c>
      <c r="E1588" s="63">
        <v>0</v>
      </c>
      <c r="F1588" s="64" t="s">
        <v>264</v>
      </c>
      <c r="G1588" s="63"/>
      <c r="H1588" s="65"/>
      <c r="I1588" s="66"/>
    </row>
    <row r="1589" spans="2:9" ht="27" x14ac:dyDescent="0.2">
      <c r="B1589" s="51" t="str">
        <f t="shared" si="29"/>
        <v>2018-045-1</v>
      </c>
      <c r="C1589" s="52">
        <v>2018</v>
      </c>
      <c r="D1589" s="52" t="s">
        <v>76</v>
      </c>
      <c r="E1589" s="52">
        <v>1</v>
      </c>
      <c r="F1589" s="54" t="s">
        <v>633</v>
      </c>
      <c r="G1589" s="52"/>
      <c r="H1589" s="55"/>
      <c r="I1589" s="56"/>
    </row>
    <row r="1590" spans="2:9" x14ac:dyDescent="0.2">
      <c r="B1590" s="51" t="str">
        <f t="shared" si="29"/>
        <v>2018-045-2</v>
      </c>
      <c r="C1590" s="52">
        <v>2018</v>
      </c>
      <c r="D1590" s="52" t="s">
        <v>76</v>
      </c>
      <c r="E1590" s="52">
        <v>2</v>
      </c>
      <c r="F1590" s="54" t="s">
        <v>1026</v>
      </c>
      <c r="G1590" s="52"/>
      <c r="H1590" s="55"/>
      <c r="I1590" s="56"/>
    </row>
    <row r="1591" spans="2:9" ht="27" x14ac:dyDescent="0.2">
      <c r="B1591" s="51" t="str">
        <f t="shared" si="29"/>
        <v>2018-045-3</v>
      </c>
      <c r="C1591" s="52">
        <v>2018</v>
      </c>
      <c r="D1591" s="52" t="s">
        <v>76</v>
      </c>
      <c r="E1591" s="52">
        <v>3</v>
      </c>
      <c r="F1591" s="54" t="s">
        <v>1410</v>
      </c>
      <c r="G1591" s="52" t="s">
        <v>3391</v>
      </c>
      <c r="H1591" s="55"/>
      <c r="I1591" s="56"/>
    </row>
    <row r="1592" spans="2:9" x14ac:dyDescent="0.2">
      <c r="B1592" s="51" t="str">
        <f t="shared" si="29"/>
        <v>2018-045-4</v>
      </c>
      <c r="C1592" s="52">
        <v>2018</v>
      </c>
      <c r="D1592" s="52" t="s">
        <v>76</v>
      </c>
      <c r="E1592" s="52">
        <v>4</v>
      </c>
      <c r="F1592" s="54" t="s">
        <v>1777</v>
      </c>
      <c r="G1592" s="52"/>
      <c r="H1592" s="55"/>
      <c r="I1592" s="56"/>
    </row>
    <row r="1593" spans="2:9" x14ac:dyDescent="0.2">
      <c r="B1593" s="57" t="str">
        <f t="shared" si="29"/>
        <v>2018-045-5</v>
      </c>
      <c r="C1593" s="58">
        <v>2018</v>
      </c>
      <c r="D1593" s="58" t="s">
        <v>76</v>
      </c>
      <c r="E1593" s="58">
        <v>5</v>
      </c>
      <c r="F1593" s="59" t="s">
        <v>2139</v>
      </c>
      <c r="G1593" s="58"/>
      <c r="H1593" s="60"/>
      <c r="I1593" s="61"/>
    </row>
    <row r="1594" spans="2:9" x14ac:dyDescent="0.2">
      <c r="B1594" s="62" t="str">
        <f t="shared" si="29"/>
        <v>2018-046-0</v>
      </c>
      <c r="C1594" s="63">
        <v>2018</v>
      </c>
      <c r="D1594" s="63" t="s">
        <v>77</v>
      </c>
      <c r="E1594" s="63">
        <v>0</v>
      </c>
      <c r="F1594" s="64" t="s">
        <v>248</v>
      </c>
      <c r="G1594" s="63"/>
      <c r="H1594" s="65"/>
      <c r="I1594" s="66"/>
    </row>
    <row r="1595" spans="2:9" ht="27" x14ac:dyDescent="0.2">
      <c r="B1595" s="51" t="str">
        <f t="shared" si="29"/>
        <v>2018-046-1</v>
      </c>
      <c r="C1595" s="52">
        <v>2018</v>
      </c>
      <c r="D1595" s="52" t="s">
        <v>77</v>
      </c>
      <c r="E1595" s="52">
        <v>1</v>
      </c>
      <c r="F1595" s="54" t="s">
        <v>634</v>
      </c>
      <c r="G1595" s="52"/>
      <c r="H1595" s="55"/>
      <c r="I1595" s="56"/>
    </row>
    <row r="1596" spans="2:9" ht="27" x14ac:dyDescent="0.2">
      <c r="B1596" s="51" t="str">
        <f t="shared" si="29"/>
        <v>2018-046-2</v>
      </c>
      <c r="C1596" s="52">
        <v>2018</v>
      </c>
      <c r="D1596" s="52" t="s">
        <v>77</v>
      </c>
      <c r="E1596" s="52">
        <v>2</v>
      </c>
      <c r="F1596" s="54" t="s">
        <v>1027</v>
      </c>
      <c r="G1596" s="52"/>
      <c r="H1596" s="55"/>
      <c r="I1596" s="56"/>
    </row>
    <row r="1597" spans="2:9" ht="27" x14ac:dyDescent="0.2">
      <c r="B1597" s="51" t="str">
        <f t="shared" si="29"/>
        <v>2018-046-3</v>
      </c>
      <c r="C1597" s="52">
        <v>2018</v>
      </c>
      <c r="D1597" s="52" t="s">
        <v>77</v>
      </c>
      <c r="E1597" s="52">
        <v>3</v>
      </c>
      <c r="F1597" s="54" t="s">
        <v>1411</v>
      </c>
      <c r="G1597" s="52"/>
      <c r="H1597" s="55"/>
      <c r="I1597" s="56"/>
    </row>
    <row r="1598" spans="2:9" x14ac:dyDescent="0.2">
      <c r="B1598" s="51" t="str">
        <f t="shared" si="29"/>
        <v>2018-046-4</v>
      </c>
      <c r="C1598" s="52">
        <v>2018</v>
      </c>
      <c r="D1598" s="52" t="s">
        <v>77</v>
      </c>
      <c r="E1598" s="52">
        <v>4</v>
      </c>
      <c r="F1598" s="54" t="s">
        <v>1778</v>
      </c>
      <c r="G1598" s="52"/>
      <c r="H1598" s="55"/>
      <c r="I1598" s="56"/>
    </row>
    <row r="1599" spans="2:9" ht="27" x14ac:dyDescent="0.2">
      <c r="B1599" s="57" t="str">
        <f t="shared" si="29"/>
        <v>2018-046-5</v>
      </c>
      <c r="C1599" s="58">
        <v>2018</v>
      </c>
      <c r="D1599" s="58" t="s">
        <v>77</v>
      </c>
      <c r="E1599" s="58">
        <v>5</v>
      </c>
      <c r="F1599" s="59" t="s">
        <v>2140</v>
      </c>
      <c r="G1599" s="58" t="s">
        <v>3391</v>
      </c>
      <c r="H1599" s="60"/>
      <c r="I1599" s="61"/>
    </row>
    <row r="1600" spans="2:9" x14ac:dyDescent="0.2">
      <c r="B1600" s="62" t="str">
        <f t="shared" si="29"/>
        <v>2018-047-0</v>
      </c>
      <c r="C1600" s="63">
        <v>2018</v>
      </c>
      <c r="D1600" s="63" t="s">
        <v>78</v>
      </c>
      <c r="E1600" s="63">
        <v>0</v>
      </c>
      <c r="F1600" s="64" t="s">
        <v>194</v>
      </c>
      <c r="G1600" s="63"/>
      <c r="H1600" s="65"/>
      <c r="I1600" s="66"/>
    </row>
    <row r="1601" spans="2:9" ht="27" x14ac:dyDescent="0.2">
      <c r="B1601" s="51" t="str">
        <f t="shared" si="29"/>
        <v>2018-047-1</v>
      </c>
      <c r="C1601" s="52">
        <v>2018</v>
      </c>
      <c r="D1601" s="52" t="s">
        <v>78</v>
      </c>
      <c r="E1601" s="52">
        <v>1</v>
      </c>
      <c r="F1601" s="54" t="s">
        <v>635</v>
      </c>
      <c r="G1601" s="52"/>
      <c r="H1601" s="55"/>
      <c r="I1601" s="56"/>
    </row>
    <row r="1602" spans="2:9" ht="27" x14ac:dyDescent="0.2">
      <c r="B1602" s="51" t="str">
        <f t="shared" si="29"/>
        <v>2018-047-2</v>
      </c>
      <c r="C1602" s="52">
        <v>2018</v>
      </c>
      <c r="D1602" s="52" t="s">
        <v>78</v>
      </c>
      <c r="E1602" s="52">
        <v>2</v>
      </c>
      <c r="F1602" s="54" t="s">
        <v>1028</v>
      </c>
      <c r="G1602" s="52" t="s">
        <v>3391</v>
      </c>
      <c r="H1602" s="55"/>
      <c r="I1602" s="56"/>
    </row>
    <row r="1603" spans="2:9" ht="27" x14ac:dyDescent="0.2">
      <c r="B1603" s="51" t="str">
        <f t="shared" si="29"/>
        <v>2018-047-3</v>
      </c>
      <c r="C1603" s="52">
        <v>2018</v>
      </c>
      <c r="D1603" s="52" t="s">
        <v>78</v>
      </c>
      <c r="E1603" s="52">
        <v>3</v>
      </c>
      <c r="F1603" s="54" t="s">
        <v>1412</v>
      </c>
      <c r="G1603" s="52"/>
      <c r="H1603" s="55"/>
      <c r="I1603" s="56"/>
    </row>
    <row r="1604" spans="2:9" x14ac:dyDescent="0.2">
      <c r="B1604" s="51" t="str">
        <f t="shared" si="29"/>
        <v>2018-047-4</v>
      </c>
      <c r="C1604" s="52">
        <v>2018</v>
      </c>
      <c r="D1604" s="52" t="s">
        <v>78</v>
      </c>
      <c r="E1604" s="52">
        <v>4</v>
      </c>
      <c r="F1604" s="54" t="s">
        <v>1779</v>
      </c>
      <c r="G1604" s="52"/>
      <c r="H1604" s="55"/>
      <c r="I1604" s="56"/>
    </row>
    <row r="1605" spans="2:9" x14ac:dyDescent="0.2">
      <c r="B1605" s="57" t="str">
        <f t="shared" si="29"/>
        <v>2018-047-5</v>
      </c>
      <c r="C1605" s="58">
        <v>2018</v>
      </c>
      <c r="D1605" s="58" t="s">
        <v>78</v>
      </c>
      <c r="E1605" s="58">
        <v>5</v>
      </c>
      <c r="F1605" s="59" t="s">
        <v>2141</v>
      </c>
      <c r="G1605" s="58"/>
      <c r="H1605" s="60"/>
      <c r="I1605" s="61"/>
    </row>
    <row r="1606" spans="2:9" x14ac:dyDescent="0.2">
      <c r="B1606" s="62" t="str">
        <f t="shared" si="29"/>
        <v>2018-048-0</v>
      </c>
      <c r="C1606" s="63">
        <v>2018</v>
      </c>
      <c r="D1606" s="63" t="s">
        <v>79</v>
      </c>
      <c r="E1606" s="63">
        <v>0</v>
      </c>
      <c r="F1606" s="64" t="s">
        <v>265</v>
      </c>
      <c r="G1606" s="63"/>
      <c r="H1606" s="65"/>
      <c r="I1606" s="66"/>
    </row>
    <row r="1607" spans="2:9" ht="27" x14ac:dyDescent="0.2">
      <c r="B1607" s="51" t="str">
        <f t="shared" si="29"/>
        <v>2018-048-1</v>
      </c>
      <c r="C1607" s="52">
        <v>2018</v>
      </c>
      <c r="D1607" s="52" t="s">
        <v>79</v>
      </c>
      <c r="E1607" s="52">
        <v>1</v>
      </c>
      <c r="F1607" s="54" t="s">
        <v>636</v>
      </c>
      <c r="G1607" s="52"/>
      <c r="H1607" s="55"/>
      <c r="I1607" s="56"/>
    </row>
    <row r="1608" spans="2:9" x14ac:dyDescent="0.2">
      <c r="B1608" s="51" t="str">
        <f t="shared" si="29"/>
        <v>2018-048-2</v>
      </c>
      <c r="C1608" s="52">
        <v>2018</v>
      </c>
      <c r="D1608" s="52" t="s">
        <v>79</v>
      </c>
      <c r="E1608" s="52">
        <v>2</v>
      </c>
      <c r="F1608" s="54" t="s">
        <v>1029</v>
      </c>
      <c r="G1608" s="52"/>
      <c r="H1608" s="55"/>
      <c r="I1608" s="56"/>
    </row>
    <row r="1609" spans="2:9" x14ac:dyDescent="0.2">
      <c r="B1609" s="51" t="str">
        <f t="shared" si="29"/>
        <v>2018-048-3</v>
      </c>
      <c r="C1609" s="52">
        <v>2018</v>
      </c>
      <c r="D1609" s="52" t="s">
        <v>79</v>
      </c>
      <c r="E1609" s="52">
        <v>3</v>
      </c>
      <c r="F1609" s="54" t="s">
        <v>1413</v>
      </c>
      <c r="G1609" s="52" t="s">
        <v>3391</v>
      </c>
      <c r="H1609" s="55"/>
      <c r="I1609" s="56"/>
    </row>
    <row r="1610" spans="2:9" ht="27" x14ac:dyDescent="0.2">
      <c r="B1610" s="51" t="str">
        <f t="shared" si="29"/>
        <v>2018-048-4</v>
      </c>
      <c r="C1610" s="52">
        <v>2018</v>
      </c>
      <c r="D1610" s="52" t="s">
        <v>79</v>
      </c>
      <c r="E1610" s="52">
        <v>4</v>
      </c>
      <c r="F1610" s="54" t="s">
        <v>1780</v>
      </c>
      <c r="G1610" s="52"/>
      <c r="H1610" s="55"/>
      <c r="I1610" s="56"/>
    </row>
    <row r="1611" spans="2:9" x14ac:dyDescent="0.2">
      <c r="B1611" s="57" t="str">
        <f t="shared" si="29"/>
        <v>2018-048-5</v>
      </c>
      <c r="C1611" s="58">
        <v>2018</v>
      </c>
      <c r="D1611" s="58" t="s">
        <v>79</v>
      </c>
      <c r="E1611" s="58">
        <v>5</v>
      </c>
      <c r="F1611" s="59" t="s">
        <v>2142</v>
      </c>
      <c r="G1611" s="58"/>
      <c r="H1611" s="60"/>
      <c r="I1611" s="61"/>
    </row>
    <row r="1612" spans="2:9" x14ac:dyDescent="0.2">
      <c r="B1612" s="62" t="str">
        <f t="shared" si="29"/>
        <v>2018-049-0</v>
      </c>
      <c r="C1612" s="63">
        <v>2018</v>
      </c>
      <c r="D1612" s="63" t="s">
        <v>80</v>
      </c>
      <c r="E1612" s="63">
        <v>0</v>
      </c>
      <c r="F1612" s="64" t="s">
        <v>266</v>
      </c>
      <c r="G1612" s="63"/>
      <c r="H1612" s="65"/>
      <c r="I1612" s="66"/>
    </row>
    <row r="1613" spans="2:9" x14ac:dyDescent="0.2">
      <c r="B1613" s="51" t="str">
        <f t="shared" si="29"/>
        <v>2018-049-1</v>
      </c>
      <c r="C1613" s="52">
        <v>2018</v>
      </c>
      <c r="D1613" s="52" t="s">
        <v>80</v>
      </c>
      <c r="E1613" s="52">
        <v>1</v>
      </c>
      <c r="F1613" s="54" t="s">
        <v>637</v>
      </c>
      <c r="G1613" s="52"/>
      <c r="H1613" s="55"/>
      <c r="I1613" s="56"/>
    </row>
    <row r="1614" spans="2:9" ht="27" x14ac:dyDescent="0.2">
      <c r="B1614" s="51" t="str">
        <f t="shared" si="29"/>
        <v>2018-049-2</v>
      </c>
      <c r="C1614" s="52">
        <v>2018</v>
      </c>
      <c r="D1614" s="52" t="s">
        <v>80</v>
      </c>
      <c r="E1614" s="52">
        <v>2</v>
      </c>
      <c r="F1614" s="54" t="s">
        <v>1030</v>
      </c>
      <c r="G1614" s="52" t="s">
        <v>3391</v>
      </c>
      <c r="H1614" s="55"/>
      <c r="I1614" s="56"/>
    </row>
    <row r="1615" spans="2:9" x14ac:dyDescent="0.2">
      <c r="B1615" s="51" t="str">
        <f t="shared" si="29"/>
        <v>2018-049-3</v>
      </c>
      <c r="C1615" s="52">
        <v>2018</v>
      </c>
      <c r="D1615" s="52" t="s">
        <v>80</v>
      </c>
      <c r="E1615" s="52">
        <v>3</v>
      </c>
      <c r="F1615" s="54" t="s">
        <v>1414</v>
      </c>
      <c r="G1615" s="52"/>
      <c r="H1615" s="55"/>
      <c r="I1615" s="56"/>
    </row>
    <row r="1616" spans="2:9" x14ac:dyDescent="0.2">
      <c r="B1616" s="51" t="str">
        <f t="shared" si="29"/>
        <v>2018-049-4</v>
      </c>
      <c r="C1616" s="52">
        <v>2018</v>
      </c>
      <c r="D1616" s="52" t="s">
        <v>80</v>
      </c>
      <c r="E1616" s="52">
        <v>4</v>
      </c>
      <c r="F1616" s="54" t="s">
        <v>1781</v>
      </c>
      <c r="G1616" s="52"/>
      <c r="H1616" s="55"/>
      <c r="I1616" s="56"/>
    </row>
    <row r="1617" spans="2:9" x14ac:dyDescent="0.2">
      <c r="B1617" s="57" t="str">
        <f t="shared" si="29"/>
        <v>2018-049-5</v>
      </c>
      <c r="C1617" s="58">
        <v>2018</v>
      </c>
      <c r="D1617" s="58" t="s">
        <v>80</v>
      </c>
      <c r="E1617" s="58">
        <v>5</v>
      </c>
      <c r="F1617" s="59" t="s">
        <v>1351</v>
      </c>
      <c r="G1617" s="58"/>
      <c r="H1617" s="60"/>
      <c r="I1617" s="61"/>
    </row>
    <row r="1618" spans="2:9" x14ac:dyDescent="0.2">
      <c r="B1618" s="62" t="str">
        <f t="shared" si="29"/>
        <v>2018-050-0</v>
      </c>
      <c r="C1618" s="63">
        <v>2018</v>
      </c>
      <c r="D1618" s="63" t="s">
        <v>81</v>
      </c>
      <c r="E1618" s="63">
        <v>0</v>
      </c>
      <c r="F1618" s="64" t="s">
        <v>167</v>
      </c>
      <c r="G1618" s="63"/>
      <c r="H1618" s="65"/>
      <c r="I1618" s="66"/>
    </row>
    <row r="1619" spans="2:9" ht="27" x14ac:dyDescent="0.2">
      <c r="B1619" s="51" t="str">
        <f t="shared" si="29"/>
        <v>2018-050-1</v>
      </c>
      <c r="C1619" s="52">
        <v>2018</v>
      </c>
      <c r="D1619" s="52" t="s">
        <v>81</v>
      </c>
      <c r="E1619" s="52">
        <v>1</v>
      </c>
      <c r="F1619" s="54" t="s">
        <v>638</v>
      </c>
      <c r="G1619" s="52"/>
      <c r="H1619" s="55"/>
      <c r="I1619" s="56"/>
    </row>
    <row r="1620" spans="2:9" x14ac:dyDescent="0.2">
      <c r="B1620" s="51" t="str">
        <f t="shared" si="29"/>
        <v>2018-050-2</v>
      </c>
      <c r="C1620" s="52">
        <v>2018</v>
      </c>
      <c r="D1620" s="52" t="s">
        <v>81</v>
      </c>
      <c r="E1620" s="52">
        <v>2</v>
      </c>
      <c r="F1620" s="54" t="s">
        <v>568</v>
      </c>
      <c r="G1620" s="52"/>
      <c r="H1620" s="55"/>
      <c r="I1620" s="56"/>
    </row>
    <row r="1621" spans="2:9" ht="27" x14ac:dyDescent="0.2">
      <c r="B1621" s="51" t="str">
        <f t="shared" si="29"/>
        <v>2018-050-3</v>
      </c>
      <c r="C1621" s="52">
        <v>2018</v>
      </c>
      <c r="D1621" s="52" t="s">
        <v>81</v>
      </c>
      <c r="E1621" s="52">
        <v>3</v>
      </c>
      <c r="F1621" s="54" t="s">
        <v>1415</v>
      </c>
      <c r="G1621" s="52" t="s">
        <v>3391</v>
      </c>
      <c r="H1621" s="55"/>
      <c r="I1621" s="56"/>
    </row>
    <row r="1622" spans="2:9" x14ac:dyDescent="0.2">
      <c r="B1622" s="51" t="str">
        <f t="shared" si="29"/>
        <v>2018-050-4</v>
      </c>
      <c r="C1622" s="52">
        <v>2018</v>
      </c>
      <c r="D1622" s="52" t="s">
        <v>81</v>
      </c>
      <c r="E1622" s="52">
        <v>4</v>
      </c>
      <c r="F1622" s="54" t="s">
        <v>1782</v>
      </c>
      <c r="G1622" s="52"/>
      <c r="H1622" s="55"/>
      <c r="I1622" s="56"/>
    </row>
    <row r="1623" spans="2:9" ht="27.75" thickBot="1" x14ac:dyDescent="0.25">
      <c r="B1623" s="67" t="str">
        <f t="shared" si="29"/>
        <v>2018-050-5</v>
      </c>
      <c r="C1623" s="68">
        <v>2018</v>
      </c>
      <c r="D1623" s="68" t="s">
        <v>81</v>
      </c>
      <c r="E1623" s="68">
        <v>5</v>
      </c>
      <c r="F1623" s="69" t="s">
        <v>2143</v>
      </c>
      <c r="G1623" s="68"/>
      <c r="H1623" s="70"/>
      <c r="I1623" s="71"/>
    </row>
    <row r="1624" spans="2:9" x14ac:dyDescent="0.2">
      <c r="B1624" s="45" t="str">
        <f t="shared" ref="B1624:B1672" si="30">C1624&amp;"-"&amp;D1624&amp;"-"&amp;E1624</f>
        <v>2017-026-0</v>
      </c>
      <c r="C1624" s="46">
        <v>2017</v>
      </c>
      <c r="D1624" s="46" t="s">
        <v>4</v>
      </c>
      <c r="E1624" s="46">
        <v>0</v>
      </c>
      <c r="F1624" s="48" t="s">
        <v>267</v>
      </c>
      <c r="G1624" s="46"/>
      <c r="H1624" s="49"/>
      <c r="I1624" s="50"/>
    </row>
    <row r="1625" spans="2:9" x14ac:dyDescent="0.2">
      <c r="B1625" s="51" t="str">
        <f t="shared" si="30"/>
        <v>2017-026-1</v>
      </c>
      <c r="C1625" s="52">
        <v>2017</v>
      </c>
      <c r="D1625" s="52" t="s">
        <v>4</v>
      </c>
      <c r="E1625" s="52">
        <v>1</v>
      </c>
      <c r="F1625" s="54" t="s">
        <v>639</v>
      </c>
      <c r="G1625" s="52"/>
      <c r="H1625" s="55"/>
      <c r="I1625" s="56"/>
    </row>
    <row r="1626" spans="2:9" x14ac:dyDescent="0.2">
      <c r="B1626" s="51" t="str">
        <f t="shared" si="30"/>
        <v>2017-026-2</v>
      </c>
      <c r="C1626" s="52">
        <v>2017</v>
      </c>
      <c r="D1626" s="52" t="s">
        <v>4</v>
      </c>
      <c r="E1626" s="52">
        <v>2</v>
      </c>
      <c r="F1626" s="54" t="s">
        <v>1031</v>
      </c>
      <c r="G1626" s="52"/>
      <c r="H1626" s="55"/>
      <c r="I1626" s="56"/>
    </row>
    <row r="1627" spans="2:9" x14ac:dyDescent="0.2">
      <c r="B1627" s="51" t="str">
        <f t="shared" si="30"/>
        <v>2017-026-3</v>
      </c>
      <c r="C1627" s="52">
        <v>2017</v>
      </c>
      <c r="D1627" s="52" t="s">
        <v>4</v>
      </c>
      <c r="E1627" s="52">
        <v>3</v>
      </c>
      <c r="F1627" s="54" t="s">
        <v>1416</v>
      </c>
      <c r="G1627" s="52"/>
      <c r="H1627" s="55"/>
      <c r="I1627" s="56"/>
    </row>
    <row r="1628" spans="2:9" x14ac:dyDescent="0.2">
      <c r="B1628" s="51" t="str">
        <f t="shared" si="30"/>
        <v>2017-026-4</v>
      </c>
      <c r="C1628" s="52">
        <v>2017</v>
      </c>
      <c r="D1628" s="52" t="s">
        <v>4</v>
      </c>
      <c r="E1628" s="52">
        <v>4</v>
      </c>
      <c r="F1628" s="54" t="s">
        <v>1783</v>
      </c>
      <c r="G1628" s="52" t="s">
        <v>3391</v>
      </c>
      <c r="H1628" s="55"/>
      <c r="I1628" s="56"/>
    </row>
    <row r="1629" spans="2:9" x14ac:dyDescent="0.2">
      <c r="B1629" s="57" t="str">
        <f t="shared" si="30"/>
        <v>2017-026-5</v>
      </c>
      <c r="C1629" s="58">
        <v>2017</v>
      </c>
      <c r="D1629" s="58" t="s">
        <v>4</v>
      </c>
      <c r="E1629" s="58">
        <v>5</v>
      </c>
      <c r="F1629" s="59" t="s">
        <v>2144</v>
      </c>
      <c r="G1629" s="58"/>
      <c r="H1629" s="60"/>
      <c r="I1629" s="61"/>
    </row>
    <row r="1630" spans="2:9" x14ac:dyDescent="0.2">
      <c r="B1630" s="62" t="str">
        <f t="shared" si="30"/>
        <v>2017-027-0</v>
      </c>
      <c r="C1630" s="63">
        <v>2017</v>
      </c>
      <c r="D1630" s="63" t="s">
        <v>5</v>
      </c>
      <c r="E1630" s="63">
        <v>0</v>
      </c>
      <c r="F1630" s="64" t="s">
        <v>268</v>
      </c>
      <c r="G1630" s="63"/>
      <c r="H1630" s="65"/>
      <c r="I1630" s="66"/>
    </row>
    <row r="1631" spans="2:9" x14ac:dyDescent="0.2">
      <c r="B1631" s="51" t="str">
        <f t="shared" si="30"/>
        <v>2017-027-1</v>
      </c>
      <c r="C1631" s="52">
        <v>2017</v>
      </c>
      <c r="D1631" s="52" t="s">
        <v>5</v>
      </c>
      <c r="E1631" s="52">
        <v>1</v>
      </c>
      <c r="F1631" s="54" t="s">
        <v>640</v>
      </c>
      <c r="G1631" s="52"/>
      <c r="H1631" s="55"/>
      <c r="I1631" s="56"/>
    </row>
    <row r="1632" spans="2:9" x14ac:dyDescent="0.2">
      <c r="B1632" s="51" t="str">
        <f t="shared" si="30"/>
        <v>2017-027-2</v>
      </c>
      <c r="C1632" s="52">
        <v>2017</v>
      </c>
      <c r="D1632" s="52" t="s">
        <v>5</v>
      </c>
      <c r="E1632" s="52">
        <v>2</v>
      </c>
      <c r="F1632" s="54" t="s">
        <v>1032</v>
      </c>
      <c r="G1632" s="52"/>
      <c r="H1632" s="55"/>
      <c r="I1632" s="56"/>
    </row>
    <row r="1633" spans="2:9" x14ac:dyDescent="0.2">
      <c r="B1633" s="51" t="str">
        <f t="shared" si="30"/>
        <v>2017-027-3</v>
      </c>
      <c r="C1633" s="52">
        <v>2017</v>
      </c>
      <c r="D1633" s="52" t="s">
        <v>5</v>
      </c>
      <c r="E1633" s="52">
        <v>3</v>
      </c>
      <c r="F1633" s="54" t="s">
        <v>1417</v>
      </c>
      <c r="G1633" s="52" t="s">
        <v>3391</v>
      </c>
      <c r="H1633" s="55"/>
      <c r="I1633" s="56"/>
    </row>
    <row r="1634" spans="2:9" x14ac:dyDescent="0.2">
      <c r="B1634" s="51" t="str">
        <f t="shared" si="30"/>
        <v>2017-027-4</v>
      </c>
      <c r="C1634" s="52">
        <v>2017</v>
      </c>
      <c r="D1634" s="52" t="s">
        <v>5</v>
      </c>
      <c r="E1634" s="52">
        <v>4</v>
      </c>
      <c r="F1634" s="54" t="s">
        <v>1784</v>
      </c>
      <c r="G1634" s="52"/>
      <c r="H1634" s="55"/>
      <c r="I1634" s="56"/>
    </row>
    <row r="1635" spans="2:9" x14ac:dyDescent="0.2">
      <c r="B1635" s="57" t="str">
        <f t="shared" si="30"/>
        <v>2017-027-5</v>
      </c>
      <c r="C1635" s="58">
        <v>2017</v>
      </c>
      <c r="D1635" s="58" t="s">
        <v>5</v>
      </c>
      <c r="E1635" s="58">
        <v>5</v>
      </c>
      <c r="F1635" s="59" t="s">
        <v>2145</v>
      </c>
      <c r="G1635" s="58"/>
      <c r="H1635" s="60"/>
      <c r="I1635" s="61"/>
    </row>
    <row r="1636" spans="2:9" x14ac:dyDescent="0.2">
      <c r="B1636" s="62" t="str">
        <f t="shared" si="30"/>
        <v>2017-028-0</v>
      </c>
      <c r="C1636" s="63">
        <v>2017</v>
      </c>
      <c r="D1636" s="63" t="s">
        <v>6</v>
      </c>
      <c r="E1636" s="63">
        <v>0</v>
      </c>
      <c r="F1636" s="64" t="s">
        <v>269</v>
      </c>
      <c r="G1636" s="63"/>
      <c r="H1636" s="65"/>
      <c r="I1636" s="66"/>
    </row>
    <row r="1637" spans="2:9" x14ac:dyDescent="0.2">
      <c r="B1637" s="51" t="str">
        <f t="shared" si="30"/>
        <v>2017-028-1</v>
      </c>
      <c r="C1637" s="52">
        <v>2017</v>
      </c>
      <c r="D1637" s="52" t="s">
        <v>6</v>
      </c>
      <c r="E1637" s="52">
        <v>1</v>
      </c>
      <c r="F1637" s="54" t="s">
        <v>641</v>
      </c>
      <c r="G1637" s="52"/>
      <c r="H1637" s="55"/>
      <c r="I1637" s="56"/>
    </row>
    <row r="1638" spans="2:9" x14ac:dyDescent="0.2">
      <c r="B1638" s="51" t="str">
        <f t="shared" si="30"/>
        <v>2017-028-2</v>
      </c>
      <c r="C1638" s="52">
        <v>2017</v>
      </c>
      <c r="D1638" s="52" t="s">
        <v>6</v>
      </c>
      <c r="E1638" s="52">
        <v>2</v>
      </c>
      <c r="F1638" s="54" t="s">
        <v>1033</v>
      </c>
      <c r="G1638" s="52"/>
      <c r="H1638" s="55"/>
      <c r="I1638" s="56"/>
    </row>
    <row r="1639" spans="2:9" x14ac:dyDescent="0.2">
      <c r="B1639" s="51" t="str">
        <f t="shared" si="30"/>
        <v>2017-028-3</v>
      </c>
      <c r="C1639" s="52">
        <v>2017</v>
      </c>
      <c r="D1639" s="52" t="s">
        <v>6</v>
      </c>
      <c r="E1639" s="52">
        <v>3</v>
      </c>
      <c r="F1639" s="54" t="s">
        <v>1418</v>
      </c>
      <c r="G1639" s="52"/>
      <c r="H1639" s="55"/>
      <c r="I1639" s="56"/>
    </row>
    <row r="1640" spans="2:9" x14ac:dyDescent="0.2">
      <c r="B1640" s="51" t="str">
        <f t="shared" si="30"/>
        <v>2017-028-4</v>
      </c>
      <c r="C1640" s="52">
        <v>2017</v>
      </c>
      <c r="D1640" s="52" t="s">
        <v>6</v>
      </c>
      <c r="E1640" s="52">
        <v>4</v>
      </c>
      <c r="F1640" s="54" t="s">
        <v>1785</v>
      </c>
      <c r="G1640" s="52" t="s">
        <v>3391</v>
      </c>
      <c r="H1640" s="55"/>
      <c r="I1640" s="56"/>
    </row>
    <row r="1641" spans="2:9" x14ac:dyDescent="0.2">
      <c r="B1641" s="57" t="str">
        <f t="shared" si="30"/>
        <v>2017-028-5</v>
      </c>
      <c r="C1641" s="58">
        <v>2017</v>
      </c>
      <c r="D1641" s="58" t="s">
        <v>6</v>
      </c>
      <c r="E1641" s="58">
        <v>5</v>
      </c>
      <c r="F1641" s="59" t="s">
        <v>2146</v>
      </c>
      <c r="G1641" s="58"/>
      <c r="H1641" s="60"/>
      <c r="I1641" s="61"/>
    </row>
    <row r="1642" spans="2:9" ht="94.5" x14ac:dyDescent="0.2">
      <c r="B1642" s="62" t="str">
        <f t="shared" si="30"/>
        <v>2017-029-0</v>
      </c>
      <c r="C1642" s="63">
        <v>2017</v>
      </c>
      <c r="D1642" s="63" t="s">
        <v>7</v>
      </c>
      <c r="E1642" s="63">
        <v>0</v>
      </c>
      <c r="F1642" s="64" t="s">
        <v>270</v>
      </c>
      <c r="G1642" s="63"/>
      <c r="H1642" s="65"/>
      <c r="I1642" s="66"/>
    </row>
    <row r="1643" spans="2:9" x14ac:dyDescent="0.2">
      <c r="B1643" s="51" t="str">
        <f t="shared" si="30"/>
        <v>2017-029-1</v>
      </c>
      <c r="C1643" s="52">
        <v>2017</v>
      </c>
      <c r="D1643" s="52" t="s">
        <v>7</v>
      </c>
      <c r="E1643" s="52">
        <v>1</v>
      </c>
      <c r="F1643" s="54" t="s">
        <v>22</v>
      </c>
      <c r="G1643" s="52"/>
      <c r="H1643" s="55"/>
      <c r="I1643" s="56"/>
    </row>
    <row r="1644" spans="2:9" x14ac:dyDescent="0.2">
      <c r="B1644" s="51" t="str">
        <f t="shared" si="30"/>
        <v>2017-029-2</v>
      </c>
      <c r="C1644" s="52">
        <v>2017</v>
      </c>
      <c r="D1644" s="52" t="s">
        <v>7</v>
      </c>
      <c r="E1644" s="52">
        <v>2</v>
      </c>
      <c r="F1644" s="54" t="s">
        <v>43</v>
      </c>
      <c r="G1644" s="52"/>
      <c r="H1644" s="55"/>
      <c r="I1644" s="56"/>
    </row>
    <row r="1645" spans="2:9" x14ac:dyDescent="0.2">
      <c r="B1645" s="51" t="str">
        <f t="shared" si="30"/>
        <v>2017-029-3</v>
      </c>
      <c r="C1645" s="52">
        <v>2017</v>
      </c>
      <c r="D1645" s="52" t="s">
        <v>7</v>
      </c>
      <c r="E1645" s="52">
        <v>3</v>
      </c>
      <c r="F1645" s="54" t="s">
        <v>44</v>
      </c>
      <c r="G1645" s="52"/>
      <c r="H1645" s="55"/>
      <c r="I1645" s="56"/>
    </row>
    <row r="1646" spans="2:9" x14ac:dyDescent="0.2">
      <c r="B1646" s="51" t="str">
        <f t="shared" si="30"/>
        <v>2017-029-4</v>
      </c>
      <c r="C1646" s="52">
        <v>2017</v>
      </c>
      <c r="D1646" s="52" t="s">
        <v>7</v>
      </c>
      <c r="E1646" s="52">
        <v>4</v>
      </c>
      <c r="F1646" s="54" t="s">
        <v>1649</v>
      </c>
      <c r="G1646" s="52"/>
      <c r="H1646" s="55"/>
      <c r="I1646" s="56"/>
    </row>
    <row r="1647" spans="2:9" x14ac:dyDescent="0.2">
      <c r="B1647" s="57" t="str">
        <f t="shared" si="30"/>
        <v>2017-029-5</v>
      </c>
      <c r="C1647" s="58">
        <v>2017</v>
      </c>
      <c r="D1647" s="58" t="s">
        <v>7</v>
      </c>
      <c r="E1647" s="58">
        <v>5</v>
      </c>
      <c r="F1647" s="59" t="s">
        <v>52</v>
      </c>
      <c r="G1647" s="58" t="s">
        <v>3391</v>
      </c>
      <c r="H1647" s="60"/>
      <c r="I1647" s="61"/>
    </row>
    <row r="1648" spans="2:9" ht="67.5" x14ac:dyDescent="0.2">
      <c r="B1648" s="62" t="str">
        <f t="shared" si="30"/>
        <v>2017-030-0</v>
      </c>
      <c r="C1648" s="63">
        <v>2017</v>
      </c>
      <c r="D1648" s="63" t="s">
        <v>8</v>
      </c>
      <c r="E1648" s="63">
        <v>0</v>
      </c>
      <c r="F1648" s="64" t="s">
        <v>271</v>
      </c>
      <c r="G1648" s="63"/>
      <c r="H1648" s="65"/>
      <c r="I1648" s="66"/>
    </row>
    <row r="1649" spans="2:9" x14ac:dyDescent="0.2">
      <c r="B1649" s="51" t="str">
        <f t="shared" si="30"/>
        <v>2017-030-1</v>
      </c>
      <c r="C1649" s="52">
        <v>2017</v>
      </c>
      <c r="D1649" s="52" t="s">
        <v>8</v>
      </c>
      <c r="E1649" s="52">
        <v>1</v>
      </c>
      <c r="F1649" s="54" t="s">
        <v>642</v>
      </c>
      <c r="G1649" s="52"/>
      <c r="H1649" s="55"/>
      <c r="I1649" s="56"/>
    </row>
    <row r="1650" spans="2:9" x14ac:dyDescent="0.2">
      <c r="B1650" s="51" t="str">
        <f t="shared" si="30"/>
        <v>2017-030-2</v>
      </c>
      <c r="C1650" s="52">
        <v>2017</v>
      </c>
      <c r="D1650" s="52" t="s">
        <v>8</v>
      </c>
      <c r="E1650" s="52">
        <v>2</v>
      </c>
      <c r="F1650" s="54" t="s">
        <v>1034</v>
      </c>
      <c r="G1650" s="52"/>
      <c r="H1650" s="55"/>
      <c r="I1650" s="56"/>
    </row>
    <row r="1651" spans="2:9" x14ac:dyDescent="0.2">
      <c r="B1651" s="51" t="str">
        <f t="shared" si="30"/>
        <v>2017-030-3</v>
      </c>
      <c r="C1651" s="52">
        <v>2017</v>
      </c>
      <c r="D1651" s="52" t="s">
        <v>8</v>
      </c>
      <c r="E1651" s="52">
        <v>3</v>
      </c>
      <c r="F1651" s="54" t="s">
        <v>1419</v>
      </c>
      <c r="G1651" s="52" t="s">
        <v>3391</v>
      </c>
      <c r="H1651" s="55"/>
      <c r="I1651" s="56"/>
    </row>
    <row r="1652" spans="2:9" x14ac:dyDescent="0.2">
      <c r="B1652" s="51" t="str">
        <f t="shared" si="30"/>
        <v>2017-030-4</v>
      </c>
      <c r="C1652" s="52">
        <v>2017</v>
      </c>
      <c r="D1652" s="52" t="s">
        <v>8</v>
      </c>
      <c r="E1652" s="52">
        <v>4</v>
      </c>
      <c r="F1652" s="54" t="s">
        <v>1786</v>
      </c>
      <c r="G1652" s="52"/>
      <c r="H1652" s="55"/>
      <c r="I1652" s="56"/>
    </row>
    <row r="1653" spans="2:9" x14ac:dyDescent="0.2">
      <c r="B1653" s="57" t="str">
        <f t="shared" si="30"/>
        <v>2017-030-5</v>
      </c>
      <c r="C1653" s="58">
        <v>2017</v>
      </c>
      <c r="D1653" s="58" t="s">
        <v>8</v>
      </c>
      <c r="E1653" s="58">
        <v>5</v>
      </c>
      <c r="F1653" s="59" t="s">
        <v>2147</v>
      </c>
      <c r="G1653" s="58"/>
      <c r="H1653" s="60"/>
      <c r="I1653" s="61"/>
    </row>
    <row r="1654" spans="2:9" ht="135" x14ac:dyDescent="0.2">
      <c r="B1654" s="62" t="str">
        <f t="shared" si="30"/>
        <v>2017-031-0</v>
      </c>
      <c r="C1654" s="63">
        <v>2017</v>
      </c>
      <c r="D1654" s="63" t="s">
        <v>9</v>
      </c>
      <c r="E1654" s="63">
        <v>0</v>
      </c>
      <c r="F1654" s="64" t="s">
        <v>272</v>
      </c>
      <c r="G1654" s="63"/>
      <c r="H1654" s="65"/>
      <c r="I1654" s="66"/>
    </row>
    <row r="1655" spans="2:9" x14ac:dyDescent="0.2">
      <c r="B1655" s="51" t="str">
        <f t="shared" si="30"/>
        <v>2017-031-1</v>
      </c>
      <c r="C1655" s="52">
        <v>2017</v>
      </c>
      <c r="D1655" s="52" t="s">
        <v>9</v>
      </c>
      <c r="E1655" s="52">
        <v>1</v>
      </c>
      <c r="F1655" s="54" t="s">
        <v>20</v>
      </c>
      <c r="G1655" s="52"/>
      <c r="H1655" s="55"/>
      <c r="I1655" s="56"/>
    </row>
    <row r="1656" spans="2:9" x14ac:dyDescent="0.2">
      <c r="B1656" s="51" t="str">
        <f t="shared" si="30"/>
        <v>2017-031-2</v>
      </c>
      <c r="C1656" s="52">
        <v>2017</v>
      </c>
      <c r="D1656" s="52" t="s">
        <v>9</v>
      </c>
      <c r="E1656" s="52">
        <v>2</v>
      </c>
      <c r="F1656" s="54" t="s">
        <v>29</v>
      </c>
      <c r="G1656" s="52"/>
      <c r="H1656" s="55"/>
      <c r="I1656" s="56"/>
    </row>
    <row r="1657" spans="2:9" x14ac:dyDescent="0.2">
      <c r="B1657" s="51" t="str">
        <f t="shared" si="30"/>
        <v>2017-031-3</v>
      </c>
      <c r="C1657" s="52">
        <v>2017</v>
      </c>
      <c r="D1657" s="52" t="s">
        <v>9</v>
      </c>
      <c r="E1657" s="52">
        <v>3</v>
      </c>
      <c r="F1657" s="54" t="s">
        <v>22</v>
      </c>
      <c r="G1657" s="52" t="s">
        <v>3391</v>
      </c>
      <c r="H1657" s="55"/>
      <c r="I1657" s="56"/>
    </row>
    <row r="1658" spans="2:9" x14ac:dyDescent="0.2">
      <c r="B1658" s="51" t="str">
        <f t="shared" si="30"/>
        <v>2017-031-4</v>
      </c>
      <c r="C1658" s="52">
        <v>2017</v>
      </c>
      <c r="D1658" s="52" t="s">
        <v>9</v>
      </c>
      <c r="E1658" s="52">
        <v>4</v>
      </c>
      <c r="F1658" s="54" t="s">
        <v>44</v>
      </c>
      <c r="G1658" s="52"/>
      <c r="H1658" s="55"/>
      <c r="I1658" s="56"/>
    </row>
    <row r="1659" spans="2:9" x14ac:dyDescent="0.2">
      <c r="B1659" s="57" t="str">
        <f t="shared" si="30"/>
        <v>2017-031-5</v>
      </c>
      <c r="C1659" s="58">
        <v>2017</v>
      </c>
      <c r="D1659" s="58" t="s">
        <v>9</v>
      </c>
      <c r="E1659" s="58">
        <v>5</v>
      </c>
      <c r="F1659" s="59" t="s">
        <v>49</v>
      </c>
      <c r="G1659" s="58"/>
      <c r="H1659" s="60"/>
      <c r="I1659" s="61"/>
    </row>
    <row r="1660" spans="2:9" x14ac:dyDescent="0.2">
      <c r="B1660" s="62" t="str">
        <f t="shared" si="30"/>
        <v>2017-032-0</v>
      </c>
      <c r="C1660" s="63">
        <v>2017</v>
      </c>
      <c r="D1660" s="63" t="s">
        <v>10</v>
      </c>
      <c r="E1660" s="63">
        <v>0</v>
      </c>
      <c r="F1660" s="64" t="s">
        <v>273</v>
      </c>
      <c r="G1660" s="63"/>
      <c r="H1660" s="65"/>
      <c r="I1660" s="66"/>
    </row>
    <row r="1661" spans="2:9" ht="27" x14ac:dyDescent="0.2">
      <c r="B1661" s="51" t="str">
        <f t="shared" si="30"/>
        <v>2017-032-1</v>
      </c>
      <c r="C1661" s="52">
        <v>2017</v>
      </c>
      <c r="D1661" s="52" t="s">
        <v>10</v>
      </c>
      <c r="E1661" s="52">
        <v>1</v>
      </c>
      <c r="F1661" s="54" t="s">
        <v>643</v>
      </c>
      <c r="G1661" s="52" t="s">
        <v>3391</v>
      </c>
      <c r="H1661" s="55"/>
      <c r="I1661" s="56"/>
    </row>
    <row r="1662" spans="2:9" ht="27" x14ac:dyDescent="0.2">
      <c r="B1662" s="51" t="str">
        <f t="shared" si="30"/>
        <v>2017-032-2</v>
      </c>
      <c r="C1662" s="52">
        <v>2017</v>
      </c>
      <c r="D1662" s="52" t="s">
        <v>10</v>
      </c>
      <c r="E1662" s="52">
        <v>2</v>
      </c>
      <c r="F1662" s="54" t="s">
        <v>1035</v>
      </c>
      <c r="G1662" s="52"/>
      <c r="H1662" s="55"/>
      <c r="I1662" s="56"/>
    </row>
    <row r="1663" spans="2:9" x14ac:dyDescent="0.2">
      <c r="B1663" s="51" t="str">
        <f t="shared" si="30"/>
        <v>2017-032-3</v>
      </c>
      <c r="C1663" s="52">
        <v>2017</v>
      </c>
      <c r="D1663" s="52" t="s">
        <v>10</v>
      </c>
      <c r="E1663" s="52">
        <v>3</v>
      </c>
      <c r="F1663" s="54" t="s">
        <v>1420</v>
      </c>
      <c r="G1663" s="52"/>
      <c r="H1663" s="55"/>
      <c r="I1663" s="56"/>
    </row>
    <row r="1664" spans="2:9" x14ac:dyDescent="0.2">
      <c r="B1664" s="51" t="str">
        <f t="shared" si="30"/>
        <v>2017-032-4</v>
      </c>
      <c r="C1664" s="52">
        <v>2017</v>
      </c>
      <c r="D1664" s="52" t="s">
        <v>10</v>
      </c>
      <c r="E1664" s="52">
        <v>4</v>
      </c>
      <c r="F1664" s="54" t="s">
        <v>1787</v>
      </c>
      <c r="G1664" s="52"/>
      <c r="H1664" s="55"/>
      <c r="I1664" s="56"/>
    </row>
    <row r="1665" spans="2:9" x14ac:dyDescent="0.2">
      <c r="B1665" s="57" t="str">
        <f t="shared" si="30"/>
        <v>2017-032-5</v>
      </c>
      <c r="C1665" s="58">
        <v>2017</v>
      </c>
      <c r="D1665" s="58" t="s">
        <v>10</v>
      </c>
      <c r="E1665" s="58">
        <v>5</v>
      </c>
      <c r="F1665" s="59" t="s">
        <v>2148</v>
      </c>
      <c r="G1665" s="58"/>
      <c r="H1665" s="60"/>
      <c r="I1665" s="61"/>
    </row>
    <row r="1666" spans="2:9" ht="67.5" x14ac:dyDescent="0.2">
      <c r="B1666" s="62" t="str">
        <f t="shared" si="30"/>
        <v>2017-033-0</v>
      </c>
      <c r="C1666" s="63">
        <v>2017</v>
      </c>
      <c r="D1666" s="63" t="s">
        <v>11</v>
      </c>
      <c r="E1666" s="63">
        <v>0</v>
      </c>
      <c r="F1666" s="64" t="s">
        <v>274</v>
      </c>
      <c r="G1666" s="63"/>
      <c r="H1666" s="65"/>
      <c r="I1666" s="66"/>
    </row>
    <row r="1667" spans="2:9" x14ac:dyDescent="0.2">
      <c r="B1667" s="51" t="str">
        <f t="shared" si="30"/>
        <v>2017-033-1</v>
      </c>
      <c r="C1667" s="52">
        <v>2017</v>
      </c>
      <c r="D1667" s="52" t="s">
        <v>11</v>
      </c>
      <c r="E1667" s="52">
        <v>1</v>
      </c>
      <c r="F1667" s="54" t="s">
        <v>30</v>
      </c>
      <c r="G1667" s="52"/>
      <c r="H1667" s="55"/>
      <c r="I1667" s="56"/>
    </row>
    <row r="1668" spans="2:9" x14ac:dyDescent="0.2">
      <c r="B1668" s="51" t="str">
        <f t="shared" si="30"/>
        <v>2017-033-2</v>
      </c>
      <c r="C1668" s="52">
        <v>2017</v>
      </c>
      <c r="D1668" s="52" t="s">
        <v>11</v>
      </c>
      <c r="E1668" s="52">
        <v>2</v>
      </c>
      <c r="F1668" s="54" t="s">
        <v>20</v>
      </c>
      <c r="G1668" s="52" t="s">
        <v>3391</v>
      </c>
      <c r="H1668" s="55"/>
      <c r="I1668" s="56"/>
    </row>
    <row r="1669" spans="2:9" x14ac:dyDescent="0.2">
      <c r="B1669" s="51" t="str">
        <f t="shared" si="30"/>
        <v>2017-033-3</v>
      </c>
      <c r="C1669" s="52">
        <v>2017</v>
      </c>
      <c r="D1669" s="52" t="s">
        <v>11</v>
      </c>
      <c r="E1669" s="52">
        <v>3</v>
      </c>
      <c r="F1669" s="54" t="s">
        <v>25</v>
      </c>
      <c r="G1669" s="52"/>
      <c r="H1669" s="55"/>
      <c r="I1669" s="56"/>
    </row>
    <row r="1670" spans="2:9" x14ac:dyDescent="0.2">
      <c r="B1670" s="51" t="str">
        <f t="shared" si="30"/>
        <v>2017-033-4</v>
      </c>
      <c r="C1670" s="52">
        <v>2017</v>
      </c>
      <c r="D1670" s="52" t="s">
        <v>11</v>
      </c>
      <c r="E1670" s="52">
        <v>4</v>
      </c>
      <c r="F1670" s="54" t="s">
        <v>39</v>
      </c>
      <c r="G1670" s="52"/>
      <c r="H1670" s="55"/>
      <c r="I1670" s="56"/>
    </row>
    <row r="1671" spans="2:9" x14ac:dyDescent="0.2">
      <c r="B1671" s="57" t="str">
        <f t="shared" si="30"/>
        <v>2017-033-5</v>
      </c>
      <c r="C1671" s="58">
        <v>2017</v>
      </c>
      <c r="D1671" s="58" t="s">
        <v>11</v>
      </c>
      <c r="E1671" s="58">
        <v>5</v>
      </c>
      <c r="F1671" s="59" t="s">
        <v>44</v>
      </c>
      <c r="G1671" s="58"/>
      <c r="H1671" s="60"/>
      <c r="I1671" s="61"/>
    </row>
    <row r="1672" spans="2:9" x14ac:dyDescent="0.2">
      <c r="B1672" s="62" t="str">
        <f t="shared" si="30"/>
        <v>2017-034-0</v>
      </c>
      <c r="C1672" s="63">
        <v>2017</v>
      </c>
      <c r="D1672" s="63" t="s">
        <v>12</v>
      </c>
      <c r="E1672" s="63">
        <v>0</v>
      </c>
      <c r="F1672" s="64" t="s">
        <v>275</v>
      </c>
      <c r="G1672" s="63"/>
      <c r="H1672" s="65"/>
      <c r="I1672" s="66"/>
    </row>
    <row r="1673" spans="2:9" ht="27" x14ac:dyDescent="0.2">
      <c r="B1673" s="51" t="str">
        <f t="shared" ref="B1673:B1736" si="31">C1673&amp;"-"&amp;D1673&amp;"-"&amp;E1673</f>
        <v>2017-034-1</v>
      </c>
      <c r="C1673" s="52">
        <v>2017</v>
      </c>
      <c r="D1673" s="52" t="s">
        <v>12</v>
      </c>
      <c r="E1673" s="52">
        <v>1</v>
      </c>
      <c r="F1673" s="54" t="s">
        <v>554</v>
      </c>
      <c r="G1673" s="52"/>
      <c r="H1673" s="55"/>
      <c r="I1673" s="56"/>
    </row>
    <row r="1674" spans="2:9" ht="27" x14ac:dyDescent="0.2">
      <c r="B1674" s="51" t="str">
        <f t="shared" si="31"/>
        <v>2017-034-2</v>
      </c>
      <c r="C1674" s="52">
        <v>2017</v>
      </c>
      <c r="D1674" s="52" t="s">
        <v>12</v>
      </c>
      <c r="E1674" s="52">
        <v>2</v>
      </c>
      <c r="F1674" s="54" t="s">
        <v>556</v>
      </c>
      <c r="G1674" s="52"/>
      <c r="H1674" s="55"/>
      <c r="I1674" s="56"/>
    </row>
    <row r="1675" spans="2:9" ht="27" x14ac:dyDescent="0.2">
      <c r="B1675" s="51" t="str">
        <f t="shared" si="31"/>
        <v>2017-034-3</v>
      </c>
      <c r="C1675" s="52">
        <v>2017</v>
      </c>
      <c r="D1675" s="52" t="s">
        <v>12</v>
      </c>
      <c r="E1675" s="52">
        <v>3</v>
      </c>
      <c r="F1675" s="54" t="s">
        <v>1421</v>
      </c>
      <c r="G1675" s="52" t="s">
        <v>3391</v>
      </c>
      <c r="H1675" s="55"/>
      <c r="I1675" s="56"/>
    </row>
    <row r="1676" spans="2:9" ht="27" x14ac:dyDescent="0.2">
      <c r="B1676" s="51" t="str">
        <f t="shared" si="31"/>
        <v>2017-034-4</v>
      </c>
      <c r="C1676" s="52">
        <v>2017</v>
      </c>
      <c r="D1676" s="52" t="s">
        <v>12</v>
      </c>
      <c r="E1676" s="52">
        <v>4</v>
      </c>
      <c r="F1676" s="54" t="s">
        <v>1788</v>
      </c>
      <c r="G1676" s="52"/>
      <c r="H1676" s="55"/>
      <c r="I1676" s="56"/>
    </row>
    <row r="1677" spans="2:9" ht="27" x14ac:dyDescent="0.2">
      <c r="B1677" s="57" t="str">
        <f t="shared" si="31"/>
        <v>2017-034-5</v>
      </c>
      <c r="C1677" s="58">
        <v>2017</v>
      </c>
      <c r="D1677" s="58" t="s">
        <v>12</v>
      </c>
      <c r="E1677" s="58">
        <v>5</v>
      </c>
      <c r="F1677" s="59" t="s">
        <v>2149</v>
      </c>
      <c r="G1677" s="58"/>
      <c r="H1677" s="60"/>
      <c r="I1677" s="61"/>
    </row>
    <row r="1678" spans="2:9" x14ac:dyDescent="0.2">
      <c r="B1678" s="62" t="str">
        <f t="shared" si="31"/>
        <v>2017-035-0</v>
      </c>
      <c r="C1678" s="63">
        <v>2017</v>
      </c>
      <c r="D1678" s="63" t="s">
        <v>13</v>
      </c>
      <c r="E1678" s="63">
        <v>0</v>
      </c>
      <c r="F1678" s="64" t="s">
        <v>276</v>
      </c>
      <c r="G1678" s="63"/>
      <c r="H1678" s="65"/>
      <c r="I1678" s="66"/>
    </row>
    <row r="1679" spans="2:9" x14ac:dyDescent="0.2">
      <c r="B1679" s="51" t="str">
        <f t="shared" si="31"/>
        <v>2017-035-1</v>
      </c>
      <c r="C1679" s="52">
        <v>2017</v>
      </c>
      <c r="D1679" s="52" t="s">
        <v>13</v>
      </c>
      <c r="E1679" s="52">
        <v>1</v>
      </c>
      <c r="F1679" s="54" t="s">
        <v>644</v>
      </c>
      <c r="G1679" s="52"/>
      <c r="H1679" s="55"/>
      <c r="I1679" s="56"/>
    </row>
    <row r="1680" spans="2:9" x14ac:dyDescent="0.2">
      <c r="B1680" s="51" t="str">
        <f t="shared" si="31"/>
        <v>2017-035-2</v>
      </c>
      <c r="C1680" s="52">
        <v>2017</v>
      </c>
      <c r="D1680" s="52" t="s">
        <v>13</v>
      </c>
      <c r="E1680" s="52">
        <v>2</v>
      </c>
      <c r="F1680" s="54" t="s">
        <v>1036</v>
      </c>
      <c r="G1680" s="52" t="s">
        <v>3391</v>
      </c>
      <c r="H1680" s="55"/>
      <c r="I1680" s="56"/>
    </row>
    <row r="1681" spans="2:9" x14ac:dyDescent="0.2">
      <c r="B1681" s="51" t="str">
        <f t="shared" si="31"/>
        <v>2017-035-3</v>
      </c>
      <c r="C1681" s="52">
        <v>2017</v>
      </c>
      <c r="D1681" s="52" t="s">
        <v>13</v>
      </c>
      <c r="E1681" s="52">
        <v>3</v>
      </c>
      <c r="F1681" s="54" t="s">
        <v>1348</v>
      </c>
      <c r="G1681" s="52"/>
      <c r="H1681" s="55"/>
      <c r="I1681" s="56"/>
    </row>
    <row r="1682" spans="2:9" x14ac:dyDescent="0.2">
      <c r="B1682" s="51" t="str">
        <f t="shared" si="31"/>
        <v>2017-035-4</v>
      </c>
      <c r="C1682" s="52">
        <v>2017</v>
      </c>
      <c r="D1682" s="52" t="s">
        <v>13</v>
      </c>
      <c r="E1682" s="52">
        <v>4</v>
      </c>
      <c r="F1682" s="54" t="s">
        <v>1789</v>
      </c>
      <c r="G1682" s="52"/>
      <c r="H1682" s="55"/>
      <c r="I1682" s="56"/>
    </row>
    <row r="1683" spans="2:9" ht="27" x14ac:dyDescent="0.2">
      <c r="B1683" s="57" t="str">
        <f t="shared" si="31"/>
        <v>2017-035-5</v>
      </c>
      <c r="C1683" s="58">
        <v>2017</v>
      </c>
      <c r="D1683" s="58" t="s">
        <v>13</v>
      </c>
      <c r="E1683" s="58">
        <v>5</v>
      </c>
      <c r="F1683" s="59" t="s">
        <v>2150</v>
      </c>
      <c r="G1683" s="58"/>
      <c r="H1683" s="60"/>
      <c r="I1683" s="61"/>
    </row>
    <row r="1684" spans="2:9" x14ac:dyDescent="0.2">
      <c r="B1684" s="62" t="str">
        <f t="shared" si="31"/>
        <v>2017-036-0</v>
      </c>
      <c r="C1684" s="63">
        <v>2017</v>
      </c>
      <c r="D1684" s="63" t="s">
        <v>14</v>
      </c>
      <c r="E1684" s="63">
        <v>0</v>
      </c>
      <c r="F1684" s="64" t="s">
        <v>277</v>
      </c>
      <c r="G1684" s="63"/>
      <c r="H1684" s="65"/>
      <c r="I1684" s="66"/>
    </row>
    <row r="1685" spans="2:9" x14ac:dyDescent="0.2">
      <c r="B1685" s="51" t="str">
        <f t="shared" si="31"/>
        <v>2017-036-1</v>
      </c>
      <c r="C1685" s="52">
        <v>2017</v>
      </c>
      <c r="D1685" s="52" t="s">
        <v>14</v>
      </c>
      <c r="E1685" s="52">
        <v>1</v>
      </c>
      <c r="F1685" s="54" t="s">
        <v>645</v>
      </c>
      <c r="G1685" s="52"/>
      <c r="H1685" s="55"/>
      <c r="I1685" s="56"/>
    </row>
    <row r="1686" spans="2:9" x14ac:dyDescent="0.2">
      <c r="B1686" s="51" t="str">
        <f t="shared" si="31"/>
        <v>2017-036-2</v>
      </c>
      <c r="C1686" s="52">
        <v>2017</v>
      </c>
      <c r="D1686" s="52" t="s">
        <v>14</v>
      </c>
      <c r="E1686" s="52">
        <v>2</v>
      </c>
      <c r="F1686" s="54" t="s">
        <v>1037</v>
      </c>
      <c r="G1686" s="52"/>
      <c r="H1686" s="55"/>
      <c r="I1686" s="56"/>
    </row>
    <row r="1687" spans="2:9" x14ac:dyDescent="0.2">
      <c r="B1687" s="51" t="str">
        <f t="shared" si="31"/>
        <v>2017-036-3</v>
      </c>
      <c r="C1687" s="52">
        <v>2017</v>
      </c>
      <c r="D1687" s="52" t="s">
        <v>14</v>
      </c>
      <c r="E1687" s="52">
        <v>3</v>
      </c>
      <c r="F1687" s="54" t="s">
        <v>1422</v>
      </c>
      <c r="G1687" s="52" t="s">
        <v>3391</v>
      </c>
      <c r="H1687" s="55"/>
      <c r="I1687" s="56"/>
    </row>
    <row r="1688" spans="2:9" ht="27" x14ac:dyDescent="0.2">
      <c r="B1688" s="51" t="str">
        <f t="shared" si="31"/>
        <v>2017-036-4</v>
      </c>
      <c r="C1688" s="52">
        <v>2017</v>
      </c>
      <c r="D1688" s="52" t="s">
        <v>14</v>
      </c>
      <c r="E1688" s="52">
        <v>4</v>
      </c>
      <c r="F1688" s="54" t="s">
        <v>1790</v>
      </c>
      <c r="G1688" s="52"/>
      <c r="H1688" s="55"/>
      <c r="I1688" s="56"/>
    </row>
    <row r="1689" spans="2:9" ht="27" x14ac:dyDescent="0.2">
      <c r="B1689" s="57" t="str">
        <f t="shared" si="31"/>
        <v>2017-036-5</v>
      </c>
      <c r="C1689" s="58">
        <v>2017</v>
      </c>
      <c r="D1689" s="58" t="s">
        <v>14</v>
      </c>
      <c r="E1689" s="58">
        <v>5</v>
      </c>
      <c r="F1689" s="59" t="s">
        <v>2151</v>
      </c>
      <c r="G1689" s="58"/>
      <c r="H1689" s="60"/>
      <c r="I1689" s="61"/>
    </row>
    <row r="1690" spans="2:9" x14ac:dyDescent="0.2">
      <c r="B1690" s="62" t="str">
        <f t="shared" si="31"/>
        <v>2017-037-0</v>
      </c>
      <c r="C1690" s="63">
        <v>2017</v>
      </c>
      <c r="D1690" s="63" t="s">
        <v>15</v>
      </c>
      <c r="E1690" s="63">
        <v>0</v>
      </c>
      <c r="F1690" s="64" t="s">
        <v>278</v>
      </c>
      <c r="G1690" s="63"/>
      <c r="H1690" s="65"/>
      <c r="I1690" s="66"/>
    </row>
    <row r="1691" spans="2:9" ht="27" x14ac:dyDescent="0.2">
      <c r="B1691" s="51" t="str">
        <f t="shared" si="31"/>
        <v>2017-037-1</v>
      </c>
      <c r="C1691" s="52">
        <v>2017</v>
      </c>
      <c r="D1691" s="52" t="s">
        <v>15</v>
      </c>
      <c r="E1691" s="52">
        <v>1</v>
      </c>
      <c r="F1691" s="54" t="s">
        <v>646</v>
      </c>
      <c r="G1691" s="52"/>
      <c r="H1691" s="55"/>
      <c r="I1691" s="56"/>
    </row>
    <row r="1692" spans="2:9" x14ac:dyDescent="0.2">
      <c r="B1692" s="51" t="str">
        <f t="shared" si="31"/>
        <v>2017-037-2</v>
      </c>
      <c r="C1692" s="52">
        <v>2017</v>
      </c>
      <c r="D1692" s="52" t="s">
        <v>15</v>
      </c>
      <c r="E1692" s="52">
        <v>2</v>
      </c>
      <c r="F1692" s="54" t="s">
        <v>1038</v>
      </c>
      <c r="G1692" s="52"/>
      <c r="H1692" s="55"/>
      <c r="I1692" s="56"/>
    </row>
    <row r="1693" spans="2:9" x14ac:dyDescent="0.2">
      <c r="B1693" s="51" t="str">
        <f t="shared" si="31"/>
        <v>2017-037-3</v>
      </c>
      <c r="C1693" s="52">
        <v>2017</v>
      </c>
      <c r="D1693" s="52" t="s">
        <v>15</v>
      </c>
      <c r="E1693" s="52">
        <v>3</v>
      </c>
      <c r="F1693" s="54" t="s">
        <v>1423</v>
      </c>
      <c r="G1693" s="52"/>
      <c r="H1693" s="55"/>
      <c r="I1693" s="56"/>
    </row>
    <row r="1694" spans="2:9" ht="27" x14ac:dyDescent="0.2">
      <c r="B1694" s="51" t="str">
        <f t="shared" si="31"/>
        <v>2017-037-4</v>
      </c>
      <c r="C1694" s="52">
        <v>2017</v>
      </c>
      <c r="D1694" s="52" t="s">
        <v>15</v>
      </c>
      <c r="E1694" s="52">
        <v>4</v>
      </c>
      <c r="F1694" s="54" t="s">
        <v>1791</v>
      </c>
      <c r="G1694" s="52"/>
      <c r="H1694" s="55"/>
      <c r="I1694" s="56"/>
    </row>
    <row r="1695" spans="2:9" ht="27" x14ac:dyDescent="0.2">
      <c r="B1695" s="57" t="str">
        <f t="shared" si="31"/>
        <v>2017-037-5</v>
      </c>
      <c r="C1695" s="58">
        <v>2017</v>
      </c>
      <c r="D1695" s="58" t="s">
        <v>15</v>
      </c>
      <c r="E1695" s="58">
        <v>5</v>
      </c>
      <c r="F1695" s="59" t="s">
        <v>2152</v>
      </c>
      <c r="G1695" s="58" t="s">
        <v>3391</v>
      </c>
      <c r="H1695" s="60"/>
      <c r="I1695" s="61"/>
    </row>
    <row r="1696" spans="2:9" x14ac:dyDescent="0.2">
      <c r="B1696" s="62" t="str">
        <f t="shared" si="31"/>
        <v>2017-038-0</v>
      </c>
      <c r="C1696" s="63">
        <v>2017</v>
      </c>
      <c r="D1696" s="63" t="s">
        <v>16</v>
      </c>
      <c r="E1696" s="63">
        <v>0</v>
      </c>
      <c r="F1696" s="64" t="s">
        <v>279</v>
      </c>
      <c r="G1696" s="63"/>
      <c r="H1696" s="65"/>
      <c r="I1696" s="66"/>
    </row>
    <row r="1697" spans="2:9" x14ac:dyDescent="0.2">
      <c r="B1697" s="51" t="str">
        <f t="shared" si="31"/>
        <v>2017-038-1</v>
      </c>
      <c r="C1697" s="52">
        <v>2017</v>
      </c>
      <c r="D1697" s="52" t="s">
        <v>16</v>
      </c>
      <c r="E1697" s="52">
        <v>1</v>
      </c>
      <c r="F1697" s="54" t="s">
        <v>647</v>
      </c>
      <c r="G1697" s="52"/>
      <c r="H1697" s="55"/>
      <c r="I1697" s="56"/>
    </row>
    <row r="1698" spans="2:9" ht="27" x14ac:dyDescent="0.2">
      <c r="B1698" s="51" t="str">
        <f t="shared" si="31"/>
        <v>2017-038-2</v>
      </c>
      <c r="C1698" s="52">
        <v>2017</v>
      </c>
      <c r="D1698" s="52" t="s">
        <v>16</v>
      </c>
      <c r="E1698" s="52">
        <v>2</v>
      </c>
      <c r="F1698" s="54" t="s">
        <v>1039</v>
      </c>
      <c r="G1698" s="52" t="s">
        <v>3391</v>
      </c>
      <c r="H1698" s="55"/>
      <c r="I1698" s="56"/>
    </row>
    <row r="1699" spans="2:9" ht="40.5" x14ac:dyDescent="0.2">
      <c r="B1699" s="51" t="str">
        <f t="shared" si="31"/>
        <v>2017-038-3</v>
      </c>
      <c r="C1699" s="52">
        <v>2017</v>
      </c>
      <c r="D1699" s="52" t="s">
        <v>16</v>
      </c>
      <c r="E1699" s="52">
        <v>3</v>
      </c>
      <c r="F1699" s="54" t="s">
        <v>1424</v>
      </c>
      <c r="G1699" s="52"/>
      <c r="H1699" s="55"/>
      <c r="I1699" s="56"/>
    </row>
    <row r="1700" spans="2:9" ht="27" x14ac:dyDescent="0.2">
      <c r="B1700" s="51" t="str">
        <f t="shared" si="31"/>
        <v>2017-038-4</v>
      </c>
      <c r="C1700" s="52">
        <v>2017</v>
      </c>
      <c r="D1700" s="52" t="s">
        <v>16</v>
      </c>
      <c r="E1700" s="52">
        <v>4</v>
      </c>
      <c r="F1700" s="54" t="s">
        <v>1792</v>
      </c>
      <c r="G1700" s="52"/>
      <c r="H1700" s="55"/>
      <c r="I1700" s="56"/>
    </row>
    <row r="1701" spans="2:9" ht="27" x14ac:dyDescent="0.2">
      <c r="B1701" s="57" t="str">
        <f t="shared" si="31"/>
        <v>2017-038-5</v>
      </c>
      <c r="C1701" s="58">
        <v>2017</v>
      </c>
      <c r="D1701" s="58" t="s">
        <v>16</v>
      </c>
      <c r="E1701" s="58">
        <v>5</v>
      </c>
      <c r="F1701" s="59" t="s">
        <v>2153</v>
      </c>
      <c r="G1701" s="58"/>
      <c r="H1701" s="60"/>
      <c r="I1701" s="61"/>
    </row>
    <row r="1702" spans="2:9" x14ac:dyDescent="0.2">
      <c r="B1702" s="62" t="str">
        <f t="shared" si="31"/>
        <v>2017-039-0</v>
      </c>
      <c r="C1702" s="63">
        <v>2017</v>
      </c>
      <c r="D1702" s="63" t="s">
        <v>17</v>
      </c>
      <c r="E1702" s="63">
        <v>0</v>
      </c>
      <c r="F1702" s="64" t="s">
        <v>280</v>
      </c>
      <c r="G1702" s="63"/>
      <c r="H1702" s="65"/>
      <c r="I1702" s="66"/>
    </row>
    <row r="1703" spans="2:9" x14ac:dyDescent="0.2">
      <c r="B1703" s="51" t="str">
        <f t="shared" si="31"/>
        <v>2017-039-1</v>
      </c>
      <c r="C1703" s="52">
        <v>2017</v>
      </c>
      <c r="D1703" s="52" t="s">
        <v>17</v>
      </c>
      <c r="E1703" s="52">
        <v>1</v>
      </c>
      <c r="F1703" s="54" t="s">
        <v>648</v>
      </c>
      <c r="G1703" s="52"/>
      <c r="H1703" s="55"/>
      <c r="I1703" s="56"/>
    </row>
    <row r="1704" spans="2:9" x14ac:dyDescent="0.2">
      <c r="B1704" s="51" t="str">
        <f t="shared" si="31"/>
        <v>2017-039-2</v>
      </c>
      <c r="C1704" s="52">
        <v>2017</v>
      </c>
      <c r="D1704" s="52" t="s">
        <v>17</v>
      </c>
      <c r="E1704" s="52">
        <v>2</v>
      </c>
      <c r="F1704" s="54" t="s">
        <v>1040</v>
      </c>
      <c r="G1704" s="52"/>
      <c r="H1704" s="55"/>
      <c r="I1704" s="56"/>
    </row>
    <row r="1705" spans="2:9" x14ac:dyDescent="0.2">
      <c r="B1705" s="51" t="str">
        <f t="shared" si="31"/>
        <v>2017-039-3</v>
      </c>
      <c r="C1705" s="52">
        <v>2017</v>
      </c>
      <c r="D1705" s="52" t="s">
        <v>17</v>
      </c>
      <c r="E1705" s="52">
        <v>3</v>
      </c>
      <c r="F1705" s="54" t="s">
        <v>1425</v>
      </c>
      <c r="G1705" s="52"/>
      <c r="H1705" s="55"/>
      <c r="I1705" s="56"/>
    </row>
    <row r="1706" spans="2:9" x14ac:dyDescent="0.2">
      <c r="B1706" s="51" t="str">
        <f t="shared" si="31"/>
        <v>2017-039-4</v>
      </c>
      <c r="C1706" s="52">
        <v>2017</v>
      </c>
      <c r="D1706" s="52" t="s">
        <v>17</v>
      </c>
      <c r="E1706" s="52">
        <v>4</v>
      </c>
      <c r="F1706" s="54" t="s">
        <v>1793</v>
      </c>
      <c r="G1706" s="52"/>
      <c r="H1706" s="55"/>
      <c r="I1706" s="56"/>
    </row>
    <row r="1707" spans="2:9" x14ac:dyDescent="0.2">
      <c r="B1707" s="57" t="str">
        <f t="shared" si="31"/>
        <v>2017-039-5</v>
      </c>
      <c r="C1707" s="58">
        <v>2017</v>
      </c>
      <c r="D1707" s="58" t="s">
        <v>17</v>
      </c>
      <c r="E1707" s="58">
        <v>5</v>
      </c>
      <c r="F1707" s="59" t="s">
        <v>2154</v>
      </c>
      <c r="G1707" s="58" t="s">
        <v>3391</v>
      </c>
      <c r="H1707" s="60"/>
      <c r="I1707" s="61"/>
    </row>
    <row r="1708" spans="2:9" x14ac:dyDescent="0.2">
      <c r="B1708" s="62" t="str">
        <f t="shared" si="31"/>
        <v>2017-040-0</v>
      </c>
      <c r="C1708" s="63">
        <v>2017</v>
      </c>
      <c r="D1708" s="63" t="s">
        <v>18</v>
      </c>
      <c r="E1708" s="63">
        <v>0</v>
      </c>
      <c r="F1708" s="64" t="s">
        <v>281</v>
      </c>
      <c r="G1708" s="63"/>
      <c r="H1708" s="65"/>
      <c r="I1708" s="66"/>
    </row>
    <row r="1709" spans="2:9" ht="27" x14ac:dyDescent="0.2">
      <c r="B1709" s="51" t="str">
        <f t="shared" si="31"/>
        <v>2017-040-1</v>
      </c>
      <c r="C1709" s="52">
        <v>2017</v>
      </c>
      <c r="D1709" s="52" t="s">
        <v>18</v>
      </c>
      <c r="E1709" s="52">
        <v>1</v>
      </c>
      <c r="F1709" s="54" t="s">
        <v>649</v>
      </c>
      <c r="G1709" s="52"/>
      <c r="H1709" s="55"/>
      <c r="I1709" s="56"/>
    </row>
    <row r="1710" spans="2:9" ht="27" x14ac:dyDescent="0.2">
      <c r="B1710" s="51" t="str">
        <f t="shared" si="31"/>
        <v>2017-040-2</v>
      </c>
      <c r="C1710" s="52">
        <v>2017</v>
      </c>
      <c r="D1710" s="52" t="s">
        <v>18</v>
      </c>
      <c r="E1710" s="52">
        <v>2</v>
      </c>
      <c r="F1710" s="54" t="s">
        <v>1041</v>
      </c>
      <c r="G1710" s="52"/>
      <c r="H1710" s="55"/>
      <c r="I1710" s="56"/>
    </row>
    <row r="1711" spans="2:9" ht="27" x14ac:dyDescent="0.2">
      <c r="B1711" s="51" t="str">
        <f t="shared" si="31"/>
        <v>2017-040-3</v>
      </c>
      <c r="C1711" s="52">
        <v>2017</v>
      </c>
      <c r="D1711" s="52" t="s">
        <v>18</v>
      </c>
      <c r="E1711" s="52">
        <v>3</v>
      </c>
      <c r="F1711" s="54" t="s">
        <v>1426</v>
      </c>
      <c r="G1711" s="52"/>
      <c r="H1711" s="55"/>
      <c r="I1711" s="56"/>
    </row>
    <row r="1712" spans="2:9" ht="27" x14ac:dyDescent="0.2">
      <c r="B1712" s="51" t="str">
        <f t="shared" si="31"/>
        <v>2017-040-4</v>
      </c>
      <c r="C1712" s="52">
        <v>2017</v>
      </c>
      <c r="D1712" s="52" t="s">
        <v>18</v>
      </c>
      <c r="E1712" s="52">
        <v>4</v>
      </c>
      <c r="F1712" s="54" t="s">
        <v>1794</v>
      </c>
      <c r="G1712" s="52" t="s">
        <v>3391</v>
      </c>
      <c r="H1712" s="55"/>
      <c r="I1712" s="56"/>
    </row>
    <row r="1713" spans="2:9" ht="27" x14ac:dyDescent="0.2">
      <c r="B1713" s="57" t="str">
        <f t="shared" si="31"/>
        <v>2017-040-5</v>
      </c>
      <c r="C1713" s="58">
        <v>2017</v>
      </c>
      <c r="D1713" s="58" t="s">
        <v>18</v>
      </c>
      <c r="E1713" s="58">
        <v>5</v>
      </c>
      <c r="F1713" s="59" t="s">
        <v>2155</v>
      </c>
      <c r="G1713" s="58"/>
      <c r="H1713" s="60"/>
      <c r="I1713" s="61"/>
    </row>
    <row r="1714" spans="2:9" x14ac:dyDescent="0.2">
      <c r="B1714" s="62" t="str">
        <f t="shared" si="31"/>
        <v>2017-041-0</v>
      </c>
      <c r="C1714" s="63">
        <v>2017</v>
      </c>
      <c r="D1714" s="63" t="s">
        <v>72</v>
      </c>
      <c r="E1714" s="63">
        <v>0</v>
      </c>
      <c r="F1714" s="64" t="s">
        <v>282</v>
      </c>
      <c r="G1714" s="63"/>
      <c r="H1714" s="65"/>
      <c r="I1714" s="66"/>
    </row>
    <row r="1715" spans="2:9" ht="27" x14ac:dyDescent="0.2">
      <c r="B1715" s="51" t="str">
        <f t="shared" si="31"/>
        <v>2017-041-1</v>
      </c>
      <c r="C1715" s="52">
        <v>2017</v>
      </c>
      <c r="D1715" s="52" t="s">
        <v>72</v>
      </c>
      <c r="E1715" s="52">
        <v>1</v>
      </c>
      <c r="F1715" s="54" t="s">
        <v>650</v>
      </c>
      <c r="G1715" s="52"/>
      <c r="H1715" s="55"/>
      <c r="I1715" s="56"/>
    </row>
    <row r="1716" spans="2:9" x14ac:dyDescent="0.2">
      <c r="B1716" s="51" t="str">
        <f t="shared" si="31"/>
        <v>2017-041-2</v>
      </c>
      <c r="C1716" s="52">
        <v>2017</v>
      </c>
      <c r="D1716" s="52" t="s">
        <v>72</v>
      </c>
      <c r="E1716" s="52">
        <v>2</v>
      </c>
      <c r="F1716" s="54" t="s">
        <v>1042</v>
      </c>
      <c r="G1716" s="52" t="s">
        <v>3391</v>
      </c>
      <c r="H1716" s="55"/>
      <c r="I1716" s="56"/>
    </row>
    <row r="1717" spans="2:9" ht="27" x14ac:dyDescent="0.2">
      <c r="B1717" s="51" t="str">
        <f t="shared" si="31"/>
        <v>2017-041-3</v>
      </c>
      <c r="C1717" s="52">
        <v>2017</v>
      </c>
      <c r="D1717" s="52" t="s">
        <v>72</v>
      </c>
      <c r="E1717" s="52">
        <v>3</v>
      </c>
      <c r="F1717" s="54" t="s">
        <v>1427</v>
      </c>
      <c r="G1717" s="52"/>
      <c r="H1717" s="55"/>
      <c r="I1717" s="56"/>
    </row>
    <row r="1718" spans="2:9" x14ac:dyDescent="0.2">
      <c r="B1718" s="51" t="str">
        <f t="shared" si="31"/>
        <v>2017-041-4</v>
      </c>
      <c r="C1718" s="52">
        <v>2017</v>
      </c>
      <c r="D1718" s="52" t="s">
        <v>72</v>
      </c>
      <c r="E1718" s="52">
        <v>4</v>
      </c>
      <c r="F1718" s="54" t="s">
        <v>1795</v>
      </c>
      <c r="G1718" s="52"/>
      <c r="H1718" s="55"/>
      <c r="I1718" s="56"/>
    </row>
    <row r="1719" spans="2:9" x14ac:dyDescent="0.2">
      <c r="B1719" s="57" t="str">
        <f t="shared" si="31"/>
        <v>2017-041-5</v>
      </c>
      <c r="C1719" s="58">
        <v>2017</v>
      </c>
      <c r="D1719" s="58" t="s">
        <v>72</v>
      </c>
      <c r="E1719" s="58">
        <v>5</v>
      </c>
      <c r="F1719" s="59" t="s">
        <v>2156</v>
      </c>
      <c r="G1719" s="58"/>
      <c r="H1719" s="60"/>
      <c r="I1719" s="61"/>
    </row>
    <row r="1720" spans="2:9" ht="67.5" x14ac:dyDescent="0.2">
      <c r="B1720" s="62" t="str">
        <f t="shared" si="31"/>
        <v>2017-042-0</v>
      </c>
      <c r="C1720" s="63">
        <v>2017</v>
      </c>
      <c r="D1720" s="63" t="s">
        <v>73</v>
      </c>
      <c r="E1720" s="63">
        <v>0</v>
      </c>
      <c r="F1720" s="64" t="s">
        <v>283</v>
      </c>
      <c r="G1720" s="63"/>
      <c r="H1720" s="65"/>
      <c r="I1720" s="66"/>
    </row>
    <row r="1721" spans="2:9" x14ac:dyDescent="0.2">
      <c r="B1721" s="51" t="str">
        <f t="shared" si="31"/>
        <v>2017-042-1</v>
      </c>
      <c r="C1721" s="52">
        <v>2017</v>
      </c>
      <c r="D1721" s="52" t="s">
        <v>73</v>
      </c>
      <c r="E1721" s="52">
        <v>1</v>
      </c>
      <c r="F1721" s="54" t="s">
        <v>21</v>
      </c>
      <c r="G1721" s="52" t="s">
        <v>3391</v>
      </c>
      <c r="H1721" s="55"/>
      <c r="I1721" s="56"/>
    </row>
    <row r="1722" spans="2:9" x14ac:dyDescent="0.2">
      <c r="B1722" s="51" t="str">
        <f t="shared" si="31"/>
        <v>2017-042-2</v>
      </c>
      <c r="C1722" s="52">
        <v>2017</v>
      </c>
      <c r="D1722" s="52" t="s">
        <v>73</v>
      </c>
      <c r="E1722" s="52">
        <v>2</v>
      </c>
      <c r="F1722" s="54" t="s">
        <v>30</v>
      </c>
      <c r="G1722" s="52"/>
      <c r="H1722" s="55"/>
      <c r="I1722" s="56"/>
    </row>
    <row r="1723" spans="2:9" x14ac:dyDescent="0.2">
      <c r="B1723" s="51" t="str">
        <f t="shared" si="31"/>
        <v>2017-042-3</v>
      </c>
      <c r="C1723" s="52">
        <v>2017</v>
      </c>
      <c r="D1723" s="52" t="s">
        <v>73</v>
      </c>
      <c r="E1723" s="52">
        <v>3</v>
      </c>
      <c r="F1723" s="54" t="s">
        <v>33</v>
      </c>
      <c r="G1723" s="52"/>
      <c r="H1723" s="55"/>
      <c r="I1723" s="56"/>
    </row>
    <row r="1724" spans="2:9" x14ac:dyDescent="0.2">
      <c r="B1724" s="51" t="str">
        <f t="shared" si="31"/>
        <v>2017-042-4</v>
      </c>
      <c r="C1724" s="52">
        <v>2017</v>
      </c>
      <c r="D1724" s="52" t="s">
        <v>73</v>
      </c>
      <c r="E1724" s="52">
        <v>4</v>
      </c>
      <c r="F1724" s="54" t="s">
        <v>1796</v>
      </c>
      <c r="G1724" s="52"/>
      <c r="H1724" s="55"/>
      <c r="I1724" s="56"/>
    </row>
    <row r="1725" spans="2:9" x14ac:dyDescent="0.2">
      <c r="B1725" s="57" t="str">
        <f t="shared" si="31"/>
        <v>2017-042-5</v>
      </c>
      <c r="C1725" s="58">
        <v>2017</v>
      </c>
      <c r="D1725" s="58" t="s">
        <v>73</v>
      </c>
      <c r="E1725" s="58">
        <v>5</v>
      </c>
      <c r="F1725" s="59" t="s">
        <v>35</v>
      </c>
      <c r="G1725" s="58"/>
      <c r="H1725" s="60"/>
      <c r="I1725" s="61"/>
    </row>
    <row r="1726" spans="2:9" ht="108" x14ac:dyDescent="0.2">
      <c r="B1726" s="62" t="str">
        <f t="shared" si="31"/>
        <v>2017-043-0</v>
      </c>
      <c r="C1726" s="63">
        <v>2017</v>
      </c>
      <c r="D1726" s="63" t="s">
        <v>74</v>
      </c>
      <c r="E1726" s="63">
        <v>0</v>
      </c>
      <c r="F1726" s="64" t="s">
        <v>284</v>
      </c>
      <c r="G1726" s="63"/>
      <c r="H1726" s="65"/>
      <c r="I1726" s="66"/>
    </row>
    <row r="1727" spans="2:9" x14ac:dyDescent="0.2">
      <c r="B1727" s="51" t="str">
        <f t="shared" si="31"/>
        <v>2017-043-1</v>
      </c>
      <c r="C1727" s="52">
        <v>2017</v>
      </c>
      <c r="D1727" s="52" t="s">
        <v>74</v>
      </c>
      <c r="E1727" s="52">
        <v>1</v>
      </c>
      <c r="F1727" s="54" t="s">
        <v>24</v>
      </c>
      <c r="G1727" s="52" t="s">
        <v>3391</v>
      </c>
      <c r="H1727" s="55"/>
      <c r="I1727" s="56"/>
    </row>
    <row r="1728" spans="2:9" x14ac:dyDescent="0.2">
      <c r="B1728" s="51" t="str">
        <f t="shared" si="31"/>
        <v>2017-043-2</v>
      </c>
      <c r="C1728" s="52">
        <v>2017</v>
      </c>
      <c r="D1728" s="52" t="s">
        <v>74</v>
      </c>
      <c r="E1728" s="52">
        <v>2</v>
      </c>
      <c r="F1728" s="54" t="s">
        <v>34</v>
      </c>
      <c r="G1728" s="52"/>
      <c r="H1728" s="55"/>
      <c r="I1728" s="56"/>
    </row>
    <row r="1729" spans="2:9" x14ac:dyDescent="0.2">
      <c r="B1729" s="51" t="str">
        <f t="shared" si="31"/>
        <v>2017-043-3</v>
      </c>
      <c r="C1729" s="52">
        <v>2017</v>
      </c>
      <c r="D1729" s="52" t="s">
        <v>74</v>
      </c>
      <c r="E1729" s="52">
        <v>3</v>
      </c>
      <c r="F1729" s="54" t="s">
        <v>41</v>
      </c>
      <c r="G1729" s="52"/>
      <c r="H1729" s="55"/>
      <c r="I1729" s="56"/>
    </row>
    <row r="1730" spans="2:9" x14ac:dyDescent="0.2">
      <c r="B1730" s="51" t="str">
        <f t="shared" si="31"/>
        <v>2017-043-4</v>
      </c>
      <c r="C1730" s="52">
        <v>2017</v>
      </c>
      <c r="D1730" s="52" t="s">
        <v>74</v>
      </c>
      <c r="E1730" s="52">
        <v>4</v>
      </c>
      <c r="F1730" s="54" t="s">
        <v>45</v>
      </c>
      <c r="G1730" s="52"/>
      <c r="H1730" s="55"/>
      <c r="I1730" s="56"/>
    </row>
    <row r="1731" spans="2:9" x14ac:dyDescent="0.2">
      <c r="B1731" s="57" t="str">
        <f t="shared" si="31"/>
        <v>2017-043-5</v>
      </c>
      <c r="C1731" s="58">
        <v>2017</v>
      </c>
      <c r="D1731" s="58" t="s">
        <v>74</v>
      </c>
      <c r="E1731" s="58">
        <v>5</v>
      </c>
      <c r="F1731" s="59" t="s">
        <v>50</v>
      </c>
      <c r="G1731" s="58"/>
      <c r="H1731" s="60"/>
      <c r="I1731" s="61"/>
    </row>
    <row r="1732" spans="2:9" ht="67.5" x14ac:dyDescent="0.2">
      <c r="B1732" s="62" t="str">
        <f t="shared" si="31"/>
        <v>2017-044-0</v>
      </c>
      <c r="C1732" s="63">
        <v>2017</v>
      </c>
      <c r="D1732" s="63" t="s">
        <v>75</v>
      </c>
      <c r="E1732" s="63">
        <v>0</v>
      </c>
      <c r="F1732" s="64" t="s">
        <v>285</v>
      </c>
      <c r="G1732" s="63"/>
      <c r="H1732" s="65"/>
      <c r="I1732" s="66"/>
    </row>
    <row r="1733" spans="2:9" x14ac:dyDescent="0.2">
      <c r="B1733" s="51" t="str">
        <f t="shared" si="31"/>
        <v>2017-044-1</v>
      </c>
      <c r="C1733" s="52">
        <v>2017</v>
      </c>
      <c r="D1733" s="52" t="s">
        <v>75</v>
      </c>
      <c r="E1733" s="52">
        <v>1</v>
      </c>
      <c r="F1733" s="54" t="s">
        <v>651</v>
      </c>
      <c r="G1733" s="52"/>
      <c r="H1733" s="55"/>
      <c r="I1733" s="56"/>
    </row>
    <row r="1734" spans="2:9" x14ac:dyDescent="0.2">
      <c r="B1734" s="51" t="str">
        <f t="shared" si="31"/>
        <v>2017-044-2</v>
      </c>
      <c r="C1734" s="52">
        <v>2017</v>
      </c>
      <c r="D1734" s="52" t="s">
        <v>75</v>
      </c>
      <c r="E1734" s="52">
        <v>2</v>
      </c>
      <c r="F1734" s="54" t="s">
        <v>1043</v>
      </c>
      <c r="G1734" s="52"/>
      <c r="H1734" s="55"/>
      <c r="I1734" s="56"/>
    </row>
    <row r="1735" spans="2:9" x14ac:dyDescent="0.2">
      <c r="B1735" s="51" t="str">
        <f t="shared" si="31"/>
        <v>2017-044-3</v>
      </c>
      <c r="C1735" s="52">
        <v>2017</v>
      </c>
      <c r="D1735" s="52" t="s">
        <v>75</v>
      </c>
      <c r="E1735" s="52">
        <v>3</v>
      </c>
      <c r="F1735" s="54" t="s">
        <v>1428</v>
      </c>
      <c r="G1735" s="52" t="s">
        <v>3391</v>
      </c>
      <c r="H1735" s="55"/>
      <c r="I1735" s="56"/>
    </row>
    <row r="1736" spans="2:9" x14ac:dyDescent="0.2">
      <c r="B1736" s="51" t="str">
        <f t="shared" si="31"/>
        <v>2017-044-4</v>
      </c>
      <c r="C1736" s="52">
        <v>2017</v>
      </c>
      <c r="D1736" s="52" t="s">
        <v>75</v>
      </c>
      <c r="E1736" s="52">
        <v>4</v>
      </c>
      <c r="F1736" s="54" t="s">
        <v>1797</v>
      </c>
      <c r="G1736" s="52"/>
      <c r="H1736" s="55"/>
      <c r="I1736" s="56"/>
    </row>
    <row r="1737" spans="2:9" x14ac:dyDescent="0.2">
      <c r="B1737" s="57" t="str">
        <f t="shared" ref="B1737:B1773" si="32">C1737&amp;"-"&amp;D1737&amp;"-"&amp;E1737</f>
        <v>2017-044-5</v>
      </c>
      <c r="C1737" s="58">
        <v>2017</v>
      </c>
      <c r="D1737" s="58" t="s">
        <v>75</v>
      </c>
      <c r="E1737" s="58">
        <v>5</v>
      </c>
      <c r="F1737" s="59" t="s">
        <v>2157</v>
      </c>
      <c r="G1737" s="58"/>
      <c r="H1737" s="60"/>
      <c r="I1737" s="61"/>
    </row>
    <row r="1738" spans="2:9" x14ac:dyDescent="0.2">
      <c r="B1738" s="62" t="str">
        <f t="shared" si="32"/>
        <v>2017-045-0</v>
      </c>
      <c r="C1738" s="63">
        <v>2017</v>
      </c>
      <c r="D1738" s="63" t="s">
        <v>76</v>
      </c>
      <c r="E1738" s="63">
        <v>0</v>
      </c>
      <c r="F1738" s="64" t="s">
        <v>286</v>
      </c>
      <c r="G1738" s="63"/>
      <c r="H1738" s="65"/>
      <c r="I1738" s="66"/>
    </row>
    <row r="1739" spans="2:9" x14ac:dyDescent="0.2">
      <c r="B1739" s="51" t="str">
        <f t="shared" si="32"/>
        <v>2017-045-1</v>
      </c>
      <c r="C1739" s="52">
        <v>2017</v>
      </c>
      <c r="D1739" s="52" t="s">
        <v>76</v>
      </c>
      <c r="E1739" s="52">
        <v>1</v>
      </c>
      <c r="F1739" s="54" t="s">
        <v>652</v>
      </c>
      <c r="G1739" s="52"/>
      <c r="H1739" s="55"/>
      <c r="I1739" s="56"/>
    </row>
    <row r="1740" spans="2:9" x14ac:dyDescent="0.2">
      <c r="B1740" s="51" t="str">
        <f t="shared" si="32"/>
        <v>2017-045-2</v>
      </c>
      <c r="C1740" s="52">
        <v>2017</v>
      </c>
      <c r="D1740" s="52" t="s">
        <v>76</v>
      </c>
      <c r="E1740" s="52">
        <v>2</v>
      </c>
      <c r="F1740" s="54" t="s">
        <v>1044</v>
      </c>
      <c r="G1740" s="52" t="s">
        <v>3391</v>
      </c>
      <c r="H1740" s="55"/>
      <c r="I1740" s="56"/>
    </row>
    <row r="1741" spans="2:9" x14ac:dyDescent="0.2">
      <c r="B1741" s="51" t="str">
        <f t="shared" si="32"/>
        <v>2017-045-3</v>
      </c>
      <c r="C1741" s="52">
        <v>2017</v>
      </c>
      <c r="D1741" s="52" t="s">
        <v>76</v>
      </c>
      <c r="E1741" s="52">
        <v>3</v>
      </c>
      <c r="F1741" s="54" t="s">
        <v>769</v>
      </c>
      <c r="G1741" s="52"/>
      <c r="H1741" s="55"/>
      <c r="I1741" s="56"/>
    </row>
    <row r="1742" spans="2:9" x14ac:dyDescent="0.2">
      <c r="B1742" s="51" t="str">
        <f t="shared" si="32"/>
        <v>2017-045-4</v>
      </c>
      <c r="C1742" s="52">
        <v>2017</v>
      </c>
      <c r="D1742" s="52" t="s">
        <v>76</v>
      </c>
      <c r="E1742" s="52">
        <v>4</v>
      </c>
      <c r="F1742" s="54" t="s">
        <v>1798</v>
      </c>
      <c r="G1742" s="52"/>
      <c r="H1742" s="55"/>
      <c r="I1742" s="56"/>
    </row>
    <row r="1743" spans="2:9" x14ac:dyDescent="0.2">
      <c r="B1743" s="57" t="str">
        <f t="shared" si="32"/>
        <v>2017-045-5</v>
      </c>
      <c r="C1743" s="58">
        <v>2017</v>
      </c>
      <c r="D1743" s="58" t="s">
        <v>76</v>
      </c>
      <c r="E1743" s="58">
        <v>5</v>
      </c>
      <c r="F1743" s="59" t="s">
        <v>2158</v>
      </c>
      <c r="G1743" s="58"/>
      <c r="H1743" s="60"/>
      <c r="I1743" s="61"/>
    </row>
    <row r="1744" spans="2:9" ht="67.5" x14ac:dyDescent="0.2">
      <c r="B1744" s="62" t="str">
        <f t="shared" si="32"/>
        <v>2017-046-0</v>
      </c>
      <c r="C1744" s="63">
        <v>2017</v>
      </c>
      <c r="D1744" s="63" t="s">
        <v>77</v>
      </c>
      <c r="E1744" s="63">
        <v>0</v>
      </c>
      <c r="F1744" s="64" t="s">
        <v>287</v>
      </c>
      <c r="G1744" s="63"/>
      <c r="H1744" s="65"/>
      <c r="I1744" s="66"/>
    </row>
    <row r="1745" spans="2:9" x14ac:dyDescent="0.2">
      <c r="B1745" s="51" t="str">
        <f t="shared" si="32"/>
        <v>2017-046-1</v>
      </c>
      <c r="C1745" s="52">
        <v>2017</v>
      </c>
      <c r="D1745" s="52" t="s">
        <v>77</v>
      </c>
      <c r="E1745" s="52">
        <v>1</v>
      </c>
      <c r="F1745" s="54" t="s">
        <v>20</v>
      </c>
      <c r="G1745" s="52"/>
      <c r="H1745" s="55"/>
      <c r="I1745" s="56"/>
    </row>
    <row r="1746" spans="2:9" x14ac:dyDescent="0.2">
      <c r="B1746" s="51" t="str">
        <f t="shared" si="32"/>
        <v>2017-046-2</v>
      </c>
      <c r="C1746" s="52">
        <v>2017</v>
      </c>
      <c r="D1746" s="52" t="s">
        <v>77</v>
      </c>
      <c r="E1746" s="52">
        <v>2</v>
      </c>
      <c r="F1746" s="54" t="s">
        <v>29</v>
      </c>
      <c r="G1746" s="52"/>
      <c r="H1746" s="55"/>
      <c r="I1746" s="56"/>
    </row>
    <row r="1747" spans="2:9" x14ac:dyDescent="0.2">
      <c r="B1747" s="51" t="str">
        <f t="shared" si="32"/>
        <v>2017-046-3</v>
      </c>
      <c r="C1747" s="52">
        <v>2017</v>
      </c>
      <c r="D1747" s="52" t="s">
        <v>77</v>
      </c>
      <c r="E1747" s="52">
        <v>3</v>
      </c>
      <c r="F1747" s="54" t="s">
        <v>22</v>
      </c>
      <c r="G1747" s="52"/>
      <c r="H1747" s="55"/>
      <c r="I1747" s="56"/>
    </row>
    <row r="1748" spans="2:9" x14ac:dyDescent="0.2">
      <c r="B1748" s="51" t="str">
        <f t="shared" si="32"/>
        <v>2017-046-4</v>
      </c>
      <c r="C1748" s="52">
        <v>2017</v>
      </c>
      <c r="D1748" s="52" t="s">
        <v>77</v>
      </c>
      <c r="E1748" s="52">
        <v>4</v>
      </c>
      <c r="F1748" s="54" t="s">
        <v>44</v>
      </c>
      <c r="G1748" s="52"/>
      <c r="H1748" s="55"/>
      <c r="I1748" s="56"/>
    </row>
    <row r="1749" spans="2:9" x14ac:dyDescent="0.2">
      <c r="B1749" s="57" t="str">
        <f t="shared" si="32"/>
        <v>2017-046-5</v>
      </c>
      <c r="C1749" s="58">
        <v>2017</v>
      </c>
      <c r="D1749" s="58" t="s">
        <v>77</v>
      </c>
      <c r="E1749" s="58">
        <v>5</v>
      </c>
      <c r="F1749" s="59" t="s">
        <v>49</v>
      </c>
      <c r="G1749" s="58" t="s">
        <v>3391</v>
      </c>
      <c r="H1749" s="60"/>
      <c r="I1749" s="61"/>
    </row>
    <row r="1750" spans="2:9" x14ac:dyDescent="0.2">
      <c r="B1750" s="62" t="str">
        <f t="shared" si="32"/>
        <v>2017-047-0</v>
      </c>
      <c r="C1750" s="63">
        <v>2017</v>
      </c>
      <c r="D1750" s="63" t="s">
        <v>78</v>
      </c>
      <c r="E1750" s="63">
        <v>0</v>
      </c>
      <c r="F1750" s="64" t="s">
        <v>167</v>
      </c>
      <c r="G1750" s="63"/>
      <c r="H1750" s="65"/>
      <c r="I1750" s="66"/>
    </row>
    <row r="1751" spans="2:9" x14ac:dyDescent="0.2">
      <c r="B1751" s="51" t="str">
        <f t="shared" si="32"/>
        <v>2017-047-1</v>
      </c>
      <c r="C1751" s="52">
        <v>2017</v>
      </c>
      <c r="D1751" s="52" t="s">
        <v>78</v>
      </c>
      <c r="E1751" s="52">
        <v>1</v>
      </c>
      <c r="F1751" s="54" t="s">
        <v>653</v>
      </c>
      <c r="G1751" s="52"/>
      <c r="H1751" s="55"/>
      <c r="I1751" s="56"/>
    </row>
    <row r="1752" spans="2:9" x14ac:dyDescent="0.2">
      <c r="B1752" s="51" t="str">
        <f t="shared" si="32"/>
        <v>2017-047-2</v>
      </c>
      <c r="C1752" s="52">
        <v>2017</v>
      </c>
      <c r="D1752" s="52" t="s">
        <v>78</v>
      </c>
      <c r="E1752" s="52">
        <v>2</v>
      </c>
      <c r="F1752" s="54" t="s">
        <v>1045</v>
      </c>
      <c r="G1752" s="52"/>
      <c r="H1752" s="55"/>
      <c r="I1752" s="56"/>
    </row>
    <row r="1753" spans="2:9" x14ac:dyDescent="0.2">
      <c r="B1753" s="51" t="str">
        <f t="shared" si="32"/>
        <v>2017-047-3</v>
      </c>
      <c r="C1753" s="52">
        <v>2017</v>
      </c>
      <c r="D1753" s="52" t="s">
        <v>78</v>
      </c>
      <c r="E1753" s="52">
        <v>3</v>
      </c>
      <c r="F1753" s="54" t="s">
        <v>1429</v>
      </c>
      <c r="G1753" s="52"/>
      <c r="H1753" s="55"/>
      <c r="I1753" s="56"/>
    </row>
    <row r="1754" spans="2:9" x14ac:dyDescent="0.2">
      <c r="B1754" s="51" t="str">
        <f t="shared" si="32"/>
        <v>2017-047-4</v>
      </c>
      <c r="C1754" s="52">
        <v>2017</v>
      </c>
      <c r="D1754" s="52" t="s">
        <v>78</v>
      </c>
      <c r="E1754" s="52">
        <v>4</v>
      </c>
      <c r="F1754" s="54" t="s">
        <v>1799</v>
      </c>
      <c r="G1754" s="52"/>
      <c r="H1754" s="55"/>
      <c r="I1754" s="56"/>
    </row>
    <row r="1755" spans="2:9" x14ac:dyDescent="0.2">
      <c r="B1755" s="57" t="str">
        <f t="shared" si="32"/>
        <v>2017-047-5</v>
      </c>
      <c r="C1755" s="58">
        <v>2017</v>
      </c>
      <c r="D1755" s="58" t="s">
        <v>78</v>
      </c>
      <c r="E1755" s="58">
        <v>5</v>
      </c>
      <c r="F1755" s="59" t="s">
        <v>2159</v>
      </c>
      <c r="G1755" s="58" t="s">
        <v>3391</v>
      </c>
      <c r="H1755" s="60"/>
      <c r="I1755" s="61"/>
    </row>
    <row r="1756" spans="2:9" x14ac:dyDescent="0.2">
      <c r="B1756" s="62" t="str">
        <f t="shared" si="32"/>
        <v>2017-048-0</v>
      </c>
      <c r="C1756" s="63">
        <v>2017</v>
      </c>
      <c r="D1756" s="63" t="s">
        <v>79</v>
      </c>
      <c r="E1756" s="63">
        <v>0</v>
      </c>
      <c r="F1756" s="64" t="s">
        <v>288</v>
      </c>
      <c r="G1756" s="63"/>
      <c r="H1756" s="65"/>
      <c r="I1756" s="66"/>
    </row>
    <row r="1757" spans="2:9" x14ac:dyDescent="0.2">
      <c r="B1757" s="51" t="str">
        <f t="shared" si="32"/>
        <v>2017-048-1</v>
      </c>
      <c r="C1757" s="52">
        <v>2017</v>
      </c>
      <c r="D1757" s="52" t="s">
        <v>79</v>
      </c>
      <c r="E1757" s="52">
        <v>1</v>
      </c>
      <c r="F1757" s="54" t="s">
        <v>654</v>
      </c>
      <c r="G1757" s="52"/>
      <c r="H1757" s="55"/>
      <c r="I1757" s="56"/>
    </row>
    <row r="1758" spans="2:9" x14ac:dyDescent="0.2">
      <c r="B1758" s="51" t="str">
        <f t="shared" si="32"/>
        <v>2017-048-2</v>
      </c>
      <c r="C1758" s="52">
        <v>2017</v>
      </c>
      <c r="D1758" s="52" t="s">
        <v>79</v>
      </c>
      <c r="E1758" s="52">
        <v>2</v>
      </c>
      <c r="F1758" s="54" t="s">
        <v>1046</v>
      </c>
      <c r="G1758" s="52"/>
      <c r="H1758" s="55"/>
      <c r="I1758" s="56"/>
    </row>
    <row r="1759" spans="2:9" x14ac:dyDescent="0.2">
      <c r="B1759" s="51" t="str">
        <f t="shared" si="32"/>
        <v>2017-048-3</v>
      </c>
      <c r="C1759" s="52">
        <v>2017</v>
      </c>
      <c r="D1759" s="52" t="s">
        <v>79</v>
      </c>
      <c r="E1759" s="52">
        <v>3</v>
      </c>
      <c r="F1759" s="54" t="s">
        <v>1430</v>
      </c>
      <c r="G1759" s="52"/>
      <c r="H1759" s="55"/>
      <c r="I1759" s="56"/>
    </row>
    <row r="1760" spans="2:9" ht="27" x14ac:dyDescent="0.2">
      <c r="B1760" s="51" t="str">
        <f t="shared" si="32"/>
        <v>2017-048-4</v>
      </c>
      <c r="C1760" s="52">
        <v>2017</v>
      </c>
      <c r="D1760" s="52" t="s">
        <v>79</v>
      </c>
      <c r="E1760" s="52">
        <v>4</v>
      </c>
      <c r="F1760" s="54" t="s">
        <v>1707</v>
      </c>
      <c r="G1760" s="52" t="s">
        <v>3391</v>
      </c>
      <c r="H1760" s="55"/>
      <c r="I1760" s="56"/>
    </row>
    <row r="1761" spans="2:9" x14ac:dyDescent="0.2">
      <c r="B1761" s="57" t="str">
        <f t="shared" si="32"/>
        <v>2017-048-5</v>
      </c>
      <c r="C1761" s="58">
        <v>2017</v>
      </c>
      <c r="D1761" s="58" t="s">
        <v>79</v>
      </c>
      <c r="E1761" s="58">
        <v>5</v>
      </c>
      <c r="F1761" s="59" t="s">
        <v>2160</v>
      </c>
      <c r="G1761" s="58"/>
      <c r="H1761" s="60"/>
      <c r="I1761" s="61"/>
    </row>
    <row r="1762" spans="2:9" x14ac:dyDescent="0.2">
      <c r="B1762" s="62" t="str">
        <f t="shared" si="32"/>
        <v>2017-049-0</v>
      </c>
      <c r="C1762" s="63">
        <v>2017</v>
      </c>
      <c r="D1762" s="63" t="s">
        <v>80</v>
      </c>
      <c r="E1762" s="63">
        <v>0</v>
      </c>
      <c r="F1762" s="64" t="s">
        <v>231</v>
      </c>
      <c r="G1762" s="63"/>
      <c r="H1762" s="65"/>
      <c r="I1762" s="66"/>
    </row>
    <row r="1763" spans="2:9" ht="27" x14ac:dyDescent="0.2">
      <c r="B1763" s="51" t="str">
        <f t="shared" si="32"/>
        <v>2017-049-1</v>
      </c>
      <c r="C1763" s="52">
        <v>2017</v>
      </c>
      <c r="D1763" s="52" t="s">
        <v>80</v>
      </c>
      <c r="E1763" s="52">
        <v>1</v>
      </c>
      <c r="F1763" s="54" t="s">
        <v>655</v>
      </c>
      <c r="G1763" s="52"/>
      <c r="H1763" s="55"/>
      <c r="I1763" s="56"/>
    </row>
    <row r="1764" spans="2:9" x14ac:dyDescent="0.2">
      <c r="B1764" s="51" t="str">
        <f t="shared" si="32"/>
        <v>2017-049-2</v>
      </c>
      <c r="C1764" s="52">
        <v>2017</v>
      </c>
      <c r="D1764" s="52" t="s">
        <v>80</v>
      </c>
      <c r="E1764" s="52">
        <v>2</v>
      </c>
      <c r="F1764" s="54" t="s">
        <v>1047</v>
      </c>
      <c r="G1764" s="52" t="s">
        <v>3391</v>
      </c>
      <c r="H1764" s="55"/>
      <c r="I1764" s="56"/>
    </row>
    <row r="1765" spans="2:9" x14ac:dyDescent="0.2">
      <c r="B1765" s="51" t="str">
        <f t="shared" si="32"/>
        <v>2017-049-3</v>
      </c>
      <c r="C1765" s="52">
        <v>2017</v>
      </c>
      <c r="D1765" s="52" t="s">
        <v>80</v>
      </c>
      <c r="E1765" s="52">
        <v>3</v>
      </c>
      <c r="F1765" s="54" t="s">
        <v>1431</v>
      </c>
      <c r="G1765" s="52"/>
      <c r="H1765" s="55"/>
      <c r="I1765" s="56"/>
    </row>
    <row r="1766" spans="2:9" ht="27" x14ac:dyDescent="0.2">
      <c r="B1766" s="51" t="str">
        <f t="shared" si="32"/>
        <v>2017-049-4</v>
      </c>
      <c r="C1766" s="52">
        <v>2017</v>
      </c>
      <c r="D1766" s="52" t="s">
        <v>80</v>
      </c>
      <c r="E1766" s="52">
        <v>4</v>
      </c>
      <c r="F1766" s="54" t="s">
        <v>1800</v>
      </c>
      <c r="G1766" s="52"/>
      <c r="H1766" s="55"/>
      <c r="I1766" s="56"/>
    </row>
    <row r="1767" spans="2:9" x14ac:dyDescent="0.2">
      <c r="B1767" s="57" t="str">
        <f t="shared" si="32"/>
        <v>2017-049-5</v>
      </c>
      <c r="C1767" s="58">
        <v>2017</v>
      </c>
      <c r="D1767" s="58" t="s">
        <v>80</v>
      </c>
      <c r="E1767" s="58">
        <v>5</v>
      </c>
      <c r="F1767" s="59" t="s">
        <v>590</v>
      </c>
      <c r="G1767" s="58"/>
      <c r="H1767" s="60"/>
      <c r="I1767" s="61"/>
    </row>
    <row r="1768" spans="2:9" x14ac:dyDescent="0.2">
      <c r="B1768" s="62" t="str">
        <f t="shared" si="32"/>
        <v>2017-050-0</v>
      </c>
      <c r="C1768" s="63">
        <v>2017</v>
      </c>
      <c r="D1768" s="63" t="s">
        <v>81</v>
      </c>
      <c r="E1768" s="63">
        <v>0</v>
      </c>
      <c r="F1768" s="64" t="s">
        <v>194</v>
      </c>
      <c r="G1768" s="63"/>
      <c r="H1768" s="65"/>
      <c r="I1768" s="66"/>
    </row>
    <row r="1769" spans="2:9" x14ac:dyDescent="0.2">
      <c r="B1769" s="51" t="str">
        <f t="shared" si="32"/>
        <v>2017-050-1</v>
      </c>
      <c r="C1769" s="52">
        <v>2017</v>
      </c>
      <c r="D1769" s="52" t="s">
        <v>81</v>
      </c>
      <c r="E1769" s="52">
        <v>1</v>
      </c>
      <c r="F1769" s="54" t="s">
        <v>656</v>
      </c>
      <c r="G1769" s="52" t="s">
        <v>3391</v>
      </c>
      <c r="H1769" s="55"/>
      <c r="I1769" s="56"/>
    </row>
    <row r="1770" spans="2:9" x14ac:dyDescent="0.2">
      <c r="B1770" s="51" t="str">
        <f t="shared" si="32"/>
        <v>2017-050-2</v>
      </c>
      <c r="C1770" s="52">
        <v>2017</v>
      </c>
      <c r="D1770" s="52" t="s">
        <v>81</v>
      </c>
      <c r="E1770" s="52">
        <v>2</v>
      </c>
      <c r="F1770" s="54" t="s">
        <v>1048</v>
      </c>
      <c r="G1770" s="52"/>
      <c r="H1770" s="55"/>
      <c r="I1770" s="56"/>
    </row>
    <row r="1771" spans="2:9" x14ac:dyDescent="0.2">
      <c r="B1771" s="51" t="str">
        <f t="shared" si="32"/>
        <v>2017-050-3</v>
      </c>
      <c r="C1771" s="52">
        <v>2017</v>
      </c>
      <c r="D1771" s="52" t="s">
        <v>81</v>
      </c>
      <c r="E1771" s="52">
        <v>3</v>
      </c>
      <c r="F1771" s="54" t="s">
        <v>1432</v>
      </c>
      <c r="G1771" s="52"/>
      <c r="H1771" s="55"/>
      <c r="I1771" s="56"/>
    </row>
    <row r="1772" spans="2:9" ht="27" x14ac:dyDescent="0.2">
      <c r="B1772" s="51" t="str">
        <f t="shared" si="32"/>
        <v>2017-050-4</v>
      </c>
      <c r="C1772" s="52">
        <v>2017</v>
      </c>
      <c r="D1772" s="52" t="s">
        <v>81</v>
      </c>
      <c r="E1772" s="52">
        <v>4</v>
      </c>
      <c r="F1772" s="54" t="s">
        <v>1801</v>
      </c>
      <c r="G1772" s="52"/>
      <c r="H1772" s="55"/>
      <c r="I1772" s="56"/>
    </row>
    <row r="1773" spans="2:9" ht="27.75" thickBot="1" x14ac:dyDescent="0.25">
      <c r="B1773" s="67" t="str">
        <f t="shared" si="32"/>
        <v>2017-050-5</v>
      </c>
      <c r="C1773" s="68">
        <v>2017</v>
      </c>
      <c r="D1773" s="68" t="s">
        <v>81</v>
      </c>
      <c r="E1773" s="68">
        <v>5</v>
      </c>
      <c r="F1773" s="69" t="s">
        <v>2161</v>
      </c>
      <c r="G1773" s="68"/>
      <c r="H1773" s="70"/>
      <c r="I1773" s="71"/>
    </row>
    <row r="1774" spans="2:9" ht="81" x14ac:dyDescent="0.2">
      <c r="B1774" s="45" t="str">
        <f t="shared" ref="B1774" si="33">C1774&amp;"-"&amp;D1774&amp;"-"&amp;E1774</f>
        <v>2016-026-0</v>
      </c>
      <c r="C1774" s="46">
        <v>2016</v>
      </c>
      <c r="D1774" s="46" t="s">
        <v>4</v>
      </c>
      <c r="E1774" s="46">
        <v>0</v>
      </c>
      <c r="F1774" s="48" t="s">
        <v>289</v>
      </c>
      <c r="G1774" s="46"/>
      <c r="H1774" s="49"/>
      <c r="I1774" s="50"/>
    </row>
    <row r="1775" spans="2:9" x14ac:dyDescent="0.2">
      <c r="B1775" s="51" t="str">
        <f t="shared" ref="B1775:B1838" si="34">C1775&amp;"-"&amp;D1775&amp;"-"&amp;E1775</f>
        <v>2016-026-1</v>
      </c>
      <c r="C1775" s="52">
        <v>2016</v>
      </c>
      <c r="D1775" s="52" t="s">
        <v>4</v>
      </c>
      <c r="E1775" s="52">
        <v>1</v>
      </c>
      <c r="F1775" s="54" t="s">
        <v>21</v>
      </c>
      <c r="G1775" s="52" t="s">
        <v>3391</v>
      </c>
      <c r="H1775" s="55"/>
      <c r="I1775" s="56"/>
    </row>
    <row r="1776" spans="2:9" x14ac:dyDescent="0.2">
      <c r="B1776" s="51" t="str">
        <f t="shared" si="34"/>
        <v>2016-026-2</v>
      </c>
      <c r="C1776" s="52">
        <v>2016</v>
      </c>
      <c r="D1776" s="52" t="s">
        <v>4</v>
      </c>
      <c r="E1776" s="52">
        <v>2</v>
      </c>
      <c r="F1776" s="54" t="s">
        <v>20</v>
      </c>
      <c r="G1776" s="52"/>
      <c r="H1776" s="55"/>
      <c r="I1776" s="56"/>
    </row>
    <row r="1777" spans="2:9" x14ac:dyDescent="0.2">
      <c r="B1777" s="51" t="str">
        <f t="shared" si="34"/>
        <v>2016-026-3</v>
      </c>
      <c r="C1777" s="52">
        <v>2016</v>
      </c>
      <c r="D1777" s="52" t="s">
        <v>4</v>
      </c>
      <c r="E1777" s="52">
        <v>3</v>
      </c>
      <c r="F1777" s="54" t="s">
        <v>25</v>
      </c>
      <c r="G1777" s="52"/>
      <c r="H1777" s="55"/>
      <c r="I1777" s="56"/>
    </row>
    <row r="1778" spans="2:9" x14ac:dyDescent="0.2">
      <c r="B1778" s="51" t="str">
        <f t="shared" si="34"/>
        <v>2016-026-4</v>
      </c>
      <c r="C1778" s="52">
        <v>2016</v>
      </c>
      <c r="D1778" s="52" t="s">
        <v>4</v>
      </c>
      <c r="E1778" s="52">
        <v>4</v>
      </c>
      <c r="F1778" s="54" t="s">
        <v>38</v>
      </c>
      <c r="G1778" s="52"/>
      <c r="H1778" s="55"/>
      <c r="I1778" s="56"/>
    </row>
    <row r="1779" spans="2:9" x14ac:dyDescent="0.2">
      <c r="B1779" s="57" t="str">
        <f t="shared" si="34"/>
        <v>2016-026-5</v>
      </c>
      <c r="C1779" s="58">
        <v>2016</v>
      </c>
      <c r="D1779" s="58" t="s">
        <v>4</v>
      </c>
      <c r="E1779" s="58">
        <v>5</v>
      </c>
      <c r="F1779" s="59" t="s">
        <v>22</v>
      </c>
      <c r="G1779" s="58"/>
      <c r="H1779" s="60"/>
      <c r="I1779" s="61"/>
    </row>
    <row r="1780" spans="2:9" x14ac:dyDescent="0.2">
      <c r="B1780" s="62" t="str">
        <f t="shared" si="34"/>
        <v>2016-027-0</v>
      </c>
      <c r="C1780" s="63">
        <v>2016</v>
      </c>
      <c r="D1780" s="63" t="s">
        <v>5</v>
      </c>
      <c r="E1780" s="63">
        <v>0</v>
      </c>
      <c r="F1780" s="64" t="s">
        <v>290</v>
      </c>
      <c r="G1780" s="63"/>
      <c r="H1780" s="65"/>
      <c r="I1780" s="66"/>
    </row>
    <row r="1781" spans="2:9" x14ac:dyDescent="0.2">
      <c r="B1781" s="51" t="str">
        <f t="shared" si="34"/>
        <v>2016-027-1</v>
      </c>
      <c r="C1781" s="52">
        <v>2016</v>
      </c>
      <c r="D1781" s="52" t="s">
        <v>5</v>
      </c>
      <c r="E1781" s="52">
        <v>1</v>
      </c>
      <c r="F1781" s="54" t="s">
        <v>657</v>
      </c>
      <c r="G1781" s="52" t="s">
        <v>3391</v>
      </c>
      <c r="H1781" s="55"/>
      <c r="I1781" s="56"/>
    </row>
    <row r="1782" spans="2:9" x14ac:dyDescent="0.2">
      <c r="B1782" s="51" t="str">
        <f t="shared" si="34"/>
        <v>2016-027-2</v>
      </c>
      <c r="C1782" s="52">
        <v>2016</v>
      </c>
      <c r="D1782" s="52" t="s">
        <v>5</v>
      </c>
      <c r="E1782" s="52">
        <v>2</v>
      </c>
      <c r="F1782" s="54" t="s">
        <v>1049</v>
      </c>
      <c r="G1782" s="52"/>
      <c r="H1782" s="55"/>
      <c r="I1782" s="56"/>
    </row>
    <row r="1783" spans="2:9" x14ac:dyDescent="0.2">
      <c r="B1783" s="51" t="str">
        <f t="shared" si="34"/>
        <v>2016-027-3</v>
      </c>
      <c r="C1783" s="52">
        <v>2016</v>
      </c>
      <c r="D1783" s="52" t="s">
        <v>5</v>
      </c>
      <c r="E1783" s="52">
        <v>3</v>
      </c>
      <c r="F1783" s="54" t="s">
        <v>1433</v>
      </c>
      <c r="G1783" s="52"/>
      <c r="H1783" s="55"/>
      <c r="I1783" s="56"/>
    </row>
    <row r="1784" spans="2:9" x14ac:dyDescent="0.2">
      <c r="B1784" s="51" t="str">
        <f t="shared" si="34"/>
        <v>2016-027-4</v>
      </c>
      <c r="C1784" s="52">
        <v>2016</v>
      </c>
      <c r="D1784" s="52" t="s">
        <v>5</v>
      </c>
      <c r="E1784" s="52">
        <v>4</v>
      </c>
      <c r="F1784" s="54" t="s">
        <v>1802</v>
      </c>
      <c r="G1784" s="52"/>
      <c r="H1784" s="55"/>
      <c r="I1784" s="56"/>
    </row>
    <row r="1785" spans="2:9" x14ac:dyDescent="0.2">
      <c r="B1785" s="57" t="str">
        <f t="shared" si="34"/>
        <v>2016-027-5</v>
      </c>
      <c r="C1785" s="58">
        <v>2016</v>
      </c>
      <c r="D1785" s="58" t="s">
        <v>5</v>
      </c>
      <c r="E1785" s="58">
        <v>5</v>
      </c>
      <c r="F1785" s="59" t="s">
        <v>2162</v>
      </c>
      <c r="G1785" s="58"/>
      <c r="H1785" s="60"/>
      <c r="I1785" s="61"/>
    </row>
    <row r="1786" spans="2:9" x14ac:dyDescent="0.2">
      <c r="B1786" s="62" t="str">
        <f t="shared" si="34"/>
        <v>2016-028-0</v>
      </c>
      <c r="C1786" s="63">
        <v>2016</v>
      </c>
      <c r="D1786" s="63" t="s">
        <v>6</v>
      </c>
      <c r="E1786" s="63">
        <v>0</v>
      </c>
      <c r="F1786" s="64" t="s">
        <v>156</v>
      </c>
      <c r="G1786" s="63"/>
      <c r="H1786" s="65"/>
      <c r="I1786" s="66"/>
    </row>
    <row r="1787" spans="2:9" ht="27" x14ac:dyDescent="0.2">
      <c r="B1787" s="51" t="str">
        <f t="shared" si="34"/>
        <v>2016-028-1</v>
      </c>
      <c r="C1787" s="52">
        <v>2016</v>
      </c>
      <c r="D1787" s="52" t="s">
        <v>6</v>
      </c>
      <c r="E1787" s="52">
        <v>1</v>
      </c>
      <c r="F1787" s="54" t="s">
        <v>658</v>
      </c>
      <c r="G1787" s="52"/>
      <c r="H1787" s="55"/>
      <c r="I1787" s="56"/>
    </row>
    <row r="1788" spans="2:9" x14ac:dyDescent="0.2">
      <c r="B1788" s="51" t="str">
        <f t="shared" si="34"/>
        <v>2016-028-2</v>
      </c>
      <c r="C1788" s="52">
        <v>2016</v>
      </c>
      <c r="D1788" s="52" t="s">
        <v>6</v>
      </c>
      <c r="E1788" s="52">
        <v>2</v>
      </c>
      <c r="F1788" s="54" t="s">
        <v>944</v>
      </c>
      <c r="G1788" s="52" t="s">
        <v>3391</v>
      </c>
      <c r="H1788" s="55"/>
      <c r="I1788" s="56"/>
    </row>
    <row r="1789" spans="2:9" x14ac:dyDescent="0.2">
      <c r="B1789" s="51" t="str">
        <f t="shared" si="34"/>
        <v>2016-028-3</v>
      </c>
      <c r="C1789" s="52">
        <v>2016</v>
      </c>
      <c r="D1789" s="52" t="s">
        <v>6</v>
      </c>
      <c r="E1789" s="52">
        <v>3</v>
      </c>
      <c r="F1789" s="54" t="s">
        <v>1434</v>
      </c>
      <c r="G1789" s="52"/>
      <c r="H1789" s="55"/>
      <c r="I1789" s="56"/>
    </row>
    <row r="1790" spans="2:9" ht="27" x14ac:dyDescent="0.2">
      <c r="B1790" s="51" t="str">
        <f t="shared" si="34"/>
        <v>2016-028-4</v>
      </c>
      <c r="C1790" s="52">
        <v>2016</v>
      </c>
      <c r="D1790" s="52" t="s">
        <v>6</v>
      </c>
      <c r="E1790" s="52">
        <v>4</v>
      </c>
      <c r="F1790" s="54" t="s">
        <v>1803</v>
      </c>
      <c r="G1790" s="52"/>
      <c r="H1790" s="55"/>
      <c r="I1790" s="56"/>
    </row>
    <row r="1791" spans="2:9" ht="27" x14ac:dyDescent="0.2">
      <c r="B1791" s="57" t="str">
        <f t="shared" si="34"/>
        <v>2016-028-5</v>
      </c>
      <c r="C1791" s="58">
        <v>2016</v>
      </c>
      <c r="D1791" s="58" t="s">
        <v>6</v>
      </c>
      <c r="E1791" s="58">
        <v>5</v>
      </c>
      <c r="F1791" s="59" t="s">
        <v>2163</v>
      </c>
      <c r="G1791" s="58"/>
      <c r="H1791" s="60"/>
      <c r="I1791" s="61"/>
    </row>
    <row r="1792" spans="2:9" x14ac:dyDescent="0.2">
      <c r="B1792" s="62" t="str">
        <f t="shared" si="34"/>
        <v>2016-029-0</v>
      </c>
      <c r="C1792" s="63">
        <v>2016</v>
      </c>
      <c r="D1792" s="63" t="s">
        <v>7</v>
      </c>
      <c r="E1792" s="63">
        <v>0</v>
      </c>
      <c r="F1792" s="64" t="s">
        <v>291</v>
      </c>
      <c r="G1792" s="63"/>
      <c r="H1792" s="65"/>
      <c r="I1792" s="66"/>
    </row>
    <row r="1793" spans="2:9" x14ac:dyDescent="0.2">
      <c r="B1793" s="51" t="str">
        <f t="shared" si="34"/>
        <v>2016-029-1</v>
      </c>
      <c r="C1793" s="52">
        <v>2016</v>
      </c>
      <c r="D1793" s="52" t="s">
        <v>7</v>
      </c>
      <c r="E1793" s="52">
        <v>1</v>
      </c>
      <c r="F1793" s="54" t="s">
        <v>659</v>
      </c>
      <c r="G1793" s="52"/>
      <c r="H1793" s="55"/>
      <c r="I1793" s="56"/>
    </row>
    <row r="1794" spans="2:9" x14ac:dyDescent="0.2">
      <c r="B1794" s="51" t="str">
        <f t="shared" si="34"/>
        <v>2016-029-2</v>
      </c>
      <c r="C1794" s="52">
        <v>2016</v>
      </c>
      <c r="D1794" s="52" t="s">
        <v>7</v>
      </c>
      <c r="E1794" s="52">
        <v>2</v>
      </c>
      <c r="F1794" s="54" t="s">
        <v>1050</v>
      </c>
      <c r="G1794" s="52"/>
      <c r="H1794" s="55"/>
      <c r="I1794" s="56"/>
    </row>
    <row r="1795" spans="2:9" x14ac:dyDescent="0.2">
      <c r="B1795" s="51" t="str">
        <f t="shared" si="34"/>
        <v>2016-029-3</v>
      </c>
      <c r="C1795" s="52">
        <v>2016</v>
      </c>
      <c r="D1795" s="52" t="s">
        <v>7</v>
      </c>
      <c r="E1795" s="52">
        <v>3</v>
      </c>
      <c r="F1795" s="54" t="s">
        <v>683</v>
      </c>
      <c r="G1795" s="52"/>
      <c r="H1795" s="55"/>
      <c r="I1795" s="56"/>
    </row>
    <row r="1796" spans="2:9" x14ac:dyDescent="0.2">
      <c r="B1796" s="51" t="str">
        <f t="shared" si="34"/>
        <v>2016-029-4</v>
      </c>
      <c r="C1796" s="52">
        <v>2016</v>
      </c>
      <c r="D1796" s="52" t="s">
        <v>7</v>
      </c>
      <c r="E1796" s="52">
        <v>4</v>
      </c>
      <c r="F1796" s="54" t="s">
        <v>1804</v>
      </c>
      <c r="G1796" s="52"/>
      <c r="H1796" s="55"/>
      <c r="I1796" s="56"/>
    </row>
    <row r="1797" spans="2:9" x14ac:dyDescent="0.2">
      <c r="B1797" s="57" t="str">
        <f t="shared" si="34"/>
        <v>2016-029-5</v>
      </c>
      <c r="C1797" s="58">
        <v>2016</v>
      </c>
      <c r="D1797" s="58" t="s">
        <v>7</v>
      </c>
      <c r="E1797" s="58">
        <v>5</v>
      </c>
      <c r="F1797" s="59" t="s">
        <v>2164</v>
      </c>
      <c r="G1797" s="58" t="s">
        <v>3391</v>
      </c>
      <c r="H1797" s="60"/>
      <c r="I1797" s="61"/>
    </row>
    <row r="1798" spans="2:9" x14ac:dyDescent="0.2">
      <c r="B1798" s="62" t="str">
        <f t="shared" si="34"/>
        <v>2016-030-0</v>
      </c>
      <c r="C1798" s="63">
        <v>2016</v>
      </c>
      <c r="D1798" s="63" t="s">
        <v>8</v>
      </c>
      <c r="E1798" s="63">
        <v>0</v>
      </c>
      <c r="F1798" s="64" t="s">
        <v>292</v>
      </c>
      <c r="G1798" s="63"/>
      <c r="H1798" s="65"/>
      <c r="I1798" s="66"/>
    </row>
    <row r="1799" spans="2:9" ht="27" x14ac:dyDescent="0.2">
      <c r="B1799" s="51" t="str">
        <f t="shared" si="34"/>
        <v>2016-030-1</v>
      </c>
      <c r="C1799" s="52">
        <v>2016</v>
      </c>
      <c r="D1799" s="52" t="s">
        <v>8</v>
      </c>
      <c r="E1799" s="52">
        <v>1</v>
      </c>
      <c r="F1799" s="54" t="s">
        <v>660</v>
      </c>
      <c r="G1799" s="52"/>
      <c r="H1799" s="55"/>
      <c r="I1799" s="56"/>
    </row>
    <row r="1800" spans="2:9" ht="27" x14ac:dyDescent="0.2">
      <c r="B1800" s="51" t="str">
        <f t="shared" si="34"/>
        <v>2016-030-2</v>
      </c>
      <c r="C1800" s="52">
        <v>2016</v>
      </c>
      <c r="D1800" s="52" t="s">
        <v>8</v>
      </c>
      <c r="E1800" s="52">
        <v>2</v>
      </c>
      <c r="F1800" s="54" t="s">
        <v>1051</v>
      </c>
      <c r="G1800" s="52"/>
      <c r="H1800" s="55"/>
      <c r="I1800" s="56"/>
    </row>
    <row r="1801" spans="2:9" ht="27" x14ac:dyDescent="0.2">
      <c r="B1801" s="51" t="str">
        <f t="shared" si="34"/>
        <v>2016-030-3</v>
      </c>
      <c r="C1801" s="52">
        <v>2016</v>
      </c>
      <c r="D1801" s="52" t="s">
        <v>8</v>
      </c>
      <c r="E1801" s="52">
        <v>3</v>
      </c>
      <c r="F1801" s="54" t="s">
        <v>1435</v>
      </c>
      <c r="G1801" s="52"/>
      <c r="H1801" s="55"/>
      <c r="I1801" s="56"/>
    </row>
    <row r="1802" spans="2:9" ht="27" x14ac:dyDescent="0.2">
      <c r="B1802" s="51" t="str">
        <f t="shared" si="34"/>
        <v>2016-030-4</v>
      </c>
      <c r="C1802" s="52">
        <v>2016</v>
      </c>
      <c r="D1802" s="52" t="s">
        <v>8</v>
      </c>
      <c r="E1802" s="52">
        <v>4</v>
      </c>
      <c r="F1802" s="54" t="s">
        <v>1691</v>
      </c>
      <c r="G1802" s="52" t="s">
        <v>3391</v>
      </c>
      <c r="H1802" s="55"/>
      <c r="I1802" s="56"/>
    </row>
    <row r="1803" spans="2:9" ht="27" x14ac:dyDescent="0.2">
      <c r="B1803" s="57" t="str">
        <f t="shared" si="34"/>
        <v>2016-030-5</v>
      </c>
      <c r="C1803" s="58">
        <v>2016</v>
      </c>
      <c r="D1803" s="58" t="s">
        <v>8</v>
      </c>
      <c r="E1803" s="58">
        <v>5</v>
      </c>
      <c r="F1803" s="59" t="s">
        <v>2165</v>
      </c>
      <c r="G1803" s="58"/>
      <c r="H1803" s="60"/>
      <c r="I1803" s="61"/>
    </row>
    <row r="1804" spans="2:9" x14ac:dyDescent="0.2">
      <c r="B1804" s="62" t="str">
        <f t="shared" si="34"/>
        <v>2016-031-0</v>
      </c>
      <c r="C1804" s="63">
        <v>2016</v>
      </c>
      <c r="D1804" s="63" t="s">
        <v>9</v>
      </c>
      <c r="E1804" s="63">
        <v>0</v>
      </c>
      <c r="F1804" s="64" t="s">
        <v>293</v>
      </c>
      <c r="G1804" s="63"/>
      <c r="H1804" s="65"/>
      <c r="I1804" s="66"/>
    </row>
    <row r="1805" spans="2:9" x14ac:dyDescent="0.2">
      <c r="B1805" s="51" t="str">
        <f t="shared" si="34"/>
        <v>2016-031-1</v>
      </c>
      <c r="C1805" s="52">
        <v>2016</v>
      </c>
      <c r="D1805" s="52" t="s">
        <v>9</v>
      </c>
      <c r="E1805" s="52">
        <v>1</v>
      </c>
      <c r="F1805" s="54" t="s">
        <v>661</v>
      </c>
      <c r="G1805" s="52"/>
      <c r="H1805" s="55"/>
      <c r="I1805" s="56"/>
    </row>
    <row r="1806" spans="2:9" x14ac:dyDescent="0.2">
      <c r="B1806" s="51" t="str">
        <f t="shared" si="34"/>
        <v>2016-031-2</v>
      </c>
      <c r="C1806" s="52">
        <v>2016</v>
      </c>
      <c r="D1806" s="52" t="s">
        <v>9</v>
      </c>
      <c r="E1806" s="52">
        <v>2</v>
      </c>
      <c r="F1806" s="54" t="s">
        <v>1052</v>
      </c>
      <c r="G1806" s="52"/>
      <c r="H1806" s="55"/>
      <c r="I1806" s="56"/>
    </row>
    <row r="1807" spans="2:9" x14ac:dyDescent="0.2">
      <c r="B1807" s="51" t="str">
        <f t="shared" si="34"/>
        <v>2016-031-3</v>
      </c>
      <c r="C1807" s="52">
        <v>2016</v>
      </c>
      <c r="D1807" s="52" t="s">
        <v>9</v>
      </c>
      <c r="E1807" s="52">
        <v>3</v>
      </c>
      <c r="F1807" s="54" t="s">
        <v>1436</v>
      </c>
      <c r="G1807" s="52"/>
      <c r="H1807" s="55"/>
      <c r="I1807" s="56"/>
    </row>
    <row r="1808" spans="2:9" x14ac:dyDescent="0.2">
      <c r="B1808" s="51" t="str">
        <f t="shared" si="34"/>
        <v>2016-031-4</v>
      </c>
      <c r="C1808" s="52">
        <v>2016</v>
      </c>
      <c r="D1808" s="52" t="s">
        <v>9</v>
      </c>
      <c r="E1808" s="52">
        <v>4</v>
      </c>
      <c r="F1808" s="54" t="s">
        <v>1805</v>
      </c>
      <c r="G1808" s="52"/>
      <c r="H1808" s="55"/>
      <c r="I1808" s="56"/>
    </row>
    <row r="1809" spans="2:9" ht="27" x14ac:dyDescent="0.2">
      <c r="B1809" s="57" t="str">
        <f t="shared" si="34"/>
        <v>2016-031-5</v>
      </c>
      <c r="C1809" s="58">
        <v>2016</v>
      </c>
      <c r="D1809" s="58" t="s">
        <v>9</v>
      </c>
      <c r="E1809" s="58">
        <v>5</v>
      </c>
      <c r="F1809" s="59" t="s">
        <v>943</v>
      </c>
      <c r="G1809" s="58" t="s">
        <v>3391</v>
      </c>
      <c r="H1809" s="60"/>
      <c r="I1809" s="61"/>
    </row>
    <row r="1810" spans="2:9" x14ac:dyDescent="0.2">
      <c r="B1810" s="62" t="str">
        <f t="shared" si="34"/>
        <v>2016-032-0</v>
      </c>
      <c r="C1810" s="63">
        <v>2016</v>
      </c>
      <c r="D1810" s="63" t="s">
        <v>10</v>
      </c>
      <c r="E1810" s="63">
        <v>0</v>
      </c>
      <c r="F1810" s="64" t="s">
        <v>294</v>
      </c>
      <c r="G1810" s="63"/>
      <c r="H1810" s="65"/>
      <c r="I1810" s="66"/>
    </row>
    <row r="1811" spans="2:9" x14ac:dyDescent="0.2">
      <c r="B1811" s="51" t="str">
        <f t="shared" si="34"/>
        <v>2016-032-1</v>
      </c>
      <c r="C1811" s="52">
        <v>2016</v>
      </c>
      <c r="D1811" s="52" t="s">
        <v>10</v>
      </c>
      <c r="E1811" s="52">
        <v>1</v>
      </c>
      <c r="F1811" s="54" t="s">
        <v>662</v>
      </c>
      <c r="G1811" s="52"/>
      <c r="H1811" s="55"/>
      <c r="I1811" s="56"/>
    </row>
    <row r="1812" spans="2:9" x14ac:dyDescent="0.2">
      <c r="B1812" s="51" t="str">
        <f t="shared" si="34"/>
        <v>2016-032-2</v>
      </c>
      <c r="C1812" s="52">
        <v>2016</v>
      </c>
      <c r="D1812" s="52" t="s">
        <v>10</v>
      </c>
      <c r="E1812" s="52">
        <v>2</v>
      </c>
      <c r="F1812" s="54" t="s">
        <v>1053</v>
      </c>
      <c r="G1812" s="52" t="s">
        <v>3391</v>
      </c>
      <c r="H1812" s="55"/>
      <c r="I1812" s="56"/>
    </row>
    <row r="1813" spans="2:9" ht="27" x14ac:dyDescent="0.2">
      <c r="B1813" s="51" t="str">
        <f t="shared" si="34"/>
        <v>2016-032-3</v>
      </c>
      <c r="C1813" s="52">
        <v>2016</v>
      </c>
      <c r="D1813" s="52" t="s">
        <v>10</v>
      </c>
      <c r="E1813" s="52">
        <v>3</v>
      </c>
      <c r="F1813" s="54" t="s">
        <v>1437</v>
      </c>
      <c r="G1813" s="52"/>
      <c r="H1813" s="55"/>
      <c r="I1813" s="56"/>
    </row>
    <row r="1814" spans="2:9" ht="27" x14ac:dyDescent="0.2">
      <c r="B1814" s="51" t="str">
        <f t="shared" si="34"/>
        <v>2016-032-4</v>
      </c>
      <c r="C1814" s="52">
        <v>2016</v>
      </c>
      <c r="D1814" s="52" t="s">
        <v>10</v>
      </c>
      <c r="E1814" s="52">
        <v>4</v>
      </c>
      <c r="F1814" s="54" t="s">
        <v>478</v>
      </c>
      <c r="G1814" s="52"/>
      <c r="H1814" s="55"/>
      <c r="I1814" s="56"/>
    </row>
    <row r="1815" spans="2:9" ht="40.5" x14ac:dyDescent="0.2">
      <c r="B1815" s="57" t="str">
        <f t="shared" si="34"/>
        <v>2016-032-5</v>
      </c>
      <c r="C1815" s="58">
        <v>2016</v>
      </c>
      <c r="D1815" s="58" t="s">
        <v>10</v>
      </c>
      <c r="E1815" s="58">
        <v>5</v>
      </c>
      <c r="F1815" s="59" t="s">
        <v>2166</v>
      </c>
      <c r="G1815" s="58"/>
      <c r="H1815" s="60"/>
      <c r="I1815" s="61"/>
    </row>
    <row r="1816" spans="2:9" x14ac:dyDescent="0.2">
      <c r="B1816" s="62" t="str">
        <f t="shared" si="34"/>
        <v>2016-033-0</v>
      </c>
      <c r="C1816" s="63">
        <v>2016</v>
      </c>
      <c r="D1816" s="63" t="s">
        <v>11</v>
      </c>
      <c r="E1816" s="63">
        <v>0</v>
      </c>
      <c r="F1816" s="64" t="s">
        <v>238</v>
      </c>
      <c r="G1816" s="63"/>
      <c r="H1816" s="65"/>
      <c r="I1816" s="66"/>
    </row>
    <row r="1817" spans="2:9" ht="27" x14ac:dyDescent="0.2">
      <c r="B1817" s="51" t="str">
        <f t="shared" si="34"/>
        <v>2016-033-1</v>
      </c>
      <c r="C1817" s="52">
        <v>2016</v>
      </c>
      <c r="D1817" s="52" t="s">
        <v>11</v>
      </c>
      <c r="E1817" s="52">
        <v>1</v>
      </c>
      <c r="F1817" s="54" t="s">
        <v>663</v>
      </c>
      <c r="G1817" s="52"/>
      <c r="H1817" s="55"/>
      <c r="I1817" s="56"/>
    </row>
    <row r="1818" spans="2:9" ht="27" x14ac:dyDescent="0.2">
      <c r="B1818" s="51" t="str">
        <f t="shared" si="34"/>
        <v>2016-033-2</v>
      </c>
      <c r="C1818" s="52">
        <v>2016</v>
      </c>
      <c r="D1818" s="52" t="s">
        <v>11</v>
      </c>
      <c r="E1818" s="52">
        <v>2</v>
      </c>
      <c r="F1818" s="54" t="s">
        <v>1054</v>
      </c>
      <c r="G1818" s="52"/>
      <c r="H1818" s="55"/>
      <c r="I1818" s="56"/>
    </row>
    <row r="1819" spans="2:9" x14ac:dyDescent="0.2">
      <c r="B1819" s="51" t="str">
        <f t="shared" si="34"/>
        <v>2016-033-3</v>
      </c>
      <c r="C1819" s="52">
        <v>2016</v>
      </c>
      <c r="D1819" s="52" t="s">
        <v>11</v>
      </c>
      <c r="E1819" s="52">
        <v>3</v>
      </c>
      <c r="F1819" s="54" t="s">
        <v>1438</v>
      </c>
      <c r="G1819" s="52" t="s">
        <v>3391</v>
      </c>
      <c r="H1819" s="55"/>
      <c r="I1819" s="56"/>
    </row>
    <row r="1820" spans="2:9" ht="27" x14ac:dyDescent="0.2">
      <c r="B1820" s="51" t="str">
        <f t="shared" si="34"/>
        <v>2016-033-4</v>
      </c>
      <c r="C1820" s="52">
        <v>2016</v>
      </c>
      <c r="D1820" s="52" t="s">
        <v>11</v>
      </c>
      <c r="E1820" s="52">
        <v>4</v>
      </c>
      <c r="F1820" s="54" t="s">
        <v>1806</v>
      </c>
      <c r="G1820" s="52"/>
      <c r="H1820" s="55"/>
      <c r="I1820" s="56"/>
    </row>
    <row r="1821" spans="2:9" ht="27" x14ac:dyDescent="0.2">
      <c r="B1821" s="57" t="str">
        <f t="shared" si="34"/>
        <v>2016-033-5</v>
      </c>
      <c r="C1821" s="58">
        <v>2016</v>
      </c>
      <c r="D1821" s="58" t="s">
        <v>11</v>
      </c>
      <c r="E1821" s="58">
        <v>5</v>
      </c>
      <c r="F1821" s="59" t="s">
        <v>2167</v>
      </c>
      <c r="G1821" s="58"/>
      <c r="H1821" s="60"/>
      <c r="I1821" s="61"/>
    </row>
    <row r="1822" spans="2:9" x14ac:dyDescent="0.2">
      <c r="B1822" s="62" t="str">
        <f t="shared" si="34"/>
        <v>2016-034-0</v>
      </c>
      <c r="C1822" s="63">
        <v>2016</v>
      </c>
      <c r="D1822" s="63" t="s">
        <v>12</v>
      </c>
      <c r="E1822" s="63">
        <v>0</v>
      </c>
      <c r="F1822" s="64" t="s">
        <v>241</v>
      </c>
      <c r="G1822" s="63"/>
      <c r="H1822" s="65"/>
      <c r="I1822" s="66"/>
    </row>
    <row r="1823" spans="2:9" ht="27" x14ac:dyDescent="0.2">
      <c r="B1823" s="51" t="str">
        <f t="shared" si="34"/>
        <v>2016-034-1</v>
      </c>
      <c r="C1823" s="52">
        <v>2016</v>
      </c>
      <c r="D1823" s="52" t="s">
        <v>12</v>
      </c>
      <c r="E1823" s="52">
        <v>1</v>
      </c>
      <c r="F1823" s="54" t="s">
        <v>664</v>
      </c>
      <c r="G1823" s="52"/>
      <c r="H1823" s="55"/>
      <c r="I1823" s="56"/>
    </row>
    <row r="1824" spans="2:9" ht="27" x14ac:dyDescent="0.2">
      <c r="B1824" s="51" t="str">
        <f t="shared" si="34"/>
        <v>2016-034-2</v>
      </c>
      <c r="C1824" s="52">
        <v>2016</v>
      </c>
      <c r="D1824" s="52" t="s">
        <v>12</v>
      </c>
      <c r="E1824" s="52">
        <v>2</v>
      </c>
      <c r="F1824" s="54" t="s">
        <v>1055</v>
      </c>
      <c r="G1824" s="52"/>
      <c r="H1824" s="55"/>
      <c r="I1824" s="56"/>
    </row>
    <row r="1825" spans="2:9" ht="27" x14ac:dyDescent="0.2">
      <c r="B1825" s="51" t="str">
        <f t="shared" si="34"/>
        <v>2016-034-3</v>
      </c>
      <c r="C1825" s="52">
        <v>2016</v>
      </c>
      <c r="D1825" s="52" t="s">
        <v>12</v>
      </c>
      <c r="E1825" s="52">
        <v>3</v>
      </c>
      <c r="F1825" s="54" t="s">
        <v>1439</v>
      </c>
      <c r="G1825" s="52"/>
      <c r="H1825" s="55"/>
      <c r="I1825" s="56"/>
    </row>
    <row r="1826" spans="2:9" ht="27" x14ac:dyDescent="0.2">
      <c r="B1826" s="51" t="str">
        <f t="shared" si="34"/>
        <v>2016-034-4</v>
      </c>
      <c r="C1826" s="52">
        <v>2016</v>
      </c>
      <c r="D1826" s="52" t="s">
        <v>12</v>
      </c>
      <c r="E1826" s="52">
        <v>4</v>
      </c>
      <c r="F1826" s="54" t="s">
        <v>1807</v>
      </c>
      <c r="G1826" s="52"/>
      <c r="H1826" s="55"/>
      <c r="I1826" s="56"/>
    </row>
    <row r="1827" spans="2:9" ht="27" x14ac:dyDescent="0.2">
      <c r="B1827" s="57" t="str">
        <f t="shared" si="34"/>
        <v>2016-034-5</v>
      </c>
      <c r="C1827" s="58">
        <v>2016</v>
      </c>
      <c r="D1827" s="58" t="s">
        <v>12</v>
      </c>
      <c r="E1827" s="58">
        <v>5</v>
      </c>
      <c r="F1827" s="59" t="s">
        <v>2168</v>
      </c>
      <c r="G1827" s="58" t="s">
        <v>3391</v>
      </c>
      <c r="H1827" s="60"/>
      <c r="I1827" s="61"/>
    </row>
    <row r="1828" spans="2:9" x14ac:dyDescent="0.2">
      <c r="B1828" s="62" t="str">
        <f t="shared" si="34"/>
        <v>2016-035-0</v>
      </c>
      <c r="C1828" s="63">
        <v>2016</v>
      </c>
      <c r="D1828" s="63" t="s">
        <v>13</v>
      </c>
      <c r="E1828" s="63">
        <v>0</v>
      </c>
      <c r="F1828" s="64" t="s">
        <v>295</v>
      </c>
      <c r="G1828" s="63"/>
      <c r="H1828" s="65"/>
      <c r="I1828" s="66"/>
    </row>
    <row r="1829" spans="2:9" x14ac:dyDescent="0.2">
      <c r="B1829" s="51" t="str">
        <f t="shared" si="34"/>
        <v>2016-035-1</v>
      </c>
      <c r="C1829" s="52">
        <v>2016</v>
      </c>
      <c r="D1829" s="52" t="s">
        <v>13</v>
      </c>
      <c r="E1829" s="52">
        <v>1</v>
      </c>
      <c r="F1829" s="54" t="s">
        <v>665</v>
      </c>
      <c r="G1829" s="52"/>
      <c r="H1829" s="55"/>
      <c r="I1829" s="56"/>
    </row>
    <row r="1830" spans="2:9" x14ac:dyDescent="0.2">
      <c r="B1830" s="51" t="str">
        <f t="shared" si="34"/>
        <v>2016-035-2</v>
      </c>
      <c r="C1830" s="52">
        <v>2016</v>
      </c>
      <c r="D1830" s="52" t="s">
        <v>13</v>
      </c>
      <c r="E1830" s="52">
        <v>2</v>
      </c>
      <c r="F1830" s="54" t="s">
        <v>28</v>
      </c>
      <c r="G1830" s="52" t="s">
        <v>3391</v>
      </c>
      <c r="H1830" s="55"/>
      <c r="I1830" s="56"/>
    </row>
    <row r="1831" spans="2:9" x14ac:dyDescent="0.2">
      <c r="B1831" s="51" t="str">
        <f t="shared" si="34"/>
        <v>2016-035-3</v>
      </c>
      <c r="C1831" s="52">
        <v>2016</v>
      </c>
      <c r="D1831" s="52" t="s">
        <v>13</v>
      </c>
      <c r="E1831" s="52">
        <v>3</v>
      </c>
      <c r="F1831" s="54" t="s">
        <v>1440</v>
      </c>
      <c r="G1831" s="52"/>
      <c r="H1831" s="55"/>
      <c r="I1831" s="56"/>
    </row>
    <row r="1832" spans="2:9" x14ac:dyDescent="0.2">
      <c r="B1832" s="51" t="str">
        <f t="shared" si="34"/>
        <v>2016-035-4</v>
      </c>
      <c r="C1832" s="52">
        <v>2016</v>
      </c>
      <c r="D1832" s="52" t="s">
        <v>13</v>
      </c>
      <c r="E1832" s="52">
        <v>4</v>
      </c>
      <c r="F1832" s="54" t="s">
        <v>1808</v>
      </c>
      <c r="G1832" s="52"/>
      <c r="H1832" s="55"/>
      <c r="I1832" s="56"/>
    </row>
    <row r="1833" spans="2:9" x14ac:dyDescent="0.2">
      <c r="B1833" s="57" t="str">
        <f t="shared" si="34"/>
        <v>2016-035-5</v>
      </c>
      <c r="C1833" s="58">
        <v>2016</v>
      </c>
      <c r="D1833" s="58" t="s">
        <v>13</v>
      </c>
      <c r="E1833" s="58">
        <v>5</v>
      </c>
      <c r="F1833" s="59" t="s">
        <v>2169</v>
      </c>
      <c r="G1833" s="58"/>
      <c r="H1833" s="60"/>
      <c r="I1833" s="61"/>
    </row>
    <row r="1834" spans="2:9" x14ac:dyDescent="0.2">
      <c r="B1834" s="62" t="str">
        <f t="shared" si="34"/>
        <v>2016-036-0</v>
      </c>
      <c r="C1834" s="63">
        <v>2016</v>
      </c>
      <c r="D1834" s="63" t="s">
        <v>14</v>
      </c>
      <c r="E1834" s="63">
        <v>0</v>
      </c>
      <c r="F1834" s="64" t="s">
        <v>182</v>
      </c>
      <c r="G1834" s="63"/>
      <c r="H1834" s="65"/>
      <c r="I1834" s="66"/>
    </row>
    <row r="1835" spans="2:9" x14ac:dyDescent="0.2">
      <c r="B1835" s="51" t="str">
        <f t="shared" si="34"/>
        <v>2016-036-1</v>
      </c>
      <c r="C1835" s="52">
        <v>2016</v>
      </c>
      <c r="D1835" s="52" t="s">
        <v>14</v>
      </c>
      <c r="E1835" s="52">
        <v>1</v>
      </c>
      <c r="F1835" s="54" t="s">
        <v>666</v>
      </c>
      <c r="G1835" s="52"/>
      <c r="H1835" s="55"/>
      <c r="I1835" s="56"/>
    </row>
    <row r="1836" spans="2:9" x14ac:dyDescent="0.2">
      <c r="B1836" s="51" t="str">
        <f t="shared" si="34"/>
        <v>2016-036-2</v>
      </c>
      <c r="C1836" s="52">
        <v>2016</v>
      </c>
      <c r="D1836" s="52" t="s">
        <v>14</v>
      </c>
      <c r="E1836" s="52">
        <v>2</v>
      </c>
      <c r="F1836" s="54" t="s">
        <v>1056</v>
      </c>
      <c r="G1836" s="52"/>
      <c r="H1836" s="55"/>
      <c r="I1836" s="56"/>
    </row>
    <row r="1837" spans="2:9" ht="27" x14ac:dyDescent="0.2">
      <c r="B1837" s="51" t="str">
        <f t="shared" si="34"/>
        <v>2016-036-3</v>
      </c>
      <c r="C1837" s="52">
        <v>2016</v>
      </c>
      <c r="D1837" s="52" t="s">
        <v>14</v>
      </c>
      <c r="E1837" s="52">
        <v>3</v>
      </c>
      <c r="F1837" s="54" t="s">
        <v>1441</v>
      </c>
      <c r="G1837" s="52"/>
      <c r="H1837" s="55"/>
      <c r="I1837" s="56"/>
    </row>
    <row r="1838" spans="2:9" ht="27" x14ac:dyDescent="0.2">
      <c r="B1838" s="51" t="str">
        <f t="shared" si="34"/>
        <v>2016-036-4</v>
      </c>
      <c r="C1838" s="52">
        <v>2016</v>
      </c>
      <c r="D1838" s="52" t="s">
        <v>14</v>
      </c>
      <c r="E1838" s="52">
        <v>4</v>
      </c>
      <c r="F1838" s="54" t="s">
        <v>1809</v>
      </c>
      <c r="G1838" s="52"/>
      <c r="H1838" s="55"/>
      <c r="I1838" s="56"/>
    </row>
    <row r="1839" spans="2:9" ht="27" x14ac:dyDescent="0.2">
      <c r="B1839" s="57" t="str">
        <f t="shared" ref="B1839:B1902" si="35">C1839&amp;"-"&amp;D1839&amp;"-"&amp;E1839</f>
        <v>2016-036-5</v>
      </c>
      <c r="C1839" s="58">
        <v>2016</v>
      </c>
      <c r="D1839" s="58" t="s">
        <v>14</v>
      </c>
      <c r="E1839" s="58">
        <v>5</v>
      </c>
      <c r="F1839" s="59" t="s">
        <v>2170</v>
      </c>
      <c r="G1839" s="58" t="s">
        <v>3391</v>
      </c>
      <c r="H1839" s="60"/>
      <c r="I1839" s="61"/>
    </row>
    <row r="1840" spans="2:9" ht="27" x14ac:dyDescent="0.2">
      <c r="B1840" s="62" t="str">
        <f t="shared" si="35"/>
        <v>2016-037-0</v>
      </c>
      <c r="C1840" s="63">
        <v>2016</v>
      </c>
      <c r="D1840" s="63" t="s">
        <v>15</v>
      </c>
      <c r="E1840" s="63">
        <v>0</v>
      </c>
      <c r="F1840" s="64" t="s">
        <v>2823</v>
      </c>
      <c r="G1840" s="63"/>
      <c r="H1840" s="65"/>
      <c r="I1840" s="66"/>
    </row>
    <row r="1841" spans="2:9" x14ac:dyDescent="0.2">
      <c r="B1841" s="51" t="str">
        <f t="shared" si="35"/>
        <v>2016-037-1</v>
      </c>
      <c r="C1841" s="52">
        <v>2016</v>
      </c>
      <c r="D1841" s="52" t="s">
        <v>15</v>
      </c>
      <c r="E1841" s="52">
        <v>1</v>
      </c>
      <c r="F1841" s="54" t="s">
        <v>667</v>
      </c>
      <c r="G1841" s="52"/>
      <c r="H1841" s="55"/>
      <c r="I1841" s="56"/>
    </row>
    <row r="1842" spans="2:9" x14ac:dyDescent="0.2">
      <c r="B1842" s="51" t="str">
        <f t="shared" si="35"/>
        <v>2016-037-2</v>
      </c>
      <c r="C1842" s="52">
        <v>2016</v>
      </c>
      <c r="D1842" s="52" t="s">
        <v>15</v>
      </c>
      <c r="E1842" s="52">
        <v>2</v>
      </c>
      <c r="F1842" s="54" t="s">
        <v>1057</v>
      </c>
      <c r="G1842" s="52"/>
      <c r="H1842" s="55"/>
      <c r="I1842" s="56"/>
    </row>
    <row r="1843" spans="2:9" x14ac:dyDescent="0.2">
      <c r="B1843" s="51" t="str">
        <f t="shared" si="35"/>
        <v>2016-037-3</v>
      </c>
      <c r="C1843" s="52">
        <v>2016</v>
      </c>
      <c r="D1843" s="52" t="s">
        <v>15</v>
      </c>
      <c r="E1843" s="52">
        <v>3</v>
      </c>
      <c r="F1843" s="54" t="s">
        <v>1442</v>
      </c>
      <c r="G1843" s="52"/>
      <c r="H1843" s="55"/>
      <c r="I1843" s="56"/>
    </row>
    <row r="1844" spans="2:9" x14ac:dyDescent="0.2">
      <c r="B1844" s="51" t="str">
        <f t="shared" si="35"/>
        <v>2016-037-4</v>
      </c>
      <c r="C1844" s="52">
        <v>2016</v>
      </c>
      <c r="D1844" s="52" t="s">
        <v>15</v>
      </c>
      <c r="E1844" s="52">
        <v>4</v>
      </c>
      <c r="F1844" s="54" t="s">
        <v>1810</v>
      </c>
      <c r="G1844" s="52" t="s">
        <v>3391</v>
      </c>
      <c r="H1844" s="55"/>
      <c r="I1844" s="56"/>
    </row>
    <row r="1845" spans="2:9" x14ac:dyDescent="0.2">
      <c r="B1845" s="57" t="str">
        <f t="shared" si="35"/>
        <v>2016-037-5</v>
      </c>
      <c r="C1845" s="58">
        <v>2016</v>
      </c>
      <c r="D1845" s="58" t="s">
        <v>15</v>
      </c>
      <c r="E1845" s="58">
        <v>5</v>
      </c>
      <c r="F1845" s="59" t="s">
        <v>2171</v>
      </c>
      <c r="G1845" s="58"/>
      <c r="H1845" s="60"/>
      <c r="I1845" s="61"/>
    </row>
    <row r="1846" spans="2:9" x14ac:dyDescent="0.2">
      <c r="B1846" s="62" t="str">
        <f t="shared" si="35"/>
        <v>2016-038-0</v>
      </c>
      <c r="C1846" s="63">
        <v>2016</v>
      </c>
      <c r="D1846" s="63" t="s">
        <v>16</v>
      </c>
      <c r="E1846" s="63">
        <v>0</v>
      </c>
      <c r="F1846" s="64" t="s">
        <v>261</v>
      </c>
      <c r="G1846" s="63"/>
      <c r="H1846" s="65"/>
      <c r="I1846" s="66"/>
    </row>
    <row r="1847" spans="2:9" x14ac:dyDescent="0.2">
      <c r="B1847" s="51" t="str">
        <f t="shared" si="35"/>
        <v>2016-038-1</v>
      </c>
      <c r="C1847" s="52">
        <v>2016</v>
      </c>
      <c r="D1847" s="52" t="s">
        <v>16</v>
      </c>
      <c r="E1847" s="52">
        <v>1</v>
      </c>
      <c r="F1847" s="54" t="s">
        <v>668</v>
      </c>
      <c r="G1847" s="52"/>
      <c r="H1847" s="55"/>
      <c r="I1847" s="56"/>
    </row>
    <row r="1848" spans="2:9" ht="27" x14ac:dyDescent="0.2">
      <c r="B1848" s="51" t="str">
        <f t="shared" si="35"/>
        <v>2016-038-2</v>
      </c>
      <c r="C1848" s="52">
        <v>2016</v>
      </c>
      <c r="D1848" s="52" t="s">
        <v>16</v>
      </c>
      <c r="E1848" s="52">
        <v>2</v>
      </c>
      <c r="F1848" s="54" t="s">
        <v>1058</v>
      </c>
      <c r="G1848" s="52"/>
      <c r="H1848" s="55"/>
      <c r="I1848" s="56"/>
    </row>
    <row r="1849" spans="2:9" ht="27" x14ac:dyDescent="0.2">
      <c r="B1849" s="51" t="str">
        <f t="shared" si="35"/>
        <v>2016-038-3</v>
      </c>
      <c r="C1849" s="52">
        <v>2016</v>
      </c>
      <c r="D1849" s="52" t="s">
        <v>16</v>
      </c>
      <c r="E1849" s="52">
        <v>3</v>
      </c>
      <c r="F1849" s="54" t="s">
        <v>1443</v>
      </c>
      <c r="G1849" s="52"/>
      <c r="H1849" s="55"/>
      <c r="I1849" s="56"/>
    </row>
    <row r="1850" spans="2:9" x14ac:dyDescent="0.2">
      <c r="B1850" s="51" t="str">
        <f t="shared" si="35"/>
        <v>2016-038-4</v>
      </c>
      <c r="C1850" s="52">
        <v>2016</v>
      </c>
      <c r="D1850" s="52" t="s">
        <v>16</v>
      </c>
      <c r="E1850" s="52">
        <v>4</v>
      </c>
      <c r="F1850" s="54" t="s">
        <v>1811</v>
      </c>
      <c r="G1850" s="52" t="s">
        <v>3391</v>
      </c>
      <c r="H1850" s="55"/>
      <c r="I1850" s="56"/>
    </row>
    <row r="1851" spans="2:9" ht="27" x14ac:dyDescent="0.2">
      <c r="B1851" s="57" t="str">
        <f t="shared" si="35"/>
        <v>2016-038-5</v>
      </c>
      <c r="C1851" s="58">
        <v>2016</v>
      </c>
      <c r="D1851" s="58" t="s">
        <v>16</v>
      </c>
      <c r="E1851" s="58">
        <v>5</v>
      </c>
      <c r="F1851" s="59" t="s">
        <v>587</v>
      </c>
      <c r="G1851" s="58"/>
      <c r="H1851" s="60"/>
      <c r="I1851" s="61"/>
    </row>
    <row r="1852" spans="2:9" x14ac:dyDescent="0.2">
      <c r="B1852" s="62" t="str">
        <f t="shared" si="35"/>
        <v>2016-039-0</v>
      </c>
      <c r="C1852" s="63">
        <v>2016</v>
      </c>
      <c r="D1852" s="63" t="s">
        <v>17</v>
      </c>
      <c r="E1852" s="63">
        <v>0</v>
      </c>
      <c r="F1852" s="64" t="s">
        <v>296</v>
      </c>
      <c r="G1852" s="63"/>
      <c r="H1852" s="65"/>
      <c r="I1852" s="66"/>
    </row>
    <row r="1853" spans="2:9" x14ac:dyDescent="0.2">
      <c r="B1853" s="51" t="str">
        <f t="shared" si="35"/>
        <v>2016-039-1</v>
      </c>
      <c r="C1853" s="52">
        <v>2016</v>
      </c>
      <c r="D1853" s="52" t="s">
        <v>17</v>
      </c>
      <c r="E1853" s="52">
        <v>1</v>
      </c>
      <c r="F1853" s="54" t="s">
        <v>669</v>
      </c>
      <c r="G1853" s="52" t="s">
        <v>3391</v>
      </c>
      <c r="H1853" s="55"/>
      <c r="I1853" s="56"/>
    </row>
    <row r="1854" spans="2:9" x14ac:dyDescent="0.2">
      <c r="B1854" s="51" t="str">
        <f t="shared" si="35"/>
        <v>2016-039-2</v>
      </c>
      <c r="C1854" s="52">
        <v>2016</v>
      </c>
      <c r="D1854" s="52" t="s">
        <v>17</v>
      </c>
      <c r="E1854" s="52">
        <v>2</v>
      </c>
      <c r="F1854" s="54" t="s">
        <v>1059</v>
      </c>
      <c r="G1854" s="52"/>
      <c r="H1854" s="55"/>
      <c r="I1854" s="56"/>
    </row>
    <row r="1855" spans="2:9" ht="27" x14ac:dyDescent="0.2">
      <c r="B1855" s="51" t="str">
        <f t="shared" si="35"/>
        <v>2016-039-3</v>
      </c>
      <c r="C1855" s="52">
        <v>2016</v>
      </c>
      <c r="D1855" s="52" t="s">
        <v>17</v>
      </c>
      <c r="E1855" s="52">
        <v>3</v>
      </c>
      <c r="F1855" s="54" t="s">
        <v>1444</v>
      </c>
      <c r="G1855" s="52"/>
      <c r="H1855" s="55"/>
      <c r="I1855" s="56"/>
    </row>
    <row r="1856" spans="2:9" ht="27" x14ac:dyDescent="0.2">
      <c r="B1856" s="51" t="str">
        <f t="shared" si="35"/>
        <v>2016-039-4</v>
      </c>
      <c r="C1856" s="52">
        <v>2016</v>
      </c>
      <c r="D1856" s="52" t="s">
        <v>17</v>
      </c>
      <c r="E1856" s="52">
        <v>4</v>
      </c>
      <c r="F1856" s="54" t="s">
        <v>1812</v>
      </c>
      <c r="G1856" s="52"/>
      <c r="H1856" s="55"/>
      <c r="I1856" s="56"/>
    </row>
    <row r="1857" spans="2:9" ht="27" x14ac:dyDescent="0.2">
      <c r="B1857" s="57" t="str">
        <f t="shared" si="35"/>
        <v>2016-039-5</v>
      </c>
      <c r="C1857" s="58">
        <v>2016</v>
      </c>
      <c r="D1857" s="58" t="s">
        <v>17</v>
      </c>
      <c r="E1857" s="58">
        <v>5</v>
      </c>
      <c r="F1857" s="59" t="s">
        <v>1735</v>
      </c>
      <c r="G1857" s="58"/>
      <c r="H1857" s="60"/>
      <c r="I1857" s="61"/>
    </row>
    <row r="1858" spans="2:9" x14ac:dyDescent="0.2">
      <c r="B1858" s="62" t="str">
        <f t="shared" si="35"/>
        <v>2016-040-0</v>
      </c>
      <c r="C1858" s="63">
        <v>2016</v>
      </c>
      <c r="D1858" s="63" t="s">
        <v>18</v>
      </c>
      <c r="E1858" s="63">
        <v>0</v>
      </c>
      <c r="F1858" s="64" t="s">
        <v>161</v>
      </c>
      <c r="G1858" s="63"/>
      <c r="H1858" s="65"/>
      <c r="I1858" s="66"/>
    </row>
    <row r="1859" spans="2:9" ht="27" x14ac:dyDescent="0.2">
      <c r="B1859" s="51" t="str">
        <f t="shared" si="35"/>
        <v>2016-040-1</v>
      </c>
      <c r="C1859" s="52">
        <v>2016</v>
      </c>
      <c r="D1859" s="52" t="s">
        <v>18</v>
      </c>
      <c r="E1859" s="52">
        <v>1</v>
      </c>
      <c r="F1859" s="54" t="s">
        <v>670</v>
      </c>
      <c r="G1859" s="52"/>
      <c r="H1859" s="55"/>
      <c r="I1859" s="56"/>
    </row>
    <row r="1860" spans="2:9" ht="27" x14ac:dyDescent="0.2">
      <c r="B1860" s="51" t="str">
        <f t="shared" si="35"/>
        <v>2016-040-2</v>
      </c>
      <c r="C1860" s="52">
        <v>2016</v>
      </c>
      <c r="D1860" s="52" t="s">
        <v>18</v>
      </c>
      <c r="E1860" s="52">
        <v>2</v>
      </c>
      <c r="F1860" s="54" t="s">
        <v>1060</v>
      </c>
      <c r="G1860" s="52"/>
      <c r="H1860" s="55"/>
      <c r="I1860" s="56"/>
    </row>
    <row r="1861" spans="2:9" ht="27" x14ac:dyDescent="0.2">
      <c r="B1861" s="51" t="str">
        <f t="shared" si="35"/>
        <v>2016-040-3</v>
      </c>
      <c r="C1861" s="52">
        <v>2016</v>
      </c>
      <c r="D1861" s="52" t="s">
        <v>18</v>
      </c>
      <c r="E1861" s="52">
        <v>3</v>
      </c>
      <c r="F1861" s="54" t="s">
        <v>1445</v>
      </c>
      <c r="G1861" s="52" t="s">
        <v>3391</v>
      </c>
      <c r="H1861" s="55"/>
      <c r="I1861" s="56"/>
    </row>
    <row r="1862" spans="2:9" ht="27" x14ac:dyDescent="0.2">
      <c r="B1862" s="51" t="str">
        <f t="shared" si="35"/>
        <v>2016-040-4</v>
      </c>
      <c r="C1862" s="52">
        <v>2016</v>
      </c>
      <c r="D1862" s="52" t="s">
        <v>18</v>
      </c>
      <c r="E1862" s="52">
        <v>4</v>
      </c>
      <c r="F1862" s="54" t="s">
        <v>1813</v>
      </c>
      <c r="G1862" s="52"/>
      <c r="H1862" s="55"/>
      <c r="I1862" s="56"/>
    </row>
    <row r="1863" spans="2:9" ht="27" x14ac:dyDescent="0.2">
      <c r="B1863" s="57" t="str">
        <f t="shared" si="35"/>
        <v>2016-040-5</v>
      </c>
      <c r="C1863" s="58">
        <v>2016</v>
      </c>
      <c r="D1863" s="58" t="s">
        <v>18</v>
      </c>
      <c r="E1863" s="58">
        <v>5</v>
      </c>
      <c r="F1863" s="59" t="s">
        <v>2172</v>
      </c>
      <c r="G1863" s="58"/>
      <c r="H1863" s="60"/>
      <c r="I1863" s="61"/>
    </row>
    <row r="1864" spans="2:9" x14ac:dyDescent="0.2">
      <c r="B1864" s="62" t="str">
        <f t="shared" si="35"/>
        <v>2016-041-0</v>
      </c>
      <c r="C1864" s="63">
        <v>2016</v>
      </c>
      <c r="D1864" s="63" t="s">
        <v>72</v>
      </c>
      <c r="E1864" s="63">
        <v>0</v>
      </c>
      <c r="F1864" s="64" t="s">
        <v>127</v>
      </c>
      <c r="G1864" s="63"/>
      <c r="H1864" s="65"/>
      <c r="I1864" s="66"/>
    </row>
    <row r="1865" spans="2:9" x14ac:dyDescent="0.2">
      <c r="B1865" s="51" t="str">
        <f t="shared" si="35"/>
        <v>2016-041-1</v>
      </c>
      <c r="C1865" s="52">
        <v>2016</v>
      </c>
      <c r="D1865" s="52" t="s">
        <v>72</v>
      </c>
      <c r="E1865" s="52">
        <v>1</v>
      </c>
      <c r="F1865" s="54" t="s">
        <v>515</v>
      </c>
      <c r="G1865" s="52"/>
      <c r="H1865" s="55"/>
      <c r="I1865" s="56"/>
    </row>
    <row r="1866" spans="2:9" x14ac:dyDescent="0.2">
      <c r="B1866" s="51" t="str">
        <f t="shared" si="35"/>
        <v>2016-041-2</v>
      </c>
      <c r="C1866" s="52">
        <v>2016</v>
      </c>
      <c r="D1866" s="52" t="s">
        <v>72</v>
      </c>
      <c r="E1866" s="52">
        <v>2</v>
      </c>
      <c r="F1866" s="54" t="s">
        <v>608</v>
      </c>
      <c r="G1866" s="52"/>
      <c r="H1866" s="55"/>
      <c r="I1866" s="56"/>
    </row>
    <row r="1867" spans="2:9" x14ac:dyDescent="0.2">
      <c r="B1867" s="51" t="str">
        <f t="shared" si="35"/>
        <v>2016-041-3</v>
      </c>
      <c r="C1867" s="52">
        <v>2016</v>
      </c>
      <c r="D1867" s="52" t="s">
        <v>72</v>
      </c>
      <c r="E1867" s="52">
        <v>3</v>
      </c>
      <c r="F1867" s="54" t="s">
        <v>1446</v>
      </c>
      <c r="G1867" s="52" t="s">
        <v>3391</v>
      </c>
      <c r="H1867" s="55"/>
      <c r="I1867" s="56"/>
    </row>
    <row r="1868" spans="2:9" x14ac:dyDescent="0.2">
      <c r="B1868" s="51" t="str">
        <f t="shared" si="35"/>
        <v>2016-041-4</v>
      </c>
      <c r="C1868" s="52">
        <v>2016</v>
      </c>
      <c r="D1868" s="52" t="s">
        <v>72</v>
      </c>
      <c r="E1868" s="52">
        <v>4</v>
      </c>
      <c r="F1868" s="54" t="s">
        <v>1814</v>
      </c>
      <c r="G1868" s="52"/>
      <c r="H1868" s="55"/>
      <c r="I1868" s="56"/>
    </row>
    <row r="1869" spans="2:9" ht="27" x14ac:dyDescent="0.2">
      <c r="B1869" s="57" t="str">
        <f t="shared" si="35"/>
        <v>2016-041-5</v>
      </c>
      <c r="C1869" s="58">
        <v>2016</v>
      </c>
      <c r="D1869" s="58" t="s">
        <v>72</v>
      </c>
      <c r="E1869" s="58">
        <v>5</v>
      </c>
      <c r="F1869" s="59" t="s">
        <v>2078</v>
      </c>
      <c r="G1869" s="58"/>
      <c r="H1869" s="60"/>
      <c r="I1869" s="61"/>
    </row>
    <row r="1870" spans="2:9" x14ac:dyDescent="0.2">
      <c r="B1870" s="62" t="str">
        <f t="shared" si="35"/>
        <v>2016-042-0</v>
      </c>
      <c r="C1870" s="63">
        <v>2016</v>
      </c>
      <c r="D1870" s="63" t="s">
        <v>73</v>
      </c>
      <c r="E1870" s="63">
        <v>0</v>
      </c>
      <c r="F1870" s="64" t="s">
        <v>161</v>
      </c>
      <c r="G1870" s="63"/>
      <c r="H1870" s="65"/>
      <c r="I1870" s="66"/>
    </row>
    <row r="1871" spans="2:9" x14ac:dyDescent="0.2">
      <c r="B1871" s="51" t="str">
        <f t="shared" si="35"/>
        <v>2016-042-1</v>
      </c>
      <c r="C1871" s="52">
        <v>2016</v>
      </c>
      <c r="D1871" s="52" t="s">
        <v>73</v>
      </c>
      <c r="E1871" s="52">
        <v>1</v>
      </c>
      <c r="F1871" s="54" t="s">
        <v>671</v>
      </c>
      <c r="G1871" s="52"/>
      <c r="H1871" s="55"/>
      <c r="I1871" s="56"/>
    </row>
    <row r="1872" spans="2:9" ht="27" x14ac:dyDescent="0.2">
      <c r="B1872" s="51" t="str">
        <f t="shared" si="35"/>
        <v>2016-042-2</v>
      </c>
      <c r="C1872" s="52">
        <v>2016</v>
      </c>
      <c r="D1872" s="52" t="s">
        <v>73</v>
      </c>
      <c r="E1872" s="52">
        <v>2</v>
      </c>
      <c r="F1872" s="54" t="s">
        <v>1061</v>
      </c>
      <c r="G1872" s="52"/>
      <c r="H1872" s="55"/>
      <c r="I1872" s="56"/>
    </row>
    <row r="1873" spans="2:9" ht="27" x14ac:dyDescent="0.2">
      <c r="B1873" s="51" t="str">
        <f t="shared" si="35"/>
        <v>2016-042-3</v>
      </c>
      <c r="C1873" s="52">
        <v>2016</v>
      </c>
      <c r="D1873" s="52" t="s">
        <v>73</v>
      </c>
      <c r="E1873" s="52">
        <v>3</v>
      </c>
      <c r="F1873" s="54" t="s">
        <v>1447</v>
      </c>
      <c r="G1873" s="52" t="s">
        <v>3391</v>
      </c>
      <c r="H1873" s="55"/>
      <c r="I1873" s="56"/>
    </row>
    <row r="1874" spans="2:9" ht="27" x14ac:dyDescent="0.2">
      <c r="B1874" s="51" t="str">
        <f t="shared" si="35"/>
        <v>2016-042-4</v>
      </c>
      <c r="C1874" s="52">
        <v>2016</v>
      </c>
      <c r="D1874" s="52" t="s">
        <v>73</v>
      </c>
      <c r="E1874" s="52">
        <v>4</v>
      </c>
      <c r="F1874" s="54" t="s">
        <v>1815</v>
      </c>
      <c r="G1874" s="52"/>
      <c r="H1874" s="55"/>
      <c r="I1874" s="56"/>
    </row>
    <row r="1875" spans="2:9" ht="27" x14ac:dyDescent="0.2">
      <c r="B1875" s="57" t="str">
        <f t="shared" si="35"/>
        <v>2016-042-5</v>
      </c>
      <c r="C1875" s="58">
        <v>2016</v>
      </c>
      <c r="D1875" s="58" t="s">
        <v>73</v>
      </c>
      <c r="E1875" s="58">
        <v>5</v>
      </c>
      <c r="F1875" s="59" t="s">
        <v>2173</v>
      </c>
      <c r="G1875" s="58"/>
      <c r="H1875" s="60"/>
      <c r="I1875" s="61"/>
    </row>
    <row r="1876" spans="2:9" x14ac:dyDescent="0.2">
      <c r="B1876" s="62" t="str">
        <f t="shared" si="35"/>
        <v>2016-043-0</v>
      </c>
      <c r="C1876" s="63">
        <v>2016</v>
      </c>
      <c r="D1876" s="63" t="s">
        <v>74</v>
      </c>
      <c r="E1876" s="63">
        <v>0</v>
      </c>
      <c r="F1876" s="64" t="s">
        <v>247</v>
      </c>
      <c r="G1876" s="63"/>
      <c r="H1876" s="65"/>
      <c r="I1876" s="66"/>
    </row>
    <row r="1877" spans="2:9" x14ac:dyDescent="0.2">
      <c r="B1877" s="51" t="str">
        <f t="shared" si="35"/>
        <v>2016-043-1</v>
      </c>
      <c r="C1877" s="52">
        <v>2016</v>
      </c>
      <c r="D1877" s="52" t="s">
        <v>74</v>
      </c>
      <c r="E1877" s="52">
        <v>1</v>
      </c>
      <c r="F1877" s="54" t="s">
        <v>672</v>
      </c>
      <c r="G1877" s="52" t="s">
        <v>3391</v>
      </c>
      <c r="H1877" s="55"/>
      <c r="I1877" s="56"/>
    </row>
    <row r="1878" spans="2:9" x14ac:dyDescent="0.2">
      <c r="B1878" s="51" t="str">
        <f t="shared" si="35"/>
        <v>2016-043-2</v>
      </c>
      <c r="C1878" s="52">
        <v>2016</v>
      </c>
      <c r="D1878" s="52" t="s">
        <v>74</v>
      </c>
      <c r="E1878" s="52">
        <v>2</v>
      </c>
      <c r="F1878" s="54" t="s">
        <v>1062</v>
      </c>
      <c r="G1878" s="52"/>
      <c r="H1878" s="55"/>
      <c r="I1878" s="56"/>
    </row>
    <row r="1879" spans="2:9" x14ac:dyDescent="0.2">
      <c r="B1879" s="51" t="str">
        <f t="shared" si="35"/>
        <v>2016-043-3</v>
      </c>
      <c r="C1879" s="52">
        <v>2016</v>
      </c>
      <c r="D1879" s="52" t="s">
        <v>74</v>
      </c>
      <c r="E1879" s="52">
        <v>3</v>
      </c>
      <c r="F1879" s="54" t="s">
        <v>1448</v>
      </c>
      <c r="G1879" s="52"/>
      <c r="H1879" s="55"/>
      <c r="I1879" s="56"/>
    </row>
    <row r="1880" spans="2:9" ht="27" x14ac:dyDescent="0.2">
      <c r="B1880" s="51" t="str">
        <f t="shared" si="35"/>
        <v>2016-043-4</v>
      </c>
      <c r="C1880" s="52">
        <v>2016</v>
      </c>
      <c r="D1880" s="52" t="s">
        <v>74</v>
      </c>
      <c r="E1880" s="52">
        <v>4</v>
      </c>
      <c r="F1880" s="54" t="s">
        <v>1816</v>
      </c>
      <c r="G1880" s="52"/>
      <c r="H1880" s="55"/>
      <c r="I1880" s="56"/>
    </row>
    <row r="1881" spans="2:9" ht="40.5" x14ac:dyDescent="0.2">
      <c r="B1881" s="57" t="str">
        <f t="shared" si="35"/>
        <v>2016-043-5</v>
      </c>
      <c r="C1881" s="58">
        <v>2016</v>
      </c>
      <c r="D1881" s="58" t="s">
        <v>74</v>
      </c>
      <c r="E1881" s="58">
        <v>5</v>
      </c>
      <c r="F1881" s="59" t="s">
        <v>2174</v>
      </c>
      <c r="G1881" s="58"/>
      <c r="H1881" s="60"/>
      <c r="I1881" s="61"/>
    </row>
    <row r="1882" spans="2:9" ht="40.5" x14ac:dyDescent="0.2">
      <c r="B1882" s="62" t="str">
        <f t="shared" si="35"/>
        <v>2016-044-0</v>
      </c>
      <c r="C1882" s="63">
        <v>2016</v>
      </c>
      <c r="D1882" s="63" t="s">
        <v>75</v>
      </c>
      <c r="E1882" s="63">
        <v>0</v>
      </c>
      <c r="F1882" s="64" t="s">
        <v>297</v>
      </c>
      <c r="G1882" s="63"/>
      <c r="H1882" s="65"/>
      <c r="I1882" s="66"/>
    </row>
    <row r="1883" spans="2:9" x14ac:dyDescent="0.2">
      <c r="B1883" s="51" t="str">
        <f t="shared" si="35"/>
        <v>2016-044-1</v>
      </c>
      <c r="C1883" s="52">
        <v>2016</v>
      </c>
      <c r="D1883" s="52" t="s">
        <v>75</v>
      </c>
      <c r="E1883" s="52">
        <v>1</v>
      </c>
      <c r="F1883" s="54">
        <v>15</v>
      </c>
      <c r="G1883" s="52" t="s">
        <v>3391</v>
      </c>
      <c r="H1883" s="55"/>
      <c r="I1883" s="56"/>
    </row>
    <row r="1884" spans="2:9" x14ac:dyDescent="0.2">
      <c r="B1884" s="51" t="str">
        <f t="shared" si="35"/>
        <v>2016-044-2</v>
      </c>
      <c r="C1884" s="52">
        <v>2016</v>
      </c>
      <c r="D1884" s="52" t="s">
        <v>75</v>
      </c>
      <c r="E1884" s="52">
        <v>2</v>
      </c>
      <c r="F1884" s="54">
        <v>20</v>
      </c>
      <c r="G1884" s="52"/>
      <c r="H1884" s="55"/>
      <c r="I1884" s="56"/>
    </row>
    <row r="1885" spans="2:9" x14ac:dyDescent="0.2">
      <c r="B1885" s="51" t="str">
        <f t="shared" si="35"/>
        <v>2016-044-3</v>
      </c>
      <c r="C1885" s="52">
        <v>2016</v>
      </c>
      <c r="D1885" s="52" t="s">
        <v>75</v>
      </c>
      <c r="E1885" s="52">
        <v>3</v>
      </c>
      <c r="F1885" s="54">
        <v>30</v>
      </c>
      <c r="G1885" s="52"/>
      <c r="H1885" s="55"/>
      <c r="I1885" s="56"/>
    </row>
    <row r="1886" spans="2:9" x14ac:dyDescent="0.2">
      <c r="B1886" s="51" t="str">
        <f t="shared" si="35"/>
        <v>2016-044-4</v>
      </c>
      <c r="C1886" s="52">
        <v>2016</v>
      </c>
      <c r="D1886" s="52" t="s">
        <v>75</v>
      </c>
      <c r="E1886" s="52">
        <v>4</v>
      </c>
      <c r="F1886" s="54">
        <v>50</v>
      </c>
      <c r="G1886" s="52"/>
      <c r="H1886" s="55"/>
      <c r="I1886" s="56"/>
    </row>
    <row r="1887" spans="2:9" x14ac:dyDescent="0.2">
      <c r="B1887" s="57" t="str">
        <f t="shared" si="35"/>
        <v>2016-044-5</v>
      </c>
      <c r="C1887" s="58">
        <v>2016</v>
      </c>
      <c r="D1887" s="58" t="s">
        <v>75</v>
      </c>
      <c r="E1887" s="58">
        <v>5</v>
      </c>
      <c r="F1887" s="59">
        <v>60</v>
      </c>
      <c r="G1887" s="58"/>
      <c r="H1887" s="60"/>
      <c r="I1887" s="61"/>
    </row>
    <row r="1888" spans="2:9" x14ac:dyDescent="0.2">
      <c r="B1888" s="62" t="str">
        <f t="shared" si="35"/>
        <v>2016-045-0</v>
      </c>
      <c r="C1888" s="63">
        <v>2016</v>
      </c>
      <c r="D1888" s="63" t="s">
        <v>76</v>
      </c>
      <c r="E1888" s="63">
        <v>0</v>
      </c>
      <c r="F1888" s="64" t="s">
        <v>248</v>
      </c>
      <c r="G1888" s="63"/>
      <c r="H1888" s="65"/>
      <c r="I1888" s="66"/>
    </row>
    <row r="1889" spans="2:9" x14ac:dyDescent="0.2">
      <c r="B1889" s="51" t="str">
        <f t="shared" si="35"/>
        <v>2016-045-1</v>
      </c>
      <c r="C1889" s="52">
        <v>2016</v>
      </c>
      <c r="D1889" s="52" t="s">
        <v>76</v>
      </c>
      <c r="E1889" s="52">
        <v>1</v>
      </c>
      <c r="F1889" s="54" t="s">
        <v>673</v>
      </c>
      <c r="G1889" s="52"/>
      <c r="H1889" s="55"/>
      <c r="I1889" s="56"/>
    </row>
    <row r="1890" spans="2:9" x14ac:dyDescent="0.2">
      <c r="B1890" s="51" t="str">
        <f t="shared" si="35"/>
        <v>2016-045-2</v>
      </c>
      <c r="C1890" s="52">
        <v>2016</v>
      </c>
      <c r="D1890" s="52" t="s">
        <v>76</v>
      </c>
      <c r="E1890" s="52">
        <v>2</v>
      </c>
      <c r="F1890" s="54" t="s">
        <v>1063</v>
      </c>
      <c r="G1890" s="52"/>
      <c r="H1890" s="55"/>
      <c r="I1890" s="56"/>
    </row>
    <row r="1891" spans="2:9" ht="27" x14ac:dyDescent="0.2">
      <c r="B1891" s="51" t="str">
        <f t="shared" si="35"/>
        <v>2016-045-3</v>
      </c>
      <c r="C1891" s="52">
        <v>2016</v>
      </c>
      <c r="D1891" s="52" t="s">
        <v>76</v>
      </c>
      <c r="E1891" s="52">
        <v>3</v>
      </c>
      <c r="F1891" s="54" t="s">
        <v>1449</v>
      </c>
      <c r="G1891" s="52" t="s">
        <v>3391</v>
      </c>
      <c r="H1891" s="55"/>
      <c r="I1891" s="56"/>
    </row>
    <row r="1892" spans="2:9" ht="27" x14ac:dyDescent="0.2">
      <c r="B1892" s="51" t="str">
        <f t="shared" si="35"/>
        <v>2016-045-4</v>
      </c>
      <c r="C1892" s="52">
        <v>2016</v>
      </c>
      <c r="D1892" s="52" t="s">
        <v>76</v>
      </c>
      <c r="E1892" s="52">
        <v>4</v>
      </c>
      <c r="F1892" s="54" t="s">
        <v>1817</v>
      </c>
      <c r="G1892" s="52"/>
      <c r="H1892" s="55"/>
      <c r="I1892" s="56"/>
    </row>
    <row r="1893" spans="2:9" ht="27" x14ac:dyDescent="0.2">
      <c r="B1893" s="57" t="str">
        <f t="shared" si="35"/>
        <v>2016-045-5</v>
      </c>
      <c r="C1893" s="58">
        <v>2016</v>
      </c>
      <c r="D1893" s="58" t="s">
        <v>76</v>
      </c>
      <c r="E1893" s="58">
        <v>5</v>
      </c>
      <c r="F1893" s="59" t="s">
        <v>2175</v>
      </c>
      <c r="G1893" s="58"/>
      <c r="H1893" s="60"/>
      <c r="I1893" s="61"/>
    </row>
    <row r="1894" spans="2:9" x14ac:dyDescent="0.2">
      <c r="B1894" s="62" t="str">
        <f t="shared" si="35"/>
        <v>2016-046-0</v>
      </c>
      <c r="C1894" s="63">
        <v>2016</v>
      </c>
      <c r="D1894" s="63" t="s">
        <v>77</v>
      </c>
      <c r="E1894" s="63">
        <v>0</v>
      </c>
      <c r="F1894" s="64" t="s">
        <v>298</v>
      </c>
      <c r="G1894" s="63"/>
      <c r="H1894" s="65"/>
      <c r="I1894" s="66"/>
    </row>
    <row r="1895" spans="2:9" ht="27" x14ac:dyDescent="0.2">
      <c r="B1895" s="51" t="str">
        <f t="shared" si="35"/>
        <v>2016-046-1</v>
      </c>
      <c r="C1895" s="52">
        <v>2016</v>
      </c>
      <c r="D1895" s="52" t="s">
        <v>77</v>
      </c>
      <c r="E1895" s="52">
        <v>1</v>
      </c>
      <c r="F1895" s="54" t="s">
        <v>674</v>
      </c>
      <c r="G1895" s="52"/>
      <c r="H1895" s="55"/>
      <c r="I1895" s="56"/>
    </row>
    <row r="1896" spans="2:9" ht="27" x14ac:dyDescent="0.2">
      <c r="B1896" s="51" t="str">
        <f t="shared" si="35"/>
        <v>2016-046-2</v>
      </c>
      <c r="C1896" s="52">
        <v>2016</v>
      </c>
      <c r="D1896" s="52" t="s">
        <v>77</v>
      </c>
      <c r="E1896" s="52">
        <v>2</v>
      </c>
      <c r="F1896" s="54" t="s">
        <v>1064</v>
      </c>
      <c r="G1896" s="52"/>
      <c r="H1896" s="55"/>
      <c r="I1896" s="56"/>
    </row>
    <row r="1897" spans="2:9" ht="27" x14ac:dyDescent="0.2">
      <c r="B1897" s="51" t="str">
        <f t="shared" si="35"/>
        <v>2016-046-3</v>
      </c>
      <c r="C1897" s="52">
        <v>2016</v>
      </c>
      <c r="D1897" s="52" t="s">
        <v>77</v>
      </c>
      <c r="E1897" s="52">
        <v>3</v>
      </c>
      <c r="F1897" s="54" t="s">
        <v>1450</v>
      </c>
      <c r="G1897" s="52"/>
      <c r="H1897" s="55"/>
      <c r="I1897" s="56"/>
    </row>
    <row r="1898" spans="2:9" ht="27" x14ac:dyDescent="0.2">
      <c r="B1898" s="51" t="str">
        <f t="shared" si="35"/>
        <v>2016-046-4</v>
      </c>
      <c r="C1898" s="52">
        <v>2016</v>
      </c>
      <c r="D1898" s="52" t="s">
        <v>77</v>
      </c>
      <c r="E1898" s="52">
        <v>4</v>
      </c>
      <c r="F1898" s="54" t="s">
        <v>1818</v>
      </c>
      <c r="G1898" s="52" t="s">
        <v>3391</v>
      </c>
      <c r="H1898" s="55"/>
      <c r="I1898" s="56"/>
    </row>
    <row r="1899" spans="2:9" ht="27" x14ac:dyDescent="0.2">
      <c r="B1899" s="57" t="str">
        <f t="shared" si="35"/>
        <v>2016-046-5</v>
      </c>
      <c r="C1899" s="58">
        <v>2016</v>
      </c>
      <c r="D1899" s="58" t="s">
        <v>77</v>
      </c>
      <c r="E1899" s="58">
        <v>5</v>
      </c>
      <c r="F1899" s="59" t="s">
        <v>2176</v>
      </c>
      <c r="G1899" s="58"/>
      <c r="H1899" s="60"/>
      <c r="I1899" s="61"/>
    </row>
    <row r="1900" spans="2:9" x14ac:dyDescent="0.2">
      <c r="B1900" s="62" t="str">
        <f t="shared" si="35"/>
        <v>2016-047-0</v>
      </c>
      <c r="C1900" s="63">
        <v>2016</v>
      </c>
      <c r="D1900" s="63" t="s">
        <v>78</v>
      </c>
      <c r="E1900" s="63">
        <v>0</v>
      </c>
      <c r="F1900" s="64" t="s">
        <v>299</v>
      </c>
      <c r="G1900" s="63"/>
      <c r="H1900" s="65"/>
      <c r="I1900" s="66"/>
    </row>
    <row r="1901" spans="2:9" x14ac:dyDescent="0.2">
      <c r="B1901" s="51" t="str">
        <f t="shared" si="35"/>
        <v>2016-047-1</v>
      </c>
      <c r="C1901" s="52">
        <v>2016</v>
      </c>
      <c r="D1901" s="52" t="s">
        <v>78</v>
      </c>
      <c r="E1901" s="52">
        <v>1</v>
      </c>
      <c r="F1901" s="54" t="s">
        <v>675</v>
      </c>
      <c r="G1901" s="52"/>
      <c r="H1901" s="55"/>
      <c r="I1901" s="56"/>
    </row>
    <row r="1902" spans="2:9" x14ac:dyDescent="0.2">
      <c r="B1902" s="51" t="str">
        <f t="shared" si="35"/>
        <v>2016-047-2</v>
      </c>
      <c r="C1902" s="52">
        <v>2016</v>
      </c>
      <c r="D1902" s="52" t="s">
        <v>78</v>
      </c>
      <c r="E1902" s="52">
        <v>2</v>
      </c>
      <c r="F1902" s="54" t="s">
        <v>494</v>
      </c>
      <c r="G1902" s="52"/>
      <c r="H1902" s="55"/>
      <c r="I1902" s="56"/>
    </row>
    <row r="1903" spans="2:9" x14ac:dyDescent="0.2">
      <c r="B1903" s="51" t="str">
        <f t="shared" ref="B1903:B1923" si="36">C1903&amp;"-"&amp;D1903&amp;"-"&amp;E1903</f>
        <v>2016-047-3</v>
      </c>
      <c r="C1903" s="52">
        <v>2016</v>
      </c>
      <c r="D1903" s="52" t="s">
        <v>78</v>
      </c>
      <c r="E1903" s="52">
        <v>3</v>
      </c>
      <c r="F1903" s="54" t="s">
        <v>1451</v>
      </c>
      <c r="G1903" s="52"/>
      <c r="H1903" s="55"/>
      <c r="I1903" s="56"/>
    </row>
    <row r="1904" spans="2:9" x14ac:dyDescent="0.2">
      <c r="B1904" s="51" t="str">
        <f t="shared" si="36"/>
        <v>2016-047-4</v>
      </c>
      <c r="C1904" s="52">
        <v>2016</v>
      </c>
      <c r="D1904" s="52" t="s">
        <v>78</v>
      </c>
      <c r="E1904" s="52">
        <v>4</v>
      </c>
      <c r="F1904" s="54" t="s">
        <v>1819</v>
      </c>
      <c r="G1904" s="52"/>
      <c r="H1904" s="55"/>
      <c r="I1904" s="56"/>
    </row>
    <row r="1905" spans="2:9" ht="27" x14ac:dyDescent="0.2">
      <c r="B1905" s="57" t="str">
        <f t="shared" si="36"/>
        <v>2016-047-5</v>
      </c>
      <c r="C1905" s="58">
        <v>2016</v>
      </c>
      <c r="D1905" s="58" t="s">
        <v>78</v>
      </c>
      <c r="E1905" s="58">
        <v>5</v>
      </c>
      <c r="F1905" s="59" t="s">
        <v>2177</v>
      </c>
      <c r="G1905" s="58" t="s">
        <v>3391</v>
      </c>
      <c r="H1905" s="60"/>
      <c r="I1905" s="61"/>
    </row>
    <row r="1906" spans="2:9" x14ac:dyDescent="0.2">
      <c r="B1906" s="62" t="str">
        <f t="shared" si="36"/>
        <v>2016-048-0</v>
      </c>
      <c r="C1906" s="63">
        <v>2016</v>
      </c>
      <c r="D1906" s="63" t="s">
        <v>79</v>
      </c>
      <c r="E1906" s="63">
        <v>0</v>
      </c>
      <c r="F1906" s="64" t="s">
        <v>145</v>
      </c>
      <c r="G1906" s="63"/>
      <c r="H1906" s="65"/>
      <c r="I1906" s="66"/>
    </row>
    <row r="1907" spans="2:9" x14ac:dyDescent="0.2">
      <c r="B1907" s="51" t="str">
        <f t="shared" si="36"/>
        <v>2016-048-1</v>
      </c>
      <c r="C1907" s="52">
        <v>2016</v>
      </c>
      <c r="D1907" s="52" t="s">
        <v>79</v>
      </c>
      <c r="E1907" s="52">
        <v>1</v>
      </c>
      <c r="F1907" s="54" t="s">
        <v>676</v>
      </c>
      <c r="G1907" s="52"/>
      <c r="H1907" s="55"/>
      <c r="I1907" s="56"/>
    </row>
    <row r="1908" spans="2:9" x14ac:dyDescent="0.2">
      <c r="B1908" s="51" t="str">
        <f t="shared" si="36"/>
        <v>2016-048-2</v>
      </c>
      <c r="C1908" s="52">
        <v>2016</v>
      </c>
      <c r="D1908" s="52" t="s">
        <v>79</v>
      </c>
      <c r="E1908" s="52">
        <v>2</v>
      </c>
      <c r="F1908" s="54" t="s">
        <v>1065</v>
      </c>
      <c r="G1908" s="52"/>
      <c r="H1908" s="55"/>
      <c r="I1908" s="56"/>
    </row>
    <row r="1909" spans="2:9" x14ac:dyDescent="0.2">
      <c r="B1909" s="51" t="str">
        <f t="shared" si="36"/>
        <v>2016-048-3</v>
      </c>
      <c r="C1909" s="52">
        <v>2016</v>
      </c>
      <c r="D1909" s="52" t="s">
        <v>79</v>
      </c>
      <c r="E1909" s="52">
        <v>3</v>
      </c>
      <c r="F1909" s="54" t="s">
        <v>1452</v>
      </c>
      <c r="G1909" s="52"/>
      <c r="H1909" s="55"/>
      <c r="I1909" s="56"/>
    </row>
    <row r="1910" spans="2:9" x14ac:dyDescent="0.2">
      <c r="B1910" s="51" t="str">
        <f t="shared" si="36"/>
        <v>2016-048-4</v>
      </c>
      <c r="C1910" s="52">
        <v>2016</v>
      </c>
      <c r="D1910" s="52" t="s">
        <v>79</v>
      </c>
      <c r="E1910" s="52">
        <v>4</v>
      </c>
      <c r="F1910" s="54" t="s">
        <v>1820</v>
      </c>
      <c r="G1910" s="52" t="s">
        <v>3391</v>
      </c>
      <c r="H1910" s="55"/>
      <c r="I1910" s="56"/>
    </row>
    <row r="1911" spans="2:9" x14ac:dyDescent="0.2">
      <c r="B1911" s="57" t="str">
        <f t="shared" si="36"/>
        <v>2016-048-5</v>
      </c>
      <c r="C1911" s="58">
        <v>2016</v>
      </c>
      <c r="D1911" s="58" t="s">
        <v>79</v>
      </c>
      <c r="E1911" s="58">
        <v>5</v>
      </c>
      <c r="F1911" s="59" t="s">
        <v>2178</v>
      </c>
      <c r="G1911" s="58"/>
      <c r="H1911" s="60"/>
      <c r="I1911" s="61"/>
    </row>
    <row r="1912" spans="2:9" x14ac:dyDescent="0.2">
      <c r="B1912" s="62" t="str">
        <f t="shared" si="36"/>
        <v>2016-049-0</v>
      </c>
      <c r="C1912" s="63">
        <v>2016</v>
      </c>
      <c r="D1912" s="63" t="s">
        <v>80</v>
      </c>
      <c r="E1912" s="63">
        <v>0</v>
      </c>
      <c r="F1912" s="64" t="s">
        <v>143</v>
      </c>
      <c r="G1912" s="63"/>
      <c r="H1912" s="65"/>
      <c r="I1912" s="66"/>
    </row>
    <row r="1913" spans="2:9" x14ac:dyDescent="0.2">
      <c r="B1913" s="51" t="str">
        <f t="shared" si="36"/>
        <v>2016-049-1</v>
      </c>
      <c r="C1913" s="52">
        <v>2016</v>
      </c>
      <c r="D1913" s="52" t="s">
        <v>80</v>
      </c>
      <c r="E1913" s="52">
        <v>1</v>
      </c>
      <c r="F1913" s="54" t="s">
        <v>677</v>
      </c>
      <c r="G1913" s="52" t="s">
        <v>3391</v>
      </c>
      <c r="H1913" s="55"/>
      <c r="I1913" s="56"/>
    </row>
    <row r="1914" spans="2:9" x14ac:dyDescent="0.2">
      <c r="B1914" s="51" t="str">
        <f t="shared" si="36"/>
        <v>2016-049-2</v>
      </c>
      <c r="C1914" s="52">
        <v>2016</v>
      </c>
      <c r="D1914" s="52" t="s">
        <v>80</v>
      </c>
      <c r="E1914" s="52">
        <v>2</v>
      </c>
      <c r="F1914" s="54" t="s">
        <v>1066</v>
      </c>
      <c r="G1914" s="52"/>
      <c r="H1914" s="55"/>
      <c r="I1914" s="56"/>
    </row>
    <row r="1915" spans="2:9" x14ac:dyDescent="0.2">
      <c r="B1915" s="51" t="str">
        <f t="shared" si="36"/>
        <v>2016-049-3</v>
      </c>
      <c r="C1915" s="52">
        <v>2016</v>
      </c>
      <c r="D1915" s="52" t="s">
        <v>80</v>
      </c>
      <c r="E1915" s="52">
        <v>3</v>
      </c>
      <c r="F1915" s="54" t="s">
        <v>1453</v>
      </c>
      <c r="G1915" s="52"/>
      <c r="H1915" s="55"/>
      <c r="I1915" s="56"/>
    </row>
    <row r="1916" spans="2:9" ht="27" x14ac:dyDescent="0.2">
      <c r="B1916" s="51" t="str">
        <f t="shared" si="36"/>
        <v>2016-049-4</v>
      </c>
      <c r="C1916" s="52">
        <v>2016</v>
      </c>
      <c r="D1916" s="52" t="s">
        <v>80</v>
      </c>
      <c r="E1916" s="52">
        <v>4</v>
      </c>
      <c r="F1916" s="54" t="s">
        <v>1821</v>
      </c>
      <c r="G1916" s="52"/>
      <c r="H1916" s="55"/>
      <c r="I1916" s="56"/>
    </row>
    <row r="1917" spans="2:9" ht="27" x14ac:dyDescent="0.2">
      <c r="B1917" s="57" t="str">
        <f t="shared" si="36"/>
        <v>2016-049-5</v>
      </c>
      <c r="C1917" s="58">
        <v>2016</v>
      </c>
      <c r="D1917" s="58" t="s">
        <v>80</v>
      </c>
      <c r="E1917" s="58">
        <v>5</v>
      </c>
      <c r="F1917" s="59" t="s">
        <v>2179</v>
      </c>
      <c r="G1917" s="58"/>
      <c r="H1917" s="60"/>
      <c r="I1917" s="61"/>
    </row>
    <row r="1918" spans="2:9" x14ac:dyDescent="0.2">
      <c r="B1918" s="62" t="str">
        <f t="shared" si="36"/>
        <v>2016-050-0</v>
      </c>
      <c r="C1918" s="63">
        <v>2016</v>
      </c>
      <c r="D1918" s="63" t="s">
        <v>81</v>
      </c>
      <c r="E1918" s="63">
        <v>0</v>
      </c>
      <c r="F1918" s="64" t="s">
        <v>194</v>
      </c>
      <c r="G1918" s="63"/>
      <c r="H1918" s="65"/>
      <c r="I1918" s="66"/>
    </row>
    <row r="1919" spans="2:9" x14ac:dyDescent="0.2">
      <c r="B1919" s="51" t="str">
        <f t="shared" si="36"/>
        <v>2016-050-1</v>
      </c>
      <c r="C1919" s="52">
        <v>2016</v>
      </c>
      <c r="D1919" s="52" t="s">
        <v>81</v>
      </c>
      <c r="E1919" s="52">
        <v>1</v>
      </c>
      <c r="F1919" s="54" t="s">
        <v>678</v>
      </c>
      <c r="G1919" s="52"/>
      <c r="H1919" s="55"/>
      <c r="I1919" s="56"/>
    </row>
    <row r="1920" spans="2:9" x14ac:dyDescent="0.2">
      <c r="B1920" s="51" t="str">
        <f t="shared" si="36"/>
        <v>2016-050-2</v>
      </c>
      <c r="C1920" s="52">
        <v>2016</v>
      </c>
      <c r="D1920" s="52" t="s">
        <v>81</v>
      </c>
      <c r="E1920" s="52">
        <v>2</v>
      </c>
      <c r="F1920" s="54" t="s">
        <v>1067</v>
      </c>
      <c r="G1920" s="52" t="s">
        <v>3391</v>
      </c>
      <c r="H1920" s="55"/>
      <c r="I1920" s="56"/>
    </row>
    <row r="1921" spans="2:9" x14ac:dyDescent="0.2">
      <c r="B1921" s="51" t="str">
        <f t="shared" si="36"/>
        <v>2016-050-3</v>
      </c>
      <c r="C1921" s="52">
        <v>2016</v>
      </c>
      <c r="D1921" s="52" t="s">
        <v>81</v>
      </c>
      <c r="E1921" s="52">
        <v>3</v>
      </c>
      <c r="F1921" s="54" t="s">
        <v>1454</v>
      </c>
      <c r="G1921" s="52"/>
      <c r="H1921" s="55"/>
      <c r="I1921" s="56"/>
    </row>
    <row r="1922" spans="2:9" x14ac:dyDescent="0.2">
      <c r="B1922" s="51" t="str">
        <f t="shared" si="36"/>
        <v>2016-050-4</v>
      </c>
      <c r="C1922" s="52">
        <v>2016</v>
      </c>
      <c r="D1922" s="52" t="s">
        <v>81</v>
      </c>
      <c r="E1922" s="52">
        <v>4</v>
      </c>
      <c r="F1922" s="54" t="s">
        <v>1088</v>
      </c>
      <c r="G1922" s="52"/>
      <c r="H1922" s="55"/>
      <c r="I1922" s="56"/>
    </row>
    <row r="1923" spans="2:9" ht="27.75" thickBot="1" x14ac:dyDescent="0.25">
      <c r="B1923" s="67" t="str">
        <f t="shared" si="36"/>
        <v>2016-050-5</v>
      </c>
      <c r="C1923" s="68">
        <v>2016</v>
      </c>
      <c r="D1923" s="68" t="s">
        <v>81</v>
      </c>
      <c r="E1923" s="68">
        <v>5</v>
      </c>
      <c r="F1923" s="69" t="s">
        <v>1724</v>
      </c>
      <c r="G1923" s="68"/>
      <c r="H1923" s="70"/>
      <c r="I1923" s="71"/>
    </row>
    <row r="1924" spans="2:9" x14ac:dyDescent="0.2">
      <c r="B1924" s="45" t="str">
        <f t="shared" ref="B1924:B1940" si="37">C1924&amp;"-"&amp;D1924&amp;"-"&amp;E1924</f>
        <v>2015-026-0</v>
      </c>
      <c r="C1924" s="46">
        <v>2015</v>
      </c>
      <c r="D1924" s="46" t="s">
        <v>4</v>
      </c>
      <c r="E1924" s="46">
        <v>0</v>
      </c>
      <c r="F1924" s="48" t="s">
        <v>300</v>
      </c>
      <c r="G1924" s="46"/>
      <c r="H1924" s="49"/>
      <c r="I1924" s="50"/>
    </row>
    <row r="1925" spans="2:9" x14ac:dyDescent="0.2">
      <c r="B1925" s="51" t="str">
        <f t="shared" si="37"/>
        <v>2015-026-1</v>
      </c>
      <c r="C1925" s="52">
        <v>2015</v>
      </c>
      <c r="D1925" s="52" t="s">
        <v>4</v>
      </c>
      <c r="E1925" s="52">
        <v>1</v>
      </c>
      <c r="F1925" s="54" t="s">
        <v>27</v>
      </c>
      <c r="G1925" s="52"/>
      <c r="H1925" s="55"/>
      <c r="I1925" s="56"/>
    </row>
    <row r="1926" spans="2:9" x14ac:dyDescent="0.2">
      <c r="B1926" s="51" t="str">
        <f t="shared" si="37"/>
        <v>2015-026-2</v>
      </c>
      <c r="C1926" s="52">
        <v>2015</v>
      </c>
      <c r="D1926" s="52" t="s">
        <v>4</v>
      </c>
      <c r="E1926" s="52">
        <v>2</v>
      </c>
      <c r="F1926" s="54" t="s">
        <v>48</v>
      </c>
      <c r="G1926" s="52"/>
      <c r="H1926" s="55"/>
      <c r="I1926" s="56"/>
    </row>
    <row r="1927" spans="2:9" x14ac:dyDescent="0.2">
      <c r="B1927" s="51" t="str">
        <f t="shared" si="37"/>
        <v>2015-026-3</v>
      </c>
      <c r="C1927" s="52">
        <v>2015</v>
      </c>
      <c r="D1927" s="52" t="s">
        <v>4</v>
      </c>
      <c r="E1927" s="52">
        <v>3</v>
      </c>
      <c r="F1927" s="54" t="s">
        <v>37</v>
      </c>
      <c r="G1927" s="52"/>
      <c r="H1927" s="55"/>
      <c r="I1927" s="56"/>
    </row>
    <row r="1928" spans="2:9" x14ac:dyDescent="0.2">
      <c r="B1928" s="51" t="str">
        <f t="shared" si="37"/>
        <v>2015-026-4</v>
      </c>
      <c r="C1928" s="52">
        <v>2015</v>
      </c>
      <c r="D1928" s="52" t="s">
        <v>4</v>
      </c>
      <c r="E1928" s="52">
        <v>4</v>
      </c>
      <c r="F1928" s="54" t="s">
        <v>1822</v>
      </c>
      <c r="G1928" s="52" t="s">
        <v>3391</v>
      </c>
      <c r="H1928" s="55"/>
      <c r="I1928" s="56"/>
    </row>
    <row r="1929" spans="2:9" x14ac:dyDescent="0.2">
      <c r="B1929" s="57" t="str">
        <f t="shared" si="37"/>
        <v>2015-026-5</v>
      </c>
      <c r="C1929" s="58">
        <v>2015</v>
      </c>
      <c r="D1929" s="58" t="s">
        <v>4</v>
      </c>
      <c r="E1929" s="58">
        <v>5</v>
      </c>
      <c r="F1929" s="59" t="s">
        <v>47</v>
      </c>
      <c r="G1929" s="58"/>
      <c r="H1929" s="60"/>
      <c r="I1929" s="61"/>
    </row>
    <row r="1930" spans="2:9" x14ac:dyDescent="0.2">
      <c r="B1930" s="62" t="str">
        <f t="shared" si="37"/>
        <v>2015-027-0</v>
      </c>
      <c r="C1930" s="63">
        <v>2015</v>
      </c>
      <c r="D1930" s="63" t="s">
        <v>5</v>
      </c>
      <c r="E1930" s="63">
        <v>0</v>
      </c>
      <c r="F1930" s="64" t="s">
        <v>301</v>
      </c>
      <c r="G1930" s="63"/>
      <c r="H1930" s="65"/>
      <c r="I1930" s="66"/>
    </row>
    <row r="1931" spans="2:9" x14ac:dyDescent="0.2">
      <c r="B1931" s="51" t="str">
        <f t="shared" si="37"/>
        <v>2015-027-1</v>
      </c>
      <c r="C1931" s="52">
        <v>2015</v>
      </c>
      <c r="D1931" s="52" t="s">
        <v>5</v>
      </c>
      <c r="E1931" s="52">
        <v>1</v>
      </c>
      <c r="F1931" s="54" t="s">
        <v>679</v>
      </c>
      <c r="G1931" s="52"/>
      <c r="H1931" s="55"/>
      <c r="I1931" s="56"/>
    </row>
    <row r="1932" spans="2:9" x14ac:dyDescent="0.2">
      <c r="B1932" s="51" t="str">
        <f t="shared" si="37"/>
        <v>2015-027-2</v>
      </c>
      <c r="C1932" s="52">
        <v>2015</v>
      </c>
      <c r="D1932" s="52" t="s">
        <v>5</v>
      </c>
      <c r="E1932" s="52">
        <v>2</v>
      </c>
      <c r="F1932" s="54" t="s">
        <v>1068</v>
      </c>
      <c r="G1932" s="52"/>
      <c r="H1932" s="55"/>
      <c r="I1932" s="56"/>
    </row>
    <row r="1933" spans="2:9" ht="27" x14ac:dyDescent="0.2">
      <c r="B1933" s="51" t="str">
        <f t="shared" si="37"/>
        <v>2015-027-3</v>
      </c>
      <c r="C1933" s="52">
        <v>2015</v>
      </c>
      <c r="D1933" s="52" t="s">
        <v>5</v>
      </c>
      <c r="E1933" s="52">
        <v>3</v>
      </c>
      <c r="F1933" s="54" t="s">
        <v>1130</v>
      </c>
      <c r="G1933" s="52"/>
      <c r="H1933" s="55"/>
      <c r="I1933" s="56"/>
    </row>
    <row r="1934" spans="2:9" x14ac:dyDescent="0.2">
      <c r="B1934" s="51" t="str">
        <f t="shared" si="37"/>
        <v>2015-027-4</v>
      </c>
      <c r="C1934" s="52">
        <v>2015</v>
      </c>
      <c r="D1934" s="52" t="s">
        <v>5</v>
      </c>
      <c r="E1934" s="52">
        <v>4</v>
      </c>
      <c r="F1934" s="54" t="s">
        <v>1823</v>
      </c>
      <c r="G1934" s="52"/>
      <c r="H1934" s="55"/>
      <c r="I1934" s="56"/>
    </row>
    <row r="1935" spans="2:9" x14ac:dyDescent="0.2">
      <c r="B1935" s="57" t="str">
        <f t="shared" si="37"/>
        <v>2015-027-5</v>
      </c>
      <c r="C1935" s="58">
        <v>2015</v>
      </c>
      <c r="D1935" s="58" t="s">
        <v>5</v>
      </c>
      <c r="E1935" s="58">
        <v>5</v>
      </c>
      <c r="F1935" s="59" t="s">
        <v>2180</v>
      </c>
      <c r="G1935" s="58" t="s">
        <v>3391</v>
      </c>
      <c r="H1935" s="60"/>
      <c r="I1935" s="61"/>
    </row>
    <row r="1936" spans="2:9" x14ac:dyDescent="0.2">
      <c r="B1936" s="62" t="str">
        <f t="shared" si="37"/>
        <v>2015-028-0</v>
      </c>
      <c r="C1936" s="63">
        <v>2015</v>
      </c>
      <c r="D1936" s="63" t="s">
        <v>6</v>
      </c>
      <c r="E1936" s="63">
        <v>0</v>
      </c>
      <c r="F1936" s="64" t="s">
        <v>302</v>
      </c>
      <c r="G1936" s="63"/>
      <c r="H1936" s="65"/>
      <c r="I1936" s="66"/>
    </row>
    <row r="1937" spans="2:9" x14ac:dyDescent="0.2">
      <c r="B1937" s="51" t="str">
        <f t="shared" si="37"/>
        <v>2015-028-1</v>
      </c>
      <c r="C1937" s="52">
        <v>2015</v>
      </c>
      <c r="D1937" s="52" t="s">
        <v>6</v>
      </c>
      <c r="E1937" s="52">
        <v>1</v>
      </c>
      <c r="F1937" s="54" t="s">
        <v>680</v>
      </c>
      <c r="G1937" s="52"/>
      <c r="H1937" s="55"/>
      <c r="I1937" s="56"/>
    </row>
    <row r="1938" spans="2:9" x14ac:dyDescent="0.2">
      <c r="B1938" s="51" t="str">
        <f t="shared" si="37"/>
        <v>2015-028-2</v>
      </c>
      <c r="C1938" s="52">
        <v>2015</v>
      </c>
      <c r="D1938" s="52" t="s">
        <v>6</v>
      </c>
      <c r="E1938" s="52">
        <v>2</v>
      </c>
      <c r="F1938" s="54" t="s">
        <v>1069</v>
      </c>
      <c r="G1938" s="52"/>
      <c r="H1938" s="55"/>
      <c r="I1938" s="56"/>
    </row>
    <row r="1939" spans="2:9" x14ac:dyDescent="0.2">
      <c r="B1939" s="51" t="str">
        <f t="shared" si="37"/>
        <v>2015-028-3</v>
      </c>
      <c r="C1939" s="52">
        <v>2015</v>
      </c>
      <c r="D1939" s="52" t="s">
        <v>6</v>
      </c>
      <c r="E1939" s="52">
        <v>3</v>
      </c>
      <c r="F1939" s="54" t="s">
        <v>1455</v>
      </c>
      <c r="G1939" s="52"/>
      <c r="H1939" s="55"/>
      <c r="I1939" s="56"/>
    </row>
    <row r="1940" spans="2:9" x14ac:dyDescent="0.2">
      <c r="B1940" s="51" t="str">
        <f t="shared" si="37"/>
        <v>2015-028-4</v>
      </c>
      <c r="C1940" s="52">
        <v>2015</v>
      </c>
      <c r="D1940" s="52" t="s">
        <v>6</v>
      </c>
      <c r="E1940" s="52">
        <v>4</v>
      </c>
      <c r="F1940" s="54" t="s">
        <v>1824</v>
      </c>
      <c r="G1940" s="52" t="s">
        <v>3391</v>
      </c>
      <c r="H1940" s="55"/>
      <c r="I1940" s="56"/>
    </row>
    <row r="1941" spans="2:9" ht="27" x14ac:dyDescent="0.2">
      <c r="B1941" s="57" t="str">
        <f t="shared" ref="B1941:B2004" si="38">C1941&amp;"-"&amp;D1941&amp;"-"&amp;E1941</f>
        <v>2015-028-5</v>
      </c>
      <c r="C1941" s="58">
        <v>2015</v>
      </c>
      <c r="D1941" s="58" t="s">
        <v>6</v>
      </c>
      <c r="E1941" s="58">
        <v>5</v>
      </c>
      <c r="F1941" s="59" t="s">
        <v>2181</v>
      </c>
      <c r="G1941" s="58"/>
      <c r="H1941" s="60"/>
      <c r="I1941" s="61"/>
    </row>
    <row r="1942" spans="2:9" x14ac:dyDescent="0.2">
      <c r="B1942" s="62" t="str">
        <f t="shared" si="38"/>
        <v>2015-029-0</v>
      </c>
      <c r="C1942" s="63">
        <v>2015</v>
      </c>
      <c r="D1942" s="63" t="s">
        <v>7</v>
      </c>
      <c r="E1942" s="63">
        <v>0</v>
      </c>
      <c r="F1942" s="64" t="s">
        <v>224</v>
      </c>
      <c r="G1942" s="63"/>
      <c r="H1942" s="65"/>
      <c r="I1942" s="66"/>
    </row>
    <row r="1943" spans="2:9" x14ac:dyDescent="0.2">
      <c r="B1943" s="51" t="str">
        <f t="shared" si="38"/>
        <v>2015-029-1</v>
      </c>
      <c r="C1943" s="52">
        <v>2015</v>
      </c>
      <c r="D1943" s="52" t="s">
        <v>7</v>
      </c>
      <c r="E1943" s="52">
        <v>1</v>
      </c>
      <c r="F1943" s="54" t="s">
        <v>580</v>
      </c>
      <c r="G1943" s="52"/>
      <c r="H1943" s="55"/>
      <c r="I1943" s="56"/>
    </row>
    <row r="1944" spans="2:9" x14ac:dyDescent="0.2">
      <c r="B1944" s="51" t="str">
        <f t="shared" si="38"/>
        <v>2015-029-2</v>
      </c>
      <c r="C1944" s="52">
        <v>2015</v>
      </c>
      <c r="D1944" s="52" t="s">
        <v>7</v>
      </c>
      <c r="E1944" s="52">
        <v>2</v>
      </c>
      <c r="F1944" s="54" t="s">
        <v>1070</v>
      </c>
      <c r="G1944" s="52" t="s">
        <v>3391</v>
      </c>
      <c r="H1944" s="55"/>
      <c r="I1944" s="56"/>
    </row>
    <row r="1945" spans="2:9" x14ac:dyDescent="0.2">
      <c r="B1945" s="51" t="str">
        <f t="shared" si="38"/>
        <v>2015-029-3</v>
      </c>
      <c r="C1945" s="52">
        <v>2015</v>
      </c>
      <c r="D1945" s="52" t="s">
        <v>7</v>
      </c>
      <c r="E1945" s="52">
        <v>3</v>
      </c>
      <c r="F1945" s="54" t="s">
        <v>1340</v>
      </c>
      <c r="G1945" s="52"/>
      <c r="H1945" s="55"/>
      <c r="I1945" s="56"/>
    </row>
    <row r="1946" spans="2:9" x14ac:dyDescent="0.2">
      <c r="B1946" s="51" t="str">
        <f t="shared" si="38"/>
        <v>2015-029-4</v>
      </c>
      <c r="C1946" s="52">
        <v>2015</v>
      </c>
      <c r="D1946" s="52" t="s">
        <v>7</v>
      </c>
      <c r="E1946" s="52">
        <v>4</v>
      </c>
      <c r="F1946" s="54" t="s">
        <v>928</v>
      </c>
      <c r="G1946" s="52"/>
      <c r="H1946" s="55"/>
      <c r="I1946" s="56"/>
    </row>
    <row r="1947" spans="2:9" ht="27" x14ac:dyDescent="0.2">
      <c r="B1947" s="57" t="str">
        <f t="shared" si="38"/>
        <v>2015-029-5</v>
      </c>
      <c r="C1947" s="58">
        <v>2015</v>
      </c>
      <c r="D1947" s="58" t="s">
        <v>7</v>
      </c>
      <c r="E1947" s="58">
        <v>5</v>
      </c>
      <c r="F1947" s="59" t="s">
        <v>1167</v>
      </c>
      <c r="G1947" s="58"/>
      <c r="H1947" s="60"/>
      <c r="I1947" s="61"/>
    </row>
    <row r="1948" spans="2:9" x14ac:dyDescent="0.2">
      <c r="B1948" s="62" t="str">
        <f t="shared" si="38"/>
        <v>2015-030-0</v>
      </c>
      <c r="C1948" s="63">
        <v>2015</v>
      </c>
      <c r="D1948" s="63" t="s">
        <v>8</v>
      </c>
      <c r="E1948" s="63">
        <v>0</v>
      </c>
      <c r="F1948" s="64" t="s">
        <v>303</v>
      </c>
      <c r="G1948" s="63"/>
      <c r="H1948" s="65"/>
      <c r="I1948" s="66"/>
    </row>
    <row r="1949" spans="2:9" x14ac:dyDescent="0.2">
      <c r="B1949" s="51" t="str">
        <f t="shared" si="38"/>
        <v>2015-030-1</v>
      </c>
      <c r="C1949" s="52">
        <v>2015</v>
      </c>
      <c r="D1949" s="52" t="s">
        <v>8</v>
      </c>
      <c r="E1949" s="52">
        <v>1</v>
      </c>
      <c r="F1949" s="54" t="s">
        <v>681</v>
      </c>
      <c r="G1949" s="52"/>
      <c r="H1949" s="55"/>
      <c r="I1949" s="56"/>
    </row>
    <row r="1950" spans="2:9" x14ac:dyDescent="0.2">
      <c r="B1950" s="51" t="str">
        <f t="shared" si="38"/>
        <v>2015-030-2</v>
      </c>
      <c r="C1950" s="52">
        <v>2015</v>
      </c>
      <c r="D1950" s="52" t="s">
        <v>8</v>
      </c>
      <c r="E1950" s="52">
        <v>2</v>
      </c>
      <c r="F1950" s="54" t="s">
        <v>1071</v>
      </c>
      <c r="G1950" s="52"/>
      <c r="H1950" s="55"/>
      <c r="I1950" s="56"/>
    </row>
    <row r="1951" spans="2:9" x14ac:dyDescent="0.2">
      <c r="B1951" s="51" t="str">
        <f t="shared" si="38"/>
        <v>2015-030-3</v>
      </c>
      <c r="C1951" s="52">
        <v>2015</v>
      </c>
      <c r="D1951" s="52" t="s">
        <v>8</v>
      </c>
      <c r="E1951" s="52">
        <v>3</v>
      </c>
      <c r="F1951" s="54" t="s">
        <v>829</v>
      </c>
      <c r="G1951" s="52"/>
      <c r="H1951" s="55"/>
      <c r="I1951" s="56"/>
    </row>
    <row r="1952" spans="2:9" x14ac:dyDescent="0.2">
      <c r="B1952" s="51" t="str">
        <f t="shared" si="38"/>
        <v>2015-030-4</v>
      </c>
      <c r="C1952" s="52">
        <v>2015</v>
      </c>
      <c r="D1952" s="52" t="s">
        <v>8</v>
      </c>
      <c r="E1952" s="52">
        <v>4</v>
      </c>
      <c r="F1952" s="54" t="s">
        <v>1825</v>
      </c>
      <c r="G1952" s="52" t="s">
        <v>3391</v>
      </c>
      <c r="H1952" s="55"/>
      <c r="I1952" s="56"/>
    </row>
    <row r="1953" spans="2:9" x14ac:dyDescent="0.2">
      <c r="B1953" s="57" t="str">
        <f t="shared" si="38"/>
        <v>2015-030-5</v>
      </c>
      <c r="C1953" s="58">
        <v>2015</v>
      </c>
      <c r="D1953" s="58" t="s">
        <v>8</v>
      </c>
      <c r="E1953" s="58">
        <v>5</v>
      </c>
      <c r="F1953" s="59" t="s">
        <v>2182</v>
      </c>
      <c r="G1953" s="58"/>
      <c r="H1953" s="60"/>
      <c r="I1953" s="61"/>
    </row>
    <row r="1954" spans="2:9" x14ac:dyDescent="0.2">
      <c r="B1954" s="62" t="str">
        <f t="shared" si="38"/>
        <v>2015-031-0</v>
      </c>
      <c r="C1954" s="63">
        <v>2015</v>
      </c>
      <c r="D1954" s="63" t="s">
        <v>9</v>
      </c>
      <c r="E1954" s="63">
        <v>0</v>
      </c>
      <c r="F1954" s="64" t="s">
        <v>304</v>
      </c>
      <c r="G1954" s="63"/>
      <c r="H1954" s="65"/>
      <c r="I1954" s="66"/>
    </row>
    <row r="1955" spans="2:9" x14ac:dyDescent="0.2">
      <c r="B1955" s="51" t="str">
        <f t="shared" si="38"/>
        <v>2015-031-1</v>
      </c>
      <c r="C1955" s="52">
        <v>2015</v>
      </c>
      <c r="D1955" s="52" t="s">
        <v>9</v>
      </c>
      <c r="E1955" s="52">
        <v>1</v>
      </c>
      <c r="F1955" s="54" t="s">
        <v>682</v>
      </c>
      <c r="G1955" s="52"/>
      <c r="H1955" s="55"/>
      <c r="I1955" s="56"/>
    </row>
    <row r="1956" spans="2:9" ht="27" x14ac:dyDescent="0.2">
      <c r="B1956" s="51" t="str">
        <f t="shared" si="38"/>
        <v>2015-031-2</v>
      </c>
      <c r="C1956" s="52">
        <v>2015</v>
      </c>
      <c r="D1956" s="52" t="s">
        <v>9</v>
      </c>
      <c r="E1956" s="52">
        <v>2</v>
      </c>
      <c r="F1956" s="54" t="s">
        <v>1072</v>
      </c>
      <c r="G1956" s="52"/>
      <c r="H1956" s="55"/>
      <c r="I1956" s="56"/>
    </row>
    <row r="1957" spans="2:9" ht="27" x14ac:dyDescent="0.2">
      <c r="B1957" s="51" t="str">
        <f t="shared" si="38"/>
        <v>2015-031-3</v>
      </c>
      <c r="C1957" s="52">
        <v>2015</v>
      </c>
      <c r="D1957" s="52" t="s">
        <v>9</v>
      </c>
      <c r="E1957" s="52">
        <v>3</v>
      </c>
      <c r="F1957" s="54" t="s">
        <v>723</v>
      </c>
      <c r="G1957" s="52"/>
      <c r="H1957" s="55"/>
      <c r="I1957" s="56"/>
    </row>
    <row r="1958" spans="2:9" ht="27" x14ac:dyDescent="0.2">
      <c r="B1958" s="51" t="str">
        <f t="shared" si="38"/>
        <v>2015-031-4</v>
      </c>
      <c r="C1958" s="52">
        <v>2015</v>
      </c>
      <c r="D1958" s="52" t="s">
        <v>9</v>
      </c>
      <c r="E1958" s="52">
        <v>4</v>
      </c>
      <c r="F1958" s="54" t="s">
        <v>1826</v>
      </c>
      <c r="G1958" s="52"/>
      <c r="H1958" s="55"/>
      <c r="I1958" s="56"/>
    </row>
    <row r="1959" spans="2:9" ht="27" x14ac:dyDescent="0.2">
      <c r="B1959" s="57" t="str">
        <f t="shared" si="38"/>
        <v>2015-031-5</v>
      </c>
      <c r="C1959" s="58">
        <v>2015</v>
      </c>
      <c r="D1959" s="58" t="s">
        <v>9</v>
      </c>
      <c r="E1959" s="58">
        <v>5</v>
      </c>
      <c r="F1959" s="59" t="s">
        <v>2183</v>
      </c>
      <c r="G1959" s="58" t="s">
        <v>3391</v>
      </c>
      <c r="H1959" s="60"/>
      <c r="I1959" s="61"/>
    </row>
    <row r="1960" spans="2:9" x14ac:dyDescent="0.2">
      <c r="B1960" s="62" t="str">
        <f t="shared" si="38"/>
        <v>2015-032-0</v>
      </c>
      <c r="C1960" s="63">
        <v>2015</v>
      </c>
      <c r="D1960" s="63" t="s">
        <v>10</v>
      </c>
      <c r="E1960" s="63">
        <v>0</v>
      </c>
      <c r="F1960" s="64" t="s">
        <v>305</v>
      </c>
      <c r="G1960" s="63"/>
      <c r="H1960" s="65"/>
      <c r="I1960" s="66"/>
    </row>
    <row r="1961" spans="2:9" x14ac:dyDescent="0.2">
      <c r="B1961" s="51" t="str">
        <f t="shared" si="38"/>
        <v>2015-032-1</v>
      </c>
      <c r="C1961" s="52">
        <v>2015</v>
      </c>
      <c r="D1961" s="52" t="s">
        <v>10</v>
      </c>
      <c r="E1961" s="52">
        <v>1</v>
      </c>
      <c r="F1961" s="54" t="s">
        <v>683</v>
      </c>
      <c r="G1961" s="52"/>
      <c r="H1961" s="55"/>
      <c r="I1961" s="56"/>
    </row>
    <row r="1962" spans="2:9" ht="27" x14ac:dyDescent="0.2">
      <c r="B1962" s="51" t="str">
        <f t="shared" si="38"/>
        <v>2015-032-2</v>
      </c>
      <c r="C1962" s="52">
        <v>2015</v>
      </c>
      <c r="D1962" s="52" t="s">
        <v>10</v>
      </c>
      <c r="E1962" s="52">
        <v>2</v>
      </c>
      <c r="F1962" s="54" t="s">
        <v>1073</v>
      </c>
      <c r="G1962" s="52"/>
      <c r="H1962" s="55"/>
      <c r="I1962" s="56"/>
    </row>
    <row r="1963" spans="2:9" ht="27" x14ac:dyDescent="0.2">
      <c r="B1963" s="51" t="str">
        <f t="shared" si="38"/>
        <v>2015-032-3</v>
      </c>
      <c r="C1963" s="52">
        <v>2015</v>
      </c>
      <c r="D1963" s="52" t="s">
        <v>10</v>
      </c>
      <c r="E1963" s="52">
        <v>3</v>
      </c>
      <c r="F1963" s="54" t="s">
        <v>1456</v>
      </c>
      <c r="G1963" s="52" t="s">
        <v>3391</v>
      </c>
      <c r="H1963" s="55"/>
      <c r="I1963" s="56"/>
    </row>
    <row r="1964" spans="2:9" x14ac:dyDescent="0.2">
      <c r="B1964" s="51" t="str">
        <f t="shared" si="38"/>
        <v>2015-032-4</v>
      </c>
      <c r="C1964" s="52">
        <v>2015</v>
      </c>
      <c r="D1964" s="52" t="s">
        <v>10</v>
      </c>
      <c r="E1964" s="52">
        <v>4</v>
      </c>
      <c r="F1964" s="54" t="s">
        <v>867</v>
      </c>
      <c r="G1964" s="52"/>
      <c r="H1964" s="55"/>
      <c r="I1964" s="56"/>
    </row>
    <row r="1965" spans="2:9" x14ac:dyDescent="0.2">
      <c r="B1965" s="57" t="str">
        <f t="shared" si="38"/>
        <v>2015-032-5</v>
      </c>
      <c r="C1965" s="58">
        <v>2015</v>
      </c>
      <c r="D1965" s="58" t="s">
        <v>10</v>
      </c>
      <c r="E1965" s="58">
        <v>5</v>
      </c>
      <c r="F1965" s="59" t="s">
        <v>659</v>
      </c>
      <c r="G1965" s="58"/>
      <c r="H1965" s="60"/>
      <c r="I1965" s="61"/>
    </row>
    <row r="1966" spans="2:9" x14ac:dyDescent="0.2">
      <c r="B1966" s="62" t="str">
        <f t="shared" si="38"/>
        <v>2015-033-0</v>
      </c>
      <c r="C1966" s="63">
        <v>2015</v>
      </c>
      <c r="D1966" s="63" t="s">
        <v>11</v>
      </c>
      <c r="E1966" s="63">
        <v>0</v>
      </c>
      <c r="F1966" s="64" t="s">
        <v>306</v>
      </c>
      <c r="G1966" s="63"/>
      <c r="H1966" s="65"/>
      <c r="I1966" s="66"/>
    </row>
    <row r="1967" spans="2:9" ht="27" x14ac:dyDescent="0.2">
      <c r="B1967" s="51" t="str">
        <f t="shared" si="38"/>
        <v>2015-033-1</v>
      </c>
      <c r="C1967" s="52">
        <v>2015</v>
      </c>
      <c r="D1967" s="52" t="s">
        <v>11</v>
      </c>
      <c r="E1967" s="52">
        <v>1</v>
      </c>
      <c r="F1967" s="54" t="s">
        <v>684</v>
      </c>
      <c r="G1967" s="52" t="s">
        <v>3391</v>
      </c>
      <c r="H1967" s="55"/>
      <c r="I1967" s="56"/>
    </row>
    <row r="1968" spans="2:9" ht="27" x14ac:dyDescent="0.2">
      <c r="B1968" s="51" t="str">
        <f t="shared" si="38"/>
        <v>2015-033-2</v>
      </c>
      <c r="C1968" s="52">
        <v>2015</v>
      </c>
      <c r="D1968" s="52" t="s">
        <v>11</v>
      </c>
      <c r="E1968" s="52">
        <v>2</v>
      </c>
      <c r="F1968" s="54" t="s">
        <v>1019</v>
      </c>
      <c r="G1968" s="52"/>
      <c r="H1968" s="55"/>
      <c r="I1968" s="56"/>
    </row>
    <row r="1969" spans="2:9" ht="27" x14ac:dyDescent="0.2">
      <c r="B1969" s="51" t="str">
        <f t="shared" si="38"/>
        <v>2015-033-3</v>
      </c>
      <c r="C1969" s="52">
        <v>2015</v>
      </c>
      <c r="D1969" s="52" t="s">
        <v>11</v>
      </c>
      <c r="E1969" s="52">
        <v>3</v>
      </c>
      <c r="F1969" s="54" t="s">
        <v>1457</v>
      </c>
      <c r="G1969" s="52"/>
      <c r="H1969" s="55"/>
      <c r="I1969" s="56"/>
    </row>
    <row r="1970" spans="2:9" ht="27" x14ac:dyDescent="0.2">
      <c r="B1970" s="51" t="str">
        <f t="shared" si="38"/>
        <v>2015-033-4</v>
      </c>
      <c r="C1970" s="52">
        <v>2015</v>
      </c>
      <c r="D1970" s="52" t="s">
        <v>11</v>
      </c>
      <c r="E1970" s="52">
        <v>4</v>
      </c>
      <c r="F1970" s="54" t="s">
        <v>922</v>
      </c>
      <c r="G1970" s="52"/>
      <c r="H1970" s="55"/>
      <c r="I1970" s="56"/>
    </row>
    <row r="1971" spans="2:9" ht="40.5" x14ac:dyDescent="0.2">
      <c r="B1971" s="57" t="str">
        <f t="shared" si="38"/>
        <v>2015-033-5</v>
      </c>
      <c r="C1971" s="58">
        <v>2015</v>
      </c>
      <c r="D1971" s="58" t="s">
        <v>11</v>
      </c>
      <c r="E1971" s="58">
        <v>5</v>
      </c>
      <c r="F1971" s="72" t="s">
        <v>2184</v>
      </c>
      <c r="G1971" s="58"/>
      <c r="H1971" s="60"/>
      <c r="I1971" s="61"/>
    </row>
    <row r="1972" spans="2:9" x14ac:dyDescent="0.2">
      <c r="B1972" s="62" t="str">
        <f t="shared" si="38"/>
        <v>2015-034-0</v>
      </c>
      <c r="C1972" s="63">
        <v>2015</v>
      </c>
      <c r="D1972" s="63" t="s">
        <v>12</v>
      </c>
      <c r="E1972" s="63">
        <v>0</v>
      </c>
      <c r="F1972" s="64" t="s">
        <v>307</v>
      </c>
      <c r="G1972" s="63"/>
      <c r="H1972" s="65"/>
      <c r="I1972" s="66"/>
    </row>
    <row r="1973" spans="2:9" ht="27" x14ac:dyDescent="0.2">
      <c r="B1973" s="51" t="str">
        <f t="shared" si="38"/>
        <v>2015-034-1</v>
      </c>
      <c r="C1973" s="52">
        <v>2015</v>
      </c>
      <c r="D1973" s="52" t="s">
        <v>12</v>
      </c>
      <c r="E1973" s="52">
        <v>1</v>
      </c>
      <c r="F1973" s="54" t="s">
        <v>554</v>
      </c>
      <c r="G1973" s="52"/>
      <c r="H1973" s="55"/>
      <c r="I1973" s="56"/>
    </row>
    <row r="1974" spans="2:9" ht="27" x14ac:dyDescent="0.2">
      <c r="B1974" s="51" t="str">
        <f t="shared" si="38"/>
        <v>2015-034-2</v>
      </c>
      <c r="C1974" s="52">
        <v>2015</v>
      </c>
      <c r="D1974" s="52" t="s">
        <v>12</v>
      </c>
      <c r="E1974" s="52">
        <v>2</v>
      </c>
      <c r="F1974" s="54" t="s">
        <v>1074</v>
      </c>
      <c r="G1974" s="52" t="s">
        <v>3391</v>
      </c>
      <c r="H1974" s="55"/>
      <c r="I1974" s="56"/>
    </row>
    <row r="1975" spans="2:9" ht="27" x14ac:dyDescent="0.2">
      <c r="B1975" s="51" t="str">
        <f t="shared" si="38"/>
        <v>2015-034-3</v>
      </c>
      <c r="C1975" s="52">
        <v>2015</v>
      </c>
      <c r="D1975" s="52" t="s">
        <v>12</v>
      </c>
      <c r="E1975" s="52">
        <v>3</v>
      </c>
      <c r="F1975" s="54" t="s">
        <v>1458</v>
      </c>
      <c r="G1975" s="52"/>
      <c r="H1975" s="55"/>
      <c r="I1975" s="56"/>
    </row>
    <row r="1976" spans="2:9" ht="27" x14ac:dyDescent="0.2">
      <c r="B1976" s="51" t="str">
        <f t="shared" si="38"/>
        <v>2015-034-4</v>
      </c>
      <c r="C1976" s="52">
        <v>2015</v>
      </c>
      <c r="D1976" s="52" t="s">
        <v>12</v>
      </c>
      <c r="E1976" s="52">
        <v>4</v>
      </c>
      <c r="F1976" s="54" t="s">
        <v>1827</v>
      </c>
      <c r="G1976" s="52"/>
      <c r="H1976" s="55"/>
      <c r="I1976" s="56"/>
    </row>
    <row r="1977" spans="2:9" ht="27" x14ac:dyDescent="0.2">
      <c r="B1977" s="57" t="str">
        <f t="shared" si="38"/>
        <v>2015-034-5</v>
      </c>
      <c r="C1977" s="58">
        <v>2015</v>
      </c>
      <c r="D1977" s="58" t="s">
        <v>12</v>
      </c>
      <c r="E1977" s="58">
        <v>5</v>
      </c>
      <c r="F1977" s="59" t="s">
        <v>2185</v>
      </c>
      <c r="G1977" s="58"/>
      <c r="H1977" s="60"/>
      <c r="I1977" s="61"/>
    </row>
    <row r="1978" spans="2:9" x14ac:dyDescent="0.2">
      <c r="B1978" s="62" t="str">
        <f t="shared" si="38"/>
        <v>2015-035-0</v>
      </c>
      <c r="C1978" s="63">
        <v>2015</v>
      </c>
      <c r="D1978" s="63" t="s">
        <v>13</v>
      </c>
      <c r="E1978" s="63">
        <v>0</v>
      </c>
      <c r="F1978" s="64" t="s">
        <v>308</v>
      </c>
      <c r="G1978" s="63"/>
      <c r="H1978" s="65"/>
      <c r="I1978" s="66"/>
    </row>
    <row r="1979" spans="2:9" x14ac:dyDescent="0.2">
      <c r="B1979" s="51" t="str">
        <f t="shared" si="38"/>
        <v>2015-035-1</v>
      </c>
      <c r="C1979" s="52">
        <v>2015</v>
      </c>
      <c r="D1979" s="52" t="s">
        <v>13</v>
      </c>
      <c r="E1979" s="52">
        <v>1</v>
      </c>
      <c r="F1979" s="54" t="s">
        <v>685</v>
      </c>
      <c r="G1979" s="52"/>
      <c r="H1979" s="55"/>
      <c r="I1979" s="56"/>
    </row>
    <row r="1980" spans="2:9" x14ac:dyDescent="0.2">
      <c r="B1980" s="51" t="str">
        <f t="shared" si="38"/>
        <v>2015-035-2</v>
      </c>
      <c r="C1980" s="52">
        <v>2015</v>
      </c>
      <c r="D1980" s="52" t="s">
        <v>13</v>
      </c>
      <c r="E1980" s="52">
        <v>2</v>
      </c>
      <c r="F1980" s="54" t="s">
        <v>1075</v>
      </c>
      <c r="G1980" s="52"/>
      <c r="H1980" s="55"/>
      <c r="I1980" s="56"/>
    </row>
    <row r="1981" spans="2:9" ht="40.5" x14ac:dyDescent="0.2">
      <c r="B1981" s="51" t="str">
        <f t="shared" si="38"/>
        <v>2015-035-3</v>
      </c>
      <c r="C1981" s="52">
        <v>2015</v>
      </c>
      <c r="D1981" s="52" t="s">
        <v>13</v>
      </c>
      <c r="E1981" s="52">
        <v>3</v>
      </c>
      <c r="F1981" s="54" t="s">
        <v>1459</v>
      </c>
      <c r="G1981" s="52" t="s">
        <v>3391</v>
      </c>
      <c r="H1981" s="55"/>
      <c r="I1981" s="56"/>
    </row>
    <row r="1982" spans="2:9" ht="40.5" x14ac:dyDescent="0.2">
      <c r="B1982" s="51" t="str">
        <f t="shared" si="38"/>
        <v>2015-035-4</v>
      </c>
      <c r="C1982" s="52">
        <v>2015</v>
      </c>
      <c r="D1982" s="52" t="s">
        <v>13</v>
      </c>
      <c r="E1982" s="52">
        <v>4</v>
      </c>
      <c r="F1982" s="54" t="s">
        <v>1828</v>
      </c>
      <c r="G1982" s="52"/>
      <c r="H1982" s="55"/>
      <c r="I1982" s="56"/>
    </row>
    <row r="1983" spans="2:9" ht="27" x14ac:dyDescent="0.2">
      <c r="B1983" s="57" t="str">
        <f t="shared" si="38"/>
        <v>2015-035-5</v>
      </c>
      <c r="C1983" s="58">
        <v>2015</v>
      </c>
      <c r="D1983" s="58" t="s">
        <v>13</v>
      </c>
      <c r="E1983" s="58">
        <v>5</v>
      </c>
      <c r="F1983" s="59" t="s">
        <v>2186</v>
      </c>
      <c r="G1983" s="58"/>
      <c r="H1983" s="60"/>
      <c r="I1983" s="61"/>
    </row>
    <row r="1984" spans="2:9" x14ac:dyDescent="0.2">
      <c r="B1984" s="62" t="str">
        <f t="shared" si="38"/>
        <v>2015-036-0</v>
      </c>
      <c r="C1984" s="63">
        <v>2015</v>
      </c>
      <c r="D1984" s="63" t="s">
        <v>14</v>
      </c>
      <c r="E1984" s="63">
        <v>0</v>
      </c>
      <c r="F1984" s="64" t="s">
        <v>309</v>
      </c>
      <c r="G1984" s="63"/>
      <c r="H1984" s="65"/>
      <c r="I1984" s="66"/>
    </row>
    <row r="1985" spans="2:9" x14ac:dyDescent="0.2">
      <c r="B1985" s="51" t="str">
        <f t="shared" si="38"/>
        <v>2015-036-1</v>
      </c>
      <c r="C1985" s="52">
        <v>2015</v>
      </c>
      <c r="D1985" s="52" t="s">
        <v>14</v>
      </c>
      <c r="E1985" s="52">
        <v>1</v>
      </c>
      <c r="F1985" s="54" t="s">
        <v>686</v>
      </c>
      <c r="G1985" s="52"/>
      <c r="H1985" s="55"/>
      <c r="I1985" s="56"/>
    </row>
    <row r="1986" spans="2:9" ht="27" x14ac:dyDescent="0.2">
      <c r="B1986" s="51" t="str">
        <f t="shared" si="38"/>
        <v>2015-036-2</v>
      </c>
      <c r="C1986" s="52">
        <v>2015</v>
      </c>
      <c r="D1986" s="52" t="s">
        <v>14</v>
      </c>
      <c r="E1986" s="52">
        <v>2</v>
      </c>
      <c r="F1986" s="54" t="s">
        <v>1076</v>
      </c>
      <c r="G1986" s="52"/>
      <c r="H1986" s="55"/>
      <c r="I1986" s="56"/>
    </row>
    <row r="1987" spans="2:9" x14ac:dyDescent="0.2">
      <c r="B1987" s="51" t="str">
        <f t="shared" si="38"/>
        <v>2015-036-3</v>
      </c>
      <c r="C1987" s="52">
        <v>2015</v>
      </c>
      <c r="D1987" s="52" t="s">
        <v>14</v>
      </c>
      <c r="E1987" s="52">
        <v>3</v>
      </c>
      <c r="F1987" s="54" t="s">
        <v>1460</v>
      </c>
      <c r="G1987" s="52" t="s">
        <v>3391</v>
      </c>
      <c r="H1987" s="55"/>
      <c r="I1987" s="56"/>
    </row>
    <row r="1988" spans="2:9" ht="27" x14ac:dyDescent="0.2">
      <c r="B1988" s="51" t="str">
        <f t="shared" si="38"/>
        <v>2015-036-4</v>
      </c>
      <c r="C1988" s="52">
        <v>2015</v>
      </c>
      <c r="D1988" s="52" t="s">
        <v>14</v>
      </c>
      <c r="E1988" s="52">
        <v>4</v>
      </c>
      <c r="F1988" s="54" t="s">
        <v>1829</v>
      </c>
      <c r="G1988" s="52"/>
      <c r="H1988" s="55"/>
      <c r="I1988" s="56"/>
    </row>
    <row r="1989" spans="2:9" ht="27" x14ac:dyDescent="0.2">
      <c r="B1989" s="57" t="str">
        <f t="shared" si="38"/>
        <v>2015-036-5</v>
      </c>
      <c r="C1989" s="58">
        <v>2015</v>
      </c>
      <c r="D1989" s="58" t="s">
        <v>14</v>
      </c>
      <c r="E1989" s="58">
        <v>5</v>
      </c>
      <c r="F1989" s="59" t="s">
        <v>2187</v>
      </c>
      <c r="G1989" s="58"/>
      <c r="H1989" s="60"/>
      <c r="I1989" s="61"/>
    </row>
    <row r="1990" spans="2:9" x14ac:dyDescent="0.2">
      <c r="B1990" s="62" t="str">
        <f t="shared" si="38"/>
        <v>2015-037-0</v>
      </c>
      <c r="C1990" s="63">
        <v>2015</v>
      </c>
      <c r="D1990" s="63" t="s">
        <v>15</v>
      </c>
      <c r="E1990" s="63">
        <v>0</v>
      </c>
      <c r="F1990" s="64" t="s">
        <v>310</v>
      </c>
      <c r="G1990" s="63"/>
      <c r="H1990" s="65"/>
      <c r="I1990" s="66"/>
    </row>
    <row r="1991" spans="2:9" x14ac:dyDescent="0.2">
      <c r="B1991" s="51" t="str">
        <f t="shared" si="38"/>
        <v>2015-037-1</v>
      </c>
      <c r="C1991" s="52">
        <v>2015</v>
      </c>
      <c r="D1991" s="52" t="s">
        <v>15</v>
      </c>
      <c r="E1991" s="52">
        <v>1</v>
      </c>
      <c r="F1991" s="54" t="s">
        <v>687</v>
      </c>
      <c r="G1991" s="52" t="s">
        <v>3391</v>
      </c>
      <c r="H1991" s="55"/>
      <c r="I1991" s="56"/>
    </row>
    <row r="1992" spans="2:9" x14ac:dyDescent="0.2">
      <c r="B1992" s="51" t="str">
        <f t="shared" si="38"/>
        <v>2015-037-2</v>
      </c>
      <c r="C1992" s="52">
        <v>2015</v>
      </c>
      <c r="D1992" s="52" t="s">
        <v>15</v>
      </c>
      <c r="E1992" s="52">
        <v>2</v>
      </c>
      <c r="F1992" s="54" t="s">
        <v>1077</v>
      </c>
      <c r="G1992" s="52"/>
      <c r="H1992" s="55"/>
      <c r="I1992" s="56"/>
    </row>
    <row r="1993" spans="2:9" x14ac:dyDescent="0.2">
      <c r="B1993" s="51" t="str">
        <f t="shared" si="38"/>
        <v>2015-037-3</v>
      </c>
      <c r="C1993" s="52">
        <v>2015</v>
      </c>
      <c r="D1993" s="52" t="s">
        <v>15</v>
      </c>
      <c r="E1993" s="52">
        <v>3</v>
      </c>
      <c r="F1993" s="54" t="s">
        <v>1461</v>
      </c>
      <c r="G1993" s="52"/>
      <c r="H1993" s="55"/>
      <c r="I1993" s="56"/>
    </row>
    <row r="1994" spans="2:9" x14ac:dyDescent="0.2">
      <c r="B1994" s="51" t="str">
        <f t="shared" si="38"/>
        <v>2015-037-4</v>
      </c>
      <c r="C1994" s="52">
        <v>2015</v>
      </c>
      <c r="D1994" s="52" t="s">
        <v>15</v>
      </c>
      <c r="E1994" s="52">
        <v>4</v>
      </c>
      <c r="F1994" s="54" t="s">
        <v>1830</v>
      </c>
      <c r="G1994" s="52"/>
      <c r="H1994" s="55"/>
      <c r="I1994" s="56"/>
    </row>
    <row r="1995" spans="2:9" x14ac:dyDescent="0.2">
      <c r="B1995" s="57" t="str">
        <f t="shared" si="38"/>
        <v>2015-037-5</v>
      </c>
      <c r="C1995" s="58">
        <v>2015</v>
      </c>
      <c r="D1995" s="58" t="s">
        <v>15</v>
      </c>
      <c r="E1995" s="58">
        <v>5</v>
      </c>
      <c r="F1995" s="59" t="s">
        <v>2188</v>
      </c>
      <c r="G1995" s="58"/>
      <c r="H1995" s="60"/>
      <c r="I1995" s="61"/>
    </row>
    <row r="1996" spans="2:9" x14ac:dyDescent="0.2">
      <c r="B1996" s="62" t="str">
        <f t="shared" si="38"/>
        <v>2015-038-0</v>
      </c>
      <c r="C1996" s="63">
        <v>2015</v>
      </c>
      <c r="D1996" s="63" t="s">
        <v>16</v>
      </c>
      <c r="E1996" s="63">
        <v>0</v>
      </c>
      <c r="F1996" s="64" t="s">
        <v>311</v>
      </c>
      <c r="G1996" s="63"/>
      <c r="H1996" s="65"/>
      <c r="I1996" s="66"/>
    </row>
    <row r="1997" spans="2:9" ht="27" x14ac:dyDescent="0.2">
      <c r="B1997" s="51" t="str">
        <f t="shared" si="38"/>
        <v>2015-038-1</v>
      </c>
      <c r="C1997" s="52">
        <v>2015</v>
      </c>
      <c r="D1997" s="52" t="s">
        <v>16</v>
      </c>
      <c r="E1997" s="52">
        <v>1</v>
      </c>
      <c r="F1997" s="54" t="s">
        <v>688</v>
      </c>
      <c r="G1997" s="52"/>
      <c r="H1997" s="55"/>
      <c r="I1997" s="56"/>
    </row>
    <row r="1998" spans="2:9" ht="27" x14ac:dyDescent="0.2">
      <c r="B1998" s="51" t="str">
        <f t="shared" si="38"/>
        <v>2015-038-2</v>
      </c>
      <c r="C1998" s="52">
        <v>2015</v>
      </c>
      <c r="D1998" s="52" t="s">
        <v>16</v>
      </c>
      <c r="E1998" s="52">
        <v>2</v>
      </c>
      <c r="F1998" s="54" t="s">
        <v>1078</v>
      </c>
      <c r="G1998" s="52" t="s">
        <v>3391</v>
      </c>
      <c r="H1998" s="55"/>
      <c r="I1998" s="56"/>
    </row>
    <row r="1999" spans="2:9" x14ac:dyDescent="0.2">
      <c r="B1999" s="51" t="str">
        <f t="shared" si="38"/>
        <v>2015-038-3</v>
      </c>
      <c r="C1999" s="52">
        <v>2015</v>
      </c>
      <c r="D1999" s="52" t="s">
        <v>16</v>
      </c>
      <c r="E1999" s="52">
        <v>3</v>
      </c>
      <c r="F1999" s="54" t="s">
        <v>1462</v>
      </c>
      <c r="G1999" s="52"/>
      <c r="H1999" s="55"/>
      <c r="I1999" s="56"/>
    </row>
    <row r="2000" spans="2:9" x14ac:dyDescent="0.2">
      <c r="B2000" s="51" t="str">
        <f t="shared" si="38"/>
        <v>2015-038-4</v>
      </c>
      <c r="C2000" s="52">
        <v>2015</v>
      </c>
      <c r="D2000" s="52" t="s">
        <v>16</v>
      </c>
      <c r="E2000" s="52">
        <v>4</v>
      </c>
      <c r="F2000" s="54" t="s">
        <v>1831</v>
      </c>
      <c r="G2000" s="52"/>
      <c r="H2000" s="55"/>
      <c r="I2000" s="56"/>
    </row>
    <row r="2001" spans="2:9" ht="27" x14ac:dyDescent="0.2">
      <c r="B2001" s="57" t="str">
        <f t="shared" si="38"/>
        <v>2015-038-5</v>
      </c>
      <c r="C2001" s="58">
        <v>2015</v>
      </c>
      <c r="D2001" s="58" t="s">
        <v>16</v>
      </c>
      <c r="E2001" s="58">
        <v>5</v>
      </c>
      <c r="F2001" s="59" t="s">
        <v>2189</v>
      </c>
      <c r="G2001" s="58"/>
      <c r="H2001" s="60"/>
      <c r="I2001" s="61"/>
    </row>
    <row r="2002" spans="2:9" x14ac:dyDescent="0.2">
      <c r="B2002" s="62" t="str">
        <f t="shared" si="38"/>
        <v>2015-039-0</v>
      </c>
      <c r="C2002" s="63">
        <v>2015</v>
      </c>
      <c r="D2002" s="63" t="s">
        <v>17</v>
      </c>
      <c r="E2002" s="63">
        <v>0</v>
      </c>
      <c r="F2002" s="64" t="s">
        <v>312</v>
      </c>
      <c r="G2002" s="63"/>
      <c r="H2002" s="65"/>
      <c r="I2002" s="66"/>
    </row>
    <row r="2003" spans="2:9" x14ac:dyDescent="0.2">
      <c r="B2003" s="51" t="str">
        <f t="shared" si="38"/>
        <v>2015-039-1</v>
      </c>
      <c r="C2003" s="52">
        <v>2015</v>
      </c>
      <c r="D2003" s="52" t="s">
        <v>17</v>
      </c>
      <c r="E2003" s="52">
        <v>1</v>
      </c>
      <c r="F2003" s="54" t="s">
        <v>689</v>
      </c>
      <c r="G2003" s="52"/>
      <c r="H2003" s="55"/>
      <c r="I2003" s="56"/>
    </row>
    <row r="2004" spans="2:9" x14ac:dyDescent="0.2">
      <c r="B2004" s="51" t="str">
        <f t="shared" si="38"/>
        <v>2015-039-2</v>
      </c>
      <c r="C2004" s="52">
        <v>2015</v>
      </c>
      <c r="D2004" s="52" t="s">
        <v>17</v>
      </c>
      <c r="E2004" s="52">
        <v>2</v>
      </c>
      <c r="F2004" s="54" t="s">
        <v>1079</v>
      </c>
      <c r="G2004" s="52"/>
      <c r="H2004" s="55"/>
      <c r="I2004" s="56"/>
    </row>
    <row r="2005" spans="2:9" x14ac:dyDescent="0.2">
      <c r="B2005" s="51" t="str">
        <f t="shared" ref="B2005:B2068" si="39">C2005&amp;"-"&amp;D2005&amp;"-"&amp;E2005</f>
        <v>2015-039-3</v>
      </c>
      <c r="C2005" s="52">
        <v>2015</v>
      </c>
      <c r="D2005" s="52" t="s">
        <v>17</v>
      </c>
      <c r="E2005" s="52">
        <v>3</v>
      </c>
      <c r="F2005" s="54" t="s">
        <v>1463</v>
      </c>
      <c r="G2005" s="52"/>
      <c r="H2005" s="55"/>
      <c r="I2005" s="56"/>
    </row>
    <row r="2006" spans="2:9" x14ac:dyDescent="0.2">
      <c r="B2006" s="51" t="str">
        <f t="shared" si="39"/>
        <v>2015-039-4</v>
      </c>
      <c r="C2006" s="52">
        <v>2015</v>
      </c>
      <c r="D2006" s="52" t="s">
        <v>17</v>
      </c>
      <c r="E2006" s="52">
        <v>4</v>
      </c>
      <c r="F2006" s="54" t="s">
        <v>1832</v>
      </c>
      <c r="G2006" s="52"/>
      <c r="H2006" s="55"/>
      <c r="I2006" s="56"/>
    </row>
    <row r="2007" spans="2:9" x14ac:dyDescent="0.2">
      <c r="B2007" s="57" t="str">
        <f t="shared" si="39"/>
        <v>2015-039-5</v>
      </c>
      <c r="C2007" s="58">
        <v>2015</v>
      </c>
      <c r="D2007" s="58" t="s">
        <v>17</v>
      </c>
      <c r="E2007" s="58">
        <v>5</v>
      </c>
      <c r="F2007" s="59" t="s">
        <v>2190</v>
      </c>
      <c r="G2007" s="58" t="s">
        <v>3391</v>
      </c>
      <c r="H2007" s="60"/>
      <c r="I2007" s="61"/>
    </row>
    <row r="2008" spans="2:9" x14ac:dyDescent="0.2">
      <c r="B2008" s="62" t="str">
        <f t="shared" si="39"/>
        <v>2015-040-0</v>
      </c>
      <c r="C2008" s="63">
        <v>2015</v>
      </c>
      <c r="D2008" s="63" t="s">
        <v>18</v>
      </c>
      <c r="E2008" s="63">
        <v>0</v>
      </c>
      <c r="F2008" s="64" t="s">
        <v>313</v>
      </c>
      <c r="G2008" s="63"/>
      <c r="H2008" s="65"/>
      <c r="I2008" s="66"/>
    </row>
    <row r="2009" spans="2:9" x14ac:dyDescent="0.2">
      <c r="B2009" s="51" t="str">
        <f t="shared" si="39"/>
        <v>2015-040-1</v>
      </c>
      <c r="C2009" s="52">
        <v>2015</v>
      </c>
      <c r="D2009" s="52" t="s">
        <v>18</v>
      </c>
      <c r="E2009" s="52">
        <v>1</v>
      </c>
      <c r="F2009" s="54" t="s">
        <v>690</v>
      </c>
      <c r="G2009" s="52"/>
      <c r="H2009" s="55"/>
      <c r="I2009" s="56"/>
    </row>
    <row r="2010" spans="2:9" x14ac:dyDescent="0.2">
      <c r="B2010" s="51" t="str">
        <f t="shared" si="39"/>
        <v>2015-040-2</v>
      </c>
      <c r="C2010" s="52">
        <v>2015</v>
      </c>
      <c r="D2010" s="52" t="s">
        <v>18</v>
      </c>
      <c r="E2010" s="52">
        <v>2</v>
      </c>
      <c r="F2010" s="54" t="s">
        <v>1080</v>
      </c>
      <c r="G2010" s="52"/>
      <c r="H2010" s="55"/>
      <c r="I2010" s="56"/>
    </row>
    <row r="2011" spans="2:9" ht="27" x14ac:dyDescent="0.2">
      <c r="B2011" s="51" t="str">
        <f t="shared" si="39"/>
        <v>2015-040-3</v>
      </c>
      <c r="C2011" s="52">
        <v>2015</v>
      </c>
      <c r="D2011" s="52" t="s">
        <v>18</v>
      </c>
      <c r="E2011" s="52">
        <v>3</v>
      </c>
      <c r="F2011" s="54" t="s">
        <v>1464</v>
      </c>
      <c r="G2011" s="52"/>
      <c r="H2011" s="55"/>
      <c r="I2011" s="56"/>
    </row>
    <row r="2012" spans="2:9" ht="27" x14ac:dyDescent="0.2">
      <c r="B2012" s="51" t="str">
        <f t="shared" si="39"/>
        <v>2015-040-4</v>
      </c>
      <c r="C2012" s="52">
        <v>2015</v>
      </c>
      <c r="D2012" s="52" t="s">
        <v>18</v>
      </c>
      <c r="E2012" s="52">
        <v>4</v>
      </c>
      <c r="F2012" s="54" t="s">
        <v>1833</v>
      </c>
      <c r="G2012" s="52" t="s">
        <v>3391</v>
      </c>
      <c r="H2012" s="55"/>
      <c r="I2012" s="56"/>
    </row>
    <row r="2013" spans="2:9" ht="27" x14ac:dyDescent="0.2">
      <c r="B2013" s="57" t="str">
        <f t="shared" si="39"/>
        <v>2015-040-5</v>
      </c>
      <c r="C2013" s="58">
        <v>2015</v>
      </c>
      <c r="D2013" s="58" t="s">
        <v>18</v>
      </c>
      <c r="E2013" s="58">
        <v>5</v>
      </c>
      <c r="F2013" s="59" t="s">
        <v>2191</v>
      </c>
      <c r="G2013" s="58"/>
      <c r="H2013" s="60"/>
      <c r="I2013" s="61"/>
    </row>
    <row r="2014" spans="2:9" x14ac:dyDescent="0.2">
      <c r="B2014" s="62" t="str">
        <f t="shared" si="39"/>
        <v>2015-041-0</v>
      </c>
      <c r="C2014" s="63">
        <v>2015</v>
      </c>
      <c r="D2014" s="63" t="s">
        <v>72</v>
      </c>
      <c r="E2014" s="63">
        <v>0</v>
      </c>
      <c r="F2014" s="64" t="s">
        <v>314</v>
      </c>
      <c r="G2014" s="63"/>
      <c r="H2014" s="65"/>
      <c r="I2014" s="66"/>
    </row>
    <row r="2015" spans="2:9" x14ac:dyDescent="0.2">
      <c r="B2015" s="51" t="str">
        <f t="shared" si="39"/>
        <v>2015-041-1</v>
      </c>
      <c r="C2015" s="52">
        <v>2015</v>
      </c>
      <c r="D2015" s="52" t="s">
        <v>72</v>
      </c>
      <c r="E2015" s="52">
        <v>1</v>
      </c>
      <c r="F2015" s="54" t="s">
        <v>691</v>
      </c>
      <c r="G2015" s="52" t="s">
        <v>3391</v>
      </c>
      <c r="H2015" s="55"/>
      <c r="I2015" s="56"/>
    </row>
    <row r="2016" spans="2:9" x14ac:dyDescent="0.2">
      <c r="B2016" s="51" t="str">
        <f t="shared" si="39"/>
        <v>2015-041-2</v>
      </c>
      <c r="C2016" s="52">
        <v>2015</v>
      </c>
      <c r="D2016" s="52" t="s">
        <v>72</v>
      </c>
      <c r="E2016" s="52">
        <v>2</v>
      </c>
      <c r="F2016" s="54" t="s">
        <v>909</v>
      </c>
      <c r="G2016" s="52"/>
      <c r="H2016" s="55"/>
      <c r="I2016" s="56"/>
    </row>
    <row r="2017" spans="2:9" x14ac:dyDescent="0.2">
      <c r="B2017" s="51" t="str">
        <f t="shared" si="39"/>
        <v>2015-041-3</v>
      </c>
      <c r="C2017" s="52">
        <v>2015</v>
      </c>
      <c r="D2017" s="52" t="s">
        <v>72</v>
      </c>
      <c r="E2017" s="52">
        <v>3</v>
      </c>
      <c r="F2017" s="54" t="s">
        <v>1465</v>
      </c>
      <c r="G2017" s="52"/>
      <c r="H2017" s="55"/>
      <c r="I2017" s="56"/>
    </row>
    <row r="2018" spans="2:9" x14ac:dyDescent="0.2">
      <c r="B2018" s="51" t="str">
        <f t="shared" si="39"/>
        <v>2015-041-4</v>
      </c>
      <c r="C2018" s="52">
        <v>2015</v>
      </c>
      <c r="D2018" s="52" t="s">
        <v>72</v>
      </c>
      <c r="E2018" s="52">
        <v>4</v>
      </c>
      <c r="F2018" s="54" t="s">
        <v>482</v>
      </c>
      <c r="G2018" s="52"/>
      <c r="H2018" s="55"/>
      <c r="I2018" s="56"/>
    </row>
    <row r="2019" spans="2:9" x14ac:dyDescent="0.2">
      <c r="B2019" s="57" t="str">
        <f t="shared" si="39"/>
        <v>2015-041-5</v>
      </c>
      <c r="C2019" s="58">
        <v>2015</v>
      </c>
      <c r="D2019" s="58" t="s">
        <v>72</v>
      </c>
      <c r="E2019" s="58">
        <v>5</v>
      </c>
      <c r="F2019" s="59" t="s">
        <v>2192</v>
      </c>
      <c r="G2019" s="58"/>
      <c r="H2019" s="60"/>
      <c r="I2019" s="61"/>
    </row>
    <row r="2020" spans="2:9" x14ac:dyDescent="0.2">
      <c r="B2020" s="62" t="str">
        <f t="shared" si="39"/>
        <v>2015-042-0</v>
      </c>
      <c r="C2020" s="63">
        <v>2015</v>
      </c>
      <c r="D2020" s="63" t="s">
        <v>73</v>
      </c>
      <c r="E2020" s="63">
        <v>0</v>
      </c>
      <c r="F2020" s="64" t="s">
        <v>227</v>
      </c>
      <c r="G2020" s="63"/>
      <c r="H2020" s="65"/>
      <c r="I2020" s="66"/>
    </row>
    <row r="2021" spans="2:9" x14ac:dyDescent="0.2">
      <c r="B2021" s="51" t="str">
        <f t="shared" si="39"/>
        <v>2015-042-1</v>
      </c>
      <c r="C2021" s="52">
        <v>2015</v>
      </c>
      <c r="D2021" s="52" t="s">
        <v>73</v>
      </c>
      <c r="E2021" s="52">
        <v>1</v>
      </c>
      <c r="F2021" s="54" t="s">
        <v>535</v>
      </c>
      <c r="G2021" s="52"/>
      <c r="H2021" s="55"/>
      <c r="I2021" s="56"/>
    </row>
    <row r="2022" spans="2:9" x14ac:dyDescent="0.2">
      <c r="B2022" s="51" t="str">
        <f t="shared" si="39"/>
        <v>2015-042-2</v>
      </c>
      <c r="C2022" s="52">
        <v>2015</v>
      </c>
      <c r="D2022" s="52" t="s">
        <v>73</v>
      </c>
      <c r="E2022" s="52">
        <v>2</v>
      </c>
      <c r="F2022" s="54" t="s">
        <v>1081</v>
      </c>
      <c r="G2022" s="52"/>
      <c r="H2022" s="55"/>
      <c r="I2022" s="56"/>
    </row>
    <row r="2023" spans="2:9" x14ac:dyDescent="0.2">
      <c r="B2023" s="51" t="str">
        <f t="shared" si="39"/>
        <v>2015-042-3</v>
      </c>
      <c r="C2023" s="52">
        <v>2015</v>
      </c>
      <c r="D2023" s="52" t="s">
        <v>73</v>
      </c>
      <c r="E2023" s="52">
        <v>3</v>
      </c>
      <c r="F2023" s="54" t="s">
        <v>1466</v>
      </c>
      <c r="G2023" s="52" t="s">
        <v>3391</v>
      </c>
      <c r="H2023" s="55"/>
      <c r="I2023" s="56"/>
    </row>
    <row r="2024" spans="2:9" x14ac:dyDescent="0.2">
      <c r="B2024" s="51" t="str">
        <f t="shared" si="39"/>
        <v>2015-042-4</v>
      </c>
      <c r="C2024" s="52">
        <v>2015</v>
      </c>
      <c r="D2024" s="52" t="s">
        <v>73</v>
      </c>
      <c r="E2024" s="52">
        <v>4</v>
      </c>
      <c r="F2024" s="54" t="s">
        <v>1834</v>
      </c>
      <c r="G2024" s="52"/>
      <c r="H2024" s="55"/>
      <c r="I2024" s="56"/>
    </row>
    <row r="2025" spans="2:9" x14ac:dyDescent="0.2">
      <c r="B2025" s="57" t="str">
        <f t="shared" si="39"/>
        <v>2015-042-5</v>
      </c>
      <c r="C2025" s="58">
        <v>2015</v>
      </c>
      <c r="D2025" s="58" t="s">
        <v>73</v>
      </c>
      <c r="E2025" s="58">
        <v>5</v>
      </c>
      <c r="F2025" s="59" t="s">
        <v>957</v>
      </c>
      <c r="G2025" s="58"/>
      <c r="H2025" s="60"/>
      <c r="I2025" s="61"/>
    </row>
    <row r="2026" spans="2:9" x14ac:dyDescent="0.2">
      <c r="B2026" s="62" t="str">
        <f t="shared" si="39"/>
        <v>2015-043-0</v>
      </c>
      <c r="C2026" s="63">
        <v>2015</v>
      </c>
      <c r="D2026" s="63" t="s">
        <v>74</v>
      </c>
      <c r="E2026" s="63">
        <v>0</v>
      </c>
      <c r="F2026" s="64" t="s">
        <v>314</v>
      </c>
      <c r="G2026" s="63"/>
      <c r="H2026" s="65"/>
      <c r="I2026" s="66"/>
    </row>
    <row r="2027" spans="2:9" x14ac:dyDescent="0.2">
      <c r="B2027" s="51" t="str">
        <f t="shared" si="39"/>
        <v>2015-043-1</v>
      </c>
      <c r="C2027" s="52">
        <v>2015</v>
      </c>
      <c r="D2027" s="52" t="s">
        <v>74</v>
      </c>
      <c r="E2027" s="52">
        <v>1</v>
      </c>
      <c r="F2027" s="54" t="s">
        <v>692</v>
      </c>
      <c r="G2027" s="52"/>
      <c r="H2027" s="55"/>
      <c r="I2027" s="56"/>
    </row>
    <row r="2028" spans="2:9" x14ac:dyDescent="0.2">
      <c r="B2028" s="51" t="str">
        <f t="shared" si="39"/>
        <v>2015-043-2</v>
      </c>
      <c r="C2028" s="52">
        <v>2015</v>
      </c>
      <c r="D2028" s="52" t="s">
        <v>74</v>
      </c>
      <c r="E2028" s="52">
        <v>2</v>
      </c>
      <c r="F2028" s="54" t="s">
        <v>1082</v>
      </c>
      <c r="G2028" s="52" t="s">
        <v>3391</v>
      </c>
      <c r="H2028" s="55"/>
      <c r="I2028" s="56"/>
    </row>
    <row r="2029" spans="2:9" ht="27" x14ac:dyDescent="0.2">
      <c r="B2029" s="51" t="str">
        <f t="shared" si="39"/>
        <v>2015-043-3</v>
      </c>
      <c r="C2029" s="52">
        <v>2015</v>
      </c>
      <c r="D2029" s="52" t="s">
        <v>74</v>
      </c>
      <c r="E2029" s="52">
        <v>3</v>
      </c>
      <c r="F2029" s="54" t="s">
        <v>1467</v>
      </c>
      <c r="G2029" s="52"/>
      <c r="H2029" s="55"/>
      <c r="I2029" s="56"/>
    </row>
    <row r="2030" spans="2:9" x14ac:dyDescent="0.2">
      <c r="B2030" s="51" t="str">
        <f t="shared" si="39"/>
        <v>2015-043-4</v>
      </c>
      <c r="C2030" s="52">
        <v>2015</v>
      </c>
      <c r="D2030" s="52" t="s">
        <v>74</v>
      </c>
      <c r="E2030" s="52">
        <v>4</v>
      </c>
      <c r="F2030" s="54" t="s">
        <v>1835</v>
      </c>
      <c r="G2030" s="52"/>
      <c r="H2030" s="55"/>
      <c r="I2030" s="56"/>
    </row>
    <row r="2031" spans="2:9" ht="27" x14ac:dyDescent="0.2">
      <c r="B2031" s="57" t="str">
        <f t="shared" si="39"/>
        <v>2015-043-5</v>
      </c>
      <c r="C2031" s="58">
        <v>2015</v>
      </c>
      <c r="D2031" s="58" t="s">
        <v>74</v>
      </c>
      <c r="E2031" s="58">
        <v>5</v>
      </c>
      <c r="F2031" s="59" t="s">
        <v>2193</v>
      </c>
      <c r="G2031" s="58"/>
      <c r="H2031" s="60"/>
      <c r="I2031" s="61"/>
    </row>
    <row r="2032" spans="2:9" x14ac:dyDescent="0.2">
      <c r="B2032" s="62" t="str">
        <f t="shared" si="39"/>
        <v>2015-044-0</v>
      </c>
      <c r="C2032" s="63">
        <v>2015</v>
      </c>
      <c r="D2032" s="63" t="s">
        <v>75</v>
      </c>
      <c r="E2032" s="63">
        <v>0</v>
      </c>
      <c r="F2032" s="64" t="s">
        <v>229</v>
      </c>
      <c r="G2032" s="63"/>
      <c r="H2032" s="65"/>
      <c r="I2032" s="66"/>
    </row>
    <row r="2033" spans="2:9" ht="27" x14ac:dyDescent="0.2">
      <c r="B2033" s="51" t="str">
        <f t="shared" si="39"/>
        <v>2015-044-1</v>
      </c>
      <c r="C2033" s="52">
        <v>2015</v>
      </c>
      <c r="D2033" s="52" t="s">
        <v>75</v>
      </c>
      <c r="E2033" s="52">
        <v>1</v>
      </c>
      <c r="F2033" s="54" t="s">
        <v>587</v>
      </c>
      <c r="G2033" s="52"/>
      <c r="H2033" s="55"/>
      <c r="I2033" s="56"/>
    </row>
    <row r="2034" spans="2:9" x14ac:dyDescent="0.2">
      <c r="B2034" s="51" t="str">
        <f t="shared" si="39"/>
        <v>2015-044-2</v>
      </c>
      <c r="C2034" s="52">
        <v>2015</v>
      </c>
      <c r="D2034" s="52" t="s">
        <v>75</v>
      </c>
      <c r="E2034" s="52">
        <v>2</v>
      </c>
      <c r="F2034" s="54" t="s">
        <v>1083</v>
      </c>
      <c r="G2034" s="52" t="s">
        <v>3391</v>
      </c>
      <c r="H2034" s="55"/>
      <c r="I2034" s="56"/>
    </row>
    <row r="2035" spans="2:9" x14ac:dyDescent="0.2">
      <c r="B2035" s="51" t="str">
        <f t="shared" si="39"/>
        <v>2015-044-3</v>
      </c>
      <c r="C2035" s="52">
        <v>2015</v>
      </c>
      <c r="D2035" s="52" t="s">
        <v>75</v>
      </c>
      <c r="E2035" s="52">
        <v>3</v>
      </c>
      <c r="F2035" s="54" t="s">
        <v>1468</v>
      </c>
      <c r="G2035" s="52"/>
      <c r="H2035" s="55"/>
      <c r="I2035" s="56"/>
    </row>
    <row r="2036" spans="2:9" ht="27" x14ac:dyDescent="0.2">
      <c r="B2036" s="51" t="str">
        <f t="shared" si="39"/>
        <v>2015-044-4</v>
      </c>
      <c r="C2036" s="52">
        <v>2015</v>
      </c>
      <c r="D2036" s="52" t="s">
        <v>75</v>
      </c>
      <c r="E2036" s="52">
        <v>4</v>
      </c>
      <c r="F2036" s="54" t="s">
        <v>1836</v>
      </c>
      <c r="G2036" s="52"/>
      <c r="H2036" s="55"/>
      <c r="I2036" s="56"/>
    </row>
    <row r="2037" spans="2:9" x14ac:dyDescent="0.2">
      <c r="B2037" s="57" t="str">
        <f t="shared" si="39"/>
        <v>2015-044-5</v>
      </c>
      <c r="C2037" s="58">
        <v>2015</v>
      </c>
      <c r="D2037" s="58" t="s">
        <v>75</v>
      </c>
      <c r="E2037" s="58">
        <v>5</v>
      </c>
      <c r="F2037" s="59" t="s">
        <v>2194</v>
      </c>
      <c r="G2037" s="58"/>
      <c r="H2037" s="60"/>
      <c r="I2037" s="61"/>
    </row>
    <row r="2038" spans="2:9" x14ac:dyDescent="0.2">
      <c r="B2038" s="62" t="str">
        <f t="shared" si="39"/>
        <v>2015-045-0</v>
      </c>
      <c r="C2038" s="63">
        <v>2015</v>
      </c>
      <c r="D2038" s="63" t="s">
        <v>76</v>
      </c>
      <c r="E2038" s="63">
        <v>0</v>
      </c>
      <c r="F2038" s="64" t="s">
        <v>315</v>
      </c>
      <c r="G2038" s="63"/>
      <c r="H2038" s="65"/>
      <c r="I2038" s="66"/>
    </row>
    <row r="2039" spans="2:9" ht="27" x14ac:dyDescent="0.2">
      <c r="B2039" s="51" t="str">
        <f t="shared" si="39"/>
        <v>2015-045-1</v>
      </c>
      <c r="C2039" s="52">
        <v>2015</v>
      </c>
      <c r="D2039" s="52" t="s">
        <v>76</v>
      </c>
      <c r="E2039" s="52">
        <v>1</v>
      </c>
      <c r="F2039" s="54" t="s">
        <v>693</v>
      </c>
      <c r="G2039" s="52"/>
      <c r="H2039" s="55"/>
      <c r="I2039" s="56"/>
    </row>
    <row r="2040" spans="2:9" x14ac:dyDescent="0.2">
      <c r="B2040" s="51" t="str">
        <f t="shared" si="39"/>
        <v>2015-045-2</v>
      </c>
      <c r="C2040" s="52">
        <v>2015</v>
      </c>
      <c r="D2040" s="52" t="s">
        <v>76</v>
      </c>
      <c r="E2040" s="52">
        <v>2</v>
      </c>
      <c r="F2040" s="54" t="s">
        <v>1084</v>
      </c>
      <c r="G2040" s="52" t="s">
        <v>3391</v>
      </c>
      <c r="H2040" s="55"/>
      <c r="I2040" s="56"/>
    </row>
    <row r="2041" spans="2:9" ht="27" x14ac:dyDescent="0.2">
      <c r="B2041" s="51" t="str">
        <f t="shared" si="39"/>
        <v>2015-045-3</v>
      </c>
      <c r="C2041" s="52">
        <v>2015</v>
      </c>
      <c r="D2041" s="52" t="s">
        <v>76</v>
      </c>
      <c r="E2041" s="52">
        <v>3</v>
      </c>
      <c r="F2041" s="54" t="s">
        <v>1469</v>
      </c>
      <c r="G2041" s="52"/>
      <c r="H2041" s="55"/>
      <c r="I2041" s="56"/>
    </row>
    <row r="2042" spans="2:9" ht="27" x14ac:dyDescent="0.2">
      <c r="B2042" s="51" t="str">
        <f t="shared" si="39"/>
        <v>2015-045-4</v>
      </c>
      <c r="C2042" s="52">
        <v>2015</v>
      </c>
      <c r="D2042" s="52" t="s">
        <v>76</v>
      </c>
      <c r="E2042" s="52">
        <v>4</v>
      </c>
      <c r="F2042" s="54" t="s">
        <v>1837</v>
      </c>
      <c r="G2042" s="52"/>
      <c r="H2042" s="55"/>
      <c r="I2042" s="56"/>
    </row>
    <row r="2043" spans="2:9" ht="27" x14ac:dyDescent="0.2">
      <c r="B2043" s="57" t="str">
        <f t="shared" si="39"/>
        <v>2015-045-5</v>
      </c>
      <c r="C2043" s="58">
        <v>2015</v>
      </c>
      <c r="D2043" s="58" t="s">
        <v>76</v>
      </c>
      <c r="E2043" s="58">
        <v>5</v>
      </c>
      <c r="F2043" s="59" t="s">
        <v>2195</v>
      </c>
      <c r="G2043" s="58"/>
      <c r="H2043" s="60"/>
      <c r="I2043" s="61"/>
    </row>
    <row r="2044" spans="2:9" x14ac:dyDescent="0.2">
      <c r="B2044" s="62" t="str">
        <f t="shared" si="39"/>
        <v>2015-046-0</v>
      </c>
      <c r="C2044" s="63">
        <v>2015</v>
      </c>
      <c r="D2044" s="63" t="s">
        <v>77</v>
      </c>
      <c r="E2044" s="63">
        <v>0</v>
      </c>
      <c r="F2044" s="64" t="s">
        <v>316</v>
      </c>
      <c r="G2044" s="63"/>
      <c r="H2044" s="65"/>
      <c r="I2044" s="66"/>
    </row>
    <row r="2045" spans="2:9" ht="27" x14ac:dyDescent="0.2">
      <c r="B2045" s="51" t="str">
        <f t="shared" si="39"/>
        <v>2015-046-1</v>
      </c>
      <c r="C2045" s="52">
        <v>2015</v>
      </c>
      <c r="D2045" s="52" t="s">
        <v>77</v>
      </c>
      <c r="E2045" s="52">
        <v>1</v>
      </c>
      <c r="F2045" s="54" t="s">
        <v>556</v>
      </c>
      <c r="G2045" s="52"/>
      <c r="H2045" s="55"/>
      <c r="I2045" s="56"/>
    </row>
    <row r="2046" spans="2:9" x14ac:dyDescent="0.2">
      <c r="B2046" s="51" t="str">
        <f t="shared" si="39"/>
        <v>2015-046-2</v>
      </c>
      <c r="C2046" s="52">
        <v>2015</v>
      </c>
      <c r="D2046" s="52" t="s">
        <v>77</v>
      </c>
      <c r="E2046" s="52">
        <v>2</v>
      </c>
      <c r="F2046" s="54" t="s">
        <v>1085</v>
      </c>
      <c r="G2046" s="52"/>
      <c r="H2046" s="55"/>
      <c r="I2046" s="56"/>
    </row>
    <row r="2047" spans="2:9" ht="27" x14ac:dyDescent="0.2">
      <c r="B2047" s="51" t="str">
        <f t="shared" si="39"/>
        <v>2015-046-3</v>
      </c>
      <c r="C2047" s="52">
        <v>2015</v>
      </c>
      <c r="D2047" s="52" t="s">
        <v>77</v>
      </c>
      <c r="E2047" s="52">
        <v>3</v>
      </c>
      <c r="F2047" s="54" t="s">
        <v>1470</v>
      </c>
      <c r="G2047" s="52" t="s">
        <v>3391</v>
      </c>
      <c r="H2047" s="55"/>
      <c r="I2047" s="56"/>
    </row>
    <row r="2048" spans="2:9" x14ac:dyDescent="0.2">
      <c r="B2048" s="51" t="str">
        <f t="shared" si="39"/>
        <v>2015-046-4</v>
      </c>
      <c r="C2048" s="52">
        <v>2015</v>
      </c>
      <c r="D2048" s="52" t="s">
        <v>77</v>
      </c>
      <c r="E2048" s="52">
        <v>4</v>
      </c>
      <c r="F2048" s="54" t="s">
        <v>1838</v>
      </c>
      <c r="G2048" s="52"/>
      <c r="H2048" s="55"/>
      <c r="I2048" s="56"/>
    </row>
    <row r="2049" spans="2:9" ht="27" x14ac:dyDescent="0.2">
      <c r="B2049" s="57" t="str">
        <f t="shared" si="39"/>
        <v>2015-046-5</v>
      </c>
      <c r="C2049" s="58">
        <v>2015</v>
      </c>
      <c r="D2049" s="58" t="s">
        <v>77</v>
      </c>
      <c r="E2049" s="58">
        <v>5</v>
      </c>
      <c r="F2049" s="59" t="s">
        <v>2196</v>
      </c>
      <c r="G2049" s="58"/>
      <c r="H2049" s="60"/>
      <c r="I2049" s="61"/>
    </row>
    <row r="2050" spans="2:9" x14ac:dyDescent="0.2">
      <c r="B2050" s="62" t="str">
        <f t="shared" si="39"/>
        <v>2015-047-0</v>
      </c>
      <c r="C2050" s="63">
        <v>2015</v>
      </c>
      <c r="D2050" s="63" t="s">
        <v>78</v>
      </c>
      <c r="E2050" s="63">
        <v>0</v>
      </c>
      <c r="F2050" s="64" t="s">
        <v>231</v>
      </c>
      <c r="G2050" s="63"/>
      <c r="H2050" s="65"/>
      <c r="I2050" s="66"/>
    </row>
    <row r="2051" spans="2:9" x14ac:dyDescent="0.2">
      <c r="B2051" s="51" t="str">
        <f t="shared" si="39"/>
        <v>2015-047-1</v>
      </c>
      <c r="C2051" s="52">
        <v>2015</v>
      </c>
      <c r="D2051" s="52" t="s">
        <v>78</v>
      </c>
      <c r="E2051" s="52">
        <v>1</v>
      </c>
      <c r="F2051" s="54" t="s">
        <v>694</v>
      </c>
      <c r="G2051" s="52"/>
      <c r="H2051" s="55"/>
      <c r="I2051" s="56"/>
    </row>
    <row r="2052" spans="2:9" ht="27" x14ac:dyDescent="0.2">
      <c r="B2052" s="51" t="str">
        <f t="shared" si="39"/>
        <v>2015-047-2</v>
      </c>
      <c r="C2052" s="52">
        <v>2015</v>
      </c>
      <c r="D2052" s="52" t="s">
        <v>78</v>
      </c>
      <c r="E2052" s="52">
        <v>2</v>
      </c>
      <c r="F2052" s="54" t="s">
        <v>1086</v>
      </c>
      <c r="G2052" s="52"/>
      <c r="H2052" s="55"/>
      <c r="I2052" s="56"/>
    </row>
    <row r="2053" spans="2:9" x14ac:dyDescent="0.2">
      <c r="B2053" s="51" t="str">
        <f t="shared" si="39"/>
        <v>2015-047-3</v>
      </c>
      <c r="C2053" s="52">
        <v>2015</v>
      </c>
      <c r="D2053" s="52" t="s">
        <v>78</v>
      </c>
      <c r="E2053" s="52">
        <v>3</v>
      </c>
      <c r="F2053" s="54" t="s">
        <v>590</v>
      </c>
      <c r="G2053" s="52"/>
      <c r="H2053" s="55"/>
      <c r="I2053" s="56"/>
    </row>
    <row r="2054" spans="2:9" x14ac:dyDescent="0.2">
      <c r="B2054" s="51" t="str">
        <f t="shared" si="39"/>
        <v>2015-047-4</v>
      </c>
      <c r="C2054" s="52">
        <v>2015</v>
      </c>
      <c r="D2054" s="52" t="s">
        <v>78</v>
      </c>
      <c r="E2054" s="52">
        <v>4</v>
      </c>
      <c r="F2054" s="54" t="s">
        <v>1839</v>
      </c>
      <c r="G2054" s="52" t="s">
        <v>3391</v>
      </c>
      <c r="H2054" s="55"/>
      <c r="I2054" s="56"/>
    </row>
    <row r="2055" spans="2:9" x14ac:dyDescent="0.2">
      <c r="B2055" s="57" t="str">
        <f t="shared" si="39"/>
        <v>2015-047-5</v>
      </c>
      <c r="C2055" s="58">
        <v>2015</v>
      </c>
      <c r="D2055" s="58" t="s">
        <v>78</v>
      </c>
      <c r="E2055" s="58">
        <v>5</v>
      </c>
      <c r="F2055" s="59" t="s">
        <v>2197</v>
      </c>
      <c r="G2055" s="58"/>
      <c r="H2055" s="60"/>
      <c r="I2055" s="61"/>
    </row>
    <row r="2056" spans="2:9" x14ac:dyDescent="0.2">
      <c r="B2056" s="62" t="str">
        <f t="shared" si="39"/>
        <v>2015-048-0</v>
      </c>
      <c r="C2056" s="63">
        <v>2015</v>
      </c>
      <c r="D2056" s="63" t="s">
        <v>79</v>
      </c>
      <c r="E2056" s="63">
        <v>0</v>
      </c>
      <c r="F2056" s="64" t="s">
        <v>143</v>
      </c>
      <c r="G2056" s="63"/>
      <c r="H2056" s="65"/>
      <c r="I2056" s="66"/>
    </row>
    <row r="2057" spans="2:9" x14ac:dyDescent="0.2">
      <c r="B2057" s="51" t="str">
        <f t="shared" si="39"/>
        <v>2015-048-1</v>
      </c>
      <c r="C2057" s="52">
        <v>2015</v>
      </c>
      <c r="D2057" s="52" t="s">
        <v>79</v>
      </c>
      <c r="E2057" s="52">
        <v>1</v>
      </c>
      <c r="F2057" s="54" t="s">
        <v>654</v>
      </c>
      <c r="G2057" s="52" t="s">
        <v>3391</v>
      </c>
      <c r="H2057" s="55"/>
      <c r="I2057" s="56"/>
    </row>
    <row r="2058" spans="2:9" x14ac:dyDescent="0.2">
      <c r="B2058" s="51" t="str">
        <f t="shared" si="39"/>
        <v>2015-048-2</v>
      </c>
      <c r="C2058" s="52">
        <v>2015</v>
      </c>
      <c r="D2058" s="52" t="s">
        <v>79</v>
      </c>
      <c r="E2058" s="52">
        <v>2</v>
      </c>
      <c r="F2058" s="54" t="s">
        <v>1087</v>
      </c>
      <c r="G2058" s="52"/>
      <c r="H2058" s="55"/>
      <c r="I2058" s="56"/>
    </row>
    <row r="2059" spans="2:9" x14ac:dyDescent="0.2">
      <c r="B2059" s="51" t="str">
        <f t="shared" si="39"/>
        <v>2015-048-3</v>
      </c>
      <c r="C2059" s="52">
        <v>2015</v>
      </c>
      <c r="D2059" s="52" t="s">
        <v>79</v>
      </c>
      <c r="E2059" s="52">
        <v>3</v>
      </c>
      <c r="F2059" s="54" t="s">
        <v>1351</v>
      </c>
      <c r="G2059" s="52"/>
      <c r="H2059" s="55"/>
      <c r="I2059" s="56"/>
    </row>
    <row r="2060" spans="2:9" x14ac:dyDescent="0.2">
      <c r="B2060" s="51" t="str">
        <f t="shared" si="39"/>
        <v>2015-048-4</v>
      </c>
      <c r="C2060" s="52">
        <v>2015</v>
      </c>
      <c r="D2060" s="52" t="s">
        <v>79</v>
      </c>
      <c r="E2060" s="52">
        <v>4</v>
      </c>
      <c r="F2060" s="54" t="s">
        <v>1066</v>
      </c>
      <c r="G2060" s="52"/>
      <c r="H2060" s="55"/>
      <c r="I2060" s="56"/>
    </row>
    <row r="2061" spans="2:9" x14ac:dyDescent="0.2">
      <c r="B2061" s="57" t="str">
        <f t="shared" si="39"/>
        <v>2015-048-5</v>
      </c>
      <c r="C2061" s="58">
        <v>2015</v>
      </c>
      <c r="D2061" s="58" t="s">
        <v>79</v>
      </c>
      <c r="E2061" s="58">
        <v>5</v>
      </c>
      <c r="F2061" s="59" t="s">
        <v>917</v>
      </c>
      <c r="G2061" s="58"/>
      <c r="H2061" s="60"/>
      <c r="I2061" s="61"/>
    </row>
    <row r="2062" spans="2:9" x14ac:dyDescent="0.2">
      <c r="B2062" s="62" t="str">
        <f t="shared" si="39"/>
        <v>2015-049-0</v>
      </c>
      <c r="C2062" s="63">
        <v>2015</v>
      </c>
      <c r="D2062" s="63" t="s">
        <v>80</v>
      </c>
      <c r="E2062" s="63">
        <v>0</v>
      </c>
      <c r="F2062" s="64" t="s">
        <v>194</v>
      </c>
      <c r="G2062" s="63"/>
      <c r="H2062" s="65"/>
      <c r="I2062" s="66"/>
    </row>
    <row r="2063" spans="2:9" x14ac:dyDescent="0.2">
      <c r="B2063" s="51" t="str">
        <f t="shared" si="39"/>
        <v>2015-049-1</v>
      </c>
      <c r="C2063" s="52">
        <v>2015</v>
      </c>
      <c r="D2063" s="52" t="s">
        <v>80</v>
      </c>
      <c r="E2063" s="52">
        <v>1</v>
      </c>
      <c r="F2063" s="54" t="s">
        <v>695</v>
      </c>
      <c r="G2063" s="52"/>
      <c r="H2063" s="55"/>
      <c r="I2063" s="56"/>
    </row>
    <row r="2064" spans="2:9" x14ac:dyDescent="0.2">
      <c r="B2064" s="51" t="str">
        <f t="shared" si="39"/>
        <v>2015-049-2</v>
      </c>
      <c r="C2064" s="52">
        <v>2015</v>
      </c>
      <c r="D2064" s="52" t="s">
        <v>80</v>
      </c>
      <c r="E2064" s="52">
        <v>2</v>
      </c>
      <c r="F2064" s="54" t="s">
        <v>1088</v>
      </c>
      <c r="G2064" s="52"/>
      <c r="H2064" s="55"/>
      <c r="I2064" s="56"/>
    </row>
    <row r="2065" spans="2:9" x14ac:dyDescent="0.2">
      <c r="B2065" s="51" t="str">
        <f t="shared" si="39"/>
        <v>2015-049-3</v>
      </c>
      <c r="C2065" s="52">
        <v>2015</v>
      </c>
      <c r="D2065" s="52" t="s">
        <v>80</v>
      </c>
      <c r="E2065" s="52">
        <v>3</v>
      </c>
      <c r="F2065" s="54" t="s">
        <v>1471</v>
      </c>
      <c r="G2065" s="52"/>
      <c r="H2065" s="55"/>
      <c r="I2065" s="56"/>
    </row>
    <row r="2066" spans="2:9" x14ac:dyDescent="0.2">
      <c r="B2066" s="51" t="str">
        <f t="shared" si="39"/>
        <v>2015-049-4</v>
      </c>
      <c r="C2066" s="52">
        <v>2015</v>
      </c>
      <c r="D2066" s="52" t="s">
        <v>80</v>
      </c>
      <c r="E2066" s="52">
        <v>4</v>
      </c>
      <c r="F2066" s="54" t="s">
        <v>1840</v>
      </c>
      <c r="G2066" s="52"/>
      <c r="H2066" s="55"/>
      <c r="I2066" s="56"/>
    </row>
    <row r="2067" spans="2:9" ht="27" x14ac:dyDescent="0.2">
      <c r="B2067" s="57" t="str">
        <f t="shared" si="39"/>
        <v>2015-049-5</v>
      </c>
      <c r="C2067" s="58">
        <v>2015</v>
      </c>
      <c r="D2067" s="58" t="s">
        <v>80</v>
      </c>
      <c r="E2067" s="58">
        <v>5</v>
      </c>
      <c r="F2067" s="59" t="s">
        <v>2198</v>
      </c>
      <c r="G2067" s="58" t="s">
        <v>3391</v>
      </c>
      <c r="H2067" s="60"/>
      <c r="I2067" s="61"/>
    </row>
    <row r="2068" spans="2:9" x14ac:dyDescent="0.2">
      <c r="B2068" s="62" t="str">
        <f t="shared" si="39"/>
        <v>2015-050-0</v>
      </c>
      <c r="C2068" s="63">
        <v>2015</v>
      </c>
      <c r="D2068" s="63" t="s">
        <v>81</v>
      </c>
      <c r="E2068" s="63">
        <v>0</v>
      </c>
      <c r="F2068" s="64" t="s">
        <v>167</v>
      </c>
      <c r="G2068" s="63"/>
      <c r="H2068" s="65"/>
      <c r="I2068" s="66"/>
    </row>
    <row r="2069" spans="2:9" x14ac:dyDescent="0.2">
      <c r="B2069" s="51" t="str">
        <f t="shared" ref="B2069:B2073" si="40">C2069&amp;"-"&amp;D2069&amp;"-"&amp;E2069</f>
        <v>2015-050-1</v>
      </c>
      <c r="C2069" s="52">
        <v>2015</v>
      </c>
      <c r="D2069" s="52" t="s">
        <v>81</v>
      </c>
      <c r="E2069" s="52">
        <v>1</v>
      </c>
      <c r="F2069" s="54" t="s">
        <v>696</v>
      </c>
      <c r="G2069" s="52"/>
      <c r="H2069" s="55"/>
      <c r="I2069" s="56"/>
    </row>
    <row r="2070" spans="2:9" x14ac:dyDescent="0.2">
      <c r="B2070" s="51" t="str">
        <f t="shared" si="40"/>
        <v>2015-050-2</v>
      </c>
      <c r="C2070" s="52">
        <v>2015</v>
      </c>
      <c r="D2070" s="52" t="s">
        <v>81</v>
      </c>
      <c r="E2070" s="52">
        <v>2</v>
      </c>
      <c r="F2070" s="54" t="s">
        <v>1089</v>
      </c>
      <c r="G2070" s="52"/>
      <c r="H2070" s="55"/>
      <c r="I2070" s="56"/>
    </row>
    <row r="2071" spans="2:9" x14ac:dyDescent="0.2">
      <c r="B2071" s="51" t="str">
        <f t="shared" si="40"/>
        <v>2015-050-3</v>
      </c>
      <c r="C2071" s="52">
        <v>2015</v>
      </c>
      <c r="D2071" s="52" t="s">
        <v>81</v>
      </c>
      <c r="E2071" s="52">
        <v>3</v>
      </c>
      <c r="F2071" s="54" t="s">
        <v>1472</v>
      </c>
      <c r="G2071" s="52"/>
      <c r="H2071" s="55"/>
      <c r="I2071" s="56"/>
    </row>
    <row r="2072" spans="2:9" x14ac:dyDescent="0.2">
      <c r="B2072" s="51" t="str">
        <f t="shared" si="40"/>
        <v>2015-050-4</v>
      </c>
      <c r="C2072" s="52">
        <v>2015</v>
      </c>
      <c r="D2072" s="52" t="s">
        <v>81</v>
      </c>
      <c r="E2072" s="52">
        <v>4</v>
      </c>
      <c r="F2072" s="54" t="s">
        <v>1841</v>
      </c>
      <c r="G2072" s="52"/>
      <c r="H2072" s="55"/>
      <c r="I2072" s="56"/>
    </row>
    <row r="2073" spans="2:9" ht="14.25" thickBot="1" x14ac:dyDescent="0.25">
      <c r="B2073" s="67" t="str">
        <f t="shared" si="40"/>
        <v>2015-050-5</v>
      </c>
      <c r="C2073" s="68">
        <v>2015</v>
      </c>
      <c r="D2073" s="68" t="s">
        <v>81</v>
      </c>
      <c r="E2073" s="68">
        <v>5</v>
      </c>
      <c r="F2073" s="69" t="s">
        <v>2199</v>
      </c>
      <c r="G2073" s="68" t="s">
        <v>3391</v>
      </c>
      <c r="H2073" s="70"/>
      <c r="I2073" s="71"/>
    </row>
    <row r="2074" spans="2:9" x14ac:dyDescent="0.2">
      <c r="B2074" s="45" t="str">
        <f t="shared" ref="B2074:B2106" si="41">C2074&amp;"-"&amp;D2074&amp;"-"&amp;E2074</f>
        <v>2014-026-0</v>
      </c>
      <c r="C2074" s="46">
        <v>2014</v>
      </c>
      <c r="D2074" s="46" t="s">
        <v>4</v>
      </c>
      <c r="E2074" s="46">
        <v>0</v>
      </c>
      <c r="F2074" s="48" t="s">
        <v>317</v>
      </c>
      <c r="G2074" s="46"/>
      <c r="H2074" s="49"/>
      <c r="I2074" s="50"/>
    </row>
    <row r="2075" spans="2:9" x14ac:dyDescent="0.2">
      <c r="B2075" s="51" t="str">
        <f t="shared" si="41"/>
        <v>2014-026-1</v>
      </c>
      <c r="C2075" s="52">
        <v>2014</v>
      </c>
      <c r="D2075" s="52" t="s">
        <v>4</v>
      </c>
      <c r="E2075" s="52">
        <v>1</v>
      </c>
      <c r="F2075" s="54" t="s">
        <v>697</v>
      </c>
      <c r="G2075" s="52"/>
      <c r="H2075" s="55"/>
      <c r="I2075" s="56"/>
    </row>
    <row r="2076" spans="2:9" x14ac:dyDescent="0.2">
      <c r="B2076" s="51" t="str">
        <f t="shared" si="41"/>
        <v>2014-026-2</v>
      </c>
      <c r="C2076" s="52">
        <v>2014</v>
      </c>
      <c r="D2076" s="52" t="s">
        <v>4</v>
      </c>
      <c r="E2076" s="52">
        <v>2</v>
      </c>
      <c r="F2076" s="54" t="s">
        <v>1090</v>
      </c>
      <c r="G2076" s="52"/>
      <c r="H2076" s="55"/>
      <c r="I2076" s="56"/>
    </row>
    <row r="2077" spans="2:9" x14ac:dyDescent="0.2">
      <c r="B2077" s="51" t="str">
        <f t="shared" si="41"/>
        <v>2014-026-3</v>
      </c>
      <c r="C2077" s="52">
        <v>2014</v>
      </c>
      <c r="D2077" s="52" t="s">
        <v>4</v>
      </c>
      <c r="E2077" s="52">
        <v>3</v>
      </c>
      <c r="F2077" s="54" t="s">
        <v>1473</v>
      </c>
      <c r="G2077" s="52"/>
      <c r="H2077" s="55"/>
      <c r="I2077" s="56"/>
    </row>
    <row r="2078" spans="2:9" x14ac:dyDescent="0.2">
      <c r="B2078" s="51" t="str">
        <f t="shared" si="41"/>
        <v>2014-026-4</v>
      </c>
      <c r="C2078" s="52">
        <v>2014</v>
      </c>
      <c r="D2078" s="52" t="s">
        <v>4</v>
      </c>
      <c r="E2078" s="52">
        <v>4</v>
      </c>
      <c r="F2078" s="54" t="s">
        <v>1842</v>
      </c>
      <c r="G2078" s="52"/>
      <c r="H2078" s="55"/>
      <c r="I2078" s="56"/>
    </row>
    <row r="2079" spans="2:9" x14ac:dyDescent="0.2">
      <c r="B2079" s="57" t="str">
        <f t="shared" si="41"/>
        <v>2014-026-5</v>
      </c>
      <c r="C2079" s="58">
        <v>2014</v>
      </c>
      <c r="D2079" s="58" t="s">
        <v>4</v>
      </c>
      <c r="E2079" s="58">
        <v>5</v>
      </c>
      <c r="F2079" s="59" t="s">
        <v>2200</v>
      </c>
      <c r="G2079" s="58" t="s">
        <v>3391</v>
      </c>
      <c r="H2079" s="60"/>
      <c r="I2079" s="61"/>
    </row>
    <row r="2080" spans="2:9" x14ac:dyDescent="0.2">
      <c r="B2080" s="62" t="str">
        <f t="shared" si="41"/>
        <v>2014-027-0</v>
      </c>
      <c r="C2080" s="63">
        <v>2014</v>
      </c>
      <c r="D2080" s="63" t="s">
        <v>5</v>
      </c>
      <c r="E2080" s="63">
        <v>0</v>
      </c>
      <c r="F2080" s="64" t="s">
        <v>318</v>
      </c>
      <c r="G2080" s="63"/>
      <c r="H2080" s="65"/>
      <c r="I2080" s="66"/>
    </row>
    <row r="2081" spans="2:9" x14ac:dyDescent="0.2">
      <c r="B2081" s="51" t="str">
        <f t="shared" si="41"/>
        <v>2014-027-1</v>
      </c>
      <c r="C2081" s="52">
        <v>2014</v>
      </c>
      <c r="D2081" s="52" t="s">
        <v>5</v>
      </c>
      <c r="E2081" s="52">
        <v>1</v>
      </c>
      <c r="F2081" s="54" t="s">
        <v>698</v>
      </c>
      <c r="G2081" s="52"/>
      <c r="H2081" s="55"/>
      <c r="I2081" s="56"/>
    </row>
    <row r="2082" spans="2:9" x14ac:dyDescent="0.2">
      <c r="B2082" s="51" t="str">
        <f t="shared" si="41"/>
        <v>2014-027-2</v>
      </c>
      <c r="C2082" s="52">
        <v>2014</v>
      </c>
      <c r="D2082" s="52" t="s">
        <v>5</v>
      </c>
      <c r="E2082" s="52">
        <v>2</v>
      </c>
      <c r="F2082" s="54" t="s">
        <v>1091</v>
      </c>
      <c r="G2082" s="52" t="s">
        <v>3391</v>
      </c>
      <c r="H2082" s="55"/>
      <c r="I2082" s="56"/>
    </row>
    <row r="2083" spans="2:9" x14ac:dyDescent="0.2">
      <c r="B2083" s="51" t="str">
        <f t="shared" si="41"/>
        <v>2014-027-3</v>
      </c>
      <c r="C2083" s="52">
        <v>2014</v>
      </c>
      <c r="D2083" s="52" t="s">
        <v>5</v>
      </c>
      <c r="E2083" s="52">
        <v>3</v>
      </c>
      <c r="F2083" s="54" t="s">
        <v>1474</v>
      </c>
      <c r="G2083" s="52"/>
      <c r="H2083" s="55"/>
      <c r="I2083" s="56"/>
    </row>
    <row r="2084" spans="2:9" x14ac:dyDescent="0.2">
      <c r="B2084" s="51" t="str">
        <f t="shared" si="41"/>
        <v>2014-027-4</v>
      </c>
      <c r="C2084" s="52">
        <v>2014</v>
      </c>
      <c r="D2084" s="52" t="s">
        <v>5</v>
      </c>
      <c r="E2084" s="52">
        <v>4</v>
      </c>
      <c r="F2084" s="54" t="s">
        <v>1843</v>
      </c>
      <c r="G2084" s="52"/>
      <c r="H2084" s="55"/>
      <c r="I2084" s="56"/>
    </row>
    <row r="2085" spans="2:9" x14ac:dyDescent="0.2">
      <c r="B2085" s="57" t="str">
        <f t="shared" si="41"/>
        <v>2014-027-5</v>
      </c>
      <c r="C2085" s="58">
        <v>2014</v>
      </c>
      <c r="D2085" s="58" t="s">
        <v>5</v>
      </c>
      <c r="E2085" s="58">
        <v>5</v>
      </c>
      <c r="F2085" s="59" t="s">
        <v>2201</v>
      </c>
      <c r="G2085" s="58"/>
      <c r="H2085" s="60"/>
      <c r="I2085" s="61"/>
    </row>
    <row r="2086" spans="2:9" x14ac:dyDescent="0.2">
      <c r="B2086" s="62" t="str">
        <f t="shared" si="41"/>
        <v>2014-028-0</v>
      </c>
      <c r="C2086" s="63">
        <v>2014</v>
      </c>
      <c r="D2086" s="63" t="s">
        <v>6</v>
      </c>
      <c r="E2086" s="63">
        <v>0</v>
      </c>
      <c r="F2086" s="64" t="s">
        <v>319</v>
      </c>
      <c r="G2086" s="63"/>
      <c r="H2086" s="65"/>
      <c r="I2086" s="66"/>
    </row>
    <row r="2087" spans="2:9" x14ac:dyDescent="0.2">
      <c r="B2087" s="51" t="str">
        <f t="shared" si="41"/>
        <v>2014-028-1</v>
      </c>
      <c r="C2087" s="52">
        <v>2014</v>
      </c>
      <c r="D2087" s="52" t="s">
        <v>6</v>
      </c>
      <c r="E2087" s="52">
        <v>1</v>
      </c>
      <c r="F2087" s="54" t="s">
        <v>699</v>
      </c>
      <c r="G2087" s="52"/>
      <c r="H2087" s="55"/>
      <c r="I2087" s="56"/>
    </row>
    <row r="2088" spans="2:9" ht="27" x14ac:dyDescent="0.2">
      <c r="B2088" s="51" t="str">
        <f t="shared" si="41"/>
        <v>2014-028-2</v>
      </c>
      <c r="C2088" s="52">
        <v>2014</v>
      </c>
      <c r="D2088" s="52" t="s">
        <v>6</v>
      </c>
      <c r="E2088" s="52">
        <v>2</v>
      </c>
      <c r="F2088" s="54" t="s">
        <v>1092</v>
      </c>
      <c r="G2088" s="52"/>
      <c r="H2088" s="55"/>
      <c r="I2088" s="56"/>
    </row>
    <row r="2089" spans="2:9" x14ac:dyDescent="0.2">
      <c r="B2089" s="51" t="str">
        <f t="shared" si="41"/>
        <v>2014-028-3</v>
      </c>
      <c r="C2089" s="52">
        <v>2014</v>
      </c>
      <c r="D2089" s="52" t="s">
        <v>6</v>
      </c>
      <c r="E2089" s="52">
        <v>3</v>
      </c>
      <c r="F2089" s="54" t="s">
        <v>1475</v>
      </c>
      <c r="G2089" s="52"/>
      <c r="H2089" s="55"/>
      <c r="I2089" s="56"/>
    </row>
    <row r="2090" spans="2:9" ht="27" x14ac:dyDescent="0.2">
      <c r="B2090" s="51" t="str">
        <f t="shared" si="41"/>
        <v>2014-028-4</v>
      </c>
      <c r="C2090" s="52">
        <v>2014</v>
      </c>
      <c r="D2090" s="52" t="s">
        <v>6</v>
      </c>
      <c r="E2090" s="52">
        <v>4</v>
      </c>
      <c r="F2090" s="54" t="s">
        <v>1844</v>
      </c>
      <c r="G2090" s="52"/>
      <c r="H2090" s="55"/>
      <c r="I2090" s="56"/>
    </row>
    <row r="2091" spans="2:9" x14ac:dyDescent="0.2">
      <c r="B2091" s="57" t="str">
        <f t="shared" si="41"/>
        <v>2014-028-5</v>
      </c>
      <c r="C2091" s="58">
        <v>2014</v>
      </c>
      <c r="D2091" s="58" t="s">
        <v>6</v>
      </c>
      <c r="E2091" s="58">
        <v>5</v>
      </c>
      <c r="F2091" s="59" t="s">
        <v>1174</v>
      </c>
      <c r="G2091" s="58" t="s">
        <v>3391</v>
      </c>
      <c r="H2091" s="60"/>
      <c r="I2091" s="61"/>
    </row>
    <row r="2092" spans="2:9" ht="27" x14ac:dyDescent="0.2">
      <c r="B2092" s="62" t="str">
        <f t="shared" si="41"/>
        <v>2014-029-0</v>
      </c>
      <c r="C2092" s="63">
        <v>2014</v>
      </c>
      <c r="D2092" s="63" t="s">
        <v>7</v>
      </c>
      <c r="E2092" s="63">
        <v>0</v>
      </c>
      <c r="F2092" s="64" t="s">
        <v>320</v>
      </c>
      <c r="G2092" s="63"/>
      <c r="H2092" s="65"/>
      <c r="I2092" s="66"/>
    </row>
    <row r="2093" spans="2:9" x14ac:dyDescent="0.2">
      <c r="B2093" s="51" t="str">
        <f t="shared" si="41"/>
        <v>2014-029-1</v>
      </c>
      <c r="C2093" s="52">
        <v>2014</v>
      </c>
      <c r="D2093" s="52" t="s">
        <v>7</v>
      </c>
      <c r="E2093" s="52">
        <v>1</v>
      </c>
      <c r="F2093" s="54" t="s">
        <v>700</v>
      </c>
      <c r="G2093" s="52"/>
      <c r="H2093" s="55"/>
      <c r="I2093" s="56"/>
    </row>
    <row r="2094" spans="2:9" ht="27" x14ac:dyDescent="0.2">
      <c r="B2094" s="51" t="str">
        <f t="shared" si="41"/>
        <v>2014-029-2</v>
      </c>
      <c r="C2094" s="52">
        <v>2014</v>
      </c>
      <c r="D2094" s="52" t="s">
        <v>7</v>
      </c>
      <c r="E2094" s="52">
        <v>2</v>
      </c>
      <c r="F2094" s="54" t="s">
        <v>1093</v>
      </c>
      <c r="G2094" s="52" t="s">
        <v>3391</v>
      </c>
      <c r="H2094" s="55"/>
      <c r="I2094" s="56"/>
    </row>
    <row r="2095" spans="2:9" ht="27" x14ac:dyDescent="0.2">
      <c r="B2095" s="51" t="str">
        <f t="shared" si="41"/>
        <v>2014-029-3</v>
      </c>
      <c r="C2095" s="52">
        <v>2014</v>
      </c>
      <c r="D2095" s="52" t="s">
        <v>7</v>
      </c>
      <c r="E2095" s="52">
        <v>3</v>
      </c>
      <c r="F2095" s="54" t="s">
        <v>1476</v>
      </c>
      <c r="G2095" s="52"/>
      <c r="H2095" s="55"/>
      <c r="I2095" s="56"/>
    </row>
    <row r="2096" spans="2:9" ht="27" x14ac:dyDescent="0.2">
      <c r="B2096" s="51" t="str">
        <f t="shared" si="41"/>
        <v>2014-029-4</v>
      </c>
      <c r="C2096" s="52">
        <v>2014</v>
      </c>
      <c r="D2096" s="52" t="s">
        <v>7</v>
      </c>
      <c r="E2096" s="52">
        <v>4</v>
      </c>
      <c r="F2096" s="54" t="s">
        <v>1845</v>
      </c>
      <c r="G2096" s="52"/>
      <c r="H2096" s="55"/>
      <c r="I2096" s="56"/>
    </row>
    <row r="2097" spans="2:9" ht="27" x14ac:dyDescent="0.2">
      <c r="B2097" s="57" t="str">
        <f t="shared" si="41"/>
        <v>2014-029-5</v>
      </c>
      <c r="C2097" s="58">
        <v>2014</v>
      </c>
      <c r="D2097" s="58" t="s">
        <v>7</v>
      </c>
      <c r="E2097" s="58">
        <v>5</v>
      </c>
      <c r="F2097" s="59" t="s">
        <v>2202</v>
      </c>
      <c r="G2097" s="58"/>
      <c r="H2097" s="60"/>
      <c r="I2097" s="61"/>
    </row>
    <row r="2098" spans="2:9" x14ac:dyDescent="0.2">
      <c r="B2098" s="62" t="str">
        <f t="shared" si="41"/>
        <v>2014-030-0</v>
      </c>
      <c r="C2098" s="63">
        <v>2014</v>
      </c>
      <c r="D2098" s="63" t="s">
        <v>8</v>
      </c>
      <c r="E2098" s="63">
        <v>0</v>
      </c>
      <c r="F2098" s="64" t="s">
        <v>321</v>
      </c>
      <c r="G2098" s="63"/>
      <c r="H2098" s="65"/>
      <c r="I2098" s="66"/>
    </row>
    <row r="2099" spans="2:9" x14ac:dyDescent="0.2">
      <c r="B2099" s="51" t="str">
        <f t="shared" si="41"/>
        <v>2014-030-1</v>
      </c>
      <c r="C2099" s="52">
        <v>2014</v>
      </c>
      <c r="D2099" s="52" t="s">
        <v>8</v>
      </c>
      <c r="E2099" s="52">
        <v>1</v>
      </c>
      <c r="F2099" s="54" t="s">
        <v>701</v>
      </c>
      <c r="G2099" s="52"/>
      <c r="H2099" s="55"/>
      <c r="I2099" s="56"/>
    </row>
    <row r="2100" spans="2:9" ht="27" x14ac:dyDescent="0.2">
      <c r="B2100" s="51" t="str">
        <f t="shared" si="41"/>
        <v>2014-030-2</v>
      </c>
      <c r="C2100" s="52">
        <v>2014</v>
      </c>
      <c r="D2100" s="52" t="s">
        <v>8</v>
      </c>
      <c r="E2100" s="52">
        <v>2</v>
      </c>
      <c r="F2100" s="54" t="s">
        <v>1094</v>
      </c>
      <c r="G2100" s="52"/>
      <c r="H2100" s="55"/>
      <c r="I2100" s="56"/>
    </row>
    <row r="2101" spans="2:9" x14ac:dyDescent="0.2">
      <c r="B2101" s="51" t="str">
        <f t="shared" si="41"/>
        <v>2014-030-3</v>
      </c>
      <c r="C2101" s="52">
        <v>2014</v>
      </c>
      <c r="D2101" s="52" t="s">
        <v>8</v>
      </c>
      <c r="E2101" s="52">
        <v>3</v>
      </c>
      <c r="F2101" s="54" t="s">
        <v>1477</v>
      </c>
      <c r="G2101" s="52"/>
      <c r="H2101" s="55"/>
      <c r="I2101" s="56"/>
    </row>
    <row r="2102" spans="2:9" x14ac:dyDescent="0.2">
      <c r="B2102" s="51" t="str">
        <f t="shared" si="41"/>
        <v>2014-030-4</v>
      </c>
      <c r="C2102" s="52">
        <v>2014</v>
      </c>
      <c r="D2102" s="52" t="s">
        <v>8</v>
      </c>
      <c r="E2102" s="52">
        <v>4</v>
      </c>
      <c r="F2102" s="54" t="s">
        <v>1846</v>
      </c>
      <c r="G2102" s="52" t="s">
        <v>3391</v>
      </c>
      <c r="H2102" s="55"/>
      <c r="I2102" s="56"/>
    </row>
    <row r="2103" spans="2:9" x14ac:dyDescent="0.2">
      <c r="B2103" s="57" t="str">
        <f t="shared" si="41"/>
        <v>2014-030-5</v>
      </c>
      <c r="C2103" s="58">
        <v>2014</v>
      </c>
      <c r="D2103" s="58" t="s">
        <v>8</v>
      </c>
      <c r="E2103" s="58">
        <v>5</v>
      </c>
      <c r="F2103" s="59" t="s">
        <v>2203</v>
      </c>
      <c r="G2103" s="58"/>
      <c r="H2103" s="60"/>
      <c r="I2103" s="61"/>
    </row>
    <row r="2104" spans="2:9" x14ac:dyDescent="0.2">
      <c r="B2104" s="62" t="str">
        <f t="shared" si="41"/>
        <v>2014-031-0</v>
      </c>
      <c r="C2104" s="63">
        <v>2014</v>
      </c>
      <c r="D2104" s="63" t="s">
        <v>9</v>
      </c>
      <c r="E2104" s="63">
        <v>0</v>
      </c>
      <c r="F2104" s="64" t="s">
        <v>322</v>
      </c>
      <c r="G2104" s="63"/>
      <c r="H2104" s="65"/>
      <c r="I2104" s="66"/>
    </row>
    <row r="2105" spans="2:9" x14ac:dyDescent="0.2">
      <c r="B2105" s="51" t="str">
        <f t="shared" si="41"/>
        <v>2014-031-1</v>
      </c>
      <c r="C2105" s="52">
        <v>2014</v>
      </c>
      <c r="D2105" s="52" t="s">
        <v>9</v>
      </c>
      <c r="E2105" s="52">
        <v>1</v>
      </c>
      <c r="F2105" s="54" t="s">
        <v>702</v>
      </c>
      <c r="G2105" s="52" t="s">
        <v>3391</v>
      </c>
      <c r="H2105" s="55"/>
      <c r="I2105" s="56"/>
    </row>
    <row r="2106" spans="2:9" x14ac:dyDescent="0.2">
      <c r="B2106" s="51" t="str">
        <f t="shared" si="41"/>
        <v>2014-031-2</v>
      </c>
      <c r="C2106" s="52">
        <v>2014</v>
      </c>
      <c r="D2106" s="52" t="s">
        <v>9</v>
      </c>
      <c r="E2106" s="52">
        <v>2</v>
      </c>
      <c r="F2106" s="54" t="s">
        <v>1095</v>
      </c>
      <c r="G2106" s="52"/>
      <c r="H2106" s="55"/>
      <c r="I2106" s="56"/>
    </row>
    <row r="2107" spans="2:9" x14ac:dyDescent="0.2">
      <c r="B2107" s="51" t="str">
        <f t="shared" ref="B2107:B2170" si="42">C2107&amp;"-"&amp;D2107&amp;"-"&amp;E2107</f>
        <v>2014-031-3</v>
      </c>
      <c r="C2107" s="52">
        <v>2014</v>
      </c>
      <c r="D2107" s="52" t="s">
        <v>9</v>
      </c>
      <c r="E2107" s="52">
        <v>3</v>
      </c>
      <c r="F2107" s="54" t="s">
        <v>944</v>
      </c>
      <c r="G2107" s="52"/>
      <c r="H2107" s="55"/>
      <c r="I2107" s="56"/>
    </row>
    <row r="2108" spans="2:9" x14ac:dyDescent="0.2">
      <c r="B2108" s="51" t="str">
        <f t="shared" si="42"/>
        <v>2014-031-4</v>
      </c>
      <c r="C2108" s="52">
        <v>2014</v>
      </c>
      <c r="D2108" s="52" t="s">
        <v>9</v>
      </c>
      <c r="E2108" s="52">
        <v>4</v>
      </c>
      <c r="F2108" s="54" t="s">
        <v>1847</v>
      </c>
      <c r="G2108" s="52"/>
      <c r="H2108" s="55"/>
      <c r="I2108" s="56"/>
    </row>
    <row r="2109" spans="2:9" x14ac:dyDescent="0.2">
      <c r="B2109" s="57" t="str">
        <f t="shared" si="42"/>
        <v>2014-031-5</v>
      </c>
      <c r="C2109" s="58">
        <v>2014</v>
      </c>
      <c r="D2109" s="58" t="s">
        <v>9</v>
      </c>
      <c r="E2109" s="58">
        <v>5</v>
      </c>
      <c r="F2109" s="59" t="s">
        <v>2204</v>
      </c>
      <c r="G2109" s="58"/>
      <c r="H2109" s="60"/>
      <c r="I2109" s="61"/>
    </row>
    <row r="2110" spans="2:9" ht="67.5" x14ac:dyDescent="0.2">
      <c r="B2110" s="62" t="str">
        <f t="shared" si="42"/>
        <v>2014-032-0</v>
      </c>
      <c r="C2110" s="63">
        <v>2014</v>
      </c>
      <c r="D2110" s="63" t="s">
        <v>10</v>
      </c>
      <c r="E2110" s="63">
        <v>0</v>
      </c>
      <c r="F2110" s="64" t="s">
        <v>323</v>
      </c>
      <c r="G2110" s="63"/>
      <c r="H2110" s="65"/>
      <c r="I2110" s="66"/>
    </row>
    <row r="2111" spans="2:9" x14ac:dyDescent="0.2">
      <c r="B2111" s="51" t="str">
        <f t="shared" si="42"/>
        <v>2014-032-1</v>
      </c>
      <c r="C2111" s="52">
        <v>2014</v>
      </c>
      <c r="D2111" s="52" t="s">
        <v>10</v>
      </c>
      <c r="E2111" s="52">
        <v>1</v>
      </c>
      <c r="F2111" s="54" t="s">
        <v>20</v>
      </c>
      <c r="G2111" s="52"/>
      <c r="H2111" s="55"/>
      <c r="I2111" s="56"/>
    </row>
    <row r="2112" spans="2:9" x14ac:dyDescent="0.2">
      <c r="B2112" s="51" t="str">
        <f t="shared" si="42"/>
        <v>2014-032-2</v>
      </c>
      <c r="C2112" s="52">
        <v>2014</v>
      </c>
      <c r="D2112" s="52" t="s">
        <v>10</v>
      </c>
      <c r="E2112" s="52">
        <v>2</v>
      </c>
      <c r="F2112" s="54" t="s">
        <v>25</v>
      </c>
      <c r="G2112" s="52"/>
      <c r="H2112" s="55"/>
      <c r="I2112" s="56"/>
    </row>
    <row r="2113" spans="2:9" x14ac:dyDescent="0.2">
      <c r="B2113" s="51" t="str">
        <f t="shared" si="42"/>
        <v>2014-032-3</v>
      </c>
      <c r="C2113" s="52">
        <v>2014</v>
      </c>
      <c r="D2113" s="52" t="s">
        <v>10</v>
      </c>
      <c r="E2113" s="52">
        <v>3</v>
      </c>
      <c r="F2113" s="54" t="s">
        <v>22</v>
      </c>
      <c r="G2113" s="52"/>
      <c r="H2113" s="55"/>
      <c r="I2113" s="56"/>
    </row>
    <row r="2114" spans="2:9" x14ac:dyDescent="0.2">
      <c r="B2114" s="51" t="str">
        <f t="shared" si="42"/>
        <v>2014-032-4</v>
      </c>
      <c r="C2114" s="52">
        <v>2014</v>
      </c>
      <c r="D2114" s="52" t="s">
        <v>10</v>
      </c>
      <c r="E2114" s="52">
        <v>4</v>
      </c>
      <c r="F2114" s="54" t="s">
        <v>44</v>
      </c>
      <c r="G2114" s="52"/>
      <c r="H2114" s="55"/>
      <c r="I2114" s="56"/>
    </row>
    <row r="2115" spans="2:9" x14ac:dyDescent="0.2">
      <c r="B2115" s="57" t="str">
        <f t="shared" si="42"/>
        <v>2014-032-5</v>
      </c>
      <c r="C2115" s="58">
        <v>2014</v>
      </c>
      <c r="D2115" s="58" t="s">
        <v>10</v>
      </c>
      <c r="E2115" s="58">
        <v>5</v>
      </c>
      <c r="F2115" s="59" t="s">
        <v>49</v>
      </c>
      <c r="G2115" s="58" t="s">
        <v>3391</v>
      </c>
      <c r="H2115" s="60"/>
      <c r="I2115" s="61"/>
    </row>
    <row r="2116" spans="2:9" x14ac:dyDescent="0.2">
      <c r="B2116" s="62" t="str">
        <f t="shared" si="42"/>
        <v>2014-033-0</v>
      </c>
      <c r="C2116" s="63">
        <v>2014</v>
      </c>
      <c r="D2116" s="63" t="s">
        <v>11</v>
      </c>
      <c r="E2116" s="63">
        <v>0</v>
      </c>
      <c r="F2116" s="64" t="s">
        <v>324</v>
      </c>
      <c r="G2116" s="63"/>
      <c r="H2116" s="65"/>
      <c r="I2116" s="66"/>
    </row>
    <row r="2117" spans="2:9" ht="27" x14ac:dyDescent="0.2">
      <c r="B2117" s="51" t="str">
        <f t="shared" si="42"/>
        <v>2014-033-1</v>
      </c>
      <c r="C2117" s="52">
        <v>2014</v>
      </c>
      <c r="D2117" s="52" t="s">
        <v>11</v>
      </c>
      <c r="E2117" s="52">
        <v>1</v>
      </c>
      <c r="F2117" s="54" t="s">
        <v>703</v>
      </c>
      <c r="G2117" s="52"/>
      <c r="H2117" s="55"/>
      <c r="I2117" s="56"/>
    </row>
    <row r="2118" spans="2:9" ht="27" x14ac:dyDescent="0.2">
      <c r="B2118" s="51" t="str">
        <f t="shared" si="42"/>
        <v>2014-033-2</v>
      </c>
      <c r="C2118" s="52">
        <v>2014</v>
      </c>
      <c r="D2118" s="52" t="s">
        <v>11</v>
      </c>
      <c r="E2118" s="52">
        <v>2</v>
      </c>
      <c r="F2118" s="54" t="s">
        <v>1096</v>
      </c>
      <c r="G2118" s="52"/>
      <c r="H2118" s="55"/>
      <c r="I2118" s="56"/>
    </row>
    <row r="2119" spans="2:9" ht="27" x14ac:dyDescent="0.2">
      <c r="B2119" s="51" t="str">
        <f t="shared" si="42"/>
        <v>2014-033-3</v>
      </c>
      <c r="C2119" s="52">
        <v>2014</v>
      </c>
      <c r="D2119" s="52" t="s">
        <v>11</v>
      </c>
      <c r="E2119" s="52">
        <v>3</v>
      </c>
      <c r="F2119" s="54" t="s">
        <v>1478</v>
      </c>
      <c r="G2119" s="52"/>
      <c r="H2119" s="55"/>
      <c r="I2119" s="56"/>
    </row>
    <row r="2120" spans="2:9" ht="27" x14ac:dyDescent="0.2">
      <c r="B2120" s="51" t="str">
        <f t="shared" si="42"/>
        <v>2014-033-4</v>
      </c>
      <c r="C2120" s="52">
        <v>2014</v>
      </c>
      <c r="D2120" s="52" t="s">
        <v>11</v>
      </c>
      <c r="E2120" s="52">
        <v>4</v>
      </c>
      <c r="F2120" s="54" t="s">
        <v>1848</v>
      </c>
      <c r="G2120" s="52" t="s">
        <v>3391</v>
      </c>
      <c r="H2120" s="55"/>
      <c r="I2120" s="56"/>
    </row>
    <row r="2121" spans="2:9" x14ac:dyDescent="0.2">
      <c r="B2121" s="57" t="str">
        <f t="shared" si="42"/>
        <v>2014-033-5</v>
      </c>
      <c r="C2121" s="58">
        <v>2014</v>
      </c>
      <c r="D2121" s="58" t="s">
        <v>11</v>
      </c>
      <c r="E2121" s="58">
        <v>5</v>
      </c>
      <c r="F2121" s="59" t="s">
        <v>2205</v>
      </c>
      <c r="G2121" s="58"/>
      <c r="H2121" s="60"/>
      <c r="I2121" s="61"/>
    </row>
    <row r="2122" spans="2:9" x14ac:dyDescent="0.2">
      <c r="B2122" s="62" t="str">
        <f t="shared" si="42"/>
        <v>2014-034-0</v>
      </c>
      <c r="C2122" s="63">
        <v>2014</v>
      </c>
      <c r="D2122" s="63" t="s">
        <v>12</v>
      </c>
      <c r="E2122" s="63">
        <v>0</v>
      </c>
      <c r="F2122" s="64" t="s">
        <v>325</v>
      </c>
      <c r="G2122" s="63"/>
      <c r="H2122" s="65"/>
      <c r="I2122" s="66"/>
    </row>
    <row r="2123" spans="2:9" ht="27" x14ac:dyDescent="0.2">
      <c r="B2123" s="51" t="str">
        <f t="shared" si="42"/>
        <v>2014-034-1</v>
      </c>
      <c r="C2123" s="52">
        <v>2014</v>
      </c>
      <c r="D2123" s="52" t="s">
        <v>12</v>
      </c>
      <c r="E2123" s="52">
        <v>1</v>
      </c>
      <c r="F2123" s="54" t="s">
        <v>704</v>
      </c>
      <c r="G2123" s="52"/>
      <c r="H2123" s="55"/>
      <c r="I2123" s="56"/>
    </row>
    <row r="2124" spans="2:9" x14ac:dyDescent="0.2">
      <c r="B2124" s="51" t="str">
        <f t="shared" si="42"/>
        <v>2014-034-2</v>
      </c>
      <c r="C2124" s="52">
        <v>2014</v>
      </c>
      <c r="D2124" s="52" t="s">
        <v>12</v>
      </c>
      <c r="E2124" s="52">
        <v>2</v>
      </c>
      <c r="F2124" s="54" t="s">
        <v>1085</v>
      </c>
      <c r="G2124" s="52"/>
      <c r="H2124" s="55"/>
      <c r="I2124" s="56"/>
    </row>
    <row r="2125" spans="2:9" ht="27" x14ac:dyDescent="0.2">
      <c r="B2125" s="51" t="str">
        <f t="shared" si="42"/>
        <v>2014-034-3</v>
      </c>
      <c r="C2125" s="52">
        <v>2014</v>
      </c>
      <c r="D2125" s="52" t="s">
        <v>12</v>
      </c>
      <c r="E2125" s="52">
        <v>3</v>
      </c>
      <c r="F2125" s="54" t="s">
        <v>1479</v>
      </c>
      <c r="G2125" s="52"/>
      <c r="H2125" s="55"/>
      <c r="I2125" s="56"/>
    </row>
    <row r="2126" spans="2:9" ht="27" x14ac:dyDescent="0.2">
      <c r="B2126" s="51" t="str">
        <f t="shared" si="42"/>
        <v>2014-034-4</v>
      </c>
      <c r="C2126" s="52">
        <v>2014</v>
      </c>
      <c r="D2126" s="52" t="s">
        <v>12</v>
      </c>
      <c r="E2126" s="52">
        <v>4</v>
      </c>
      <c r="F2126" s="54" t="s">
        <v>1849</v>
      </c>
      <c r="G2126" s="52"/>
      <c r="H2126" s="55"/>
      <c r="I2126" s="56"/>
    </row>
    <row r="2127" spans="2:9" ht="27" x14ac:dyDescent="0.2">
      <c r="B2127" s="57" t="str">
        <f t="shared" si="42"/>
        <v>2014-034-5</v>
      </c>
      <c r="C2127" s="58">
        <v>2014</v>
      </c>
      <c r="D2127" s="58" t="s">
        <v>12</v>
      </c>
      <c r="E2127" s="58">
        <v>5</v>
      </c>
      <c r="F2127" s="59" t="s">
        <v>2206</v>
      </c>
      <c r="G2127" s="58" t="s">
        <v>3391</v>
      </c>
      <c r="H2127" s="60"/>
      <c r="I2127" s="61"/>
    </row>
    <row r="2128" spans="2:9" x14ac:dyDescent="0.2">
      <c r="B2128" s="62" t="str">
        <f t="shared" si="42"/>
        <v>2014-035-0</v>
      </c>
      <c r="C2128" s="63">
        <v>2014</v>
      </c>
      <c r="D2128" s="63" t="s">
        <v>13</v>
      </c>
      <c r="E2128" s="63">
        <v>0</v>
      </c>
      <c r="F2128" s="64" t="s">
        <v>326</v>
      </c>
      <c r="G2128" s="63"/>
      <c r="H2128" s="65"/>
      <c r="I2128" s="66"/>
    </row>
    <row r="2129" spans="2:9" x14ac:dyDescent="0.2">
      <c r="B2129" s="51" t="str">
        <f t="shared" si="42"/>
        <v>2014-035-1</v>
      </c>
      <c r="C2129" s="52">
        <v>2014</v>
      </c>
      <c r="D2129" s="52" t="s">
        <v>13</v>
      </c>
      <c r="E2129" s="52">
        <v>1</v>
      </c>
      <c r="F2129" s="54" t="s">
        <v>705</v>
      </c>
      <c r="G2129" s="52" t="s">
        <v>3391</v>
      </c>
      <c r="H2129" s="55"/>
      <c r="I2129" s="56"/>
    </row>
    <row r="2130" spans="2:9" x14ac:dyDescent="0.2">
      <c r="B2130" s="51" t="str">
        <f t="shared" si="42"/>
        <v>2014-035-2</v>
      </c>
      <c r="C2130" s="52">
        <v>2014</v>
      </c>
      <c r="D2130" s="52" t="s">
        <v>13</v>
      </c>
      <c r="E2130" s="52">
        <v>2</v>
      </c>
      <c r="F2130" s="54" t="s">
        <v>1097</v>
      </c>
      <c r="G2130" s="52"/>
      <c r="H2130" s="55"/>
      <c r="I2130" s="56"/>
    </row>
    <row r="2131" spans="2:9" x14ac:dyDescent="0.2">
      <c r="B2131" s="51" t="str">
        <f t="shared" si="42"/>
        <v>2014-035-3</v>
      </c>
      <c r="C2131" s="52">
        <v>2014</v>
      </c>
      <c r="D2131" s="52" t="s">
        <v>13</v>
      </c>
      <c r="E2131" s="52">
        <v>3</v>
      </c>
      <c r="F2131" s="54" t="s">
        <v>1480</v>
      </c>
      <c r="G2131" s="52"/>
      <c r="H2131" s="55"/>
      <c r="I2131" s="56"/>
    </row>
    <row r="2132" spans="2:9" x14ac:dyDescent="0.2">
      <c r="B2132" s="51" t="str">
        <f t="shared" si="42"/>
        <v>2014-035-4</v>
      </c>
      <c r="C2132" s="52">
        <v>2014</v>
      </c>
      <c r="D2132" s="52" t="s">
        <v>13</v>
      </c>
      <c r="E2132" s="52">
        <v>4</v>
      </c>
      <c r="F2132" s="54" t="s">
        <v>1850</v>
      </c>
      <c r="G2132" s="52"/>
      <c r="H2132" s="55"/>
      <c r="I2132" s="56"/>
    </row>
    <row r="2133" spans="2:9" x14ac:dyDescent="0.2">
      <c r="B2133" s="57" t="str">
        <f t="shared" si="42"/>
        <v>2014-035-5</v>
      </c>
      <c r="C2133" s="58">
        <v>2014</v>
      </c>
      <c r="D2133" s="58" t="s">
        <v>13</v>
      </c>
      <c r="E2133" s="58">
        <v>5</v>
      </c>
      <c r="F2133" s="59" t="s">
        <v>2207</v>
      </c>
      <c r="G2133" s="58"/>
      <c r="H2133" s="60"/>
      <c r="I2133" s="61"/>
    </row>
    <row r="2134" spans="2:9" x14ac:dyDescent="0.2">
      <c r="B2134" s="62" t="str">
        <f t="shared" si="42"/>
        <v>2014-036-0</v>
      </c>
      <c r="C2134" s="63">
        <v>2014</v>
      </c>
      <c r="D2134" s="63" t="s">
        <v>14</v>
      </c>
      <c r="E2134" s="63">
        <v>0</v>
      </c>
      <c r="F2134" s="64" t="s">
        <v>327</v>
      </c>
      <c r="G2134" s="63"/>
      <c r="H2134" s="65"/>
      <c r="I2134" s="66"/>
    </row>
    <row r="2135" spans="2:9" ht="27" x14ac:dyDescent="0.2">
      <c r="B2135" s="51" t="str">
        <f t="shared" si="42"/>
        <v>2014-036-1</v>
      </c>
      <c r="C2135" s="52">
        <v>2014</v>
      </c>
      <c r="D2135" s="52" t="s">
        <v>14</v>
      </c>
      <c r="E2135" s="52">
        <v>1</v>
      </c>
      <c r="F2135" s="54" t="s">
        <v>706</v>
      </c>
      <c r="G2135" s="52"/>
      <c r="H2135" s="55"/>
      <c r="I2135" s="56"/>
    </row>
    <row r="2136" spans="2:9" x14ac:dyDescent="0.2">
      <c r="B2136" s="51" t="str">
        <f t="shared" si="42"/>
        <v>2014-036-2</v>
      </c>
      <c r="C2136" s="52">
        <v>2014</v>
      </c>
      <c r="D2136" s="52" t="s">
        <v>14</v>
      </c>
      <c r="E2136" s="52">
        <v>2</v>
      </c>
      <c r="F2136" s="54" t="s">
        <v>1098</v>
      </c>
      <c r="G2136" s="52" t="s">
        <v>3391</v>
      </c>
      <c r="H2136" s="55"/>
      <c r="I2136" s="56"/>
    </row>
    <row r="2137" spans="2:9" ht="27" x14ac:dyDescent="0.2">
      <c r="B2137" s="51" t="str">
        <f t="shared" si="42"/>
        <v>2014-036-3</v>
      </c>
      <c r="C2137" s="52">
        <v>2014</v>
      </c>
      <c r="D2137" s="52" t="s">
        <v>14</v>
      </c>
      <c r="E2137" s="52">
        <v>3</v>
      </c>
      <c r="F2137" s="54" t="s">
        <v>1481</v>
      </c>
      <c r="G2137" s="52"/>
      <c r="H2137" s="55"/>
      <c r="I2137" s="56"/>
    </row>
    <row r="2138" spans="2:9" ht="27" x14ac:dyDescent="0.2">
      <c r="B2138" s="51" t="str">
        <f t="shared" si="42"/>
        <v>2014-036-4</v>
      </c>
      <c r="C2138" s="52">
        <v>2014</v>
      </c>
      <c r="D2138" s="52" t="s">
        <v>14</v>
      </c>
      <c r="E2138" s="52">
        <v>4</v>
      </c>
      <c r="F2138" s="54" t="s">
        <v>1851</v>
      </c>
      <c r="G2138" s="52"/>
      <c r="H2138" s="55"/>
      <c r="I2138" s="56"/>
    </row>
    <row r="2139" spans="2:9" ht="27" x14ac:dyDescent="0.2">
      <c r="B2139" s="57" t="str">
        <f t="shared" si="42"/>
        <v>2014-036-5</v>
      </c>
      <c r="C2139" s="58">
        <v>2014</v>
      </c>
      <c r="D2139" s="58" t="s">
        <v>14</v>
      </c>
      <c r="E2139" s="58">
        <v>5</v>
      </c>
      <c r="F2139" s="59" t="s">
        <v>2208</v>
      </c>
      <c r="G2139" s="58"/>
      <c r="H2139" s="60"/>
      <c r="I2139" s="61"/>
    </row>
    <row r="2140" spans="2:9" x14ac:dyDescent="0.2">
      <c r="B2140" s="62" t="str">
        <f t="shared" si="42"/>
        <v>2014-037-0</v>
      </c>
      <c r="C2140" s="63">
        <v>2014</v>
      </c>
      <c r="D2140" s="63" t="s">
        <v>15</v>
      </c>
      <c r="E2140" s="63">
        <v>0</v>
      </c>
      <c r="F2140" s="64" t="s">
        <v>328</v>
      </c>
      <c r="G2140" s="63"/>
      <c r="H2140" s="65"/>
      <c r="I2140" s="66"/>
    </row>
    <row r="2141" spans="2:9" x14ac:dyDescent="0.2">
      <c r="B2141" s="51" t="str">
        <f t="shared" si="42"/>
        <v>2014-037-1</v>
      </c>
      <c r="C2141" s="52">
        <v>2014</v>
      </c>
      <c r="D2141" s="52" t="s">
        <v>15</v>
      </c>
      <c r="E2141" s="52">
        <v>1</v>
      </c>
      <c r="F2141" s="54" t="s">
        <v>707</v>
      </c>
      <c r="G2141" s="52"/>
      <c r="H2141" s="55"/>
      <c r="I2141" s="56"/>
    </row>
    <row r="2142" spans="2:9" x14ac:dyDescent="0.2">
      <c r="B2142" s="51" t="str">
        <f t="shared" si="42"/>
        <v>2014-037-2</v>
      </c>
      <c r="C2142" s="52">
        <v>2014</v>
      </c>
      <c r="D2142" s="52" t="s">
        <v>15</v>
      </c>
      <c r="E2142" s="52">
        <v>2</v>
      </c>
      <c r="F2142" s="54" t="s">
        <v>1099</v>
      </c>
      <c r="G2142" s="52"/>
      <c r="H2142" s="55"/>
      <c r="I2142" s="56"/>
    </row>
    <row r="2143" spans="2:9" ht="27" x14ac:dyDescent="0.2">
      <c r="B2143" s="51" t="str">
        <f t="shared" si="42"/>
        <v>2014-037-3</v>
      </c>
      <c r="C2143" s="52">
        <v>2014</v>
      </c>
      <c r="D2143" s="52" t="s">
        <v>15</v>
      </c>
      <c r="E2143" s="52">
        <v>3</v>
      </c>
      <c r="F2143" s="54" t="s">
        <v>1482</v>
      </c>
      <c r="G2143" s="52"/>
      <c r="H2143" s="55"/>
      <c r="I2143" s="56"/>
    </row>
    <row r="2144" spans="2:9" ht="40.5" x14ac:dyDescent="0.2">
      <c r="B2144" s="51" t="str">
        <f t="shared" si="42"/>
        <v>2014-037-4</v>
      </c>
      <c r="C2144" s="52">
        <v>2014</v>
      </c>
      <c r="D2144" s="52" t="s">
        <v>15</v>
      </c>
      <c r="E2144" s="52">
        <v>4</v>
      </c>
      <c r="F2144" s="54" t="s">
        <v>1852</v>
      </c>
      <c r="G2144" s="52" t="s">
        <v>3391</v>
      </c>
      <c r="H2144" s="55"/>
      <c r="I2144" s="56"/>
    </row>
    <row r="2145" spans="2:9" ht="27" x14ac:dyDescent="0.2">
      <c r="B2145" s="57" t="str">
        <f t="shared" si="42"/>
        <v>2014-037-5</v>
      </c>
      <c r="C2145" s="58">
        <v>2014</v>
      </c>
      <c r="D2145" s="58" t="s">
        <v>15</v>
      </c>
      <c r="E2145" s="58">
        <v>5</v>
      </c>
      <c r="F2145" s="59" t="s">
        <v>2209</v>
      </c>
      <c r="G2145" s="58"/>
      <c r="H2145" s="60"/>
      <c r="I2145" s="61"/>
    </row>
    <row r="2146" spans="2:9" x14ac:dyDescent="0.2">
      <c r="B2146" s="62" t="str">
        <f t="shared" si="42"/>
        <v>2014-038-0</v>
      </c>
      <c r="C2146" s="63">
        <v>2014</v>
      </c>
      <c r="D2146" s="63" t="s">
        <v>16</v>
      </c>
      <c r="E2146" s="63">
        <v>0</v>
      </c>
      <c r="F2146" s="64" t="s">
        <v>224</v>
      </c>
      <c r="G2146" s="63"/>
      <c r="H2146" s="65"/>
      <c r="I2146" s="66"/>
    </row>
    <row r="2147" spans="2:9" x14ac:dyDescent="0.2">
      <c r="B2147" s="51" t="str">
        <f t="shared" si="42"/>
        <v>2014-038-1</v>
      </c>
      <c r="C2147" s="52">
        <v>2014</v>
      </c>
      <c r="D2147" s="52" t="s">
        <v>16</v>
      </c>
      <c r="E2147" s="52">
        <v>1</v>
      </c>
      <c r="F2147" s="54" t="s">
        <v>580</v>
      </c>
      <c r="G2147" s="52"/>
      <c r="H2147" s="55"/>
      <c r="I2147" s="56"/>
    </row>
    <row r="2148" spans="2:9" x14ac:dyDescent="0.2">
      <c r="B2148" s="51" t="str">
        <f t="shared" si="42"/>
        <v>2014-038-2</v>
      </c>
      <c r="C2148" s="52">
        <v>2014</v>
      </c>
      <c r="D2148" s="52" t="s">
        <v>16</v>
      </c>
      <c r="E2148" s="52">
        <v>2</v>
      </c>
      <c r="F2148" s="54" t="s">
        <v>1100</v>
      </c>
      <c r="G2148" s="52"/>
      <c r="H2148" s="55"/>
      <c r="I2148" s="56"/>
    </row>
    <row r="2149" spans="2:9" x14ac:dyDescent="0.2">
      <c r="B2149" s="51" t="str">
        <f t="shared" si="42"/>
        <v>2014-038-3</v>
      </c>
      <c r="C2149" s="52">
        <v>2014</v>
      </c>
      <c r="D2149" s="52" t="s">
        <v>16</v>
      </c>
      <c r="E2149" s="52">
        <v>3</v>
      </c>
      <c r="F2149" s="54" t="s">
        <v>1483</v>
      </c>
      <c r="G2149" s="52" t="s">
        <v>3391</v>
      </c>
      <c r="H2149" s="55"/>
      <c r="I2149" s="56"/>
    </row>
    <row r="2150" spans="2:9" x14ac:dyDescent="0.2">
      <c r="B2150" s="51" t="str">
        <f t="shared" si="42"/>
        <v>2014-038-4</v>
      </c>
      <c r="C2150" s="52">
        <v>2014</v>
      </c>
      <c r="D2150" s="52" t="s">
        <v>16</v>
      </c>
      <c r="E2150" s="52">
        <v>4</v>
      </c>
      <c r="F2150" s="54" t="s">
        <v>1340</v>
      </c>
      <c r="G2150" s="52"/>
      <c r="H2150" s="55"/>
      <c r="I2150" s="56"/>
    </row>
    <row r="2151" spans="2:9" x14ac:dyDescent="0.2">
      <c r="B2151" s="57" t="str">
        <f t="shared" si="42"/>
        <v>2014-038-5</v>
      </c>
      <c r="C2151" s="58">
        <v>2014</v>
      </c>
      <c r="D2151" s="58" t="s">
        <v>16</v>
      </c>
      <c r="E2151" s="58">
        <v>5</v>
      </c>
      <c r="F2151" s="59" t="s">
        <v>2210</v>
      </c>
      <c r="G2151" s="58"/>
      <c r="H2151" s="60"/>
      <c r="I2151" s="61"/>
    </row>
    <row r="2152" spans="2:9" x14ac:dyDescent="0.2">
      <c r="B2152" s="62" t="str">
        <f t="shared" si="42"/>
        <v>2014-039-0</v>
      </c>
      <c r="C2152" s="63">
        <v>2014</v>
      </c>
      <c r="D2152" s="63" t="s">
        <v>17</v>
      </c>
      <c r="E2152" s="63">
        <v>0</v>
      </c>
      <c r="F2152" s="64" t="s">
        <v>329</v>
      </c>
      <c r="G2152" s="63"/>
      <c r="H2152" s="65"/>
      <c r="I2152" s="66"/>
    </row>
    <row r="2153" spans="2:9" x14ac:dyDescent="0.2">
      <c r="B2153" s="51" t="str">
        <f t="shared" si="42"/>
        <v>2014-039-1</v>
      </c>
      <c r="C2153" s="52">
        <v>2014</v>
      </c>
      <c r="D2153" s="52" t="s">
        <v>17</v>
      </c>
      <c r="E2153" s="52">
        <v>1</v>
      </c>
      <c r="F2153" s="54" t="s">
        <v>708</v>
      </c>
      <c r="G2153" s="52"/>
      <c r="H2153" s="55"/>
      <c r="I2153" s="56"/>
    </row>
    <row r="2154" spans="2:9" x14ac:dyDescent="0.2">
      <c r="B2154" s="51" t="str">
        <f t="shared" si="42"/>
        <v>2014-039-2</v>
      </c>
      <c r="C2154" s="52">
        <v>2014</v>
      </c>
      <c r="D2154" s="52" t="s">
        <v>17</v>
      </c>
      <c r="E2154" s="52">
        <v>2</v>
      </c>
      <c r="F2154" s="54" t="s">
        <v>1101</v>
      </c>
      <c r="G2154" s="52" t="s">
        <v>3391</v>
      </c>
      <c r="H2154" s="55"/>
      <c r="I2154" s="56"/>
    </row>
    <row r="2155" spans="2:9" x14ac:dyDescent="0.2">
      <c r="B2155" s="51" t="str">
        <f t="shared" si="42"/>
        <v>2014-039-3</v>
      </c>
      <c r="C2155" s="52">
        <v>2014</v>
      </c>
      <c r="D2155" s="52" t="s">
        <v>17</v>
      </c>
      <c r="E2155" s="52">
        <v>3</v>
      </c>
      <c r="F2155" s="54" t="s">
        <v>1484</v>
      </c>
      <c r="G2155" s="52"/>
      <c r="H2155" s="55"/>
      <c r="I2155" s="56"/>
    </row>
    <row r="2156" spans="2:9" x14ac:dyDescent="0.2">
      <c r="B2156" s="51" t="str">
        <f t="shared" si="42"/>
        <v>2014-039-4</v>
      </c>
      <c r="C2156" s="52">
        <v>2014</v>
      </c>
      <c r="D2156" s="52" t="s">
        <v>17</v>
      </c>
      <c r="E2156" s="52">
        <v>4</v>
      </c>
      <c r="F2156" s="54" t="s">
        <v>1853</v>
      </c>
      <c r="G2156" s="52"/>
      <c r="H2156" s="55"/>
      <c r="I2156" s="56"/>
    </row>
    <row r="2157" spans="2:9" ht="27" x14ac:dyDescent="0.2">
      <c r="B2157" s="57" t="str">
        <f t="shared" si="42"/>
        <v>2014-039-5</v>
      </c>
      <c r="C2157" s="58">
        <v>2014</v>
      </c>
      <c r="D2157" s="58" t="s">
        <v>17</v>
      </c>
      <c r="E2157" s="58">
        <v>5</v>
      </c>
      <c r="F2157" s="59" t="s">
        <v>2211</v>
      </c>
      <c r="G2157" s="58"/>
      <c r="H2157" s="60"/>
      <c r="I2157" s="61"/>
    </row>
    <row r="2158" spans="2:9" x14ac:dyDescent="0.2">
      <c r="B2158" s="62" t="str">
        <f t="shared" si="42"/>
        <v>2014-040-0</v>
      </c>
      <c r="C2158" s="63">
        <v>2014</v>
      </c>
      <c r="D2158" s="63" t="s">
        <v>18</v>
      </c>
      <c r="E2158" s="63">
        <v>0</v>
      </c>
      <c r="F2158" s="64" t="s">
        <v>315</v>
      </c>
      <c r="G2158" s="63"/>
      <c r="H2158" s="65"/>
      <c r="I2158" s="66"/>
    </row>
    <row r="2159" spans="2:9" x14ac:dyDescent="0.2">
      <c r="B2159" s="51" t="str">
        <f t="shared" si="42"/>
        <v>2014-040-1</v>
      </c>
      <c r="C2159" s="52">
        <v>2014</v>
      </c>
      <c r="D2159" s="52" t="s">
        <v>18</v>
      </c>
      <c r="E2159" s="52">
        <v>1</v>
      </c>
      <c r="F2159" s="54" t="s">
        <v>709</v>
      </c>
      <c r="G2159" s="52" t="s">
        <v>3391</v>
      </c>
      <c r="H2159" s="55"/>
      <c r="I2159" s="56"/>
    </row>
    <row r="2160" spans="2:9" x14ac:dyDescent="0.2">
      <c r="B2160" s="51" t="str">
        <f t="shared" si="42"/>
        <v>2014-040-2</v>
      </c>
      <c r="C2160" s="52">
        <v>2014</v>
      </c>
      <c r="D2160" s="52" t="s">
        <v>18</v>
      </c>
      <c r="E2160" s="52">
        <v>2</v>
      </c>
      <c r="F2160" s="54" t="s">
        <v>1102</v>
      </c>
      <c r="G2160" s="52"/>
      <c r="H2160" s="55"/>
      <c r="I2160" s="56"/>
    </row>
    <row r="2161" spans="2:9" x14ac:dyDescent="0.2">
      <c r="B2161" s="51" t="str">
        <f t="shared" si="42"/>
        <v>2014-040-3</v>
      </c>
      <c r="C2161" s="52">
        <v>2014</v>
      </c>
      <c r="D2161" s="52" t="s">
        <v>18</v>
      </c>
      <c r="E2161" s="52">
        <v>3</v>
      </c>
      <c r="F2161" s="54" t="s">
        <v>1485</v>
      </c>
      <c r="G2161" s="52"/>
      <c r="H2161" s="55"/>
      <c r="I2161" s="56"/>
    </row>
    <row r="2162" spans="2:9" x14ac:dyDescent="0.2">
      <c r="B2162" s="51" t="str">
        <f t="shared" si="42"/>
        <v>2014-040-4</v>
      </c>
      <c r="C2162" s="52">
        <v>2014</v>
      </c>
      <c r="D2162" s="52" t="s">
        <v>18</v>
      </c>
      <c r="E2162" s="52">
        <v>4</v>
      </c>
      <c r="F2162" s="54" t="s">
        <v>1854</v>
      </c>
      <c r="G2162" s="52"/>
      <c r="H2162" s="55"/>
      <c r="I2162" s="56"/>
    </row>
    <row r="2163" spans="2:9" x14ac:dyDescent="0.2">
      <c r="B2163" s="57" t="str">
        <f t="shared" si="42"/>
        <v>2014-040-5</v>
      </c>
      <c r="C2163" s="58">
        <v>2014</v>
      </c>
      <c r="D2163" s="58" t="s">
        <v>18</v>
      </c>
      <c r="E2163" s="58">
        <v>5</v>
      </c>
      <c r="F2163" s="59" t="s">
        <v>2212</v>
      </c>
      <c r="G2163" s="58"/>
      <c r="H2163" s="60"/>
      <c r="I2163" s="61"/>
    </row>
    <row r="2164" spans="2:9" x14ac:dyDescent="0.2">
      <c r="B2164" s="62" t="str">
        <f t="shared" si="42"/>
        <v>2014-041-0</v>
      </c>
      <c r="C2164" s="63">
        <v>2014</v>
      </c>
      <c r="D2164" s="63" t="s">
        <v>72</v>
      </c>
      <c r="E2164" s="63">
        <v>0</v>
      </c>
      <c r="F2164" s="64" t="s">
        <v>330</v>
      </c>
      <c r="G2164" s="63"/>
      <c r="H2164" s="65"/>
      <c r="I2164" s="66"/>
    </row>
    <row r="2165" spans="2:9" ht="27" x14ac:dyDescent="0.2">
      <c r="B2165" s="51" t="str">
        <f t="shared" si="42"/>
        <v>2014-041-1</v>
      </c>
      <c r="C2165" s="52">
        <v>2014</v>
      </c>
      <c r="D2165" s="52" t="s">
        <v>72</v>
      </c>
      <c r="E2165" s="52">
        <v>1</v>
      </c>
      <c r="F2165" s="54" t="s">
        <v>710</v>
      </c>
      <c r="G2165" s="52"/>
      <c r="H2165" s="55"/>
      <c r="I2165" s="56"/>
    </row>
    <row r="2166" spans="2:9" ht="27" x14ac:dyDescent="0.2">
      <c r="B2166" s="51" t="str">
        <f t="shared" si="42"/>
        <v>2014-041-2</v>
      </c>
      <c r="C2166" s="52">
        <v>2014</v>
      </c>
      <c r="D2166" s="52" t="s">
        <v>72</v>
      </c>
      <c r="E2166" s="52">
        <v>2</v>
      </c>
      <c r="F2166" s="54" t="s">
        <v>1103</v>
      </c>
      <c r="G2166" s="52"/>
      <c r="H2166" s="55"/>
      <c r="I2166" s="56"/>
    </row>
    <row r="2167" spans="2:9" ht="27" x14ac:dyDescent="0.2">
      <c r="B2167" s="51" t="str">
        <f t="shared" si="42"/>
        <v>2014-041-3</v>
      </c>
      <c r="C2167" s="52">
        <v>2014</v>
      </c>
      <c r="D2167" s="52" t="s">
        <v>72</v>
      </c>
      <c r="E2167" s="52">
        <v>3</v>
      </c>
      <c r="F2167" s="54" t="s">
        <v>1486</v>
      </c>
      <c r="G2167" s="52" t="s">
        <v>3391</v>
      </c>
      <c r="H2167" s="55"/>
      <c r="I2167" s="56"/>
    </row>
    <row r="2168" spans="2:9" ht="27" x14ac:dyDescent="0.2">
      <c r="B2168" s="51" t="str">
        <f t="shared" si="42"/>
        <v>2014-041-4</v>
      </c>
      <c r="C2168" s="52">
        <v>2014</v>
      </c>
      <c r="D2168" s="52" t="s">
        <v>72</v>
      </c>
      <c r="E2168" s="52">
        <v>4</v>
      </c>
      <c r="F2168" s="54" t="s">
        <v>1855</v>
      </c>
      <c r="G2168" s="52"/>
      <c r="H2168" s="55"/>
      <c r="I2168" s="56"/>
    </row>
    <row r="2169" spans="2:9" ht="27" x14ac:dyDescent="0.2">
      <c r="B2169" s="57" t="str">
        <f t="shared" si="42"/>
        <v>2014-041-5</v>
      </c>
      <c r="C2169" s="58">
        <v>2014</v>
      </c>
      <c r="D2169" s="58" t="s">
        <v>72</v>
      </c>
      <c r="E2169" s="58">
        <v>5</v>
      </c>
      <c r="F2169" s="59" t="s">
        <v>2213</v>
      </c>
      <c r="G2169" s="58"/>
      <c r="H2169" s="60"/>
      <c r="I2169" s="61"/>
    </row>
    <row r="2170" spans="2:9" x14ac:dyDescent="0.2">
      <c r="B2170" s="62" t="str">
        <f t="shared" si="42"/>
        <v>2014-042-0</v>
      </c>
      <c r="C2170" s="63">
        <v>2014</v>
      </c>
      <c r="D2170" s="63" t="s">
        <v>73</v>
      </c>
      <c r="E2170" s="63">
        <v>0</v>
      </c>
      <c r="F2170" s="64" t="s">
        <v>331</v>
      </c>
      <c r="G2170" s="63"/>
      <c r="H2170" s="65"/>
      <c r="I2170" s="66"/>
    </row>
    <row r="2171" spans="2:9" x14ac:dyDescent="0.2">
      <c r="B2171" s="51" t="str">
        <f t="shared" ref="B2171:B2223" si="43">C2171&amp;"-"&amp;D2171&amp;"-"&amp;E2171</f>
        <v>2014-042-1</v>
      </c>
      <c r="C2171" s="52">
        <v>2014</v>
      </c>
      <c r="D2171" s="52" t="s">
        <v>73</v>
      </c>
      <c r="E2171" s="52">
        <v>1</v>
      </c>
      <c r="F2171" s="54" t="s">
        <v>711</v>
      </c>
      <c r="G2171" s="52"/>
      <c r="H2171" s="55"/>
      <c r="I2171" s="56"/>
    </row>
    <row r="2172" spans="2:9" ht="27" x14ac:dyDescent="0.2">
      <c r="B2172" s="51" t="str">
        <f t="shared" si="43"/>
        <v>2014-042-2</v>
      </c>
      <c r="C2172" s="52">
        <v>2014</v>
      </c>
      <c r="D2172" s="52" t="s">
        <v>73</v>
      </c>
      <c r="E2172" s="52">
        <v>2</v>
      </c>
      <c r="F2172" s="54" t="s">
        <v>1104</v>
      </c>
      <c r="G2172" s="52"/>
      <c r="H2172" s="55"/>
      <c r="I2172" s="56"/>
    </row>
    <row r="2173" spans="2:9" ht="27" x14ac:dyDescent="0.2">
      <c r="B2173" s="51" t="str">
        <f t="shared" si="43"/>
        <v>2014-042-3</v>
      </c>
      <c r="C2173" s="52">
        <v>2014</v>
      </c>
      <c r="D2173" s="52" t="s">
        <v>73</v>
      </c>
      <c r="E2173" s="52">
        <v>3</v>
      </c>
      <c r="F2173" s="54" t="s">
        <v>1487</v>
      </c>
      <c r="G2173" s="52" t="s">
        <v>3391</v>
      </c>
      <c r="H2173" s="55"/>
      <c r="I2173" s="56"/>
    </row>
    <row r="2174" spans="2:9" ht="27" x14ac:dyDescent="0.2">
      <c r="B2174" s="51" t="str">
        <f t="shared" si="43"/>
        <v>2014-042-4</v>
      </c>
      <c r="C2174" s="52">
        <v>2014</v>
      </c>
      <c r="D2174" s="52" t="s">
        <v>73</v>
      </c>
      <c r="E2174" s="52">
        <v>4</v>
      </c>
      <c r="F2174" s="54" t="s">
        <v>1856</v>
      </c>
      <c r="G2174" s="52"/>
      <c r="H2174" s="55"/>
      <c r="I2174" s="56"/>
    </row>
    <row r="2175" spans="2:9" x14ac:dyDescent="0.2">
      <c r="B2175" s="57" t="str">
        <f t="shared" si="43"/>
        <v>2014-042-5</v>
      </c>
      <c r="C2175" s="58">
        <v>2014</v>
      </c>
      <c r="D2175" s="58" t="s">
        <v>73</v>
      </c>
      <c r="E2175" s="58">
        <v>5</v>
      </c>
      <c r="F2175" s="59" t="s">
        <v>2214</v>
      </c>
      <c r="G2175" s="58"/>
      <c r="H2175" s="60"/>
      <c r="I2175" s="61"/>
    </row>
    <row r="2176" spans="2:9" x14ac:dyDescent="0.2">
      <c r="B2176" s="62" t="str">
        <f t="shared" si="43"/>
        <v>2014-043-0</v>
      </c>
      <c r="C2176" s="63">
        <v>2014</v>
      </c>
      <c r="D2176" s="63" t="s">
        <v>74</v>
      </c>
      <c r="E2176" s="63">
        <v>0</v>
      </c>
      <c r="F2176" s="64" t="s">
        <v>261</v>
      </c>
      <c r="G2176" s="63"/>
      <c r="H2176" s="65"/>
      <c r="I2176" s="66"/>
    </row>
    <row r="2177" spans="2:9" ht="27" x14ac:dyDescent="0.2">
      <c r="B2177" s="51" t="str">
        <f t="shared" si="43"/>
        <v>2014-043-1</v>
      </c>
      <c r="C2177" s="52">
        <v>2014</v>
      </c>
      <c r="D2177" s="52" t="s">
        <v>74</v>
      </c>
      <c r="E2177" s="52">
        <v>1</v>
      </c>
      <c r="F2177" s="54" t="s">
        <v>587</v>
      </c>
      <c r="G2177" s="52"/>
      <c r="H2177" s="55"/>
      <c r="I2177" s="56"/>
    </row>
    <row r="2178" spans="2:9" x14ac:dyDescent="0.2">
      <c r="B2178" s="51" t="str">
        <f t="shared" si="43"/>
        <v>2014-043-2</v>
      </c>
      <c r="C2178" s="52">
        <v>2014</v>
      </c>
      <c r="D2178" s="52" t="s">
        <v>74</v>
      </c>
      <c r="E2178" s="52">
        <v>2</v>
      </c>
      <c r="F2178" s="54" t="s">
        <v>1023</v>
      </c>
      <c r="G2178" s="52"/>
      <c r="H2178" s="55"/>
      <c r="I2178" s="56"/>
    </row>
    <row r="2179" spans="2:9" ht="27" x14ac:dyDescent="0.2">
      <c r="B2179" s="51" t="str">
        <f t="shared" si="43"/>
        <v>2014-043-3</v>
      </c>
      <c r="C2179" s="52">
        <v>2014</v>
      </c>
      <c r="D2179" s="52" t="s">
        <v>74</v>
      </c>
      <c r="E2179" s="52">
        <v>3</v>
      </c>
      <c r="F2179" s="54" t="s">
        <v>1488</v>
      </c>
      <c r="G2179" s="52"/>
      <c r="H2179" s="55"/>
      <c r="I2179" s="56"/>
    </row>
    <row r="2180" spans="2:9" ht="27" x14ac:dyDescent="0.2">
      <c r="B2180" s="51" t="str">
        <f t="shared" si="43"/>
        <v>2014-043-4</v>
      </c>
      <c r="C2180" s="52">
        <v>2014</v>
      </c>
      <c r="D2180" s="52" t="s">
        <v>74</v>
      </c>
      <c r="E2180" s="52">
        <v>4</v>
      </c>
      <c r="F2180" s="54" t="s">
        <v>1857</v>
      </c>
      <c r="G2180" s="52" t="s">
        <v>3391</v>
      </c>
      <c r="H2180" s="55"/>
      <c r="I2180" s="56"/>
    </row>
    <row r="2181" spans="2:9" x14ac:dyDescent="0.2">
      <c r="B2181" s="57" t="str">
        <f t="shared" si="43"/>
        <v>2014-043-5</v>
      </c>
      <c r="C2181" s="58">
        <v>2014</v>
      </c>
      <c r="D2181" s="58" t="s">
        <v>74</v>
      </c>
      <c r="E2181" s="58">
        <v>5</v>
      </c>
      <c r="F2181" s="59" t="s">
        <v>1468</v>
      </c>
      <c r="G2181" s="58"/>
      <c r="H2181" s="60"/>
      <c r="I2181" s="61"/>
    </row>
    <row r="2182" spans="2:9" x14ac:dyDescent="0.2">
      <c r="B2182" s="62" t="str">
        <f t="shared" si="43"/>
        <v>2014-044-0</v>
      </c>
      <c r="C2182" s="63">
        <v>2014</v>
      </c>
      <c r="D2182" s="63" t="s">
        <v>75</v>
      </c>
      <c r="E2182" s="63">
        <v>0</v>
      </c>
      <c r="F2182" s="64" t="s">
        <v>332</v>
      </c>
      <c r="G2182" s="63"/>
      <c r="H2182" s="65"/>
      <c r="I2182" s="66"/>
    </row>
    <row r="2183" spans="2:9" x14ac:dyDescent="0.2">
      <c r="B2183" s="51" t="str">
        <f t="shared" si="43"/>
        <v>2014-044-1</v>
      </c>
      <c r="C2183" s="52">
        <v>2014</v>
      </c>
      <c r="D2183" s="52" t="s">
        <v>75</v>
      </c>
      <c r="E2183" s="52">
        <v>1</v>
      </c>
      <c r="F2183" s="54" t="s">
        <v>712</v>
      </c>
      <c r="G2183" s="52"/>
      <c r="H2183" s="55"/>
      <c r="I2183" s="56"/>
    </row>
    <row r="2184" spans="2:9" x14ac:dyDescent="0.2">
      <c r="B2184" s="51" t="str">
        <f t="shared" si="43"/>
        <v>2014-044-2</v>
      </c>
      <c r="C2184" s="52">
        <v>2014</v>
      </c>
      <c r="D2184" s="52" t="s">
        <v>75</v>
      </c>
      <c r="E2184" s="52">
        <v>2</v>
      </c>
      <c r="F2184" s="54" t="s">
        <v>1105</v>
      </c>
      <c r="G2184" s="52"/>
      <c r="H2184" s="55"/>
      <c r="I2184" s="56"/>
    </row>
    <row r="2185" spans="2:9" x14ac:dyDescent="0.2">
      <c r="B2185" s="51" t="str">
        <f t="shared" si="43"/>
        <v>2014-044-3</v>
      </c>
      <c r="C2185" s="52">
        <v>2014</v>
      </c>
      <c r="D2185" s="52" t="s">
        <v>75</v>
      </c>
      <c r="E2185" s="52">
        <v>3</v>
      </c>
      <c r="F2185" s="54" t="s">
        <v>1489</v>
      </c>
      <c r="G2185" s="52" t="s">
        <v>3391</v>
      </c>
      <c r="H2185" s="55"/>
      <c r="I2185" s="56"/>
    </row>
    <row r="2186" spans="2:9" x14ac:dyDescent="0.2">
      <c r="B2186" s="51" t="str">
        <f t="shared" si="43"/>
        <v>2014-044-4</v>
      </c>
      <c r="C2186" s="52">
        <v>2014</v>
      </c>
      <c r="D2186" s="52" t="s">
        <v>75</v>
      </c>
      <c r="E2186" s="52">
        <v>4</v>
      </c>
      <c r="F2186" s="54" t="s">
        <v>1858</v>
      </c>
      <c r="G2186" s="52"/>
      <c r="H2186" s="55"/>
      <c r="I2186" s="56"/>
    </row>
    <row r="2187" spans="2:9" x14ac:dyDescent="0.2">
      <c r="B2187" s="57" t="str">
        <f t="shared" si="43"/>
        <v>2014-044-5</v>
      </c>
      <c r="C2187" s="58">
        <v>2014</v>
      </c>
      <c r="D2187" s="58" t="s">
        <v>75</v>
      </c>
      <c r="E2187" s="58">
        <v>5</v>
      </c>
      <c r="F2187" s="59" t="s">
        <v>2215</v>
      </c>
      <c r="G2187" s="58"/>
      <c r="H2187" s="60"/>
      <c r="I2187" s="61"/>
    </row>
    <row r="2188" spans="2:9" x14ac:dyDescent="0.2">
      <c r="B2188" s="62" t="str">
        <f t="shared" si="43"/>
        <v>2014-045-0</v>
      </c>
      <c r="C2188" s="63">
        <v>2014</v>
      </c>
      <c r="D2188" s="63" t="s">
        <v>76</v>
      </c>
      <c r="E2188" s="63">
        <v>0</v>
      </c>
      <c r="F2188" s="64" t="s">
        <v>332</v>
      </c>
      <c r="G2188" s="63"/>
      <c r="H2188" s="65"/>
      <c r="I2188" s="66"/>
    </row>
    <row r="2189" spans="2:9" ht="27" x14ac:dyDescent="0.2">
      <c r="B2189" s="51" t="str">
        <f t="shared" si="43"/>
        <v>2014-045-1</v>
      </c>
      <c r="C2189" s="52">
        <v>2014</v>
      </c>
      <c r="D2189" s="52" t="s">
        <v>76</v>
      </c>
      <c r="E2189" s="52">
        <v>1</v>
      </c>
      <c r="F2189" s="54" t="s">
        <v>713</v>
      </c>
      <c r="G2189" s="52" t="s">
        <v>3391</v>
      </c>
      <c r="H2189" s="55"/>
      <c r="I2189" s="56"/>
    </row>
    <row r="2190" spans="2:9" ht="27" x14ac:dyDescent="0.2">
      <c r="B2190" s="51" t="str">
        <f t="shared" si="43"/>
        <v>2014-045-2</v>
      </c>
      <c r="C2190" s="52">
        <v>2014</v>
      </c>
      <c r="D2190" s="52" t="s">
        <v>76</v>
      </c>
      <c r="E2190" s="52">
        <v>2</v>
      </c>
      <c r="F2190" s="54" t="s">
        <v>1106</v>
      </c>
      <c r="G2190" s="52"/>
      <c r="H2190" s="55"/>
      <c r="I2190" s="56"/>
    </row>
    <row r="2191" spans="2:9" ht="27" x14ac:dyDescent="0.2">
      <c r="B2191" s="51" t="str">
        <f t="shared" si="43"/>
        <v>2014-045-3</v>
      </c>
      <c r="C2191" s="52">
        <v>2014</v>
      </c>
      <c r="D2191" s="52" t="s">
        <v>76</v>
      </c>
      <c r="E2191" s="52">
        <v>3</v>
      </c>
      <c r="F2191" s="54" t="s">
        <v>1490</v>
      </c>
      <c r="G2191" s="52"/>
      <c r="H2191" s="55"/>
      <c r="I2191" s="56"/>
    </row>
    <row r="2192" spans="2:9" x14ac:dyDescent="0.2">
      <c r="B2192" s="51" t="str">
        <f t="shared" si="43"/>
        <v>2014-045-4</v>
      </c>
      <c r="C2192" s="52">
        <v>2014</v>
      </c>
      <c r="D2192" s="52" t="s">
        <v>76</v>
      </c>
      <c r="E2192" s="52">
        <v>4</v>
      </c>
      <c r="F2192" s="54" t="s">
        <v>1859</v>
      </c>
      <c r="G2192" s="52"/>
      <c r="H2192" s="55"/>
      <c r="I2192" s="56"/>
    </row>
    <row r="2193" spans="2:9" ht="27" x14ac:dyDescent="0.2">
      <c r="B2193" s="57" t="str">
        <f t="shared" si="43"/>
        <v>2014-045-5</v>
      </c>
      <c r="C2193" s="58">
        <v>2014</v>
      </c>
      <c r="D2193" s="58" t="s">
        <v>76</v>
      </c>
      <c r="E2193" s="58">
        <v>5</v>
      </c>
      <c r="F2193" s="59" t="s">
        <v>2216</v>
      </c>
      <c r="G2193" s="58"/>
      <c r="H2193" s="60"/>
      <c r="I2193" s="61"/>
    </row>
    <row r="2194" spans="2:9" x14ac:dyDescent="0.2">
      <c r="B2194" s="62" t="str">
        <f t="shared" si="43"/>
        <v>2014-046-0</v>
      </c>
      <c r="C2194" s="63">
        <v>2014</v>
      </c>
      <c r="D2194" s="63" t="s">
        <v>77</v>
      </c>
      <c r="E2194" s="63">
        <v>0</v>
      </c>
      <c r="F2194" s="64" t="s">
        <v>333</v>
      </c>
      <c r="G2194" s="63"/>
      <c r="H2194" s="65"/>
      <c r="I2194" s="66"/>
    </row>
    <row r="2195" spans="2:9" x14ac:dyDescent="0.2">
      <c r="B2195" s="51" t="str">
        <f t="shared" si="43"/>
        <v>2014-046-1</v>
      </c>
      <c r="C2195" s="52">
        <v>2014</v>
      </c>
      <c r="D2195" s="52" t="s">
        <v>77</v>
      </c>
      <c r="E2195" s="52">
        <v>1</v>
      </c>
      <c r="F2195" s="54" t="s">
        <v>714</v>
      </c>
      <c r="G2195" s="52"/>
      <c r="H2195" s="55"/>
      <c r="I2195" s="56"/>
    </row>
    <row r="2196" spans="2:9" x14ac:dyDescent="0.2">
      <c r="B2196" s="51" t="str">
        <f t="shared" si="43"/>
        <v>2014-046-2</v>
      </c>
      <c r="C2196" s="52">
        <v>2014</v>
      </c>
      <c r="D2196" s="52" t="s">
        <v>77</v>
      </c>
      <c r="E2196" s="52">
        <v>2</v>
      </c>
      <c r="F2196" s="54" t="s">
        <v>1107</v>
      </c>
      <c r="G2196" s="52"/>
      <c r="H2196" s="55"/>
      <c r="I2196" s="56"/>
    </row>
    <row r="2197" spans="2:9" x14ac:dyDescent="0.2">
      <c r="B2197" s="51" t="str">
        <f t="shared" si="43"/>
        <v>2014-046-3</v>
      </c>
      <c r="C2197" s="52">
        <v>2014</v>
      </c>
      <c r="D2197" s="52" t="s">
        <v>77</v>
      </c>
      <c r="E2197" s="52">
        <v>3</v>
      </c>
      <c r="F2197" s="54" t="s">
        <v>1491</v>
      </c>
      <c r="G2197" s="52"/>
      <c r="H2197" s="55"/>
      <c r="I2197" s="56"/>
    </row>
    <row r="2198" spans="2:9" x14ac:dyDescent="0.2">
      <c r="B2198" s="51" t="str">
        <f t="shared" si="43"/>
        <v>2014-046-4</v>
      </c>
      <c r="C2198" s="52">
        <v>2014</v>
      </c>
      <c r="D2198" s="52" t="s">
        <v>77</v>
      </c>
      <c r="E2198" s="52">
        <v>4</v>
      </c>
      <c r="F2198" s="54" t="s">
        <v>1860</v>
      </c>
      <c r="G2198" s="52" t="s">
        <v>3391</v>
      </c>
      <c r="H2198" s="55"/>
      <c r="I2198" s="56"/>
    </row>
    <row r="2199" spans="2:9" x14ac:dyDescent="0.2">
      <c r="B2199" s="57" t="str">
        <f t="shared" si="43"/>
        <v>2014-046-5</v>
      </c>
      <c r="C2199" s="58">
        <v>2014</v>
      </c>
      <c r="D2199" s="58" t="s">
        <v>77</v>
      </c>
      <c r="E2199" s="58">
        <v>5</v>
      </c>
      <c r="F2199" s="59" t="s">
        <v>2217</v>
      </c>
      <c r="G2199" s="58"/>
      <c r="H2199" s="60"/>
      <c r="I2199" s="61"/>
    </row>
    <row r="2200" spans="2:9" x14ac:dyDescent="0.2">
      <c r="B2200" s="62" t="str">
        <f t="shared" si="43"/>
        <v>2014-047-0</v>
      </c>
      <c r="C2200" s="63">
        <v>2014</v>
      </c>
      <c r="D2200" s="63" t="s">
        <v>78</v>
      </c>
      <c r="E2200" s="63">
        <v>0</v>
      </c>
      <c r="F2200" s="64" t="s">
        <v>194</v>
      </c>
      <c r="G2200" s="63"/>
      <c r="H2200" s="65"/>
      <c r="I2200" s="66"/>
    </row>
    <row r="2201" spans="2:9" x14ac:dyDescent="0.2">
      <c r="B2201" s="51" t="str">
        <f t="shared" si="43"/>
        <v>2014-047-1</v>
      </c>
      <c r="C2201" s="52">
        <v>2014</v>
      </c>
      <c r="D2201" s="52" t="s">
        <v>78</v>
      </c>
      <c r="E2201" s="52">
        <v>1</v>
      </c>
      <c r="F2201" s="54" t="s">
        <v>715</v>
      </c>
      <c r="G2201" s="52"/>
      <c r="H2201" s="55"/>
      <c r="I2201" s="56"/>
    </row>
    <row r="2202" spans="2:9" x14ac:dyDescent="0.2">
      <c r="B2202" s="51" t="str">
        <f t="shared" si="43"/>
        <v>2014-047-2</v>
      </c>
      <c r="C2202" s="52">
        <v>2014</v>
      </c>
      <c r="D2202" s="52" t="s">
        <v>78</v>
      </c>
      <c r="E2202" s="52">
        <v>2</v>
      </c>
      <c r="F2202" s="54" t="s">
        <v>1108</v>
      </c>
      <c r="G2202" s="52"/>
      <c r="H2202" s="55"/>
      <c r="I2202" s="56"/>
    </row>
    <row r="2203" spans="2:9" ht="27" x14ac:dyDescent="0.2">
      <c r="B2203" s="51" t="str">
        <f t="shared" si="43"/>
        <v>2014-047-3</v>
      </c>
      <c r="C2203" s="52">
        <v>2014</v>
      </c>
      <c r="D2203" s="52" t="s">
        <v>78</v>
      </c>
      <c r="E2203" s="52">
        <v>3</v>
      </c>
      <c r="F2203" s="54" t="s">
        <v>1492</v>
      </c>
      <c r="G2203" s="52" t="s">
        <v>3391</v>
      </c>
      <c r="H2203" s="55"/>
      <c r="I2203" s="56"/>
    </row>
    <row r="2204" spans="2:9" x14ac:dyDescent="0.2">
      <c r="B2204" s="51" t="str">
        <f t="shared" si="43"/>
        <v>2014-047-4</v>
      </c>
      <c r="C2204" s="52">
        <v>2014</v>
      </c>
      <c r="D2204" s="52" t="s">
        <v>78</v>
      </c>
      <c r="E2204" s="52">
        <v>4</v>
      </c>
      <c r="F2204" s="54" t="s">
        <v>1088</v>
      </c>
      <c r="G2204" s="52"/>
      <c r="H2204" s="55"/>
      <c r="I2204" s="56"/>
    </row>
    <row r="2205" spans="2:9" ht="27" x14ac:dyDescent="0.2">
      <c r="B2205" s="57" t="str">
        <f t="shared" si="43"/>
        <v>2014-047-5</v>
      </c>
      <c r="C2205" s="58">
        <v>2014</v>
      </c>
      <c r="D2205" s="58" t="s">
        <v>78</v>
      </c>
      <c r="E2205" s="58">
        <v>5</v>
      </c>
      <c r="F2205" s="59" t="s">
        <v>2218</v>
      </c>
      <c r="G2205" s="58"/>
      <c r="H2205" s="60"/>
      <c r="I2205" s="61"/>
    </row>
    <row r="2206" spans="2:9" x14ac:dyDescent="0.2">
      <c r="B2206" s="62" t="str">
        <f t="shared" si="43"/>
        <v>2014-048-0</v>
      </c>
      <c r="C2206" s="63">
        <v>2014</v>
      </c>
      <c r="D2206" s="63" t="s">
        <v>79</v>
      </c>
      <c r="E2206" s="63">
        <v>0</v>
      </c>
      <c r="F2206" s="64" t="s">
        <v>334</v>
      </c>
      <c r="G2206" s="63"/>
      <c r="H2206" s="65"/>
      <c r="I2206" s="66"/>
    </row>
    <row r="2207" spans="2:9" x14ac:dyDescent="0.2">
      <c r="B2207" s="51" t="str">
        <f t="shared" si="43"/>
        <v>2014-048-1</v>
      </c>
      <c r="C2207" s="52">
        <v>2014</v>
      </c>
      <c r="D2207" s="52" t="s">
        <v>79</v>
      </c>
      <c r="E2207" s="52">
        <v>1</v>
      </c>
      <c r="F2207" s="54" t="s">
        <v>716</v>
      </c>
      <c r="G2207" s="52" t="s">
        <v>3391</v>
      </c>
      <c r="H2207" s="55"/>
      <c r="I2207" s="56"/>
    </row>
    <row r="2208" spans="2:9" x14ac:dyDescent="0.2">
      <c r="B2208" s="51" t="str">
        <f t="shared" si="43"/>
        <v>2014-048-2</v>
      </c>
      <c r="C2208" s="52">
        <v>2014</v>
      </c>
      <c r="D2208" s="52" t="s">
        <v>79</v>
      </c>
      <c r="E2208" s="52">
        <v>2</v>
      </c>
      <c r="F2208" s="54" t="s">
        <v>1109</v>
      </c>
      <c r="G2208" s="52"/>
      <c r="H2208" s="55"/>
      <c r="I2208" s="56"/>
    </row>
    <row r="2209" spans="2:9" x14ac:dyDescent="0.2">
      <c r="B2209" s="51" t="str">
        <f t="shared" si="43"/>
        <v>2014-048-3</v>
      </c>
      <c r="C2209" s="52">
        <v>2014</v>
      </c>
      <c r="D2209" s="52" t="s">
        <v>79</v>
      </c>
      <c r="E2209" s="52">
        <v>3</v>
      </c>
      <c r="F2209" s="54" t="s">
        <v>1493</v>
      </c>
      <c r="G2209" s="52"/>
      <c r="H2209" s="55"/>
      <c r="I2209" s="56"/>
    </row>
    <row r="2210" spans="2:9" x14ac:dyDescent="0.2">
      <c r="B2210" s="51" t="str">
        <f t="shared" si="43"/>
        <v>2014-048-4</v>
      </c>
      <c r="C2210" s="52">
        <v>2014</v>
      </c>
      <c r="D2210" s="52" t="s">
        <v>79</v>
      </c>
      <c r="E2210" s="52">
        <v>4</v>
      </c>
      <c r="F2210" s="54" t="s">
        <v>490</v>
      </c>
      <c r="G2210" s="52"/>
      <c r="H2210" s="55"/>
      <c r="I2210" s="56"/>
    </row>
    <row r="2211" spans="2:9" x14ac:dyDescent="0.2">
      <c r="B2211" s="57" t="str">
        <f t="shared" si="43"/>
        <v>2014-048-5</v>
      </c>
      <c r="C2211" s="58">
        <v>2014</v>
      </c>
      <c r="D2211" s="58" t="s">
        <v>79</v>
      </c>
      <c r="E2211" s="58">
        <v>5</v>
      </c>
      <c r="F2211" s="59" t="s">
        <v>2219</v>
      </c>
      <c r="G2211" s="58"/>
      <c r="H2211" s="60"/>
      <c r="I2211" s="61"/>
    </row>
    <row r="2212" spans="2:9" x14ac:dyDescent="0.2">
      <c r="B2212" s="62" t="str">
        <f t="shared" si="43"/>
        <v>2014-049-0</v>
      </c>
      <c r="C2212" s="63">
        <v>2014</v>
      </c>
      <c r="D2212" s="63" t="s">
        <v>80</v>
      </c>
      <c r="E2212" s="63">
        <v>0</v>
      </c>
      <c r="F2212" s="64" t="s">
        <v>171</v>
      </c>
      <c r="G2212" s="63"/>
      <c r="H2212" s="65"/>
      <c r="I2212" s="66"/>
    </row>
    <row r="2213" spans="2:9" x14ac:dyDescent="0.2">
      <c r="B2213" s="51" t="str">
        <f t="shared" si="43"/>
        <v>2014-049-1</v>
      </c>
      <c r="C2213" s="52">
        <v>2014</v>
      </c>
      <c r="D2213" s="52" t="s">
        <v>80</v>
      </c>
      <c r="E2213" s="52">
        <v>1</v>
      </c>
      <c r="F2213" s="54" t="s">
        <v>717</v>
      </c>
      <c r="G2213" s="52"/>
      <c r="H2213" s="55"/>
      <c r="I2213" s="56"/>
    </row>
    <row r="2214" spans="2:9" x14ac:dyDescent="0.2">
      <c r="B2214" s="51" t="str">
        <f t="shared" si="43"/>
        <v>2014-049-2</v>
      </c>
      <c r="C2214" s="52">
        <v>2014</v>
      </c>
      <c r="D2214" s="52" t="s">
        <v>80</v>
      </c>
      <c r="E2214" s="52">
        <v>2</v>
      </c>
      <c r="F2214" s="54" t="s">
        <v>1110</v>
      </c>
      <c r="G2214" s="52" t="s">
        <v>3391</v>
      </c>
      <c r="H2214" s="55"/>
      <c r="I2214" s="56"/>
    </row>
    <row r="2215" spans="2:9" x14ac:dyDescent="0.2">
      <c r="B2215" s="51" t="str">
        <f t="shared" si="43"/>
        <v>2014-049-3</v>
      </c>
      <c r="C2215" s="52">
        <v>2014</v>
      </c>
      <c r="D2215" s="52" t="s">
        <v>80</v>
      </c>
      <c r="E2215" s="52">
        <v>3</v>
      </c>
      <c r="F2215" s="54" t="s">
        <v>522</v>
      </c>
      <c r="G2215" s="52"/>
      <c r="H2215" s="55"/>
      <c r="I2215" s="56"/>
    </row>
    <row r="2216" spans="2:9" x14ac:dyDescent="0.2">
      <c r="B2216" s="51" t="str">
        <f t="shared" si="43"/>
        <v>2014-049-4</v>
      </c>
      <c r="C2216" s="52">
        <v>2014</v>
      </c>
      <c r="D2216" s="52" t="s">
        <v>80</v>
      </c>
      <c r="E2216" s="52">
        <v>4</v>
      </c>
      <c r="F2216" s="54" t="s">
        <v>570</v>
      </c>
      <c r="G2216" s="52"/>
      <c r="H2216" s="55"/>
      <c r="I2216" s="56"/>
    </row>
    <row r="2217" spans="2:9" x14ac:dyDescent="0.2">
      <c r="B2217" s="57" t="str">
        <f t="shared" si="43"/>
        <v>2014-049-5</v>
      </c>
      <c r="C2217" s="58">
        <v>2014</v>
      </c>
      <c r="D2217" s="58" t="s">
        <v>80</v>
      </c>
      <c r="E2217" s="58">
        <v>5</v>
      </c>
      <c r="F2217" s="59" t="s">
        <v>2197</v>
      </c>
      <c r="G2217" s="58"/>
      <c r="H2217" s="60"/>
      <c r="I2217" s="61"/>
    </row>
    <row r="2218" spans="2:9" x14ac:dyDescent="0.2">
      <c r="B2218" s="62" t="str">
        <f t="shared" si="43"/>
        <v>2014-050-0</v>
      </c>
      <c r="C2218" s="63">
        <v>2014</v>
      </c>
      <c r="D2218" s="63" t="s">
        <v>81</v>
      </c>
      <c r="E2218" s="63">
        <v>0</v>
      </c>
      <c r="F2218" s="64" t="s">
        <v>195</v>
      </c>
      <c r="G2218" s="63"/>
      <c r="H2218" s="65"/>
      <c r="I2218" s="66"/>
    </row>
    <row r="2219" spans="2:9" x14ac:dyDescent="0.2">
      <c r="B2219" s="51" t="str">
        <f t="shared" si="43"/>
        <v>2014-050-1</v>
      </c>
      <c r="C2219" s="52">
        <v>2014</v>
      </c>
      <c r="D2219" s="52" t="s">
        <v>81</v>
      </c>
      <c r="E2219" s="52">
        <v>1</v>
      </c>
      <c r="F2219" s="54" t="s">
        <v>718</v>
      </c>
      <c r="G2219" s="52"/>
      <c r="H2219" s="55"/>
      <c r="I2219" s="56"/>
    </row>
    <row r="2220" spans="2:9" x14ac:dyDescent="0.2">
      <c r="B2220" s="51" t="str">
        <f t="shared" si="43"/>
        <v>2014-050-2</v>
      </c>
      <c r="C2220" s="52">
        <v>2014</v>
      </c>
      <c r="D2220" s="52" t="s">
        <v>81</v>
      </c>
      <c r="E2220" s="52">
        <v>2</v>
      </c>
      <c r="F2220" s="54" t="s">
        <v>1111</v>
      </c>
      <c r="G2220" s="52"/>
      <c r="H2220" s="55"/>
      <c r="I2220" s="56"/>
    </row>
    <row r="2221" spans="2:9" x14ac:dyDescent="0.2">
      <c r="B2221" s="51" t="str">
        <f t="shared" si="43"/>
        <v>2014-050-3</v>
      </c>
      <c r="C2221" s="52">
        <v>2014</v>
      </c>
      <c r="D2221" s="52" t="s">
        <v>81</v>
      </c>
      <c r="E2221" s="52">
        <v>3</v>
      </c>
      <c r="F2221" s="54" t="s">
        <v>1494</v>
      </c>
      <c r="G2221" s="52"/>
      <c r="H2221" s="55"/>
      <c r="I2221" s="56"/>
    </row>
    <row r="2222" spans="2:9" x14ac:dyDescent="0.2">
      <c r="B2222" s="51" t="str">
        <f t="shared" si="43"/>
        <v>2014-050-4</v>
      </c>
      <c r="C2222" s="52">
        <v>2014</v>
      </c>
      <c r="D2222" s="52" t="s">
        <v>81</v>
      </c>
      <c r="E2222" s="52">
        <v>4</v>
      </c>
      <c r="F2222" s="54" t="s">
        <v>1861</v>
      </c>
      <c r="G2222" s="52"/>
      <c r="H2222" s="55"/>
      <c r="I2222" s="56"/>
    </row>
    <row r="2223" spans="2:9" ht="27.75" thickBot="1" x14ac:dyDescent="0.25">
      <c r="B2223" s="67" t="str">
        <f t="shared" si="43"/>
        <v>2014-050-5</v>
      </c>
      <c r="C2223" s="68">
        <v>2014</v>
      </c>
      <c r="D2223" s="68" t="s">
        <v>81</v>
      </c>
      <c r="E2223" s="68">
        <v>5</v>
      </c>
      <c r="F2223" s="69" t="s">
        <v>2220</v>
      </c>
      <c r="G2223" s="68" t="s">
        <v>3391</v>
      </c>
      <c r="H2223" s="70"/>
      <c r="I2223" s="71"/>
    </row>
    <row r="2224" spans="2:9" x14ac:dyDescent="0.2">
      <c r="B2224" s="45" t="str">
        <f t="shared" ref="B2224:B2272" si="44">C2224&amp;"-"&amp;D2224&amp;"-"&amp;E2224</f>
        <v>2013-026-0</v>
      </c>
      <c r="C2224" s="46">
        <v>2013</v>
      </c>
      <c r="D2224" s="46" t="s">
        <v>4</v>
      </c>
      <c r="E2224" s="46">
        <v>0</v>
      </c>
      <c r="F2224" s="48" t="s">
        <v>335</v>
      </c>
      <c r="G2224" s="46"/>
      <c r="H2224" s="49"/>
      <c r="I2224" s="50"/>
    </row>
    <row r="2225" spans="2:9" x14ac:dyDescent="0.2">
      <c r="B2225" s="51" t="str">
        <f t="shared" si="44"/>
        <v>2013-026-1</v>
      </c>
      <c r="C2225" s="52">
        <v>2013</v>
      </c>
      <c r="D2225" s="52" t="s">
        <v>4</v>
      </c>
      <c r="E2225" s="52">
        <v>1</v>
      </c>
      <c r="F2225" s="54" t="s">
        <v>719</v>
      </c>
      <c r="G2225" s="52"/>
      <c r="H2225" s="55"/>
      <c r="I2225" s="56"/>
    </row>
    <row r="2226" spans="2:9" x14ac:dyDescent="0.2">
      <c r="B2226" s="51" t="str">
        <f t="shared" si="44"/>
        <v>2013-026-2</v>
      </c>
      <c r="C2226" s="52">
        <v>2013</v>
      </c>
      <c r="D2226" s="52" t="s">
        <v>4</v>
      </c>
      <c r="E2226" s="52">
        <v>2</v>
      </c>
      <c r="F2226" s="54" t="s">
        <v>1112</v>
      </c>
      <c r="G2226" s="52"/>
      <c r="H2226" s="55"/>
      <c r="I2226" s="56"/>
    </row>
    <row r="2227" spans="2:9" x14ac:dyDescent="0.2">
      <c r="B2227" s="51" t="str">
        <f t="shared" si="44"/>
        <v>2013-026-3</v>
      </c>
      <c r="C2227" s="52">
        <v>2013</v>
      </c>
      <c r="D2227" s="52" t="s">
        <v>4</v>
      </c>
      <c r="E2227" s="52">
        <v>3</v>
      </c>
      <c r="F2227" s="54" t="s">
        <v>27</v>
      </c>
      <c r="G2227" s="52"/>
      <c r="H2227" s="55"/>
      <c r="I2227" s="56"/>
    </row>
    <row r="2228" spans="2:9" x14ac:dyDescent="0.2">
      <c r="B2228" s="51" t="str">
        <f t="shared" si="44"/>
        <v>2013-026-4</v>
      </c>
      <c r="C2228" s="52">
        <v>2013</v>
      </c>
      <c r="D2228" s="52" t="s">
        <v>4</v>
      </c>
      <c r="E2228" s="52">
        <v>4</v>
      </c>
      <c r="F2228" s="54" t="s">
        <v>23</v>
      </c>
      <c r="G2228" s="52"/>
      <c r="H2228" s="55"/>
      <c r="I2228" s="56"/>
    </row>
    <row r="2229" spans="2:9" ht="27" x14ac:dyDescent="0.2">
      <c r="B2229" s="57" t="str">
        <f t="shared" si="44"/>
        <v>2013-026-5</v>
      </c>
      <c r="C2229" s="58">
        <v>2013</v>
      </c>
      <c r="D2229" s="58" t="s">
        <v>4</v>
      </c>
      <c r="E2229" s="58">
        <v>5</v>
      </c>
      <c r="F2229" s="59" t="s">
        <v>2221</v>
      </c>
      <c r="G2229" s="58" t="s">
        <v>3391</v>
      </c>
      <c r="H2229" s="60"/>
      <c r="I2229" s="61"/>
    </row>
    <row r="2230" spans="2:9" x14ac:dyDescent="0.2">
      <c r="B2230" s="62" t="str">
        <f t="shared" si="44"/>
        <v>2013-027-0</v>
      </c>
      <c r="C2230" s="63">
        <v>2013</v>
      </c>
      <c r="D2230" s="63" t="s">
        <v>5</v>
      </c>
      <c r="E2230" s="63">
        <v>0</v>
      </c>
      <c r="F2230" s="64" t="s">
        <v>336</v>
      </c>
      <c r="G2230" s="63"/>
      <c r="H2230" s="65"/>
      <c r="I2230" s="66"/>
    </row>
    <row r="2231" spans="2:9" x14ac:dyDescent="0.2">
      <c r="B2231" s="51" t="str">
        <f t="shared" si="44"/>
        <v>2013-027-1</v>
      </c>
      <c r="C2231" s="52">
        <v>2013</v>
      </c>
      <c r="D2231" s="52" t="s">
        <v>5</v>
      </c>
      <c r="E2231" s="52">
        <v>1</v>
      </c>
      <c r="F2231" s="54" t="s">
        <v>720</v>
      </c>
      <c r="G2231" s="52" t="s">
        <v>3391</v>
      </c>
      <c r="H2231" s="55"/>
      <c r="I2231" s="56"/>
    </row>
    <row r="2232" spans="2:9" x14ac:dyDescent="0.2">
      <c r="B2232" s="51" t="str">
        <f t="shared" si="44"/>
        <v>2013-027-2</v>
      </c>
      <c r="C2232" s="52">
        <v>2013</v>
      </c>
      <c r="D2232" s="52" t="s">
        <v>5</v>
      </c>
      <c r="E2232" s="52">
        <v>2</v>
      </c>
      <c r="F2232" s="54" t="s">
        <v>1113</v>
      </c>
      <c r="G2232" s="52"/>
      <c r="H2232" s="55"/>
      <c r="I2232" s="56"/>
    </row>
    <row r="2233" spans="2:9" ht="27" x14ac:dyDescent="0.2">
      <c r="B2233" s="51" t="str">
        <f t="shared" si="44"/>
        <v>2013-027-3</v>
      </c>
      <c r="C2233" s="52">
        <v>2013</v>
      </c>
      <c r="D2233" s="52" t="s">
        <v>5</v>
      </c>
      <c r="E2233" s="52">
        <v>3</v>
      </c>
      <c r="F2233" s="54" t="s">
        <v>1495</v>
      </c>
      <c r="G2233" s="52"/>
      <c r="H2233" s="55"/>
      <c r="I2233" s="56"/>
    </row>
    <row r="2234" spans="2:9" x14ac:dyDescent="0.2">
      <c r="B2234" s="51" t="str">
        <f t="shared" si="44"/>
        <v>2013-027-4</v>
      </c>
      <c r="C2234" s="52">
        <v>2013</v>
      </c>
      <c r="D2234" s="52" t="s">
        <v>5</v>
      </c>
      <c r="E2234" s="52">
        <v>4</v>
      </c>
      <c r="F2234" s="54" t="s">
        <v>1862</v>
      </c>
      <c r="G2234" s="52"/>
      <c r="H2234" s="55"/>
      <c r="I2234" s="56"/>
    </row>
    <row r="2235" spans="2:9" x14ac:dyDescent="0.2">
      <c r="B2235" s="57" t="str">
        <f t="shared" si="44"/>
        <v>2013-027-5</v>
      </c>
      <c r="C2235" s="58">
        <v>2013</v>
      </c>
      <c r="D2235" s="58" t="s">
        <v>5</v>
      </c>
      <c r="E2235" s="58">
        <v>5</v>
      </c>
      <c r="F2235" s="59" t="s">
        <v>2222</v>
      </c>
      <c r="G2235" s="58"/>
      <c r="H2235" s="60"/>
      <c r="I2235" s="61"/>
    </row>
    <row r="2236" spans="2:9" x14ac:dyDescent="0.2">
      <c r="B2236" s="62" t="str">
        <f t="shared" si="44"/>
        <v>2013-028-0</v>
      </c>
      <c r="C2236" s="63">
        <v>2013</v>
      </c>
      <c r="D2236" s="63" t="s">
        <v>6</v>
      </c>
      <c r="E2236" s="63">
        <v>0</v>
      </c>
      <c r="F2236" s="64" t="s">
        <v>337</v>
      </c>
      <c r="G2236" s="63"/>
      <c r="H2236" s="65"/>
      <c r="I2236" s="66"/>
    </row>
    <row r="2237" spans="2:9" x14ac:dyDescent="0.2">
      <c r="B2237" s="51" t="str">
        <f t="shared" si="44"/>
        <v>2013-028-1</v>
      </c>
      <c r="C2237" s="52">
        <v>2013</v>
      </c>
      <c r="D2237" s="52" t="s">
        <v>6</v>
      </c>
      <c r="E2237" s="52">
        <v>1</v>
      </c>
      <c r="F2237" s="54" t="s">
        <v>721</v>
      </c>
      <c r="G2237" s="52"/>
      <c r="H2237" s="55"/>
      <c r="I2237" s="56"/>
    </row>
    <row r="2238" spans="2:9" x14ac:dyDescent="0.2">
      <c r="B2238" s="51" t="str">
        <f t="shared" si="44"/>
        <v>2013-028-2</v>
      </c>
      <c r="C2238" s="52">
        <v>2013</v>
      </c>
      <c r="D2238" s="52" t="s">
        <v>6</v>
      </c>
      <c r="E2238" s="52">
        <v>2</v>
      </c>
      <c r="F2238" s="54" t="s">
        <v>1114</v>
      </c>
      <c r="G2238" s="52"/>
      <c r="H2238" s="55"/>
      <c r="I2238" s="56"/>
    </row>
    <row r="2239" spans="2:9" ht="27" x14ac:dyDescent="0.2">
      <c r="B2239" s="51" t="str">
        <f t="shared" si="44"/>
        <v>2013-028-3</v>
      </c>
      <c r="C2239" s="52">
        <v>2013</v>
      </c>
      <c r="D2239" s="52" t="s">
        <v>6</v>
      </c>
      <c r="E2239" s="52">
        <v>3</v>
      </c>
      <c r="F2239" s="54" t="s">
        <v>1496</v>
      </c>
      <c r="G2239" s="52"/>
      <c r="H2239" s="55"/>
      <c r="I2239" s="56"/>
    </row>
    <row r="2240" spans="2:9" x14ac:dyDescent="0.2">
      <c r="B2240" s="51" t="str">
        <f t="shared" si="44"/>
        <v>2013-028-4</v>
      </c>
      <c r="C2240" s="52">
        <v>2013</v>
      </c>
      <c r="D2240" s="52" t="s">
        <v>6</v>
      </c>
      <c r="E2240" s="52">
        <v>4</v>
      </c>
      <c r="F2240" s="54" t="s">
        <v>1863</v>
      </c>
      <c r="G2240" s="52"/>
      <c r="H2240" s="55"/>
      <c r="I2240" s="56"/>
    </row>
    <row r="2241" spans="2:9" x14ac:dyDescent="0.2">
      <c r="B2241" s="57" t="str">
        <f t="shared" si="44"/>
        <v>2013-028-5</v>
      </c>
      <c r="C2241" s="58">
        <v>2013</v>
      </c>
      <c r="D2241" s="58" t="s">
        <v>6</v>
      </c>
      <c r="E2241" s="58">
        <v>5</v>
      </c>
      <c r="F2241" s="59" t="s">
        <v>2223</v>
      </c>
      <c r="G2241" s="58" t="s">
        <v>3391</v>
      </c>
      <c r="H2241" s="60"/>
      <c r="I2241" s="61"/>
    </row>
    <row r="2242" spans="2:9" ht="40.5" x14ac:dyDescent="0.2">
      <c r="B2242" s="62" t="str">
        <f t="shared" si="44"/>
        <v>2013-029-0</v>
      </c>
      <c r="C2242" s="63">
        <v>2013</v>
      </c>
      <c r="D2242" s="63" t="s">
        <v>7</v>
      </c>
      <c r="E2242" s="63">
        <v>0</v>
      </c>
      <c r="F2242" s="64" t="s">
        <v>338</v>
      </c>
      <c r="G2242" s="63"/>
      <c r="H2242" s="65"/>
      <c r="I2242" s="66"/>
    </row>
    <row r="2243" spans="2:9" x14ac:dyDescent="0.2">
      <c r="B2243" s="51" t="str">
        <f t="shared" si="44"/>
        <v>2013-029-1</v>
      </c>
      <c r="C2243" s="52">
        <v>2013</v>
      </c>
      <c r="D2243" s="52" t="s">
        <v>7</v>
      </c>
      <c r="E2243" s="52">
        <v>1</v>
      </c>
      <c r="F2243" s="54" t="s">
        <v>722</v>
      </c>
      <c r="G2243" s="52"/>
      <c r="H2243" s="55"/>
      <c r="I2243" s="56"/>
    </row>
    <row r="2244" spans="2:9" x14ac:dyDescent="0.2">
      <c r="B2244" s="51" t="str">
        <f t="shared" si="44"/>
        <v>2013-029-2</v>
      </c>
      <c r="C2244" s="52">
        <v>2013</v>
      </c>
      <c r="D2244" s="52" t="s">
        <v>7</v>
      </c>
      <c r="E2244" s="52">
        <v>2</v>
      </c>
      <c r="F2244" s="54" t="s">
        <v>1115</v>
      </c>
      <c r="G2244" s="52"/>
      <c r="H2244" s="55"/>
      <c r="I2244" s="56"/>
    </row>
    <row r="2245" spans="2:9" x14ac:dyDescent="0.2">
      <c r="B2245" s="51" t="str">
        <f t="shared" si="44"/>
        <v>2013-029-3</v>
      </c>
      <c r="C2245" s="52">
        <v>2013</v>
      </c>
      <c r="D2245" s="52" t="s">
        <v>7</v>
      </c>
      <c r="E2245" s="52">
        <v>3</v>
      </c>
      <c r="F2245" s="54" t="s">
        <v>1497</v>
      </c>
      <c r="G2245" s="52"/>
      <c r="H2245" s="55"/>
      <c r="I2245" s="56"/>
    </row>
    <row r="2246" spans="2:9" x14ac:dyDescent="0.2">
      <c r="B2246" s="51" t="str">
        <f t="shared" si="44"/>
        <v>2013-029-4</v>
      </c>
      <c r="C2246" s="52">
        <v>2013</v>
      </c>
      <c r="D2246" s="52" t="s">
        <v>7</v>
      </c>
      <c r="E2246" s="52">
        <v>4</v>
      </c>
      <c r="F2246" s="54" t="s">
        <v>1864</v>
      </c>
      <c r="G2246" s="52" t="s">
        <v>3391</v>
      </c>
      <c r="H2246" s="55"/>
      <c r="I2246" s="56"/>
    </row>
    <row r="2247" spans="2:9" x14ac:dyDescent="0.2">
      <c r="B2247" s="57" t="str">
        <f t="shared" si="44"/>
        <v>2013-029-5</v>
      </c>
      <c r="C2247" s="58">
        <v>2013</v>
      </c>
      <c r="D2247" s="58" t="s">
        <v>7</v>
      </c>
      <c r="E2247" s="58">
        <v>5</v>
      </c>
      <c r="F2247" s="59" t="s">
        <v>2224</v>
      </c>
      <c r="G2247" s="58"/>
      <c r="H2247" s="60"/>
      <c r="I2247" s="61"/>
    </row>
    <row r="2248" spans="2:9" x14ac:dyDescent="0.2">
      <c r="B2248" s="62" t="str">
        <f t="shared" si="44"/>
        <v>2013-030-0</v>
      </c>
      <c r="C2248" s="63">
        <v>2013</v>
      </c>
      <c r="D2248" s="63" t="s">
        <v>8</v>
      </c>
      <c r="E2248" s="63">
        <v>0</v>
      </c>
      <c r="F2248" s="64" t="s">
        <v>304</v>
      </c>
      <c r="G2248" s="63"/>
      <c r="H2248" s="65"/>
      <c r="I2248" s="66"/>
    </row>
    <row r="2249" spans="2:9" ht="27" x14ac:dyDescent="0.2">
      <c r="B2249" s="51" t="str">
        <f t="shared" si="44"/>
        <v>2013-030-1</v>
      </c>
      <c r="C2249" s="52">
        <v>2013</v>
      </c>
      <c r="D2249" s="52" t="s">
        <v>8</v>
      </c>
      <c r="E2249" s="52">
        <v>1</v>
      </c>
      <c r="F2249" s="54" t="s">
        <v>723</v>
      </c>
      <c r="G2249" s="52"/>
      <c r="H2249" s="55"/>
      <c r="I2249" s="56"/>
    </row>
    <row r="2250" spans="2:9" ht="27" x14ac:dyDescent="0.2">
      <c r="B2250" s="51" t="str">
        <f t="shared" si="44"/>
        <v>2013-030-2</v>
      </c>
      <c r="C2250" s="52">
        <v>2013</v>
      </c>
      <c r="D2250" s="52" t="s">
        <v>8</v>
      </c>
      <c r="E2250" s="52">
        <v>2</v>
      </c>
      <c r="F2250" s="54" t="s">
        <v>1116</v>
      </c>
      <c r="G2250" s="52" t="s">
        <v>3391</v>
      </c>
      <c r="H2250" s="55"/>
      <c r="I2250" s="56"/>
    </row>
    <row r="2251" spans="2:9" ht="27" x14ac:dyDescent="0.2">
      <c r="B2251" s="51" t="str">
        <f t="shared" si="44"/>
        <v>2013-030-3</v>
      </c>
      <c r="C2251" s="52">
        <v>2013</v>
      </c>
      <c r="D2251" s="52" t="s">
        <v>8</v>
      </c>
      <c r="E2251" s="52">
        <v>3</v>
      </c>
      <c r="F2251" s="54" t="s">
        <v>1498</v>
      </c>
      <c r="G2251" s="52"/>
      <c r="H2251" s="55"/>
      <c r="I2251" s="56"/>
    </row>
    <row r="2252" spans="2:9" ht="27" x14ac:dyDescent="0.2">
      <c r="B2252" s="51" t="str">
        <f t="shared" si="44"/>
        <v>2013-030-4</v>
      </c>
      <c r="C2252" s="52">
        <v>2013</v>
      </c>
      <c r="D2252" s="52" t="s">
        <v>8</v>
      </c>
      <c r="E2252" s="52">
        <v>4</v>
      </c>
      <c r="F2252" s="54" t="s">
        <v>1826</v>
      </c>
      <c r="G2252" s="52"/>
      <c r="H2252" s="55"/>
      <c r="I2252" s="56"/>
    </row>
    <row r="2253" spans="2:9" ht="27" x14ac:dyDescent="0.2">
      <c r="B2253" s="57" t="str">
        <f t="shared" si="44"/>
        <v>2013-030-5</v>
      </c>
      <c r="C2253" s="58">
        <v>2013</v>
      </c>
      <c r="D2253" s="58" t="s">
        <v>8</v>
      </c>
      <c r="E2253" s="58">
        <v>5</v>
      </c>
      <c r="F2253" s="59" t="s">
        <v>1072</v>
      </c>
      <c r="G2253" s="58"/>
      <c r="H2253" s="60"/>
      <c r="I2253" s="61"/>
    </row>
    <row r="2254" spans="2:9" x14ac:dyDescent="0.2">
      <c r="B2254" s="62" t="str">
        <f t="shared" si="44"/>
        <v>2013-031-0</v>
      </c>
      <c r="C2254" s="63">
        <v>2013</v>
      </c>
      <c r="D2254" s="63" t="s">
        <v>9</v>
      </c>
      <c r="E2254" s="63">
        <v>0</v>
      </c>
      <c r="F2254" s="64" t="s">
        <v>339</v>
      </c>
      <c r="G2254" s="63"/>
      <c r="H2254" s="65"/>
      <c r="I2254" s="66"/>
    </row>
    <row r="2255" spans="2:9" x14ac:dyDescent="0.2">
      <c r="B2255" s="51" t="str">
        <f t="shared" si="44"/>
        <v>2013-031-1</v>
      </c>
      <c r="C2255" s="52">
        <v>2013</v>
      </c>
      <c r="D2255" s="52" t="s">
        <v>9</v>
      </c>
      <c r="E2255" s="52">
        <v>1</v>
      </c>
      <c r="F2255" s="54" t="s">
        <v>724</v>
      </c>
      <c r="G2255" s="52" t="s">
        <v>3391</v>
      </c>
      <c r="H2255" s="55"/>
      <c r="I2255" s="56"/>
    </row>
    <row r="2256" spans="2:9" x14ac:dyDescent="0.2">
      <c r="B2256" s="51" t="str">
        <f t="shared" si="44"/>
        <v>2013-031-2</v>
      </c>
      <c r="C2256" s="52">
        <v>2013</v>
      </c>
      <c r="D2256" s="52" t="s">
        <v>9</v>
      </c>
      <c r="E2256" s="52">
        <v>2</v>
      </c>
      <c r="F2256" s="54" t="s">
        <v>1117</v>
      </c>
      <c r="G2256" s="52"/>
      <c r="H2256" s="55"/>
      <c r="I2256" s="56"/>
    </row>
    <row r="2257" spans="2:9" x14ac:dyDescent="0.2">
      <c r="B2257" s="51" t="str">
        <f t="shared" si="44"/>
        <v>2013-031-3</v>
      </c>
      <c r="C2257" s="52">
        <v>2013</v>
      </c>
      <c r="D2257" s="52" t="s">
        <v>9</v>
      </c>
      <c r="E2257" s="52">
        <v>3</v>
      </c>
      <c r="F2257" s="54" t="s">
        <v>1499</v>
      </c>
      <c r="G2257" s="52"/>
      <c r="H2257" s="55"/>
      <c r="I2257" s="56"/>
    </row>
    <row r="2258" spans="2:9" x14ac:dyDescent="0.2">
      <c r="B2258" s="51" t="str">
        <f t="shared" si="44"/>
        <v>2013-031-4</v>
      </c>
      <c r="C2258" s="52">
        <v>2013</v>
      </c>
      <c r="D2258" s="52" t="s">
        <v>9</v>
      </c>
      <c r="E2258" s="52">
        <v>4</v>
      </c>
      <c r="F2258" s="54" t="s">
        <v>1865</v>
      </c>
      <c r="G2258" s="52"/>
      <c r="H2258" s="55"/>
      <c r="I2258" s="56"/>
    </row>
    <row r="2259" spans="2:9" x14ac:dyDescent="0.2">
      <c r="B2259" s="57" t="str">
        <f t="shared" si="44"/>
        <v>2013-031-5</v>
      </c>
      <c r="C2259" s="58">
        <v>2013</v>
      </c>
      <c r="D2259" s="58" t="s">
        <v>9</v>
      </c>
      <c r="E2259" s="58">
        <v>5</v>
      </c>
      <c r="F2259" s="59" t="s">
        <v>2225</v>
      </c>
      <c r="G2259" s="58"/>
      <c r="H2259" s="60"/>
      <c r="I2259" s="61"/>
    </row>
    <row r="2260" spans="2:9" x14ac:dyDescent="0.2">
      <c r="B2260" s="62" t="str">
        <f t="shared" si="44"/>
        <v>2013-032-0</v>
      </c>
      <c r="C2260" s="63">
        <v>2013</v>
      </c>
      <c r="D2260" s="63" t="s">
        <v>10</v>
      </c>
      <c r="E2260" s="63">
        <v>0</v>
      </c>
      <c r="F2260" s="64" t="s">
        <v>340</v>
      </c>
      <c r="G2260" s="63"/>
      <c r="H2260" s="65"/>
      <c r="I2260" s="66"/>
    </row>
    <row r="2261" spans="2:9" x14ac:dyDescent="0.2">
      <c r="B2261" s="51" t="str">
        <f t="shared" si="44"/>
        <v>2013-032-1</v>
      </c>
      <c r="C2261" s="52">
        <v>2013</v>
      </c>
      <c r="D2261" s="52" t="s">
        <v>10</v>
      </c>
      <c r="E2261" s="52">
        <v>1</v>
      </c>
      <c r="F2261" s="54" t="s">
        <v>725</v>
      </c>
      <c r="G2261" s="52"/>
      <c r="H2261" s="55"/>
      <c r="I2261" s="56"/>
    </row>
    <row r="2262" spans="2:9" x14ac:dyDescent="0.2">
      <c r="B2262" s="51" t="str">
        <f t="shared" si="44"/>
        <v>2013-032-2</v>
      </c>
      <c r="C2262" s="52">
        <v>2013</v>
      </c>
      <c r="D2262" s="52" t="s">
        <v>10</v>
      </c>
      <c r="E2262" s="52">
        <v>2</v>
      </c>
      <c r="F2262" s="54" t="s">
        <v>1118</v>
      </c>
      <c r="G2262" s="52"/>
      <c r="H2262" s="55"/>
      <c r="I2262" s="56"/>
    </row>
    <row r="2263" spans="2:9" ht="27" x14ac:dyDescent="0.2">
      <c r="B2263" s="51" t="str">
        <f t="shared" si="44"/>
        <v>2013-032-3</v>
      </c>
      <c r="C2263" s="52">
        <v>2013</v>
      </c>
      <c r="D2263" s="52" t="s">
        <v>10</v>
      </c>
      <c r="E2263" s="52">
        <v>3</v>
      </c>
      <c r="F2263" s="54" t="s">
        <v>1500</v>
      </c>
      <c r="G2263" s="52"/>
      <c r="H2263" s="55"/>
      <c r="I2263" s="56"/>
    </row>
    <row r="2264" spans="2:9" x14ac:dyDescent="0.2">
      <c r="B2264" s="51" t="str">
        <f t="shared" si="44"/>
        <v>2013-032-4</v>
      </c>
      <c r="C2264" s="52">
        <v>2013</v>
      </c>
      <c r="D2264" s="52" t="s">
        <v>10</v>
      </c>
      <c r="E2264" s="52">
        <v>4</v>
      </c>
      <c r="F2264" s="54" t="s">
        <v>909</v>
      </c>
      <c r="G2264" s="52"/>
      <c r="H2264" s="55"/>
      <c r="I2264" s="56"/>
    </row>
    <row r="2265" spans="2:9" ht="27" x14ac:dyDescent="0.2">
      <c r="B2265" s="57" t="str">
        <f t="shared" si="44"/>
        <v>2013-032-5</v>
      </c>
      <c r="C2265" s="58">
        <v>2013</v>
      </c>
      <c r="D2265" s="58" t="s">
        <v>10</v>
      </c>
      <c r="E2265" s="58">
        <v>5</v>
      </c>
      <c r="F2265" s="59" t="s">
        <v>2226</v>
      </c>
      <c r="G2265" s="58" t="s">
        <v>3391</v>
      </c>
      <c r="H2265" s="60"/>
      <c r="I2265" s="61"/>
    </row>
    <row r="2266" spans="2:9" x14ac:dyDescent="0.2">
      <c r="B2266" s="62" t="str">
        <f t="shared" si="44"/>
        <v>2013-033-0</v>
      </c>
      <c r="C2266" s="63">
        <v>2013</v>
      </c>
      <c r="D2266" s="63" t="s">
        <v>11</v>
      </c>
      <c r="E2266" s="63">
        <v>0</v>
      </c>
      <c r="F2266" s="64" t="s">
        <v>341</v>
      </c>
      <c r="G2266" s="63"/>
      <c r="H2266" s="65"/>
      <c r="I2266" s="66"/>
    </row>
    <row r="2267" spans="2:9" x14ac:dyDescent="0.2">
      <c r="B2267" s="51" t="str">
        <f t="shared" si="44"/>
        <v>2013-033-1</v>
      </c>
      <c r="C2267" s="52">
        <v>2013</v>
      </c>
      <c r="D2267" s="52" t="s">
        <v>11</v>
      </c>
      <c r="E2267" s="52">
        <v>1</v>
      </c>
      <c r="F2267" s="54" t="s">
        <v>726</v>
      </c>
      <c r="G2267" s="52"/>
      <c r="H2267" s="55"/>
      <c r="I2267" s="56"/>
    </row>
    <row r="2268" spans="2:9" x14ac:dyDescent="0.2">
      <c r="B2268" s="51" t="str">
        <f t="shared" si="44"/>
        <v>2013-033-2</v>
      </c>
      <c r="C2268" s="52">
        <v>2013</v>
      </c>
      <c r="D2268" s="52" t="s">
        <v>11</v>
      </c>
      <c r="E2268" s="52">
        <v>2</v>
      </c>
      <c r="F2268" s="54" t="s">
        <v>1119</v>
      </c>
      <c r="G2268" s="52"/>
      <c r="H2268" s="55"/>
      <c r="I2268" s="56"/>
    </row>
    <row r="2269" spans="2:9" x14ac:dyDescent="0.2">
      <c r="B2269" s="51" t="str">
        <f t="shared" si="44"/>
        <v>2013-033-3</v>
      </c>
      <c r="C2269" s="52">
        <v>2013</v>
      </c>
      <c r="D2269" s="52" t="s">
        <v>11</v>
      </c>
      <c r="E2269" s="52">
        <v>3</v>
      </c>
      <c r="F2269" s="54" t="s">
        <v>1501</v>
      </c>
      <c r="G2269" s="52"/>
      <c r="H2269" s="55"/>
      <c r="I2269" s="56"/>
    </row>
    <row r="2270" spans="2:9" x14ac:dyDescent="0.2">
      <c r="B2270" s="51" t="str">
        <f t="shared" si="44"/>
        <v>2013-033-4</v>
      </c>
      <c r="C2270" s="52">
        <v>2013</v>
      </c>
      <c r="D2270" s="52" t="s">
        <v>11</v>
      </c>
      <c r="E2270" s="52">
        <v>4</v>
      </c>
      <c r="F2270" s="54" t="s">
        <v>1866</v>
      </c>
      <c r="G2270" s="52" t="s">
        <v>3391</v>
      </c>
      <c r="H2270" s="55"/>
      <c r="I2270" s="56"/>
    </row>
    <row r="2271" spans="2:9" x14ac:dyDescent="0.2">
      <c r="B2271" s="57" t="str">
        <f t="shared" si="44"/>
        <v>2013-033-5</v>
      </c>
      <c r="C2271" s="58">
        <v>2013</v>
      </c>
      <c r="D2271" s="58" t="s">
        <v>11</v>
      </c>
      <c r="E2271" s="58">
        <v>5</v>
      </c>
      <c r="F2271" s="59" t="s">
        <v>2227</v>
      </c>
      <c r="G2271" s="58"/>
      <c r="H2271" s="60"/>
      <c r="I2271" s="61"/>
    </row>
    <row r="2272" spans="2:9" x14ac:dyDescent="0.2">
      <c r="B2272" s="62" t="str">
        <f t="shared" si="44"/>
        <v>2013-034-0</v>
      </c>
      <c r="C2272" s="63">
        <v>2013</v>
      </c>
      <c r="D2272" s="63" t="s">
        <v>12</v>
      </c>
      <c r="E2272" s="63">
        <v>0</v>
      </c>
      <c r="F2272" s="64" t="s">
        <v>342</v>
      </c>
      <c r="G2272" s="63"/>
      <c r="H2272" s="65"/>
      <c r="I2272" s="66"/>
    </row>
    <row r="2273" spans="2:9" ht="27" x14ac:dyDescent="0.2">
      <c r="B2273" s="51" t="str">
        <f t="shared" ref="B2273:B2336" si="45">C2273&amp;"-"&amp;D2273&amp;"-"&amp;E2273</f>
        <v>2013-034-1</v>
      </c>
      <c r="C2273" s="52">
        <v>2013</v>
      </c>
      <c r="D2273" s="52" t="s">
        <v>12</v>
      </c>
      <c r="E2273" s="52">
        <v>1</v>
      </c>
      <c r="F2273" s="54" t="s">
        <v>727</v>
      </c>
      <c r="G2273" s="52"/>
      <c r="H2273" s="55"/>
      <c r="I2273" s="56"/>
    </row>
    <row r="2274" spans="2:9" ht="27" x14ac:dyDescent="0.2">
      <c r="B2274" s="51" t="str">
        <f t="shared" si="45"/>
        <v>2013-034-2</v>
      </c>
      <c r="C2274" s="52">
        <v>2013</v>
      </c>
      <c r="D2274" s="52" t="s">
        <v>12</v>
      </c>
      <c r="E2274" s="52">
        <v>2</v>
      </c>
      <c r="F2274" s="54" t="s">
        <v>1120</v>
      </c>
      <c r="G2274" s="52"/>
      <c r="H2274" s="55"/>
      <c r="I2274" s="56"/>
    </row>
    <row r="2275" spans="2:9" ht="27" x14ac:dyDescent="0.2">
      <c r="B2275" s="51" t="str">
        <f t="shared" si="45"/>
        <v>2013-034-3</v>
      </c>
      <c r="C2275" s="52">
        <v>2013</v>
      </c>
      <c r="D2275" s="52" t="s">
        <v>12</v>
      </c>
      <c r="E2275" s="52">
        <v>3</v>
      </c>
      <c r="F2275" s="54" t="s">
        <v>1502</v>
      </c>
      <c r="G2275" s="52" t="s">
        <v>3391</v>
      </c>
      <c r="H2275" s="55"/>
      <c r="I2275" s="56"/>
    </row>
    <row r="2276" spans="2:9" ht="27" x14ac:dyDescent="0.2">
      <c r="B2276" s="51" t="str">
        <f t="shared" si="45"/>
        <v>2013-034-4</v>
      </c>
      <c r="C2276" s="52">
        <v>2013</v>
      </c>
      <c r="D2276" s="52" t="s">
        <v>12</v>
      </c>
      <c r="E2276" s="52">
        <v>4</v>
      </c>
      <c r="F2276" s="54" t="s">
        <v>1867</v>
      </c>
      <c r="G2276" s="52"/>
      <c r="H2276" s="55"/>
      <c r="I2276" s="56"/>
    </row>
    <row r="2277" spans="2:9" x14ac:dyDescent="0.2">
      <c r="B2277" s="57" t="str">
        <f t="shared" si="45"/>
        <v>2013-034-5</v>
      </c>
      <c r="C2277" s="58">
        <v>2013</v>
      </c>
      <c r="D2277" s="58" t="s">
        <v>12</v>
      </c>
      <c r="E2277" s="58">
        <v>5</v>
      </c>
      <c r="F2277" s="59" t="s">
        <v>2228</v>
      </c>
      <c r="G2277" s="58"/>
      <c r="H2277" s="60"/>
      <c r="I2277" s="61"/>
    </row>
    <row r="2278" spans="2:9" x14ac:dyDescent="0.2">
      <c r="B2278" s="62" t="str">
        <f t="shared" si="45"/>
        <v>2013-035-0</v>
      </c>
      <c r="C2278" s="63">
        <v>2013</v>
      </c>
      <c r="D2278" s="63" t="s">
        <v>13</v>
      </c>
      <c r="E2278" s="63">
        <v>0</v>
      </c>
      <c r="F2278" s="64" t="s">
        <v>343</v>
      </c>
      <c r="G2278" s="63"/>
      <c r="H2278" s="65"/>
      <c r="I2278" s="66"/>
    </row>
    <row r="2279" spans="2:9" x14ac:dyDescent="0.2">
      <c r="B2279" s="51" t="str">
        <f t="shared" si="45"/>
        <v>2013-035-1</v>
      </c>
      <c r="C2279" s="52">
        <v>2013</v>
      </c>
      <c r="D2279" s="52" t="s">
        <v>13</v>
      </c>
      <c r="E2279" s="52">
        <v>1</v>
      </c>
      <c r="F2279" s="54" t="s">
        <v>728</v>
      </c>
      <c r="G2279" s="52" t="s">
        <v>3391</v>
      </c>
      <c r="H2279" s="55"/>
      <c r="I2279" s="56"/>
    </row>
    <row r="2280" spans="2:9" x14ac:dyDescent="0.2">
      <c r="B2280" s="51" t="str">
        <f t="shared" si="45"/>
        <v>2013-035-2</v>
      </c>
      <c r="C2280" s="52">
        <v>2013</v>
      </c>
      <c r="D2280" s="52" t="s">
        <v>13</v>
      </c>
      <c r="E2280" s="52">
        <v>2</v>
      </c>
      <c r="F2280" s="54" t="s">
        <v>1121</v>
      </c>
      <c r="G2280" s="52"/>
      <c r="H2280" s="55"/>
      <c r="I2280" s="56"/>
    </row>
    <row r="2281" spans="2:9" x14ac:dyDescent="0.2">
      <c r="B2281" s="51" t="str">
        <f t="shared" si="45"/>
        <v>2013-035-3</v>
      </c>
      <c r="C2281" s="52">
        <v>2013</v>
      </c>
      <c r="D2281" s="52" t="s">
        <v>13</v>
      </c>
      <c r="E2281" s="52">
        <v>3</v>
      </c>
      <c r="F2281" s="54" t="s">
        <v>1503</v>
      </c>
      <c r="G2281" s="52"/>
      <c r="H2281" s="55"/>
      <c r="I2281" s="56"/>
    </row>
    <row r="2282" spans="2:9" x14ac:dyDescent="0.2">
      <c r="B2282" s="51" t="str">
        <f t="shared" si="45"/>
        <v>2013-035-4</v>
      </c>
      <c r="C2282" s="52">
        <v>2013</v>
      </c>
      <c r="D2282" s="52" t="s">
        <v>13</v>
      </c>
      <c r="E2282" s="52">
        <v>4</v>
      </c>
      <c r="F2282" s="54" t="s">
        <v>1868</v>
      </c>
      <c r="G2282" s="52"/>
      <c r="H2282" s="55"/>
      <c r="I2282" s="56"/>
    </row>
    <row r="2283" spans="2:9" x14ac:dyDescent="0.2">
      <c r="B2283" s="57" t="str">
        <f t="shared" si="45"/>
        <v>2013-035-5</v>
      </c>
      <c r="C2283" s="58">
        <v>2013</v>
      </c>
      <c r="D2283" s="58" t="s">
        <v>13</v>
      </c>
      <c r="E2283" s="58">
        <v>5</v>
      </c>
      <c r="F2283" s="59" t="s">
        <v>2229</v>
      </c>
      <c r="G2283" s="58"/>
      <c r="H2283" s="60"/>
      <c r="I2283" s="61"/>
    </row>
    <row r="2284" spans="2:9" x14ac:dyDescent="0.2">
      <c r="B2284" s="62" t="str">
        <f t="shared" si="45"/>
        <v>2013-036-0</v>
      </c>
      <c r="C2284" s="63">
        <v>2013</v>
      </c>
      <c r="D2284" s="63" t="s">
        <v>14</v>
      </c>
      <c r="E2284" s="63">
        <v>0</v>
      </c>
      <c r="F2284" s="64" t="s">
        <v>344</v>
      </c>
      <c r="G2284" s="63"/>
      <c r="H2284" s="65"/>
      <c r="I2284" s="66"/>
    </row>
    <row r="2285" spans="2:9" x14ac:dyDescent="0.2">
      <c r="B2285" s="51" t="str">
        <f t="shared" si="45"/>
        <v>2013-036-1</v>
      </c>
      <c r="C2285" s="52">
        <v>2013</v>
      </c>
      <c r="D2285" s="52" t="s">
        <v>14</v>
      </c>
      <c r="E2285" s="52">
        <v>1</v>
      </c>
      <c r="F2285" s="54" t="s">
        <v>729</v>
      </c>
      <c r="G2285" s="52"/>
      <c r="H2285" s="55"/>
      <c r="I2285" s="56"/>
    </row>
    <row r="2286" spans="2:9" x14ac:dyDescent="0.2">
      <c r="B2286" s="51" t="str">
        <f t="shared" si="45"/>
        <v>2013-036-2</v>
      </c>
      <c r="C2286" s="52">
        <v>2013</v>
      </c>
      <c r="D2286" s="52" t="s">
        <v>14</v>
      </c>
      <c r="E2286" s="52">
        <v>2</v>
      </c>
      <c r="F2286" s="54" t="s">
        <v>1122</v>
      </c>
      <c r="G2286" s="52"/>
      <c r="H2286" s="55"/>
      <c r="I2286" s="56"/>
    </row>
    <row r="2287" spans="2:9" x14ac:dyDescent="0.2">
      <c r="B2287" s="51" t="str">
        <f t="shared" si="45"/>
        <v>2013-036-3</v>
      </c>
      <c r="C2287" s="52">
        <v>2013</v>
      </c>
      <c r="D2287" s="52" t="s">
        <v>14</v>
      </c>
      <c r="E2287" s="52">
        <v>3</v>
      </c>
      <c r="F2287" s="54" t="s">
        <v>1504</v>
      </c>
      <c r="G2287" s="52"/>
      <c r="H2287" s="55"/>
      <c r="I2287" s="56"/>
    </row>
    <row r="2288" spans="2:9" x14ac:dyDescent="0.2">
      <c r="B2288" s="51" t="str">
        <f t="shared" si="45"/>
        <v>2013-036-4</v>
      </c>
      <c r="C2288" s="52">
        <v>2013</v>
      </c>
      <c r="D2288" s="52" t="s">
        <v>14</v>
      </c>
      <c r="E2288" s="52">
        <v>4</v>
      </c>
      <c r="F2288" s="54" t="s">
        <v>1544</v>
      </c>
      <c r="G2288" s="52"/>
      <c r="H2288" s="55"/>
      <c r="I2288" s="56"/>
    </row>
    <row r="2289" spans="2:9" x14ac:dyDescent="0.2">
      <c r="B2289" s="57" t="str">
        <f t="shared" si="45"/>
        <v>2013-036-5</v>
      </c>
      <c r="C2289" s="58">
        <v>2013</v>
      </c>
      <c r="D2289" s="58" t="s">
        <v>14</v>
      </c>
      <c r="E2289" s="58">
        <v>5</v>
      </c>
      <c r="F2289" s="59" t="s">
        <v>1798</v>
      </c>
      <c r="G2289" s="58" t="s">
        <v>3391</v>
      </c>
      <c r="H2289" s="60"/>
      <c r="I2289" s="61"/>
    </row>
    <row r="2290" spans="2:9" x14ac:dyDescent="0.2">
      <c r="B2290" s="62" t="str">
        <f t="shared" si="45"/>
        <v>2013-037-0</v>
      </c>
      <c r="C2290" s="63">
        <v>2013</v>
      </c>
      <c r="D2290" s="63" t="s">
        <v>15</v>
      </c>
      <c r="E2290" s="63">
        <v>0</v>
      </c>
      <c r="F2290" s="64" t="s">
        <v>345</v>
      </c>
      <c r="G2290" s="63"/>
      <c r="H2290" s="65"/>
      <c r="I2290" s="66"/>
    </row>
    <row r="2291" spans="2:9" x14ac:dyDescent="0.2">
      <c r="B2291" s="51" t="str">
        <f t="shared" si="45"/>
        <v>2013-037-1</v>
      </c>
      <c r="C2291" s="52">
        <v>2013</v>
      </c>
      <c r="D2291" s="52" t="s">
        <v>15</v>
      </c>
      <c r="E2291" s="52">
        <v>1</v>
      </c>
      <c r="F2291" s="54" t="s">
        <v>730</v>
      </c>
      <c r="G2291" s="52"/>
      <c r="H2291" s="55"/>
      <c r="I2291" s="56"/>
    </row>
    <row r="2292" spans="2:9" x14ac:dyDescent="0.2">
      <c r="B2292" s="51" t="str">
        <f t="shared" si="45"/>
        <v>2013-037-2</v>
      </c>
      <c r="C2292" s="52">
        <v>2013</v>
      </c>
      <c r="D2292" s="52" t="s">
        <v>15</v>
      </c>
      <c r="E2292" s="52">
        <v>2</v>
      </c>
      <c r="F2292" s="54" t="s">
        <v>1123</v>
      </c>
      <c r="G2292" s="52" t="s">
        <v>3391</v>
      </c>
      <c r="H2292" s="55"/>
      <c r="I2292" s="56"/>
    </row>
    <row r="2293" spans="2:9" x14ac:dyDescent="0.2">
      <c r="B2293" s="51" t="str">
        <f t="shared" si="45"/>
        <v>2013-037-3</v>
      </c>
      <c r="C2293" s="52">
        <v>2013</v>
      </c>
      <c r="D2293" s="52" t="s">
        <v>15</v>
      </c>
      <c r="E2293" s="52">
        <v>3</v>
      </c>
      <c r="F2293" s="54" t="s">
        <v>1505</v>
      </c>
      <c r="G2293" s="52"/>
      <c r="H2293" s="55"/>
      <c r="I2293" s="56"/>
    </row>
    <row r="2294" spans="2:9" x14ac:dyDescent="0.2">
      <c r="B2294" s="51" t="str">
        <f t="shared" si="45"/>
        <v>2013-037-4</v>
      </c>
      <c r="C2294" s="52">
        <v>2013</v>
      </c>
      <c r="D2294" s="52" t="s">
        <v>15</v>
      </c>
      <c r="E2294" s="52">
        <v>4</v>
      </c>
      <c r="F2294" s="54" t="s">
        <v>946</v>
      </c>
      <c r="G2294" s="52"/>
      <c r="H2294" s="55"/>
      <c r="I2294" s="56"/>
    </row>
    <row r="2295" spans="2:9" x14ac:dyDescent="0.2">
      <c r="B2295" s="57" t="str">
        <f t="shared" si="45"/>
        <v>2013-037-5</v>
      </c>
      <c r="C2295" s="58">
        <v>2013</v>
      </c>
      <c r="D2295" s="58" t="s">
        <v>15</v>
      </c>
      <c r="E2295" s="58">
        <v>5</v>
      </c>
      <c r="F2295" s="59" t="s">
        <v>867</v>
      </c>
      <c r="G2295" s="58"/>
      <c r="H2295" s="60"/>
      <c r="I2295" s="61"/>
    </row>
    <row r="2296" spans="2:9" x14ac:dyDescent="0.2">
      <c r="B2296" s="62" t="str">
        <f t="shared" si="45"/>
        <v>2013-038-0</v>
      </c>
      <c r="C2296" s="63">
        <v>2013</v>
      </c>
      <c r="D2296" s="63" t="s">
        <v>16</v>
      </c>
      <c r="E2296" s="63">
        <v>0</v>
      </c>
      <c r="F2296" s="64" t="s">
        <v>346</v>
      </c>
      <c r="G2296" s="63"/>
      <c r="H2296" s="65"/>
      <c r="I2296" s="66"/>
    </row>
    <row r="2297" spans="2:9" ht="27" x14ac:dyDescent="0.2">
      <c r="B2297" s="51" t="str">
        <f t="shared" si="45"/>
        <v>2013-038-1</v>
      </c>
      <c r="C2297" s="52">
        <v>2013</v>
      </c>
      <c r="D2297" s="52" t="s">
        <v>16</v>
      </c>
      <c r="E2297" s="52">
        <v>1</v>
      </c>
      <c r="F2297" s="54" t="s">
        <v>731</v>
      </c>
      <c r="G2297" s="52"/>
      <c r="H2297" s="55"/>
      <c r="I2297" s="56"/>
    </row>
    <row r="2298" spans="2:9" ht="27" x14ac:dyDescent="0.2">
      <c r="B2298" s="51" t="str">
        <f t="shared" si="45"/>
        <v>2013-038-2</v>
      </c>
      <c r="C2298" s="52">
        <v>2013</v>
      </c>
      <c r="D2298" s="52" t="s">
        <v>16</v>
      </c>
      <c r="E2298" s="52">
        <v>2</v>
      </c>
      <c r="F2298" s="54" t="s">
        <v>1124</v>
      </c>
      <c r="G2298" s="52"/>
      <c r="H2298" s="55"/>
      <c r="I2298" s="56"/>
    </row>
    <row r="2299" spans="2:9" ht="27" x14ac:dyDescent="0.2">
      <c r="B2299" s="51" t="str">
        <f t="shared" si="45"/>
        <v>2013-038-3</v>
      </c>
      <c r="C2299" s="52">
        <v>2013</v>
      </c>
      <c r="D2299" s="52" t="s">
        <v>16</v>
      </c>
      <c r="E2299" s="52">
        <v>3</v>
      </c>
      <c r="F2299" s="54" t="s">
        <v>1506</v>
      </c>
      <c r="G2299" s="52" t="s">
        <v>3391</v>
      </c>
      <c r="H2299" s="55"/>
      <c r="I2299" s="56"/>
    </row>
    <row r="2300" spans="2:9" ht="27" x14ac:dyDescent="0.2">
      <c r="B2300" s="51" t="str">
        <f t="shared" si="45"/>
        <v>2013-038-4</v>
      </c>
      <c r="C2300" s="52">
        <v>2013</v>
      </c>
      <c r="D2300" s="52" t="s">
        <v>16</v>
      </c>
      <c r="E2300" s="52">
        <v>4</v>
      </c>
      <c r="F2300" s="54" t="s">
        <v>1869</v>
      </c>
      <c r="G2300" s="52"/>
      <c r="H2300" s="55"/>
      <c r="I2300" s="56"/>
    </row>
    <row r="2301" spans="2:9" ht="40.5" x14ac:dyDescent="0.2">
      <c r="B2301" s="57" t="str">
        <f t="shared" si="45"/>
        <v>2013-038-5</v>
      </c>
      <c r="C2301" s="58">
        <v>2013</v>
      </c>
      <c r="D2301" s="58" t="s">
        <v>16</v>
      </c>
      <c r="E2301" s="58">
        <v>5</v>
      </c>
      <c r="F2301" s="59" t="s">
        <v>2230</v>
      </c>
      <c r="G2301" s="58"/>
      <c r="H2301" s="60"/>
      <c r="I2301" s="61"/>
    </row>
    <row r="2302" spans="2:9" x14ac:dyDescent="0.2">
      <c r="B2302" s="62" t="str">
        <f t="shared" si="45"/>
        <v>2013-039-0</v>
      </c>
      <c r="C2302" s="63">
        <v>2013</v>
      </c>
      <c r="D2302" s="63" t="s">
        <v>17</v>
      </c>
      <c r="E2302" s="63">
        <v>0</v>
      </c>
      <c r="F2302" s="64" t="s">
        <v>347</v>
      </c>
      <c r="G2302" s="63"/>
      <c r="H2302" s="65"/>
      <c r="I2302" s="66"/>
    </row>
    <row r="2303" spans="2:9" ht="27" x14ac:dyDescent="0.2">
      <c r="B2303" s="51" t="str">
        <f t="shared" si="45"/>
        <v>2013-039-1</v>
      </c>
      <c r="C2303" s="52">
        <v>2013</v>
      </c>
      <c r="D2303" s="52" t="s">
        <v>17</v>
      </c>
      <c r="E2303" s="52">
        <v>1</v>
      </c>
      <c r="F2303" s="54" t="s">
        <v>732</v>
      </c>
      <c r="G2303" s="52" t="s">
        <v>3391</v>
      </c>
      <c r="H2303" s="55"/>
      <c r="I2303" s="56"/>
    </row>
    <row r="2304" spans="2:9" x14ac:dyDescent="0.2">
      <c r="B2304" s="51" t="str">
        <f t="shared" si="45"/>
        <v>2013-039-2</v>
      </c>
      <c r="C2304" s="52">
        <v>2013</v>
      </c>
      <c r="D2304" s="52" t="s">
        <v>17</v>
      </c>
      <c r="E2304" s="52">
        <v>2</v>
      </c>
      <c r="F2304" s="54" t="s">
        <v>1125</v>
      </c>
      <c r="G2304" s="52"/>
      <c r="H2304" s="55"/>
      <c r="I2304" s="56"/>
    </row>
    <row r="2305" spans="2:9" x14ac:dyDescent="0.2">
      <c r="B2305" s="51" t="str">
        <f t="shared" si="45"/>
        <v>2013-039-3</v>
      </c>
      <c r="C2305" s="52">
        <v>2013</v>
      </c>
      <c r="D2305" s="52" t="s">
        <v>17</v>
      </c>
      <c r="E2305" s="52">
        <v>3</v>
      </c>
      <c r="F2305" s="54" t="s">
        <v>1462</v>
      </c>
      <c r="G2305" s="52"/>
      <c r="H2305" s="55"/>
      <c r="I2305" s="56"/>
    </row>
    <row r="2306" spans="2:9" x14ac:dyDescent="0.2">
      <c r="B2306" s="51" t="str">
        <f t="shared" si="45"/>
        <v>2013-039-4</v>
      </c>
      <c r="C2306" s="52">
        <v>2013</v>
      </c>
      <c r="D2306" s="52" t="s">
        <v>17</v>
      </c>
      <c r="E2306" s="52">
        <v>4</v>
      </c>
      <c r="F2306" s="54" t="s">
        <v>1870</v>
      </c>
      <c r="G2306" s="52"/>
      <c r="H2306" s="55"/>
      <c r="I2306" s="56"/>
    </row>
    <row r="2307" spans="2:9" x14ac:dyDescent="0.2">
      <c r="B2307" s="57" t="str">
        <f t="shared" si="45"/>
        <v>2013-039-5</v>
      </c>
      <c r="C2307" s="58">
        <v>2013</v>
      </c>
      <c r="D2307" s="58" t="s">
        <v>17</v>
      </c>
      <c r="E2307" s="58">
        <v>5</v>
      </c>
      <c r="F2307" s="59" t="s">
        <v>1831</v>
      </c>
      <c r="G2307" s="58"/>
      <c r="H2307" s="60"/>
      <c r="I2307" s="61"/>
    </row>
    <row r="2308" spans="2:9" x14ac:dyDescent="0.2">
      <c r="B2308" s="62" t="str">
        <f t="shared" si="45"/>
        <v>2013-040-0</v>
      </c>
      <c r="C2308" s="63">
        <v>2013</v>
      </c>
      <c r="D2308" s="63" t="s">
        <v>18</v>
      </c>
      <c r="E2308" s="63">
        <v>0</v>
      </c>
      <c r="F2308" s="64" t="s">
        <v>348</v>
      </c>
      <c r="G2308" s="63"/>
      <c r="H2308" s="65"/>
      <c r="I2308" s="66"/>
    </row>
    <row r="2309" spans="2:9" x14ac:dyDescent="0.2">
      <c r="B2309" s="51" t="str">
        <f t="shared" si="45"/>
        <v>2013-040-1</v>
      </c>
      <c r="C2309" s="52">
        <v>2013</v>
      </c>
      <c r="D2309" s="52" t="s">
        <v>18</v>
      </c>
      <c r="E2309" s="52">
        <v>1</v>
      </c>
      <c r="F2309" s="54" t="s">
        <v>733</v>
      </c>
      <c r="G2309" s="52"/>
      <c r="H2309" s="55"/>
      <c r="I2309" s="56"/>
    </row>
    <row r="2310" spans="2:9" ht="40.5" x14ac:dyDescent="0.2">
      <c r="B2310" s="51" t="str">
        <f t="shared" si="45"/>
        <v>2013-040-2</v>
      </c>
      <c r="C2310" s="52">
        <v>2013</v>
      </c>
      <c r="D2310" s="52" t="s">
        <v>18</v>
      </c>
      <c r="E2310" s="52">
        <v>2</v>
      </c>
      <c r="F2310" s="54" t="s">
        <v>1126</v>
      </c>
      <c r="G2310" s="52"/>
      <c r="H2310" s="55"/>
      <c r="I2310" s="56"/>
    </row>
    <row r="2311" spans="2:9" x14ac:dyDescent="0.2">
      <c r="B2311" s="51" t="str">
        <f t="shared" si="45"/>
        <v>2013-040-3</v>
      </c>
      <c r="C2311" s="52">
        <v>2013</v>
      </c>
      <c r="D2311" s="52" t="s">
        <v>18</v>
      </c>
      <c r="E2311" s="52">
        <v>3</v>
      </c>
      <c r="F2311" s="54" t="s">
        <v>1507</v>
      </c>
      <c r="G2311" s="52" t="s">
        <v>3391</v>
      </c>
      <c r="H2311" s="55"/>
      <c r="I2311" s="56"/>
    </row>
    <row r="2312" spans="2:9" x14ac:dyDescent="0.2">
      <c r="B2312" s="51" t="str">
        <f t="shared" si="45"/>
        <v>2013-040-4</v>
      </c>
      <c r="C2312" s="52">
        <v>2013</v>
      </c>
      <c r="D2312" s="52" t="s">
        <v>18</v>
      </c>
      <c r="E2312" s="52">
        <v>4</v>
      </c>
      <c r="F2312" s="54" t="s">
        <v>1871</v>
      </c>
      <c r="G2312" s="52"/>
      <c r="H2312" s="55"/>
      <c r="I2312" s="56"/>
    </row>
    <row r="2313" spans="2:9" ht="27" x14ac:dyDescent="0.2">
      <c r="B2313" s="57" t="str">
        <f t="shared" si="45"/>
        <v>2013-040-5</v>
      </c>
      <c r="C2313" s="58">
        <v>2013</v>
      </c>
      <c r="D2313" s="58" t="s">
        <v>18</v>
      </c>
      <c r="E2313" s="58">
        <v>5</v>
      </c>
      <c r="F2313" s="59" t="s">
        <v>1937</v>
      </c>
      <c r="G2313" s="58"/>
      <c r="H2313" s="60"/>
      <c r="I2313" s="61"/>
    </row>
    <row r="2314" spans="2:9" x14ac:dyDescent="0.2">
      <c r="B2314" s="62" t="str">
        <f t="shared" si="45"/>
        <v>2013-041-0</v>
      </c>
      <c r="C2314" s="63">
        <v>2013</v>
      </c>
      <c r="D2314" s="63" t="s">
        <v>72</v>
      </c>
      <c r="E2314" s="63">
        <v>0</v>
      </c>
      <c r="F2314" s="64" t="s">
        <v>349</v>
      </c>
      <c r="G2314" s="63"/>
      <c r="H2314" s="65"/>
      <c r="I2314" s="66"/>
    </row>
    <row r="2315" spans="2:9" x14ac:dyDescent="0.2">
      <c r="B2315" s="51" t="str">
        <f t="shared" si="45"/>
        <v>2013-041-1</v>
      </c>
      <c r="C2315" s="52">
        <v>2013</v>
      </c>
      <c r="D2315" s="52" t="s">
        <v>72</v>
      </c>
      <c r="E2315" s="52">
        <v>1</v>
      </c>
      <c r="F2315" s="54" t="s">
        <v>734</v>
      </c>
      <c r="G2315" s="52"/>
      <c r="H2315" s="55"/>
      <c r="I2315" s="56"/>
    </row>
    <row r="2316" spans="2:9" x14ac:dyDescent="0.2">
      <c r="B2316" s="51" t="str">
        <f t="shared" si="45"/>
        <v>2013-041-2</v>
      </c>
      <c r="C2316" s="52">
        <v>2013</v>
      </c>
      <c r="D2316" s="52" t="s">
        <v>72</v>
      </c>
      <c r="E2316" s="52">
        <v>2</v>
      </c>
      <c r="F2316" s="54" t="s">
        <v>1127</v>
      </c>
      <c r="G2316" s="52"/>
      <c r="H2316" s="55"/>
      <c r="I2316" s="56"/>
    </row>
    <row r="2317" spans="2:9" x14ac:dyDescent="0.2">
      <c r="B2317" s="51" t="str">
        <f t="shared" si="45"/>
        <v>2013-041-3</v>
      </c>
      <c r="C2317" s="52">
        <v>2013</v>
      </c>
      <c r="D2317" s="52" t="s">
        <v>72</v>
      </c>
      <c r="E2317" s="52">
        <v>3</v>
      </c>
      <c r="F2317" s="54" t="s">
        <v>1508</v>
      </c>
      <c r="G2317" s="52"/>
      <c r="H2317" s="55"/>
      <c r="I2317" s="56"/>
    </row>
    <row r="2318" spans="2:9" x14ac:dyDescent="0.2">
      <c r="B2318" s="51" t="str">
        <f t="shared" si="45"/>
        <v>2013-041-4</v>
      </c>
      <c r="C2318" s="52">
        <v>2013</v>
      </c>
      <c r="D2318" s="52" t="s">
        <v>72</v>
      </c>
      <c r="E2318" s="52">
        <v>4</v>
      </c>
      <c r="F2318" s="54" t="s">
        <v>1872</v>
      </c>
      <c r="G2318" s="52" t="s">
        <v>3391</v>
      </c>
      <c r="H2318" s="55"/>
      <c r="I2318" s="56"/>
    </row>
    <row r="2319" spans="2:9" ht="27" x14ac:dyDescent="0.2">
      <c r="B2319" s="57" t="str">
        <f t="shared" si="45"/>
        <v>2013-041-5</v>
      </c>
      <c r="C2319" s="58">
        <v>2013</v>
      </c>
      <c r="D2319" s="58" t="s">
        <v>72</v>
      </c>
      <c r="E2319" s="58">
        <v>5</v>
      </c>
      <c r="F2319" s="59" t="s">
        <v>2231</v>
      </c>
      <c r="G2319" s="58"/>
      <c r="H2319" s="60"/>
      <c r="I2319" s="61"/>
    </row>
    <row r="2320" spans="2:9" x14ac:dyDescent="0.2">
      <c r="B2320" s="62" t="str">
        <f t="shared" si="45"/>
        <v>2013-042-0</v>
      </c>
      <c r="C2320" s="63">
        <v>2013</v>
      </c>
      <c r="D2320" s="63" t="s">
        <v>73</v>
      </c>
      <c r="E2320" s="63">
        <v>0</v>
      </c>
      <c r="F2320" s="64" t="s">
        <v>350</v>
      </c>
      <c r="G2320" s="63"/>
      <c r="H2320" s="65"/>
      <c r="I2320" s="66"/>
    </row>
    <row r="2321" spans="2:9" x14ac:dyDescent="0.2">
      <c r="B2321" s="51" t="str">
        <f t="shared" si="45"/>
        <v>2013-042-1</v>
      </c>
      <c r="C2321" s="52">
        <v>2013</v>
      </c>
      <c r="D2321" s="52" t="s">
        <v>73</v>
      </c>
      <c r="E2321" s="52">
        <v>1</v>
      </c>
      <c r="F2321" s="54" t="s">
        <v>735</v>
      </c>
      <c r="G2321" s="52"/>
      <c r="H2321" s="55"/>
      <c r="I2321" s="56"/>
    </row>
    <row r="2322" spans="2:9" ht="27" x14ac:dyDescent="0.2">
      <c r="B2322" s="51" t="str">
        <f t="shared" si="45"/>
        <v>2013-042-2</v>
      </c>
      <c r="C2322" s="52">
        <v>2013</v>
      </c>
      <c r="D2322" s="52" t="s">
        <v>73</v>
      </c>
      <c r="E2322" s="52">
        <v>2</v>
      </c>
      <c r="F2322" s="54" t="s">
        <v>1128</v>
      </c>
      <c r="G2322" s="52"/>
      <c r="H2322" s="55"/>
      <c r="I2322" s="56"/>
    </row>
    <row r="2323" spans="2:9" x14ac:dyDescent="0.2">
      <c r="B2323" s="51" t="str">
        <f t="shared" si="45"/>
        <v>2013-042-3</v>
      </c>
      <c r="C2323" s="52">
        <v>2013</v>
      </c>
      <c r="D2323" s="52" t="s">
        <v>73</v>
      </c>
      <c r="E2323" s="52">
        <v>3</v>
      </c>
      <c r="F2323" s="54" t="s">
        <v>1509</v>
      </c>
      <c r="G2323" s="52"/>
      <c r="H2323" s="55"/>
      <c r="I2323" s="56"/>
    </row>
    <row r="2324" spans="2:9" ht="27" x14ac:dyDescent="0.2">
      <c r="B2324" s="51" t="str">
        <f t="shared" si="45"/>
        <v>2013-042-4</v>
      </c>
      <c r="C2324" s="52">
        <v>2013</v>
      </c>
      <c r="D2324" s="52" t="s">
        <v>73</v>
      </c>
      <c r="E2324" s="52">
        <v>4</v>
      </c>
      <c r="F2324" s="54" t="s">
        <v>1873</v>
      </c>
      <c r="G2324" s="52" t="s">
        <v>3391</v>
      </c>
      <c r="H2324" s="55"/>
      <c r="I2324" s="56"/>
    </row>
    <row r="2325" spans="2:9" x14ac:dyDescent="0.2">
      <c r="B2325" s="57" t="str">
        <f t="shared" si="45"/>
        <v>2013-042-5</v>
      </c>
      <c r="C2325" s="58">
        <v>2013</v>
      </c>
      <c r="D2325" s="58" t="s">
        <v>73</v>
      </c>
      <c r="E2325" s="58">
        <v>5</v>
      </c>
      <c r="F2325" s="59" t="s">
        <v>2232</v>
      </c>
      <c r="G2325" s="58"/>
      <c r="H2325" s="60"/>
      <c r="I2325" s="61"/>
    </row>
    <row r="2326" spans="2:9" x14ac:dyDescent="0.2">
      <c r="B2326" s="62" t="str">
        <f t="shared" si="45"/>
        <v>2013-043-0</v>
      </c>
      <c r="C2326" s="63">
        <v>2013</v>
      </c>
      <c r="D2326" s="63" t="s">
        <v>74</v>
      </c>
      <c r="E2326" s="63">
        <v>0</v>
      </c>
      <c r="F2326" s="64" t="s">
        <v>224</v>
      </c>
      <c r="G2326" s="63"/>
      <c r="H2326" s="65"/>
      <c r="I2326" s="66"/>
    </row>
    <row r="2327" spans="2:9" x14ac:dyDescent="0.2">
      <c r="B2327" s="51" t="str">
        <f t="shared" si="45"/>
        <v>2013-043-1</v>
      </c>
      <c r="C2327" s="52">
        <v>2013</v>
      </c>
      <c r="D2327" s="52" t="s">
        <v>74</v>
      </c>
      <c r="E2327" s="52">
        <v>1</v>
      </c>
      <c r="F2327" s="54" t="s">
        <v>580</v>
      </c>
      <c r="G2327" s="52"/>
      <c r="H2327" s="55"/>
      <c r="I2327" s="56"/>
    </row>
    <row r="2328" spans="2:9" x14ac:dyDescent="0.2">
      <c r="B2328" s="51" t="str">
        <f t="shared" si="45"/>
        <v>2013-043-2</v>
      </c>
      <c r="C2328" s="52">
        <v>2013</v>
      </c>
      <c r="D2328" s="52" t="s">
        <v>74</v>
      </c>
      <c r="E2328" s="52">
        <v>2</v>
      </c>
      <c r="F2328" s="54" t="s">
        <v>1056</v>
      </c>
      <c r="G2328" s="52"/>
      <c r="H2328" s="55"/>
      <c r="I2328" s="56"/>
    </row>
    <row r="2329" spans="2:9" ht="27" x14ac:dyDescent="0.2">
      <c r="B2329" s="51" t="str">
        <f t="shared" si="45"/>
        <v>2013-043-3</v>
      </c>
      <c r="C2329" s="52">
        <v>2013</v>
      </c>
      <c r="D2329" s="52" t="s">
        <v>74</v>
      </c>
      <c r="E2329" s="52">
        <v>3</v>
      </c>
      <c r="F2329" s="54" t="s">
        <v>1510</v>
      </c>
      <c r="G2329" s="52"/>
      <c r="H2329" s="55"/>
      <c r="I2329" s="56"/>
    </row>
    <row r="2330" spans="2:9" ht="27" x14ac:dyDescent="0.2">
      <c r="B2330" s="51" t="str">
        <f t="shared" si="45"/>
        <v>2013-043-4</v>
      </c>
      <c r="C2330" s="52">
        <v>2013</v>
      </c>
      <c r="D2330" s="52" t="s">
        <v>74</v>
      </c>
      <c r="E2330" s="52">
        <v>4</v>
      </c>
      <c r="F2330" s="54" t="s">
        <v>1874</v>
      </c>
      <c r="G2330" s="52"/>
      <c r="H2330" s="55"/>
      <c r="I2330" s="56"/>
    </row>
    <row r="2331" spans="2:9" ht="27" x14ac:dyDescent="0.2">
      <c r="B2331" s="57" t="str">
        <f t="shared" si="45"/>
        <v>2013-043-5</v>
      </c>
      <c r="C2331" s="58">
        <v>2013</v>
      </c>
      <c r="D2331" s="58" t="s">
        <v>74</v>
      </c>
      <c r="E2331" s="58">
        <v>5</v>
      </c>
      <c r="F2331" s="59" t="s">
        <v>2233</v>
      </c>
      <c r="G2331" s="58" t="s">
        <v>3391</v>
      </c>
      <c r="H2331" s="60"/>
      <c r="I2331" s="61"/>
    </row>
    <row r="2332" spans="2:9" x14ac:dyDescent="0.2">
      <c r="B2332" s="62" t="str">
        <f t="shared" si="45"/>
        <v>2013-044-0</v>
      </c>
      <c r="C2332" s="63">
        <v>2013</v>
      </c>
      <c r="D2332" s="63" t="s">
        <v>75</v>
      </c>
      <c r="E2332" s="63">
        <v>0</v>
      </c>
      <c r="F2332" s="64" t="s">
        <v>351</v>
      </c>
      <c r="G2332" s="63"/>
      <c r="H2332" s="65"/>
      <c r="I2332" s="66"/>
    </row>
    <row r="2333" spans="2:9" x14ac:dyDescent="0.2">
      <c r="B2333" s="51" t="str">
        <f t="shared" si="45"/>
        <v>2013-044-1</v>
      </c>
      <c r="C2333" s="52">
        <v>2013</v>
      </c>
      <c r="D2333" s="52" t="s">
        <v>75</v>
      </c>
      <c r="E2333" s="52">
        <v>1</v>
      </c>
      <c r="F2333" s="54" t="s">
        <v>736</v>
      </c>
      <c r="G2333" s="52"/>
      <c r="H2333" s="55"/>
      <c r="I2333" s="56"/>
    </row>
    <row r="2334" spans="2:9" x14ac:dyDescent="0.2">
      <c r="B2334" s="51" t="str">
        <f t="shared" si="45"/>
        <v>2013-044-2</v>
      </c>
      <c r="C2334" s="52">
        <v>2013</v>
      </c>
      <c r="D2334" s="52" t="s">
        <v>75</v>
      </c>
      <c r="E2334" s="52">
        <v>2</v>
      </c>
      <c r="F2334" s="54" t="s">
        <v>1129</v>
      </c>
      <c r="G2334" s="52" t="s">
        <v>3391</v>
      </c>
      <c r="H2334" s="55"/>
      <c r="I2334" s="56"/>
    </row>
    <row r="2335" spans="2:9" x14ac:dyDescent="0.2">
      <c r="B2335" s="51" t="str">
        <f t="shared" si="45"/>
        <v>2013-044-3</v>
      </c>
      <c r="C2335" s="52">
        <v>2013</v>
      </c>
      <c r="D2335" s="52" t="s">
        <v>75</v>
      </c>
      <c r="E2335" s="52">
        <v>3</v>
      </c>
      <c r="F2335" s="54" t="s">
        <v>1511</v>
      </c>
      <c r="G2335" s="52"/>
      <c r="H2335" s="55"/>
      <c r="I2335" s="56"/>
    </row>
    <row r="2336" spans="2:9" ht="27" x14ac:dyDescent="0.2">
      <c r="B2336" s="51" t="str">
        <f t="shared" si="45"/>
        <v>2013-044-4</v>
      </c>
      <c r="C2336" s="52">
        <v>2013</v>
      </c>
      <c r="D2336" s="52" t="s">
        <v>75</v>
      </c>
      <c r="E2336" s="52">
        <v>4</v>
      </c>
      <c r="F2336" s="54" t="s">
        <v>1875</v>
      </c>
      <c r="G2336" s="52"/>
      <c r="H2336" s="55"/>
      <c r="I2336" s="56"/>
    </row>
    <row r="2337" spans="2:9" x14ac:dyDescent="0.2">
      <c r="B2337" s="57" t="str">
        <f t="shared" ref="B2337:B2373" si="46">C2337&amp;"-"&amp;D2337&amp;"-"&amp;E2337</f>
        <v>2013-044-5</v>
      </c>
      <c r="C2337" s="58">
        <v>2013</v>
      </c>
      <c r="D2337" s="58" t="s">
        <v>75</v>
      </c>
      <c r="E2337" s="58">
        <v>5</v>
      </c>
      <c r="F2337" s="59" t="s">
        <v>979</v>
      </c>
      <c r="G2337" s="58"/>
      <c r="H2337" s="60"/>
      <c r="I2337" s="61"/>
    </row>
    <row r="2338" spans="2:9" x14ac:dyDescent="0.2">
      <c r="B2338" s="62" t="str">
        <f t="shared" si="46"/>
        <v>2013-045-0</v>
      </c>
      <c r="C2338" s="63">
        <v>2013</v>
      </c>
      <c r="D2338" s="63" t="s">
        <v>76</v>
      </c>
      <c r="E2338" s="63">
        <v>0</v>
      </c>
      <c r="F2338" s="64" t="s">
        <v>352</v>
      </c>
      <c r="G2338" s="63"/>
      <c r="H2338" s="65"/>
      <c r="I2338" s="66"/>
    </row>
    <row r="2339" spans="2:9" x14ac:dyDescent="0.2">
      <c r="B2339" s="51" t="str">
        <f t="shared" si="46"/>
        <v>2013-045-1</v>
      </c>
      <c r="C2339" s="52">
        <v>2013</v>
      </c>
      <c r="D2339" s="52" t="s">
        <v>76</v>
      </c>
      <c r="E2339" s="52">
        <v>1</v>
      </c>
      <c r="F2339" s="54" t="s">
        <v>737</v>
      </c>
      <c r="G2339" s="52"/>
      <c r="H2339" s="55"/>
      <c r="I2339" s="56"/>
    </row>
    <row r="2340" spans="2:9" ht="27" x14ac:dyDescent="0.2">
      <c r="B2340" s="51" t="str">
        <f t="shared" si="46"/>
        <v>2013-045-2</v>
      </c>
      <c r="C2340" s="52">
        <v>2013</v>
      </c>
      <c r="D2340" s="52" t="s">
        <v>76</v>
      </c>
      <c r="E2340" s="52">
        <v>2</v>
      </c>
      <c r="F2340" s="54" t="s">
        <v>1130</v>
      </c>
      <c r="G2340" s="52"/>
      <c r="H2340" s="55"/>
      <c r="I2340" s="56"/>
    </row>
    <row r="2341" spans="2:9" x14ac:dyDescent="0.2">
      <c r="B2341" s="51" t="str">
        <f t="shared" si="46"/>
        <v>2013-045-3</v>
      </c>
      <c r="C2341" s="52">
        <v>2013</v>
      </c>
      <c r="D2341" s="52" t="s">
        <v>76</v>
      </c>
      <c r="E2341" s="52">
        <v>3</v>
      </c>
      <c r="F2341" s="54" t="s">
        <v>1512</v>
      </c>
      <c r="G2341" s="52" t="s">
        <v>3391</v>
      </c>
      <c r="H2341" s="55"/>
      <c r="I2341" s="56"/>
    </row>
    <row r="2342" spans="2:9" ht="27" x14ac:dyDescent="0.2">
      <c r="B2342" s="51" t="str">
        <f t="shared" si="46"/>
        <v>2013-045-4</v>
      </c>
      <c r="C2342" s="52">
        <v>2013</v>
      </c>
      <c r="D2342" s="52" t="s">
        <v>76</v>
      </c>
      <c r="E2342" s="52">
        <v>4</v>
      </c>
      <c r="F2342" s="54" t="s">
        <v>1876</v>
      </c>
      <c r="G2342" s="52"/>
      <c r="H2342" s="55"/>
      <c r="I2342" s="56"/>
    </row>
    <row r="2343" spans="2:9" ht="27" x14ac:dyDescent="0.2">
      <c r="B2343" s="57" t="str">
        <f t="shared" si="46"/>
        <v>2013-045-5</v>
      </c>
      <c r="C2343" s="58">
        <v>2013</v>
      </c>
      <c r="D2343" s="58" t="s">
        <v>76</v>
      </c>
      <c r="E2343" s="58">
        <v>5</v>
      </c>
      <c r="F2343" s="59" t="s">
        <v>2234</v>
      </c>
      <c r="G2343" s="58"/>
      <c r="H2343" s="60"/>
      <c r="I2343" s="61"/>
    </row>
    <row r="2344" spans="2:9" x14ac:dyDescent="0.2">
      <c r="B2344" s="62" t="str">
        <f t="shared" si="46"/>
        <v>2013-046-0</v>
      </c>
      <c r="C2344" s="63">
        <v>2013</v>
      </c>
      <c r="D2344" s="63" t="s">
        <v>77</v>
      </c>
      <c r="E2344" s="63">
        <v>0</v>
      </c>
      <c r="F2344" s="64" t="s">
        <v>353</v>
      </c>
      <c r="G2344" s="63"/>
      <c r="H2344" s="65"/>
      <c r="I2344" s="66"/>
    </row>
    <row r="2345" spans="2:9" x14ac:dyDescent="0.2">
      <c r="B2345" s="51" t="str">
        <f t="shared" si="46"/>
        <v>2013-046-1</v>
      </c>
      <c r="C2345" s="52">
        <v>2013</v>
      </c>
      <c r="D2345" s="52" t="s">
        <v>77</v>
      </c>
      <c r="E2345" s="52">
        <v>1</v>
      </c>
      <c r="F2345" s="54" t="s">
        <v>738</v>
      </c>
      <c r="G2345" s="52"/>
      <c r="H2345" s="55"/>
      <c r="I2345" s="56"/>
    </row>
    <row r="2346" spans="2:9" ht="27" x14ac:dyDescent="0.2">
      <c r="B2346" s="51" t="str">
        <f t="shared" si="46"/>
        <v>2013-046-2</v>
      </c>
      <c r="C2346" s="52">
        <v>2013</v>
      </c>
      <c r="D2346" s="52" t="s">
        <v>77</v>
      </c>
      <c r="E2346" s="52">
        <v>2</v>
      </c>
      <c r="F2346" s="54" t="s">
        <v>1131</v>
      </c>
      <c r="G2346" s="52"/>
      <c r="H2346" s="55"/>
      <c r="I2346" s="56"/>
    </row>
    <row r="2347" spans="2:9" ht="27" x14ac:dyDescent="0.2">
      <c r="B2347" s="51" t="str">
        <f t="shared" si="46"/>
        <v>2013-046-3</v>
      </c>
      <c r="C2347" s="52">
        <v>2013</v>
      </c>
      <c r="D2347" s="52" t="s">
        <v>77</v>
      </c>
      <c r="E2347" s="52">
        <v>3</v>
      </c>
      <c r="F2347" s="54" t="s">
        <v>1513</v>
      </c>
      <c r="G2347" s="52"/>
      <c r="H2347" s="55"/>
      <c r="I2347" s="56"/>
    </row>
    <row r="2348" spans="2:9" ht="40.5" x14ac:dyDescent="0.2">
      <c r="B2348" s="51" t="str">
        <f t="shared" si="46"/>
        <v>2013-046-4</v>
      </c>
      <c r="C2348" s="52">
        <v>2013</v>
      </c>
      <c r="D2348" s="52" t="s">
        <v>77</v>
      </c>
      <c r="E2348" s="52">
        <v>4</v>
      </c>
      <c r="F2348" s="54" t="s">
        <v>1877</v>
      </c>
      <c r="G2348" s="52" t="s">
        <v>3391</v>
      </c>
      <c r="H2348" s="55"/>
      <c r="I2348" s="56"/>
    </row>
    <row r="2349" spans="2:9" ht="27" x14ac:dyDescent="0.2">
      <c r="B2349" s="57" t="str">
        <f t="shared" si="46"/>
        <v>2013-046-5</v>
      </c>
      <c r="C2349" s="58">
        <v>2013</v>
      </c>
      <c r="D2349" s="58" t="s">
        <v>77</v>
      </c>
      <c r="E2349" s="58">
        <v>5</v>
      </c>
      <c r="F2349" s="59" t="s">
        <v>2235</v>
      </c>
      <c r="G2349" s="58"/>
      <c r="H2349" s="60"/>
      <c r="I2349" s="61"/>
    </row>
    <row r="2350" spans="2:9" x14ac:dyDescent="0.2">
      <c r="B2350" s="62" t="str">
        <f t="shared" si="46"/>
        <v>2013-047-0</v>
      </c>
      <c r="C2350" s="63">
        <v>2013</v>
      </c>
      <c r="D2350" s="63" t="s">
        <v>78</v>
      </c>
      <c r="E2350" s="63">
        <v>0</v>
      </c>
      <c r="F2350" s="64" t="s">
        <v>354</v>
      </c>
      <c r="G2350" s="63"/>
      <c r="H2350" s="65"/>
      <c r="I2350" s="66"/>
    </row>
    <row r="2351" spans="2:9" x14ac:dyDescent="0.2">
      <c r="B2351" s="51" t="str">
        <f t="shared" si="46"/>
        <v>2013-047-1</v>
      </c>
      <c r="C2351" s="52">
        <v>2013</v>
      </c>
      <c r="D2351" s="52" t="s">
        <v>78</v>
      </c>
      <c r="E2351" s="52">
        <v>1</v>
      </c>
      <c r="F2351" s="54" t="s">
        <v>739</v>
      </c>
      <c r="G2351" s="52" t="s">
        <v>3391</v>
      </c>
      <c r="H2351" s="55"/>
      <c r="I2351" s="56"/>
    </row>
    <row r="2352" spans="2:9" x14ac:dyDescent="0.2">
      <c r="B2352" s="51" t="str">
        <f t="shared" si="46"/>
        <v>2013-047-2</v>
      </c>
      <c r="C2352" s="52">
        <v>2013</v>
      </c>
      <c r="D2352" s="52" t="s">
        <v>78</v>
      </c>
      <c r="E2352" s="52">
        <v>2</v>
      </c>
      <c r="F2352" s="54" t="s">
        <v>1132</v>
      </c>
      <c r="G2352" s="52"/>
      <c r="H2352" s="55"/>
      <c r="I2352" s="56"/>
    </row>
    <row r="2353" spans="2:9" x14ac:dyDescent="0.2">
      <c r="B2353" s="51" t="str">
        <f t="shared" si="46"/>
        <v>2013-047-3</v>
      </c>
      <c r="C2353" s="52">
        <v>2013</v>
      </c>
      <c r="D2353" s="52" t="s">
        <v>78</v>
      </c>
      <c r="E2353" s="52">
        <v>3</v>
      </c>
      <c r="F2353" s="54" t="s">
        <v>1514</v>
      </c>
      <c r="G2353" s="52"/>
      <c r="H2353" s="55"/>
      <c r="I2353" s="56"/>
    </row>
    <row r="2354" spans="2:9" x14ac:dyDescent="0.2">
      <c r="B2354" s="51" t="str">
        <f t="shared" si="46"/>
        <v>2013-047-4</v>
      </c>
      <c r="C2354" s="52">
        <v>2013</v>
      </c>
      <c r="D2354" s="52" t="s">
        <v>78</v>
      </c>
      <c r="E2354" s="52">
        <v>4</v>
      </c>
      <c r="F2354" s="54" t="s">
        <v>1089</v>
      </c>
      <c r="G2354" s="52"/>
      <c r="H2354" s="55"/>
      <c r="I2354" s="56"/>
    </row>
    <row r="2355" spans="2:9" x14ac:dyDescent="0.2">
      <c r="B2355" s="57" t="str">
        <f t="shared" si="46"/>
        <v>2013-047-5</v>
      </c>
      <c r="C2355" s="58">
        <v>2013</v>
      </c>
      <c r="D2355" s="58" t="s">
        <v>78</v>
      </c>
      <c r="E2355" s="58">
        <v>5</v>
      </c>
      <c r="F2355" s="59" t="s">
        <v>568</v>
      </c>
      <c r="G2355" s="58"/>
      <c r="H2355" s="60"/>
      <c r="I2355" s="61"/>
    </row>
    <row r="2356" spans="2:9" x14ac:dyDescent="0.2">
      <c r="B2356" s="62" t="str">
        <f t="shared" si="46"/>
        <v>2013-048-0</v>
      </c>
      <c r="C2356" s="63">
        <v>2013</v>
      </c>
      <c r="D2356" s="63" t="s">
        <v>79</v>
      </c>
      <c r="E2356" s="63">
        <v>0</v>
      </c>
      <c r="F2356" s="64" t="s">
        <v>355</v>
      </c>
      <c r="G2356" s="63"/>
      <c r="H2356" s="65"/>
      <c r="I2356" s="66"/>
    </row>
    <row r="2357" spans="2:9" ht="27" x14ac:dyDescent="0.2">
      <c r="B2357" s="51" t="str">
        <f t="shared" si="46"/>
        <v>2013-048-1</v>
      </c>
      <c r="C2357" s="52">
        <v>2013</v>
      </c>
      <c r="D2357" s="52" t="s">
        <v>79</v>
      </c>
      <c r="E2357" s="52">
        <v>1</v>
      </c>
      <c r="F2357" s="54" t="s">
        <v>740</v>
      </c>
      <c r="G2357" s="52"/>
      <c r="H2357" s="55"/>
      <c r="I2357" s="56"/>
    </row>
    <row r="2358" spans="2:9" x14ac:dyDescent="0.2">
      <c r="B2358" s="51" t="str">
        <f t="shared" si="46"/>
        <v>2013-048-2</v>
      </c>
      <c r="C2358" s="52">
        <v>2013</v>
      </c>
      <c r="D2358" s="52" t="s">
        <v>79</v>
      </c>
      <c r="E2358" s="52">
        <v>2</v>
      </c>
      <c r="F2358" s="54" t="s">
        <v>1133</v>
      </c>
      <c r="G2358" s="52"/>
      <c r="H2358" s="55"/>
      <c r="I2358" s="56"/>
    </row>
    <row r="2359" spans="2:9" x14ac:dyDescent="0.2">
      <c r="B2359" s="51" t="str">
        <f t="shared" si="46"/>
        <v>2013-048-3</v>
      </c>
      <c r="C2359" s="52">
        <v>2013</v>
      </c>
      <c r="D2359" s="52" t="s">
        <v>79</v>
      </c>
      <c r="E2359" s="52">
        <v>3</v>
      </c>
      <c r="F2359" s="54" t="s">
        <v>1515</v>
      </c>
      <c r="G2359" s="52" t="s">
        <v>3391</v>
      </c>
      <c r="H2359" s="55"/>
      <c r="I2359" s="56"/>
    </row>
    <row r="2360" spans="2:9" x14ac:dyDescent="0.2">
      <c r="B2360" s="51" t="str">
        <f t="shared" si="46"/>
        <v>2013-048-4</v>
      </c>
      <c r="C2360" s="52">
        <v>2013</v>
      </c>
      <c r="D2360" s="52" t="s">
        <v>79</v>
      </c>
      <c r="E2360" s="52">
        <v>4</v>
      </c>
      <c r="F2360" s="54" t="s">
        <v>1878</v>
      </c>
      <c r="G2360" s="52"/>
      <c r="H2360" s="55"/>
      <c r="I2360" s="56"/>
    </row>
    <row r="2361" spans="2:9" x14ac:dyDescent="0.2">
      <c r="B2361" s="57" t="str">
        <f t="shared" si="46"/>
        <v>2013-048-5</v>
      </c>
      <c r="C2361" s="58">
        <v>2013</v>
      </c>
      <c r="D2361" s="58" t="s">
        <v>79</v>
      </c>
      <c r="E2361" s="58">
        <v>5</v>
      </c>
      <c r="F2361" s="59" t="s">
        <v>2236</v>
      </c>
      <c r="G2361" s="58"/>
      <c r="H2361" s="60"/>
      <c r="I2361" s="61"/>
    </row>
    <row r="2362" spans="2:9" x14ac:dyDescent="0.2">
      <c r="B2362" s="62" t="str">
        <f t="shared" si="46"/>
        <v>2013-049-0</v>
      </c>
      <c r="C2362" s="63">
        <v>2013</v>
      </c>
      <c r="D2362" s="63" t="s">
        <v>80</v>
      </c>
      <c r="E2362" s="63">
        <v>0</v>
      </c>
      <c r="F2362" s="64" t="s">
        <v>195</v>
      </c>
      <c r="G2362" s="63"/>
      <c r="H2362" s="65"/>
      <c r="I2362" s="66"/>
    </row>
    <row r="2363" spans="2:9" x14ac:dyDescent="0.2">
      <c r="B2363" s="51" t="str">
        <f t="shared" si="46"/>
        <v>2013-049-1</v>
      </c>
      <c r="C2363" s="52">
        <v>2013</v>
      </c>
      <c r="D2363" s="52" t="s">
        <v>80</v>
      </c>
      <c r="E2363" s="52">
        <v>1</v>
      </c>
      <c r="F2363" s="54" t="s">
        <v>741</v>
      </c>
      <c r="G2363" s="52"/>
      <c r="H2363" s="55"/>
      <c r="I2363" s="56"/>
    </row>
    <row r="2364" spans="2:9" x14ac:dyDescent="0.2">
      <c r="B2364" s="51" t="str">
        <f t="shared" si="46"/>
        <v>2013-049-2</v>
      </c>
      <c r="C2364" s="52">
        <v>2013</v>
      </c>
      <c r="D2364" s="52" t="s">
        <v>80</v>
      </c>
      <c r="E2364" s="52">
        <v>2</v>
      </c>
      <c r="F2364" s="54" t="s">
        <v>1134</v>
      </c>
      <c r="G2364" s="52" t="s">
        <v>3391</v>
      </c>
      <c r="H2364" s="55"/>
      <c r="I2364" s="56"/>
    </row>
    <row r="2365" spans="2:9" x14ac:dyDescent="0.2">
      <c r="B2365" s="51" t="str">
        <f t="shared" si="46"/>
        <v>2013-049-3</v>
      </c>
      <c r="C2365" s="52">
        <v>2013</v>
      </c>
      <c r="D2365" s="52" t="s">
        <v>80</v>
      </c>
      <c r="E2365" s="52">
        <v>3</v>
      </c>
      <c r="F2365" s="54" t="s">
        <v>1516</v>
      </c>
      <c r="G2365" s="52"/>
      <c r="H2365" s="55"/>
      <c r="I2365" s="56"/>
    </row>
    <row r="2366" spans="2:9" x14ac:dyDescent="0.2">
      <c r="B2366" s="51" t="str">
        <f t="shared" si="46"/>
        <v>2013-049-4</v>
      </c>
      <c r="C2366" s="52">
        <v>2013</v>
      </c>
      <c r="D2366" s="52" t="s">
        <v>80</v>
      </c>
      <c r="E2366" s="52">
        <v>4</v>
      </c>
      <c r="F2366" s="54" t="s">
        <v>1879</v>
      </c>
      <c r="G2366" s="52"/>
      <c r="H2366" s="55"/>
      <c r="I2366" s="56"/>
    </row>
    <row r="2367" spans="2:9" x14ac:dyDescent="0.2">
      <c r="B2367" s="57" t="str">
        <f t="shared" si="46"/>
        <v>2013-049-5</v>
      </c>
      <c r="C2367" s="58">
        <v>2013</v>
      </c>
      <c r="D2367" s="58" t="s">
        <v>80</v>
      </c>
      <c r="E2367" s="58">
        <v>5</v>
      </c>
      <c r="F2367" s="59" t="s">
        <v>2237</v>
      </c>
      <c r="G2367" s="58"/>
      <c r="H2367" s="60"/>
      <c r="I2367" s="61"/>
    </row>
    <row r="2368" spans="2:9" x14ac:dyDescent="0.2">
      <c r="B2368" s="62" t="str">
        <f t="shared" si="46"/>
        <v>2013-050-0</v>
      </c>
      <c r="C2368" s="63">
        <v>2013</v>
      </c>
      <c r="D2368" s="63" t="s">
        <v>81</v>
      </c>
      <c r="E2368" s="63">
        <v>0</v>
      </c>
      <c r="F2368" s="64" t="s">
        <v>171</v>
      </c>
      <c r="G2368" s="63"/>
      <c r="H2368" s="65"/>
      <c r="I2368" s="66"/>
    </row>
    <row r="2369" spans="2:9" x14ac:dyDescent="0.2">
      <c r="B2369" s="51" t="str">
        <f t="shared" si="46"/>
        <v>2013-050-1</v>
      </c>
      <c r="C2369" s="52">
        <v>2013</v>
      </c>
      <c r="D2369" s="52" t="s">
        <v>81</v>
      </c>
      <c r="E2369" s="52">
        <v>1</v>
      </c>
      <c r="F2369" s="54" t="s">
        <v>742</v>
      </c>
      <c r="G2369" s="52"/>
      <c r="H2369" s="55"/>
      <c r="I2369" s="56"/>
    </row>
    <row r="2370" spans="2:9" x14ac:dyDescent="0.2">
      <c r="B2370" s="51" t="str">
        <f t="shared" si="46"/>
        <v>2013-050-2</v>
      </c>
      <c r="C2370" s="52">
        <v>2013</v>
      </c>
      <c r="D2370" s="52" t="s">
        <v>81</v>
      </c>
      <c r="E2370" s="52">
        <v>2</v>
      </c>
      <c r="F2370" s="54" t="s">
        <v>1135</v>
      </c>
      <c r="G2370" s="52" t="s">
        <v>3391</v>
      </c>
      <c r="H2370" s="55"/>
      <c r="I2370" s="56"/>
    </row>
    <row r="2371" spans="2:9" x14ac:dyDescent="0.2">
      <c r="B2371" s="51" t="str">
        <f t="shared" si="46"/>
        <v>2013-050-3</v>
      </c>
      <c r="C2371" s="52">
        <v>2013</v>
      </c>
      <c r="D2371" s="52" t="s">
        <v>81</v>
      </c>
      <c r="E2371" s="52">
        <v>3</v>
      </c>
      <c r="F2371" s="54" t="s">
        <v>1517</v>
      </c>
      <c r="G2371" s="52"/>
      <c r="H2371" s="55"/>
      <c r="I2371" s="56"/>
    </row>
    <row r="2372" spans="2:9" ht="27" x14ac:dyDescent="0.2">
      <c r="B2372" s="51" t="str">
        <f t="shared" si="46"/>
        <v>2013-050-4</v>
      </c>
      <c r="C2372" s="52">
        <v>2013</v>
      </c>
      <c r="D2372" s="52" t="s">
        <v>81</v>
      </c>
      <c r="E2372" s="52">
        <v>4</v>
      </c>
      <c r="F2372" s="54" t="s">
        <v>1307</v>
      </c>
      <c r="G2372" s="52"/>
      <c r="H2372" s="55"/>
      <c r="I2372" s="56"/>
    </row>
    <row r="2373" spans="2:9" ht="14.25" thickBot="1" x14ac:dyDescent="0.25">
      <c r="B2373" s="67" t="str">
        <f t="shared" si="46"/>
        <v>2013-050-5</v>
      </c>
      <c r="C2373" s="68">
        <v>2013</v>
      </c>
      <c r="D2373" s="68" t="s">
        <v>81</v>
      </c>
      <c r="E2373" s="68">
        <v>5</v>
      </c>
      <c r="F2373" s="69" t="s">
        <v>694</v>
      </c>
      <c r="G2373" s="68"/>
      <c r="H2373" s="70"/>
      <c r="I2373" s="71"/>
    </row>
    <row r="2374" spans="2:9" x14ac:dyDescent="0.2">
      <c r="B2374" s="45" t="str">
        <f t="shared" ref="B2374" si="47">C2374&amp;"-"&amp;D2374&amp;"-"&amp;E2374</f>
        <v>2012-026-0</v>
      </c>
      <c r="C2374" s="46">
        <v>2012</v>
      </c>
      <c r="D2374" s="46" t="s">
        <v>4</v>
      </c>
      <c r="E2374" s="46">
        <v>0</v>
      </c>
      <c r="F2374" s="48" t="s">
        <v>356</v>
      </c>
      <c r="G2374" s="46"/>
      <c r="H2374" s="49"/>
      <c r="I2374" s="50"/>
    </row>
    <row r="2375" spans="2:9" x14ac:dyDescent="0.2">
      <c r="B2375" s="51" t="str">
        <f t="shared" ref="B2375:B2438" si="48">C2375&amp;"-"&amp;D2375&amp;"-"&amp;E2375</f>
        <v>2012-026-1</v>
      </c>
      <c r="C2375" s="52">
        <v>2012</v>
      </c>
      <c r="D2375" s="52" t="s">
        <v>4</v>
      </c>
      <c r="E2375" s="52">
        <v>1</v>
      </c>
      <c r="F2375" s="54" t="s">
        <v>743</v>
      </c>
      <c r="G2375" s="52"/>
      <c r="H2375" s="55"/>
      <c r="I2375" s="56"/>
    </row>
    <row r="2376" spans="2:9" x14ac:dyDescent="0.2">
      <c r="B2376" s="51" t="str">
        <f t="shared" si="48"/>
        <v>2012-026-2</v>
      </c>
      <c r="C2376" s="52">
        <v>2012</v>
      </c>
      <c r="D2376" s="52" t="s">
        <v>4</v>
      </c>
      <c r="E2376" s="52">
        <v>2</v>
      </c>
      <c r="F2376" s="54" t="s">
        <v>1136</v>
      </c>
      <c r="G2376" s="52"/>
      <c r="H2376" s="55"/>
      <c r="I2376" s="56"/>
    </row>
    <row r="2377" spans="2:9" x14ac:dyDescent="0.2">
      <c r="B2377" s="51" t="str">
        <f t="shared" si="48"/>
        <v>2012-026-3</v>
      </c>
      <c r="C2377" s="52">
        <v>2012</v>
      </c>
      <c r="D2377" s="52" t="s">
        <v>4</v>
      </c>
      <c r="E2377" s="52">
        <v>3</v>
      </c>
      <c r="F2377" s="54" t="s">
        <v>1518</v>
      </c>
      <c r="G2377" s="52"/>
      <c r="H2377" s="55"/>
      <c r="I2377" s="56"/>
    </row>
    <row r="2378" spans="2:9" x14ac:dyDescent="0.2">
      <c r="B2378" s="51" t="str">
        <f t="shared" si="48"/>
        <v>2012-026-4</v>
      </c>
      <c r="C2378" s="52">
        <v>2012</v>
      </c>
      <c r="D2378" s="52" t="s">
        <v>4</v>
      </c>
      <c r="E2378" s="52">
        <v>4</v>
      </c>
      <c r="F2378" s="54" t="s">
        <v>1880</v>
      </c>
      <c r="G2378" s="52"/>
      <c r="H2378" s="55"/>
      <c r="I2378" s="56"/>
    </row>
    <row r="2379" spans="2:9" x14ac:dyDescent="0.2">
      <c r="B2379" s="57" t="str">
        <f t="shared" si="48"/>
        <v>2012-026-5</v>
      </c>
      <c r="C2379" s="58">
        <v>2012</v>
      </c>
      <c r="D2379" s="58" t="s">
        <v>4</v>
      </c>
      <c r="E2379" s="58">
        <v>5</v>
      </c>
      <c r="F2379" s="59" t="s">
        <v>2238</v>
      </c>
      <c r="G2379" s="58" t="s">
        <v>3391</v>
      </c>
      <c r="H2379" s="60"/>
      <c r="I2379" s="61"/>
    </row>
    <row r="2380" spans="2:9" x14ac:dyDescent="0.2">
      <c r="B2380" s="62" t="str">
        <f t="shared" si="48"/>
        <v>2012-027-0</v>
      </c>
      <c r="C2380" s="63">
        <v>2012</v>
      </c>
      <c r="D2380" s="63" t="s">
        <v>5</v>
      </c>
      <c r="E2380" s="63">
        <v>0</v>
      </c>
      <c r="F2380" s="64" t="s">
        <v>357</v>
      </c>
      <c r="G2380" s="63"/>
      <c r="H2380" s="65"/>
      <c r="I2380" s="66"/>
    </row>
    <row r="2381" spans="2:9" x14ac:dyDescent="0.2">
      <c r="B2381" s="51" t="str">
        <f t="shared" si="48"/>
        <v>2012-027-1</v>
      </c>
      <c r="C2381" s="52">
        <v>2012</v>
      </c>
      <c r="D2381" s="52" t="s">
        <v>5</v>
      </c>
      <c r="E2381" s="52">
        <v>1</v>
      </c>
      <c r="F2381" s="54" t="s">
        <v>744</v>
      </c>
      <c r="G2381" s="52"/>
      <c r="H2381" s="55"/>
      <c r="I2381" s="56"/>
    </row>
    <row r="2382" spans="2:9" x14ac:dyDescent="0.2">
      <c r="B2382" s="51" t="str">
        <f t="shared" si="48"/>
        <v>2012-027-2</v>
      </c>
      <c r="C2382" s="52">
        <v>2012</v>
      </c>
      <c r="D2382" s="52" t="s">
        <v>5</v>
      </c>
      <c r="E2382" s="52">
        <v>2</v>
      </c>
      <c r="F2382" s="54" t="s">
        <v>1137</v>
      </c>
      <c r="G2382" s="52"/>
      <c r="H2382" s="55"/>
      <c r="I2382" s="56"/>
    </row>
    <row r="2383" spans="2:9" x14ac:dyDescent="0.2">
      <c r="B2383" s="51" t="str">
        <f t="shared" si="48"/>
        <v>2012-027-3</v>
      </c>
      <c r="C2383" s="52">
        <v>2012</v>
      </c>
      <c r="D2383" s="52" t="s">
        <v>5</v>
      </c>
      <c r="E2383" s="52">
        <v>3</v>
      </c>
      <c r="F2383" s="54" t="s">
        <v>1519</v>
      </c>
      <c r="G2383" s="52"/>
      <c r="H2383" s="55"/>
      <c r="I2383" s="56"/>
    </row>
    <row r="2384" spans="2:9" x14ac:dyDescent="0.2">
      <c r="B2384" s="51" t="str">
        <f t="shared" si="48"/>
        <v>2012-027-4</v>
      </c>
      <c r="C2384" s="52">
        <v>2012</v>
      </c>
      <c r="D2384" s="52" t="s">
        <v>5</v>
      </c>
      <c r="E2384" s="52">
        <v>4</v>
      </c>
      <c r="F2384" s="54" t="s">
        <v>1881</v>
      </c>
      <c r="G2384" s="52" t="s">
        <v>3391</v>
      </c>
      <c r="H2384" s="55"/>
      <c r="I2384" s="56"/>
    </row>
    <row r="2385" spans="2:9" x14ac:dyDescent="0.2">
      <c r="B2385" s="57" t="str">
        <f t="shared" si="48"/>
        <v>2012-027-5</v>
      </c>
      <c r="C2385" s="58">
        <v>2012</v>
      </c>
      <c r="D2385" s="58" t="s">
        <v>5</v>
      </c>
      <c r="E2385" s="58">
        <v>5</v>
      </c>
      <c r="F2385" s="59" t="s">
        <v>2239</v>
      </c>
      <c r="G2385" s="58"/>
      <c r="H2385" s="60"/>
      <c r="I2385" s="61"/>
    </row>
    <row r="2386" spans="2:9" x14ac:dyDescent="0.2">
      <c r="B2386" s="62" t="str">
        <f t="shared" si="48"/>
        <v>2012-028-0</v>
      </c>
      <c r="C2386" s="63">
        <v>2012</v>
      </c>
      <c r="D2386" s="63" t="s">
        <v>6</v>
      </c>
      <c r="E2386" s="63">
        <v>0</v>
      </c>
      <c r="F2386" s="64" t="s">
        <v>358</v>
      </c>
      <c r="G2386" s="63"/>
      <c r="H2386" s="65"/>
      <c r="I2386" s="66"/>
    </row>
    <row r="2387" spans="2:9" x14ac:dyDescent="0.2">
      <c r="B2387" s="51" t="str">
        <f t="shared" si="48"/>
        <v>2012-028-1</v>
      </c>
      <c r="C2387" s="52">
        <v>2012</v>
      </c>
      <c r="D2387" s="52" t="s">
        <v>6</v>
      </c>
      <c r="E2387" s="52">
        <v>1</v>
      </c>
      <c r="F2387" s="54" t="s">
        <v>745</v>
      </c>
      <c r="G2387" s="52" t="s">
        <v>3391</v>
      </c>
      <c r="H2387" s="55"/>
      <c r="I2387" s="56"/>
    </row>
    <row r="2388" spans="2:9" x14ac:dyDescent="0.2">
      <c r="B2388" s="51" t="str">
        <f t="shared" si="48"/>
        <v>2012-028-2</v>
      </c>
      <c r="C2388" s="52">
        <v>2012</v>
      </c>
      <c r="D2388" s="52" t="s">
        <v>6</v>
      </c>
      <c r="E2388" s="52">
        <v>2</v>
      </c>
      <c r="F2388" s="54" t="s">
        <v>1138</v>
      </c>
      <c r="G2388" s="52"/>
      <c r="H2388" s="55"/>
      <c r="I2388" s="56"/>
    </row>
    <row r="2389" spans="2:9" x14ac:dyDescent="0.2">
      <c r="B2389" s="51" t="str">
        <f t="shared" si="48"/>
        <v>2012-028-3</v>
      </c>
      <c r="C2389" s="52">
        <v>2012</v>
      </c>
      <c r="D2389" s="52" t="s">
        <v>6</v>
      </c>
      <c r="E2389" s="52">
        <v>3</v>
      </c>
      <c r="F2389" s="54" t="s">
        <v>1520</v>
      </c>
      <c r="G2389" s="52"/>
      <c r="H2389" s="55"/>
      <c r="I2389" s="56"/>
    </row>
    <row r="2390" spans="2:9" x14ac:dyDescent="0.2">
      <c r="B2390" s="51" t="str">
        <f t="shared" si="48"/>
        <v>2012-028-4</v>
      </c>
      <c r="C2390" s="52">
        <v>2012</v>
      </c>
      <c r="D2390" s="52" t="s">
        <v>6</v>
      </c>
      <c r="E2390" s="52">
        <v>4</v>
      </c>
      <c r="F2390" s="54" t="s">
        <v>1882</v>
      </c>
      <c r="G2390" s="52"/>
      <c r="H2390" s="55"/>
      <c r="I2390" s="56"/>
    </row>
    <row r="2391" spans="2:9" x14ac:dyDescent="0.2">
      <c r="B2391" s="57" t="str">
        <f t="shared" si="48"/>
        <v>2012-028-5</v>
      </c>
      <c r="C2391" s="58">
        <v>2012</v>
      </c>
      <c r="D2391" s="58" t="s">
        <v>6</v>
      </c>
      <c r="E2391" s="58">
        <v>5</v>
      </c>
      <c r="F2391" s="59" t="s">
        <v>2240</v>
      </c>
      <c r="G2391" s="58"/>
      <c r="H2391" s="60"/>
      <c r="I2391" s="61"/>
    </row>
    <row r="2392" spans="2:9" ht="121.5" x14ac:dyDescent="0.2">
      <c r="B2392" s="62" t="str">
        <f t="shared" si="48"/>
        <v>2012-029-0</v>
      </c>
      <c r="C2392" s="63">
        <v>2012</v>
      </c>
      <c r="D2392" s="63" t="s">
        <v>7</v>
      </c>
      <c r="E2392" s="63">
        <v>0</v>
      </c>
      <c r="F2392" s="64" t="s">
        <v>359</v>
      </c>
      <c r="G2392" s="63"/>
      <c r="H2392" s="65"/>
      <c r="I2392" s="66"/>
    </row>
    <row r="2393" spans="2:9" x14ac:dyDescent="0.2">
      <c r="B2393" s="51" t="str">
        <f t="shared" si="48"/>
        <v>2012-029-1</v>
      </c>
      <c r="C2393" s="52">
        <v>2012</v>
      </c>
      <c r="D2393" s="52" t="s">
        <v>7</v>
      </c>
      <c r="E2393" s="52">
        <v>1</v>
      </c>
      <c r="F2393" s="54" t="s">
        <v>20</v>
      </c>
      <c r="G2393" s="52"/>
      <c r="H2393" s="55"/>
      <c r="I2393" s="56"/>
    </row>
    <row r="2394" spans="2:9" x14ac:dyDescent="0.2">
      <c r="B2394" s="51" t="str">
        <f t="shared" si="48"/>
        <v>2012-029-2</v>
      </c>
      <c r="C2394" s="52">
        <v>2012</v>
      </c>
      <c r="D2394" s="52" t="s">
        <v>7</v>
      </c>
      <c r="E2394" s="52">
        <v>2</v>
      </c>
      <c r="F2394" s="54" t="s">
        <v>38</v>
      </c>
      <c r="G2394" s="52"/>
      <c r="H2394" s="55"/>
      <c r="I2394" s="56"/>
    </row>
    <row r="2395" spans="2:9" x14ac:dyDescent="0.2">
      <c r="B2395" s="51" t="str">
        <f t="shared" si="48"/>
        <v>2012-029-3</v>
      </c>
      <c r="C2395" s="52">
        <v>2012</v>
      </c>
      <c r="D2395" s="52" t="s">
        <v>7</v>
      </c>
      <c r="E2395" s="52">
        <v>3</v>
      </c>
      <c r="F2395" s="54" t="s">
        <v>29</v>
      </c>
      <c r="G2395" s="52"/>
      <c r="H2395" s="55"/>
      <c r="I2395" s="56"/>
    </row>
    <row r="2396" spans="2:9" x14ac:dyDescent="0.2">
      <c r="B2396" s="51" t="str">
        <f t="shared" si="48"/>
        <v>2012-029-4</v>
      </c>
      <c r="C2396" s="52">
        <v>2012</v>
      </c>
      <c r="D2396" s="52" t="s">
        <v>7</v>
      </c>
      <c r="E2396" s="52">
        <v>4</v>
      </c>
      <c r="F2396" s="54" t="s">
        <v>22</v>
      </c>
      <c r="G2396" s="52" t="s">
        <v>3391</v>
      </c>
      <c r="H2396" s="55"/>
      <c r="I2396" s="56"/>
    </row>
    <row r="2397" spans="2:9" x14ac:dyDescent="0.2">
      <c r="B2397" s="57" t="str">
        <f t="shared" si="48"/>
        <v>2012-029-5</v>
      </c>
      <c r="C2397" s="58">
        <v>2012</v>
      </c>
      <c r="D2397" s="58" t="s">
        <v>7</v>
      </c>
      <c r="E2397" s="58">
        <v>5</v>
      </c>
      <c r="F2397" s="59" t="s">
        <v>49</v>
      </c>
      <c r="G2397" s="58"/>
      <c r="H2397" s="60"/>
      <c r="I2397" s="61"/>
    </row>
    <row r="2398" spans="2:9" x14ac:dyDescent="0.2">
      <c r="B2398" s="62" t="str">
        <f t="shared" si="48"/>
        <v>2012-030-0</v>
      </c>
      <c r="C2398" s="63">
        <v>2012</v>
      </c>
      <c r="D2398" s="63" t="s">
        <v>8</v>
      </c>
      <c r="E2398" s="63">
        <v>0</v>
      </c>
      <c r="F2398" s="64" t="s">
        <v>360</v>
      </c>
      <c r="G2398" s="63"/>
      <c r="H2398" s="65"/>
      <c r="I2398" s="66"/>
    </row>
    <row r="2399" spans="2:9" x14ac:dyDescent="0.2">
      <c r="B2399" s="51" t="str">
        <f t="shared" si="48"/>
        <v>2012-030-1</v>
      </c>
      <c r="C2399" s="52">
        <v>2012</v>
      </c>
      <c r="D2399" s="52" t="s">
        <v>8</v>
      </c>
      <c r="E2399" s="52">
        <v>1</v>
      </c>
      <c r="F2399" s="54" t="s">
        <v>746</v>
      </c>
      <c r="G2399" s="52"/>
      <c r="H2399" s="55"/>
      <c r="I2399" s="56"/>
    </row>
    <row r="2400" spans="2:9" x14ac:dyDescent="0.2">
      <c r="B2400" s="51" t="str">
        <f t="shared" si="48"/>
        <v>2012-030-2</v>
      </c>
      <c r="C2400" s="52">
        <v>2012</v>
      </c>
      <c r="D2400" s="52" t="s">
        <v>8</v>
      </c>
      <c r="E2400" s="52">
        <v>2</v>
      </c>
      <c r="F2400" s="54" t="s">
        <v>1139</v>
      </c>
      <c r="G2400" s="52"/>
      <c r="H2400" s="55"/>
      <c r="I2400" s="56"/>
    </row>
    <row r="2401" spans="2:9" ht="27" x14ac:dyDescent="0.2">
      <c r="B2401" s="51" t="str">
        <f t="shared" si="48"/>
        <v>2012-030-3</v>
      </c>
      <c r="C2401" s="52">
        <v>2012</v>
      </c>
      <c r="D2401" s="52" t="s">
        <v>8</v>
      </c>
      <c r="E2401" s="52">
        <v>3</v>
      </c>
      <c r="F2401" s="54" t="s">
        <v>1521</v>
      </c>
      <c r="G2401" s="52" t="s">
        <v>3391</v>
      </c>
      <c r="H2401" s="55"/>
      <c r="I2401" s="56"/>
    </row>
    <row r="2402" spans="2:9" ht="27" x14ac:dyDescent="0.2">
      <c r="B2402" s="51" t="str">
        <f t="shared" si="48"/>
        <v>2012-030-4</v>
      </c>
      <c r="C2402" s="52">
        <v>2012</v>
      </c>
      <c r="D2402" s="52" t="s">
        <v>8</v>
      </c>
      <c r="E2402" s="52">
        <v>4</v>
      </c>
      <c r="F2402" s="54" t="s">
        <v>1883</v>
      </c>
      <c r="G2402" s="52"/>
      <c r="H2402" s="55"/>
      <c r="I2402" s="56"/>
    </row>
    <row r="2403" spans="2:9" ht="27" x14ac:dyDescent="0.2">
      <c r="B2403" s="57" t="str">
        <f t="shared" si="48"/>
        <v>2012-030-5</v>
      </c>
      <c r="C2403" s="58">
        <v>2012</v>
      </c>
      <c r="D2403" s="58" t="s">
        <v>8</v>
      </c>
      <c r="E2403" s="58">
        <v>5</v>
      </c>
      <c r="F2403" s="59" t="s">
        <v>2241</v>
      </c>
      <c r="G2403" s="58"/>
      <c r="H2403" s="60"/>
      <c r="I2403" s="61"/>
    </row>
    <row r="2404" spans="2:9" x14ac:dyDescent="0.2">
      <c r="B2404" s="62" t="str">
        <f t="shared" si="48"/>
        <v>2012-031-0</v>
      </c>
      <c r="C2404" s="63">
        <v>2012</v>
      </c>
      <c r="D2404" s="63" t="s">
        <v>9</v>
      </c>
      <c r="E2404" s="63">
        <v>0</v>
      </c>
      <c r="F2404" s="64" t="s">
        <v>361</v>
      </c>
      <c r="G2404" s="63"/>
      <c r="H2404" s="65"/>
      <c r="I2404" s="66"/>
    </row>
    <row r="2405" spans="2:9" ht="27" x14ac:dyDescent="0.2">
      <c r="B2405" s="51" t="str">
        <f t="shared" si="48"/>
        <v>2012-031-1</v>
      </c>
      <c r="C2405" s="52">
        <v>2012</v>
      </c>
      <c r="D2405" s="52" t="s">
        <v>9</v>
      </c>
      <c r="E2405" s="52">
        <v>1</v>
      </c>
      <c r="F2405" s="54" t="s">
        <v>747</v>
      </c>
      <c r="G2405" s="52" t="s">
        <v>3391</v>
      </c>
      <c r="H2405" s="55"/>
      <c r="I2405" s="56"/>
    </row>
    <row r="2406" spans="2:9" ht="27" x14ac:dyDescent="0.2">
      <c r="B2406" s="51" t="str">
        <f t="shared" si="48"/>
        <v>2012-031-2</v>
      </c>
      <c r="C2406" s="52">
        <v>2012</v>
      </c>
      <c r="D2406" s="52" t="s">
        <v>9</v>
      </c>
      <c r="E2406" s="52">
        <v>2</v>
      </c>
      <c r="F2406" s="54" t="s">
        <v>1140</v>
      </c>
      <c r="G2406" s="52"/>
      <c r="H2406" s="55"/>
      <c r="I2406" s="56"/>
    </row>
    <row r="2407" spans="2:9" ht="27" x14ac:dyDescent="0.2">
      <c r="B2407" s="51" t="str">
        <f t="shared" si="48"/>
        <v>2012-031-3</v>
      </c>
      <c r="C2407" s="52">
        <v>2012</v>
      </c>
      <c r="D2407" s="52" t="s">
        <v>9</v>
      </c>
      <c r="E2407" s="52">
        <v>3</v>
      </c>
      <c r="F2407" s="54" t="s">
        <v>1522</v>
      </c>
      <c r="G2407" s="52"/>
      <c r="H2407" s="55"/>
      <c r="I2407" s="56"/>
    </row>
    <row r="2408" spans="2:9" x14ac:dyDescent="0.2">
      <c r="B2408" s="51" t="str">
        <f t="shared" si="48"/>
        <v>2012-031-4</v>
      </c>
      <c r="C2408" s="52">
        <v>2012</v>
      </c>
      <c r="D2408" s="52" t="s">
        <v>9</v>
      </c>
      <c r="E2408" s="52">
        <v>4</v>
      </c>
      <c r="F2408" s="54" t="s">
        <v>1884</v>
      </c>
      <c r="G2408" s="52"/>
      <c r="H2408" s="55"/>
      <c r="I2408" s="56"/>
    </row>
    <row r="2409" spans="2:9" x14ac:dyDescent="0.2">
      <c r="B2409" s="57" t="str">
        <f t="shared" si="48"/>
        <v>2012-031-5</v>
      </c>
      <c r="C2409" s="58">
        <v>2012</v>
      </c>
      <c r="D2409" s="58" t="s">
        <v>9</v>
      </c>
      <c r="E2409" s="58">
        <v>5</v>
      </c>
      <c r="F2409" s="59" t="s">
        <v>2242</v>
      </c>
      <c r="G2409" s="58"/>
      <c r="H2409" s="60"/>
      <c r="I2409" s="61"/>
    </row>
    <row r="2410" spans="2:9" x14ac:dyDescent="0.2">
      <c r="B2410" s="62" t="str">
        <f t="shared" si="48"/>
        <v>2012-032-0</v>
      </c>
      <c r="C2410" s="63">
        <v>2012</v>
      </c>
      <c r="D2410" s="63" t="s">
        <v>10</v>
      </c>
      <c r="E2410" s="63">
        <v>0</v>
      </c>
      <c r="F2410" s="64" t="s">
        <v>362</v>
      </c>
      <c r="G2410" s="63"/>
      <c r="H2410" s="65"/>
      <c r="I2410" s="66"/>
    </row>
    <row r="2411" spans="2:9" x14ac:dyDescent="0.2">
      <c r="B2411" s="51" t="str">
        <f t="shared" si="48"/>
        <v>2012-032-1</v>
      </c>
      <c r="C2411" s="52">
        <v>2012</v>
      </c>
      <c r="D2411" s="52" t="s">
        <v>10</v>
      </c>
      <c r="E2411" s="52">
        <v>1</v>
      </c>
      <c r="F2411" s="54" t="s">
        <v>748</v>
      </c>
      <c r="G2411" s="52"/>
      <c r="H2411" s="55"/>
      <c r="I2411" s="56"/>
    </row>
    <row r="2412" spans="2:9" x14ac:dyDescent="0.2">
      <c r="B2412" s="51" t="str">
        <f t="shared" si="48"/>
        <v>2012-032-2</v>
      </c>
      <c r="C2412" s="52">
        <v>2012</v>
      </c>
      <c r="D2412" s="52" t="s">
        <v>10</v>
      </c>
      <c r="E2412" s="52">
        <v>2</v>
      </c>
      <c r="F2412" s="54" t="s">
        <v>1141</v>
      </c>
      <c r="G2412" s="52"/>
      <c r="H2412" s="55"/>
      <c r="I2412" s="56"/>
    </row>
    <row r="2413" spans="2:9" x14ac:dyDescent="0.2">
      <c r="B2413" s="51" t="str">
        <f t="shared" si="48"/>
        <v>2012-032-3</v>
      </c>
      <c r="C2413" s="52">
        <v>2012</v>
      </c>
      <c r="D2413" s="52" t="s">
        <v>10</v>
      </c>
      <c r="E2413" s="52">
        <v>3</v>
      </c>
      <c r="F2413" s="54" t="s">
        <v>1523</v>
      </c>
      <c r="G2413" s="52" t="s">
        <v>3391</v>
      </c>
      <c r="H2413" s="55"/>
      <c r="I2413" s="56"/>
    </row>
    <row r="2414" spans="2:9" x14ac:dyDescent="0.2">
      <c r="B2414" s="51" t="str">
        <f t="shared" si="48"/>
        <v>2012-032-4</v>
      </c>
      <c r="C2414" s="52">
        <v>2012</v>
      </c>
      <c r="D2414" s="52" t="s">
        <v>10</v>
      </c>
      <c r="E2414" s="52">
        <v>4</v>
      </c>
      <c r="F2414" s="54" t="s">
        <v>1885</v>
      </c>
      <c r="G2414" s="52"/>
      <c r="H2414" s="55"/>
      <c r="I2414" s="56"/>
    </row>
    <row r="2415" spans="2:9" x14ac:dyDescent="0.2">
      <c r="B2415" s="57" t="str">
        <f t="shared" si="48"/>
        <v>2012-032-5</v>
      </c>
      <c r="C2415" s="58">
        <v>2012</v>
      </c>
      <c r="D2415" s="58" t="s">
        <v>10</v>
      </c>
      <c r="E2415" s="58">
        <v>5</v>
      </c>
      <c r="F2415" s="59" t="s">
        <v>2243</v>
      </c>
      <c r="G2415" s="58"/>
      <c r="H2415" s="60"/>
      <c r="I2415" s="61"/>
    </row>
    <row r="2416" spans="2:9" x14ac:dyDescent="0.2">
      <c r="B2416" s="62" t="str">
        <f t="shared" si="48"/>
        <v>2012-033-0</v>
      </c>
      <c r="C2416" s="63">
        <v>2012</v>
      </c>
      <c r="D2416" s="63" t="s">
        <v>11</v>
      </c>
      <c r="E2416" s="63">
        <v>0</v>
      </c>
      <c r="F2416" s="64" t="s">
        <v>363</v>
      </c>
      <c r="G2416" s="63"/>
      <c r="H2416" s="65"/>
      <c r="I2416" s="66"/>
    </row>
    <row r="2417" spans="2:9" x14ac:dyDescent="0.2">
      <c r="B2417" s="51" t="str">
        <f t="shared" si="48"/>
        <v>2012-033-1</v>
      </c>
      <c r="C2417" s="52">
        <v>2012</v>
      </c>
      <c r="D2417" s="52" t="s">
        <v>11</v>
      </c>
      <c r="E2417" s="52">
        <v>1</v>
      </c>
      <c r="F2417" s="54" t="s">
        <v>749</v>
      </c>
      <c r="G2417" s="52"/>
      <c r="H2417" s="55"/>
      <c r="I2417" s="56"/>
    </row>
    <row r="2418" spans="2:9" ht="27" x14ac:dyDescent="0.2">
      <c r="B2418" s="51" t="str">
        <f t="shared" si="48"/>
        <v>2012-033-2</v>
      </c>
      <c r="C2418" s="52">
        <v>2012</v>
      </c>
      <c r="D2418" s="52" t="s">
        <v>11</v>
      </c>
      <c r="E2418" s="52">
        <v>2</v>
      </c>
      <c r="F2418" s="54" t="s">
        <v>1142</v>
      </c>
      <c r="G2418" s="52"/>
      <c r="H2418" s="55"/>
      <c r="I2418" s="56"/>
    </row>
    <row r="2419" spans="2:9" x14ac:dyDescent="0.2">
      <c r="B2419" s="51" t="str">
        <f t="shared" si="48"/>
        <v>2012-033-3</v>
      </c>
      <c r="C2419" s="52">
        <v>2012</v>
      </c>
      <c r="D2419" s="52" t="s">
        <v>11</v>
      </c>
      <c r="E2419" s="52">
        <v>3</v>
      </c>
      <c r="F2419" s="54" t="s">
        <v>1524</v>
      </c>
      <c r="G2419" s="52"/>
      <c r="H2419" s="55"/>
      <c r="I2419" s="56"/>
    </row>
    <row r="2420" spans="2:9" x14ac:dyDescent="0.2">
      <c r="B2420" s="51" t="str">
        <f t="shared" si="48"/>
        <v>2012-033-4</v>
      </c>
      <c r="C2420" s="52">
        <v>2012</v>
      </c>
      <c r="D2420" s="52" t="s">
        <v>11</v>
      </c>
      <c r="E2420" s="52">
        <v>4</v>
      </c>
      <c r="F2420" s="54" t="s">
        <v>1886</v>
      </c>
      <c r="G2420" s="52"/>
      <c r="H2420" s="55"/>
      <c r="I2420" s="56"/>
    </row>
    <row r="2421" spans="2:9" ht="27" x14ac:dyDescent="0.2">
      <c r="B2421" s="57" t="str">
        <f t="shared" si="48"/>
        <v>2012-033-5</v>
      </c>
      <c r="C2421" s="58">
        <v>2012</v>
      </c>
      <c r="D2421" s="58" t="s">
        <v>11</v>
      </c>
      <c r="E2421" s="58">
        <v>5</v>
      </c>
      <c r="F2421" s="59" t="s">
        <v>2244</v>
      </c>
      <c r="G2421" s="58" t="s">
        <v>3391</v>
      </c>
      <c r="H2421" s="60"/>
      <c r="I2421" s="61"/>
    </row>
    <row r="2422" spans="2:9" x14ac:dyDescent="0.2">
      <c r="B2422" s="62" t="str">
        <f t="shared" si="48"/>
        <v>2012-034-0</v>
      </c>
      <c r="C2422" s="63">
        <v>2012</v>
      </c>
      <c r="D2422" s="63" t="s">
        <v>12</v>
      </c>
      <c r="E2422" s="63">
        <v>0</v>
      </c>
      <c r="F2422" s="64" t="s">
        <v>364</v>
      </c>
      <c r="G2422" s="63"/>
      <c r="H2422" s="65"/>
      <c r="I2422" s="66"/>
    </row>
    <row r="2423" spans="2:9" ht="27" x14ac:dyDescent="0.2">
      <c r="B2423" s="51" t="str">
        <f t="shared" si="48"/>
        <v>2012-034-1</v>
      </c>
      <c r="C2423" s="52">
        <v>2012</v>
      </c>
      <c r="D2423" s="52" t="s">
        <v>12</v>
      </c>
      <c r="E2423" s="52">
        <v>1</v>
      </c>
      <c r="F2423" s="54" t="s">
        <v>750</v>
      </c>
      <c r="G2423" s="52"/>
      <c r="H2423" s="55"/>
      <c r="I2423" s="56"/>
    </row>
    <row r="2424" spans="2:9" x14ac:dyDescent="0.2">
      <c r="B2424" s="51" t="str">
        <f t="shared" si="48"/>
        <v>2012-034-2</v>
      </c>
      <c r="C2424" s="52">
        <v>2012</v>
      </c>
      <c r="D2424" s="52" t="s">
        <v>12</v>
      </c>
      <c r="E2424" s="52">
        <v>2</v>
      </c>
      <c r="F2424" s="54" t="s">
        <v>1143</v>
      </c>
      <c r="G2424" s="52" t="s">
        <v>3391</v>
      </c>
      <c r="H2424" s="55"/>
      <c r="I2424" s="56"/>
    </row>
    <row r="2425" spans="2:9" x14ac:dyDescent="0.2">
      <c r="B2425" s="51" t="str">
        <f t="shared" si="48"/>
        <v>2012-034-3</v>
      </c>
      <c r="C2425" s="52">
        <v>2012</v>
      </c>
      <c r="D2425" s="52" t="s">
        <v>12</v>
      </c>
      <c r="E2425" s="52">
        <v>3</v>
      </c>
      <c r="F2425" s="54" t="s">
        <v>1525</v>
      </c>
      <c r="G2425" s="52"/>
      <c r="H2425" s="55"/>
      <c r="I2425" s="56"/>
    </row>
    <row r="2426" spans="2:9" x14ac:dyDescent="0.2">
      <c r="B2426" s="51" t="str">
        <f t="shared" si="48"/>
        <v>2012-034-4</v>
      </c>
      <c r="C2426" s="52">
        <v>2012</v>
      </c>
      <c r="D2426" s="52" t="s">
        <v>12</v>
      </c>
      <c r="E2426" s="52">
        <v>4</v>
      </c>
      <c r="F2426" s="54" t="s">
        <v>1887</v>
      </c>
      <c r="G2426" s="52"/>
      <c r="H2426" s="55"/>
      <c r="I2426" s="56"/>
    </row>
    <row r="2427" spans="2:9" x14ac:dyDescent="0.2">
      <c r="B2427" s="57" t="str">
        <f t="shared" si="48"/>
        <v>2012-034-5</v>
      </c>
      <c r="C2427" s="58">
        <v>2012</v>
      </c>
      <c r="D2427" s="58" t="s">
        <v>12</v>
      </c>
      <c r="E2427" s="58">
        <v>5</v>
      </c>
      <c r="F2427" s="59" t="s">
        <v>2245</v>
      </c>
      <c r="G2427" s="58"/>
      <c r="H2427" s="60"/>
      <c r="I2427" s="61"/>
    </row>
    <row r="2428" spans="2:9" x14ac:dyDescent="0.2">
      <c r="B2428" s="62" t="str">
        <f t="shared" si="48"/>
        <v>2012-035-0</v>
      </c>
      <c r="C2428" s="63">
        <v>2012</v>
      </c>
      <c r="D2428" s="63" t="s">
        <v>13</v>
      </c>
      <c r="E2428" s="63">
        <v>0</v>
      </c>
      <c r="F2428" s="64" t="s">
        <v>365</v>
      </c>
      <c r="G2428" s="63"/>
      <c r="H2428" s="65"/>
      <c r="I2428" s="66"/>
    </row>
    <row r="2429" spans="2:9" x14ac:dyDescent="0.2">
      <c r="B2429" s="51" t="str">
        <f t="shared" si="48"/>
        <v>2012-035-1</v>
      </c>
      <c r="C2429" s="52">
        <v>2012</v>
      </c>
      <c r="D2429" s="52" t="s">
        <v>13</v>
      </c>
      <c r="E2429" s="52">
        <v>1</v>
      </c>
      <c r="F2429" s="54" t="s">
        <v>751</v>
      </c>
      <c r="G2429" s="52"/>
      <c r="H2429" s="55"/>
      <c r="I2429" s="56"/>
    </row>
    <row r="2430" spans="2:9" ht="27" x14ac:dyDescent="0.2">
      <c r="B2430" s="51" t="str">
        <f t="shared" si="48"/>
        <v>2012-035-2</v>
      </c>
      <c r="C2430" s="52">
        <v>2012</v>
      </c>
      <c r="D2430" s="52" t="s">
        <v>13</v>
      </c>
      <c r="E2430" s="52">
        <v>2</v>
      </c>
      <c r="F2430" s="54" t="s">
        <v>1144</v>
      </c>
      <c r="G2430" s="52"/>
      <c r="H2430" s="55"/>
      <c r="I2430" s="56"/>
    </row>
    <row r="2431" spans="2:9" ht="27" x14ac:dyDescent="0.2">
      <c r="B2431" s="51" t="str">
        <f t="shared" si="48"/>
        <v>2012-035-3</v>
      </c>
      <c r="C2431" s="52">
        <v>2012</v>
      </c>
      <c r="D2431" s="52" t="s">
        <v>13</v>
      </c>
      <c r="E2431" s="52">
        <v>3</v>
      </c>
      <c r="F2431" s="54" t="s">
        <v>1526</v>
      </c>
      <c r="G2431" s="52" t="s">
        <v>3391</v>
      </c>
      <c r="H2431" s="55"/>
      <c r="I2431" s="56"/>
    </row>
    <row r="2432" spans="2:9" ht="27" x14ac:dyDescent="0.2">
      <c r="B2432" s="51" t="str">
        <f t="shared" si="48"/>
        <v>2012-035-4</v>
      </c>
      <c r="C2432" s="52">
        <v>2012</v>
      </c>
      <c r="D2432" s="52" t="s">
        <v>13</v>
      </c>
      <c r="E2432" s="52">
        <v>4</v>
      </c>
      <c r="F2432" s="54" t="s">
        <v>1888</v>
      </c>
      <c r="G2432" s="52"/>
      <c r="H2432" s="55"/>
      <c r="I2432" s="56"/>
    </row>
    <row r="2433" spans="2:9" x14ac:dyDescent="0.2">
      <c r="B2433" s="57" t="str">
        <f t="shared" si="48"/>
        <v>2012-035-5</v>
      </c>
      <c r="C2433" s="58">
        <v>2012</v>
      </c>
      <c r="D2433" s="58" t="s">
        <v>13</v>
      </c>
      <c r="E2433" s="58">
        <v>5</v>
      </c>
      <c r="F2433" s="59" t="s">
        <v>2246</v>
      </c>
      <c r="G2433" s="58"/>
      <c r="H2433" s="60"/>
      <c r="I2433" s="61"/>
    </row>
    <row r="2434" spans="2:9" x14ac:dyDescent="0.2">
      <c r="B2434" s="62" t="str">
        <f t="shared" si="48"/>
        <v>2012-036-0</v>
      </c>
      <c r="C2434" s="63">
        <v>2012</v>
      </c>
      <c r="D2434" s="63" t="s">
        <v>14</v>
      </c>
      <c r="E2434" s="63">
        <v>0</v>
      </c>
      <c r="F2434" s="64" t="s">
        <v>366</v>
      </c>
      <c r="G2434" s="63"/>
      <c r="H2434" s="65"/>
      <c r="I2434" s="66"/>
    </row>
    <row r="2435" spans="2:9" x14ac:dyDescent="0.2">
      <c r="B2435" s="51" t="str">
        <f t="shared" si="48"/>
        <v>2012-036-1</v>
      </c>
      <c r="C2435" s="52">
        <v>2012</v>
      </c>
      <c r="D2435" s="52" t="s">
        <v>14</v>
      </c>
      <c r="E2435" s="52">
        <v>1</v>
      </c>
      <c r="F2435" s="54" t="s">
        <v>681</v>
      </c>
      <c r="G2435" s="52"/>
      <c r="H2435" s="55"/>
      <c r="I2435" s="56"/>
    </row>
    <row r="2436" spans="2:9" x14ac:dyDescent="0.2">
      <c r="B2436" s="51" t="str">
        <f t="shared" si="48"/>
        <v>2012-036-2</v>
      </c>
      <c r="C2436" s="52">
        <v>2012</v>
      </c>
      <c r="D2436" s="52" t="s">
        <v>14</v>
      </c>
      <c r="E2436" s="52">
        <v>2</v>
      </c>
      <c r="F2436" s="54" t="s">
        <v>1145</v>
      </c>
      <c r="G2436" s="52"/>
      <c r="H2436" s="55"/>
      <c r="I2436" s="56"/>
    </row>
    <row r="2437" spans="2:9" x14ac:dyDescent="0.2">
      <c r="B2437" s="51" t="str">
        <f t="shared" si="48"/>
        <v>2012-036-3</v>
      </c>
      <c r="C2437" s="52">
        <v>2012</v>
      </c>
      <c r="D2437" s="52" t="s">
        <v>14</v>
      </c>
      <c r="E2437" s="52">
        <v>3</v>
      </c>
      <c r="F2437" s="54" t="s">
        <v>1527</v>
      </c>
      <c r="G2437" s="52"/>
      <c r="H2437" s="55"/>
      <c r="I2437" s="56"/>
    </row>
    <row r="2438" spans="2:9" x14ac:dyDescent="0.2">
      <c r="B2438" s="51" t="str">
        <f t="shared" si="48"/>
        <v>2012-036-4</v>
      </c>
      <c r="C2438" s="52">
        <v>2012</v>
      </c>
      <c r="D2438" s="52" t="s">
        <v>14</v>
      </c>
      <c r="E2438" s="52">
        <v>4</v>
      </c>
      <c r="F2438" s="54" t="s">
        <v>829</v>
      </c>
      <c r="G2438" s="52"/>
      <c r="H2438" s="55"/>
      <c r="I2438" s="56"/>
    </row>
    <row r="2439" spans="2:9" x14ac:dyDescent="0.2">
      <c r="B2439" s="57" t="str">
        <f t="shared" ref="B2439:B2502" si="49">C2439&amp;"-"&amp;D2439&amp;"-"&amp;E2439</f>
        <v>2012-036-5</v>
      </c>
      <c r="C2439" s="58">
        <v>2012</v>
      </c>
      <c r="D2439" s="58" t="s">
        <v>14</v>
      </c>
      <c r="E2439" s="58">
        <v>5</v>
      </c>
      <c r="F2439" s="59" t="s">
        <v>1753</v>
      </c>
      <c r="G2439" s="58" t="s">
        <v>3391</v>
      </c>
      <c r="H2439" s="60"/>
      <c r="I2439" s="61"/>
    </row>
    <row r="2440" spans="2:9" x14ac:dyDescent="0.2">
      <c r="B2440" s="62" t="str">
        <f t="shared" si="49"/>
        <v>2012-037-0</v>
      </c>
      <c r="C2440" s="63">
        <v>2012</v>
      </c>
      <c r="D2440" s="63" t="s">
        <v>15</v>
      </c>
      <c r="E2440" s="63">
        <v>0</v>
      </c>
      <c r="F2440" s="64" t="s">
        <v>367</v>
      </c>
      <c r="G2440" s="63"/>
      <c r="H2440" s="65"/>
      <c r="I2440" s="66"/>
    </row>
    <row r="2441" spans="2:9" ht="27" x14ac:dyDescent="0.2">
      <c r="B2441" s="51" t="str">
        <f t="shared" si="49"/>
        <v>2012-037-1</v>
      </c>
      <c r="C2441" s="52">
        <v>2012</v>
      </c>
      <c r="D2441" s="52" t="s">
        <v>15</v>
      </c>
      <c r="E2441" s="52">
        <v>1</v>
      </c>
      <c r="F2441" s="54" t="s">
        <v>752</v>
      </c>
      <c r="G2441" s="52"/>
      <c r="H2441" s="55"/>
      <c r="I2441" s="56"/>
    </row>
    <row r="2442" spans="2:9" x14ac:dyDescent="0.2">
      <c r="B2442" s="51" t="str">
        <f t="shared" si="49"/>
        <v>2012-037-2</v>
      </c>
      <c r="C2442" s="52">
        <v>2012</v>
      </c>
      <c r="D2442" s="52" t="s">
        <v>15</v>
      </c>
      <c r="E2442" s="52">
        <v>2</v>
      </c>
      <c r="F2442" s="54" t="s">
        <v>1146</v>
      </c>
      <c r="G2442" s="52" t="s">
        <v>3391</v>
      </c>
      <c r="H2442" s="55"/>
      <c r="I2442" s="56"/>
    </row>
    <row r="2443" spans="2:9" x14ac:dyDescent="0.2">
      <c r="B2443" s="51" t="str">
        <f t="shared" si="49"/>
        <v>2012-037-3</v>
      </c>
      <c r="C2443" s="52">
        <v>2012</v>
      </c>
      <c r="D2443" s="52" t="s">
        <v>15</v>
      </c>
      <c r="E2443" s="52">
        <v>3</v>
      </c>
      <c r="F2443" s="54" t="s">
        <v>1528</v>
      </c>
      <c r="G2443" s="52"/>
      <c r="H2443" s="55"/>
      <c r="I2443" s="56"/>
    </row>
    <row r="2444" spans="2:9" x14ac:dyDescent="0.2">
      <c r="B2444" s="51" t="str">
        <f t="shared" si="49"/>
        <v>2012-037-4</v>
      </c>
      <c r="C2444" s="52">
        <v>2012</v>
      </c>
      <c r="D2444" s="52" t="s">
        <v>15</v>
      </c>
      <c r="E2444" s="52">
        <v>4</v>
      </c>
      <c r="F2444" s="54" t="s">
        <v>1889</v>
      </c>
      <c r="G2444" s="52"/>
      <c r="H2444" s="55"/>
      <c r="I2444" s="56"/>
    </row>
    <row r="2445" spans="2:9" x14ac:dyDescent="0.2">
      <c r="B2445" s="57" t="str">
        <f t="shared" si="49"/>
        <v>2012-037-5</v>
      </c>
      <c r="C2445" s="58">
        <v>2012</v>
      </c>
      <c r="D2445" s="58" t="s">
        <v>15</v>
      </c>
      <c r="E2445" s="58">
        <v>5</v>
      </c>
      <c r="F2445" s="59" t="s">
        <v>2247</v>
      </c>
      <c r="G2445" s="58"/>
      <c r="H2445" s="60"/>
      <c r="I2445" s="61"/>
    </row>
    <row r="2446" spans="2:9" x14ac:dyDescent="0.2">
      <c r="B2446" s="62" t="str">
        <f t="shared" si="49"/>
        <v>2012-038-0</v>
      </c>
      <c r="C2446" s="63">
        <v>2012</v>
      </c>
      <c r="D2446" s="63" t="s">
        <v>16</v>
      </c>
      <c r="E2446" s="63">
        <v>0</v>
      </c>
      <c r="F2446" s="64" t="s">
        <v>368</v>
      </c>
      <c r="G2446" s="63"/>
      <c r="H2446" s="65"/>
      <c r="I2446" s="66"/>
    </row>
    <row r="2447" spans="2:9" ht="27" x14ac:dyDescent="0.2">
      <c r="B2447" s="51" t="str">
        <f t="shared" si="49"/>
        <v>2012-038-1</v>
      </c>
      <c r="C2447" s="52">
        <v>2012</v>
      </c>
      <c r="D2447" s="52" t="s">
        <v>16</v>
      </c>
      <c r="E2447" s="52">
        <v>1</v>
      </c>
      <c r="F2447" s="54" t="s">
        <v>753</v>
      </c>
      <c r="G2447" s="52"/>
      <c r="H2447" s="55"/>
      <c r="I2447" s="56"/>
    </row>
    <row r="2448" spans="2:9" ht="27" x14ac:dyDescent="0.2">
      <c r="B2448" s="51" t="str">
        <f t="shared" si="49"/>
        <v>2012-038-2</v>
      </c>
      <c r="C2448" s="52">
        <v>2012</v>
      </c>
      <c r="D2448" s="52" t="s">
        <v>16</v>
      </c>
      <c r="E2448" s="52">
        <v>2</v>
      </c>
      <c r="F2448" s="54" t="s">
        <v>1147</v>
      </c>
      <c r="G2448" s="52"/>
      <c r="H2448" s="55"/>
      <c r="I2448" s="56"/>
    </row>
    <row r="2449" spans="2:9" ht="27" x14ac:dyDescent="0.2">
      <c r="B2449" s="51" t="str">
        <f t="shared" si="49"/>
        <v>2012-038-3</v>
      </c>
      <c r="C2449" s="52">
        <v>2012</v>
      </c>
      <c r="D2449" s="52" t="s">
        <v>16</v>
      </c>
      <c r="E2449" s="52">
        <v>3</v>
      </c>
      <c r="F2449" s="54" t="s">
        <v>1529</v>
      </c>
      <c r="G2449" s="52"/>
      <c r="H2449" s="55"/>
      <c r="I2449" s="56"/>
    </row>
    <row r="2450" spans="2:9" ht="27" x14ac:dyDescent="0.2">
      <c r="B2450" s="51" t="str">
        <f t="shared" si="49"/>
        <v>2012-038-4</v>
      </c>
      <c r="C2450" s="52">
        <v>2012</v>
      </c>
      <c r="D2450" s="52" t="s">
        <v>16</v>
      </c>
      <c r="E2450" s="52">
        <v>4</v>
      </c>
      <c r="F2450" s="54" t="s">
        <v>1890</v>
      </c>
      <c r="G2450" s="52"/>
      <c r="H2450" s="55"/>
      <c r="I2450" s="56"/>
    </row>
    <row r="2451" spans="2:9" ht="27" x14ac:dyDescent="0.2">
      <c r="B2451" s="57" t="str">
        <f t="shared" si="49"/>
        <v>2012-038-5</v>
      </c>
      <c r="C2451" s="58">
        <v>2012</v>
      </c>
      <c r="D2451" s="58" t="s">
        <v>16</v>
      </c>
      <c r="E2451" s="58">
        <v>5</v>
      </c>
      <c r="F2451" s="59" t="s">
        <v>2248</v>
      </c>
      <c r="G2451" s="58" t="s">
        <v>3391</v>
      </c>
      <c r="H2451" s="60"/>
      <c r="I2451" s="61"/>
    </row>
    <row r="2452" spans="2:9" x14ac:dyDescent="0.2">
      <c r="B2452" s="62" t="str">
        <f t="shared" si="49"/>
        <v>2012-039-0</v>
      </c>
      <c r="C2452" s="63">
        <v>2012</v>
      </c>
      <c r="D2452" s="63" t="s">
        <v>17</v>
      </c>
      <c r="E2452" s="63">
        <v>0</v>
      </c>
      <c r="F2452" s="64" t="s">
        <v>369</v>
      </c>
      <c r="G2452" s="63"/>
      <c r="H2452" s="65"/>
      <c r="I2452" s="66"/>
    </row>
    <row r="2453" spans="2:9" x14ac:dyDescent="0.2">
      <c r="B2453" s="51" t="str">
        <f t="shared" si="49"/>
        <v>2012-039-1</v>
      </c>
      <c r="C2453" s="52">
        <v>2012</v>
      </c>
      <c r="D2453" s="52" t="s">
        <v>17</v>
      </c>
      <c r="E2453" s="52">
        <v>1</v>
      </c>
      <c r="F2453" s="54" t="s">
        <v>754</v>
      </c>
      <c r="G2453" s="52"/>
      <c r="H2453" s="55"/>
      <c r="I2453" s="56"/>
    </row>
    <row r="2454" spans="2:9" x14ac:dyDescent="0.2">
      <c r="B2454" s="51" t="str">
        <f t="shared" si="49"/>
        <v>2012-039-2</v>
      </c>
      <c r="C2454" s="52">
        <v>2012</v>
      </c>
      <c r="D2454" s="52" t="s">
        <v>17</v>
      </c>
      <c r="E2454" s="52">
        <v>2</v>
      </c>
      <c r="F2454" s="54" t="s">
        <v>1148</v>
      </c>
      <c r="G2454" s="52" t="s">
        <v>3391</v>
      </c>
      <c r="H2454" s="55"/>
      <c r="I2454" s="56"/>
    </row>
    <row r="2455" spans="2:9" x14ac:dyDescent="0.2">
      <c r="B2455" s="51" t="str">
        <f t="shared" si="49"/>
        <v>2012-039-3</v>
      </c>
      <c r="C2455" s="52">
        <v>2012</v>
      </c>
      <c r="D2455" s="52" t="s">
        <v>17</v>
      </c>
      <c r="E2455" s="52">
        <v>3</v>
      </c>
      <c r="F2455" s="54" t="s">
        <v>1530</v>
      </c>
      <c r="G2455" s="52"/>
      <c r="H2455" s="55"/>
      <c r="I2455" s="56"/>
    </row>
    <row r="2456" spans="2:9" x14ac:dyDescent="0.2">
      <c r="B2456" s="51" t="str">
        <f t="shared" si="49"/>
        <v>2012-039-4</v>
      </c>
      <c r="C2456" s="52">
        <v>2012</v>
      </c>
      <c r="D2456" s="52" t="s">
        <v>17</v>
      </c>
      <c r="E2456" s="52">
        <v>4</v>
      </c>
      <c r="F2456" s="54" t="s">
        <v>1891</v>
      </c>
      <c r="G2456" s="52"/>
      <c r="H2456" s="55"/>
      <c r="I2456" s="56"/>
    </row>
    <row r="2457" spans="2:9" x14ac:dyDescent="0.2">
      <c r="B2457" s="57" t="str">
        <f t="shared" si="49"/>
        <v>2012-039-5</v>
      </c>
      <c r="C2457" s="58">
        <v>2012</v>
      </c>
      <c r="D2457" s="58" t="s">
        <v>17</v>
      </c>
      <c r="E2457" s="58">
        <v>5</v>
      </c>
      <c r="F2457" s="59" t="s">
        <v>2249</v>
      </c>
      <c r="G2457" s="58"/>
      <c r="H2457" s="60"/>
      <c r="I2457" s="61"/>
    </row>
    <row r="2458" spans="2:9" ht="108" x14ac:dyDescent="0.2">
      <c r="B2458" s="62" t="str">
        <f t="shared" si="49"/>
        <v>2012-040-0</v>
      </c>
      <c r="C2458" s="63">
        <v>2012</v>
      </c>
      <c r="D2458" s="63" t="s">
        <v>18</v>
      </c>
      <c r="E2458" s="63">
        <v>0</v>
      </c>
      <c r="F2458" s="64" t="s">
        <v>370</v>
      </c>
      <c r="G2458" s="63"/>
      <c r="H2458" s="65"/>
      <c r="I2458" s="66"/>
    </row>
    <row r="2459" spans="2:9" x14ac:dyDescent="0.2">
      <c r="B2459" s="51" t="str">
        <f t="shared" si="49"/>
        <v>2012-040-1</v>
      </c>
      <c r="C2459" s="52">
        <v>2012</v>
      </c>
      <c r="D2459" s="52" t="s">
        <v>18</v>
      </c>
      <c r="E2459" s="52">
        <v>1</v>
      </c>
      <c r="F2459" s="54" t="s">
        <v>22</v>
      </c>
      <c r="G2459" s="52" t="s">
        <v>3391</v>
      </c>
      <c r="H2459" s="55"/>
      <c r="I2459" s="56"/>
    </row>
    <row r="2460" spans="2:9" x14ac:dyDescent="0.2">
      <c r="B2460" s="51" t="str">
        <f t="shared" si="49"/>
        <v>2012-040-2</v>
      </c>
      <c r="C2460" s="52">
        <v>2012</v>
      </c>
      <c r="D2460" s="52" t="s">
        <v>18</v>
      </c>
      <c r="E2460" s="52">
        <v>2</v>
      </c>
      <c r="F2460" s="54" t="s">
        <v>31</v>
      </c>
      <c r="G2460" s="52"/>
      <c r="H2460" s="55"/>
      <c r="I2460" s="56"/>
    </row>
    <row r="2461" spans="2:9" x14ac:dyDescent="0.2">
      <c r="B2461" s="51" t="str">
        <f t="shared" si="49"/>
        <v>2012-040-3</v>
      </c>
      <c r="C2461" s="52">
        <v>2012</v>
      </c>
      <c r="D2461" s="52" t="s">
        <v>18</v>
      </c>
      <c r="E2461" s="52">
        <v>3</v>
      </c>
      <c r="F2461" s="54" t="s">
        <v>39</v>
      </c>
      <c r="G2461" s="52"/>
      <c r="H2461" s="55"/>
      <c r="I2461" s="56"/>
    </row>
    <row r="2462" spans="2:9" x14ac:dyDescent="0.2">
      <c r="B2462" s="51" t="str">
        <f t="shared" si="49"/>
        <v>2012-040-4</v>
      </c>
      <c r="C2462" s="52">
        <v>2012</v>
      </c>
      <c r="D2462" s="52" t="s">
        <v>18</v>
      </c>
      <c r="E2462" s="52">
        <v>4</v>
      </c>
      <c r="F2462" s="54" t="s">
        <v>44</v>
      </c>
      <c r="G2462" s="52"/>
      <c r="H2462" s="55"/>
      <c r="I2462" s="56"/>
    </row>
    <row r="2463" spans="2:9" x14ac:dyDescent="0.2">
      <c r="B2463" s="57" t="str">
        <f t="shared" si="49"/>
        <v>2012-040-5</v>
      </c>
      <c r="C2463" s="58">
        <v>2012</v>
      </c>
      <c r="D2463" s="58" t="s">
        <v>18</v>
      </c>
      <c r="E2463" s="58">
        <v>5</v>
      </c>
      <c r="F2463" s="59" t="s">
        <v>49</v>
      </c>
      <c r="G2463" s="58"/>
      <c r="H2463" s="60"/>
      <c r="I2463" s="61"/>
    </row>
    <row r="2464" spans="2:9" x14ac:dyDescent="0.2">
      <c r="B2464" s="62" t="str">
        <f t="shared" si="49"/>
        <v>2012-041-0</v>
      </c>
      <c r="C2464" s="63">
        <v>2012</v>
      </c>
      <c r="D2464" s="63" t="s">
        <v>72</v>
      </c>
      <c r="E2464" s="63">
        <v>0</v>
      </c>
      <c r="F2464" s="64" t="s">
        <v>371</v>
      </c>
      <c r="G2464" s="63"/>
      <c r="H2464" s="65"/>
      <c r="I2464" s="66"/>
    </row>
    <row r="2465" spans="2:9" ht="27" x14ac:dyDescent="0.2">
      <c r="B2465" s="51" t="str">
        <f t="shared" si="49"/>
        <v>2012-041-1</v>
      </c>
      <c r="C2465" s="52">
        <v>2012</v>
      </c>
      <c r="D2465" s="52" t="s">
        <v>72</v>
      </c>
      <c r="E2465" s="52">
        <v>1</v>
      </c>
      <c r="F2465" s="54" t="s">
        <v>755</v>
      </c>
      <c r="G2465" s="52"/>
      <c r="H2465" s="55"/>
      <c r="I2465" s="56"/>
    </row>
    <row r="2466" spans="2:9" ht="40.5" x14ac:dyDescent="0.2">
      <c r="B2466" s="51" t="str">
        <f t="shared" si="49"/>
        <v>2012-041-2</v>
      </c>
      <c r="C2466" s="52">
        <v>2012</v>
      </c>
      <c r="D2466" s="52" t="s">
        <v>72</v>
      </c>
      <c r="E2466" s="52">
        <v>2</v>
      </c>
      <c r="F2466" s="54" t="s">
        <v>1149</v>
      </c>
      <c r="G2466" s="52"/>
      <c r="H2466" s="55"/>
      <c r="I2466" s="56"/>
    </row>
    <row r="2467" spans="2:9" ht="27" x14ac:dyDescent="0.2">
      <c r="B2467" s="51" t="str">
        <f t="shared" si="49"/>
        <v>2012-041-3</v>
      </c>
      <c r="C2467" s="52">
        <v>2012</v>
      </c>
      <c r="D2467" s="52" t="s">
        <v>72</v>
      </c>
      <c r="E2467" s="52">
        <v>3</v>
      </c>
      <c r="F2467" s="54" t="s">
        <v>1531</v>
      </c>
      <c r="G2467" s="52" t="s">
        <v>3391</v>
      </c>
      <c r="H2467" s="55"/>
      <c r="I2467" s="56"/>
    </row>
    <row r="2468" spans="2:9" ht="27" x14ac:dyDescent="0.2">
      <c r="B2468" s="51" t="str">
        <f t="shared" si="49"/>
        <v>2012-041-4</v>
      </c>
      <c r="C2468" s="52">
        <v>2012</v>
      </c>
      <c r="D2468" s="52" t="s">
        <v>72</v>
      </c>
      <c r="E2468" s="52">
        <v>4</v>
      </c>
      <c r="F2468" s="54" t="s">
        <v>1892</v>
      </c>
      <c r="G2468" s="52"/>
      <c r="H2468" s="55"/>
      <c r="I2468" s="56"/>
    </row>
    <row r="2469" spans="2:9" x14ac:dyDescent="0.2">
      <c r="B2469" s="57" t="str">
        <f t="shared" si="49"/>
        <v>2012-041-5</v>
      </c>
      <c r="C2469" s="58">
        <v>2012</v>
      </c>
      <c r="D2469" s="58" t="s">
        <v>72</v>
      </c>
      <c r="E2469" s="58">
        <v>5</v>
      </c>
      <c r="F2469" s="59" t="s">
        <v>2250</v>
      </c>
      <c r="G2469" s="58"/>
      <c r="H2469" s="60"/>
      <c r="I2469" s="61"/>
    </row>
    <row r="2470" spans="2:9" x14ac:dyDescent="0.2">
      <c r="B2470" s="62" t="str">
        <f t="shared" si="49"/>
        <v>2012-042-0</v>
      </c>
      <c r="C2470" s="63">
        <v>2012</v>
      </c>
      <c r="D2470" s="63" t="s">
        <v>73</v>
      </c>
      <c r="E2470" s="63">
        <v>0</v>
      </c>
      <c r="F2470" s="64" t="s">
        <v>372</v>
      </c>
      <c r="G2470" s="63"/>
      <c r="H2470" s="65"/>
      <c r="I2470" s="66"/>
    </row>
    <row r="2471" spans="2:9" ht="27" x14ac:dyDescent="0.2">
      <c r="B2471" s="51" t="str">
        <f t="shared" si="49"/>
        <v>2012-042-1</v>
      </c>
      <c r="C2471" s="52">
        <v>2012</v>
      </c>
      <c r="D2471" s="52" t="s">
        <v>73</v>
      </c>
      <c r="E2471" s="52">
        <v>1</v>
      </c>
      <c r="F2471" s="54" t="s">
        <v>756</v>
      </c>
      <c r="G2471" s="52"/>
      <c r="H2471" s="55"/>
      <c r="I2471" s="56"/>
    </row>
    <row r="2472" spans="2:9" ht="27" x14ac:dyDescent="0.2">
      <c r="B2472" s="51" t="str">
        <f t="shared" si="49"/>
        <v>2012-042-2</v>
      </c>
      <c r="C2472" s="52">
        <v>2012</v>
      </c>
      <c r="D2472" s="52" t="s">
        <v>73</v>
      </c>
      <c r="E2472" s="52">
        <v>2</v>
      </c>
      <c r="F2472" s="54" t="s">
        <v>1150</v>
      </c>
      <c r="G2472" s="52"/>
      <c r="H2472" s="55"/>
      <c r="I2472" s="56"/>
    </row>
    <row r="2473" spans="2:9" x14ac:dyDescent="0.2">
      <c r="B2473" s="51" t="str">
        <f t="shared" si="49"/>
        <v>2012-042-3</v>
      </c>
      <c r="C2473" s="52">
        <v>2012</v>
      </c>
      <c r="D2473" s="52" t="s">
        <v>73</v>
      </c>
      <c r="E2473" s="52">
        <v>3</v>
      </c>
      <c r="F2473" s="54" t="s">
        <v>979</v>
      </c>
      <c r="G2473" s="52"/>
      <c r="H2473" s="55"/>
      <c r="I2473" s="56"/>
    </row>
    <row r="2474" spans="2:9" x14ac:dyDescent="0.2">
      <c r="B2474" s="51" t="str">
        <f t="shared" si="49"/>
        <v>2012-042-4</v>
      </c>
      <c r="C2474" s="52">
        <v>2012</v>
      </c>
      <c r="D2474" s="52" t="s">
        <v>73</v>
      </c>
      <c r="E2474" s="52">
        <v>4</v>
      </c>
      <c r="F2474" s="54" t="s">
        <v>1468</v>
      </c>
      <c r="G2474" s="52"/>
      <c r="H2474" s="55"/>
      <c r="I2474" s="56"/>
    </row>
    <row r="2475" spans="2:9" x14ac:dyDescent="0.2">
      <c r="B2475" s="57" t="str">
        <f t="shared" si="49"/>
        <v>2012-042-5</v>
      </c>
      <c r="C2475" s="58">
        <v>2012</v>
      </c>
      <c r="D2475" s="58" t="s">
        <v>73</v>
      </c>
      <c r="E2475" s="58">
        <v>5</v>
      </c>
      <c r="F2475" s="59" t="s">
        <v>2251</v>
      </c>
      <c r="G2475" s="58" t="s">
        <v>3391</v>
      </c>
      <c r="H2475" s="60"/>
      <c r="I2475" s="61"/>
    </row>
    <row r="2476" spans="2:9" x14ac:dyDescent="0.2">
      <c r="B2476" s="62" t="str">
        <f t="shared" si="49"/>
        <v>2012-043-0</v>
      </c>
      <c r="C2476" s="63">
        <v>2012</v>
      </c>
      <c r="D2476" s="63" t="s">
        <v>74</v>
      </c>
      <c r="E2476" s="63">
        <v>0</v>
      </c>
      <c r="F2476" s="64" t="s">
        <v>371</v>
      </c>
      <c r="G2476" s="63"/>
      <c r="H2476" s="65"/>
      <c r="I2476" s="66"/>
    </row>
    <row r="2477" spans="2:9" ht="27" x14ac:dyDescent="0.2">
      <c r="B2477" s="51" t="str">
        <f t="shared" si="49"/>
        <v>2012-043-1</v>
      </c>
      <c r="C2477" s="52">
        <v>2012</v>
      </c>
      <c r="D2477" s="52" t="s">
        <v>74</v>
      </c>
      <c r="E2477" s="52">
        <v>1</v>
      </c>
      <c r="F2477" s="54" t="s">
        <v>757</v>
      </c>
      <c r="G2477" s="52"/>
      <c r="H2477" s="55"/>
      <c r="I2477" s="56"/>
    </row>
    <row r="2478" spans="2:9" ht="40.5" x14ac:dyDescent="0.2">
      <c r="B2478" s="51" t="str">
        <f t="shared" si="49"/>
        <v>2012-043-2</v>
      </c>
      <c r="C2478" s="52">
        <v>2012</v>
      </c>
      <c r="D2478" s="52" t="s">
        <v>74</v>
      </c>
      <c r="E2478" s="52">
        <v>2</v>
      </c>
      <c r="F2478" s="54" t="s">
        <v>1151</v>
      </c>
      <c r="G2478" s="52" t="s">
        <v>3391</v>
      </c>
      <c r="H2478" s="55"/>
      <c r="I2478" s="56"/>
    </row>
    <row r="2479" spans="2:9" ht="27" x14ac:dyDescent="0.2">
      <c r="B2479" s="51" t="str">
        <f t="shared" si="49"/>
        <v>2012-043-3</v>
      </c>
      <c r="C2479" s="52">
        <v>2012</v>
      </c>
      <c r="D2479" s="52" t="s">
        <v>74</v>
      </c>
      <c r="E2479" s="52">
        <v>3</v>
      </c>
      <c r="F2479" s="54" t="s">
        <v>1532</v>
      </c>
      <c r="G2479" s="52"/>
      <c r="H2479" s="55"/>
      <c r="I2479" s="56"/>
    </row>
    <row r="2480" spans="2:9" ht="27" x14ac:dyDescent="0.2">
      <c r="B2480" s="51" t="str">
        <f t="shared" si="49"/>
        <v>2012-043-4</v>
      </c>
      <c r="C2480" s="52">
        <v>2012</v>
      </c>
      <c r="D2480" s="52" t="s">
        <v>74</v>
      </c>
      <c r="E2480" s="52">
        <v>4</v>
      </c>
      <c r="F2480" s="54" t="s">
        <v>1893</v>
      </c>
      <c r="G2480" s="52"/>
      <c r="H2480" s="55"/>
      <c r="I2480" s="56"/>
    </row>
    <row r="2481" spans="2:9" ht="27" x14ac:dyDescent="0.2">
      <c r="B2481" s="57" t="str">
        <f t="shared" si="49"/>
        <v>2012-043-5</v>
      </c>
      <c r="C2481" s="58">
        <v>2012</v>
      </c>
      <c r="D2481" s="58" t="s">
        <v>74</v>
      </c>
      <c r="E2481" s="58">
        <v>5</v>
      </c>
      <c r="F2481" s="59" t="s">
        <v>2252</v>
      </c>
      <c r="G2481" s="58"/>
      <c r="H2481" s="60"/>
      <c r="I2481" s="61"/>
    </row>
    <row r="2482" spans="2:9" x14ac:dyDescent="0.2">
      <c r="B2482" s="62" t="str">
        <f t="shared" si="49"/>
        <v>2012-044-0</v>
      </c>
      <c r="C2482" s="63">
        <v>2012</v>
      </c>
      <c r="D2482" s="63" t="s">
        <v>75</v>
      </c>
      <c r="E2482" s="63">
        <v>0</v>
      </c>
      <c r="F2482" s="64" t="s">
        <v>340</v>
      </c>
      <c r="G2482" s="63"/>
      <c r="H2482" s="65"/>
      <c r="I2482" s="66"/>
    </row>
    <row r="2483" spans="2:9" x14ac:dyDescent="0.2">
      <c r="B2483" s="51" t="str">
        <f t="shared" si="49"/>
        <v>2012-044-1</v>
      </c>
      <c r="C2483" s="52">
        <v>2012</v>
      </c>
      <c r="D2483" s="52" t="s">
        <v>75</v>
      </c>
      <c r="E2483" s="52">
        <v>1</v>
      </c>
      <c r="F2483" s="54" t="s">
        <v>758</v>
      </c>
      <c r="G2483" s="52"/>
      <c r="H2483" s="55"/>
      <c r="I2483" s="56"/>
    </row>
    <row r="2484" spans="2:9" ht="27" x14ac:dyDescent="0.2">
      <c r="B2484" s="51" t="str">
        <f t="shared" si="49"/>
        <v>2012-044-2</v>
      </c>
      <c r="C2484" s="52">
        <v>2012</v>
      </c>
      <c r="D2484" s="52" t="s">
        <v>75</v>
      </c>
      <c r="E2484" s="52">
        <v>2</v>
      </c>
      <c r="F2484" s="54" t="s">
        <v>1152</v>
      </c>
      <c r="G2484" s="52"/>
      <c r="H2484" s="55"/>
      <c r="I2484" s="56"/>
    </row>
    <row r="2485" spans="2:9" ht="27" x14ac:dyDescent="0.2">
      <c r="B2485" s="51" t="str">
        <f t="shared" si="49"/>
        <v>2012-044-3</v>
      </c>
      <c r="C2485" s="52">
        <v>2012</v>
      </c>
      <c r="D2485" s="52" t="s">
        <v>75</v>
      </c>
      <c r="E2485" s="52">
        <v>3</v>
      </c>
      <c r="F2485" s="54" t="s">
        <v>1533</v>
      </c>
      <c r="G2485" s="52"/>
      <c r="H2485" s="55"/>
      <c r="I2485" s="56"/>
    </row>
    <row r="2486" spans="2:9" x14ac:dyDescent="0.2">
      <c r="B2486" s="51" t="str">
        <f t="shared" si="49"/>
        <v>2012-044-4</v>
      </c>
      <c r="C2486" s="52">
        <v>2012</v>
      </c>
      <c r="D2486" s="52" t="s">
        <v>75</v>
      </c>
      <c r="E2486" s="52">
        <v>4</v>
      </c>
      <c r="F2486" s="54" t="s">
        <v>1894</v>
      </c>
      <c r="G2486" s="52" t="s">
        <v>3391</v>
      </c>
      <c r="H2486" s="55"/>
      <c r="I2486" s="56"/>
    </row>
    <row r="2487" spans="2:9" x14ac:dyDescent="0.2">
      <c r="B2487" s="57" t="str">
        <f t="shared" si="49"/>
        <v>2012-044-5</v>
      </c>
      <c r="C2487" s="58">
        <v>2012</v>
      </c>
      <c r="D2487" s="58" t="s">
        <v>75</v>
      </c>
      <c r="E2487" s="58">
        <v>5</v>
      </c>
      <c r="F2487" s="59" t="s">
        <v>2253</v>
      </c>
      <c r="G2487" s="58"/>
      <c r="H2487" s="60"/>
      <c r="I2487" s="61"/>
    </row>
    <row r="2488" spans="2:9" x14ac:dyDescent="0.2">
      <c r="B2488" s="62" t="str">
        <f t="shared" si="49"/>
        <v>2012-045-0</v>
      </c>
      <c r="C2488" s="63">
        <v>2012</v>
      </c>
      <c r="D2488" s="63" t="s">
        <v>76</v>
      </c>
      <c r="E2488" s="63">
        <v>0</v>
      </c>
      <c r="F2488" s="64" t="s">
        <v>373</v>
      </c>
      <c r="G2488" s="63"/>
      <c r="H2488" s="65"/>
      <c r="I2488" s="66"/>
    </row>
    <row r="2489" spans="2:9" x14ac:dyDescent="0.2">
      <c r="B2489" s="51" t="str">
        <f t="shared" si="49"/>
        <v>2012-045-1</v>
      </c>
      <c r="C2489" s="52">
        <v>2012</v>
      </c>
      <c r="D2489" s="52" t="s">
        <v>76</v>
      </c>
      <c r="E2489" s="52">
        <v>1</v>
      </c>
      <c r="F2489" s="54" t="s">
        <v>759</v>
      </c>
      <c r="G2489" s="52"/>
      <c r="H2489" s="55"/>
      <c r="I2489" s="56"/>
    </row>
    <row r="2490" spans="2:9" x14ac:dyDescent="0.2">
      <c r="B2490" s="51" t="str">
        <f t="shared" si="49"/>
        <v>2012-045-2</v>
      </c>
      <c r="C2490" s="52">
        <v>2012</v>
      </c>
      <c r="D2490" s="52" t="s">
        <v>76</v>
      </c>
      <c r="E2490" s="52">
        <v>2</v>
      </c>
      <c r="F2490" s="54" t="s">
        <v>1153</v>
      </c>
      <c r="G2490" s="52" t="s">
        <v>3391</v>
      </c>
      <c r="H2490" s="55"/>
      <c r="I2490" s="56"/>
    </row>
    <row r="2491" spans="2:9" ht="27" x14ac:dyDescent="0.2">
      <c r="B2491" s="51" t="str">
        <f t="shared" si="49"/>
        <v>2012-045-3</v>
      </c>
      <c r="C2491" s="52">
        <v>2012</v>
      </c>
      <c r="D2491" s="52" t="s">
        <v>76</v>
      </c>
      <c r="E2491" s="52">
        <v>3</v>
      </c>
      <c r="F2491" s="54" t="s">
        <v>1534</v>
      </c>
      <c r="G2491" s="52"/>
      <c r="H2491" s="55"/>
      <c r="I2491" s="56"/>
    </row>
    <row r="2492" spans="2:9" x14ac:dyDescent="0.2">
      <c r="B2492" s="51" t="str">
        <f t="shared" si="49"/>
        <v>2012-045-4</v>
      </c>
      <c r="C2492" s="52">
        <v>2012</v>
      </c>
      <c r="D2492" s="52" t="s">
        <v>76</v>
      </c>
      <c r="E2492" s="52">
        <v>4</v>
      </c>
      <c r="F2492" s="54" t="s">
        <v>1895</v>
      </c>
      <c r="G2492" s="52"/>
      <c r="H2492" s="55"/>
      <c r="I2492" s="56"/>
    </row>
    <row r="2493" spans="2:9" x14ac:dyDescent="0.2">
      <c r="B2493" s="57" t="str">
        <f t="shared" si="49"/>
        <v>2012-045-5</v>
      </c>
      <c r="C2493" s="58">
        <v>2012</v>
      </c>
      <c r="D2493" s="58" t="s">
        <v>76</v>
      </c>
      <c r="E2493" s="58">
        <v>5</v>
      </c>
      <c r="F2493" s="59" t="s">
        <v>2254</v>
      </c>
      <c r="G2493" s="58"/>
      <c r="H2493" s="60"/>
      <c r="I2493" s="61"/>
    </row>
    <row r="2494" spans="2:9" x14ac:dyDescent="0.2">
      <c r="B2494" s="62" t="str">
        <f t="shared" si="49"/>
        <v>2012-046-0</v>
      </c>
      <c r="C2494" s="63">
        <v>2012</v>
      </c>
      <c r="D2494" s="63" t="s">
        <v>77</v>
      </c>
      <c r="E2494" s="63">
        <v>0</v>
      </c>
      <c r="F2494" s="64" t="s">
        <v>374</v>
      </c>
      <c r="G2494" s="63"/>
      <c r="H2494" s="65"/>
      <c r="I2494" s="66"/>
    </row>
    <row r="2495" spans="2:9" x14ac:dyDescent="0.2">
      <c r="B2495" s="51" t="str">
        <f t="shared" si="49"/>
        <v>2012-046-1</v>
      </c>
      <c r="C2495" s="52">
        <v>2012</v>
      </c>
      <c r="D2495" s="52" t="s">
        <v>77</v>
      </c>
      <c r="E2495" s="52">
        <v>1</v>
      </c>
      <c r="F2495" s="54" t="s">
        <v>760</v>
      </c>
      <c r="G2495" s="52"/>
      <c r="H2495" s="55"/>
      <c r="I2495" s="56"/>
    </row>
    <row r="2496" spans="2:9" x14ac:dyDescent="0.2">
      <c r="B2496" s="51" t="str">
        <f t="shared" si="49"/>
        <v>2012-046-2</v>
      </c>
      <c r="C2496" s="52">
        <v>2012</v>
      </c>
      <c r="D2496" s="52" t="s">
        <v>77</v>
      </c>
      <c r="E2496" s="52">
        <v>2</v>
      </c>
      <c r="F2496" s="54" t="s">
        <v>1107</v>
      </c>
      <c r="G2496" s="52"/>
      <c r="H2496" s="55"/>
      <c r="I2496" s="56"/>
    </row>
    <row r="2497" spans="2:9" x14ac:dyDescent="0.2">
      <c r="B2497" s="51" t="str">
        <f t="shared" si="49"/>
        <v>2012-046-3</v>
      </c>
      <c r="C2497" s="52">
        <v>2012</v>
      </c>
      <c r="D2497" s="52" t="s">
        <v>77</v>
      </c>
      <c r="E2497" s="52">
        <v>3</v>
      </c>
      <c r="F2497" s="54" t="s">
        <v>1535</v>
      </c>
      <c r="G2497" s="52"/>
      <c r="H2497" s="55"/>
      <c r="I2497" s="56"/>
    </row>
    <row r="2498" spans="2:9" ht="27" x14ac:dyDescent="0.2">
      <c r="B2498" s="51" t="str">
        <f t="shared" si="49"/>
        <v>2012-046-4</v>
      </c>
      <c r="C2498" s="52">
        <v>2012</v>
      </c>
      <c r="D2498" s="52" t="s">
        <v>77</v>
      </c>
      <c r="E2498" s="52">
        <v>4</v>
      </c>
      <c r="F2498" s="54" t="s">
        <v>1896</v>
      </c>
      <c r="G2498" s="52" t="s">
        <v>3391</v>
      </c>
      <c r="H2498" s="55"/>
      <c r="I2498" s="56"/>
    </row>
    <row r="2499" spans="2:9" x14ac:dyDescent="0.2">
      <c r="B2499" s="57" t="str">
        <f t="shared" si="49"/>
        <v>2012-046-5</v>
      </c>
      <c r="C2499" s="58">
        <v>2012</v>
      </c>
      <c r="D2499" s="58" t="s">
        <v>77</v>
      </c>
      <c r="E2499" s="58">
        <v>5</v>
      </c>
      <c r="F2499" s="59" t="s">
        <v>2255</v>
      </c>
      <c r="G2499" s="58"/>
      <c r="H2499" s="60"/>
      <c r="I2499" s="61"/>
    </row>
    <row r="2500" spans="2:9" x14ac:dyDescent="0.2">
      <c r="B2500" s="62" t="str">
        <f t="shared" si="49"/>
        <v>2012-047-0</v>
      </c>
      <c r="C2500" s="63">
        <v>2012</v>
      </c>
      <c r="D2500" s="63" t="s">
        <v>78</v>
      </c>
      <c r="E2500" s="63">
        <v>0</v>
      </c>
      <c r="F2500" s="64" t="s">
        <v>375</v>
      </c>
      <c r="G2500" s="63"/>
      <c r="H2500" s="65"/>
      <c r="I2500" s="66"/>
    </row>
    <row r="2501" spans="2:9" x14ac:dyDescent="0.2">
      <c r="B2501" s="51" t="str">
        <f t="shared" si="49"/>
        <v>2012-047-1</v>
      </c>
      <c r="C2501" s="52">
        <v>2012</v>
      </c>
      <c r="D2501" s="52" t="s">
        <v>78</v>
      </c>
      <c r="E2501" s="52">
        <v>1</v>
      </c>
      <c r="F2501" s="54" t="s">
        <v>761</v>
      </c>
      <c r="G2501" s="52"/>
      <c r="H2501" s="55"/>
      <c r="I2501" s="56"/>
    </row>
    <row r="2502" spans="2:9" x14ac:dyDescent="0.2">
      <c r="B2502" s="51" t="str">
        <f t="shared" si="49"/>
        <v>2012-047-2</v>
      </c>
      <c r="C2502" s="52">
        <v>2012</v>
      </c>
      <c r="D2502" s="52" t="s">
        <v>78</v>
      </c>
      <c r="E2502" s="52">
        <v>2</v>
      </c>
      <c r="F2502" s="54" t="s">
        <v>1154</v>
      </c>
      <c r="G2502" s="52"/>
      <c r="H2502" s="55"/>
      <c r="I2502" s="56"/>
    </row>
    <row r="2503" spans="2:9" ht="27" x14ac:dyDescent="0.2">
      <c r="B2503" s="51" t="str">
        <f t="shared" ref="B2503:B2523" si="50">C2503&amp;"-"&amp;D2503&amp;"-"&amp;E2503</f>
        <v>2012-047-3</v>
      </c>
      <c r="C2503" s="52">
        <v>2012</v>
      </c>
      <c r="D2503" s="52" t="s">
        <v>78</v>
      </c>
      <c r="E2503" s="52">
        <v>3</v>
      </c>
      <c r="F2503" s="54" t="s">
        <v>1536</v>
      </c>
      <c r="G2503" s="52"/>
      <c r="H2503" s="55"/>
      <c r="I2503" s="56"/>
    </row>
    <row r="2504" spans="2:9" x14ac:dyDescent="0.2">
      <c r="B2504" s="51" t="str">
        <f t="shared" si="50"/>
        <v>2012-047-4</v>
      </c>
      <c r="C2504" s="52">
        <v>2012</v>
      </c>
      <c r="D2504" s="52" t="s">
        <v>78</v>
      </c>
      <c r="E2504" s="52">
        <v>4</v>
      </c>
      <c r="F2504" s="54" t="s">
        <v>1897</v>
      </c>
      <c r="G2504" s="52" t="s">
        <v>3391</v>
      </c>
      <c r="H2504" s="55"/>
      <c r="I2504" s="56"/>
    </row>
    <row r="2505" spans="2:9" ht="27" x14ac:dyDescent="0.2">
      <c r="B2505" s="57" t="str">
        <f t="shared" si="50"/>
        <v>2012-047-5</v>
      </c>
      <c r="C2505" s="58">
        <v>2012</v>
      </c>
      <c r="D2505" s="58" t="s">
        <v>78</v>
      </c>
      <c r="E2505" s="58">
        <v>5</v>
      </c>
      <c r="F2505" s="59" t="s">
        <v>2256</v>
      </c>
      <c r="G2505" s="58"/>
      <c r="H2505" s="60"/>
      <c r="I2505" s="61"/>
    </row>
    <row r="2506" spans="2:9" x14ac:dyDescent="0.2">
      <c r="B2506" s="62" t="str">
        <f t="shared" si="50"/>
        <v>2012-048-0</v>
      </c>
      <c r="C2506" s="63">
        <v>2012</v>
      </c>
      <c r="D2506" s="63" t="s">
        <v>79</v>
      </c>
      <c r="E2506" s="63">
        <v>0</v>
      </c>
      <c r="F2506" s="64" t="s">
        <v>172</v>
      </c>
      <c r="G2506" s="63"/>
      <c r="H2506" s="65"/>
      <c r="I2506" s="66"/>
    </row>
    <row r="2507" spans="2:9" x14ac:dyDescent="0.2">
      <c r="B2507" s="51" t="str">
        <f t="shared" si="50"/>
        <v>2012-048-1</v>
      </c>
      <c r="C2507" s="52">
        <v>2012</v>
      </c>
      <c r="D2507" s="52" t="s">
        <v>79</v>
      </c>
      <c r="E2507" s="52">
        <v>1</v>
      </c>
      <c r="F2507" s="54" t="s">
        <v>762</v>
      </c>
      <c r="G2507" s="52"/>
      <c r="H2507" s="55"/>
      <c r="I2507" s="56"/>
    </row>
    <row r="2508" spans="2:9" x14ac:dyDescent="0.2">
      <c r="B2508" s="51" t="str">
        <f t="shared" si="50"/>
        <v>2012-048-2</v>
      </c>
      <c r="C2508" s="52">
        <v>2012</v>
      </c>
      <c r="D2508" s="52" t="s">
        <v>79</v>
      </c>
      <c r="E2508" s="52">
        <v>2</v>
      </c>
      <c r="F2508" s="54" t="s">
        <v>1155</v>
      </c>
      <c r="G2508" s="52"/>
      <c r="H2508" s="55"/>
      <c r="I2508" s="56"/>
    </row>
    <row r="2509" spans="2:9" x14ac:dyDescent="0.2">
      <c r="B2509" s="51" t="str">
        <f t="shared" si="50"/>
        <v>2012-048-3</v>
      </c>
      <c r="C2509" s="52">
        <v>2012</v>
      </c>
      <c r="D2509" s="52" t="s">
        <v>79</v>
      </c>
      <c r="E2509" s="52">
        <v>3</v>
      </c>
      <c r="F2509" s="54" t="s">
        <v>1537</v>
      </c>
      <c r="G2509" s="52" t="s">
        <v>3391</v>
      </c>
      <c r="H2509" s="55"/>
      <c r="I2509" s="56"/>
    </row>
    <row r="2510" spans="2:9" ht="27" x14ac:dyDescent="0.2">
      <c r="B2510" s="51" t="str">
        <f t="shared" si="50"/>
        <v>2012-048-4</v>
      </c>
      <c r="C2510" s="52">
        <v>2012</v>
      </c>
      <c r="D2510" s="52" t="s">
        <v>79</v>
      </c>
      <c r="E2510" s="52">
        <v>4</v>
      </c>
      <c r="F2510" s="54" t="s">
        <v>1898</v>
      </c>
      <c r="G2510" s="52"/>
      <c r="H2510" s="55"/>
      <c r="I2510" s="56"/>
    </row>
    <row r="2511" spans="2:9" ht="27" x14ac:dyDescent="0.2">
      <c r="B2511" s="57" t="str">
        <f t="shared" si="50"/>
        <v>2012-048-5</v>
      </c>
      <c r="C2511" s="58">
        <v>2012</v>
      </c>
      <c r="D2511" s="58" t="s">
        <v>79</v>
      </c>
      <c r="E2511" s="58">
        <v>5</v>
      </c>
      <c r="F2511" s="59" t="s">
        <v>2257</v>
      </c>
      <c r="G2511" s="58"/>
      <c r="H2511" s="60"/>
      <c r="I2511" s="61"/>
    </row>
    <row r="2512" spans="2:9" x14ac:dyDescent="0.2">
      <c r="B2512" s="62" t="str">
        <f t="shared" si="50"/>
        <v>2012-049-0</v>
      </c>
      <c r="C2512" s="63">
        <v>2012</v>
      </c>
      <c r="D2512" s="63" t="s">
        <v>80</v>
      </c>
      <c r="E2512" s="63">
        <v>0</v>
      </c>
      <c r="F2512" s="64" t="s">
        <v>376</v>
      </c>
      <c r="G2512" s="63"/>
      <c r="H2512" s="65"/>
      <c r="I2512" s="66"/>
    </row>
    <row r="2513" spans="2:9" x14ac:dyDescent="0.2">
      <c r="B2513" s="51" t="str">
        <f t="shared" si="50"/>
        <v>2012-049-1</v>
      </c>
      <c r="C2513" s="52">
        <v>2012</v>
      </c>
      <c r="D2513" s="52" t="s">
        <v>80</v>
      </c>
      <c r="E2513" s="52">
        <v>1</v>
      </c>
      <c r="F2513" s="54" t="s">
        <v>763</v>
      </c>
      <c r="G2513" s="52"/>
      <c r="H2513" s="55"/>
      <c r="I2513" s="56"/>
    </row>
    <row r="2514" spans="2:9" x14ac:dyDescent="0.2">
      <c r="B2514" s="51" t="str">
        <f t="shared" si="50"/>
        <v>2012-049-2</v>
      </c>
      <c r="C2514" s="52">
        <v>2012</v>
      </c>
      <c r="D2514" s="52" t="s">
        <v>80</v>
      </c>
      <c r="E2514" s="52">
        <v>2</v>
      </c>
      <c r="F2514" s="54" t="s">
        <v>1156</v>
      </c>
      <c r="G2514" s="52"/>
      <c r="H2514" s="55"/>
      <c r="I2514" s="56"/>
    </row>
    <row r="2515" spans="2:9" x14ac:dyDescent="0.2">
      <c r="B2515" s="51" t="str">
        <f t="shared" si="50"/>
        <v>2012-049-3</v>
      </c>
      <c r="C2515" s="52">
        <v>2012</v>
      </c>
      <c r="D2515" s="52" t="s">
        <v>80</v>
      </c>
      <c r="E2515" s="52">
        <v>3</v>
      </c>
      <c r="F2515" s="54" t="s">
        <v>1538</v>
      </c>
      <c r="G2515" s="52"/>
      <c r="H2515" s="55"/>
      <c r="I2515" s="56"/>
    </row>
    <row r="2516" spans="2:9" x14ac:dyDescent="0.2">
      <c r="B2516" s="51" t="str">
        <f t="shared" si="50"/>
        <v>2012-049-4</v>
      </c>
      <c r="C2516" s="52">
        <v>2012</v>
      </c>
      <c r="D2516" s="52" t="s">
        <v>80</v>
      </c>
      <c r="E2516" s="52">
        <v>4</v>
      </c>
      <c r="F2516" s="54" t="s">
        <v>1899</v>
      </c>
      <c r="G2516" s="52" t="s">
        <v>3391</v>
      </c>
      <c r="H2516" s="55"/>
      <c r="I2516" s="56"/>
    </row>
    <row r="2517" spans="2:9" x14ac:dyDescent="0.2">
      <c r="B2517" s="57" t="str">
        <f t="shared" si="50"/>
        <v>2012-049-5</v>
      </c>
      <c r="C2517" s="58">
        <v>2012</v>
      </c>
      <c r="D2517" s="58" t="s">
        <v>80</v>
      </c>
      <c r="E2517" s="58">
        <v>5</v>
      </c>
      <c r="F2517" s="59" t="s">
        <v>2258</v>
      </c>
      <c r="G2517" s="58"/>
      <c r="H2517" s="60"/>
      <c r="I2517" s="61"/>
    </row>
    <row r="2518" spans="2:9" x14ac:dyDescent="0.2">
      <c r="B2518" s="62" t="str">
        <f t="shared" si="50"/>
        <v>2012-050-0</v>
      </c>
      <c r="C2518" s="63">
        <v>2012</v>
      </c>
      <c r="D2518" s="63" t="s">
        <v>81</v>
      </c>
      <c r="E2518" s="63">
        <v>0</v>
      </c>
      <c r="F2518" s="64" t="s">
        <v>377</v>
      </c>
      <c r="G2518" s="63"/>
      <c r="H2518" s="65"/>
      <c r="I2518" s="66"/>
    </row>
    <row r="2519" spans="2:9" ht="27" x14ac:dyDescent="0.2">
      <c r="B2519" s="51" t="str">
        <f t="shared" si="50"/>
        <v>2012-050-1</v>
      </c>
      <c r="C2519" s="52">
        <v>2012</v>
      </c>
      <c r="D2519" s="52" t="s">
        <v>81</v>
      </c>
      <c r="E2519" s="52">
        <v>1</v>
      </c>
      <c r="F2519" s="54" t="s">
        <v>764</v>
      </c>
      <c r="G2519" s="52" t="s">
        <v>3391</v>
      </c>
      <c r="H2519" s="55"/>
      <c r="I2519" s="56"/>
    </row>
    <row r="2520" spans="2:9" x14ac:dyDescent="0.2">
      <c r="B2520" s="51" t="str">
        <f t="shared" si="50"/>
        <v>2012-050-2</v>
      </c>
      <c r="C2520" s="52">
        <v>2012</v>
      </c>
      <c r="D2520" s="52" t="s">
        <v>81</v>
      </c>
      <c r="E2520" s="52">
        <v>2</v>
      </c>
      <c r="F2520" s="54" t="s">
        <v>1157</v>
      </c>
      <c r="G2520" s="52"/>
      <c r="H2520" s="55"/>
      <c r="I2520" s="56"/>
    </row>
    <row r="2521" spans="2:9" x14ac:dyDescent="0.2">
      <c r="B2521" s="51" t="str">
        <f t="shared" si="50"/>
        <v>2012-050-3</v>
      </c>
      <c r="C2521" s="52">
        <v>2012</v>
      </c>
      <c r="D2521" s="52" t="s">
        <v>81</v>
      </c>
      <c r="E2521" s="52">
        <v>3</v>
      </c>
      <c r="F2521" s="54" t="s">
        <v>1539</v>
      </c>
      <c r="G2521" s="52"/>
      <c r="H2521" s="55"/>
      <c r="I2521" s="56"/>
    </row>
    <row r="2522" spans="2:9" ht="27" x14ac:dyDescent="0.2">
      <c r="B2522" s="51" t="str">
        <f t="shared" si="50"/>
        <v>2012-050-4</v>
      </c>
      <c r="C2522" s="52">
        <v>2012</v>
      </c>
      <c r="D2522" s="52" t="s">
        <v>81</v>
      </c>
      <c r="E2522" s="52">
        <v>4</v>
      </c>
      <c r="F2522" s="54" t="s">
        <v>1900</v>
      </c>
      <c r="G2522" s="52"/>
      <c r="H2522" s="55"/>
      <c r="I2522" s="56"/>
    </row>
    <row r="2523" spans="2:9" ht="14.25" thickBot="1" x14ac:dyDescent="0.25">
      <c r="B2523" s="67" t="str">
        <f t="shared" si="50"/>
        <v>2012-050-5</v>
      </c>
      <c r="C2523" s="68">
        <v>2012</v>
      </c>
      <c r="D2523" s="68" t="s">
        <v>81</v>
      </c>
      <c r="E2523" s="68">
        <v>5</v>
      </c>
      <c r="F2523" s="69" t="s">
        <v>2259</v>
      </c>
      <c r="G2523" s="68"/>
      <c r="H2523" s="70"/>
      <c r="I2523" s="71"/>
    </row>
    <row r="2524" spans="2:9" x14ac:dyDescent="0.2">
      <c r="B2524" s="45" t="str">
        <f t="shared" ref="B2524:B2540" si="51">C2524&amp;"-"&amp;D2524&amp;"-"&amp;E2524</f>
        <v>2011-026-0</v>
      </c>
      <c r="C2524" s="46">
        <v>2011</v>
      </c>
      <c r="D2524" s="46" t="s">
        <v>4</v>
      </c>
      <c r="E2524" s="46">
        <v>0</v>
      </c>
      <c r="F2524" s="48" t="s">
        <v>378</v>
      </c>
      <c r="G2524" s="46"/>
      <c r="H2524" s="49"/>
      <c r="I2524" s="50"/>
    </row>
    <row r="2525" spans="2:9" x14ac:dyDescent="0.2">
      <c r="B2525" s="51" t="str">
        <f t="shared" si="51"/>
        <v>2011-026-1</v>
      </c>
      <c r="C2525" s="52">
        <v>2011</v>
      </c>
      <c r="D2525" s="52" t="s">
        <v>4</v>
      </c>
      <c r="E2525" s="52">
        <v>1</v>
      </c>
      <c r="F2525" s="54" t="s">
        <v>765</v>
      </c>
      <c r="G2525" s="52"/>
      <c r="H2525" s="55"/>
      <c r="I2525" s="56"/>
    </row>
    <row r="2526" spans="2:9" x14ac:dyDescent="0.2">
      <c r="B2526" s="51" t="str">
        <f t="shared" si="51"/>
        <v>2011-026-2</v>
      </c>
      <c r="C2526" s="52">
        <v>2011</v>
      </c>
      <c r="D2526" s="52" t="s">
        <v>4</v>
      </c>
      <c r="E2526" s="52">
        <v>2</v>
      </c>
      <c r="F2526" s="54" t="s">
        <v>1158</v>
      </c>
      <c r="G2526" s="52"/>
      <c r="H2526" s="55"/>
      <c r="I2526" s="56"/>
    </row>
    <row r="2527" spans="2:9" x14ac:dyDescent="0.2">
      <c r="B2527" s="51" t="str">
        <f t="shared" si="51"/>
        <v>2011-026-3</v>
      </c>
      <c r="C2527" s="52">
        <v>2011</v>
      </c>
      <c r="D2527" s="52" t="s">
        <v>4</v>
      </c>
      <c r="E2527" s="52">
        <v>3</v>
      </c>
      <c r="F2527" s="54" t="s">
        <v>1540</v>
      </c>
      <c r="G2527" s="52"/>
      <c r="H2527" s="55"/>
      <c r="I2527" s="56"/>
    </row>
    <row r="2528" spans="2:9" x14ac:dyDescent="0.2">
      <c r="B2528" s="51" t="str">
        <f t="shared" si="51"/>
        <v>2011-026-4</v>
      </c>
      <c r="C2528" s="52">
        <v>2011</v>
      </c>
      <c r="D2528" s="52" t="s">
        <v>4</v>
      </c>
      <c r="E2528" s="52">
        <v>4</v>
      </c>
      <c r="F2528" s="54" t="s">
        <v>1901</v>
      </c>
      <c r="G2528" s="52" t="s">
        <v>3391</v>
      </c>
      <c r="H2528" s="55"/>
      <c r="I2528" s="56"/>
    </row>
    <row r="2529" spans="2:9" ht="27" x14ac:dyDescent="0.2">
      <c r="B2529" s="57" t="str">
        <f t="shared" si="51"/>
        <v>2011-026-5</v>
      </c>
      <c r="C2529" s="58">
        <v>2011</v>
      </c>
      <c r="D2529" s="58" t="s">
        <v>4</v>
      </c>
      <c r="E2529" s="58">
        <v>5</v>
      </c>
      <c r="F2529" s="59" t="s">
        <v>2260</v>
      </c>
      <c r="G2529" s="58"/>
      <c r="H2529" s="60"/>
      <c r="I2529" s="61"/>
    </row>
    <row r="2530" spans="2:9" x14ac:dyDescent="0.2">
      <c r="B2530" s="62" t="str">
        <f t="shared" si="51"/>
        <v>2011-027-0</v>
      </c>
      <c r="C2530" s="63">
        <v>2011</v>
      </c>
      <c r="D2530" s="63" t="s">
        <v>5</v>
      </c>
      <c r="E2530" s="63">
        <v>0</v>
      </c>
      <c r="F2530" s="64" t="s">
        <v>379</v>
      </c>
      <c r="G2530" s="63"/>
      <c r="H2530" s="65"/>
      <c r="I2530" s="66"/>
    </row>
    <row r="2531" spans="2:9" x14ac:dyDescent="0.2">
      <c r="B2531" s="51" t="str">
        <f t="shared" si="51"/>
        <v>2011-027-1</v>
      </c>
      <c r="C2531" s="52">
        <v>2011</v>
      </c>
      <c r="D2531" s="52" t="s">
        <v>5</v>
      </c>
      <c r="E2531" s="52">
        <v>1</v>
      </c>
      <c r="F2531" s="54" t="s">
        <v>766</v>
      </c>
      <c r="G2531" s="52" t="s">
        <v>3391</v>
      </c>
      <c r="H2531" s="55"/>
      <c r="I2531" s="56"/>
    </row>
    <row r="2532" spans="2:9" x14ac:dyDescent="0.2">
      <c r="B2532" s="51" t="str">
        <f t="shared" si="51"/>
        <v>2011-027-2</v>
      </c>
      <c r="C2532" s="52">
        <v>2011</v>
      </c>
      <c r="D2532" s="52" t="s">
        <v>5</v>
      </c>
      <c r="E2532" s="52">
        <v>2</v>
      </c>
      <c r="F2532" s="54" t="s">
        <v>1159</v>
      </c>
      <c r="G2532" s="52"/>
      <c r="H2532" s="55"/>
      <c r="I2532" s="56"/>
    </row>
    <row r="2533" spans="2:9" x14ac:dyDescent="0.2">
      <c r="B2533" s="51" t="str">
        <f t="shared" si="51"/>
        <v>2011-027-3</v>
      </c>
      <c r="C2533" s="52">
        <v>2011</v>
      </c>
      <c r="D2533" s="52" t="s">
        <v>5</v>
      </c>
      <c r="E2533" s="52">
        <v>3</v>
      </c>
      <c r="F2533" s="54" t="s">
        <v>1541</v>
      </c>
      <c r="G2533" s="52"/>
      <c r="H2533" s="55"/>
      <c r="I2533" s="56"/>
    </row>
    <row r="2534" spans="2:9" x14ac:dyDescent="0.2">
      <c r="B2534" s="51" t="str">
        <f t="shared" si="51"/>
        <v>2011-027-4</v>
      </c>
      <c r="C2534" s="52">
        <v>2011</v>
      </c>
      <c r="D2534" s="52" t="s">
        <v>5</v>
      </c>
      <c r="E2534" s="52">
        <v>4</v>
      </c>
      <c r="F2534" s="54" t="s">
        <v>1902</v>
      </c>
      <c r="G2534" s="52"/>
      <c r="H2534" s="55"/>
      <c r="I2534" s="56"/>
    </row>
    <row r="2535" spans="2:9" x14ac:dyDescent="0.2">
      <c r="B2535" s="57" t="str">
        <f t="shared" si="51"/>
        <v>2011-027-5</v>
      </c>
      <c r="C2535" s="58">
        <v>2011</v>
      </c>
      <c r="D2535" s="58" t="s">
        <v>5</v>
      </c>
      <c r="E2535" s="58">
        <v>5</v>
      </c>
      <c r="F2535" s="59" t="s">
        <v>2261</v>
      </c>
      <c r="G2535" s="58"/>
      <c r="H2535" s="60"/>
      <c r="I2535" s="61"/>
    </row>
    <row r="2536" spans="2:9" x14ac:dyDescent="0.2">
      <c r="B2536" s="62" t="str">
        <f t="shared" si="51"/>
        <v>2011-028-0</v>
      </c>
      <c r="C2536" s="63">
        <v>2011</v>
      </c>
      <c r="D2536" s="63" t="s">
        <v>6</v>
      </c>
      <c r="E2536" s="63">
        <v>0</v>
      </c>
      <c r="F2536" s="64" t="s">
        <v>380</v>
      </c>
      <c r="G2536" s="63"/>
      <c r="H2536" s="65"/>
      <c r="I2536" s="66"/>
    </row>
    <row r="2537" spans="2:9" x14ac:dyDescent="0.2">
      <c r="B2537" s="51" t="str">
        <f t="shared" si="51"/>
        <v>2011-028-1</v>
      </c>
      <c r="C2537" s="52">
        <v>2011</v>
      </c>
      <c r="D2537" s="52" t="s">
        <v>6</v>
      </c>
      <c r="E2537" s="52">
        <v>1</v>
      </c>
      <c r="F2537" s="54" t="s">
        <v>767</v>
      </c>
      <c r="G2537" s="52"/>
      <c r="H2537" s="55"/>
      <c r="I2537" s="56"/>
    </row>
    <row r="2538" spans="2:9" ht="27" x14ac:dyDescent="0.2">
      <c r="B2538" s="51" t="str">
        <f t="shared" si="51"/>
        <v>2011-028-2</v>
      </c>
      <c r="C2538" s="52">
        <v>2011</v>
      </c>
      <c r="D2538" s="52" t="s">
        <v>6</v>
      </c>
      <c r="E2538" s="52">
        <v>2</v>
      </c>
      <c r="F2538" s="54" t="s">
        <v>1160</v>
      </c>
      <c r="G2538" s="52"/>
      <c r="H2538" s="55"/>
      <c r="I2538" s="56"/>
    </row>
    <row r="2539" spans="2:9" x14ac:dyDescent="0.2">
      <c r="B2539" s="51" t="str">
        <f t="shared" si="51"/>
        <v>2011-028-3</v>
      </c>
      <c r="C2539" s="52">
        <v>2011</v>
      </c>
      <c r="D2539" s="52" t="s">
        <v>6</v>
      </c>
      <c r="E2539" s="52">
        <v>3</v>
      </c>
      <c r="F2539" s="54" t="s">
        <v>1542</v>
      </c>
      <c r="G2539" s="52" t="s">
        <v>3391</v>
      </c>
      <c r="H2539" s="55"/>
      <c r="I2539" s="56"/>
    </row>
    <row r="2540" spans="2:9" x14ac:dyDescent="0.2">
      <c r="B2540" s="51" t="str">
        <f t="shared" si="51"/>
        <v>2011-028-4</v>
      </c>
      <c r="C2540" s="52">
        <v>2011</v>
      </c>
      <c r="D2540" s="52" t="s">
        <v>6</v>
      </c>
      <c r="E2540" s="52">
        <v>4</v>
      </c>
      <c r="F2540" s="54" t="s">
        <v>1755</v>
      </c>
      <c r="G2540" s="52"/>
      <c r="H2540" s="55"/>
      <c r="I2540" s="56"/>
    </row>
    <row r="2541" spans="2:9" ht="27" x14ac:dyDescent="0.2">
      <c r="B2541" s="57" t="str">
        <f t="shared" ref="B2541:B2604" si="52">C2541&amp;"-"&amp;D2541&amp;"-"&amp;E2541</f>
        <v>2011-028-5</v>
      </c>
      <c r="C2541" s="58">
        <v>2011</v>
      </c>
      <c r="D2541" s="58" t="s">
        <v>6</v>
      </c>
      <c r="E2541" s="58">
        <v>5</v>
      </c>
      <c r="F2541" s="59" t="s">
        <v>1444</v>
      </c>
      <c r="G2541" s="58"/>
      <c r="H2541" s="60"/>
      <c r="I2541" s="61"/>
    </row>
    <row r="2542" spans="2:9" x14ac:dyDescent="0.2">
      <c r="B2542" s="62" t="str">
        <f t="shared" si="52"/>
        <v>2011-029-0</v>
      </c>
      <c r="C2542" s="63">
        <v>2011</v>
      </c>
      <c r="D2542" s="63" t="s">
        <v>7</v>
      </c>
      <c r="E2542" s="63">
        <v>0</v>
      </c>
      <c r="F2542" s="64" t="s">
        <v>381</v>
      </c>
      <c r="G2542" s="63"/>
      <c r="H2542" s="65"/>
      <c r="I2542" s="66"/>
    </row>
    <row r="2543" spans="2:9" ht="27" x14ac:dyDescent="0.2">
      <c r="B2543" s="51" t="str">
        <f t="shared" si="52"/>
        <v>2011-029-1</v>
      </c>
      <c r="C2543" s="52">
        <v>2011</v>
      </c>
      <c r="D2543" s="52" t="s">
        <v>7</v>
      </c>
      <c r="E2543" s="52">
        <v>1</v>
      </c>
      <c r="F2543" s="54" t="s">
        <v>768</v>
      </c>
      <c r="G2543" s="52"/>
      <c r="H2543" s="55"/>
      <c r="I2543" s="56"/>
    </row>
    <row r="2544" spans="2:9" x14ac:dyDescent="0.2">
      <c r="B2544" s="51" t="str">
        <f t="shared" si="52"/>
        <v>2011-029-2</v>
      </c>
      <c r="C2544" s="52">
        <v>2011</v>
      </c>
      <c r="D2544" s="52" t="s">
        <v>7</v>
      </c>
      <c r="E2544" s="52">
        <v>2</v>
      </c>
      <c r="F2544" s="54" t="s">
        <v>1161</v>
      </c>
      <c r="G2544" s="52"/>
      <c r="H2544" s="55"/>
      <c r="I2544" s="56"/>
    </row>
    <row r="2545" spans="2:9" ht="27" x14ac:dyDescent="0.2">
      <c r="B2545" s="51" t="str">
        <f t="shared" si="52"/>
        <v>2011-029-3</v>
      </c>
      <c r="C2545" s="52">
        <v>2011</v>
      </c>
      <c r="D2545" s="52" t="s">
        <v>7</v>
      </c>
      <c r="E2545" s="52">
        <v>3</v>
      </c>
      <c r="F2545" s="54" t="s">
        <v>1543</v>
      </c>
      <c r="G2545" s="52" t="s">
        <v>3391</v>
      </c>
      <c r="H2545" s="55"/>
      <c r="I2545" s="56"/>
    </row>
    <row r="2546" spans="2:9" x14ac:dyDescent="0.2">
      <c r="B2546" s="51" t="str">
        <f t="shared" si="52"/>
        <v>2011-029-4</v>
      </c>
      <c r="C2546" s="52">
        <v>2011</v>
      </c>
      <c r="D2546" s="52" t="s">
        <v>7</v>
      </c>
      <c r="E2546" s="52">
        <v>4</v>
      </c>
      <c r="F2546" s="54" t="s">
        <v>1903</v>
      </c>
      <c r="G2546" s="52"/>
      <c r="H2546" s="55"/>
      <c r="I2546" s="56"/>
    </row>
    <row r="2547" spans="2:9" ht="27" x14ac:dyDescent="0.2">
      <c r="B2547" s="57" t="str">
        <f t="shared" si="52"/>
        <v>2011-029-5</v>
      </c>
      <c r="C2547" s="58">
        <v>2011</v>
      </c>
      <c r="D2547" s="58" t="s">
        <v>7</v>
      </c>
      <c r="E2547" s="58">
        <v>5</v>
      </c>
      <c r="F2547" s="59" t="s">
        <v>2262</v>
      </c>
      <c r="G2547" s="58"/>
      <c r="H2547" s="60"/>
      <c r="I2547" s="61"/>
    </row>
    <row r="2548" spans="2:9" x14ac:dyDescent="0.2">
      <c r="B2548" s="62" t="str">
        <f t="shared" si="52"/>
        <v>2011-030-0</v>
      </c>
      <c r="C2548" s="63">
        <v>2011</v>
      </c>
      <c r="D2548" s="63" t="s">
        <v>8</v>
      </c>
      <c r="E2548" s="63">
        <v>0</v>
      </c>
      <c r="F2548" s="64" t="s">
        <v>344</v>
      </c>
      <c r="G2548" s="63"/>
      <c r="H2548" s="65"/>
      <c r="I2548" s="66"/>
    </row>
    <row r="2549" spans="2:9" x14ac:dyDescent="0.2">
      <c r="B2549" s="51" t="str">
        <f t="shared" si="52"/>
        <v>2011-030-1</v>
      </c>
      <c r="C2549" s="52">
        <v>2011</v>
      </c>
      <c r="D2549" s="52" t="s">
        <v>8</v>
      </c>
      <c r="E2549" s="52">
        <v>1</v>
      </c>
      <c r="F2549" s="54" t="s">
        <v>769</v>
      </c>
      <c r="G2549" s="52" t="s">
        <v>3391</v>
      </c>
      <c r="H2549" s="55"/>
      <c r="I2549" s="56"/>
    </row>
    <row r="2550" spans="2:9" x14ac:dyDescent="0.2">
      <c r="B2550" s="51" t="str">
        <f t="shared" si="52"/>
        <v>2011-030-2</v>
      </c>
      <c r="C2550" s="52">
        <v>2011</v>
      </c>
      <c r="D2550" s="52" t="s">
        <v>8</v>
      </c>
      <c r="E2550" s="52">
        <v>2</v>
      </c>
      <c r="F2550" s="54" t="s">
        <v>1162</v>
      </c>
      <c r="G2550" s="52"/>
      <c r="H2550" s="55"/>
      <c r="I2550" s="56"/>
    </row>
    <row r="2551" spans="2:9" x14ac:dyDescent="0.2">
      <c r="B2551" s="51" t="str">
        <f t="shared" si="52"/>
        <v>2011-030-3</v>
      </c>
      <c r="C2551" s="52">
        <v>2011</v>
      </c>
      <c r="D2551" s="52" t="s">
        <v>8</v>
      </c>
      <c r="E2551" s="52">
        <v>3</v>
      </c>
      <c r="F2551" s="54" t="s">
        <v>1544</v>
      </c>
      <c r="G2551" s="52"/>
      <c r="H2551" s="55"/>
      <c r="I2551" s="56"/>
    </row>
    <row r="2552" spans="2:9" x14ac:dyDescent="0.2">
      <c r="B2552" s="51" t="str">
        <f t="shared" si="52"/>
        <v>2011-030-4</v>
      </c>
      <c r="C2552" s="52">
        <v>2011</v>
      </c>
      <c r="D2552" s="52" t="s">
        <v>8</v>
      </c>
      <c r="E2552" s="52">
        <v>4</v>
      </c>
      <c r="F2552" s="54" t="s">
        <v>1904</v>
      </c>
      <c r="G2552" s="52"/>
      <c r="H2552" s="55"/>
      <c r="I2552" s="56"/>
    </row>
    <row r="2553" spans="2:9" x14ac:dyDescent="0.2">
      <c r="B2553" s="57" t="str">
        <f t="shared" si="52"/>
        <v>2011-030-5</v>
      </c>
      <c r="C2553" s="58">
        <v>2011</v>
      </c>
      <c r="D2553" s="58" t="s">
        <v>8</v>
      </c>
      <c r="E2553" s="58">
        <v>5</v>
      </c>
      <c r="F2553" s="59" t="s">
        <v>2263</v>
      </c>
      <c r="G2553" s="58"/>
      <c r="H2553" s="60"/>
      <c r="I2553" s="61"/>
    </row>
    <row r="2554" spans="2:9" x14ac:dyDescent="0.2">
      <c r="B2554" s="62" t="str">
        <f t="shared" si="52"/>
        <v>2011-031-0</v>
      </c>
      <c r="C2554" s="63">
        <v>2011</v>
      </c>
      <c r="D2554" s="63" t="s">
        <v>9</v>
      </c>
      <c r="E2554" s="63">
        <v>0</v>
      </c>
      <c r="F2554" s="64" t="s">
        <v>382</v>
      </c>
      <c r="G2554" s="63"/>
      <c r="H2554" s="65"/>
      <c r="I2554" s="66"/>
    </row>
    <row r="2555" spans="2:9" ht="27" x14ac:dyDescent="0.2">
      <c r="B2555" s="51" t="str">
        <f t="shared" si="52"/>
        <v>2011-031-1</v>
      </c>
      <c r="C2555" s="52">
        <v>2011</v>
      </c>
      <c r="D2555" s="52" t="s">
        <v>9</v>
      </c>
      <c r="E2555" s="52">
        <v>1</v>
      </c>
      <c r="F2555" s="54" t="s">
        <v>770</v>
      </c>
      <c r="G2555" s="52"/>
      <c r="H2555" s="55"/>
      <c r="I2555" s="56"/>
    </row>
    <row r="2556" spans="2:9" ht="27" x14ac:dyDescent="0.2">
      <c r="B2556" s="51" t="str">
        <f t="shared" si="52"/>
        <v>2011-031-2</v>
      </c>
      <c r="C2556" s="52">
        <v>2011</v>
      </c>
      <c r="D2556" s="52" t="s">
        <v>9</v>
      </c>
      <c r="E2556" s="52">
        <v>2</v>
      </c>
      <c r="F2556" s="54" t="s">
        <v>1163</v>
      </c>
      <c r="G2556" s="52"/>
      <c r="H2556" s="55"/>
      <c r="I2556" s="56"/>
    </row>
    <row r="2557" spans="2:9" ht="27" x14ac:dyDescent="0.2">
      <c r="B2557" s="51" t="str">
        <f t="shared" si="52"/>
        <v>2011-031-3</v>
      </c>
      <c r="C2557" s="52">
        <v>2011</v>
      </c>
      <c r="D2557" s="52" t="s">
        <v>9</v>
      </c>
      <c r="E2557" s="52">
        <v>3</v>
      </c>
      <c r="F2557" s="54" t="s">
        <v>1545</v>
      </c>
      <c r="G2557" s="52"/>
      <c r="H2557" s="55"/>
      <c r="I2557" s="56"/>
    </row>
    <row r="2558" spans="2:9" ht="27" x14ac:dyDescent="0.2">
      <c r="B2558" s="51" t="str">
        <f t="shared" si="52"/>
        <v>2011-031-4</v>
      </c>
      <c r="C2558" s="52">
        <v>2011</v>
      </c>
      <c r="D2558" s="52" t="s">
        <v>9</v>
      </c>
      <c r="E2558" s="52">
        <v>4</v>
      </c>
      <c r="F2558" s="54" t="s">
        <v>1905</v>
      </c>
      <c r="G2558" s="52"/>
      <c r="H2558" s="55"/>
      <c r="I2558" s="56"/>
    </row>
    <row r="2559" spans="2:9" ht="27" x14ac:dyDescent="0.2">
      <c r="B2559" s="57" t="str">
        <f t="shared" si="52"/>
        <v>2011-031-5</v>
      </c>
      <c r="C2559" s="58">
        <v>2011</v>
      </c>
      <c r="D2559" s="58" t="s">
        <v>9</v>
      </c>
      <c r="E2559" s="58">
        <v>5</v>
      </c>
      <c r="F2559" s="59" t="s">
        <v>2264</v>
      </c>
      <c r="G2559" s="58" t="s">
        <v>3391</v>
      </c>
      <c r="H2559" s="60"/>
      <c r="I2559" s="61"/>
    </row>
    <row r="2560" spans="2:9" x14ac:dyDescent="0.2">
      <c r="B2560" s="62" t="str">
        <f t="shared" si="52"/>
        <v>2011-032-0</v>
      </c>
      <c r="C2560" s="63">
        <v>2011</v>
      </c>
      <c r="D2560" s="63" t="s">
        <v>10</v>
      </c>
      <c r="E2560" s="63">
        <v>0</v>
      </c>
      <c r="F2560" s="64" t="s">
        <v>128</v>
      </c>
      <c r="G2560" s="63"/>
      <c r="H2560" s="65"/>
      <c r="I2560" s="66"/>
    </row>
    <row r="2561" spans="2:9" ht="27" x14ac:dyDescent="0.2">
      <c r="B2561" s="51" t="str">
        <f t="shared" si="52"/>
        <v>2011-032-1</v>
      </c>
      <c r="C2561" s="52">
        <v>2011</v>
      </c>
      <c r="D2561" s="52" t="s">
        <v>10</v>
      </c>
      <c r="E2561" s="52">
        <v>1</v>
      </c>
      <c r="F2561" s="54" t="s">
        <v>771</v>
      </c>
      <c r="G2561" s="52"/>
      <c r="H2561" s="55"/>
      <c r="I2561" s="56"/>
    </row>
    <row r="2562" spans="2:9" ht="27" x14ac:dyDescent="0.2">
      <c r="B2562" s="51" t="str">
        <f t="shared" si="52"/>
        <v>2011-032-2</v>
      </c>
      <c r="C2562" s="52">
        <v>2011</v>
      </c>
      <c r="D2562" s="52" t="s">
        <v>10</v>
      </c>
      <c r="E2562" s="52">
        <v>2</v>
      </c>
      <c r="F2562" s="54" t="s">
        <v>1164</v>
      </c>
      <c r="G2562" s="52"/>
      <c r="H2562" s="55"/>
      <c r="I2562" s="56"/>
    </row>
    <row r="2563" spans="2:9" x14ac:dyDescent="0.2">
      <c r="B2563" s="51" t="str">
        <f t="shared" si="52"/>
        <v>2011-032-3</v>
      </c>
      <c r="C2563" s="52">
        <v>2011</v>
      </c>
      <c r="D2563" s="52" t="s">
        <v>10</v>
      </c>
      <c r="E2563" s="52">
        <v>3</v>
      </c>
      <c r="F2563" s="54" t="s">
        <v>1465</v>
      </c>
      <c r="G2563" s="52"/>
      <c r="H2563" s="55"/>
      <c r="I2563" s="56"/>
    </row>
    <row r="2564" spans="2:9" x14ac:dyDescent="0.2">
      <c r="B2564" s="51" t="str">
        <f t="shared" si="52"/>
        <v>2011-032-4</v>
      </c>
      <c r="C2564" s="52">
        <v>2011</v>
      </c>
      <c r="D2564" s="52" t="s">
        <v>10</v>
      </c>
      <c r="E2564" s="52">
        <v>4</v>
      </c>
      <c r="F2564" s="54" t="s">
        <v>482</v>
      </c>
      <c r="G2564" s="52"/>
      <c r="H2564" s="55"/>
      <c r="I2564" s="56"/>
    </row>
    <row r="2565" spans="2:9" x14ac:dyDescent="0.2">
      <c r="B2565" s="57" t="str">
        <f t="shared" si="52"/>
        <v>2011-032-5</v>
      </c>
      <c r="C2565" s="58">
        <v>2011</v>
      </c>
      <c r="D2565" s="58" t="s">
        <v>10</v>
      </c>
      <c r="E2565" s="58">
        <v>5</v>
      </c>
      <c r="F2565" s="59" t="s">
        <v>2265</v>
      </c>
      <c r="G2565" s="58" t="s">
        <v>3391</v>
      </c>
      <c r="H2565" s="60"/>
      <c r="I2565" s="61"/>
    </row>
    <row r="2566" spans="2:9" x14ac:dyDescent="0.2">
      <c r="B2566" s="62" t="str">
        <f t="shared" si="52"/>
        <v>2011-033-0</v>
      </c>
      <c r="C2566" s="63">
        <v>2011</v>
      </c>
      <c r="D2566" s="63" t="s">
        <v>11</v>
      </c>
      <c r="E2566" s="63">
        <v>0</v>
      </c>
      <c r="F2566" s="64" t="s">
        <v>383</v>
      </c>
      <c r="G2566" s="63"/>
      <c r="H2566" s="65"/>
      <c r="I2566" s="66"/>
    </row>
    <row r="2567" spans="2:9" ht="40.5" x14ac:dyDescent="0.2">
      <c r="B2567" s="51" t="str">
        <f t="shared" si="52"/>
        <v>2011-033-1</v>
      </c>
      <c r="C2567" s="52">
        <v>2011</v>
      </c>
      <c r="D2567" s="52" t="s">
        <v>11</v>
      </c>
      <c r="E2567" s="52">
        <v>1</v>
      </c>
      <c r="F2567" s="54" t="s">
        <v>772</v>
      </c>
      <c r="G2567" s="52"/>
      <c r="H2567" s="55"/>
      <c r="I2567" s="56"/>
    </row>
    <row r="2568" spans="2:9" ht="40.5" x14ac:dyDescent="0.2">
      <c r="B2568" s="51" t="str">
        <f t="shared" si="52"/>
        <v>2011-033-2</v>
      </c>
      <c r="C2568" s="52">
        <v>2011</v>
      </c>
      <c r="D2568" s="52" t="s">
        <v>11</v>
      </c>
      <c r="E2568" s="52">
        <v>2</v>
      </c>
      <c r="F2568" s="54" t="s">
        <v>1165</v>
      </c>
      <c r="G2568" s="52"/>
      <c r="H2568" s="55"/>
      <c r="I2568" s="56"/>
    </row>
    <row r="2569" spans="2:9" ht="27" x14ac:dyDescent="0.2">
      <c r="B2569" s="51" t="str">
        <f t="shared" si="52"/>
        <v>2011-033-3</v>
      </c>
      <c r="C2569" s="52">
        <v>2011</v>
      </c>
      <c r="D2569" s="52" t="s">
        <v>11</v>
      </c>
      <c r="E2569" s="52">
        <v>3</v>
      </c>
      <c r="F2569" s="54" t="s">
        <v>1546</v>
      </c>
      <c r="G2569" s="52"/>
      <c r="H2569" s="55"/>
      <c r="I2569" s="56"/>
    </row>
    <row r="2570" spans="2:9" ht="27" x14ac:dyDescent="0.2">
      <c r="B2570" s="51" t="str">
        <f t="shared" si="52"/>
        <v>2011-033-4</v>
      </c>
      <c r="C2570" s="52">
        <v>2011</v>
      </c>
      <c r="D2570" s="52" t="s">
        <v>11</v>
      </c>
      <c r="E2570" s="52">
        <v>4</v>
      </c>
      <c r="F2570" s="54" t="s">
        <v>1906</v>
      </c>
      <c r="G2570" s="52" t="s">
        <v>3391</v>
      </c>
      <c r="H2570" s="55"/>
      <c r="I2570" s="56"/>
    </row>
    <row r="2571" spans="2:9" ht="27" x14ac:dyDescent="0.2">
      <c r="B2571" s="57" t="str">
        <f t="shared" si="52"/>
        <v>2011-033-5</v>
      </c>
      <c r="C2571" s="58">
        <v>2011</v>
      </c>
      <c r="D2571" s="58" t="s">
        <v>11</v>
      </c>
      <c r="E2571" s="58">
        <v>5</v>
      </c>
      <c r="F2571" s="59" t="s">
        <v>2266</v>
      </c>
      <c r="G2571" s="58"/>
      <c r="H2571" s="60"/>
      <c r="I2571" s="61"/>
    </row>
    <row r="2572" spans="2:9" x14ac:dyDescent="0.2">
      <c r="B2572" s="62" t="str">
        <f t="shared" si="52"/>
        <v>2011-034-0</v>
      </c>
      <c r="C2572" s="63">
        <v>2011</v>
      </c>
      <c r="D2572" s="63" t="s">
        <v>12</v>
      </c>
      <c r="E2572" s="63">
        <v>0</v>
      </c>
      <c r="F2572" s="64" t="s">
        <v>384</v>
      </c>
      <c r="G2572" s="63"/>
      <c r="H2572" s="65"/>
      <c r="I2572" s="66"/>
    </row>
    <row r="2573" spans="2:9" x14ac:dyDescent="0.2">
      <c r="B2573" s="51" t="str">
        <f t="shared" si="52"/>
        <v>2011-034-1</v>
      </c>
      <c r="C2573" s="52">
        <v>2011</v>
      </c>
      <c r="D2573" s="52" t="s">
        <v>12</v>
      </c>
      <c r="E2573" s="52">
        <v>1</v>
      </c>
      <c r="F2573" s="54" t="s">
        <v>773</v>
      </c>
      <c r="G2573" s="52"/>
      <c r="H2573" s="55"/>
      <c r="I2573" s="56"/>
    </row>
    <row r="2574" spans="2:9" x14ac:dyDescent="0.2">
      <c r="B2574" s="51" t="str">
        <f t="shared" si="52"/>
        <v>2011-034-2</v>
      </c>
      <c r="C2574" s="52">
        <v>2011</v>
      </c>
      <c r="D2574" s="52" t="s">
        <v>12</v>
      </c>
      <c r="E2574" s="52">
        <v>2</v>
      </c>
      <c r="F2574" s="54" t="s">
        <v>1166</v>
      </c>
      <c r="G2574" s="52"/>
      <c r="H2574" s="55"/>
      <c r="I2574" s="56"/>
    </row>
    <row r="2575" spans="2:9" x14ac:dyDescent="0.2">
      <c r="B2575" s="51" t="str">
        <f t="shared" si="52"/>
        <v>2011-034-3</v>
      </c>
      <c r="C2575" s="52">
        <v>2011</v>
      </c>
      <c r="D2575" s="52" t="s">
        <v>12</v>
      </c>
      <c r="E2575" s="52">
        <v>3</v>
      </c>
      <c r="F2575" s="54" t="s">
        <v>1547</v>
      </c>
      <c r="G2575" s="52"/>
      <c r="H2575" s="55"/>
      <c r="I2575" s="56"/>
    </row>
    <row r="2576" spans="2:9" x14ac:dyDescent="0.2">
      <c r="B2576" s="51" t="str">
        <f t="shared" si="52"/>
        <v>2011-034-4</v>
      </c>
      <c r="C2576" s="52">
        <v>2011</v>
      </c>
      <c r="D2576" s="52" t="s">
        <v>12</v>
      </c>
      <c r="E2576" s="52">
        <v>4</v>
      </c>
      <c r="F2576" s="54" t="s">
        <v>1907</v>
      </c>
      <c r="G2576" s="52" t="s">
        <v>3391</v>
      </c>
      <c r="H2576" s="55"/>
      <c r="I2576" s="56"/>
    </row>
    <row r="2577" spans="2:9" ht="27" x14ac:dyDescent="0.2">
      <c r="B2577" s="57" t="str">
        <f t="shared" si="52"/>
        <v>2011-034-5</v>
      </c>
      <c r="C2577" s="58">
        <v>2011</v>
      </c>
      <c r="D2577" s="58" t="s">
        <v>12</v>
      </c>
      <c r="E2577" s="58">
        <v>5</v>
      </c>
      <c r="F2577" s="59" t="s">
        <v>2267</v>
      </c>
      <c r="G2577" s="58"/>
      <c r="H2577" s="60"/>
      <c r="I2577" s="61"/>
    </row>
    <row r="2578" spans="2:9" x14ac:dyDescent="0.2">
      <c r="B2578" s="62" t="str">
        <f t="shared" si="52"/>
        <v>2011-035-0</v>
      </c>
      <c r="C2578" s="63">
        <v>2011</v>
      </c>
      <c r="D2578" s="63" t="s">
        <v>13</v>
      </c>
      <c r="E2578" s="63">
        <v>0</v>
      </c>
      <c r="F2578" s="64" t="s">
        <v>385</v>
      </c>
      <c r="G2578" s="63"/>
      <c r="H2578" s="65"/>
      <c r="I2578" s="66"/>
    </row>
    <row r="2579" spans="2:9" ht="27" x14ac:dyDescent="0.2">
      <c r="B2579" s="51" t="str">
        <f t="shared" si="52"/>
        <v>2011-035-1</v>
      </c>
      <c r="C2579" s="52">
        <v>2011</v>
      </c>
      <c r="D2579" s="52" t="s">
        <v>13</v>
      </c>
      <c r="E2579" s="52">
        <v>1</v>
      </c>
      <c r="F2579" s="54" t="s">
        <v>774</v>
      </c>
      <c r="G2579" s="52" t="s">
        <v>3391</v>
      </c>
      <c r="H2579" s="55"/>
      <c r="I2579" s="56"/>
    </row>
    <row r="2580" spans="2:9" ht="27" x14ac:dyDescent="0.2">
      <c r="B2580" s="51" t="str">
        <f t="shared" si="52"/>
        <v>2011-035-2</v>
      </c>
      <c r="C2580" s="52">
        <v>2011</v>
      </c>
      <c r="D2580" s="52" t="s">
        <v>13</v>
      </c>
      <c r="E2580" s="52">
        <v>2</v>
      </c>
      <c r="F2580" s="54" t="s">
        <v>1167</v>
      </c>
      <c r="G2580" s="52"/>
      <c r="H2580" s="55"/>
      <c r="I2580" s="56"/>
    </row>
    <row r="2581" spans="2:9" ht="27" x14ac:dyDescent="0.2">
      <c r="B2581" s="51" t="str">
        <f t="shared" si="52"/>
        <v>2011-035-3</v>
      </c>
      <c r="C2581" s="52">
        <v>2011</v>
      </c>
      <c r="D2581" s="52" t="s">
        <v>13</v>
      </c>
      <c r="E2581" s="52">
        <v>3</v>
      </c>
      <c r="F2581" s="54" t="s">
        <v>1548</v>
      </c>
      <c r="G2581" s="52"/>
      <c r="H2581" s="55"/>
      <c r="I2581" s="56"/>
    </row>
    <row r="2582" spans="2:9" x14ac:dyDescent="0.2">
      <c r="B2582" s="51" t="str">
        <f t="shared" si="52"/>
        <v>2011-035-4</v>
      </c>
      <c r="C2582" s="52">
        <v>2011</v>
      </c>
      <c r="D2582" s="52" t="s">
        <v>13</v>
      </c>
      <c r="E2582" s="52">
        <v>4</v>
      </c>
      <c r="F2582" s="54" t="s">
        <v>1340</v>
      </c>
      <c r="G2582" s="52"/>
      <c r="H2582" s="55"/>
      <c r="I2582" s="56"/>
    </row>
    <row r="2583" spans="2:9" ht="27" x14ac:dyDescent="0.2">
      <c r="B2583" s="57" t="str">
        <f t="shared" si="52"/>
        <v>2011-035-5</v>
      </c>
      <c r="C2583" s="58">
        <v>2011</v>
      </c>
      <c r="D2583" s="58" t="s">
        <v>13</v>
      </c>
      <c r="E2583" s="58">
        <v>5</v>
      </c>
      <c r="F2583" s="59" t="s">
        <v>2268</v>
      </c>
      <c r="G2583" s="58"/>
      <c r="H2583" s="60"/>
      <c r="I2583" s="61"/>
    </row>
    <row r="2584" spans="2:9" ht="27" x14ac:dyDescent="0.2">
      <c r="B2584" s="62" t="str">
        <f t="shared" si="52"/>
        <v>2011-036-0</v>
      </c>
      <c r="C2584" s="63">
        <v>2011</v>
      </c>
      <c r="D2584" s="63" t="s">
        <v>14</v>
      </c>
      <c r="E2584" s="63">
        <v>0</v>
      </c>
      <c r="F2584" s="64" t="s">
        <v>386</v>
      </c>
      <c r="G2584" s="63"/>
      <c r="H2584" s="65"/>
      <c r="I2584" s="66"/>
    </row>
    <row r="2585" spans="2:9" ht="27" x14ac:dyDescent="0.2">
      <c r="B2585" s="51" t="str">
        <f t="shared" si="52"/>
        <v>2011-036-1</v>
      </c>
      <c r="C2585" s="52">
        <v>2011</v>
      </c>
      <c r="D2585" s="52" t="s">
        <v>14</v>
      </c>
      <c r="E2585" s="52">
        <v>1</v>
      </c>
      <c r="F2585" s="54" t="s">
        <v>775</v>
      </c>
      <c r="G2585" s="52"/>
      <c r="H2585" s="55"/>
      <c r="I2585" s="56"/>
    </row>
    <row r="2586" spans="2:9" ht="27" x14ac:dyDescent="0.2">
      <c r="B2586" s="51" t="str">
        <f t="shared" si="52"/>
        <v>2011-036-2</v>
      </c>
      <c r="C2586" s="52">
        <v>2011</v>
      </c>
      <c r="D2586" s="52" t="s">
        <v>14</v>
      </c>
      <c r="E2586" s="52">
        <v>2</v>
      </c>
      <c r="F2586" s="54" t="s">
        <v>1019</v>
      </c>
      <c r="G2586" s="52"/>
      <c r="H2586" s="55"/>
      <c r="I2586" s="56"/>
    </row>
    <row r="2587" spans="2:9" x14ac:dyDescent="0.2">
      <c r="B2587" s="51" t="str">
        <f t="shared" si="52"/>
        <v>2011-036-3</v>
      </c>
      <c r="C2587" s="52">
        <v>2011</v>
      </c>
      <c r="D2587" s="52" t="s">
        <v>14</v>
      </c>
      <c r="E2587" s="52">
        <v>3</v>
      </c>
      <c r="F2587" s="54" t="s">
        <v>1549</v>
      </c>
      <c r="G2587" s="52"/>
      <c r="H2587" s="55"/>
      <c r="I2587" s="56"/>
    </row>
    <row r="2588" spans="2:9" x14ac:dyDescent="0.2">
      <c r="B2588" s="51" t="str">
        <f t="shared" si="52"/>
        <v>2011-036-4</v>
      </c>
      <c r="C2588" s="52">
        <v>2011</v>
      </c>
      <c r="D2588" s="52" t="s">
        <v>14</v>
      </c>
      <c r="E2588" s="52">
        <v>4</v>
      </c>
      <c r="F2588" s="54" t="s">
        <v>1908</v>
      </c>
      <c r="G2588" s="52"/>
      <c r="H2588" s="55"/>
      <c r="I2588" s="56"/>
    </row>
    <row r="2589" spans="2:9" ht="27" x14ac:dyDescent="0.2">
      <c r="B2589" s="57" t="str">
        <f t="shared" si="52"/>
        <v>2011-036-5</v>
      </c>
      <c r="C2589" s="58">
        <v>2011</v>
      </c>
      <c r="D2589" s="58" t="s">
        <v>14</v>
      </c>
      <c r="E2589" s="58">
        <v>5</v>
      </c>
      <c r="F2589" s="59" t="s">
        <v>2269</v>
      </c>
      <c r="G2589" s="58" t="s">
        <v>3391</v>
      </c>
      <c r="H2589" s="60"/>
      <c r="I2589" s="61"/>
    </row>
    <row r="2590" spans="2:9" x14ac:dyDescent="0.2">
      <c r="B2590" s="62" t="str">
        <f t="shared" si="52"/>
        <v>2011-037-0</v>
      </c>
      <c r="C2590" s="63">
        <v>2011</v>
      </c>
      <c r="D2590" s="63" t="s">
        <v>15</v>
      </c>
      <c r="E2590" s="63">
        <v>0</v>
      </c>
      <c r="F2590" s="64" t="s">
        <v>387</v>
      </c>
      <c r="G2590" s="63"/>
      <c r="H2590" s="65"/>
      <c r="I2590" s="66"/>
    </row>
    <row r="2591" spans="2:9" x14ac:dyDescent="0.2">
      <c r="B2591" s="51" t="str">
        <f t="shared" si="52"/>
        <v>2011-037-1</v>
      </c>
      <c r="C2591" s="52">
        <v>2011</v>
      </c>
      <c r="D2591" s="52" t="s">
        <v>15</v>
      </c>
      <c r="E2591" s="52">
        <v>1</v>
      </c>
      <c r="F2591" s="54" t="s">
        <v>776</v>
      </c>
      <c r="G2591" s="52"/>
      <c r="H2591" s="55"/>
      <c r="I2591" s="56"/>
    </row>
    <row r="2592" spans="2:9" x14ac:dyDescent="0.2">
      <c r="B2592" s="51" t="str">
        <f t="shared" si="52"/>
        <v>2011-037-2</v>
      </c>
      <c r="C2592" s="52">
        <v>2011</v>
      </c>
      <c r="D2592" s="52" t="s">
        <v>15</v>
      </c>
      <c r="E2592" s="52">
        <v>2</v>
      </c>
      <c r="F2592" s="54" t="s">
        <v>1168</v>
      </c>
      <c r="G2592" s="52" t="s">
        <v>3391</v>
      </c>
      <c r="H2592" s="55"/>
      <c r="I2592" s="56"/>
    </row>
    <row r="2593" spans="2:9" x14ac:dyDescent="0.2">
      <c r="B2593" s="51" t="str">
        <f t="shared" si="52"/>
        <v>2011-037-3</v>
      </c>
      <c r="C2593" s="52">
        <v>2011</v>
      </c>
      <c r="D2593" s="52" t="s">
        <v>15</v>
      </c>
      <c r="E2593" s="52">
        <v>3</v>
      </c>
      <c r="F2593" s="54" t="s">
        <v>1550</v>
      </c>
      <c r="G2593" s="52"/>
      <c r="H2593" s="55"/>
      <c r="I2593" s="56"/>
    </row>
    <row r="2594" spans="2:9" x14ac:dyDescent="0.2">
      <c r="B2594" s="51" t="str">
        <f t="shared" si="52"/>
        <v>2011-037-4</v>
      </c>
      <c r="C2594" s="52">
        <v>2011</v>
      </c>
      <c r="D2594" s="52" t="s">
        <v>15</v>
      </c>
      <c r="E2594" s="52">
        <v>4</v>
      </c>
      <c r="F2594" s="54" t="s">
        <v>1909</v>
      </c>
      <c r="G2594" s="52"/>
      <c r="H2594" s="55"/>
      <c r="I2594" s="56"/>
    </row>
    <row r="2595" spans="2:9" x14ac:dyDescent="0.2">
      <c r="B2595" s="57" t="str">
        <f t="shared" si="52"/>
        <v>2011-037-5</v>
      </c>
      <c r="C2595" s="58">
        <v>2011</v>
      </c>
      <c r="D2595" s="58" t="s">
        <v>15</v>
      </c>
      <c r="E2595" s="58">
        <v>5</v>
      </c>
      <c r="F2595" s="59" t="s">
        <v>2270</v>
      </c>
      <c r="G2595" s="58"/>
      <c r="H2595" s="60"/>
      <c r="I2595" s="61"/>
    </row>
    <row r="2596" spans="2:9" x14ac:dyDescent="0.2">
      <c r="B2596" s="62" t="str">
        <f t="shared" si="52"/>
        <v>2011-038-0</v>
      </c>
      <c r="C2596" s="63">
        <v>2011</v>
      </c>
      <c r="D2596" s="63" t="s">
        <v>16</v>
      </c>
      <c r="E2596" s="63">
        <v>0</v>
      </c>
      <c r="F2596" s="64" t="s">
        <v>362</v>
      </c>
      <c r="G2596" s="63"/>
      <c r="H2596" s="65"/>
      <c r="I2596" s="66"/>
    </row>
    <row r="2597" spans="2:9" ht="27" x14ac:dyDescent="0.2">
      <c r="B2597" s="51" t="str">
        <f t="shared" si="52"/>
        <v>2011-038-1</v>
      </c>
      <c r="C2597" s="52">
        <v>2011</v>
      </c>
      <c r="D2597" s="52" t="s">
        <v>16</v>
      </c>
      <c r="E2597" s="52">
        <v>1</v>
      </c>
      <c r="F2597" s="54" t="s">
        <v>2824</v>
      </c>
      <c r="G2597" s="52"/>
      <c r="H2597" s="55"/>
      <c r="I2597" s="56"/>
    </row>
    <row r="2598" spans="2:9" ht="27" x14ac:dyDescent="0.2">
      <c r="B2598" s="51" t="str">
        <f t="shared" si="52"/>
        <v>2011-038-2</v>
      </c>
      <c r="C2598" s="52">
        <v>2011</v>
      </c>
      <c r="D2598" s="52" t="s">
        <v>16</v>
      </c>
      <c r="E2598" s="52">
        <v>2</v>
      </c>
      <c r="F2598" s="54" t="s">
        <v>1169</v>
      </c>
      <c r="G2598" s="52"/>
      <c r="H2598" s="55"/>
      <c r="I2598" s="56"/>
    </row>
    <row r="2599" spans="2:9" ht="40.5" x14ac:dyDescent="0.2">
      <c r="B2599" s="51" t="str">
        <f t="shared" si="52"/>
        <v>2011-038-3</v>
      </c>
      <c r="C2599" s="52">
        <v>2011</v>
      </c>
      <c r="D2599" s="52" t="s">
        <v>16</v>
      </c>
      <c r="E2599" s="52">
        <v>3</v>
      </c>
      <c r="F2599" s="54" t="s">
        <v>1551</v>
      </c>
      <c r="G2599" s="52" t="s">
        <v>3391</v>
      </c>
      <c r="H2599" s="55"/>
      <c r="I2599" s="56"/>
    </row>
    <row r="2600" spans="2:9" ht="27" x14ac:dyDescent="0.2">
      <c r="B2600" s="51" t="str">
        <f t="shared" si="52"/>
        <v>2011-038-4</v>
      </c>
      <c r="C2600" s="52">
        <v>2011</v>
      </c>
      <c r="D2600" s="52" t="s">
        <v>16</v>
      </c>
      <c r="E2600" s="52">
        <v>4</v>
      </c>
      <c r="F2600" s="54" t="s">
        <v>1910</v>
      </c>
      <c r="G2600" s="52"/>
      <c r="H2600" s="55"/>
      <c r="I2600" s="56"/>
    </row>
    <row r="2601" spans="2:9" ht="27" x14ac:dyDescent="0.2">
      <c r="B2601" s="57" t="str">
        <f t="shared" si="52"/>
        <v>2011-038-5</v>
      </c>
      <c r="C2601" s="58">
        <v>2011</v>
      </c>
      <c r="D2601" s="58" t="s">
        <v>16</v>
      </c>
      <c r="E2601" s="58">
        <v>5</v>
      </c>
      <c r="F2601" s="59" t="s">
        <v>2271</v>
      </c>
      <c r="G2601" s="58"/>
      <c r="H2601" s="60"/>
      <c r="I2601" s="61"/>
    </row>
    <row r="2602" spans="2:9" x14ac:dyDescent="0.2">
      <c r="B2602" s="62" t="str">
        <f t="shared" si="52"/>
        <v>2011-039-0</v>
      </c>
      <c r="C2602" s="63">
        <v>2011</v>
      </c>
      <c r="D2602" s="63" t="s">
        <v>17</v>
      </c>
      <c r="E2602" s="63">
        <v>0</v>
      </c>
      <c r="F2602" s="64" t="s">
        <v>388</v>
      </c>
      <c r="G2602" s="63"/>
      <c r="H2602" s="65"/>
      <c r="I2602" s="66"/>
    </row>
    <row r="2603" spans="2:9" x14ac:dyDescent="0.2">
      <c r="B2603" s="51" t="str">
        <f t="shared" si="52"/>
        <v>2011-039-1</v>
      </c>
      <c r="C2603" s="52">
        <v>2011</v>
      </c>
      <c r="D2603" s="52" t="s">
        <v>17</v>
      </c>
      <c r="E2603" s="52">
        <v>1</v>
      </c>
      <c r="F2603" s="54" t="s">
        <v>777</v>
      </c>
      <c r="G2603" s="52"/>
      <c r="H2603" s="55"/>
      <c r="I2603" s="56"/>
    </row>
    <row r="2604" spans="2:9" x14ac:dyDescent="0.2">
      <c r="B2604" s="51" t="str">
        <f t="shared" si="52"/>
        <v>2011-039-2</v>
      </c>
      <c r="C2604" s="52">
        <v>2011</v>
      </c>
      <c r="D2604" s="52" t="s">
        <v>17</v>
      </c>
      <c r="E2604" s="52">
        <v>2</v>
      </c>
      <c r="F2604" s="54" t="s">
        <v>1170</v>
      </c>
      <c r="G2604" s="52" t="s">
        <v>3391</v>
      </c>
      <c r="H2604" s="55"/>
      <c r="I2604" s="56"/>
    </row>
    <row r="2605" spans="2:9" x14ac:dyDescent="0.2">
      <c r="B2605" s="51" t="str">
        <f t="shared" ref="B2605:B2668" si="53">C2605&amp;"-"&amp;D2605&amp;"-"&amp;E2605</f>
        <v>2011-039-3</v>
      </c>
      <c r="C2605" s="52">
        <v>2011</v>
      </c>
      <c r="D2605" s="52" t="s">
        <v>17</v>
      </c>
      <c r="E2605" s="52">
        <v>3</v>
      </c>
      <c r="F2605" s="54" t="s">
        <v>1552</v>
      </c>
      <c r="G2605" s="52"/>
      <c r="H2605" s="55"/>
      <c r="I2605" s="56"/>
    </row>
    <row r="2606" spans="2:9" x14ac:dyDescent="0.2">
      <c r="B2606" s="51" t="str">
        <f t="shared" si="53"/>
        <v>2011-039-4</v>
      </c>
      <c r="C2606" s="52">
        <v>2011</v>
      </c>
      <c r="D2606" s="52" t="s">
        <v>17</v>
      </c>
      <c r="E2606" s="52">
        <v>4</v>
      </c>
      <c r="F2606" s="54" t="s">
        <v>1911</v>
      </c>
      <c r="G2606" s="52"/>
      <c r="H2606" s="55"/>
      <c r="I2606" s="56"/>
    </row>
    <row r="2607" spans="2:9" x14ac:dyDescent="0.2">
      <c r="B2607" s="57" t="str">
        <f t="shared" si="53"/>
        <v>2011-039-5</v>
      </c>
      <c r="C2607" s="58">
        <v>2011</v>
      </c>
      <c r="D2607" s="58" t="s">
        <v>17</v>
      </c>
      <c r="E2607" s="58">
        <v>5</v>
      </c>
      <c r="F2607" s="59" t="s">
        <v>2272</v>
      </c>
      <c r="G2607" s="58"/>
      <c r="H2607" s="60"/>
      <c r="I2607" s="61"/>
    </row>
    <row r="2608" spans="2:9" x14ac:dyDescent="0.2">
      <c r="B2608" s="62" t="str">
        <f t="shared" si="53"/>
        <v>2011-040-0</v>
      </c>
      <c r="C2608" s="63">
        <v>2011</v>
      </c>
      <c r="D2608" s="63" t="s">
        <v>18</v>
      </c>
      <c r="E2608" s="63">
        <v>0</v>
      </c>
      <c r="F2608" s="64" t="s">
        <v>389</v>
      </c>
      <c r="G2608" s="63"/>
      <c r="H2608" s="65"/>
      <c r="I2608" s="66"/>
    </row>
    <row r="2609" spans="2:9" x14ac:dyDescent="0.2">
      <c r="B2609" s="51" t="str">
        <f t="shared" si="53"/>
        <v>2011-040-1</v>
      </c>
      <c r="C2609" s="52">
        <v>2011</v>
      </c>
      <c r="D2609" s="52" t="s">
        <v>18</v>
      </c>
      <c r="E2609" s="52">
        <v>1</v>
      </c>
      <c r="F2609" s="54" t="s">
        <v>778</v>
      </c>
      <c r="G2609" s="52"/>
      <c r="H2609" s="55"/>
      <c r="I2609" s="56"/>
    </row>
    <row r="2610" spans="2:9" x14ac:dyDescent="0.2">
      <c r="B2610" s="51" t="str">
        <f t="shared" si="53"/>
        <v>2011-040-2</v>
      </c>
      <c r="C2610" s="52">
        <v>2011</v>
      </c>
      <c r="D2610" s="52" t="s">
        <v>18</v>
      </c>
      <c r="E2610" s="52">
        <v>2</v>
      </c>
      <c r="F2610" s="54" t="s">
        <v>1171</v>
      </c>
      <c r="G2610" s="52"/>
      <c r="H2610" s="55"/>
      <c r="I2610" s="56"/>
    </row>
    <row r="2611" spans="2:9" x14ac:dyDescent="0.2">
      <c r="B2611" s="51" t="str">
        <f t="shared" si="53"/>
        <v>2011-040-3</v>
      </c>
      <c r="C2611" s="52">
        <v>2011</v>
      </c>
      <c r="D2611" s="52" t="s">
        <v>18</v>
      </c>
      <c r="E2611" s="52">
        <v>3</v>
      </c>
      <c r="F2611" s="54" t="s">
        <v>1553</v>
      </c>
      <c r="G2611" s="52" t="s">
        <v>3391</v>
      </c>
      <c r="H2611" s="55"/>
      <c r="I2611" s="56"/>
    </row>
    <row r="2612" spans="2:9" x14ac:dyDescent="0.2">
      <c r="B2612" s="51" t="str">
        <f t="shared" si="53"/>
        <v>2011-040-4</v>
      </c>
      <c r="C2612" s="52">
        <v>2011</v>
      </c>
      <c r="D2612" s="52" t="s">
        <v>18</v>
      </c>
      <c r="E2612" s="52">
        <v>4</v>
      </c>
      <c r="F2612" s="54" t="s">
        <v>1912</v>
      </c>
      <c r="G2612" s="52"/>
      <c r="H2612" s="55"/>
      <c r="I2612" s="56"/>
    </row>
    <row r="2613" spans="2:9" x14ac:dyDescent="0.2">
      <c r="B2613" s="57" t="str">
        <f t="shared" si="53"/>
        <v>2011-040-5</v>
      </c>
      <c r="C2613" s="58">
        <v>2011</v>
      </c>
      <c r="D2613" s="58" t="s">
        <v>18</v>
      </c>
      <c r="E2613" s="58">
        <v>5</v>
      </c>
      <c r="F2613" s="59" t="s">
        <v>1335</v>
      </c>
      <c r="G2613" s="58"/>
      <c r="H2613" s="60"/>
      <c r="I2613" s="61"/>
    </row>
    <row r="2614" spans="2:9" x14ac:dyDescent="0.2">
      <c r="B2614" s="62" t="str">
        <f t="shared" si="53"/>
        <v>2011-041-0</v>
      </c>
      <c r="C2614" s="63">
        <v>2011</v>
      </c>
      <c r="D2614" s="63" t="s">
        <v>72</v>
      </c>
      <c r="E2614" s="63">
        <v>0</v>
      </c>
      <c r="F2614" s="64" t="s">
        <v>390</v>
      </c>
      <c r="G2614" s="63"/>
      <c r="H2614" s="65"/>
      <c r="I2614" s="66"/>
    </row>
    <row r="2615" spans="2:9" x14ac:dyDescent="0.2">
      <c r="B2615" s="51" t="str">
        <f t="shared" si="53"/>
        <v>2011-041-1</v>
      </c>
      <c r="C2615" s="52">
        <v>2011</v>
      </c>
      <c r="D2615" s="52" t="s">
        <v>72</v>
      </c>
      <c r="E2615" s="52">
        <v>1</v>
      </c>
      <c r="F2615" s="54" t="s">
        <v>779</v>
      </c>
      <c r="G2615" s="52" t="s">
        <v>3391</v>
      </c>
      <c r="H2615" s="55"/>
      <c r="I2615" s="56"/>
    </row>
    <row r="2616" spans="2:9" x14ac:dyDescent="0.2">
      <c r="B2616" s="51" t="str">
        <f t="shared" si="53"/>
        <v>2011-041-2</v>
      </c>
      <c r="C2616" s="52">
        <v>2011</v>
      </c>
      <c r="D2616" s="52" t="s">
        <v>72</v>
      </c>
      <c r="E2616" s="52">
        <v>2</v>
      </c>
      <c r="F2616" s="54" t="s">
        <v>1172</v>
      </c>
      <c r="G2616" s="52"/>
      <c r="H2616" s="55"/>
      <c r="I2616" s="56"/>
    </row>
    <row r="2617" spans="2:9" x14ac:dyDescent="0.2">
      <c r="B2617" s="51" t="str">
        <f t="shared" si="53"/>
        <v>2011-041-3</v>
      </c>
      <c r="C2617" s="52">
        <v>2011</v>
      </c>
      <c r="D2617" s="52" t="s">
        <v>72</v>
      </c>
      <c r="E2617" s="52">
        <v>3</v>
      </c>
      <c r="F2617" s="54" t="s">
        <v>1554</v>
      </c>
      <c r="G2617" s="52"/>
      <c r="H2617" s="55"/>
      <c r="I2617" s="56"/>
    </row>
    <row r="2618" spans="2:9" x14ac:dyDescent="0.2">
      <c r="B2618" s="51" t="str">
        <f t="shared" si="53"/>
        <v>2011-041-4</v>
      </c>
      <c r="C2618" s="52">
        <v>2011</v>
      </c>
      <c r="D2618" s="52" t="s">
        <v>72</v>
      </c>
      <c r="E2618" s="52">
        <v>4</v>
      </c>
      <c r="F2618" s="54" t="s">
        <v>1455</v>
      </c>
      <c r="G2618" s="52"/>
      <c r="H2618" s="55"/>
      <c r="I2618" s="56"/>
    </row>
    <row r="2619" spans="2:9" ht="27" x14ac:dyDescent="0.2">
      <c r="B2619" s="57" t="str">
        <f t="shared" si="53"/>
        <v>2011-041-5</v>
      </c>
      <c r="C2619" s="58">
        <v>2011</v>
      </c>
      <c r="D2619" s="58" t="s">
        <v>72</v>
      </c>
      <c r="E2619" s="58">
        <v>5</v>
      </c>
      <c r="F2619" s="59" t="s">
        <v>2181</v>
      </c>
      <c r="G2619" s="58"/>
      <c r="H2619" s="60"/>
      <c r="I2619" s="61"/>
    </row>
    <row r="2620" spans="2:9" x14ac:dyDescent="0.2">
      <c r="B2620" s="62" t="str">
        <f t="shared" si="53"/>
        <v>2011-042-0</v>
      </c>
      <c r="C2620" s="63">
        <v>2011</v>
      </c>
      <c r="D2620" s="63" t="s">
        <v>73</v>
      </c>
      <c r="E2620" s="63">
        <v>0</v>
      </c>
      <c r="F2620" s="64" t="s">
        <v>391</v>
      </c>
      <c r="G2620" s="63"/>
      <c r="H2620" s="65"/>
      <c r="I2620" s="66"/>
    </row>
    <row r="2621" spans="2:9" x14ac:dyDescent="0.2">
      <c r="B2621" s="51" t="str">
        <f t="shared" si="53"/>
        <v>2011-042-1</v>
      </c>
      <c r="C2621" s="52">
        <v>2011</v>
      </c>
      <c r="D2621" s="52" t="s">
        <v>73</v>
      </c>
      <c r="E2621" s="52">
        <v>1</v>
      </c>
      <c r="F2621" s="54" t="s">
        <v>780</v>
      </c>
      <c r="G2621" s="52"/>
      <c r="H2621" s="55"/>
      <c r="I2621" s="56"/>
    </row>
    <row r="2622" spans="2:9" x14ac:dyDescent="0.2">
      <c r="B2622" s="51" t="str">
        <f t="shared" si="53"/>
        <v>2011-042-2</v>
      </c>
      <c r="C2622" s="52">
        <v>2011</v>
      </c>
      <c r="D2622" s="52" t="s">
        <v>73</v>
      </c>
      <c r="E2622" s="52">
        <v>2</v>
      </c>
      <c r="F2622" s="54" t="s">
        <v>1173</v>
      </c>
      <c r="G2622" s="52" t="s">
        <v>3391</v>
      </c>
      <c r="H2622" s="55"/>
      <c r="I2622" s="56"/>
    </row>
    <row r="2623" spans="2:9" x14ac:dyDescent="0.2">
      <c r="B2623" s="51" t="str">
        <f t="shared" si="53"/>
        <v>2011-042-3</v>
      </c>
      <c r="C2623" s="52">
        <v>2011</v>
      </c>
      <c r="D2623" s="52" t="s">
        <v>73</v>
      </c>
      <c r="E2623" s="52">
        <v>3</v>
      </c>
      <c r="F2623" s="54" t="s">
        <v>1555</v>
      </c>
      <c r="G2623" s="52"/>
      <c r="H2623" s="55"/>
      <c r="I2623" s="56"/>
    </row>
    <row r="2624" spans="2:9" x14ac:dyDescent="0.2">
      <c r="B2624" s="51" t="str">
        <f t="shared" si="53"/>
        <v>2011-042-4</v>
      </c>
      <c r="C2624" s="52">
        <v>2011</v>
      </c>
      <c r="D2624" s="52" t="s">
        <v>73</v>
      </c>
      <c r="E2624" s="52">
        <v>4</v>
      </c>
      <c r="F2624" s="54" t="s">
        <v>1913</v>
      </c>
      <c r="G2624" s="52"/>
      <c r="H2624" s="55"/>
      <c r="I2624" s="56"/>
    </row>
    <row r="2625" spans="2:9" x14ac:dyDescent="0.2">
      <c r="B2625" s="57" t="str">
        <f t="shared" si="53"/>
        <v>2011-042-5</v>
      </c>
      <c r="C2625" s="58">
        <v>2011</v>
      </c>
      <c r="D2625" s="58" t="s">
        <v>73</v>
      </c>
      <c r="E2625" s="58">
        <v>5</v>
      </c>
      <c r="F2625" s="59" t="s">
        <v>2273</v>
      </c>
      <c r="G2625" s="58"/>
      <c r="H2625" s="60"/>
      <c r="I2625" s="61"/>
    </row>
    <row r="2626" spans="2:9" x14ac:dyDescent="0.2">
      <c r="B2626" s="62" t="str">
        <f t="shared" si="53"/>
        <v>2011-043-0</v>
      </c>
      <c r="C2626" s="63">
        <v>2011</v>
      </c>
      <c r="D2626" s="63" t="s">
        <v>74</v>
      </c>
      <c r="E2626" s="63">
        <v>0</v>
      </c>
      <c r="F2626" s="64" t="s">
        <v>392</v>
      </c>
      <c r="G2626" s="63"/>
      <c r="H2626" s="65"/>
      <c r="I2626" s="66"/>
    </row>
    <row r="2627" spans="2:9" x14ac:dyDescent="0.2">
      <c r="B2627" s="51" t="str">
        <f t="shared" si="53"/>
        <v>2011-043-1</v>
      </c>
      <c r="C2627" s="52">
        <v>2011</v>
      </c>
      <c r="D2627" s="52" t="s">
        <v>74</v>
      </c>
      <c r="E2627" s="52">
        <v>1</v>
      </c>
      <c r="F2627" s="54" t="s">
        <v>781</v>
      </c>
      <c r="G2627" s="52"/>
      <c r="H2627" s="55"/>
      <c r="I2627" s="56"/>
    </row>
    <row r="2628" spans="2:9" x14ac:dyDescent="0.2">
      <c r="B2628" s="51" t="str">
        <f t="shared" si="53"/>
        <v>2011-043-2</v>
      </c>
      <c r="C2628" s="52">
        <v>2011</v>
      </c>
      <c r="D2628" s="52" t="s">
        <v>74</v>
      </c>
      <c r="E2628" s="52">
        <v>2</v>
      </c>
      <c r="F2628" s="54" t="s">
        <v>1174</v>
      </c>
      <c r="G2628" s="52"/>
      <c r="H2628" s="55"/>
      <c r="I2628" s="56"/>
    </row>
    <row r="2629" spans="2:9" x14ac:dyDescent="0.2">
      <c r="B2629" s="51" t="str">
        <f t="shared" si="53"/>
        <v>2011-043-3</v>
      </c>
      <c r="C2629" s="52">
        <v>2011</v>
      </c>
      <c r="D2629" s="52" t="s">
        <v>74</v>
      </c>
      <c r="E2629" s="52">
        <v>3</v>
      </c>
      <c r="F2629" s="54" t="s">
        <v>1556</v>
      </c>
      <c r="G2629" s="52"/>
      <c r="H2629" s="55"/>
      <c r="I2629" s="56"/>
    </row>
    <row r="2630" spans="2:9" ht="27" x14ac:dyDescent="0.2">
      <c r="B2630" s="51" t="str">
        <f t="shared" si="53"/>
        <v>2011-043-4</v>
      </c>
      <c r="C2630" s="52">
        <v>2011</v>
      </c>
      <c r="D2630" s="52" t="s">
        <v>74</v>
      </c>
      <c r="E2630" s="52">
        <v>4</v>
      </c>
      <c r="F2630" s="54" t="s">
        <v>1914</v>
      </c>
      <c r="G2630" s="52" t="s">
        <v>3391</v>
      </c>
      <c r="H2630" s="55"/>
      <c r="I2630" s="56"/>
    </row>
    <row r="2631" spans="2:9" ht="27" x14ac:dyDescent="0.2">
      <c r="B2631" s="57" t="str">
        <f t="shared" si="53"/>
        <v>2011-043-5</v>
      </c>
      <c r="C2631" s="58">
        <v>2011</v>
      </c>
      <c r="D2631" s="58" t="s">
        <v>74</v>
      </c>
      <c r="E2631" s="58">
        <v>5</v>
      </c>
      <c r="F2631" s="59" t="s">
        <v>2274</v>
      </c>
      <c r="G2631" s="58"/>
      <c r="H2631" s="60"/>
      <c r="I2631" s="61"/>
    </row>
    <row r="2632" spans="2:9" ht="27" x14ac:dyDescent="0.2">
      <c r="B2632" s="62" t="str">
        <f t="shared" si="53"/>
        <v>2011-044-0</v>
      </c>
      <c r="C2632" s="63">
        <v>2011</v>
      </c>
      <c r="D2632" s="63" t="s">
        <v>75</v>
      </c>
      <c r="E2632" s="63">
        <v>0</v>
      </c>
      <c r="F2632" s="64" t="s">
        <v>393</v>
      </c>
      <c r="G2632" s="63"/>
      <c r="H2632" s="65"/>
      <c r="I2632" s="66"/>
    </row>
    <row r="2633" spans="2:9" x14ac:dyDescent="0.2">
      <c r="B2633" s="51" t="str">
        <f t="shared" si="53"/>
        <v>2011-044-1</v>
      </c>
      <c r="C2633" s="52">
        <v>2011</v>
      </c>
      <c r="D2633" s="52" t="s">
        <v>75</v>
      </c>
      <c r="E2633" s="52">
        <v>1</v>
      </c>
      <c r="F2633" s="54" t="s">
        <v>782</v>
      </c>
      <c r="G2633" s="52"/>
      <c r="H2633" s="55"/>
      <c r="I2633" s="56"/>
    </row>
    <row r="2634" spans="2:9" ht="27" x14ac:dyDescent="0.2">
      <c r="B2634" s="51" t="str">
        <f t="shared" si="53"/>
        <v>2011-044-2</v>
      </c>
      <c r="C2634" s="52">
        <v>2011</v>
      </c>
      <c r="D2634" s="52" t="s">
        <v>75</v>
      </c>
      <c r="E2634" s="52">
        <v>2</v>
      </c>
      <c r="F2634" s="54" t="s">
        <v>1175</v>
      </c>
      <c r="G2634" s="52"/>
      <c r="H2634" s="55"/>
      <c r="I2634" s="56"/>
    </row>
    <row r="2635" spans="2:9" ht="27" x14ac:dyDescent="0.2">
      <c r="B2635" s="51" t="str">
        <f t="shared" si="53"/>
        <v>2011-044-3</v>
      </c>
      <c r="C2635" s="52">
        <v>2011</v>
      </c>
      <c r="D2635" s="52" t="s">
        <v>75</v>
      </c>
      <c r="E2635" s="52">
        <v>3</v>
      </c>
      <c r="F2635" s="54" t="s">
        <v>1557</v>
      </c>
      <c r="G2635" s="52" t="s">
        <v>3391</v>
      </c>
      <c r="H2635" s="55"/>
      <c r="I2635" s="56"/>
    </row>
    <row r="2636" spans="2:9" x14ac:dyDescent="0.2">
      <c r="B2636" s="51" t="str">
        <f t="shared" si="53"/>
        <v>2011-044-4</v>
      </c>
      <c r="C2636" s="52">
        <v>2011</v>
      </c>
      <c r="D2636" s="52" t="s">
        <v>75</v>
      </c>
      <c r="E2636" s="52">
        <v>4</v>
      </c>
      <c r="F2636" s="54" t="s">
        <v>1915</v>
      </c>
      <c r="G2636" s="52"/>
      <c r="H2636" s="55"/>
      <c r="I2636" s="56"/>
    </row>
    <row r="2637" spans="2:9" x14ac:dyDescent="0.2">
      <c r="B2637" s="57" t="str">
        <f t="shared" si="53"/>
        <v>2011-044-5</v>
      </c>
      <c r="C2637" s="58">
        <v>2011</v>
      </c>
      <c r="D2637" s="58" t="s">
        <v>75</v>
      </c>
      <c r="E2637" s="58">
        <v>5</v>
      </c>
      <c r="F2637" s="59" t="s">
        <v>2275</v>
      </c>
      <c r="G2637" s="58"/>
      <c r="H2637" s="60"/>
      <c r="I2637" s="61"/>
    </row>
    <row r="2638" spans="2:9" x14ac:dyDescent="0.2">
      <c r="B2638" s="62" t="str">
        <f t="shared" si="53"/>
        <v>2011-045-0</v>
      </c>
      <c r="C2638" s="63">
        <v>2011</v>
      </c>
      <c r="D2638" s="63" t="s">
        <v>76</v>
      </c>
      <c r="E2638" s="63">
        <v>0</v>
      </c>
      <c r="F2638" s="64" t="s">
        <v>371</v>
      </c>
      <c r="G2638" s="63"/>
      <c r="H2638" s="65"/>
      <c r="I2638" s="66"/>
    </row>
    <row r="2639" spans="2:9" ht="27" x14ac:dyDescent="0.2">
      <c r="B2639" s="51" t="str">
        <f t="shared" si="53"/>
        <v>2011-045-1</v>
      </c>
      <c r="C2639" s="52">
        <v>2011</v>
      </c>
      <c r="D2639" s="52" t="s">
        <v>76</v>
      </c>
      <c r="E2639" s="52">
        <v>1</v>
      </c>
      <c r="F2639" s="54" t="s">
        <v>783</v>
      </c>
      <c r="G2639" s="52"/>
      <c r="H2639" s="55"/>
      <c r="I2639" s="56"/>
    </row>
    <row r="2640" spans="2:9" ht="27" x14ac:dyDescent="0.2">
      <c r="B2640" s="51" t="str">
        <f t="shared" si="53"/>
        <v>2011-045-2</v>
      </c>
      <c r="C2640" s="52">
        <v>2011</v>
      </c>
      <c r="D2640" s="52" t="s">
        <v>76</v>
      </c>
      <c r="E2640" s="52">
        <v>2</v>
      </c>
      <c r="F2640" s="54" t="s">
        <v>1176</v>
      </c>
      <c r="G2640" s="52" t="s">
        <v>3391</v>
      </c>
      <c r="H2640" s="55"/>
      <c r="I2640" s="56"/>
    </row>
    <row r="2641" spans="2:9" ht="40.5" x14ac:dyDescent="0.2">
      <c r="B2641" s="51" t="str">
        <f t="shared" si="53"/>
        <v>2011-045-3</v>
      </c>
      <c r="C2641" s="52">
        <v>2011</v>
      </c>
      <c r="D2641" s="52" t="s">
        <v>76</v>
      </c>
      <c r="E2641" s="52">
        <v>3</v>
      </c>
      <c r="F2641" s="54" t="s">
        <v>1558</v>
      </c>
      <c r="G2641" s="52"/>
      <c r="H2641" s="55"/>
      <c r="I2641" s="56"/>
    </row>
    <row r="2642" spans="2:9" x14ac:dyDescent="0.2">
      <c r="B2642" s="51" t="str">
        <f t="shared" si="53"/>
        <v>2011-045-4</v>
      </c>
      <c r="C2642" s="52">
        <v>2011</v>
      </c>
      <c r="D2642" s="52" t="s">
        <v>76</v>
      </c>
      <c r="E2642" s="52">
        <v>4</v>
      </c>
      <c r="F2642" s="54" t="s">
        <v>1916</v>
      </c>
      <c r="G2642" s="52"/>
      <c r="H2642" s="55"/>
      <c r="I2642" s="56"/>
    </row>
    <row r="2643" spans="2:9" x14ac:dyDescent="0.2">
      <c r="B2643" s="57" t="str">
        <f t="shared" si="53"/>
        <v>2011-045-5</v>
      </c>
      <c r="C2643" s="58">
        <v>2011</v>
      </c>
      <c r="D2643" s="58" t="s">
        <v>76</v>
      </c>
      <c r="E2643" s="58">
        <v>5</v>
      </c>
      <c r="F2643" s="59" t="s">
        <v>2250</v>
      </c>
      <c r="G2643" s="58"/>
      <c r="H2643" s="60"/>
      <c r="I2643" s="61"/>
    </row>
    <row r="2644" spans="2:9" x14ac:dyDescent="0.2">
      <c r="B2644" s="62" t="str">
        <f t="shared" si="53"/>
        <v>2011-046-0</v>
      </c>
      <c r="C2644" s="63">
        <v>2011</v>
      </c>
      <c r="D2644" s="63" t="s">
        <v>77</v>
      </c>
      <c r="E2644" s="63">
        <v>0</v>
      </c>
      <c r="F2644" s="64" t="s">
        <v>394</v>
      </c>
      <c r="G2644" s="63"/>
      <c r="H2644" s="65"/>
      <c r="I2644" s="66"/>
    </row>
    <row r="2645" spans="2:9" x14ac:dyDescent="0.2">
      <c r="B2645" s="51" t="str">
        <f t="shared" si="53"/>
        <v>2011-046-1</v>
      </c>
      <c r="C2645" s="52">
        <v>2011</v>
      </c>
      <c r="D2645" s="52" t="s">
        <v>77</v>
      </c>
      <c r="E2645" s="52">
        <v>1</v>
      </c>
      <c r="F2645" s="54" t="s">
        <v>784</v>
      </c>
      <c r="G2645" s="52"/>
      <c r="H2645" s="55"/>
      <c r="I2645" s="56"/>
    </row>
    <row r="2646" spans="2:9" ht="27" x14ac:dyDescent="0.2">
      <c r="B2646" s="51" t="str">
        <f t="shared" si="53"/>
        <v>2011-046-2</v>
      </c>
      <c r="C2646" s="52">
        <v>2011</v>
      </c>
      <c r="D2646" s="52" t="s">
        <v>77</v>
      </c>
      <c r="E2646" s="52">
        <v>2</v>
      </c>
      <c r="F2646" s="54" t="s">
        <v>1177</v>
      </c>
      <c r="G2646" s="52"/>
      <c r="H2646" s="55"/>
      <c r="I2646" s="56"/>
    </row>
    <row r="2647" spans="2:9" ht="27" x14ac:dyDescent="0.2">
      <c r="B2647" s="51" t="str">
        <f t="shared" si="53"/>
        <v>2011-046-3</v>
      </c>
      <c r="C2647" s="52">
        <v>2011</v>
      </c>
      <c r="D2647" s="52" t="s">
        <v>77</v>
      </c>
      <c r="E2647" s="52">
        <v>3</v>
      </c>
      <c r="F2647" s="54" t="s">
        <v>1559</v>
      </c>
      <c r="G2647" s="52"/>
      <c r="H2647" s="55"/>
      <c r="I2647" s="56"/>
    </row>
    <row r="2648" spans="2:9" ht="27" x14ac:dyDescent="0.2">
      <c r="B2648" s="51" t="str">
        <f t="shared" si="53"/>
        <v>2011-046-4</v>
      </c>
      <c r="C2648" s="52">
        <v>2011</v>
      </c>
      <c r="D2648" s="52" t="s">
        <v>77</v>
      </c>
      <c r="E2648" s="52">
        <v>4</v>
      </c>
      <c r="F2648" s="54" t="s">
        <v>674</v>
      </c>
      <c r="G2648" s="52" t="s">
        <v>3391</v>
      </c>
      <c r="H2648" s="55"/>
      <c r="I2648" s="56"/>
    </row>
    <row r="2649" spans="2:9" x14ac:dyDescent="0.2">
      <c r="B2649" s="57" t="str">
        <f t="shared" si="53"/>
        <v>2011-046-5</v>
      </c>
      <c r="C2649" s="58">
        <v>2011</v>
      </c>
      <c r="D2649" s="58" t="s">
        <v>77</v>
      </c>
      <c r="E2649" s="58">
        <v>5</v>
      </c>
      <c r="F2649" s="59" t="s">
        <v>2066</v>
      </c>
      <c r="G2649" s="58"/>
      <c r="H2649" s="60"/>
      <c r="I2649" s="61"/>
    </row>
    <row r="2650" spans="2:9" x14ac:dyDescent="0.2">
      <c r="B2650" s="62" t="str">
        <f t="shared" si="53"/>
        <v>2011-047-0</v>
      </c>
      <c r="C2650" s="63">
        <v>2011</v>
      </c>
      <c r="D2650" s="63" t="s">
        <v>78</v>
      </c>
      <c r="E2650" s="63">
        <v>0</v>
      </c>
      <c r="F2650" s="64" t="s">
        <v>395</v>
      </c>
      <c r="G2650" s="63"/>
      <c r="H2650" s="65"/>
      <c r="I2650" s="66"/>
    </row>
    <row r="2651" spans="2:9" x14ac:dyDescent="0.2">
      <c r="B2651" s="51" t="str">
        <f t="shared" si="53"/>
        <v>2011-047-1</v>
      </c>
      <c r="C2651" s="52">
        <v>2011</v>
      </c>
      <c r="D2651" s="52" t="s">
        <v>78</v>
      </c>
      <c r="E2651" s="52">
        <v>1</v>
      </c>
      <c r="F2651" s="54" t="s">
        <v>785</v>
      </c>
      <c r="G2651" s="52"/>
      <c r="H2651" s="55"/>
      <c r="I2651" s="56"/>
    </row>
    <row r="2652" spans="2:9" x14ac:dyDescent="0.2">
      <c r="B2652" s="51" t="str">
        <f t="shared" si="53"/>
        <v>2011-047-2</v>
      </c>
      <c r="C2652" s="52">
        <v>2011</v>
      </c>
      <c r="D2652" s="52" t="s">
        <v>78</v>
      </c>
      <c r="E2652" s="52">
        <v>2</v>
      </c>
      <c r="F2652" s="54" t="s">
        <v>1178</v>
      </c>
      <c r="G2652" s="52"/>
      <c r="H2652" s="55"/>
      <c r="I2652" s="56"/>
    </row>
    <row r="2653" spans="2:9" ht="27" x14ac:dyDescent="0.2">
      <c r="B2653" s="51" t="str">
        <f t="shared" si="53"/>
        <v>2011-047-3</v>
      </c>
      <c r="C2653" s="52">
        <v>2011</v>
      </c>
      <c r="D2653" s="52" t="s">
        <v>78</v>
      </c>
      <c r="E2653" s="52">
        <v>3</v>
      </c>
      <c r="F2653" s="54" t="s">
        <v>1560</v>
      </c>
      <c r="G2653" s="52"/>
      <c r="H2653" s="55"/>
      <c r="I2653" s="56"/>
    </row>
    <row r="2654" spans="2:9" x14ac:dyDescent="0.2">
      <c r="B2654" s="51" t="str">
        <f t="shared" si="53"/>
        <v>2011-047-4</v>
      </c>
      <c r="C2654" s="52">
        <v>2011</v>
      </c>
      <c r="D2654" s="52" t="s">
        <v>78</v>
      </c>
      <c r="E2654" s="52">
        <v>4</v>
      </c>
      <c r="F2654" s="54" t="s">
        <v>1917</v>
      </c>
      <c r="G2654" s="52"/>
      <c r="H2654" s="55"/>
      <c r="I2654" s="56"/>
    </row>
    <row r="2655" spans="2:9" x14ac:dyDescent="0.2">
      <c r="B2655" s="57" t="str">
        <f t="shared" si="53"/>
        <v>2011-047-5</v>
      </c>
      <c r="C2655" s="58">
        <v>2011</v>
      </c>
      <c r="D2655" s="58" t="s">
        <v>78</v>
      </c>
      <c r="E2655" s="58">
        <v>5</v>
      </c>
      <c r="F2655" s="59" t="s">
        <v>2276</v>
      </c>
      <c r="G2655" s="58" t="s">
        <v>3391</v>
      </c>
      <c r="H2655" s="60"/>
      <c r="I2655" s="61"/>
    </row>
    <row r="2656" spans="2:9" x14ac:dyDescent="0.2">
      <c r="B2656" s="62" t="str">
        <f t="shared" si="53"/>
        <v>2011-048-0</v>
      </c>
      <c r="C2656" s="63">
        <v>2011</v>
      </c>
      <c r="D2656" s="63" t="s">
        <v>79</v>
      </c>
      <c r="E2656" s="63">
        <v>0</v>
      </c>
      <c r="F2656" s="64" t="s">
        <v>396</v>
      </c>
      <c r="G2656" s="63"/>
      <c r="H2656" s="65"/>
      <c r="I2656" s="66"/>
    </row>
    <row r="2657" spans="2:9" x14ac:dyDescent="0.2">
      <c r="B2657" s="51" t="str">
        <f t="shared" si="53"/>
        <v>2011-048-1</v>
      </c>
      <c r="C2657" s="52">
        <v>2011</v>
      </c>
      <c r="D2657" s="52" t="s">
        <v>79</v>
      </c>
      <c r="E2657" s="52">
        <v>1</v>
      </c>
      <c r="F2657" s="54" t="s">
        <v>786</v>
      </c>
      <c r="G2657" s="52"/>
      <c r="H2657" s="55"/>
      <c r="I2657" s="56"/>
    </row>
    <row r="2658" spans="2:9" x14ac:dyDescent="0.2">
      <c r="B2658" s="51" t="str">
        <f t="shared" si="53"/>
        <v>2011-048-2</v>
      </c>
      <c r="C2658" s="52">
        <v>2011</v>
      </c>
      <c r="D2658" s="52" t="s">
        <v>79</v>
      </c>
      <c r="E2658" s="52">
        <v>2</v>
      </c>
      <c r="F2658" s="54" t="s">
        <v>1179</v>
      </c>
      <c r="G2658" s="52"/>
      <c r="H2658" s="55"/>
      <c r="I2658" s="56"/>
    </row>
    <row r="2659" spans="2:9" x14ac:dyDescent="0.2">
      <c r="B2659" s="51" t="str">
        <f t="shared" si="53"/>
        <v>2011-048-3</v>
      </c>
      <c r="C2659" s="52">
        <v>2011</v>
      </c>
      <c r="D2659" s="52" t="s">
        <v>79</v>
      </c>
      <c r="E2659" s="52">
        <v>3</v>
      </c>
      <c r="F2659" s="54" t="s">
        <v>1561</v>
      </c>
      <c r="G2659" s="52"/>
      <c r="H2659" s="55"/>
      <c r="I2659" s="56"/>
    </row>
    <row r="2660" spans="2:9" x14ac:dyDescent="0.2">
      <c r="B2660" s="51" t="str">
        <f t="shared" si="53"/>
        <v>2011-048-4</v>
      </c>
      <c r="C2660" s="52">
        <v>2011</v>
      </c>
      <c r="D2660" s="52" t="s">
        <v>79</v>
      </c>
      <c r="E2660" s="52">
        <v>4</v>
      </c>
      <c r="F2660" s="54" t="s">
        <v>1918</v>
      </c>
      <c r="G2660" s="52"/>
      <c r="H2660" s="55"/>
      <c r="I2660" s="56"/>
    </row>
    <row r="2661" spans="2:9" x14ac:dyDescent="0.2">
      <c r="B2661" s="57" t="str">
        <f t="shared" si="53"/>
        <v>2011-048-5</v>
      </c>
      <c r="C2661" s="58">
        <v>2011</v>
      </c>
      <c r="D2661" s="58" t="s">
        <v>79</v>
      </c>
      <c r="E2661" s="58">
        <v>5</v>
      </c>
      <c r="F2661" s="59" t="s">
        <v>2277</v>
      </c>
      <c r="G2661" s="58" t="s">
        <v>3391</v>
      </c>
      <c r="H2661" s="60"/>
      <c r="I2661" s="61"/>
    </row>
    <row r="2662" spans="2:9" x14ac:dyDescent="0.2">
      <c r="B2662" s="62" t="str">
        <f t="shared" si="53"/>
        <v>2011-049-0</v>
      </c>
      <c r="C2662" s="63">
        <v>2011</v>
      </c>
      <c r="D2662" s="63" t="s">
        <v>80</v>
      </c>
      <c r="E2662" s="63">
        <v>0</v>
      </c>
      <c r="F2662" s="64" t="s">
        <v>397</v>
      </c>
      <c r="G2662" s="63"/>
      <c r="H2662" s="65"/>
      <c r="I2662" s="66"/>
    </row>
    <row r="2663" spans="2:9" x14ac:dyDescent="0.2">
      <c r="B2663" s="51" t="str">
        <f t="shared" si="53"/>
        <v>2011-049-1</v>
      </c>
      <c r="C2663" s="52">
        <v>2011</v>
      </c>
      <c r="D2663" s="52" t="s">
        <v>80</v>
      </c>
      <c r="E2663" s="52">
        <v>1</v>
      </c>
      <c r="F2663" s="54" t="s">
        <v>787</v>
      </c>
      <c r="G2663" s="52" t="s">
        <v>3391</v>
      </c>
      <c r="H2663" s="55"/>
      <c r="I2663" s="56"/>
    </row>
    <row r="2664" spans="2:9" x14ac:dyDescent="0.2">
      <c r="B2664" s="51" t="str">
        <f t="shared" si="53"/>
        <v>2011-049-2</v>
      </c>
      <c r="C2664" s="52">
        <v>2011</v>
      </c>
      <c r="D2664" s="52" t="s">
        <v>80</v>
      </c>
      <c r="E2664" s="52">
        <v>2</v>
      </c>
      <c r="F2664" s="54" t="s">
        <v>1180</v>
      </c>
      <c r="G2664" s="52"/>
      <c r="H2664" s="55"/>
      <c r="I2664" s="56"/>
    </row>
    <row r="2665" spans="2:9" x14ac:dyDescent="0.2">
      <c r="B2665" s="51" t="str">
        <f t="shared" si="53"/>
        <v>2011-049-3</v>
      </c>
      <c r="C2665" s="52">
        <v>2011</v>
      </c>
      <c r="D2665" s="52" t="s">
        <v>80</v>
      </c>
      <c r="E2665" s="52">
        <v>3</v>
      </c>
      <c r="F2665" s="54" t="s">
        <v>1562</v>
      </c>
      <c r="G2665" s="52"/>
      <c r="H2665" s="55"/>
      <c r="I2665" s="56"/>
    </row>
    <row r="2666" spans="2:9" x14ac:dyDescent="0.2">
      <c r="B2666" s="51" t="str">
        <f t="shared" si="53"/>
        <v>2011-049-4</v>
      </c>
      <c r="C2666" s="52">
        <v>2011</v>
      </c>
      <c r="D2666" s="52" t="s">
        <v>80</v>
      </c>
      <c r="E2666" s="52">
        <v>4</v>
      </c>
      <c r="F2666" s="54" t="s">
        <v>1919</v>
      </c>
      <c r="G2666" s="52"/>
      <c r="H2666" s="55"/>
      <c r="I2666" s="56"/>
    </row>
    <row r="2667" spans="2:9" x14ac:dyDescent="0.2">
      <c r="B2667" s="57" t="str">
        <f t="shared" si="53"/>
        <v>2011-049-5</v>
      </c>
      <c r="C2667" s="58">
        <v>2011</v>
      </c>
      <c r="D2667" s="58" t="s">
        <v>80</v>
      </c>
      <c r="E2667" s="58">
        <v>5</v>
      </c>
      <c r="F2667" s="59" t="s">
        <v>2278</v>
      </c>
      <c r="G2667" s="58"/>
      <c r="H2667" s="60"/>
      <c r="I2667" s="61"/>
    </row>
    <row r="2668" spans="2:9" x14ac:dyDescent="0.2">
      <c r="B2668" s="62" t="str">
        <f t="shared" si="53"/>
        <v>2011-050-0</v>
      </c>
      <c r="C2668" s="63">
        <v>2011</v>
      </c>
      <c r="D2668" s="63" t="s">
        <v>81</v>
      </c>
      <c r="E2668" s="63">
        <v>0</v>
      </c>
      <c r="F2668" s="64" t="s">
        <v>398</v>
      </c>
      <c r="G2668" s="63"/>
      <c r="H2668" s="65"/>
      <c r="I2668" s="66"/>
    </row>
    <row r="2669" spans="2:9" x14ac:dyDescent="0.2">
      <c r="B2669" s="51" t="str">
        <f t="shared" ref="B2669:B2673" si="54">C2669&amp;"-"&amp;D2669&amp;"-"&amp;E2669</f>
        <v>2011-050-1</v>
      </c>
      <c r="C2669" s="52">
        <v>2011</v>
      </c>
      <c r="D2669" s="52" t="s">
        <v>81</v>
      </c>
      <c r="E2669" s="52">
        <v>1</v>
      </c>
      <c r="F2669" s="54" t="s">
        <v>788</v>
      </c>
      <c r="G2669" s="52"/>
      <c r="H2669" s="55"/>
      <c r="I2669" s="56"/>
    </row>
    <row r="2670" spans="2:9" x14ac:dyDescent="0.2">
      <c r="B2670" s="51" t="str">
        <f t="shared" si="54"/>
        <v>2011-050-2</v>
      </c>
      <c r="C2670" s="52">
        <v>2011</v>
      </c>
      <c r="D2670" s="52" t="s">
        <v>81</v>
      </c>
      <c r="E2670" s="52">
        <v>2</v>
      </c>
      <c r="F2670" s="54" t="s">
        <v>1181</v>
      </c>
      <c r="G2670" s="52" t="s">
        <v>3391</v>
      </c>
      <c r="H2670" s="55"/>
      <c r="I2670" s="56"/>
    </row>
    <row r="2671" spans="2:9" x14ac:dyDescent="0.2">
      <c r="B2671" s="51" t="str">
        <f t="shared" si="54"/>
        <v>2011-050-3</v>
      </c>
      <c r="C2671" s="52">
        <v>2011</v>
      </c>
      <c r="D2671" s="52" t="s">
        <v>81</v>
      </c>
      <c r="E2671" s="52">
        <v>3</v>
      </c>
      <c r="F2671" s="54" t="s">
        <v>1563</v>
      </c>
      <c r="G2671" s="52"/>
      <c r="H2671" s="55"/>
      <c r="I2671" s="56"/>
    </row>
    <row r="2672" spans="2:9" x14ac:dyDescent="0.2">
      <c r="B2672" s="51" t="str">
        <f t="shared" si="54"/>
        <v>2011-050-4</v>
      </c>
      <c r="C2672" s="52">
        <v>2011</v>
      </c>
      <c r="D2672" s="52" t="s">
        <v>81</v>
      </c>
      <c r="E2672" s="52">
        <v>4</v>
      </c>
      <c r="F2672" s="54" t="s">
        <v>1920</v>
      </c>
      <c r="G2672" s="52"/>
      <c r="H2672" s="55"/>
      <c r="I2672" s="56"/>
    </row>
    <row r="2673" spans="2:9" ht="14.25" thickBot="1" x14ac:dyDescent="0.25">
      <c r="B2673" s="67" t="str">
        <f t="shared" si="54"/>
        <v>2011-050-5</v>
      </c>
      <c r="C2673" s="68">
        <v>2011</v>
      </c>
      <c r="D2673" s="68" t="s">
        <v>81</v>
      </c>
      <c r="E2673" s="68">
        <v>5</v>
      </c>
      <c r="F2673" s="69" t="s">
        <v>1820</v>
      </c>
      <c r="G2673" s="68"/>
      <c r="H2673" s="70"/>
      <c r="I2673" s="71"/>
    </row>
    <row r="2674" spans="2:9" x14ac:dyDescent="0.2">
      <c r="B2674" s="45" t="str">
        <f t="shared" ref="B2674:B2706" si="55">C2674&amp;"-"&amp;D2674&amp;"-"&amp;E2674</f>
        <v>2010-026-0</v>
      </c>
      <c r="C2674" s="46">
        <v>2010</v>
      </c>
      <c r="D2674" s="46" t="s">
        <v>4</v>
      </c>
      <c r="E2674" s="46">
        <v>0</v>
      </c>
      <c r="F2674" s="48" t="s">
        <v>399</v>
      </c>
      <c r="G2674" s="46"/>
      <c r="H2674" s="49"/>
      <c r="I2674" s="50"/>
    </row>
    <row r="2675" spans="2:9" x14ac:dyDescent="0.2">
      <c r="B2675" s="51" t="str">
        <f t="shared" si="55"/>
        <v>2010-026-1</v>
      </c>
      <c r="C2675" s="52">
        <v>2010</v>
      </c>
      <c r="D2675" s="52" t="s">
        <v>4</v>
      </c>
      <c r="E2675" s="52">
        <v>1</v>
      </c>
      <c r="F2675" s="54" t="s">
        <v>789</v>
      </c>
      <c r="G2675" s="52"/>
      <c r="H2675" s="55"/>
      <c r="I2675" s="56"/>
    </row>
    <row r="2676" spans="2:9" x14ac:dyDescent="0.2">
      <c r="B2676" s="51" t="str">
        <f t="shared" si="55"/>
        <v>2010-026-2</v>
      </c>
      <c r="C2676" s="52">
        <v>2010</v>
      </c>
      <c r="D2676" s="52" t="s">
        <v>4</v>
      </c>
      <c r="E2676" s="52">
        <v>2</v>
      </c>
      <c r="F2676" s="54" t="s">
        <v>1182</v>
      </c>
      <c r="G2676" s="52"/>
      <c r="H2676" s="55"/>
      <c r="I2676" s="56"/>
    </row>
    <row r="2677" spans="2:9" x14ac:dyDescent="0.2">
      <c r="B2677" s="51" t="str">
        <f t="shared" si="55"/>
        <v>2010-026-3</v>
      </c>
      <c r="C2677" s="52">
        <v>2010</v>
      </c>
      <c r="D2677" s="52" t="s">
        <v>4</v>
      </c>
      <c r="E2677" s="52">
        <v>3</v>
      </c>
      <c r="F2677" s="54" t="s">
        <v>1564</v>
      </c>
      <c r="G2677" s="52"/>
      <c r="H2677" s="55"/>
      <c r="I2677" s="56"/>
    </row>
    <row r="2678" spans="2:9" ht="27" x14ac:dyDescent="0.2">
      <c r="B2678" s="51" t="str">
        <f t="shared" si="55"/>
        <v>2010-026-4</v>
      </c>
      <c r="C2678" s="52">
        <v>2010</v>
      </c>
      <c r="D2678" s="52" t="s">
        <v>4</v>
      </c>
      <c r="E2678" s="52">
        <v>4</v>
      </c>
      <c r="F2678" s="54" t="s">
        <v>1921</v>
      </c>
      <c r="G2678" s="52"/>
      <c r="H2678" s="55"/>
      <c r="I2678" s="56"/>
    </row>
    <row r="2679" spans="2:9" ht="27" x14ac:dyDescent="0.2">
      <c r="B2679" s="57" t="str">
        <f t="shared" si="55"/>
        <v>2010-026-5</v>
      </c>
      <c r="C2679" s="58">
        <v>2010</v>
      </c>
      <c r="D2679" s="58" t="s">
        <v>4</v>
      </c>
      <c r="E2679" s="58">
        <v>5</v>
      </c>
      <c r="F2679" s="59" t="s">
        <v>2279</v>
      </c>
      <c r="G2679" s="58" t="s">
        <v>3391</v>
      </c>
      <c r="H2679" s="60"/>
      <c r="I2679" s="61"/>
    </row>
    <row r="2680" spans="2:9" x14ac:dyDescent="0.2">
      <c r="B2680" s="62" t="str">
        <f t="shared" si="55"/>
        <v>2010-027-0</v>
      </c>
      <c r="C2680" s="63">
        <v>2010</v>
      </c>
      <c r="D2680" s="63" t="s">
        <v>5</v>
      </c>
      <c r="E2680" s="63">
        <v>0</v>
      </c>
      <c r="F2680" s="64" t="s">
        <v>400</v>
      </c>
      <c r="G2680" s="63"/>
      <c r="H2680" s="65"/>
      <c r="I2680" s="66"/>
    </row>
    <row r="2681" spans="2:9" x14ac:dyDescent="0.2">
      <c r="B2681" s="51" t="str">
        <f t="shared" si="55"/>
        <v>2010-027-1</v>
      </c>
      <c r="C2681" s="52">
        <v>2010</v>
      </c>
      <c r="D2681" s="52" t="s">
        <v>5</v>
      </c>
      <c r="E2681" s="52">
        <v>1</v>
      </c>
      <c r="F2681" s="54" t="s">
        <v>790</v>
      </c>
      <c r="G2681" s="52"/>
      <c r="H2681" s="55"/>
      <c r="I2681" s="56"/>
    </row>
    <row r="2682" spans="2:9" x14ac:dyDescent="0.2">
      <c r="B2682" s="51" t="str">
        <f t="shared" si="55"/>
        <v>2010-027-2</v>
      </c>
      <c r="C2682" s="52">
        <v>2010</v>
      </c>
      <c r="D2682" s="52" t="s">
        <v>5</v>
      </c>
      <c r="E2682" s="52">
        <v>2</v>
      </c>
      <c r="F2682" s="54" t="s">
        <v>1183</v>
      </c>
      <c r="G2682" s="52"/>
      <c r="H2682" s="55"/>
      <c r="I2682" s="56"/>
    </row>
    <row r="2683" spans="2:9" x14ac:dyDescent="0.2">
      <c r="B2683" s="51" t="str">
        <f t="shared" si="55"/>
        <v>2010-027-3</v>
      </c>
      <c r="C2683" s="52">
        <v>2010</v>
      </c>
      <c r="D2683" s="52" t="s">
        <v>5</v>
      </c>
      <c r="E2683" s="52">
        <v>3</v>
      </c>
      <c r="F2683" s="54" t="s">
        <v>1565</v>
      </c>
      <c r="G2683" s="52"/>
      <c r="H2683" s="55"/>
      <c r="I2683" s="56"/>
    </row>
    <row r="2684" spans="2:9" x14ac:dyDescent="0.2">
      <c r="B2684" s="51" t="str">
        <f t="shared" si="55"/>
        <v>2010-027-4</v>
      </c>
      <c r="C2684" s="52">
        <v>2010</v>
      </c>
      <c r="D2684" s="52" t="s">
        <v>5</v>
      </c>
      <c r="E2684" s="52">
        <v>4</v>
      </c>
      <c r="F2684" s="54" t="s">
        <v>1922</v>
      </c>
      <c r="G2684" s="52" t="s">
        <v>3391</v>
      </c>
      <c r="H2684" s="55"/>
      <c r="I2684" s="56"/>
    </row>
    <row r="2685" spans="2:9" x14ac:dyDescent="0.2">
      <c r="B2685" s="57" t="str">
        <f t="shared" si="55"/>
        <v>2010-027-5</v>
      </c>
      <c r="C2685" s="58">
        <v>2010</v>
      </c>
      <c r="D2685" s="58" t="s">
        <v>5</v>
      </c>
      <c r="E2685" s="58">
        <v>5</v>
      </c>
      <c r="F2685" s="59" t="s">
        <v>2280</v>
      </c>
      <c r="G2685" s="58"/>
      <c r="H2685" s="60"/>
      <c r="I2685" s="61"/>
    </row>
    <row r="2686" spans="2:9" x14ac:dyDescent="0.2">
      <c r="B2686" s="62" t="str">
        <f t="shared" si="55"/>
        <v>2010-028-0</v>
      </c>
      <c r="C2686" s="63">
        <v>2010</v>
      </c>
      <c r="D2686" s="63" t="s">
        <v>6</v>
      </c>
      <c r="E2686" s="63">
        <v>0</v>
      </c>
      <c r="F2686" s="64" t="s">
        <v>401</v>
      </c>
      <c r="G2686" s="63"/>
      <c r="H2686" s="65"/>
      <c r="I2686" s="66"/>
    </row>
    <row r="2687" spans="2:9" x14ac:dyDescent="0.2">
      <c r="B2687" s="51" t="str">
        <f t="shared" si="55"/>
        <v>2010-028-1</v>
      </c>
      <c r="C2687" s="52">
        <v>2010</v>
      </c>
      <c r="D2687" s="52" t="s">
        <v>6</v>
      </c>
      <c r="E2687" s="52">
        <v>1</v>
      </c>
      <c r="F2687" s="54" t="s">
        <v>791</v>
      </c>
      <c r="G2687" s="52"/>
      <c r="H2687" s="55"/>
      <c r="I2687" s="56"/>
    </row>
    <row r="2688" spans="2:9" x14ac:dyDescent="0.2">
      <c r="B2688" s="51" t="str">
        <f t="shared" si="55"/>
        <v>2010-028-2</v>
      </c>
      <c r="C2688" s="52">
        <v>2010</v>
      </c>
      <c r="D2688" s="52" t="s">
        <v>6</v>
      </c>
      <c r="E2688" s="52">
        <v>2</v>
      </c>
      <c r="F2688" s="54" t="s">
        <v>1184</v>
      </c>
      <c r="G2688" s="52" t="s">
        <v>3391</v>
      </c>
      <c r="H2688" s="55"/>
      <c r="I2688" s="56"/>
    </row>
    <row r="2689" spans="2:9" x14ac:dyDescent="0.2">
      <c r="B2689" s="51" t="str">
        <f t="shared" si="55"/>
        <v>2010-028-3</v>
      </c>
      <c r="C2689" s="52">
        <v>2010</v>
      </c>
      <c r="D2689" s="52" t="s">
        <v>6</v>
      </c>
      <c r="E2689" s="52">
        <v>3</v>
      </c>
      <c r="F2689" s="54" t="s">
        <v>1566</v>
      </c>
      <c r="G2689" s="52"/>
      <c r="H2689" s="55"/>
      <c r="I2689" s="56"/>
    </row>
    <row r="2690" spans="2:9" x14ac:dyDescent="0.2">
      <c r="B2690" s="51" t="str">
        <f t="shared" si="55"/>
        <v>2010-028-4</v>
      </c>
      <c r="C2690" s="52">
        <v>2010</v>
      </c>
      <c r="D2690" s="52" t="s">
        <v>6</v>
      </c>
      <c r="E2690" s="52">
        <v>4</v>
      </c>
      <c r="F2690" s="54" t="s">
        <v>1923</v>
      </c>
      <c r="G2690" s="52"/>
      <c r="H2690" s="55"/>
      <c r="I2690" s="56"/>
    </row>
    <row r="2691" spans="2:9" x14ac:dyDescent="0.2">
      <c r="B2691" s="57" t="str">
        <f t="shared" si="55"/>
        <v>2010-028-5</v>
      </c>
      <c r="C2691" s="58">
        <v>2010</v>
      </c>
      <c r="D2691" s="58" t="s">
        <v>6</v>
      </c>
      <c r="E2691" s="58">
        <v>5</v>
      </c>
      <c r="F2691" s="59" t="s">
        <v>2281</v>
      </c>
      <c r="G2691" s="58"/>
      <c r="H2691" s="60"/>
      <c r="I2691" s="61"/>
    </row>
    <row r="2692" spans="2:9" x14ac:dyDescent="0.2">
      <c r="B2692" s="62" t="str">
        <f t="shared" si="55"/>
        <v>2010-029-0</v>
      </c>
      <c r="C2692" s="63">
        <v>2010</v>
      </c>
      <c r="D2692" s="63" t="s">
        <v>7</v>
      </c>
      <c r="E2692" s="63">
        <v>0</v>
      </c>
      <c r="F2692" s="64" t="s">
        <v>402</v>
      </c>
      <c r="G2692" s="63"/>
      <c r="H2692" s="65"/>
      <c r="I2692" s="66"/>
    </row>
    <row r="2693" spans="2:9" ht="27" x14ac:dyDescent="0.2">
      <c r="B2693" s="51" t="str">
        <f t="shared" si="55"/>
        <v>2010-029-1</v>
      </c>
      <c r="C2693" s="52">
        <v>2010</v>
      </c>
      <c r="D2693" s="52" t="s">
        <v>7</v>
      </c>
      <c r="E2693" s="52">
        <v>1</v>
      </c>
      <c r="F2693" s="54" t="s">
        <v>792</v>
      </c>
      <c r="G2693" s="52"/>
      <c r="H2693" s="55"/>
      <c r="I2693" s="56"/>
    </row>
    <row r="2694" spans="2:9" x14ac:dyDescent="0.2">
      <c r="B2694" s="51" t="str">
        <f t="shared" si="55"/>
        <v>2010-029-2</v>
      </c>
      <c r="C2694" s="52">
        <v>2010</v>
      </c>
      <c r="D2694" s="52" t="s">
        <v>7</v>
      </c>
      <c r="E2694" s="52">
        <v>2</v>
      </c>
      <c r="F2694" s="54" t="s">
        <v>1185</v>
      </c>
      <c r="G2694" s="52"/>
      <c r="H2694" s="55"/>
      <c r="I2694" s="56"/>
    </row>
    <row r="2695" spans="2:9" ht="27" x14ac:dyDescent="0.2">
      <c r="B2695" s="51" t="str">
        <f t="shared" si="55"/>
        <v>2010-029-3</v>
      </c>
      <c r="C2695" s="52">
        <v>2010</v>
      </c>
      <c r="D2695" s="52" t="s">
        <v>7</v>
      </c>
      <c r="E2695" s="52">
        <v>3</v>
      </c>
      <c r="F2695" s="54" t="s">
        <v>1567</v>
      </c>
      <c r="G2695" s="52"/>
      <c r="H2695" s="55"/>
      <c r="I2695" s="56"/>
    </row>
    <row r="2696" spans="2:9" x14ac:dyDescent="0.2">
      <c r="B2696" s="51" t="str">
        <f t="shared" si="55"/>
        <v>2010-029-4</v>
      </c>
      <c r="C2696" s="52">
        <v>2010</v>
      </c>
      <c r="D2696" s="52" t="s">
        <v>7</v>
      </c>
      <c r="E2696" s="52">
        <v>4</v>
      </c>
      <c r="F2696" s="54" t="s">
        <v>1924</v>
      </c>
      <c r="G2696" s="52" t="s">
        <v>3391</v>
      </c>
      <c r="H2696" s="55"/>
      <c r="I2696" s="56"/>
    </row>
    <row r="2697" spans="2:9" x14ac:dyDescent="0.2">
      <c r="B2697" s="57" t="str">
        <f t="shared" si="55"/>
        <v>2010-029-5</v>
      </c>
      <c r="C2697" s="58">
        <v>2010</v>
      </c>
      <c r="D2697" s="58" t="s">
        <v>7</v>
      </c>
      <c r="E2697" s="58">
        <v>5</v>
      </c>
      <c r="F2697" s="59" t="s">
        <v>2282</v>
      </c>
      <c r="G2697" s="58"/>
      <c r="H2697" s="60"/>
      <c r="I2697" s="61"/>
    </row>
    <row r="2698" spans="2:9" x14ac:dyDescent="0.2">
      <c r="B2698" s="62" t="str">
        <f t="shared" si="55"/>
        <v>2010-030-0</v>
      </c>
      <c r="C2698" s="63">
        <v>2010</v>
      </c>
      <c r="D2698" s="63" t="s">
        <v>8</v>
      </c>
      <c r="E2698" s="63">
        <v>0</v>
      </c>
      <c r="F2698" s="64" t="s">
        <v>403</v>
      </c>
      <c r="G2698" s="63"/>
      <c r="H2698" s="65"/>
      <c r="I2698" s="66"/>
    </row>
    <row r="2699" spans="2:9" ht="27" x14ac:dyDescent="0.2">
      <c r="B2699" s="51" t="str">
        <f t="shared" si="55"/>
        <v>2010-030-1</v>
      </c>
      <c r="C2699" s="52">
        <v>2010</v>
      </c>
      <c r="D2699" s="52" t="s">
        <v>8</v>
      </c>
      <c r="E2699" s="52">
        <v>1</v>
      </c>
      <c r="F2699" s="54" t="s">
        <v>793</v>
      </c>
      <c r="G2699" s="52" t="s">
        <v>3391</v>
      </c>
      <c r="H2699" s="55"/>
      <c r="I2699" s="56"/>
    </row>
    <row r="2700" spans="2:9" x14ac:dyDescent="0.2">
      <c r="B2700" s="51" t="str">
        <f t="shared" si="55"/>
        <v>2010-030-2</v>
      </c>
      <c r="C2700" s="52">
        <v>2010</v>
      </c>
      <c r="D2700" s="52" t="s">
        <v>8</v>
      </c>
      <c r="E2700" s="52">
        <v>2</v>
      </c>
      <c r="F2700" s="54" t="s">
        <v>1186</v>
      </c>
      <c r="G2700" s="52"/>
      <c r="H2700" s="55"/>
      <c r="I2700" s="56"/>
    </row>
    <row r="2701" spans="2:9" x14ac:dyDescent="0.2">
      <c r="B2701" s="51" t="str">
        <f t="shared" si="55"/>
        <v>2010-030-3</v>
      </c>
      <c r="C2701" s="52">
        <v>2010</v>
      </c>
      <c r="D2701" s="52" t="s">
        <v>8</v>
      </c>
      <c r="E2701" s="52">
        <v>3</v>
      </c>
      <c r="F2701" s="54" t="s">
        <v>901</v>
      </c>
      <c r="G2701" s="52"/>
      <c r="H2701" s="55"/>
      <c r="I2701" s="56"/>
    </row>
    <row r="2702" spans="2:9" x14ac:dyDescent="0.2">
      <c r="B2702" s="51" t="str">
        <f t="shared" si="55"/>
        <v>2010-030-4</v>
      </c>
      <c r="C2702" s="52">
        <v>2010</v>
      </c>
      <c r="D2702" s="52" t="s">
        <v>8</v>
      </c>
      <c r="E2702" s="52">
        <v>4</v>
      </c>
      <c r="F2702" s="54" t="s">
        <v>1925</v>
      </c>
      <c r="G2702" s="52"/>
      <c r="H2702" s="55"/>
      <c r="I2702" s="56"/>
    </row>
    <row r="2703" spans="2:9" x14ac:dyDescent="0.2">
      <c r="B2703" s="57" t="str">
        <f t="shared" si="55"/>
        <v>2010-030-5</v>
      </c>
      <c r="C2703" s="58">
        <v>2010</v>
      </c>
      <c r="D2703" s="58" t="s">
        <v>8</v>
      </c>
      <c r="E2703" s="58">
        <v>5</v>
      </c>
      <c r="F2703" s="59" t="s">
        <v>2283</v>
      </c>
      <c r="G2703" s="58"/>
      <c r="H2703" s="60"/>
      <c r="I2703" s="61"/>
    </row>
    <row r="2704" spans="2:9" x14ac:dyDescent="0.2">
      <c r="B2704" s="62" t="str">
        <f t="shared" si="55"/>
        <v>2010-031-0</v>
      </c>
      <c r="C2704" s="63">
        <v>2010</v>
      </c>
      <c r="D2704" s="63" t="s">
        <v>9</v>
      </c>
      <c r="E2704" s="63">
        <v>0</v>
      </c>
      <c r="F2704" s="64" t="s">
        <v>404</v>
      </c>
      <c r="G2704" s="63"/>
      <c r="H2704" s="65"/>
      <c r="I2704" s="66"/>
    </row>
    <row r="2705" spans="2:9" ht="27" x14ac:dyDescent="0.2">
      <c r="B2705" s="51" t="str">
        <f t="shared" si="55"/>
        <v>2010-031-1</v>
      </c>
      <c r="C2705" s="52">
        <v>2010</v>
      </c>
      <c r="D2705" s="52" t="s">
        <v>9</v>
      </c>
      <c r="E2705" s="52">
        <v>1</v>
      </c>
      <c r="F2705" s="54" t="s">
        <v>794</v>
      </c>
      <c r="G2705" s="52" t="s">
        <v>3391</v>
      </c>
      <c r="H2705" s="55"/>
      <c r="I2705" s="56"/>
    </row>
    <row r="2706" spans="2:9" ht="27" x14ac:dyDescent="0.2">
      <c r="B2706" s="51" t="str">
        <f t="shared" si="55"/>
        <v>2010-031-2</v>
      </c>
      <c r="C2706" s="52">
        <v>2010</v>
      </c>
      <c r="D2706" s="52" t="s">
        <v>9</v>
      </c>
      <c r="E2706" s="52">
        <v>2</v>
      </c>
      <c r="F2706" s="54" t="s">
        <v>1187</v>
      </c>
      <c r="G2706" s="52"/>
      <c r="H2706" s="55"/>
      <c r="I2706" s="56"/>
    </row>
    <row r="2707" spans="2:9" x14ac:dyDescent="0.2">
      <c r="B2707" s="51" t="str">
        <f t="shared" ref="B2707:B2770" si="56">C2707&amp;"-"&amp;D2707&amp;"-"&amp;E2707</f>
        <v>2010-031-3</v>
      </c>
      <c r="C2707" s="52">
        <v>2010</v>
      </c>
      <c r="D2707" s="52" t="s">
        <v>9</v>
      </c>
      <c r="E2707" s="52">
        <v>3</v>
      </c>
      <c r="F2707" s="54" t="s">
        <v>1568</v>
      </c>
      <c r="G2707" s="52"/>
      <c r="H2707" s="55"/>
      <c r="I2707" s="56"/>
    </row>
    <row r="2708" spans="2:9" x14ac:dyDescent="0.2">
      <c r="B2708" s="51" t="str">
        <f t="shared" si="56"/>
        <v>2010-031-4</v>
      </c>
      <c r="C2708" s="52">
        <v>2010</v>
      </c>
      <c r="D2708" s="52" t="s">
        <v>9</v>
      </c>
      <c r="E2708" s="52">
        <v>4</v>
      </c>
      <c r="F2708" s="54" t="s">
        <v>1926</v>
      </c>
      <c r="G2708" s="52"/>
      <c r="H2708" s="55"/>
      <c r="I2708" s="56"/>
    </row>
    <row r="2709" spans="2:9" x14ac:dyDescent="0.2">
      <c r="B2709" s="57" t="str">
        <f t="shared" si="56"/>
        <v>2010-031-5</v>
      </c>
      <c r="C2709" s="58">
        <v>2010</v>
      </c>
      <c r="D2709" s="58" t="s">
        <v>9</v>
      </c>
      <c r="E2709" s="58">
        <v>5</v>
      </c>
      <c r="F2709" s="59" t="s">
        <v>2284</v>
      </c>
      <c r="G2709" s="58"/>
      <c r="H2709" s="60"/>
      <c r="I2709" s="61"/>
    </row>
    <row r="2710" spans="2:9" x14ac:dyDescent="0.2">
      <c r="B2710" s="62" t="str">
        <f t="shared" si="56"/>
        <v>2010-032-0</v>
      </c>
      <c r="C2710" s="63">
        <v>2010</v>
      </c>
      <c r="D2710" s="63" t="s">
        <v>10</v>
      </c>
      <c r="E2710" s="63">
        <v>0</v>
      </c>
      <c r="F2710" s="64" t="s">
        <v>405</v>
      </c>
      <c r="G2710" s="63"/>
      <c r="H2710" s="65"/>
      <c r="I2710" s="66"/>
    </row>
    <row r="2711" spans="2:9" x14ac:dyDescent="0.2">
      <c r="B2711" s="51" t="str">
        <f t="shared" si="56"/>
        <v>2010-032-1</v>
      </c>
      <c r="C2711" s="52">
        <v>2010</v>
      </c>
      <c r="D2711" s="52" t="s">
        <v>10</v>
      </c>
      <c r="E2711" s="52">
        <v>1</v>
      </c>
      <c r="F2711" s="54" t="s">
        <v>795</v>
      </c>
      <c r="G2711" s="52"/>
      <c r="H2711" s="55"/>
      <c r="I2711" s="56"/>
    </row>
    <row r="2712" spans="2:9" x14ac:dyDescent="0.2">
      <c r="B2712" s="51" t="str">
        <f t="shared" si="56"/>
        <v>2010-032-2</v>
      </c>
      <c r="C2712" s="52">
        <v>2010</v>
      </c>
      <c r="D2712" s="52" t="s">
        <v>10</v>
      </c>
      <c r="E2712" s="52">
        <v>2</v>
      </c>
      <c r="F2712" s="54" t="s">
        <v>1188</v>
      </c>
      <c r="G2712" s="52"/>
      <c r="H2712" s="55"/>
      <c r="I2712" s="56"/>
    </row>
    <row r="2713" spans="2:9" x14ac:dyDescent="0.2">
      <c r="B2713" s="51" t="str">
        <f t="shared" si="56"/>
        <v>2010-032-3</v>
      </c>
      <c r="C2713" s="52">
        <v>2010</v>
      </c>
      <c r="D2713" s="52" t="s">
        <v>10</v>
      </c>
      <c r="E2713" s="52">
        <v>3</v>
      </c>
      <c r="F2713" s="54" t="s">
        <v>1569</v>
      </c>
      <c r="G2713" s="52" t="s">
        <v>3391</v>
      </c>
      <c r="H2713" s="55"/>
      <c r="I2713" s="56"/>
    </row>
    <row r="2714" spans="2:9" x14ac:dyDescent="0.2">
      <c r="B2714" s="51" t="str">
        <f t="shared" si="56"/>
        <v>2010-032-4</v>
      </c>
      <c r="C2714" s="52">
        <v>2010</v>
      </c>
      <c r="D2714" s="52" t="s">
        <v>10</v>
      </c>
      <c r="E2714" s="52">
        <v>4</v>
      </c>
      <c r="F2714" s="54" t="s">
        <v>1927</v>
      </c>
      <c r="G2714" s="52"/>
      <c r="H2714" s="55"/>
      <c r="I2714" s="56"/>
    </row>
    <row r="2715" spans="2:9" x14ac:dyDescent="0.2">
      <c r="B2715" s="57" t="str">
        <f t="shared" si="56"/>
        <v>2010-032-5</v>
      </c>
      <c r="C2715" s="58">
        <v>2010</v>
      </c>
      <c r="D2715" s="58" t="s">
        <v>10</v>
      </c>
      <c r="E2715" s="58">
        <v>5</v>
      </c>
      <c r="F2715" s="59" t="s">
        <v>2285</v>
      </c>
      <c r="G2715" s="58"/>
      <c r="H2715" s="60"/>
      <c r="I2715" s="61"/>
    </row>
    <row r="2716" spans="2:9" x14ac:dyDescent="0.2">
      <c r="B2716" s="62" t="str">
        <f t="shared" si="56"/>
        <v>2010-033-0</v>
      </c>
      <c r="C2716" s="63">
        <v>2010</v>
      </c>
      <c r="D2716" s="63" t="s">
        <v>11</v>
      </c>
      <c r="E2716" s="63">
        <v>0</v>
      </c>
      <c r="F2716" s="64" t="s">
        <v>406</v>
      </c>
      <c r="G2716" s="63"/>
      <c r="H2716" s="65"/>
      <c r="I2716" s="66"/>
    </row>
    <row r="2717" spans="2:9" x14ac:dyDescent="0.2">
      <c r="B2717" s="51" t="str">
        <f t="shared" si="56"/>
        <v>2010-033-1</v>
      </c>
      <c r="C2717" s="52">
        <v>2010</v>
      </c>
      <c r="D2717" s="52" t="s">
        <v>11</v>
      </c>
      <c r="E2717" s="52">
        <v>1</v>
      </c>
      <c r="F2717" s="54" t="s">
        <v>796</v>
      </c>
      <c r="G2717" s="52"/>
      <c r="H2717" s="55"/>
      <c r="I2717" s="56"/>
    </row>
    <row r="2718" spans="2:9" x14ac:dyDescent="0.2">
      <c r="B2718" s="51" t="str">
        <f t="shared" si="56"/>
        <v>2010-033-2</v>
      </c>
      <c r="C2718" s="52">
        <v>2010</v>
      </c>
      <c r="D2718" s="52" t="s">
        <v>11</v>
      </c>
      <c r="E2718" s="52">
        <v>2</v>
      </c>
      <c r="F2718" s="54" t="s">
        <v>1189</v>
      </c>
      <c r="G2718" s="52"/>
      <c r="H2718" s="55"/>
      <c r="I2718" s="56"/>
    </row>
    <row r="2719" spans="2:9" ht="27" x14ac:dyDescent="0.2">
      <c r="B2719" s="51" t="str">
        <f t="shared" si="56"/>
        <v>2010-033-3</v>
      </c>
      <c r="C2719" s="52">
        <v>2010</v>
      </c>
      <c r="D2719" s="52" t="s">
        <v>11</v>
      </c>
      <c r="E2719" s="52">
        <v>3</v>
      </c>
      <c r="F2719" s="73" t="s">
        <v>1570</v>
      </c>
      <c r="G2719" s="52"/>
      <c r="H2719" s="55"/>
      <c r="I2719" s="56"/>
    </row>
    <row r="2720" spans="2:9" x14ac:dyDescent="0.2">
      <c r="B2720" s="51" t="str">
        <f t="shared" si="56"/>
        <v>2010-033-4</v>
      </c>
      <c r="C2720" s="52">
        <v>2010</v>
      </c>
      <c r="D2720" s="52" t="s">
        <v>11</v>
      </c>
      <c r="E2720" s="52">
        <v>4</v>
      </c>
      <c r="F2720" s="54" t="s">
        <v>1928</v>
      </c>
      <c r="G2720" s="52"/>
      <c r="H2720" s="55"/>
      <c r="I2720" s="56"/>
    </row>
    <row r="2721" spans="2:9" ht="27" x14ac:dyDescent="0.2">
      <c r="B2721" s="57" t="str">
        <f t="shared" si="56"/>
        <v>2010-033-5</v>
      </c>
      <c r="C2721" s="58">
        <v>2010</v>
      </c>
      <c r="D2721" s="58" t="s">
        <v>11</v>
      </c>
      <c r="E2721" s="58">
        <v>5</v>
      </c>
      <c r="F2721" s="59" t="s">
        <v>2286</v>
      </c>
      <c r="G2721" s="58" t="s">
        <v>3391</v>
      </c>
      <c r="H2721" s="60"/>
      <c r="I2721" s="61"/>
    </row>
    <row r="2722" spans="2:9" x14ac:dyDescent="0.2">
      <c r="B2722" s="62" t="str">
        <f t="shared" si="56"/>
        <v>2010-034-0</v>
      </c>
      <c r="C2722" s="63">
        <v>2010</v>
      </c>
      <c r="D2722" s="63" t="s">
        <v>12</v>
      </c>
      <c r="E2722" s="63">
        <v>0</v>
      </c>
      <c r="F2722" s="64" t="s">
        <v>407</v>
      </c>
      <c r="G2722" s="63"/>
      <c r="H2722" s="65"/>
      <c r="I2722" s="66"/>
    </row>
    <row r="2723" spans="2:9" x14ac:dyDescent="0.2">
      <c r="B2723" s="51" t="str">
        <f t="shared" si="56"/>
        <v>2010-034-1</v>
      </c>
      <c r="C2723" s="52">
        <v>2010</v>
      </c>
      <c r="D2723" s="52" t="s">
        <v>12</v>
      </c>
      <c r="E2723" s="52">
        <v>1</v>
      </c>
      <c r="F2723" s="54" t="s">
        <v>797</v>
      </c>
      <c r="G2723" s="52"/>
      <c r="H2723" s="55"/>
      <c r="I2723" s="56"/>
    </row>
    <row r="2724" spans="2:9" x14ac:dyDescent="0.2">
      <c r="B2724" s="51" t="str">
        <f t="shared" si="56"/>
        <v>2010-034-2</v>
      </c>
      <c r="C2724" s="52">
        <v>2010</v>
      </c>
      <c r="D2724" s="52" t="s">
        <v>12</v>
      </c>
      <c r="E2724" s="52">
        <v>2</v>
      </c>
      <c r="F2724" s="54" t="s">
        <v>1190</v>
      </c>
      <c r="G2724" s="52"/>
      <c r="H2724" s="55"/>
      <c r="I2724" s="56"/>
    </row>
    <row r="2725" spans="2:9" ht="27" x14ac:dyDescent="0.2">
      <c r="B2725" s="51" t="str">
        <f t="shared" si="56"/>
        <v>2010-034-3</v>
      </c>
      <c r="C2725" s="52">
        <v>2010</v>
      </c>
      <c r="D2725" s="52" t="s">
        <v>12</v>
      </c>
      <c r="E2725" s="52">
        <v>3</v>
      </c>
      <c r="F2725" s="54" t="s">
        <v>1571</v>
      </c>
      <c r="G2725" s="52"/>
      <c r="H2725" s="55"/>
      <c r="I2725" s="56"/>
    </row>
    <row r="2726" spans="2:9" x14ac:dyDescent="0.2">
      <c r="B2726" s="51" t="str">
        <f t="shared" si="56"/>
        <v>2010-034-4</v>
      </c>
      <c r="C2726" s="52">
        <v>2010</v>
      </c>
      <c r="D2726" s="52" t="s">
        <v>12</v>
      </c>
      <c r="E2726" s="52">
        <v>4</v>
      </c>
      <c r="F2726" s="54" t="s">
        <v>1929</v>
      </c>
      <c r="G2726" s="52" t="s">
        <v>3391</v>
      </c>
      <c r="H2726" s="55"/>
      <c r="I2726" s="56"/>
    </row>
    <row r="2727" spans="2:9" ht="27" x14ac:dyDescent="0.2">
      <c r="B2727" s="57" t="str">
        <f t="shared" si="56"/>
        <v>2010-034-5</v>
      </c>
      <c r="C2727" s="58">
        <v>2010</v>
      </c>
      <c r="D2727" s="58" t="s">
        <v>12</v>
      </c>
      <c r="E2727" s="58">
        <v>5</v>
      </c>
      <c r="F2727" s="59" t="s">
        <v>2287</v>
      </c>
      <c r="G2727" s="58"/>
      <c r="H2727" s="60"/>
      <c r="I2727" s="61"/>
    </row>
    <row r="2728" spans="2:9" ht="27" x14ac:dyDescent="0.2">
      <c r="B2728" s="62" t="str">
        <f t="shared" si="56"/>
        <v>2010-035-0</v>
      </c>
      <c r="C2728" s="63">
        <v>2010</v>
      </c>
      <c r="D2728" s="63" t="s">
        <v>13</v>
      </c>
      <c r="E2728" s="63">
        <v>0</v>
      </c>
      <c r="F2728" s="64" t="s">
        <v>408</v>
      </c>
      <c r="G2728" s="63"/>
      <c r="H2728" s="65"/>
      <c r="I2728" s="66"/>
    </row>
    <row r="2729" spans="2:9" ht="27" x14ac:dyDescent="0.2">
      <c r="B2729" s="51" t="str">
        <f t="shared" si="56"/>
        <v>2010-035-1</v>
      </c>
      <c r="C2729" s="52">
        <v>2010</v>
      </c>
      <c r="D2729" s="52" t="s">
        <v>13</v>
      </c>
      <c r="E2729" s="52">
        <v>1</v>
      </c>
      <c r="F2729" s="54" t="s">
        <v>798</v>
      </c>
      <c r="G2729" s="52"/>
      <c r="H2729" s="55"/>
      <c r="I2729" s="56"/>
    </row>
    <row r="2730" spans="2:9" ht="27" x14ac:dyDescent="0.2">
      <c r="B2730" s="51" t="str">
        <f t="shared" si="56"/>
        <v>2010-035-2</v>
      </c>
      <c r="C2730" s="52">
        <v>2010</v>
      </c>
      <c r="D2730" s="52" t="s">
        <v>13</v>
      </c>
      <c r="E2730" s="52">
        <v>2</v>
      </c>
      <c r="F2730" s="54" t="s">
        <v>1191</v>
      </c>
      <c r="G2730" s="52" t="s">
        <v>3391</v>
      </c>
      <c r="H2730" s="55"/>
      <c r="I2730" s="56"/>
    </row>
    <row r="2731" spans="2:9" x14ac:dyDescent="0.2">
      <c r="B2731" s="51" t="str">
        <f t="shared" si="56"/>
        <v>2010-035-3</v>
      </c>
      <c r="C2731" s="52">
        <v>2010</v>
      </c>
      <c r="D2731" s="52" t="s">
        <v>13</v>
      </c>
      <c r="E2731" s="52">
        <v>3</v>
      </c>
      <c r="F2731" s="54" t="s">
        <v>1572</v>
      </c>
      <c r="G2731" s="52"/>
      <c r="H2731" s="55"/>
      <c r="I2731" s="56"/>
    </row>
    <row r="2732" spans="2:9" ht="27" x14ac:dyDescent="0.2">
      <c r="B2732" s="51" t="str">
        <f t="shared" si="56"/>
        <v>2010-035-4</v>
      </c>
      <c r="C2732" s="52">
        <v>2010</v>
      </c>
      <c r="D2732" s="52" t="s">
        <v>13</v>
      </c>
      <c r="E2732" s="52">
        <v>4</v>
      </c>
      <c r="F2732" s="54" t="s">
        <v>1930</v>
      </c>
      <c r="G2732" s="52"/>
      <c r="H2732" s="55"/>
      <c r="I2732" s="56"/>
    </row>
    <row r="2733" spans="2:9" ht="27" x14ac:dyDescent="0.2">
      <c r="B2733" s="57" t="str">
        <f t="shared" si="56"/>
        <v>2010-035-5</v>
      </c>
      <c r="C2733" s="58">
        <v>2010</v>
      </c>
      <c r="D2733" s="58" t="s">
        <v>13</v>
      </c>
      <c r="E2733" s="58">
        <v>5</v>
      </c>
      <c r="F2733" s="59" t="s">
        <v>2288</v>
      </c>
      <c r="G2733" s="58"/>
      <c r="H2733" s="60"/>
      <c r="I2733" s="61"/>
    </row>
    <row r="2734" spans="2:9" x14ac:dyDescent="0.2">
      <c r="B2734" s="62" t="str">
        <f t="shared" si="56"/>
        <v>2010-036-0</v>
      </c>
      <c r="C2734" s="63">
        <v>2010</v>
      </c>
      <c r="D2734" s="63" t="s">
        <v>14</v>
      </c>
      <c r="E2734" s="63">
        <v>0</v>
      </c>
      <c r="F2734" s="64" t="s">
        <v>409</v>
      </c>
      <c r="G2734" s="63"/>
      <c r="H2734" s="65"/>
      <c r="I2734" s="66"/>
    </row>
    <row r="2735" spans="2:9" ht="27" x14ac:dyDescent="0.2">
      <c r="B2735" s="51" t="str">
        <f t="shared" si="56"/>
        <v>2010-036-1</v>
      </c>
      <c r="C2735" s="52">
        <v>2010</v>
      </c>
      <c r="D2735" s="52" t="s">
        <v>14</v>
      </c>
      <c r="E2735" s="52">
        <v>1</v>
      </c>
      <c r="F2735" s="54" t="s">
        <v>799</v>
      </c>
      <c r="G2735" s="52"/>
      <c r="H2735" s="55"/>
      <c r="I2735" s="56"/>
    </row>
    <row r="2736" spans="2:9" ht="27" x14ac:dyDescent="0.2">
      <c r="B2736" s="51" t="str">
        <f t="shared" si="56"/>
        <v>2010-036-2</v>
      </c>
      <c r="C2736" s="52">
        <v>2010</v>
      </c>
      <c r="D2736" s="52" t="s">
        <v>14</v>
      </c>
      <c r="E2736" s="52">
        <v>2</v>
      </c>
      <c r="F2736" s="54" t="s">
        <v>1192</v>
      </c>
      <c r="G2736" s="52"/>
      <c r="H2736" s="55"/>
      <c r="I2736" s="56"/>
    </row>
    <row r="2737" spans="2:9" x14ac:dyDescent="0.2">
      <c r="B2737" s="51" t="str">
        <f t="shared" si="56"/>
        <v>2010-036-3</v>
      </c>
      <c r="C2737" s="52">
        <v>2010</v>
      </c>
      <c r="D2737" s="52" t="s">
        <v>14</v>
      </c>
      <c r="E2737" s="52">
        <v>3</v>
      </c>
      <c r="F2737" s="54" t="s">
        <v>1573</v>
      </c>
      <c r="G2737" s="52"/>
      <c r="H2737" s="55"/>
      <c r="I2737" s="56"/>
    </row>
    <row r="2738" spans="2:9" x14ac:dyDescent="0.2">
      <c r="B2738" s="51" t="str">
        <f t="shared" si="56"/>
        <v>2010-036-4</v>
      </c>
      <c r="C2738" s="52">
        <v>2010</v>
      </c>
      <c r="D2738" s="52" t="s">
        <v>14</v>
      </c>
      <c r="E2738" s="52">
        <v>4</v>
      </c>
      <c r="F2738" s="54" t="s">
        <v>1931</v>
      </c>
      <c r="G2738" s="52"/>
      <c r="H2738" s="55"/>
      <c r="I2738" s="56"/>
    </row>
    <row r="2739" spans="2:9" ht="27" x14ac:dyDescent="0.2">
      <c r="B2739" s="57" t="str">
        <f t="shared" si="56"/>
        <v>2010-036-5</v>
      </c>
      <c r="C2739" s="58">
        <v>2010</v>
      </c>
      <c r="D2739" s="58" t="s">
        <v>14</v>
      </c>
      <c r="E2739" s="58">
        <v>5</v>
      </c>
      <c r="F2739" s="59" t="s">
        <v>2289</v>
      </c>
      <c r="G2739" s="58" t="s">
        <v>3391</v>
      </c>
      <c r="H2739" s="60"/>
      <c r="I2739" s="61"/>
    </row>
    <row r="2740" spans="2:9" x14ac:dyDescent="0.2">
      <c r="B2740" s="62" t="str">
        <f t="shared" si="56"/>
        <v>2010-037-0</v>
      </c>
      <c r="C2740" s="63">
        <v>2010</v>
      </c>
      <c r="D2740" s="63" t="s">
        <v>15</v>
      </c>
      <c r="E2740" s="63">
        <v>0</v>
      </c>
      <c r="F2740" s="64" t="s">
        <v>410</v>
      </c>
      <c r="G2740" s="63"/>
      <c r="H2740" s="65"/>
      <c r="I2740" s="66"/>
    </row>
    <row r="2741" spans="2:9" x14ac:dyDescent="0.2">
      <c r="B2741" s="51" t="str">
        <f t="shared" si="56"/>
        <v>2010-037-1</v>
      </c>
      <c r="C2741" s="52">
        <v>2010</v>
      </c>
      <c r="D2741" s="52" t="s">
        <v>15</v>
      </c>
      <c r="E2741" s="52">
        <v>1</v>
      </c>
      <c r="F2741" s="54" t="s">
        <v>800</v>
      </c>
      <c r="G2741" s="52"/>
      <c r="H2741" s="55"/>
      <c r="I2741" s="56"/>
    </row>
    <row r="2742" spans="2:9" x14ac:dyDescent="0.2">
      <c r="B2742" s="51" t="str">
        <f t="shared" si="56"/>
        <v>2010-037-2</v>
      </c>
      <c r="C2742" s="52">
        <v>2010</v>
      </c>
      <c r="D2742" s="52" t="s">
        <v>15</v>
      </c>
      <c r="E2742" s="52">
        <v>2</v>
      </c>
      <c r="F2742" s="54" t="s">
        <v>1193</v>
      </c>
      <c r="G2742" s="52"/>
      <c r="H2742" s="55"/>
      <c r="I2742" s="56"/>
    </row>
    <row r="2743" spans="2:9" x14ac:dyDescent="0.2">
      <c r="B2743" s="51" t="str">
        <f t="shared" si="56"/>
        <v>2010-037-3</v>
      </c>
      <c r="C2743" s="52">
        <v>2010</v>
      </c>
      <c r="D2743" s="52" t="s">
        <v>15</v>
      </c>
      <c r="E2743" s="52">
        <v>3</v>
      </c>
      <c r="F2743" s="54" t="s">
        <v>1574</v>
      </c>
      <c r="G2743" s="52" t="s">
        <v>3391</v>
      </c>
      <c r="H2743" s="55"/>
      <c r="I2743" s="56"/>
    </row>
    <row r="2744" spans="2:9" x14ac:dyDescent="0.2">
      <c r="B2744" s="51" t="str">
        <f t="shared" si="56"/>
        <v>2010-037-4</v>
      </c>
      <c r="C2744" s="52">
        <v>2010</v>
      </c>
      <c r="D2744" s="52" t="s">
        <v>15</v>
      </c>
      <c r="E2744" s="52">
        <v>4</v>
      </c>
      <c r="F2744" s="54" t="s">
        <v>1932</v>
      </c>
      <c r="G2744" s="52"/>
      <c r="H2744" s="55"/>
      <c r="I2744" s="56"/>
    </row>
    <row r="2745" spans="2:9" x14ac:dyDescent="0.2">
      <c r="B2745" s="57" t="str">
        <f t="shared" si="56"/>
        <v>2010-037-5</v>
      </c>
      <c r="C2745" s="58">
        <v>2010</v>
      </c>
      <c r="D2745" s="58" t="s">
        <v>15</v>
      </c>
      <c r="E2745" s="58">
        <v>5</v>
      </c>
      <c r="F2745" s="59" t="s">
        <v>2290</v>
      </c>
      <c r="G2745" s="58"/>
      <c r="H2745" s="60"/>
      <c r="I2745" s="61"/>
    </row>
    <row r="2746" spans="2:9" x14ac:dyDescent="0.2">
      <c r="B2746" s="62" t="str">
        <f t="shared" si="56"/>
        <v>2010-038-0</v>
      </c>
      <c r="C2746" s="63">
        <v>2010</v>
      </c>
      <c r="D2746" s="63" t="s">
        <v>16</v>
      </c>
      <c r="E2746" s="63">
        <v>0</v>
      </c>
      <c r="F2746" s="64" t="s">
        <v>411</v>
      </c>
      <c r="G2746" s="63"/>
      <c r="H2746" s="65"/>
      <c r="I2746" s="66"/>
    </row>
    <row r="2747" spans="2:9" x14ac:dyDescent="0.2">
      <c r="B2747" s="51" t="str">
        <f t="shared" si="56"/>
        <v>2010-038-1</v>
      </c>
      <c r="C2747" s="52">
        <v>2010</v>
      </c>
      <c r="D2747" s="52" t="s">
        <v>16</v>
      </c>
      <c r="E2747" s="52">
        <v>1</v>
      </c>
      <c r="F2747" s="54" t="s">
        <v>801</v>
      </c>
      <c r="G2747" s="52"/>
      <c r="H2747" s="55"/>
      <c r="I2747" s="56"/>
    </row>
    <row r="2748" spans="2:9" x14ac:dyDescent="0.2">
      <c r="B2748" s="51" t="str">
        <f t="shared" si="56"/>
        <v>2010-038-2</v>
      </c>
      <c r="C2748" s="52">
        <v>2010</v>
      </c>
      <c r="D2748" s="52" t="s">
        <v>16</v>
      </c>
      <c r="E2748" s="52">
        <v>2</v>
      </c>
      <c r="F2748" s="54" t="s">
        <v>1194</v>
      </c>
      <c r="G2748" s="52" t="s">
        <v>3391</v>
      </c>
      <c r="H2748" s="55"/>
      <c r="I2748" s="56"/>
    </row>
    <row r="2749" spans="2:9" x14ac:dyDescent="0.2">
      <c r="B2749" s="51" t="str">
        <f t="shared" si="56"/>
        <v>2010-038-3</v>
      </c>
      <c r="C2749" s="52">
        <v>2010</v>
      </c>
      <c r="D2749" s="52" t="s">
        <v>16</v>
      </c>
      <c r="E2749" s="52">
        <v>3</v>
      </c>
      <c r="F2749" s="54" t="s">
        <v>1575</v>
      </c>
      <c r="G2749" s="52"/>
      <c r="H2749" s="55"/>
      <c r="I2749" s="56"/>
    </row>
    <row r="2750" spans="2:9" x14ac:dyDescent="0.2">
      <c r="B2750" s="51" t="str">
        <f t="shared" si="56"/>
        <v>2010-038-4</v>
      </c>
      <c r="C2750" s="52">
        <v>2010</v>
      </c>
      <c r="D2750" s="52" t="s">
        <v>16</v>
      </c>
      <c r="E2750" s="52">
        <v>4</v>
      </c>
      <c r="F2750" s="54" t="s">
        <v>1933</v>
      </c>
      <c r="G2750" s="52"/>
      <c r="H2750" s="55"/>
      <c r="I2750" s="56"/>
    </row>
    <row r="2751" spans="2:9" x14ac:dyDescent="0.2">
      <c r="B2751" s="57" t="str">
        <f t="shared" si="56"/>
        <v>2010-038-5</v>
      </c>
      <c r="C2751" s="58">
        <v>2010</v>
      </c>
      <c r="D2751" s="58" t="s">
        <v>16</v>
      </c>
      <c r="E2751" s="58">
        <v>5</v>
      </c>
      <c r="F2751" s="59" t="s">
        <v>2291</v>
      </c>
      <c r="G2751" s="58"/>
      <c r="H2751" s="60"/>
      <c r="I2751" s="61"/>
    </row>
    <row r="2752" spans="2:9" x14ac:dyDescent="0.2">
      <c r="B2752" s="62" t="str">
        <f t="shared" si="56"/>
        <v>2010-039-0</v>
      </c>
      <c r="C2752" s="63">
        <v>2010</v>
      </c>
      <c r="D2752" s="63" t="s">
        <v>17</v>
      </c>
      <c r="E2752" s="63">
        <v>0</v>
      </c>
      <c r="F2752" s="64" t="s">
        <v>412</v>
      </c>
      <c r="G2752" s="63"/>
      <c r="H2752" s="65"/>
      <c r="I2752" s="66"/>
    </row>
    <row r="2753" spans="2:9" x14ac:dyDescent="0.2">
      <c r="B2753" s="51" t="str">
        <f t="shared" si="56"/>
        <v>2010-039-1</v>
      </c>
      <c r="C2753" s="52">
        <v>2010</v>
      </c>
      <c r="D2753" s="52" t="s">
        <v>17</v>
      </c>
      <c r="E2753" s="52">
        <v>1</v>
      </c>
      <c r="F2753" s="54" t="s">
        <v>802</v>
      </c>
      <c r="G2753" s="52"/>
      <c r="H2753" s="55"/>
      <c r="I2753" s="56"/>
    </row>
    <row r="2754" spans="2:9" x14ac:dyDescent="0.2">
      <c r="B2754" s="51" t="str">
        <f t="shared" si="56"/>
        <v>2010-039-2</v>
      </c>
      <c r="C2754" s="52">
        <v>2010</v>
      </c>
      <c r="D2754" s="52" t="s">
        <v>17</v>
      </c>
      <c r="E2754" s="52">
        <v>2</v>
      </c>
      <c r="F2754" s="54" t="s">
        <v>1195</v>
      </c>
      <c r="G2754" s="52"/>
      <c r="H2754" s="55"/>
      <c r="I2754" s="56"/>
    </row>
    <row r="2755" spans="2:9" x14ac:dyDescent="0.2">
      <c r="B2755" s="51" t="str">
        <f t="shared" si="56"/>
        <v>2010-039-3</v>
      </c>
      <c r="C2755" s="52">
        <v>2010</v>
      </c>
      <c r="D2755" s="52" t="s">
        <v>17</v>
      </c>
      <c r="E2755" s="52">
        <v>3</v>
      </c>
      <c r="F2755" s="54" t="s">
        <v>1576</v>
      </c>
      <c r="G2755" s="52" t="s">
        <v>3391</v>
      </c>
      <c r="H2755" s="55"/>
      <c r="I2755" s="56"/>
    </row>
    <row r="2756" spans="2:9" x14ac:dyDescent="0.2">
      <c r="B2756" s="51" t="str">
        <f t="shared" si="56"/>
        <v>2010-039-4</v>
      </c>
      <c r="C2756" s="52">
        <v>2010</v>
      </c>
      <c r="D2756" s="52" t="s">
        <v>17</v>
      </c>
      <c r="E2756" s="52">
        <v>4</v>
      </c>
      <c r="F2756" s="54" t="s">
        <v>1934</v>
      </c>
      <c r="G2756" s="52"/>
      <c r="H2756" s="55"/>
      <c r="I2756" s="56"/>
    </row>
    <row r="2757" spans="2:9" x14ac:dyDescent="0.2">
      <c r="B2757" s="57" t="str">
        <f t="shared" si="56"/>
        <v>2010-039-5</v>
      </c>
      <c r="C2757" s="58">
        <v>2010</v>
      </c>
      <c r="D2757" s="58" t="s">
        <v>17</v>
      </c>
      <c r="E2757" s="58">
        <v>5</v>
      </c>
      <c r="F2757" s="59" t="s">
        <v>2292</v>
      </c>
      <c r="G2757" s="58"/>
      <c r="H2757" s="60"/>
      <c r="I2757" s="61"/>
    </row>
    <row r="2758" spans="2:9" x14ac:dyDescent="0.2">
      <c r="B2758" s="62" t="str">
        <f t="shared" si="56"/>
        <v>2010-040-0</v>
      </c>
      <c r="C2758" s="63">
        <v>2010</v>
      </c>
      <c r="D2758" s="63" t="s">
        <v>18</v>
      </c>
      <c r="E2758" s="63">
        <v>0</v>
      </c>
      <c r="F2758" s="64" t="s">
        <v>413</v>
      </c>
      <c r="G2758" s="63"/>
      <c r="H2758" s="65"/>
      <c r="I2758" s="66"/>
    </row>
    <row r="2759" spans="2:9" x14ac:dyDescent="0.2">
      <c r="B2759" s="51" t="str">
        <f t="shared" si="56"/>
        <v>2010-040-1</v>
      </c>
      <c r="C2759" s="52">
        <v>2010</v>
      </c>
      <c r="D2759" s="52" t="s">
        <v>18</v>
      </c>
      <c r="E2759" s="52">
        <v>1</v>
      </c>
      <c r="F2759" s="54" t="s">
        <v>803</v>
      </c>
      <c r="G2759" s="52"/>
      <c r="H2759" s="55"/>
      <c r="I2759" s="56"/>
    </row>
    <row r="2760" spans="2:9" x14ac:dyDescent="0.2">
      <c r="B2760" s="51" t="str">
        <f t="shared" si="56"/>
        <v>2010-040-2</v>
      </c>
      <c r="C2760" s="52">
        <v>2010</v>
      </c>
      <c r="D2760" s="52" t="s">
        <v>18</v>
      </c>
      <c r="E2760" s="52">
        <v>2</v>
      </c>
      <c r="F2760" s="54" t="s">
        <v>1196</v>
      </c>
      <c r="G2760" s="52"/>
      <c r="H2760" s="55"/>
      <c r="I2760" s="56"/>
    </row>
    <row r="2761" spans="2:9" x14ac:dyDescent="0.2">
      <c r="B2761" s="51" t="str">
        <f t="shared" si="56"/>
        <v>2010-040-3</v>
      </c>
      <c r="C2761" s="52">
        <v>2010</v>
      </c>
      <c r="D2761" s="52" t="s">
        <v>18</v>
      </c>
      <c r="E2761" s="52">
        <v>3</v>
      </c>
      <c r="F2761" s="54" t="s">
        <v>1577</v>
      </c>
      <c r="G2761" s="52"/>
      <c r="H2761" s="55"/>
      <c r="I2761" s="56"/>
    </row>
    <row r="2762" spans="2:9" ht="27" x14ac:dyDescent="0.2">
      <c r="B2762" s="51" t="str">
        <f t="shared" si="56"/>
        <v>2010-040-4</v>
      </c>
      <c r="C2762" s="52">
        <v>2010</v>
      </c>
      <c r="D2762" s="52" t="s">
        <v>18</v>
      </c>
      <c r="E2762" s="52">
        <v>4</v>
      </c>
      <c r="F2762" s="54" t="s">
        <v>1935</v>
      </c>
      <c r="G2762" s="52" t="s">
        <v>3391</v>
      </c>
      <c r="H2762" s="55"/>
      <c r="I2762" s="56"/>
    </row>
    <row r="2763" spans="2:9" ht="27" x14ac:dyDescent="0.2">
      <c r="B2763" s="57" t="str">
        <f t="shared" si="56"/>
        <v>2010-040-5</v>
      </c>
      <c r="C2763" s="58">
        <v>2010</v>
      </c>
      <c r="D2763" s="58" t="s">
        <v>18</v>
      </c>
      <c r="E2763" s="58">
        <v>5</v>
      </c>
      <c r="F2763" s="59" t="s">
        <v>2293</v>
      </c>
      <c r="G2763" s="58"/>
      <c r="H2763" s="60"/>
      <c r="I2763" s="61"/>
    </row>
    <row r="2764" spans="2:9" x14ac:dyDescent="0.2">
      <c r="B2764" s="62" t="str">
        <f t="shared" si="56"/>
        <v>2010-041-0</v>
      </c>
      <c r="C2764" s="63">
        <v>2010</v>
      </c>
      <c r="D2764" s="63" t="s">
        <v>72</v>
      </c>
      <c r="E2764" s="63">
        <v>0</v>
      </c>
      <c r="F2764" s="64" t="s">
        <v>414</v>
      </c>
      <c r="G2764" s="63"/>
      <c r="H2764" s="65"/>
      <c r="I2764" s="66"/>
    </row>
    <row r="2765" spans="2:9" x14ac:dyDescent="0.2">
      <c r="B2765" s="51" t="str">
        <f t="shared" si="56"/>
        <v>2010-041-1</v>
      </c>
      <c r="C2765" s="52">
        <v>2010</v>
      </c>
      <c r="D2765" s="52" t="s">
        <v>72</v>
      </c>
      <c r="E2765" s="52">
        <v>1</v>
      </c>
      <c r="F2765" s="54" t="s">
        <v>804</v>
      </c>
      <c r="G2765" s="52"/>
      <c r="H2765" s="55"/>
      <c r="I2765" s="56"/>
    </row>
    <row r="2766" spans="2:9" ht="27" x14ac:dyDescent="0.2">
      <c r="B2766" s="51" t="str">
        <f t="shared" si="56"/>
        <v>2010-041-2</v>
      </c>
      <c r="C2766" s="52">
        <v>2010</v>
      </c>
      <c r="D2766" s="52" t="s">
        <v>72</v>
      </c>
      <c r="E2766" s="52">
        <v>2</v>
      </c>
      <c r="F2766" s="54" t="s">
        <v>1197</v>
      </c>
      <c r="G2766" s="52"/>
      <c r="H2766" s="55"/>
      <c r="I2766" s="56"/>
    </row>
    <row r="2767" spans="2:9" x14ac:dyDescent="0.2">
      <c r="B2767" s="51" t="str">
        <f t="shared" si="56"/>
        <v>2010-041-3</v>
      </c>
      <c r="C2767" s="52">
        <v>2010</v>
      </c>
      <c r="D2767" s="52" t="s">
        <v>72</v>
      </c>
      <c r="E2767" s="52">
        <v>3</v>
      </c>
      <c r="F2767" s="54" t="s">
        <v>1578</v>
      </c>
      <c r="G2767" s="52" t="s">
        <v>3391</v>
      </c>
      <c r="H2767" s="55"/>
      <c r="I2767" s="56"/>
    </row>
    <row r="2768" spans="2:9" x14ac:dyDescent="0.2">
      <c r="B2768" s="51" t="str">
        <f t="shared" si="56"/>
        <v>2010-041-4</v>
      </c>
      <c r="C2768" s="52">
        <v>2010</v>
      </c>
      <c r="D2768" s="52" t="s">
        <v>72</v>
      </c>
      <c r="E2768" s="52">
        <v>4</v>
      </c>
      <c r="F2768" s="54" t="s">
        <v>1936</v>
      </c>
      <c r="G2768" s="52"/>
      <c r="H2768" s="55"/>
      <c r="I2768" s="56"/>
    </row>
    <row r="2769" spans="2:9" ht="27" x14ac:dyDescent="0.2">
      <c r="B2769" s="57" t="str">
        <f t="shared" si="56"/>
        <v>2010-041-5</v>
      </c>
      <c r="C2769" s="58">
        <v>2010</v>
      </c>
      <c r="D2769" s="58" t="s">
        <v>72</v>
      </c>
      <c r="E2769" s="58">
        <v>5</v>
      </c>
      <c r="F2769" s="59" t="s">
        <v>2294</v>
      </c>
      <c r="G2769" s="58"/>
      <c r="H2769" s="60"/>
      <c r="I2769" s="61"/>
    </row>
    <row r="2770" spans="2:9" ht="108" x14ac:dyDescent="0.2">
      <c r="B2770" s="62" t="str">
        <f t="shared" si="56"/>
        <v>2010-042-0</v>
      </c>
      <c r="C2770" s="63">
        <v>2010</v>
      </c>
      <c r="D2770" s="63" t="s">
        <v>73</v>
      </c>
      <c r="E2770" s="63">
        <v>0</v>
      </c>
      <c r="F2770" s="64" t="s">
        <v>415</v>
      </c>
      <c r="G2770" s="63"/>
      <c r="H2770" s="65"/>
      <c r="I2770" s="66"/>
    </row>
    <row r="2771" spans="2:9" x14ac:dyDescent="0.2">
      <c r="B2771" s="51" t="str">
        <f t="shared" ref="B2771:B2823" si="57">C2771&amp;"-"&amp;D2771&amp;"-"&amp;E2771</f>
        <v>2010-042-1</v>
      </c>
      <c r="C2771" s="52">
        <v>2010</v>
      </c>
      <c r="D2771" s="52" t="s">
        <v>73</v>
      </c>
      <c r="E2771" s="52">
        <v>1</v>
      </c>
      <c r="F2771" s="54" t="s">
        <v>24</v>
      </c>
      <c r="G2771" s="52"/>
      <c r="H2771" s="55"/>
      <c r="I2771" s="56"/>
    </row>
    <row r="2772" spans="2:9" x14ac:dyDescent="0.2">
      <c r="B2772" s="51" t="str">
        <f t="shared" si="57"/>
        <v>2010-042-2</v>
      </c>
      <c r="C2772" s="52">
        <v>2010</v>
      </c>
      <c r="D2772" s="52" t="s">
        <v>73</v>
      </c>
      <c r="E2772" s="52">
        <v>2</v>
      </c>
      <c r="F2772" s="54" t="s">
        <v>34</v>
      </c>
      <c r="G2772" s="52"/>
      <c r="H2772" s="55"/>
      <c r="I2772" s="56"/>
    </row>
    <row r="2773" spans="2:9" x14ac:dyDescent="0.2">
      <c r="B2773" s="51" t="str">
        <f t="shared" si="57"/>
        <v>2010-042-3</v>
      </c>
      <c r="C2773" s="52">
        <v>2010</v>
      </c>
      <c r="D2773" s="52" t="s">
        <v>73</v>
      </c>
      <c r="E2773" s="52">
        <v>3</v>
      </c>
      <c r="F2773" s="54" t="s">
        <v>41</v>
      </c>
      <c r="G2773" s="52"/>
      <c r="H2773" s="55"/>
      <c r="I2773" s="56"/>
    </row>
    <row r="2774" spans="2:9" x14ac:dyDescent="0.2">
      <c r="B2774" s="51" t="str">
        <f t="shared" si="57"/>
        <v>2010-042-4</v>
      </c>
      <c r="C2774" s="52">
        <v>2010</v>
      </c>
      <c r="D2774" s="52" t="s">
        <v>73</v>
      </c>
      <c r="E2774" s="52">
        <v>4</v>
      </c>
      <c r="F2774" s="54" t="s">
        <v>45</v>
      </c>
      <c r="G2774" s="52"/>
      <c r="H2774" s="55"/>
      <c r="I2774" s="56"/>
    </row>
    <row r="2775" spans="2:9" x14ac:dyDescent="0.2">
      <c r="B2775" s="57" t="str">
        <f t="shared" si="57"/>
        <v>2010-042-5</v>
      </c>
      <c r="C2775" s="58">
        <v>2010</v>
      </c>
      <c r="D2775" s="58" t="s">
        <v>73</v>
      </c>
      <c r="E2775" s="58">
        <v>5</v>
      </c>
      <c r="F2775" s="59" t="s">
        <v>50</v>
      </c>
      <c r="G2775" s="58" t="s">
        <v>3391</v>
      </c>
      <c r="H2775" s="60"/>
      <c r="I2775" s="61"/>
    </row>
    <row r="2776" spans="2:9" x14ac:dyDescent="0.2">
      <c r="B2776" s="62" t="str">
        <f t="shared" si="57"/>
        <v>2010-043-0</v>
      </c>
      <c r="C2776" s="63">
        <v>2010</v>
      </c>
      <c r="D2776" s="63" t="s">
        <v>74</v>
      </c>
      <c r="E2776" s="63">
        <v>0</v>
      </c>
      <c r="F2776" s="64" t="s">
        <v>416</v>
      </c>
      <c r="G2776" s="63"/>
      <c r="H2776" s="65"/>
      <c r="I2776" s="66"/>
    </row>
    <row r="2777" spans="2:9" ht="27" x14ac:dyDescent="0.2">
      <c r="B2777" s="51" t="str">
        <f t="shared" si="57"/>
        <v>2010-043-1</v>
      </c>
      <c r="C2777" s="52">
        <v>2010</v>
      </c>
      <c r="D2777" s="52" t="s">
        <v>74</v>
      </c>
      <c r="E2777" s="52">
        <v>1</v>
      </c>
      <c r="F2777" s="54" t="s">
        <v>805</v>
      </c>
      <c r="G2777" s="52"/>
      <c r="H2777" s="55"/>
      <c r="I2777" s="56"/>
    </row>
    <row r="2778" spans="2:9" x14ac:dyDescent="0.2">
      <c r="B2778" s="51" t="str">
        <f t="shared" si="57"/>
        <v>2010-043-2</v>
      </c>
      <c r="C2778" s="52">
        <v>2010</v>
      </c>
      <c r="D2778" s="52" t="s">
        <v>74</v>
      </c>
      <c r="E2778" s="52">
        <v>2</v>
      </c>
      <c r="F2778" s="54" t="s">
        <v>1198</v>
      </c>
      <c r="G2778" s="52" t="s">
        <v>3391</v>
      </c>
      <c r="H2778" s="55"/>
      <c r="I2778" s="56"/>
    </row>
    <row r="2779" spans="2:9" x14ac:dyDescent="0.2">
      <c r="B2779" s="51" t="str">
        <f t="shared" si="57"/>
        <v>2010-043-3</v>
      </c>
      <c r="C2779" s="52">
        <v>2010</v>
      </c>
      <c r="D2779" s="52" t="s">
        <v>74</v>
      </c>
      <c r="E2779" s="52">
        <v>3</v>
      </c>
      <c r="F2779" s="54" t="s">
        <v>733</v>
      </c>
      <c r="G2779" s="52"/>
      <c r="H2779" s="55"/>
      <c r="I2779" s="56"/>
    </row>
    <row r="2780" spans="2:9" ht="27" x14ac:dyDescent="0.2">
      <c r="B2780" s="51" t="str">
        <f t="shared" si="57"/>
        <v>2010-043-4</v>
      </c>
      <c r="C2780" s="52">
        <v>2010</v>
      </c>
      <c r="D2780" s="52" t="s">
        <v>74</v>
      </c>
      <c r="E2780" s="52">
        <v>4</v>
      </c>
      <c r="F2780" s="54" t="s">
        <v>1937</v>
      </c>
      <c r="G2780" s="52"/>
      <c r="H2780" s="55"/>
      <c r="I2780" s="56"/>
    </row>
    <row r="2781" spans="2:9" x14ac:dyDescent="0.2">
      <c r="B2781" s="57" t="str">
        <f t="shared" si="57"/>
        <v>2010-043-5</v>
      </c>
      <c r="C2781" s="58">
        <v>2010</v>
      </c>
      <c r="D2781" s="58" t="s">
        <v>74</v>
      </c>
      <c r="E2781" s="58">
        <v>5</v>
      </c>
      <c r="F2781" s="59" t="s">
        <v>2295</v>
      </c>
      <c r="G2781" s="58"/>
      <c r="H2781" s="60"/>
      <c r="I2781" s="61"/>
    </row>
    <row r="2782" spans="2:9" x14ac:dyDescent="0.2">
      <c r="B2782" s="62" t="str">
        <f t="shared" si="57"/>
        <v>2010-044-0</v>
      </c>
      <c r="C2782" s="63">
        <v>2010</v>
      </c>
      <c r="D2782" s="63" t="s">
        <v>75</v>
      </c>
      <c r="E2782" s="63">
        <v>0</v>
      </c>
      <c r="F2782" s="64" t="s">
        <v>417</v>
      </c>
      <c r="G2782" s="63"/>
      <c r="H2782" s="65"/>
      <c r="I2782" s="66"/>
    </row>
    <row r="2783" spans="2:9" ht="27" x14ac:dyDescent="0.2">
      <c r="B2783" s="51" t="str">
        <f t="shared" si="57"/>
        <v>2010-044-1</v>
      </c>
      <c r="C2783" s="52">
        <v>2010</v>
      </c>
      <c r="D2783" s="52" t="s">
        <v>75</v>
      </c>
      <c r="E2783" s="52">
        <v>1</v>
      </c>
      <c r="F2783" s="54" t="s">
        <v>806</v>
      </c>
      <c r="G2783" s="52"/>
      <c r="H2783" s="55"/>
      <c r="I2783" s="56"/>
    </row>
    <row r="2784" spans="2:9" x14ac:dyDescent="0.2">
      <c r="B2784" s="51" t="str">
        <f t="shared" si="57"/>
        <v>2010-044-2</v>
      </c>
      <c r="C2784" s="52">
        <v>2010</v>
      </c>
      <c r="D2784" s="52" t="s">
        <v>75</v>
      </c>
      <c r="E2784" s="52">
        <v>2</v>
      </c>
      <c r="F2784" s="54" t="s">
        <v>1199</v>
      </c>
      <c r="G2784" s="52"/>
      <c r="H2784" s="55"/>
      <c r="I2784" s="56"/>
    </row>
    <row r="2785" spans="2:9" x14ac:dyDescent="0.2">
      <c r="B2785" s="51" t="str">
        <f t="shared" si="57"/>
        <v>2010-044-3</v>
      </c>
      <c r="C2785" s="52">
        <v>2010</v>
      </c>
      <c r="D2785" s="52" t="s">
        <v>75</v>
      </c>
      <c r="E2785" s="52">
        <v>3</v>
      </c>
      <c r="F2785" s="54" t="s">
        <v>1579</v>
      </c>
      <c r="G2785" s="52"/>
      <c r="H2785" s="55"/>
      <c r="I2785" s="56"/>
    </row>
    <row r="2786" spans="2:9" x14ac:dyDescent="0.2">
      <c r="B2786" s="51" t="str">
        <f t="shared" si="57"/>
        <v>2010-044-4</v>
      </c>
      <c r="C2786" s="52">
        <v>2010</v>
      </c>
      <c r="D2786" s="52" t="s">
        <v>75</v>
      </c>
      <c r="E2786" s="52">
        <v>4</v>
      </c>
      <c r="F2786" s="54" t="s">
        <v>1938</v>
      </c>
      <c r="G2786" s="52" t="s">
        <v>3391</v>
      </c>
      <c r="H2786" s="55"/>
      <c r="I2786" s="56"/>
    </row>
    <row r="2787" spans="2:9" x14ac:dyDescent="0.2">
      <c r="B2787" s="57" t="str">
        <f t="shared" si="57"/>
        <v>2010-044-5</v>
      </c>
      <c r="C2787" s="58">
        <v>2010</v>
      </c>
      <c r="D2787" s="58" t="s">
        <v>75</v>
      </c>
      <c r="E2787" s="58">
        <v>5</v>
      </c>
      <c r="F2787" s="59" t="s">
        <v>2296</v>
      </c>
      <c r="G2787" s="58"/>
      <c r="H2787" s="60"/>
      <c r="I2787" s="61"/>
    </row>
    <row r="2788" spans="2:9" ht="27" x14ac:dyDescent="0.2">
      <c r="B2788" s="62" t="str">
        <f t="shared" si="57"/>
        <v>2010-045-0</v>
      </c>
      <c r="C2788" s="63">
        <v>2010</v>
      </c>
      <c r="D2788" s="63" t="s">
        <v>76</v>
      </c>
      <c r="E2788" s="63">
        <v>0</v>
      </c>
      <c r="F2788" s="64" t="s">
        <v>418</v>
      </c>
      <c r="G2788" s="63"/>
      <c r="H2788" s="65"/>
      <c r="I2788" s="66"/>
    </row>
    <row r="2789" spans="2:9" ht="27" x14ac:dyDescent="0.2">
      <c r="B2789" s="51" t="str">
        <f t="shared" si="57"/>
        <v>2010-045-1</v>
      </c>
      <c r="C2789" s="52">
        <v>2010</v>
      </c>
      <c r="D2789" s="52" t="s">
        <v>76</v>
      </c>
      <c r="E2789" s="52">
        <v>1</v>
      </c>
      <c r="F2789" s="54" t="s">
        <v>807</v>
      </c>
      <c r="G2789" s="52" t="s">
        <v>3391</v>
      </c>
      <c r="H2789" s="55"/>
      <c r="I2789" s="56"/>
    </row>
    <row r="2790" spans="2:9" ht="27" x14ac:dyDescent="0.2">
      <c r="B2790" s="51" t="str">
        <f t="shared" si="57"/>
        <v>2010-045-2</v>
      </c>
      <c r="C2790" s="52">
        <v>2010</v>
      </c>
      <c r="D2790" s="52" t="s">
        <v>76</v>
      </c>
      <c r="E2790" s="52">
        <v>2</v>
      </c>
      <c r="F2790" s="54" t="s">
        <v>1200</v>
      </c>
      <c r="G2790" s="52"/>
      <c r="H2790" s="55"/>
      <c r="I2790" s="56"/>
    </row>
    <row r="2791" spans="2:9" ht="27" x14ac:dyDescent="0.2">
      <c r="B2791" s="51" t="str">
        <f t="shared" si="57"/>
        <v>2010-045-3</v>
      </c>
      <c r="C2791" s="52">
        <v>2010</v>
      </c>
      <c r="D2791" s="52" t="s">
        <v>76</v>
      </c>
      <c r="E2791" s="52">
        <v>3</v>
      </c>
      <c r="F2791" s="54" t="s">
        <v>1580</v>
      </c>
      <c r="G2791" s="52"/>
      <c r="H2791" s="55"/>
      <c r="I2791" s="56"/>
    </row>
    <row r="2792" spans="2:9" ht="27" x14ac:dyDescent="0.2">
      <c r="B2792" s="51" t="str">
        <f t="shared" si="57"/>
        <v>2010-045-4</v>
      </c>
      <c r="C2792" s="52">
        <v>2010</v>
      </c>
      <c r="D2792" s="52" t="s">
        <v>76</v>
      </c>
      <c r="E2792" s="52">
        <v>4</v>
      </c>
      <c r="F2792" s="54" t="s">
        <v>1939</v>
      </c>
      <c r="G2792" s="52"/>
      <c r="H2792" s="55"/>
      <c r="I2792" s="56"/>
    </row>
    <row r="2793" spans="2:9" ht="27" x14ac:dyDescent="0.2">
      <c r="B2793" s="57" t="str">
        <f t="shared" si="57"/>
        <v>2010-045-5</v>
      </c>
      <c r="C2793" s="58">
        <v>2010</v>
      </c>
      <c r="D2793" s="58" t="s">
        <v>76</v>
      </c>
      <c r="E2793" s="58">
        <v>5</v>
      </c>
      <c r="F2793" s="59" t="s">
        <v>2297</v>
      </c>
      <c r="G2793" s="58"/>
      <c r="H2793" s="60"/>
      <c r="I2793" s="61"/>
    </row>
    <row r="2794" spans="2:9" ht="67.5" x14ac:dyDescent="0.2">
      <c r="B2794" s="62" t="str">
        <f t="shared" si="57"/>
        <v>2010-046-0</v>
      </c>
      <c r="C2794" s="63">
        <v>2010</v>
      </c>
      <c r="D2794" s="63" t="s">
        <v>77</v>
      </c>
      <c r="E2794" s="63">
        <v>0</v>
      </c>
      <c r="F2794" s="64" t="s">
        <v>419</v>
      </c>
      <c r="G2794" s="63"/>
      <c r="H2794" s="65"/>
      <c r="I2794" s="66"/>
    </row>
    <row r="2795" spans="2:9" x14ac:dyDescent="0.2">
      <c r="B2795" s="51" t="str">
        <f t="shared" si="57"/>
        <v>2010-046-1</v>
      </c>
      <c r="C2795" s="52">
        <v>2010</v>
      </c>
      <c r="D2795" s="52" t="s">
        <v>77</v>
      </c>
      <c r="E2795" s="52">
        <v>1</v>
      </c>
      <c r="F2795" s="54" t="s">
        <v>21</v>
      </c>
      <c r="G2795" s="52"/>
      <c r="H2795" s="55"/>
      <c r="I2795" s="56"/>
    </row>
    <row r="2796" spans="2:9" x14ac:dyDescent="0.2">
      <c r="B2796" s="51" t="str">
        <f t="shared" si="57"/>
        <v>2010-046-2</v>
      </c>
      <c r="C2796" s="52">
        <v>2010</v>
      </c>
      <c r="D2796" s="52" t="s">
        <v>77</v>
      </c>
      <c r="E2796" s="52">
        <v>2</v>
      </c>
      <c r="F2796" s="54" t="s">
        <v>20</v>
      </c>
      <c r="G2796" s="52"/>
      <c r="H2796" s="55"/>
      <c r="I2796" s="56"/>
    </row>
    <row r="2797" spans="2:9" x14ac:dyDescent="0.2">
      <c r="B2797" s="51" t="str">
        <f t="shared" si="57"/>
        <v>2010-046-3</v>
      </c>
      <c r="C2797" s="52">
        <v>2010</v>
      </c>
      <c r="D2797" s="52" t="s">
        <v>77</v>
      </c>
      <c r="E2797" s="52">
        <v>3</v>
      </c>
      <c r="F2797" s="54" t="s">
        <v>22</v>
      </c>
      <c r="G2797" s="52"/>
      <c r="H2797" s="55"/>
      <c r="I2797" s="56"/>
    </row>
    <row r="2798" spans="2:9" x14ac:dyDescent="0.2">
      <c r="B2798" s="51" t="str">
        <f t="shared" si="57"/>
        <v>2010-046-4</v>
      </c>
      <c r="C2798" s="52">
        <v>2010</v>
      </c>
      <c r="D2798" s="52" t="s">
        <v>77</v>
      </c>
      <c r="E2798" s="52">
        <v>4</v>
      </c>
      <c r="F2798" s="54" t="s">
        <v>31</v>
      </c>
      <c r="G2798" s="52"/>
      <c r="H2798" s="55"/>
      <c r="I2798" s="56"/>
    </row>
    <row r="2799" spans="2:9" x14ac:dyDescent="0.2">
      <c r="B2799" s="57" t="str">
        <f t="shared" si="57"/>
        <v>2010-046-5</v>
      </c>
      <c r="C2799" s="58">
        <v>2010</v>
      </c>
      <c r="D2799" s="58" t="s">
        <v>77</v>
      </c>
      <c r="E2799" s="58">
        <v>5</v>
      </c>
      <c r="F2799" s="59" t="s">
        <v>49</v>
      </c>
      <c r="G2799" s="58" t="s">
        <v>3391</v>
      </c>
      <c r="H2799" s="60"/>
      <c r="I2799" s="61"/>
    </row>
    <row r="2800" spans="2:9" x14ac:dyDescent="0.2">
      <c r="B2800" s="62" t="str">
        <f t="shared" si="57"/>
        <v>2010-047-0</v>
      </c>
      <c r="C2800" s="63">
        <v>2010</v>
      </c>
      <c r="D2800" s="63" t="s">
        <v>78</v>
      </c>
      <c r="E2800" s="63">
        <v>0</v>
      </c>
      <c r="F2800" s="64" t="s">
        <v>195</v>
      </c>
      <c r="G2800" s="63"/>
      <c r="H2800" s="65"/>
      <c r="I2800" s="66"/>
    </row>
    <row r="2801" spans="2:9" x14ac:dyDescent="0.2">
      <c r="B2801" s="51" t="str">
        <f t="shared" si="57"/>
        <v>2010-047-1</v>
      </c>
      <c r="C2801" s="52">
        <v>2010</v>
      </c>
      <c r="D2801" s="52" t="s">
        <v>78</v>
      </c>
      <c r="E2801" s="52">
        <v>1</v>
      </c>
      <c r="F2801" s="54" t="s">
        <v>808</v>
      </c>
      <c r="G2801" s="52"/>
      <c r="H2801" s="55"/>
      <c r="I2801" s="56"/>
    </row>
    <row r="2802" spans="2:9" x14ac:dyDescent="0.2">
      <c r="B2802" s="51" t="str">
        <f t="shared" si="57"/>
        <v>2010-047-2</v>
      </c>
      <c r="C2802" s="52">
        <v>2010</v>
      </c>
      <c r="D2802" s="52" t="s">
        <v>78</v>
      </c>
      <c r="E2802" s="52">
        <v>2</v>
      </c>
      <c r="F2802" s="54" t="s">
        <v>1201</v>
      </c>
      <c r="G2802" s="52"/>
      <c r="H2802" s="55"/>
      <c r="I2802" s="56"/>
    </row>
    <row r="2803" spans="2:9" x14ac:dyDescent="0.2">
      <c r="B2803" s="51" t="str">
        <f t="shared" si="57"/>
        <v>2010-047-3</v>
      </c>
      <c r="C2803" s="52">
        <v>2010</v>
      </c>
      <c r="D2803" s="52" t="s">
        <v>78</v>
      </c>
      <c r="E2803" s="52">
        <v>3</v>
      </c>
      <c r="F2803" s="54" t="s">
        <v>1581</v>
      </c>
      <c r="G2803" s="52" t="s">
        <v>3391</v>
      </c>
      <c r="H2803" s="55"/>
      <c r="I2803" s="56"/>
    </row>
    <row r="2804" spans="2:9" x14ac:dyDescent="0.2">
      <c r="B2804" s="51" t="str">
        <f t="shared" si="57"/>
        <v>2010-047-4</v>
      </c>
      <c r="C2804" s="52">
        <v>2010</v>
      </c>
      <c r="D2804" s="52" t="s">
        <v>78</v>
      </c>
      <c r="E2804" s="52">
        <v>4</v>
      </c>
      <c r="F2804" s="54" t="s">
        <v>1940</v>
      </c>
      <c r="G2804" s="52"/>
      <c r="H2804" s="55"/>
      <c r="I2804" s="56"/>
    </row>
    <row r="2805" spans="2:9" x14ac:dyDescent="0.2">
      <c r="B2805" s="57" t="str">
        <f t="shared" si="57"/>
        <v>2010-047-5</v>
      </c>
      <c r="C2805" s="58">
        <v>2010</v>
      </c>
      <c r="D2805" s="58" t="s">
        <v>78</v>
      </c>
      <c r="E2805" s="58">
        <v>5</v>
      </c>
      <c r="F2805" s="59" t="s">
        <v>2298</v>
      </c>
      <c r="G2805" s="58"/>
      <c r="H2805" s="60"/>
      <c r="I2805" s="61"/>
    </row>
    <row r="2806" spans="2:9" x14ac:dyDescent="0.2">
      <c r="B2806" s="62" t="str">
        <f t="shared" si="57"/>
        <v>2010-048-0</v>
      </c>
      <c r="C2806" s="63">
        <v>2010</v>
      </c>
      <c r="D2806" s="63" t="s">
        <v>79</v>
      </c>
      <c r="E2806" s="63">
        <v>0</v>
      </c>
      <c r="F2806" s="64" t="s">
        <v>375</v>
      </c>
      <c r="G2806" s="63"/>
      <c r="H2806" s="65"/>
      <c r="I2806" s="66"/>
    </row>
    <row r="2807" spans="2:9" x14ac:dyDescent="0.2">
      <c r="B2807" s="51" t="str">
        <f t="shared" si="57"/>
        <v>2010-048-1</v>
      </c>
      <c r="C2807" s="52">
        <v>2010</v>
      </c>
      <c r="D2807" s="52" t="s">
        <v>79</v>
      </c>
      <c r="E2807" s="52">
        <v>1</v>
      </c>
      <c r="F2807" s="54" t="s">
        <v>809</v>
      </c>
      <c r="G2807" s="52"/>
      <c r="H2807" s="55"/>
      <c r="I2807" s="56"/>
    </row>
    <row r="2808" spans="2:9" x14ac:dyDescent="0.2">
      <c r="B2808" s="51" t="str">
        <f t="shared" si="57"/>
        <v>2010-048-2</v>
      </c>
      <c r="C2808" s="52">
        <v>2010</v>
      </c>
      <c r="D2808" s="52" t="s">
        <v>79</v>
      </c>
      <c r="E2808" s="52">
        <v>2</v>
      </c>
      <c r="F2808" s="54" t="s">
        <v>1202</v>
      </c>
      <c r="G2808" s="52" t="s">
        <v>3391</v>
      </c>
      <c r="H2808" s="55"/>
      <c r="I2808" s="56"/>
    </row>
    <row r="2809" spans="2:9" x14ac:dyDescent="0.2">
      <c r="B2809" s="51" t="str">
        <f t="shared" si="57"/>
        <v>2010-048-3</v>
      </c>
      <c r="C2809" s="52">
        <v>2010</v>
      </c>
      <c r="D2809" s="52" t="s">
        <v>79</v>
      </c>
      <c r="E2809" s="52">
        <v>3</v>
      </c>
      <c r="F2809" s="54" t="s">
        <v>1582</v>
      </c>
      <c r="G2809" s="52"/>
      <c r="H2809" s="55"/>
      <c r="I2809" s="56"/>
    </row>
    <row r="2810" spans="2:9" x14ac:dyDescent="0.2">
      <c r="B2810" s="51" t="str">
        <f t="shared" si="57"/>
        <v>2010-048-4</v>
      </c>
      <c r="C2810" s="52">
        <v>2010</v>
      </c>
      <c r="D2810" s="52" t="s">
        <v>79</v>
      </c>
      <c r="E2810" s="52">
        <v>4</v>
      </c>
      <c r="F2810" s="54" t="s">
        <v>1941</v>
      </c>
      <c r="G2810" s="52"/>
      <c r="H2810" s="55"/>
      <c r="I2810" s="56"/>
    </row>
    <row r="2811" spans="2:9" x14ac:dyDescent="0.2">
      <c r="B2811" s="57" t="str">
        <f t="shared" si="57"/>
        <v>2010-048-5</v>
      </c>
      <c r="C2811" s="58">
        <v>2010</v>
      </c>
      <c r="D2811" s="58" t="s">
        <v>79</v>
      </c>
      <c r="E2811" s="58">
        <v>5</v>
      </c>
      <c r="F2811" s="59" t="s">
        <v>2299</v>
      </c>
      <c r="G2811" s="58"/>
      <c r="H2811" s="60"/>
      <c r="I2811" s="61"/>
    </row>
    <row r="2812" spans="2:9" x14ac:dyDescent="0.2">
      <c r="B2812" s="62" t="str">
        <f t="shared" si="57"/>
        <v>2010-049-0</v>
      </c>
      <c r="C2812" s="63">
        <v>2010</v>
      </c>
      <c r="D2812" s="63" t="s">
        <v>80</v>
      </c>
      <c r="E2812" s="63">
        <v>0</v>
      </c>
      <c r="F2812" s="64" t="s">
        <v>420</v>
      </c>
      <c r="G2812" s="63"/>
      <c r="H2812" s="65"/>
      <c r="I2812" s="66"/>
    </row>
    <row r="2813" spans="2:9" ht="27" x14ac:dyDescent="0.2">
      <c r="B2813" s="51" t="str">
        <f t="shared" si="57"/>
        <v>2010-049-1</v>
      </c>
      <c r="C2813" s="52">
        <v>2010</v>
      </c>
      <c r="D2813" s="52" t="s">
        <v>80</v>
      </c>
      <c r="E2813" s="52">
        <v>1</v>
      </c>
      <c r="F2813" s="54" t="s">
        <v>810</v>
      </c>
      <c r="G2813" s="52"/>
      <c r="H2813" s="55"/>
      <c r="I2813" s="56"/>
    </row>
    <row r="2814" spans="2:9" x14ac:dyDescent="0.2">
      <c r="B2814" s="51" t="str">
        <f t="shared" si="57"/>
        <v>2010-049-2</v>
      </c>
      <c r="C2814" s="52">
        <v>2010</v>
      </c>
      <c r="D2814" s="52" t="s">
        <v>80</v>
      </c>
      <c r="E2814" s="52">
        <v>2</v>
      </c>
      <c r="F2814" s="54" t="s">
        <v>1203</v>
      </c>
      <c r="G2814" s="52"/>
      <c r="H2814" s="55"/>
      <c r="I2814" s="56"/>
    </row>
    <row r="2815" spans="2:9" ht="27" x14ac:dyDescent="0.2">
      <c r="B2815" s="51" t="str">
        <f t="shared" si="57"/>
        <v>2010-049-3</v>
      </c>
      <c r="C2815" s="52">
        <v>2010</v>
      </c>
      <c r="D2815" s="52" t="s">
        <v>80</v>
      </c>
      <c r="E2815" s="52">
        <v>3</v>
      </c>
      <c r="F2815" s="54" t="s">
        <v>1583</v>
      </c>
      <c r="G2815" s="52"/>
      <c r="H2815" s="55"/>
      <c r="I2815" s="56"/>
    </row>
    <row r="2816" spans="2:9" x14ac:dyDescent="0.2">
      <c r="B2816" s="51" t="str">
        <f t="shared" si="57"/>
        <v>2010-049-4</v>
      </c>
      <c r="C2816" s="52">
        <v>2010</v>
      </c>
      <c r="D2816" s="52" t="s">
        <v>80</v>
      </c>
      <c r="E2816" s="52">
        <v>4</v>
      </c>
      <c r="F2816" s="54" t="s">
        <v>1942</v>
      </c>
      <c r="G2816" s="52" t="s">
        <v>3391</v>
      </c>
      <c r="H2816" s="55"/>
      <c r="I2816" s="56"/>
    </row>
    <row r="2817" spans="2:9" x14ac:dyDescent="0.2">
      <c r="B2817" s="57" t="str">
        <f t="shared" si="57"/>
        <v>2010-049-5</v>
      </c>
      <c r="C2817" s="58">
        <v>2010</v>
      </c>
      <c r="D2817" s="58" t="s">
        <v>80</v>
      </c>
      <c r="E2817" s="58">
        <v>5</v>
      </c>
      <c r="F2817" s="59" t="s">
        <v>2300</v>
      </c>
      <c r="G2817" s="58"/>
      <c r="H2817" s="60"/>
      <c r="I2817" s="61"/>
    </row>
    <row r="2818" spans="2:9" x14ac:dyDescent="0.2">
      <c r="B2818" s="62" t="str">
        <f t="shared" si="57"/>
        <v>2010-050-0</v>
      </c>
      <c r="C2818" s="63">
        <v>2010</v>
      </c>
      <c r="D2818" s="63" t="s">
        <v>81</v>
      </c>
      <c r="E2818" s="63">
        <v>0</v>
      </c>
      <c r="F2818" s="64" t="s">
        <v>421</v>
      </c>
      <c r="G2818" s="63"/>
      <c r="H2818" s="65"/>
      <c r="I2818" s="66"/>
    </row>
    <row r="2819" spans="2:9" x14ac:dyDescent="0.2">
      <c r="B2819" s="51" t="str">
        <f t="shared" si="57"/>
        <v>2010-050-1</v>
      </c>
      <c r="C2819" s="52">
        <v>2010</v>
      </c>
      <c r="D2819" s="52" t="s">
        <v>81</v>
      </c>
      <c r="E2819" s="52">
        <v>1</v>
      </c>
      <c r="F2819" s="54" t="s">
        <v>811</v>
      </c>
      <c r="G2819" s="52" t="s">
        <v>3391</v>
      </c>
      <c r="H2819" s="55"/>
      <c r="I2819" s="56"/>
    </row>
    <row r="2820" spans="2:9" x14ac:dyDescent="0.2">
      <c r="B2820" s="51" t="str">
        <f t="shared" si="57"/>
        <v>2010-050-2</v>
      </c>
      <c r="C2820" s="52">
        <v>2010</v>
      </c>
      <c r="D2820" s="52" t="s">
        <v>81</v>
      </c>
      <c r="E2820" s="52">
        <v>2</v>
      </c>
      <c r="F2820" s="54" t="s">
        <v>1204</v>
      </c>
      <c r="G2820" s="52"/>
      <c r="H2820" s="55"/>
      <c r="I2820" s="56"/>
    </row>
    <row r="2821" spans="2:9" x14ac:dyDescent="0.2">
      <c r="B2821" s="51" t="str">
        <f t="shared" si="57"/>
        <v>2010-050-3</v>
      </c>
      <c r="C2821" s="52">
        <v>2010</v>
      </c>
      <c r="D2821" s="52" t="s">
        <v>81</v>
      </c>
      <c r="E2821" s="52">
        <v>3</v>
      </c>
      <c r="F2821" s="54" t="s">
        <v>1584</v>
      </c>
      <c r="G2821" s="52"/>
      <c r="H2821" s="55"/>
      <c r="I2821" s="56"/>
    </row>
    <row r="2822" spans="2:9" x14ac:dyDescent="0.2">
      <c r="B2822" s="51" t="str">
        <f t="shared" si="57"/>
        <v>2010-050-4</v>
      </c>
      <c r="C2822" s="52">
        <v>2010</v>
      </c>
      <c r="D2822" s="52" t="s">
        <v>81</v>
      </c>
      <c r="E2822" s="52">
        <v>4</v>
      </c>
      <c r="F2822" s="54" t="s">
        <v>1943</v>
      </c>
      <c r="G2822" s="52"/>
      <c r="H2822" s="55"/>
      <c r="I2822" s="56"/>
    </row>
    <row r="2823" spans="2:9" ht="14.25" thickBot="1" x14ac:dyDescent="0.25">
      <c r="B2823" s="67" t="str">
        <f t="shared" si="57"/>
        <v>2010-050-5</v>
      </c>
      <c r="C2823" s="68">
        <v>2010</v>
      </c>
      <c r="D2823" s="68" t="s">
        <v>81</v>
      </c>
      <c r="E2823" s="68">
        <v>5</v>
      </c>
      <c r="F2823" s="69" t="s">
        <v>2301</v>
      </c>
      <c r="G2823" s="68"/>
      <c r="H2823" s="70"/>
      <c r="I2823" s="71"/>
    </row>
    <row r="2824" spans="2:9" x14ac:dyDescent="0.2">
      <c r="B2824" s="45" t="str">
        <f t="shared" ref="B2824:B2872" si="58">C2824&amp;"-"&amp;D2824&amp;"-"&amp;E2824</f>
        <v>2009-026-0</v>
      </c>
      <c r="C2824" s="46">
        <v>2009</v>
      </c>
      <c r="D2824" s="46" t="s">
        <v>4</v>
      </c>
      <c r="E2824" s="46">
        <v>0</v>
      </c>
      <c r="F2824" s="48" t="s">
        <v>167</v>
      </c>
      <c r="G2824" s="46"/>
      <c r="H2824" s="49"/>
      <c r="I2824" s="50"/>
    </row>
    <row r="2825" spans="2:9" x14ac:dyDescent="0.2">
      <c r="B2825" s="51" t="str">
        <f t="shared" si="58"/>
        <v>2009-026-1</v>
      </c>
      <c r="C2825" s="52">
        <v>2009</v>
      </c>
      <c r="D2825" s="52" t="s">
        <v>4</v>
      </c>
      <c r="E2825" s="52">
        <v>1</v>
      </c>
      <c r="F2825" s="54" t="s">
        <v>812</v>
      </c>
      <c r="G2825" s="52"/>
      <c r="H2825" s="55"/>
      <c r="I2825" s="56"/>
    </row>
    <row r="2826" spans="2:9" ht="27" x14ac:dyDescent="0.2">
      <c r="B2826" s="51" t="str">
        <f t="shared" si="58"/>
        <v>2009-026-2</v>
      </c>
      <c r="C2826" s="52">
        <v>2009</v>
      </c>
      <c r="D2826" s="52" t="s">
        <v>4</v>
      </c>
      <c r="E2826" s="52">
        <v>2</v>
      </c>
      <c r="F2826" s="54" t="s">
        <v>1205</v>
      </c>
      <c r="G2826" s="52"/>
      <c r="H2826" s="55"/>
      <c r="I2826" s="56"/>
    </row>
    <row r="2827" spans="2:9" x14ac:dyDescent="0.2">
      <c r="B2827" s="51" t="str">
        <f t="shared" si="58"/>
        <v>2009-026-3</v>
      </c>
      <c r="C2827" s="52">
        <v>2009</v>
      </c>
      <c r="D2827" s="52" t="s">
        <v>4</v>
      </c>
      <c r="E2827" s="52">
        <v>3</v>
      </c>
      <c r="F2827" s="54" t="s">
        <v>1585</v>
      </c>
      <c r="G2827" s="52" t="s">
        <v>3391</v>
      </c>
      <c r="H2827" s="55"/>
      <c r="I2827" s="56"/>
    </row>
    <row r="2828" spans="2:9" x14ac:dyDescent="0.2">
      <c r="B2828" s="51" t="str">
        <f t="shared" si="58"/>
        <v>2009-026-4</v>
      </c>
      <c r="C2828" s="52">
        <v>2009</v>
      </c>
      <c r="D2828" s="52" t="s">
        <v>4</v>
      </c>
      <c r="E2828" s="52">
        <v>4</v>
      </c>
      <c r="F2828" s="54" t="s">
        <v>1944</v>
      </c>
      <c r="G2828" s="52"/>
      <c r="H2828" s="55"/>
      <c r="I2828" s="56"/>
    </row>
    <row r="2829" spans="2:9" x14ac:dyDescent="0.2">
      <c r="B2829" s="57" t="str">
        <f t="shared" si="58"/>
        <v>2009-026-5</v>
      </c>
      <c r="C2829" s="58">
        <v>2009</v>
      </c>
      <c r="D2829" s="58" t="s">
        <v>4</v>
      </c>
      <c r="E2829" s="58">
        <v>5</v>
      </c>
      <c r="F2829" s="59" t="s">
        <v>2302</v>
      </c>
      <c r="G2829" s="58"/>
      <c r="H2829" s="60"/>
      <c r="I2829" s="61"/>
    </row>
    <row r="2830" spans="2:9" x14ac:dyDescent="0.2">
      <c r="B2830" s="62" t="str">
        <f t="shared" si="58"/>
        <v>2009-027-0</v>
      </c>
      <c r="C2830" s="63">
        <v>2009</v>
      </c>
      <c r="D2830" s="63" t="s">
        <v>5</v>
      </c>
      <c r="E2830" s="63">
        <v>0</v>
      </c>
      <c r="F2830" s="64" t="s">
        <v>377</v>
      </c>
      <c r="G2830" s="63"/>
      <c r="H2830" s="65"/>
      <c r="I2830" s="66"/>
    </row>
    <row r="2831" spans="2:9" x14ac:dyDescent="0.2">
      <c r="B2831" s="51" t="str">
        <f t="shared" si="58"/>
        <v>2009-027-1</v>
      </c>
      <c r="C2831" s="52">
        <v>2009</v>
      </c>
      <c r="D2831" s="52" t="s">
        <v>5</v>
      </c>
      <c r="E2831" s="52">
        <v>1</v>
      </c>
      <c r="F2831" s="54" t="s">
        <v>813</v>
      </c>
      <c r="G2831" s="52" t="s">
        <v>3391</v>
      </c>
      <c r="H2831" s="55"/>
      <c r="I2831" s="56"/>
    </row>
    <row r="2832" spans="2:9" x14ac:dyDescent="0.2">
      <c r="B2832" s="51" t="str">
        <f t="shared" si="58"/>
        <v>2009-027-2</v>
      </c>
      <c r="C2832" s="52">
        <v>2009</v>
      </c>
      <c r="D2832" s="52" t="s">
        <v>5</v>
      </c>
      <c r="E2832" s="52">
        <v>2</v>
      </c>
      <c r="F2832" s="54" t="s">
        <v>1206</v>
      </c>
      <c r="G2832" s="52"/>
      <c r="H2832" s="55"/>
      <c r="I2832" s="56"/>
    </row>
    <row r="2833" spans="2:9" x14ac:dyDescent="0.2">
      <c r="B2833" s="51" t="str">
        <f t="shared" si="58"/>
        <v>2009-027-3</v>
      </c>
      <c r="C2833" s="52">
        <v>2009</v>
      </c>
      <c r="D2833" s="52" t="s">
        <v>5</v>
      </c>
      <c r="E2833" s="52">
        <v>3</v>
      </c>
      <c r="F2833" s="54" t="s">
        <v>1586</v>
      </c>
      <c r="G2833" s="52"/>
      <c r="H2833" s="55"/>
      <c r="I2833" s="56"/>
    </row>
    <row r="2834" spans="2:9" x14ac:dyDescent="0.2">
      <c r="B2834" s="51" t="str">
        <f t="shared" si="58"/>
        <v>2009-027-4</v>
      </c>
      <c r="C2834" s="52">
        <v>2009</v>
      </c>
      <c r="D2834" s="52" t="s">
        <v>5</v>
      </c>
      <c r="E2834" s="52">
        <v>4</v>
      </c>
      <c r="F2834" s="54" t="s">
        <v>40</v>
      </c>
      <c r="G2834" s="52"/>
      <c r="H2834" s="55"/>
      <c r="I2834" s="56"/>
    </row>
    <row r="2835" spans="2:9" x14ac:dyDescent="0.2">
      <c r="B2835" s="57" t="str">
        <f t="shared" si="58"/>
        <v>2009-027-5</v>
      </c>
      <c r="C2835" s="58">
        <v>2009</v>
      </c>
      <c r="D2835" s="58" t="s">
        <v>5</v>
      </c>
      <c r="E2835" s="58">
        <v>5</v>
      </c>
      <c r="F2835" s="59" t="s">
        <v>2303</v>
      </c>
      <c r="G2835" s="58"/>
      <c r="H2835" s="60"/>
      <c r="I2835" s="61"/>
    </row>
    <row r="2836" spans="2:9" x14ac:dyDescent="0.2">
      <c r="B2836" s="62" t="str">
        <f t="shared" si="58"/>
        <v>2009-028-0</v>
      </c>
      <c r="C2836" s="63">
        <v>2009</v>
      </c>
      <c r="D2836" s="63" t="s">
        <v>6</v>
      </c>
      <c r="E2836" s="63">
        <v>0</v>
      </c>
      <c r="F2836" s="64" t="s">
        <v>422</v>
      </c>
      <c r="G2836" s="63"/>
      <c r="H2836" s="65"/>
      <c r="I2836" s="66"/>
    </row>
    <row r="2837" spans="2:9" x14ac:dyDescent="0.2">
      <c r="B2837" s="51" t="str">
        <f t="shared" si="58"/>
        <v>2009-028-1</v>
      </c>
      <c r="C2837" s="52">
        <v>2009</v>
      </c>
      <c r="D2837" s="52" t="s">
        <v>6</v>
      </c>
      <c r="E2837" s="52">
        <v>1</v>
      </c>
      <c r="F2837" s="54" t="s">
        <v>814</v>
      </c>
      <c r="G2837" s="52" t="s">
        <v>3391</v>
      </c>
      <c r="H2837" s="55"/>
      <c r="I2837" s="56"/>
    </row>
    <row r="2838" spans="2:9" x14ac:dyDescent="0.2">
      <c r="B2838" s="51" t="str">
        <f t="shared" si="58"/>
        <v>2009-028-2</v>
      </c>
      <c r="C2838" s="52">
        <v>2009</v>
      </c>
      <c r="D2838" s="52" t="s">
        <v>6</v>
      </c>
      <c r="E2838" s="52">
        <v>2</v>
      </c>
      <c r="F2838" s="54" t="s">
        <v>1207</v>
      </c>
      <c r="G2838" s="52"/>
      <c r="H2838" s="55"/>
      <c r="I2838" s="56"/>
    </row>
    <row r="2839" spans="2:9" ht="27" x14ac:dyDescent="0.2">
      <c r="B2839" s="51" t="str">
        <f t="shared" si="58"/>
        <v>2009-028-3</v>
      </c>
      <c r="C2839" s="52">
        <v>2009</v>
      </c>
      <c r="D2839" s="52" t="s">
        <v>6</v>
      </c>
      <c r="E2839" s="52">
        <v>3</v>
      </c>
      <c r="F2839" s="54" t="s">
        <v>1587</v>
      </c>
      <c r="G2839" s="52"/>
      <c r="H2839" s="55"/>
      <c r="I2839" s="56"/>
    </row>
    <row r="2840" spans="2:9" x14ac:dyDescent="0.2">
      <c r="B2840" s="51" t="str">
        <f t="shared" si="58"/>
        <v>2009-028-4</v>
      </c>
      <c r="C2840" s="52">
        <v>2009</v>
      </c>
      <c r="D2840" s="52" t="s">
        <v>6</v>
      </c>
      <c r="E2840" s="52">
        <v>4</v>
      </c>
      <c r="F2840" s="54" t="s">
        <v>1945</v>
      </c>
      <c r="G2840" s="52"/>
      <c r="H2840" s="55"/>
      <c r="I2840" s="56"/>
    </row>
    <row r="2841" spans="2:9" x14ac:dyDescent="0.2">
      <c r="B2841" s="57" t="str">
        <f t="shared" si="58"/>
        <v>2009-028-5</v>
      </c>
      <c r="C2841" s="58">
        <v>2009</v>
      </c>
      <c r="D2841" s="58" t="s">
        <v>6</v>
      </c>
      <c r="E2841" s="58">
        <v>5</v>
      </c>
      <c r="F2841" s="59" t="s">
        <v>2304</v>
      </c>
      <c r="G2841" s="58"/>
      <c r="H2841" s="60"/>
      <c r="I2841" s="61"/>
    </row>
    <row r="2842" spans="2:9" x14ac:dyDescent="0.2">
      <c r="B2842" s="62" t="str">
        <f t="shared" si="58"/>
        <v>2009-029-0</v>
      </c>
      <c r="C2842" s="63">
        <v>2009</v>
      </c>
      <c r="D2842" s="63" t="s">
        <v>7</v>
      </c>
      <c r="E2842" s="63">
        <v>0</v>
      </c>
      <c r="F2842" s="64" t="s">
        <v>423</v>
      </c>
      <c r="G2842" s="63"/>
      <c r="H2842" s="65"/>
      <c r="I2842" s="66"/>
    </row>
    <row r="2843" spans="2:9" x14ac:dyDescent="0.2">
      <c r="B2843" s="51" t="str">
        <f t="shared" si="58"/>
        <v>2009-029-1</v>
      </c>
      <c r="C2843" s="52">
        <v>2009</v>
      </c>
      <c r="D2843" s="52" t="s">
        <v>7</v>
      </c>
      <c r="E2843" s="52">
        <v>1</v>
      </c>
      <c r="F2843" s="54" t="s">
        <v>815</v>
      </c>
      <c r="G2843" s="52"/>
      <c r="H2843" s="55"/>
      <c r="I2843" s="56"/>
    </row>
    <row r="2844" spans="2:9" x14ac:dyDescent="0.2">
      <c r="B2844" s="51" t="str">
        <f t="shared" si="58"/>
        <v>2009-029-2</v>
      </c>
      <c r="C2844" s="52">
        <v>2009</v>
      </c>
      <c r="D2844" s="52" t="s">
        <v>7</v>
      </c>
      <c r="E2844" s="52">
        <v>2</v>
      </c>
      <c r="F2844" s="54" t="s">
        <v>1208</v>
      </c>
      <c r="G2844" s="52"/>
      <c r="H2844" s="55"/>
      <c r="I2844" s="56"/>
    </row>
    <row r="2845" spans="2:9" x14ac:dyDescent="0.2">
      <c r="B2845" s="51" t="str">
        <f t="shared" si="58"/>
        <v>2009-029-3</v>
      </c>
      <c r="C2845" s="52">
        <v>2009</v>
      </c>
      <c r="D2845" s="52" t="s">
        <v>7</v>
      </c>
      <c r="E2845" s="52">
        <v>3</v>
      </c>
      <c r="F2845" s="54" t="s">
        <v>1588</v>
      </c>
      <c r="G2845" s="52" t="s">
        <v>3391</v>
      </c>
      <c r="H2845" s="55"/>
      <c r="I2845" s="56"/>
    </row>
    <row r="2846" spans="2:9" x14ac:dyDescent="0.2">
      <c r="B2846" s="51" t="str">
        <f t="shared" si="58"/>
        <v>2009-029-4</v>
      </c>
      <c r="C2846" s="52">
        <v>2009</v>
      </c>
      <c r="D2846" s="52" t="s">
        <v>7</v>
      </c>
      <c r="E2846" s="52">
        <v>4</v>
      </c>
      <c r="F2846" s="54" t="s">
        <v>1946</v>
      </c>
      <c r="G2846" s="52"/>
      <c r="H2846" s="55"/>
      <c r="I2846" s="56"/>
    </row>
    <row r="2847" spans="2:9" x14ac:dyDescent="0.2">
      <c r="B2847" s="57" t="str">
        <f t="shared" si="58"/>
        <v>2009-029-5</v>
      </c>
      <c r="C2847" s="58">
        <v>2009</v>
      </c>
      <c r="D2847" s="58" t="s">
        <v>7</v>
      </c>
      <c r="E2847" s="58">
        <v>5</v>
      </c>
      <c r="F2847" s="59" t="s">
        <v>2305</v>
      </c>
      <c r="G2847" s="58"/>
      <c r="H2847" s="60"/>
      <c r="I2847" s="61"/>
    </row>
    <row r="2848" spans="2:9" x14ac:dyDescent="0.2">
      <c r="B2848" s="62" t="str">
        <f t="shared" si="58"/>
        <v>2009-030-0</v>
      </c>
      <c r="C2848" s="63">
        <v>2009</v>
      </c>
      <c r="D2848" s="63" t="s">
        <v>8</v>
      </c>
      <c r="E2848" s="63">
        <v>0</v>
      </c>
      <c r="F2848" s="64" t="s">
        <v>19</v>
      </c>
      <c r="G2848" s="63"/>
      <c r="H2848" s="65"/>
      <c r="I2848" s="66"/>
    </row>
    <row r="2849" spans="2:9" ht="27" x14ac:dyDescent="0.2">
      <c r="B2849" s="51" t="str">
        <f t="shared" si="58"/>
        <v>2009-030-1</v>
      </c>
      <c r="C2849" s="52">
        <v>2009</v>
      </c>
      <c r="D2849" s="52" t="s">
        <v>8</v>
      </c>
      <c r="E2849" s="52">
        <v>1</v>
      </c>
      <c r="F2849" s="54" t="s">
        <v>816</v>
      </c>
      <c r="G2849" s="52"/>
      <c r="H2849" s="55"/>
      <c r="I2849" s="56"/>
    </row>
    <row r="2850" spans="2:9" x14ac:dyDescent="0.2">
      <c r="B2850" s="51" t="str">
        <f t="shared" si="58"/>
        <v>2009-030-2</v>
      </c>
      <c r="C2850" s="52">
        <v>2009</v>
      </c>
      <c r="D2850" s="52" t="s">
        <v>8</v>
      </c>
      <c r="E2850" s="52">
        <v>2</v>
      </c>
      <c r="F2850" s="54" t="s">
        <v>1209</v>
      </c>
      <c r="G2850" s="52"/>
      <c r="H2850" s="55"/>
      <c r="I2850" s="56"/>
    </row>
    <row r="2851" spans="2:9" x14ac:dyDescent="0.2">
      <c r="B2851" s="51" t="str">
        <f t="shared" si="58"/>
        <v>2009-030-3</v>
      </c>
      <c r="C2851" s="52">
        <v>2009</v>
      </c>
      <c r="D2851" s="52" t="s">
        <v>8</v>
      </c>
      <c r="E2851" s="52">
        <v>3</v>
      </c>
      <c r="F2851" s="54" t="s">
        <v>2825</v>
      </c>
      <c r="G2851" s="52"/>
      <c r="H2851" s="55"/>
      <c r="I2851" s="56"/>
    </row>
    <row r="2852" spans="2:9" x14ac:dyDescent="0.2">
      <c r="B2852" s="51" t="str">
        <f t="shared" si="58"/>
        <v>2009-030-4</v>
      </c>
      <c r="C2852" s="52">
        <v>2009</v>
      </c>
      <c r="D2852" s="52" t="s">
        <v>8</v>
      </c>
      <c r="E2852" s="52">
        <v>4</v>
      </c>
      <c r="F2852" s="54" t="s">
        <v>1947</v>
      </c>
      <c r="G2852" s="52"/>
      <c r="H2852" s="55"/>
      <c r="I2852" s="56"/>
    </row>
    <row r="2853" spans="2:9" x14ac:dyDescent="0.2">
      <c r="B2853" s="57" t="str">
        <f t="shared" si="58"/>
        <v>2009-030-5</v>
      </c>
      <c r="C2853" s="58">
        <v>2009</v>
      </c>
      <c r="D2853" s="58" t="s">
        <v>8</v>
      </c>
      <c r="E2853" s="58">
        <v>5</v>
      </c>
      <c r="F2853" s="59" t="s">
        <v>2306</v>
      </c>
      <c r="G2853" s="58"/>
      <c r="H2853" s="60"/>
      <c r="I2853" s="61"/>
    </row>
    <row r="2854" spans="2:9" x14ac:dyDescent="0.2">
      <c r="B2854" s="62" t="str">
        <f t="shared" si="58"/>
        <v>2009-031-0</v>
      </c>
      <c r="C2854" s="63">
        <v>2009</v>
      </c>
      <c r="D2854" s="63" t="s">
        <v>9</v>
      </c>
      <c r="E2854" s="63">
        <v>0</v>
      </c>
      <c r="F2854" s="64" t="s">
        <v>424</v>
      </c>
      <c r="G2854" s="63"/>
      <c r="H2854" s="65"/>
      <c r="I2854" s="66"/>
    </row>
    <row r="2855" spans="2:9" x14ac:dyDescent="0.2">
      <c r="B2855" s="51" t="str">
        <f t="shared" si="58"/>
        <v>2009-031-1</v>
      </c>
      <c r="C2855" s="52">
        <v>2009</v>
      </c>
      <c r="D2855" s="52" t="s">
        <v>9</v>
      </c>
      <c r="E2855" s="52">
        <v>1</v>
      </c>
      <c r="F2855" s="54" t="s">
        <v>817</v>
      </c>
      <c r="G2855" s="52"/>
      <c r="H2855" s="55"/>
      <c r="I2855" s="56"/>
    </row>
    <row r="2856" spans="2:9" x14ac:dyDescent="0.2">
      <c r="B2856" s="51" t="str">
        <f t="shared" si="58"/>
        <v>2009-031-2</v>
      </c>
      <c r="C2856" s="52">
        <v>2009</v>
      </c>
      <c r="D2856" s="52" t="s">
        <v>9</v>
      </c>
      <c r="E2856" s="52">
        <v>2</v>
      </c>
      <c r="F2856" s="54" t="s">
        <v>1210</v>
      </c>
      <c r="G2856" s="52"/>
      <c r="H2856" s="55"/>
      <c r="I2856" s="56"/>
    </row>
    <row r="2857" spans="2:9" x14ac:dyDescent="0.2">
      <c r="B2857" s="51" t="str">
        <f t="shared" si="58"/>
        <v>2009-031-3</v>
      </c>
      <c r="C2857" s="52">
        <v>2009</v>
      </c>
      <c r="D2857" s="52" t="s">
        <v>9</v>
      </c>
      <c r="E2857" s="52">
        <v>3</v>
      </c>
      <c r="F2857" s="54" t="s">
        <v>2826</v>
      </c>
      <c r="G2857" s="52"/>
      <c r="H2857" s="55"/>
      <c r="I2857" s="56"/>
    </row>
    <row r="2858" spans="2:9" ht="27" x14ac:dyDescent="0.2">
      <c r="B2858" s="51" t="str">
        <f t="shared" si="58"/>
        <v>2009-031-4</v>
      </c>
      <c r="C2858" s="52">
        <v>2009</v>
      </c>
      <c r="D2858" s="52" t="s">
        <v>9</v>
      </c>
      <c r="E2858" s="52">
        <v>4</v>
      </c>
      <c r="F2858" s="54" t="s">
        <v>1948</v>
      </c>
      <c r="G2858" s="52" t="s">
        <v>3391</v>
      </c>
      <c r="H2858" s="55"/>
      <c r="I2858" s="56"/>
    </row>
    <row r="2859" spans="2:9" x14ac:dyDescent="0.2">
      <c r="B2859" s="57" t="str">
        <f t="shared" si="58"/>
        <v>2009-031-5</v>
      </c>
      <c r="C2859" s="58">
        <v>2009</v>
      </c>
      <c r="D2859" s="58" t="s">
        <v>9</v>
      </c>
      <c r="E2859" s="58">
        <v>5</v>
      </c>
      <c r="F2859" s="59" t="s">
        <v>2307</v>
      </c>
      <c r="G2859" s="58"/>
      <c r="H2859" s="60"/>
      <c r="I2859" s="61"/>
    </row>
    <row r="2860" spans="2:9" x14ac:dyDescent="0.2">
      <c r="B2860" s="62" t="str">
        <f t="shared" si="58"/>
        <v>2009-032-0</v>
      </c>
      <c r="C2860" s="63">
        <v>2009</v>
      </c>
      <c r="D2860" s="63" t="s">
        <v>10</v>
      </c>
      <c r="E2860" s="63">
        <v>0</v>
      </c>
      <c r="F2860" s="64" t="s">
        <v>425</v>
      </c>
      <c r="G2860" s="63"/>
      <c r="H2860" s="65"/>
      <c r="I2860" s="66"/>
    </row>
    <row r="2861" spans="2:9" ht="27" x14ac:dyDescent="0.2">
      <c r="B2861" s="51" t="str">
        <f t="shared" si="58"/>
        <v>2009-032-1</v>
      </c>
      <c r="C2861" s="52">
        <v>2009</v>
      </c>
      <c r="D2861" s="52" t="s">
        <v>10</v>
      </c>
      <c r="E2861" s="52">
        <v>1</v>
      </c>
      <c r="F2861" s="54" t="s">
        <v>818</v>
      </c>
      <c r="G2861" s="52"/>
      <c r="H2861" s="55"/>
      <c r="I2861" s="56"/>
    </row>
    <row r="2862" spans="2:9" ht="27" x14ac:dyDescent="0.2">
      <c r="B2862" s="51" t="str">
        <f t="shared" si="58"/>
        <v>2009-032-2</v>
      </c>
      <c r="C2862" s="52">
        <v>2009</v>
      </c>
      <c r="D2862" s="52" t="s">
        <v>10</v>
      </c>
      <c r="E2862" s="52">
        <v>2</v>
      </c>
      <c r="F2862" s="54" t="s">
        <v>1211</v>
      </c>
      <c r="G2862" s="52"/>
      <c r="H2862" s="55"/>
      <c r="I2862" s="56"/>
    </row>
    <row r="2863" spans="2:9" ht="27" x14ac:dyDescent="0.2">
      <c r="B2863" s="51" t="str">
        <f t="shared" si="58"/>
        <v>2009-032-3</v>
      </c>
      <c r="C2863" s="52">
        <v>2009</v>
      </c>
      <c r="D2863" s="52" t="s">
        <v>10</v>
      </c>
      <c r="E2863" s="52">
        <v>3</v>
      </c>
      <c r="F2863" s="54" t="s">
        <v>1589</v>
      </c>
      <c r="G2863" s="52" t="s">
        <v>3391</v>
      </c>
      <c r="H2863" s="55"/>
      <c r="I2863" s="56"/>
    </row>
    <row r="2864" spans="2:9" ht="27" x14ac:dyDescent="0.2">
      <c r="B2864" s="51" t="str">
        <f t="shared" si="58"/>
        <v>2009-032-4</v>
      </c>
      <c r="C2864" s="52">
        <v>2009</v>
      </c>
      <c r="D2864" s="52" t="s">
        <v>10</v>
      </c>
      <c r="E2864" s="52">
        <v>4</v>
      </c>
      <c r="F2864" s="54" t="s">
        <v>1949</v>
      </c>
      <c r="G2864" s="52"/>
      <c r="H2864" s="55"/>
      <c r="I2864" s="56"/>
    </row>
    <row r="2865" spans="2:9" ht="40.5" x14ac:dyDescent="0.2">
      <c r="B2865" s="57" t="str">
        <f t="shared" si="58"/>
        <v>2009-032-5</v>
      </c>
      <c r="C2865" s="58">
        <v>2009</v>
      </c>
      <c r="D2865" s="58" t="s">
        <v>10</v>
      </c>
      <c r="E2865" s="58">
        <v>5</v>
      </c>
      <c r="F2865" s="59" t="s">
        <v>2308</v>
      </c>
      <c r="G2865" s="58"/>
      <c r="H2865" s="60"/>
      <c r="I2865" s="61"/>
    </row>
    <row r="2866" spans="2:9" x14ac:dyDescent="0.2">
      <c r="B2866" s="62" t="str">
        <f t="shared" si="58"/>
        <v>2009-033-0</v>
      </c>
      <c r="C2866" s="63">
        <v>2009</v>
      </c>
      <c r="D2866" s="63" t="s">
        <v>11</v>
      </c>
      <c r="E2866" s="63">
        <v>0</v>
      </c>
      <c r="F2866" s="64" t="s">
        <v>426</v>
      </c>
      <c r="G2866" s="63"/>
      <c r="H2866" s="65"/>
      <c r="I2866" s="66"/>
    </row>
    <row r="2867" spans="2:9" x14ac:dyDescent="0.2">
      <c r="B2867" s="51" t="str">
        <f t="shared" si="58"/>
        <v>2009-033-1</v>
      </c>
      <c r="C2867" s="52">
        <v>2009</v>
      </c>
      <c r="D2867" s="52" t="s">
        <v>11</v>
      </c>
      <c r="E2867" s="52">
        <v>1</v>
      </c>
      <c r="F2867" s="54" t="s">
        <v>819</v>
      </c>
      <c r="G2867" s="52"/>
      <c r="H2867" s="55"/>
      <c r="I2867" s="56"/>
    </row>
    <row r="2868" spans="2:9" ht="27" x14ac:dyDescent="0.2">
      <c r="B2868" s="51" t="str">
        <f t="shared" si="58"/>
        <v>2009-033-2</v>
      </c>
      <c r="C2868" s="52">
        <v>2009</v>
      </c>
      <c r="D2868" s="52" t="s">
        <v>11</v>
      </c>
      <c r="E2868" s="52">
        <v>2</v>
      </c>
      <c r="F2868" s="54" t="s">
        <v>1212</v>
      </c>
      <c r="G2868" s="52" t="s">
        <v>3391</v>
      </c>
      <c r="H2868" s="55"/>
      <c r="I2868" s="56"/>
    </row>
    <row r="2869" spans="2:9" ht="27" x14ac:dyDescent="0.2">
      <c r="B2869" s="51" t="str">
        <f t="shared" si="58"/>
        <v>2009-033-3</v>
      </c>
      <c r="C2869" s="52">
        <v>2009</v>
      </c>
      <c r="D2869" s="52" t="s">
        <v>11</v>
      </c>
      <c r="E2869" s="52">
        <v>3</v>
      </c>
      <c r="F2869" s="54" t="s">
        <v>1590</v>
      </c>
      <c r="G2869" s="52"/>
      <c r="H2869" s="55"/>
      <c r="I2869" s="56"/>
    </row>
    <row r="2870" spans="2:9" ht="27" x14ac:dyDescent="0.2">
      <c r="B2870" s="51" t="str">
        <f t="shared" si="58"/>
        <v>2009-033-4</v>
      </c>
      <c r="C2870" s="52">
        <v>2009</v>
      </c>
      <c r="D2870" s="52" t="s">
        <v>11</v>
      </c>
      <c r="E2870" s="52">
        <v>4</v>
      </c>
      <c r="F2870" s="54" t="s">
        <v>1950</v>
      </c>
      <c r="G2870" s="52"/>
      <c r="H2870" s="55"/>
      <c r="I2870" s="56"/>
    </row>
    <row r="2871" spans="2:9" ht="27" x14ac:dyDescent="0.2">
      <c r="B2871" s="57" t="str">
        <f t="shared" si="58"/>
        <v>2009-033-5</v>
      </c>
      <c r="C2871" s="58">
        <v>2009</v>
      </c>
      <c r="D2871" s="58" t="s">
        <v>11</v>
      </c>
      <c r="E2871" s="58">
        <v>5</v>
      </c>
      <c r="F2871" s="59" t="s">
        <v>2309</v>
      </c>
      <c r="G2871" s="58"/>
      <c r="H2871" s="60"/>
      <c r="I2871" s="61"/>
    </row>
    <row r="2872" spans="2:9" x14ac:dyDescent="0.2">
      <c r="B2872" s="62" t="str">
        <f t="shared" si="58"/>
        <v>2009-034-0</v>
      </c>
      <c r="C2872" s="63">
        <v>2009</v>
      </c>
      <c r="D2872" s="63" t="s">
        <v>12</v>
      </c>
      <c r="E2872" s="63">
        <v>0</v>
      </c>
      <c r="F2872" s="64" t="s">
        <v>394</v>
      </c>
      <c r="G2872" s="63"/>
      <c r="H2872" s="65"/>
      <c r="I2872" s="66"/>
    </row>
    <row r="2873" spans="2:9" x14ac:dyDescent="0.2">
      <c r="B2873" s="51" t="str">
        <f t="shared" ref="B2873:B2936" si="59">C2873&amp;"-"&amp;D2873&amp;"-"&amp;E2873</f>
        <v>2009-034-1</v>
      </c>
      <c r="C2873" s="52">
        <v>2009</v>
      </c>
      <c r="D2873" s="52" t="s">
        <v>12</v>
      </c>
      <c r="E2873" s="52">
        <v>1</v>
      </c>
      <c r="F2873" s="54" t="s">
        <v>820</v>
      </c>
      <c r="G2873" s="52"/>
      <c r="H2873" s="55"/>
      <c r="I2873" s="56"/>
    </row>
    <row r="2874" spans="2:9" x14ac:dyDescent="0.2">
      <c r="B2874" s="51" t="str">
        <f t="shared" si="59"/>
        <v>2009-034-2</v>
      </c>
      <c r="C2874" s="52">
        <v>2009</v>
      </c>
      <c r="D2874" s="52" t="s">
        <v>12</v>
      </c>
      <c r="E2874" s="52">
        <v>2</v>
      </c>
      <c r="F2874" s="54" t="s">
        <v>1213</v>
      </c>
      <c r="G2874" s="52"/>
      <c r="H2874" s="55"/>
      <c r="I2874" s="56"/>
    </row>
    <row r="2875" spans="2:9" ht="27" x14ac:dyDescent="0.2">
      <c r="B2875" s="51" t="str">
        <f t="shared" si="59"/>
        <v>2009-034-3</v>
      </c>
      <c r="C2875" s="52">
        <v>2009</v>
      </c>
      <c r="D2875" s="52" t="s">
        <v>12</v>
      </c>
      <c r="E2875" s="52">
        <v>3</v>
      </c>
      <c r="F2875" s="54" t="s">
        <v>1591</v>
      </c>
      <c r="G2875" s="52" t="s">
        <v>3391</v>
      </c>
      <c r="H2875" s="55"/>
      <c r="I2875" s="56"/>
    </row>
    <row r="2876" spans="2:9" ht="27" x14ac:dyDescent="0.2">
      <c r="B2876" s="51" t="str">
        <f t="shared" si="59"/>
        <v>2009-034-4</v>
      </c>
      <c r="C2876" s="52">
        <v>2009</v>
      </c>
      <c r="D2876" s="52" t="s">
        <v>12</v>
      </c>
      <c r="E2876" s="52">
        <v>4</v>
      </c>
      <c r="F2876" s="54" t="s">
        <v>1951</v>
      </c>
      <c r="G2876" s="52"/>
      <c r="H2876" s="55"/>
      <c r="I2876" s="56"/>
    </row>
    <row r="2877" spans="2:9" x14ac:dyDescent="0.2">
      <c r="B2877" s="57" t="str">
        <f t="shared" si="59"/>
        <v>2009-034-5</v>
      </c>
      <c r="C2877" s="58">
        <v>2009</v>
      </c>
      <c r="D2877" s="58" t="s">
        <v>12</v>
      </c>
      <c r="E2877" s="58">
        <v>5</v>
      </c>
      <c r="F2877" s="59" t="s">
        <v>2310</v>
      </c>
      <c r="G2877" s="58"/>
      <c r="H2877" s="60"/>
      <c r="I2877" s="61"/>
    </row>
    <row r="2878" spans="2:9" x14ac:dyDescent="0.2">
      <c r="B2878" s="62" t="str">
        <f t="shared" si="59"/>
        <v>2009-035-0</v>
      </c>
      <c r="C2878" s="63">
        <v>2009</v>
      </c>
      <c r="D2878" s="63" t="s">
        <v>13</v>
      </c>
      <c r="E2878" s="63">
        <v>0</v>
      </c>
      <c r="F2878" s="64" t="s">
        <v>427</v>
      </c>
      <c r="G2878" s="63"/>
      <c r="H2878" s="65"/>
      <c r="I2878" s="66"/>
    </row>
    <row r="2879" spans="2:9" x14ac:dyDescent="0.2">
      <c r="B2879" s="51" t="str">
        <f t="shared" si="59"/>
        <v>2009-035-1</v>
      </c>
      <c r="C2879" s="52">
        <v>2009</v>
      </c>
      <c r="D2879" s="52" t="s">
        <v>13</v>
      </c>
      <c r="E2879" s="52">
        <v>1</v>
      </c>
      <c r="F2879" s="54" t="s">
        <v>821</v>
      </c>
      <c r="G2879" s="52"/>
      <c r="H2879" s="55"/>
      <c r="I2879" s="56"/>
    </row>
    <row r="2880" spans="2:9" ht="27" x14ac:dyDescent="0.2">
      <c r="B2880" s="51" t="str">
        <f t="shared" si="59"/>
        <v>2009-035-2</v>
      </c>
      <c r="C2880" s="52">
        <v>2009</v>
      </c>
      <c r="D2880" s="52" t="s">
        <v>13</v>
      </c>
      <c r="E2880" s="52">
        <v>2</v>
      </c>
      <c r="F2880" s="54" t="s">
        <v>1214</v>
      </c>
      <c r="G2880" s="52"/>
      <c r="H2880" s="55"/>
      <c r="I2880" s="56"/>
    </row>
    <row r="2881" spans="2:9" x14ac:dyDescent="0.2">
      <c r="B2881" s="51" t="str">
        <f t="shared" si="59"/>
        <v>2009-035-3</v>
      </c>
      <c r="C2881" s="52">
        <v>2009</v>
      </c>
      <c r="D2881" s="52" t="s">
        <v>13</v>
      </c>
      <c r="E2881" s="52">
        <v>3</v>
      </c>
      <c r="F2881" s="54" t="s">
        <v>1592</v>
      </c>
      <c r="G2881" s="52"/>
      <c r="H2881" s="55"/>
      <c r="I2881" s="56"/>
    </row>
    <row r="2882" spans="2:9" x14ac:dyDescent="0.2">
      <c r="B2882" s="51" t="str">
        <f t="shared" si="59"/>
        <v>2009-035-4</v>
      </c>
      <c r="C2882" s="52">
        <v>2009</v>
      </c>
      <c r="D2882" s="52" t="s">
        <v>13</v>
      </c>
      <c r="E2882" s="52">
        <v>4</v>
      </c>
      <c r="F2882" s="54" t="s">
        <v>1952</v>
      </c>
      <c r="G2882" s="52" t="s">
        <v>3391</v>
      </c>
      <c r="H2882" s="55"/>
      <c r="I2882" s="56"/>
    </row>
    <row r="2883" spans="2:9" x14ac:dyDescent="0.2">
      <c r="B2883" s="57" t="str">
        <f t="shared" si="59"/>
        <v>2009-035-5</v>
      </c>
      <c r="C2883" s="58">
        <v>2009</v>
      </c>
      <c r="D2883" s="58" t="s">
        <v>13</v>
      </c>
      <c r="E2883" s="58">
        <v>5</v>
      </c>
      <c r="F2883" s="59" t="s">
        <v>2311</v>
      </c>
      <c r="G2883" s="58"/>
      <c r="H2883" s="60"/>
      <c r="I2883" s="61"/>
    </row>
    <row r="2884" spans="2:9" x14ac:dyDescent="0.2">
      <c r="B2884" s="62" t="str">
        <f t="shared" si="59"/>
        <v>2009-036-0</v>
      </c>
      <c r="C2884" s="63">
        <v>2009</v>
      </c>
      <c r="D2884" s="63" t="s">
        <v>14</v>
      </c>
      <c r="E2884" s="63">
        <v>0</v>
      </c>
      <c r="F2884" s="64" t="s">
        <v>116</v>
      </c>
      <c r="G2884" s="63"/>
      <c r="H2884" s="65"/>
      <c r="I2884" s="66"/>
    </row>
    <row r="2885" spans="2:9" x14ac:dyDescent="0.2">
      <c r="B2885" s="51" t="str">
        <f t="shared" si="59"/>
        <v>2009-036-1</v>
      </c>
      <c r="C2885" s="52">
        <v>2009</v>
      </c>
      <c r="D2885" s="52" t="s">
        <v>14</v>
      </c>
      <c r="E2885" s="52">
        <v>1</v>
      </c>
      <c r="F2885" s="54" t="s">
        <v>822</v>
      </c>
      <c r="G2885" s="52"/>
      <c r="H2885" s="55"/>
      <c r="I2885" s="56"/>
    </row>
    <row r="2886" spans="2:9" ht="27" x14ac:dyDescent="0.2">
      <c r="B2886" s="51" t="str">
        <f t="shared" si="59"/>
        <v>2009-036-2</v>
      </c>
      <c r="C2886" s="52">
        <v>2009</v>
      </c>
      <c r="D2886" s="52" t="s">
        <v>14</v>
      </c>
      <c r="E2886" s="52">
        <v>2</v>
      </c>
      <c r="F2886" s="54" t="s">
        <v>1215</v>
      </c>
      <c r="G2886" s="52"/>
      <c r="H2886" s="55"/>
      <c r="I2886" s="56"/>
    </row>
    <row r="2887" spans="2:9" x14ac:dyDescent="0.2">
      <c r="B2887" s="51" t="str">
        <f t="shared" si="59"/>
        <v>2009-036-3</v>
      </c>
      <c r="C2887" s="52">
        <v>2009</v>
      </c>
      <c r="D2887" s="52" t="s">
        <v>14</v>
      </c>
      <c r="E2887" s="52">
        <v>3</v>
      </c>
      <c r="F2887" s="54" t="s">
        <v>1593</v>
      </c>
      <c r="G2887" s="52"/>
      <c r="H2887" s="55"/>
      <c r="I2887" s="56"/>
    </row>
    <row r="2888" spans="2:9" ht="27" x14ac:dyDescent="0.2">
      <c r="B2888" s="51" t="str">
        <f t="shared" si="59"/>
        <v>2009-036-4</v>
      </c>
      <c r="C2888" s="52">
        <v>2009</v>
      </c>
      <c r="D2888" s="52" t="s">
        <v>14</v>
      </c>
      <c r="E2888" s="52">
        <v>4</v>
      </c>
      <c r="F2888" s="54" t="s">
        <v>1953</v>
      </c>
      <c r="G2888" s="52"/>
      <c r="H2888" s="55"/>
      <c r="I2888" s="56"/>
    </row>
    <row r="2889" spans="2:9" x14ac:dyDescent="0.2">
      <c r="B2889" s="57" t="str">
        <f t="shared" si="59"/>
        <v>2009-036-5</v>
      </c>
      <c r="C2889" s="58">
        <v>2009</v>
      </c>
      <c r="D2889" s="58" t="s">
        <v>14</v>
      </c>
      <c r="E2889" s="58">
        <v>5</v>
      </c>
      <c r="F2889" s="59" t="s">
        <v>2312</v>
      </c>
      <c r="G2889" s="58" t="s">
        <v>3391</v>
      </c>
      <c r="H2889" s="60"/>
      <c r="I2889" s="61"/>
    </row>
    <row r="2890" spans="2:9" x14ac:dyDescent="0.2">
      <c r="B2890" s="62" t="str">
        <f t="shared" si="59"/>
        <v>2009-037-0</v>
      </c>
      <c r="C2890" s="63">
        <v>2009</v>
      </c>
      <c r="D2890" s="63" t="s">
        <v>15</v>
      </c>
      <c r="E2890" s="63">
        <v>0</v>
      </c>
      <c r="F2890" s="64" t="s">
        <v>176</v>
      </c>
      <c r="G2890" s="63"/>
      <c r="H2890" s="65"/>
      <c r="I2890" s="66"/>
    </row>
    <row r="2891" spans="2:9" x14ac:dyDescent="0.2">
      <c r="B2891" s="51" t="str">
        <f t="shared" si="59"/>
        <v>2009-037-1</v>
      </c>
      <c r="C2891" s="52">
        <v>2009</v>
      </c>
      <c r="D2891" s="52" t="s">
        <v>15</v>
      </c>
      <c r="E2891" s="52">
        <v>1</v>
      </c>
      <c r="F2891" s="54" t="s">
        <v>823</v>
      </c>
      <c r="G2891" s="52"/>
      <c r="H2891" s="55"/>
      <c r="I2891" s="56"/>
    </row>
    <row r="2892" spans="2:9" x14ac:dyDescent="0.2">
      <c r="B2892" s="51" t="str">
        <f t="shared" si="59"/>
        <v>2009-037-2</v>
      </c>
      <c r="C2892" s="52">
        <v>2009</v>
      </c>
      <c r="D2892" s="52" t="s">
        <v>15</v>
      </c>
      <c r="E2892" s="52">
        <v>2</v>
      </c>
      <c r="F2892" s="54" t="s">
        <v>1216</v>
      </c>
      <c r="G2892" s="52"/>
      <c r="H2892" s="55"/>
      <c r="I2892" s="56"/>
    </row>
    <row r="2893" spans="2:9" x14ac:dyDescent="0.2">
      <c r="B2893" s="51" t="str">
        <f t="shared" si="59"/>
        <v>2009-037-3</v>
      </c>
      <c r="C2893" s="52">
        <v>2009</v>
      </c>
      <c r="D2893" s="52" t="s">
        <v>15</v>
      </c>
      <c r="E2893" s="52">
        <v>3</v>
      </c>
      <c r="F2893" s="54" t="s">
        <v>1594</v>
      </c>
      <c r="G2893" s="52"/>
      <c r="H2893" s="55"/>
      <c r="I2893" s="56"/>
    </row>
    <row r="2894" spans="2:9" x14ac:dyDescent="0.2">
      <c r="B2894" s="51" t="str">
        <f t="shared" si="59"/>
        <v>2009-037-4</v>
      </c>
      <c r="C2894" s="52">
        <v>2009</v>
      </c>
      <c r="D2894" s="52" t="s">
        <v>15</v>
      </c>
      <c r="E2894" s="52">
        <v>4</v>
      </c>
      <c r="F2894" s="54" t="s">
        <v>1954</v>
      </c>
      <c r="G2894" s="52"/>
      <c r="H2894" s="55"/>
      <c r="I2894" s="56"/>
    </row>
    <row r="2895" spans="2:9" x14ac:dyDescent="0.2">
      <c r="B2895" s="57" t="str">
        <f t="shared" si="59"/>
        <v>2009-037-5</v>
      </c>
      <c r="C2895" s="58">
        <v>2009</v>
      </c>
      <c r="D2895" s="58" t="s">
        <v>15</v>
      </c>
      <c r="E2895" s="58">
        <v>5</v>
      </c>
      <c r="F2895" s="59" t="s">
        <v>2313</v>
      </c>
      <c r="G2895" s="58" t="s">
        <v>3391</v>
      </c>
      <c r="H2895" s="60"/>
      <c r="I2895" s="61"/>
    </row>
    <row r="2896" spans="2:9" x14ac:dyDescent="0.2">
      <c r="B2896" s="62" t="str">
        <f t="shared" si="59"/>
        <v>2009-038-0</v>
      </c>
      <c r="C2896" s="63">
        <v>2009</v>
      </c>
      <c r="D2896" s="63" t="s">
        <v>16</v>
      </c>
      <c r="E2896" s="63">
        <v>0</v>
      </c>
      <c r="F2896" s="64" t="s">
        <v>428</v>
      </c>
      <c r="G2896" s="63"/>
      <c r="H2896" s="65"/>
      <c r="I2896" s="66"/>
    </row>
    <row r="2897" spans="2:9" x14ac:dyDescent="0.2">
      <c r="B2897" s="51" t="str">
        <f t="shared" si="59"/>
        <v>2009-038-1</v>
      </c>
      <c r="C2897" s="52">
        <v>2009</v>
      </c>
      <c r="D2897" s="52" t="s">
        <v>16</v>
      </c>
      <c r="E2897" s="52">
        <v>1</v>
      </c>
      <c r="F2897" s="54" t="s">
        <v>824</v>
      </c>
      <c r="G2897" s="52"/>
      <c r="H2897" s="55"/>
      <c r="I2897" s="56"/>
    </row>
    <row r="2898" spans="2:9" x14ac:dyDescent="0.2">
      <c r="B2898" s="51" t="str">
        <f t="shared" si="59"/>
        <v>2009-038-2</v>
      </c>
      <c r="C2898" s="52">
        <v>2009</v>
      </c>
      <c r="D2898" s="52" t="s">
        <v>16</v>
      </c>
      <c r="E2898" s="52">
        <v>2</v>
      </c>
      <c r="F2898" s="54" t="s">
        <v>1217</v>
      </c>
      <c r="G2898" s="52" t="s">
        <v>3391</v>
      </c>
      <c r="H2898" s="55"/>
      <c r="I2898" s="56"/>
    </row>
    <row r="2899" spans="2:9" x14ac:dyDescent="0.2">
      <c r="B2899" s="51" t="str">
        <f t="shared" si="59"/>
        <v>2009-038-3</v>
      </c>
      <c r="C2899" s="52">
        <v>2009</v>
      </c>
      <c r="D2899" s="52" t="s">
        <v>16</v>
      </c>
      <c r="E2899" s="52">
        <v>3</v>
      </c>
      <c r="F2899" s="54" t="s">
        <v>1595</v>
      </c>
      <c r="G2899" s="52"/>
      <c r="H2899" s="55"/>
      <c r="I2899" s="56"/>
    </row>
    <row r="2900" spans="2:9" x14ac:dyDescent="0.2">
      <c r="B2900" s="51" t="str">
        <f t="shared" si="59"/>
        <v>2009-038-4</v>
      </c>
      <c r="C2900" s="52">
        <v>2009</v>
      </c>
      <c r="D2900" s="52" t="s">
        <v>16</v>
      </c>
      <c r="E2900" s="52">
        <v>4</v>
      </c>
      <c r="F2900" s="54" t="s">
        <v>1955</v>
      </c>
      <c r="G2900" s="52"/>
      <c r="H2900" s="55"/>
      <c r="I2900" s="56"/>
    </row>
    <row r="2901" spans="2:9" x14ac:dyDescent="0.2">
      <c r="B2901" s="57" t="str">
        <f t="shared" si="59"/>
        <v>2009-038-5</v>
      </c>
      <c r="C2901" s="58">
        <v>2009</v>
      </c>
      <c r="D2901" s="58" t="s">
        <v>16</v>
      </c>
      <c r="E2901" s="58">
        <v>5</v>
      </c>
      <c r="F2901" s="59" t="s">
        <v>2314</v>
      </c>
      <c r="G2901" s="58"/>
      <c r="H2901" s="60"/>
      <c r="I2901" s="61"/>
    </row>
    <row r="2902" spans="2:9" x14ac:dyDescent="0.2">
      <c r="B2902" s="62" t="str">
        <f t="shared" si="59"/>
        <v>2009-039-0</v>
      </c>
      <c r="C2902" s="63">
        <v>2009</v>
      </c>
      <c r="D2902" s="63" t="s">
        <v>17</v>
      </c>
      <c r="E2902" s="63">
        <v>0</v>
      </c>
      <c r="F2902" s="64" t="s">
        <v>429</v>
      </c>
      <c r="G2902" s="63"/>
      <c r="H2902" s="65"/>
      <c r="I2902" s="66"/>
    </row>
    <row r="2903" spans="2:9" x14ac:dyDescent="0.2">
      <c r="B2903" s="51" t="str">
        <f t="shared" si="59"/>
        <v>2009-039-1</v>
      </c>
      <c r="C2903" s="52">
        <v>2009</v>
      </c>
      <c r="D2903" s="52" t="s">
        <v>17</v>
      </c>
      <c r="E2903" s="52">
        <v>1</v>
      </c>
      <c r="F2903" s="54" t="s">
        <v>825</v>
      </c>
      <c r="G2903" s="52" t="s">
        <v>3391</v>
      </c>
      <c r="H2903" s="55"/>
      <c r="I2903" s="56"/>
    </row>
    <row r="2904" spans="2:9" x14ac:dyDescent="0.2">
      <c r="B2904" s="51" t="str">
        <f t="shared" si="59"/>
        <v>2009-039-2</v>
      </c>
      <c r="C2904" s="52">
        <v>2009</v>
      </c>
      <c r="D2904" s="52" t="s">
        <v>17</v>
      </c>
      <c r="E2904" s="52">
        <v>2</v>
      </c>
      <c r="F2904" s="54" t="s">
        <v>1218</v>
      </c>
      <c r="G2904" s="52"/>
      <c r="H2904" s="55"/>
      <c r="I2904" s="56"/>
    </row>
    <row r="2905" spans="2:9" x14ac:dyDescent="0.2">
      <c r="B2905" s="51" t="str">
        <f t="shared" si="59"/>
        <v>2009-039-3</v>
      </c>
      <c r="C2905" s="52">
        <v>2009</v>
      </c>
      <c r="D2905" s="52" t="s">
        <v>17</v>
      </c>
      <c r="E2905" s="52">
        <v>3</v>
      </c>
      <c r="F2905" s="54" t="s">
        <v>1596</v>
      </c>
      <c r="G2905" s="52"/>
      <c r="H2905" s="55"/>
      <c r="I2905" s="56"/>
    </row>
    <row r="2906" spans="2:9" x14ac:dyDescent="0.2">
      <c r="B2906" s="51" t="str">
        <f t="shared" si="59"/>
        <v>2009-039-4</v>
      </c>
      <c r="C2906" s="52">
        <v>2009</v>
      </c>
      <c r="D2906" s="52" t="s">
        <v>17</v>
      </c>
      <c r="E2906" s="52">
        <v>4</v>
      </c>
      <c r="F2906" s="54" t="s">
        <v>1956</v>
      </c>
      <c r="G2906" s="52"/>
      <c r="H2906" s="55"/>
      <c r="I2906" s="56"/>
    </row>
    <row r="2907" spans="2:9" x14ac:dyDescent="0.2">
      <c r="B2907" s="57" t="str">
        <f t="shared" si="59"/>
        <v>2009-039-5</v>
      </c>
      <c r="C2907" s="58">
        <v>2009</v>
      </c>
      <c r="D2907" s="58" t="s">
        <v>17</v>
      </c>
      <c r="E2907" s="58">
        <v>5</v>
      </c>
      <c r="F2907" s="59" t="s">
        <v>2315</v>
      </c>
      <c r="G2907" s="58"/>
      <c r="H2907" s="60"/>
      <c r="I2907" s="61"/>
    </row>
    <row r="2908" spans="2:9" x14ac:dyDescent="0.2">
      <c r="B2908" s="62" t="str">
        <f t="shared" si="59"/>
        <v>2009-040-0</v>
      </c>
      <c r="C2908" s="63">
        <v>2009</v>
      </c>
      <c r="D2908" s="63" t="s">
        <v>18</v>
      </c>
      <c r="E2908" s="63">
        <v>0</v>
      </c>
      <c r="F2908" s="64" t="s">
        <v>430</v>
      </c>
      <c r="G2908" s="63"/>
      <c r="H2908" s="65"/>
      <c r="I2908" s="66"/>
    </row>
    <row r="2909" spans="2:9" x14ac:dyDescent="0.2">
      <c r="B2909" s="51" t="str">
        <f t="shared" si="59"/>
        <v>2009-040-1</v>
      </c>
      <c r="C2909" s="52">
        <v>2009</v>
      </c>
      <c r="D2909" s="52" t="s">
        <v>18</v>
      </c>
      <c r="E2909" s="52">
        <v>1</v>
      </c>
      <c r="F2909" s="54" t="s">
        <v>826</v>
      </c>
      <c r="G2909" s="52"/>
      <c r="H2909" s="55"/>
      <c r="I2909" s="56"/>
    </row>
    <row r="2910" spans="2:9" x14ac:dyDescent="0.2">
      <c r="B2910" s="51" t="str">
        <f t="shared" si="59"/>
        <v>2009-040-2</v>
      </c>
      <c r="C2910" s="52">
        <v>2009</v>
      </c>
      <c r="D2910" s="52" t="s">
        <v>18</v>
      </c>
      <c r="E2910" s="52">
        <v>2</v>
      </c>
      <c r="F2910" s="54" t="s">
        <v>1219</v>
      </c>
      <c r="G2910" s="52"/>
      <c r="H2910" s="55"/>
      <c r="I2910" s="56"/>
    </row>
    <row r="2911" spans="2:9" ht="27" x14ac:dyDescent="0.2">
      <c r="B2911" s="51" t="str">
        <f t="shared" si="59"/>
        <v>2009-040-3</v>
      </c>
      <c r="C2911" s="52">
        <v>2009</v>
      </c>
      <c r="D2911" s="52" t="s">
        <v>18</v>
      </c>
      <c r="E2911" s="52">
        <v>3</v>
      </c>
      <c r="F2911" s="54" t="s">
        <v>1597</v>
      </c>
      <c r="G2911" s="52"/>
      <c r="H2911" s="55"/>
      <c r="I2911" s="56"/>
    </row>
    <row r="2912" spans="2:9" ht="40.5" x14ac:dyDescent="0.2">
      <c r="B2912" s="51" t="str">
        <f t="shared" si="59"/>
        <v>2009-040-4</v>
      </c>
      <c r="C2912" s="52">
        <v>2009</v>
      </c>
      <c r="D2912" s="52" t="s">
        <v>18</v>
      </c>
      <c r="E2912" s="52">
        <v>4</v>
      </c>
      <c r="F2912" s="54" t="s">
        <v>1957</v>
      </c>
      <c r="G2912" s="52"/>
      <c r="H2912" s="55"/>
      <c r="I2912" s="56"/>
    </row>
    <row r="2913" spans="2:9" ht="27" x14ac:dyDescent="0.2">
      <c r="B2913" s="57" t="str">
        <f t="shared" si="59"/>
        <v>2009-040-5</v>
      </c>
      <c r="C2913" s="58">
        <v>2009</v>
      </c>
      <c r="D2913" s="58" t="s">
        <v>18</v>
      </c>
      <c r="E2913" s="58">
        <v>5</v>
      </c>
      <c r="F2913" s="59" t="s">
        <v>2316</v>
      </c>
      <c r="G2913" s="58" t="s">
        <v>3391</v>
      </c>
      <c r="H2913" s="60"/>
      <c r="I2913" s="61"/>
    </row>
    <row r="2914" spans="2:9" x14ac:dyDescent="0.2">
      <c r="B2914" s="62" t="str">
        <f t="shared" si="59"/>
        <v>2009-041-0</v>
      </c>
      <c r="C2914" s="63">
        <v>2009</v>
      </c>
      <c r="D2914" s="63" t="s">
        <v>72</v>
      </c>
      <c r="E2914" s="63">
        <v>0</v>
      </c>
      <c r="F2914" s="64" t="s">
        <v>431</v>
      </c>
      <c r="G2914" s="63"/>
      <c r="H2914" s="65"/>
      <c r="I2914" s="66"/>
    </row>
    <row r="2915" spans="2:9" x14ac:dyDescent="0.2">
      <c r="B2915" s="51" t="str">
        <f t="shared" si="59"/>
        <v>2009-041-1</v>
      </c>
      <c r="C2915" s="52">
        <v>2009</v>
      </c>
      <c r="D2915" s="52" t="s">
        <v>72</v>
      </c>
      <c r="E2915" s="52">
        <v>1</v>
      </c>
      <c r="F2915" s="54" t="s">
        <v>827</v>
      </c>
      <c r="G2915" s="52" t="s">
        <v>3391</v>
      </c>
      <c r="H2915" s="55"/>
      <c r="I2915" s="56"/>
    </row>
    <row r="2916" spans="2:9" x14ac:dyDescent="0.2">
      <c r="B2916" s="51" t="str">
        <f t="shared" si="59"/>
        <v>2009-041-2</v>
      </c>
      <c r="C2916" s="52">
        <v>2009</v>
      </c>
      <c r="D2916" s="52" t="s">
        <v>72</v>
      </c>
      <c r="E2916" s="52">
        <v>2</v>
      </c>
      <c r="F2916" s="54" t="s">
        <v>1220</v>
      </c>
      <c r="G2916" s="52"/>
      <c r="H2916" s="55"/>
      <c r="I2916" s="56"/>
    </row>
    <row r="2917" spans="2:9" x14ac:dyDescent="0.2">
      <c r="B2917" s="51" t="str">
        <f t="shared" si="59"/>
        <v>2009-041-3</v>
      </c>
      <c r="C2917" s="52">
        <v>2009</v>
      </c>
      <c r="D2917" s="52" t="s">
        <v>72</v>
      </c>
      <c r="E2917" s="52">
        <v>3</v>
      </c>
      <c r="F2917" s="54" t="s">
        <v>1598</v>
      </c>
      <c r="G2917" s="52"/>
      <c r="H2917" s="55"/>
      <c r="I2917" s="56"/>
    </row>
    <row r="2918" spans="2:9" ht="27" x14ac:dyDescent="0.2">
      <c r="B2918" s="51" t="str">
        <f t="shared" si="59"/>
        <v>2009-041-4</v>
      </c>
      <c r="C2918" s="52">
        <v>2009</v>
      </c>
      <c r="D2918" s="52" t="s">
        <v>72</v>
      </c>
      <c r="E2918" s="52">
        <v>4</v>
      </c>
      <c r="F2918" s="54" t="s">
        <v>1958</v>
      </c>
      <c r="G2918" s="52"/>
      <c r="H2918" s="55"/>
      <c r="I2918" s="56"/>
    </row>
    <row r="2919" spans="2:9" x14ac:dyDescent="0.2">
      <c r="B2919" s="57" t="str">
        <f t="shared" si="59"/>
        <v>2009-041-5</v>
      </c>
      <c r="C2919" s="58">
        <v>2009</v>
      </c>
      <c r="D2919" s="58" t="s">
        <v>72</v>
      </c>
      <c r="E2919" s="58">
        <v>5</v>
      </c>
      <c r="F2919" s="59" t="s">
        <v>2317</v>
      </c>
      <c r="G2919" s="58"/>
      <c r="H2919" s="60"/>
      <c r="I2919" s="61"/>
    </row>
    <row r="2920" spans="2:9" x14ac:dyDescent="0.2">
      <c r="B2920" s="62" t="str">
        <f t="shared" si="59"/>
        <v>2009-042-0</v>
      </c>
      <c r="C2920" s="63">
        <v>2009</v>
      </c>
      <c r="D2920" s="63" t="s">
        <v>73</v>
      </c>
      <c r="E2920" s="63">
        <v>0</v>
      </c>
      <c r="F2920" s="64" t="s">
        <v>432</v>
      </c>
      <c r="G2920" s="63"/>
      <c r="H2920" s="65"/>
      <c r="I2920" s="66"/>
    </row>
    <row r="2921" spans="2:9" ht="27" x14ac:dyDescent="0.2">
      <c r="B2921" s="51" t="str">
        <f t="shared" si="59"/>
        <v>2009-042-1</v>
      </c>
      <c r="C2921" s="52">
        <v>2009</v>
      </c>
      <c r="D2921" s="52" t="s">
        <v>73</v>
      </c>
      <c r="E2921" s="52">
        <v>1</v>
      </c>
      <c r="F2921" s="54" t="s">
        <v>828</v>
      </c>
      <c r="G2921" s="52" t="s">
        <v>3391</v>
      </c>
      <c r="H2921" s="55"/>
      <c r="I2921" s="56"/>
    </row>
    <row r="2922" spans="2:9" ht="27" x14ac:dyDescent="0.2">
      <c r="B2922" s="51" t="str">
        <f t="shared" si="59"/>
        <v>2009-042-2</v>
      </c>
      <c r="C2922" s="52">
        <v>2009</v>
      </c>
      <c r="D2922" s="52" t="s">
        <v>73</v>
      </c>
      <c r="E2922" s="52">
        <v>2</v>
      </c>
      <c r="F2922" s="54" t="s">
        <v>1221</v>
      </c>
      <c r="G2922" s="52"/>
      <c r="H2922" s="55"/>
      <c r="I2922" s="56"/>
    </row>
    <row r="2923" spans="2:9" x14ac:dyDescent="0.2">
      <c r="B2923" s="51" t="str">
        <f t="shared" si="59"/>
        <v>2009-042-3</v>
      </c>
      <c r="C2923" s="52">
        <v>2009</v>
      </c>
      <c r="D2923" s="52" t="s">
        <v>73</v>
      </c>
      <c r="E2923" s="52">
        <v>3</v>
      </c>
      <c r="F2923" s="54" t="s">
        <v>1599</v>
      </c>
      <c r="G2923" s="52"/>
      <c r="H2923" s="55"/>
      <c r="I2923" s="56"/>
    </row>
    <row r="2924" spans="2:9" ht="27" x14ac:dyDescent="0.2">
      <c r="B2924" s="51" t="str">
        <f t="shared" si="59"/>
        <v>2009-042-4</v>
      </c>
      <c r="C2924" s="52">
        <v>2009</v>
      </c>
      <c r="D2924" s="52" t="s">
        <v>73</v>
      </c>
      <c r="E2924" s="52">
        <v>4</v>
      </c>
      <c r="F2924" s="54" t="s">
        <v>1959</v>
      </c>
      <c r="G2924" s="52"/>
      <c r="H2924" s="55"/>
      <c r="I2924" s="56"/>
    </row>
    <row r="2925" spans="2:9" ht="27" x14ac:dyDescent="0.2">
      <c r="B2925" s="57" t="str">
        <f t="shared" si="59"/>
        <v>2009-042-5</v>
      </c>
      <c r="C2925" s="58">
        <v>2009</v>
      </c>
      <c r="D2925" s="58" t="s">
        <v>73</v>
      </c>
      <c r="E2925" s="58">
        <v>5</v>
      </c>
      <c r="F2925" s="59" t="s">
        <v>2318</v>
      </c>
      <c r="G2925" s="58"/>
      <c r="H2925" s="60"/>
      <c r="I2925" s="61"/>
    </row>
    <row r="2926" spans="2:9" x14ac:dyDescent="0.2">
      <c r="B2926" s="62" t="str">
        <f t="shared" si="59"/>
        <v>2009-043-0</v>
      </c>
      <c r="C2926" s="63">
        <v>2009</v>
      </c>
      <c r="D2926" s="63" t="s">
        <v>74</v>
      </c>
      <c r="E2926" s="63">
        <v>0</v>
      </c>
      <c r="F2926" s="64" t="s">
        <v>433</v>
      </c>
      <c r="G2926" s="63"/>
      <c r="H2926" s="65"/>
      <c r="I2926" s="66"/>
    </row>
    <row r="2927" spans="2:9" x14ac:dyDescent="0.2">
      <c r="B2927" s="51" t="str">
        <f t="shared" si="59"/>
        <v>2009-043-1</v>
      </c>
      <c r="C2927" s="52">
        <v>2009</v>
      </c>
      <c r="D2927" s="52" t="s">
        <v>74</v>
      </c>
      <c r="E2927" s="52">
        <v>1</v>
      </c>
      <c r="F2927" s="54" t="s">
        <v>580</v>
      </c>
      <c r="G2927" s="52"/>
      <c r="H2927" s="55"/>
      <c r="I2927" s="56"/>
    </row>
    <row r="2928" spans="2:9" x14ac:dyDescent="0.2">
      <c r="B2928" s="51" t="str">
        <f t="shared" si="59"/>
        <v>2009-043-2</v>
      </c>
      <c r="C2928" s="52">
        <v>2009</v>
      </c>
      <c r="D2928" s="52" t="s">
        <v>74</v>
      </c>
      <c r="E2928" s="52">
        <v>2</v>
      </c>
      <c r="F2928" s="54" t="s">
        <v>1222</v>
      </c>
      <c r="G2928" s="52"/>
      <c r="H2928" s="55"/>
      <c r="I2928" s="56"/>
    </row>
    <row r="2929" spans="2:9" x14ac:dyDescent="0.2">
      <c r="B2929" s="51" t="str">
        <f t="shared" si="59"/>
        <v>2009-043-3</v>
      </c>
      <c r="C2929" s="52">
        <v>2009</v>
      </c>
      <c r="D2929" s="52" t="s">
        <v>74</v>
      </c>
      <c r="E2929" s="52">
        <v>3</v>
      </c>
      <c r="F2929" s="54" t="s">
        <v>1056</v>
      </c>
      <c r="G2929" s="52"/>
      <c r="H2929" s="55"/>
      <c r="I2929" s="56"/>
    </row>
    <row r="2930" spans="2:9" x14ac:dyDescent="0.2">
      <c r="B2930" s="51" t="str">
        <f t="shared" si="59"/>
        <v>2009-043-4</v>
      </c>
      <c r="C2930" s="52">
        <v>2009</v>
      </c>
      <c r="D2930" s="52" t="s">
        <v>74</v>
      </c>
      <c r="E2930" s="52">
        <v>4</v>
      </c>
      <c r="F2930" s="54" t="s">
        <v>1960</v>
      </c>
      <c r="G2930" s="52"/>
      <c r="H2930" s="55"/>
      <c r="I2930" s="56"/>
    </row>
    <row r="2931" spans="2:9" x14ac:dyDescent="0.2">
      <c r="B2931" s="57" t="str">
        <f t="shared" si="59"/>
        <v>2009-043-5</v>
      </c>
      <c r="C2931" s="58">
        <v>2009</v>
      </c>
      <c r="D2931" s="58" t="s">
        <v>74</v>
      </c>
      <c r="E2931" s="58">
        <v>5</v>
      </c>
      <c r="F2931" s="59" t="s">
        <v>2319</v>
      </c>
      <c r="G2931" s="58" t="s">
        <v>3391</v>
      </c>
      <c r="H2931" s="60"/>
      <c r="I2931" s="61"/>
    </row>
    <row r="2932" spans="2:9" x14ac:dyDescent="0.2">
      <c r="B2932" s="62" t="str">
        <f t="shared" si="59"/>
        <v>2009-044-0</v>
      </c>
      <c r="C2932" s="63">
        <v>2009</v>
      </c>
      <c r="D2932" s="63" t="s">
        <v>75</v>
      </c>
      <c r="E2932" s="63">
        <v>0</v>
      </c>
      <c r="F2932" s="64" t="s">
        <v>434</v>
      </c>
      <c r="G2932" s="63"/>
      <c r="H2932" s="65"/>
      <c r="I2932" s="66"/>
    </row>
    <row r="2933" spans="2:9" x14ac:dyDescent="0.2">
      <c r="B2933" s="51" t="str">
        <f t="shared" si="59"/>
        <v>2009-044-1</v>
      </c>
      <c r="C2933" s="52">
        <v>2009</v>
      </c>
      <c r="D2933" s="52" t="s">
        <v>75</v>
      </c>
      <c r="E2933" s="52">
        <v>1</v>
      </c>
      <c r="F2933" s="54" t="s">
        <v>829</v>
      </c>
      <c r="G2933" s="52"/>
      <c r="H2933" s="55"/>
      <c r="I2933" s="56"/>
    </row>
    <row r="2934" spans="2:9" x14ac:dyDescent="0.2">
      <c r="B2934" s="51" t="str">
        <f t="shared" si="59"/>
        <v>2009-044-2</v>
      </c>
      <c r="C2934" s="52">
        <v>2009</v>
      </c>
      <c r="D2934" s="52" t="s">
        <v>75</v>
      </c>
      <c r="E2934" s="52">
        <v>2</v>
      </c>
      <c r="F2934" s="54" t="s">
        <v>1223</v>
      </c>
      <c r="G2934" s="52" t="s">
        <v>3391</v>
      </c>
      <c r="H2934" s="55"/>
      <c r="I2934" s="56"/>
    </row>
    <row r="2935" spans="2:9" x14ac:dyDescent="0.2">
      <c r="B2935" s="51" t="str">
        <f t="shared" si="59"/>
        <v>2009-044-3</v>
      </c>
      <c r="C2935" s="52">
        <v>2009</v>
      </c>
      <c r="D2935" s="52" t="s">
        <v>75</v>
      </c>
      <c r="E2935" s="52">
        <v>3</v>
      </c>
      <c r="F2935" s="54" t="s">
        <v>1600</v>
      </c>
      <c r="G2935" s="52"/>
      <c r="H2935" s="55"/>
      <c r="I2935" s="56"/>
    </row>
    <row r="2936" spans="2:9" x14ac:dyDescent="0.2">
      <c r="B2936" s="51" t="str">
        <f t="shared" si="59"/>
        <v>2009-044-4</v>
      </c>
      <c r="C2936" s="52">
        <v>2009</v>
      </c>
      <c r="D2936" s="52" t="s">
        <v>75</v>
      </c>
      <c r="E2936" s="52">
        <v>4</v>
      </c>
      <c r="F2936" s="54" t="s">
        <v>1961</v>
      </c>
      <c r="G2936" s="52"/>
      <c r="H2936" s="55"/>
      <c r="I2936" s="56"/>
    </row>
    <row r="2937" spans="2:9" x14ac:dyDescent="0.2">
      <c r="B2937" s="57" t="str">
        <f t="shared" ref="B2937:B2973" si="60">C2937&amp;"-"&amp;D2937&amp;"-"&amp;E2937</f>
        <v>2009-044-5</v>
      </c>
      <c r="C2937" s="58">
        <v>2009</v>
      </c>
      <c r="D2937" s="58" t="s">
        <v>75</v>
      </c>
      <c r="E2937" s="58">
        <v>5</v>
      </c>
      <c r="F2937" s="59" t="s">
        <v>2320</v>
      </c>
      <c r="G2937" s="58"/>
      <c r="H2937" s="60"/>
      <c r="I2937" s="61"/>
    </row>
    <row r="2938" spans="2:9" x14ac:dyDescent="0.2">
      <c r="B2938" s="62" t="str">
        <f t="shared" si="60"/>
        <v>2009-045-0</v>
      </c>
      <c r="C2938" s="63">
        <v>2009</v>
      </c>
      <c r="D2938" s="63" t="s">
        <v>76</v>
      </c>
      <c r="E2938" s="63">
        <v>0</v>
      </c>
      <c r="F2938" s="64" t="s">
        <v>435</v>
      </c>
      <c r="G2938" s="63"/>
      <c r="H2938" s="65"/>
      <c r="I2938" s="66"/>
    </row>
    <row r="2939" spans="2:9" x14ac:dyDescent="0.2">
      <c r="B2939" s="51" t="str">
        <f t="shared" si="60"/>
        <v>2009-045-1</v>
      </c>
      <c r="C2939" s="52">
        <v>2009</v>
      </c>
      <c r="D2939" s="52" t="s">
        <v>76</v>
      </c>
      <c r="E2939" s="52">
        <v>1</v>
      </c>
      <c r="F2939" s="54" t="s">
        <v>830</v>
      </c>
      <c r="G2939" s="52"/>
      <c r="H2939" s="55"/>
      <c r="I2939" s="56"/>
    </row>
    <row r="2940" spans="2:9" ht="27" x14ac:dyDescent="0.2">
      <c r="B2940" s="51" t="str">
        <f t="shared" si="60"/>
        <v>2009-045-2</v>
      </c>
      <c r="C2940" s="52">
        <v>2009</v>
      </c>
      <c r="D2940" s="52" t="s">
        <v>76</v>
      </c>
      <c r="E2940" s="52">
        <v>2</v>
      </c>
      <c r="F2940" s="54" t="s">
        <v>1224</v>
      </c>
      <c r="G2940" s="52" t="s">
        <v>3391</v>
      </c>
      <c r="H2940" s="55"/>
      <c r="I2940" s="56"/>
    </row>
    <row r="2941" spans="2:9" ht="27" x14ac:dyDescent="0.2">
      <c r="B2941" s="51" t="str">
        <f t="shared" si="60"/>
        <v>2009-045-3</v>
      </c>
      <c r="C2941" s="52">
        <v>2009</v>
      </c>
      <c r="D2941" s="52" t="s">
        <v>76</v>
      </c>
      <c r="E2941" s="52">
        <v>3</v>
      </c>
      <c r="F2941" s="54" t="s">
        <v>1601</v>
      </c>
      <c r="G2941" s="52"/>
      <c r="H2941" s="55"/>
      <c r="I2941" s="56"/>
    </row>
    <row r="2942" spans="2:9" x14ac:dyDescent="0.2">
      <c r="B2942" s="51" t="str">
        <f t="shared" si="60"/>
        <v>2009-045-4</v>
      </c>
      <c r="C2942" s="52">
        <v>2009</v>
      </c>
      <c r="D2942" s="52" t="s">
        <v>76</v>
      </c>
      <c r="E2942" s="52">
        <v>4</v>
      </c>
      <c r="F2942" s="54" t="s">
        <v>1962</v>
      </c>
      <c r="G2942" s="52"/>
      <c r="H2942" s="55"/>
      <c r="I2942" s="56"/>
    </row>
    <row r="2943" spans="2:9" x14ac:dyDescent="0.2">
      <c r="B2943" s="57" t="str">
        <f t="shared" si="60"/>
        <v>2009-045-5</v>
      </c>
      <c r="C2943" s="58">
        <v>2009</v>
      </c>
      <c r="D2943" s="58" t="s">
        <v>76</v>
      </c>
      <c r="E2943" s="58">
        <v>5</v>
      </c>
      <c r="F2943" s="59" t="s">
        <v>2321</v>
      </c>
      <c r="G2943" s="58"/>
      <c r="H2943" s="60"/>
      <c r="I2943" s="61"/>
    </row>
    <row r="2944" spans="2:9" x14ac:dyDescent="0.2">
      <c r="B2944" s="62" t="str">
        <f t="shared" si="60"/>
        <v>2009-046-0</v>
      </c>
      <c r="C2944" s="63">
        <v>2009</v>
      </c>
      <c r="D2944" s="63" t="s">
        <v>77</v>
      </c>
      <c r="E2944" s="63">
        <v>0</v>
      </c>
      <c r="F2944" s="64" t="s">
        <v>436</v>
      </c>
      <c r="G2944" s="63"/>
      <c r="H2944" s="65"/>
      <c r="I2944" s="66"/>
    </row>
    <row r="2945" spans="2:9" x14ac:dyDescent="0.2">
      <c r="B2945" s="51" t="str">
        <f t="shared" si="60"/>
        <v>2009-046-1</v>
      </c>
      <c r="C2945" s="52">
        <v>2009</v>
      </c>
      <c r="D2945" s="52" t="s">
        <v>77</v>
      </c>
      <c r="E2945" s="52">
        <v>1</v>
      </c>
      <c r="F2945" s="54" t="s">
        <v>831</v>
      </c>
      <c r="G2945" s="52"/>
      <c r="H2945" s="55"/>
      <c r="I2945" s="56"/>
    </row>
    <row r="2946" spans="2:9" x14ac:dyDescent="0.2">
      <c r="B2946" s="51" t="str">
        <f t="shared" si="60"/>
        <v>2009-046-2</v>
      </c>
      <c r="C2946" s="52">
        <v>2009</v>
      </c>
      <c r="D2946" s="52" t="s">
        <v>77</v>
      </c>
      <c r="E2946" s="52">
        <v>2</v>
      </c>
      <c r="F2946" s="54" t="s">
        <v>1225</v>
      </c>
      <c r="G2946" s="52"/>
      <c r="H2946" s="55"/>
      <c r="I2946" s="56"/>
    </row>
    <row r="2947" spans="2:9" x14ac:dyDescent="0.2">
      <c r="B2947" s="51" t="str">
        <f t="shared" si="60"/>
        <v>2009-046-3</v>
      </c>
      <c r="C2947" s="52">
        <v>2009</v>
      </c>
      <c r="D2947" s="52" t="s">
        <v>77</v>
      </c>
      <c r="E2947" s="52">
        <v>3</v>
      </c>
      <c r="F2947" s="54" t="s">
        <v>1602</v>
      </c>
      <c r="G2947" s="52"/>
      <c r="H2947" s="55"/>
      <c r="I2947" s="56"/>
    </row>
    <row r="2948" spans="2:9" ht="27" x14ac:dyDescent="0.2">
      <c r="B2948" s="51" t="str">
        <f t="shared" si="60"/>
        <v>2009-046-4</v>
      </c>
      <c r="C2948" s="52">
        <v>2009</v>
      </c>
      <c r="D2948" s="52" t="s">
        <v>77</v>
      </c>
      <c r="E2948" s="52">
        <v>4</v>
      </c>
      <c r="F2948" s="54" t="s">
        <v>1963</v>
      </c>
      <c r="G2948" s="52" t="s">
        <v>3391</v>
      </c>
      <c r="H2948" s="55"/>
      <c r="I2948" s="56"/>
    </row>
    <row r="2949" spans="2:9" ht="40.5" x14ac:dyDescent="0.2">
      <c r="B2949" s="57" t="str">
        <f t="shared" si="60"/>
        <v>2009-046-5</v>
      </c>
      <c r="C2949" s="58">
        <v>2009</v>
      </c>
      <c r="D2949" s="58" t="s">
        <v>77</v>
      </c>
      <c r="E2949" s="58">
        <v>5</v>
      </c>
      <c r="F2949" s="59" t="s">
        <v>2322</v>
      </c>
      <c r="G2949" s="58"/>
      <c r="H2949" s="60"/>
      <c r="I2949" s="61"/>
    </row>
    <row r="2950" spans="2:9" x14ac:dyDescent="0.2">
      <c r="B2950" s="62" t="str">
        <f t="shared" si="60"/>
        <v>2009-047-0</v>
      </c>
      <c r="C2950" s="63">
        <v>2009</v>
      </c>
      <c r="D2950" s="63" t="s">
        <v>78</v>
      </c>
      <c r="E2950" s="63">
        <v>0</v>
      </c>
      <c r="F2950" s="64" t="s">
        <v>437</v>
      </c>
      <c r="G2950" s="63"/>
      <c r="H2950" s="65"/>
      <c r="I2950" s="66"/>
    </row>
    <row r="2951" spans="2:9" x14ac:dyDescent="0.2">
      <c r="B2951" s="51" t="str">
        <f t="shared" si="60"/>
        <v>2009-047-1</v>
      </c>
      <c r="C2951" s="52">
        <v>2009</v>
      </c>
      <c r="D2951" s="52" t="s">
        <v>78</v>
      </c>
      <c r="E2951" s="52">
        <v>1</v>
      </c>
      <c r="F2951" s="54" t="s">
        <v>832</v>
      </c>
      <c r="G2951" s="52"/>
      <c r="H2951" s="55"/>
      <c r="I2951" s="56"/>
    </row>
    <row r="2952" spans="2:9" x14ac:dyDescent="0.2">
      <c r="B2952" s="51" t="str">
        <f t="shared" si="60"/>
        <v>2009-047-2</v>
      </c>
      <c r="C2952" s="52">
        <v>2009</v>
      </c>
      <c r="D2952" s="52" t="s">
        <v>78</v>
      </c>
      <c r="E2952" s="52">
        <v>2</v>
      </c>
      <c r="F2952" s="54" t="s">
        <v>725</v>
      </c>
      <c r="G2952" s="52"/>
      <c r="H2952" s="55"/>
      <c r="I2952" s="56"/>
    </row>
    <row r="2953" spans="2:9" ht="27" x14ac:dyDescent="0.2">
      <c r="B2953" s="51" t="str">
        <f t="shared" si="60"/>
        <v>2009-047-3</v>
      </c>
      <c r="C2953" s="52">
        <v>2009</v>
      </c>
      <c r="D2953" s="52" t="s">
        <v>78</v>
      </c>
      <c r="E2953" s="52">
        <v>3</v>
      </c>
      <c r="F2953" s="54" t="s">
        <v>1603</v>
      </c>
      <c r="G2953" s="52"/>
      <c r="H2953" s="55"/>
      <c r="I2953" s="56"/>
    </row>
    <row r="2954" spans="2:9" x14ac:dyDescent="0.2">
      <c r="B2954" s="51" t="str">
        <f t="shared" si="60"/>
        <v>2009-047-4</v>
      </c>
      <c r="C2954" s="52">
        <v>2009</v>
      </c>
      <c r="D2954" s="52" t="s">
        <v>78</v>
      </c>
      <c r="E2954" s="52">
        <v>4</v>
      </c>
      <c r="F2954" s="54" t="s">
        <v>1964</v>
      </c>
      <c r="G2954" s="52"/>
      <c r="H2954" s="55"/>
      <c r="I2954" s="56"/>
    </row>
    <row r="2955" spans="2:9" ht="40.5" x14ac:dyDescent="0.2">
      <c r="B2955" s="57" t="str">
        <f t="shared" si="60"/>
        <v>2009-047-5</v>
      </c>
      <c r="C2955" s="58">
        <v>2009</v>
      </c>
      <c r="D2955" s="58" t="s">
        <v>78</v>
      </c>
      <c r="E2955" s="58">
        <v>5</v>
      </c>
      <c r="F2955" s="59" t="s">
        <v>2323</v>
      </c>
      <c r="G2955" s="58" t="s">
        <v>3391</v>
      </c>
      <c r="H2955" s="60"/>
      <c r="I2955" s="61"/>
    </row>
    <row r="2956" spans="2:9" x14ac:dyDescent="0.2">
      <c r="B2956" s="62" t="str">
        <f t="shared" si="60"/>
        <v>2009-048-0</v>
      </c>
      <c r="C2956" s="63">
        <v>2009</v>
      </c>
      <c r="D2956" s="63" t="s">
        <v>79</v>
      </c>
      <c r="E2956" s="63">
        <v>0</v>
      </c>
      <c r="F2956" s="64" t="s">
        <v>438</v>
      </c>
      <c r="G2956" s="63"/>
      <c r="H2956" s="65"/>
      <c r="I2956" s="66"/>
    </row>
    <row r="2957" spans="2:9" x14ac:dyDescent="0.2">
      <c r="B2957" s="51" t="str">
        <f t="shared" si="60"/>
        <v>2009-048-1</v>
      </c>
      <c r="C2957" s="52">
        <v>2009</v>
      </c>
      <c r="D2957" s="52" t="s">
        <v>79</v>
      </c>
      <c r="E2957" s="52">
        <v>1</v>
      </c>
      <c r="F2957" s="54" t="s">
        <v>833</v>
      </c>
      <c r="G2957" s="52"/>
      <c r="H2957" s="55"/>
      <c r="I2957" s="56"/>
    </row>
    <row r="2958" spans="2:9" ht="27" x14ac:dyDescent="0.2">
      <c r="B2958" s="51" t="str">
        <f t="shared" si="60"/>
        <v>2009-048-2</v>
      </c>
      <c r="C2958" s="52">
        <v>2009</v>
      </c>
      <c r="D2958" s="52" t="s">
        <v>79</v>
      </c>
      <c r="E2958" s="52">
        <v>2</v>
      </c>
      <c r="F2958" s="54" t="s">
        <v>1226</v>
      </c>
      <c r="G2958" s="52"/>
      <c r="H2958" s="55"/>
      <c r="I2958" s="56"/>
    </row>
    <row r="2959" spans="2:9" x14ac:dyDescent="0.2">
      <c r="B2959" s="51" t="str">
        <f t="shared" si="60"/>
        <v>2009-048-3</v>
      </c>
      <c r="C2959" s="52">
        <v>2009</v>
      </c>
      <c r="D2959" s="52" t="s">
        <v>79</v>
      </c>
      <c r="E2959" s="52">
        <v>3</v>
      </c>
      <c r="F2959" s="54" t="s">
        <v>1604</v>
      </c>
      <c r="G2959" s="52"/>
      <c r="H2959" s="55"/>
      <c r="I2959" s="56"/>
    </row>
    <row r="2960" spans="2:9" x14ac:dyDescent="0.2">
      <c r="B2960" s="51" t="str">
        <f t="shared" si="60"/>
        <v>2009-048-4</v>
      </c>
      <c r="C2960" s="52">
        <v>2009</v>
      </c>
      <c r="D2960" s="52" t="s">
        <v>79</v>
      </c>
      <c r="E2960" s="52">
        <v>4</v>
      </c>
      <c r="F2960" s="54" t="s">
        <v>1965</v>
      </c>
      <c r="G2960" s="52" t="s">
        <v>3391</v>
      </c>
      <c r="H2960" s="55"/>
      <c r="I2960" s="56"/>
    </row>
    <row r="2961" spans="2:9" x14ac:dyDescent="0.2">
      <c r="B2961" s="57" t="str">
        <f t="shared" si="60"/>
        <v>2009-048-5</v>
      </c>
      <c r="C2961" s="58">
        <v>2009</v>
      </c>
      <c r="D2961" s="58" t="s">
        <v>79</v>
      </c>
      <c r="E2961" s="58">
        <v>5</v>
      </c>
      <c r="F2961" s="59" t="s">
        <v>2324</v>
      </c>
      <c r="G2961" s="58"/>
      <c r="H2961" s="60"/>
      <c r="I2961" s="61"/>
    </row>
    <row r="2962" spans="2:9" x14ac:dyDescent="0.2">
      <c r="B2962" s="62" t="str">
        <f t="shared" si="60"/>
        <v>2009-049-0</v>
      </c>
      <c r="C2962" s="63">
        <v>2009</v>
      </c>
      <c r="D2962" s="63" t="s">
        <v>80</v>
      </c>
      <c r="E2962" s="63">
        <v>0</v>
      </c>
      <c r="F2962" s="64" t="s">
        <v>439</v>
      </c>
      <c r="G2962" s="63"/>
      <c r="H2962" s="65"/>
      <c r="I2962" s="66"/>
    </row>
    <row r="2963" spans="2:9" x14ac:dyDescent="0.2">
      <c r="B2963" s="51" t="str">
        <f t="shared" si="60"/>
        <v>2009-049-1</v>
      </c>
      <c r="C2963" s="52">
        <v>2009</v>
      </c>
      <c r="D2963" s="52" t="s">
        <v>80</v>
      </c>
      <c r="E2963" s="52">
        <v>1</v>
      </c>
      <c r="F2963" s="54" t="s">
        <v>834</v>
      </c>
      <c r="G2963" s="52"/>
      <c r="H2963" s="55"/>
      <c r="I2963" s="56"/>
    </row>
    <row r="2964" spans="2:9" x14ac:dyDescent="0.2">
      <c r="B2964" s="51" t="str">
        <f t="shared" si="60"/>
        <v>2009-049-2</v>
      </c>
      <c r="C2964" s="52">
        <v>2009</v>
      </c>
      <c r="D2964" s="52" t="s">
        <v>80</v>
      </c>
      <c r="E2964" s="52">
        <v>2</v>
      </c>
      <c r="F2964" s="54" t="s">
        <v>1227</v>
      </c>
      <c r="G2964" s="52"/>
      <c r="H2964" s="55"/>
      <c r="I2964" s="56"/>
    </row>
    <row r="2965" spans="2:9" ht="27" x14ac:dyDescent="0.2">
      <c r="B2965" s="51" t="str">
        <f t="shared" si="60"/>
        <v>2009-049-3</v>
      </c>
      <c r="C2965" s="52">
        <v>2009</v>
      </c>
      <c r="D2965" s="52" t="s">
        <v>80</v>
      </c>
      <c r="E2965" s="52">
        <v>3</v>
      </c>
      <c r="F2965" s="54" t="s">
        <v>1605</v>
      </c>
      <c r="G2965" s="52"/>
      <c r="H2965" s="55"/>
      <c r="I2965" s="56"/>
    </row>
    <row r="2966" spans="2:9" x14ac:dyDescent="0.2">
      <c r="B2966" s="51" t="str">
        <f t="shared" si="60"/>
        <v>2009-049-4</v>
      </c>
      <c r="C2966" s="52">
        <v>2009</v>
      </c>
      <c r="D2966" s="52" t="s">
        <v>80</v>
      </c>
      <c r="E2966" s="52">
        <v>4</v>
      </c>
      <c r="F2966" s="54" t="s">
        <v>1966</v>
      </c>
      <c r="G2966" s="52"/>
      <c r="H2966" s="55"/>
      <c r="I2966" s="56"/>
    </row>
    <row r="2967" spans="2:9" ht="27" x14ac:dyDescent="0.2">
      <c r="B2967" s="57" t="str">
        <f t="shared" si="60"/>
        <v>2009-049-5</v>
      </c>
      <c r="C2967" s="58">
        <v>2009</v>
      </c>
      <c r="D2967" s="58" t="s">
        <v>80</v>
      </c>
      <c r="E2967" s="58">
        <v>5</v>
      </c>
      <c r="F2967" s="59" t="s">
        <v>2325</v>
      </c>
      <c r="G2967" s="58" t="s">
        <v>3391</v>
      </c>
      <c r="H2967" s="60"/>
      <c r="I2967" s="61"/>
    </row>
    <row r="2968" spans="2:9" x14ac:dyDescent="0.2">
      <c r="B2968" s="62" t="str">
        <f t="shared" si="60"/>
        <v>2009-050-0</v>
      </c>
      <c r="C2968" s="63">
        <v>2009</v>
      </c>
      <c r="D2968" s="63" t="s">
        <v>81</v>
      </c>
      <c r="E2968" s="63">
        <v>0</v>
      </c>
      <c r="F2968" s="64" t="s">
        <v>440</v>
      </c>
      <c r="G2968" s="63"/>
      <c r="H2968" s="65"/>
      <c r="I2968" s="66"/>
    </row>
    <row r="2969" spans="2:9" ht="27" x14ac:dyDescent="0.2">
      <c r="B2969" s="51" t="str">
        <f t="shared" si="60"/>
        <v>2009-050-1</v>
      </c>
      <c r="C2969" s="52">
        <v>2009</v>
      </c>
      <c r="D2969" s="52" t="s">
        <v>81</v>
      </c>
      <c r="E2969" s="52">
        <v>1</v>
      </c>
      <c r="F2969" s="54" t="s">
        <v>835</v>
      </c>
      <c r="G2969" s="52"/>
      <c r="H2969" s="55"/>
      <c r="I2969" s="56"/>
    </row>
    <row r="2970" spans="2:9" x14ac:dyDescent="0.2">
      <c r="B2970" s="51" t="str">
        <f t="shared" si="60"/>
        <v>2009-050-2</v>
      </c>
      <c r="C2970" s="52">
        <v>2009</v>
      </c>
      <c r="D2970" s="52" t="s">
        <v>81</v>
      </c>
      <c r="E2970" s="52">
        <v>2</v>
      </c>
      <c r="F2970" s="54" t="s">
        <v>1228</v>
      </c>
      <c r="G2970" s="52"/>
      <c r="H2970" s="55"/>
      <c r="I2970" s="56"/>
    </row>
    <row r="2971" spans="2:9" ht="27" x14ac:dyDescent="0.2">
      <c r="B2971" s="51" t="str">
        <f t="shared" si="60"/>
        <v>2009-050-3</v>
      </c>
      <c r="C2971" s="52">
        <v>2009</v>
      </c>
      <c r="D2971" s="52" t="s">
        <v>81</v>
      </c>
      <c r="E2971" s="52">
        <v>3</v>
      </c>
      <c r="F2971" s="54" t="s">
        <v>1606</v>
      </c>
      <c r="G2971" s="52"/>
      <c r="H2971" s="55"/>
      <c r="I2971" s="56"/>
    </row>
    <row r="2972" spans="2:9" ht="27" x14ac:dyDescent="0.2">
      <c r="B2972" s="51" t="str">
        <f t="shared" si="60"/>
        <v>2009-050-4</v>
      </c>
      <c r="C2972" s="52">
        <v>2009</v>
      </c>
      <c r="D2972" s="52" t="s">
        <v>81</v>
      </c>
      <c r="E2972" s="52">
        <v>4</v>
      </c>
      <c r="F2972" s="54" t="s">
        <v>1967</v>
      </c>
      <c r="G2972" s="52" t="s">
        <v>3391</v>
      </c>
      <c r="H2972" s="55"/>
      <c r="I2972" s="56"/>
    </row>
    <row r="2973" spans="2:9" ht="14.25" thickBot="1" x14ac:dyDescent="0.25">
      <c r="B2973" s="67" t="str">
        <f t="shared" si="60"/>
        <v>2009-050-5</v>
      </c>
      <c r="C2973" s="68">
        <v>2009</v>
      </c>
      <c r="D2973" s="68" t="s">
        <v>81</v>
      </c>
      <c r="E2973" s="68">
        <v>5</v>
      </c>
      <c r="F2973" s="69" t="s">
        <v>2326</v>
      </c>
      <c r="G2973" s="68"/>
      <c r="H2973" s="70"/>
      <c r="I2973" s="71"/>
    </row>
    <row r="2974" spans="2:9" x14ac:dyDescent="0.2">
      <c r="B2974" s="45" t="str">
        <f t="shared" ref="B2974" si="61">C2974&amp;"-"&amp;D2974&amp;"-"&amp;E2974</f>
        <v>2008-026-0</v>
      </c>
      <c r="C2974" s="46">
        <v>2008</v>
      </c>
      <c r="D2974" s="46" t="s">
        <v>4</v>
      </c>
      <c r="E2974" s="46">
        <v>0</v>
      </c>
      <c r="F2974" s="48" t="s">
        <v>441</v>
      </c>
      <c r="G2974" s="46"/>
      <c r="H2974" s="49"/>
      <c r="I2974" s="50"/>
    </row>
    <row r="2975" spans="2:9" x14ac:dyDescent="0.2">
      <c r="B2975" s="51" t="str">
        <f t="shared" ref="B2975:B3038" si="62">C2975&amp;"-"&amp;D2975&amp;"-"&amp;E2975</f>
        <v>2008-026-1</v>
      </c>
      <c r="C2975" s="52">
        <v>2008</v>
      </c>
      <c r="D2975" s="52" t="s">
        <v>4</v>
      </c>
      <c r="E2975" s="52">
        <v>1</v>
      </c>
      <c r="F2975" s="54" t="s">
        <v>836</v>
      </c>
      <c r="G2975" s="52"/>
      <c r="H2975" s="55"/>
      <c r="I2975" s="56"/>
    </row>
    <row r="2976" spans="2:9" x14ac:dyDescent="0.2">
      <c r="B2976" s="51" t="str">
        <f t="shared" si="62"/>
        <v>2008-026-2</v>
      </c>
      <c r="C2976" s="52">
        <v>2008</v>
      </c>
      <c r="D2976" s="52" t="s">
        <v>4</v>
      </c>
      <c r="E2976" s="52">
        <v>2</v>
      </c>
      <c r="F2976" s="54" t="s">
        <v>1229</v>
      </c>
      <c r="G2976" s="52"/>
      <c r="H2976" s="55"/>
      <c r="I2976" s="56"/>
    </row>
    <row r="2977" spans="2:9" x14ac:dyDescent="0.2">
      <c r="B2977" s="51" t="str">
        <f t="shared" si="62"/>
        <v>2008-026-3</v>
      </c>
      <c r="C2977" s="52">
        <v>2008</v>
      </c>
      <c r="D2977" s="52" t="s">
        <v>4</v>
      </c>
      <c r="E2977" s="52">
        <v>3</v>
      </c>
      <c r="F2977" s="54" t="s">
        <v>1607</v>
      </c>
      <c r="G2977" s="52" t="s">
        <v>3391</v>
      </c>
      <c r="H2977" s="55"/>
      <c r="I2977" s="56"/>
    </row>
    <row r="2978" spans="2:9" x14ac:dyDescent="0.2">
      <c r="B2978" s="51" t="str">
        <f t="shared" si="62"/>
        <v>2008-026-4</v>
      </c>
      <c r="C2978" s="52">
        <v>2008</v>
      </c>
      <c r="D2978" s="52" t="s">
        <v>4</v>
      </c>
      <c r="E2978" s="52">
        <v>4</v>
      </c>
      <c r="F2978" s="54" t="s">
        <v>1968</v>
      </c>
      <c r="G2978" s="52"/>
      <c r="H2978" s="55"/>
      <c r="I2978" s="56"/>
    </row>
    <row r="2979" spans="2:9" x14ac:dyDescent="0.2">
      <c r="B2979" s="57" t="str">
        <f t="shared" si="62"/>
        <v>2008-026-5</v>
      </c>
      <c r="C2979" s="58">
        <v>2008</v>
      </c>
      <c r="D2979" s="58" t="s">
        <v>4</v>
      </c>
      <c r="E2979" s="58">
        <v>5</v>
      </c>
      <c r="F2979" s="59" t="s">
        <v>2327</v>
      </c>
      <c r="G2979" s="58"/>
      <c r="H2979" s="60"/>
      <c r="I2979" s="61"/>
    </row>
    <row r="2980" spans="2:9" x14ac:dyDescent="0.2">
      <c r="B2980" s="62" t="str">
        <f t="shared" si="62"/>
        <v>2008-027-0</v>
      </c>
      <c r="C2980" s="63">
        <v>2008</v>
      </c>
      <c r="D2980" s="63" t="s">
        <v>5</v>
      </c>
      <c r="E2980" s="63">
        <v>0</v>
      </c>
      <c r="F2980" s="64" t="s">
        <v>442</v>
      </c>
      <c r="G2980" s="63"/>
      <c r="H2980" s="65"/>
      <c r="I2980" s="66"/>
    </row>
    <row r="2981" spans="2:9" x14ac:dyDescent="0.2">
      <c r="B2981" s="51" t="str">
        <f t="shared" si="62"/>
        <v>2008-027-1</v>
      </c>
      <c r="C2981" s="52">
        <v>2008</v>
      </c>
      <c r="D2981" s="52" t="s">
        <v>5</v>
      </c>
      <c r="E2981" s="52">
        <v>1</v>
      </c>
      <c r="F2981" s="54" t="s">
        <v>837</v>
      </c>
      <c r="G2981" s="52"/>
      <c r="H2981" s="55"/>
      <c r="I2981" s="56"/>
    </row>
    <row r="2982" spans="2:9" x14ac:dyDescent="0.2">
      <c r="B2982" s="51" t="str">
        <f t="shared" si="62"/>
        <v>2008-027-2</v>
      </c>
      <c r="C2982" s="52">
        <v>2008</v>
      </c>
      <c r="D2982" s="52" t="s">
        <v>5</v>
      </c>
      <c r="E2982" s="52">
        <v>2</v>
      </c>
      <c r="F2982" s="54" t="s">
        <v>1230</v>
      </c>
      <c r="G2982" s="52" t="s">
        <v>3391</v>
      </c>
      <c r="H2982" s="55"/>
      <c r="I2982" s="56"/>
    </row>
    <row r="2983" spans="2:9" x14ac:dyDescent="0.2">
      <c r="B2983" s="51" t="str">
        <f t="shared" si="62"/>
        <v>2008-027-3</v>
      </c>
      <c r="C2983" s="52">
        <v>2008</v>
      </c>
      <c r="D2983" s="52" t="s">
        <v>5</v>
      </c>
      <c r="E2983" s="52">
        <v>3</v>
      </c>
      <c r="F2983" s="54" t="s">
        <v>1608</v>
      </c>
      <c r="G2983" s="52"/>
      <c r="H2983" s="55"/>
      <c r="I2983" s="56"/>
    </row>
    <row r="2984" spans="2:9" x14ac:dyDescent="0.2">
      <c r="B2984" s="51" t="str">
        <f t="shared" si="62"/>
        <v>2008-027-4</v>
      </c>
      <c r="C2984" s="52">
        <v>2008</v>
      </c>
      <c r="D2984" s="52" t="s">
        <v>5</v>
      </c>
      <c r="E2984" s="52">
        <v>4</v>
      </c>
      <c r="F2984" s="54" t="s">
        <v>1969</v>
      </c>
      <c r="G2984" s="52"/>
      <c r="H2984" s="55"/>
      <c r="I2984" s="56"/>
    </row>
    <row r="2985" spans="2:9" x14ac:dyDescent="0.2">
      <c r="B2985" s="57" t="str">
        <f t="shared" si="62"/>
        <v>2008-027-5</v>
      </c>
      <c r="C2985" s="58">
        <v>2008</v>
      </c>
      <c r="D2985" s="58" t="s">
        <v>5</v>
      </c>
      <c r="E2985" s="58">
        <v>5</v>
      </c>
      <c r="F2985" s="59" t="s">
        <v>2328</v>
      </c>
      <c r="G2985" s="58"/>
      <c r="H2985" s="60"/>
      <c r="I2985" s="61"/>
    </row>
    <row r="2986" spans="2:9" x14ac:dyDescent="0.2">
      <c r="B2986" s="62" t="str">
        <f t="shared" si="62"/>
        <v>2008-028-0</v>
      </c>
      <c r="C2986" s="63">
        <v>2008</v>
      </c>
      <c r="D2986" s="63" t="s">
        <v>6</v>
      </c>
      <c r="E2986" s="63">
        <v>0</v>
      </c>
      <c r="F2986" s="64" t="s">
        <v>443</v>
      </c>
      <c r="G2986" s="63"/>
      <c r="H2986" s="65"/>
      <c r="I2986" s="66"/>
    </row>
    <row r="2987" spans="2:9" x14ac:dyDescent="0.2">
      <c r="B2987" s="51" t="str">
        <f t="shared" si="62"/>
        <v>2008-028-1</v>
      </c>
      <c r="C2987" s="52">
        <v>2008</v>
      </c>
      <c r="D2987" s="52" t="s">
        <v>6</v>
      </c>
      <c r="E2987" s="52">
        <v>1</v>
      </c>
      <c r="F2987" s="54" t="s">
        <v>838</v>
      </c>
      <c r="G2987" s="52" t="s">
        <v>3391</v>
      </c>
      <c r="H2987" s="55"/>
      <c r="I2987" s="56"/>
    </row>
    <row r="2988" spans="2:9" x14ac:dyDescent="0.2">
      <c r="B2988" s="51" t="str">
        <f t="shared" si="62"/>
        <v>2008-028-2</v>
      </c>
      <c r="C2988" s="52">
        <v>2008</v>
      </c>
      <c r="D2988" s="52" t="s">
        <v>6</v>
      </c>
      <c r="E2988" s="52">
        <v>2</v>
      </c>
      <c r="F2988" s="54" t="s">
        <v>1231</v>
      </c>
      <c r="G2988" s="52"/>
      <c r="H2988" s="55"/>
      <c r="I2988" s="56"/>
    </row>
    <row r="2989" spans="2:9" x14ac:dyDescent="0.2">
      <c r="B2989" s="51" t="str">
        <f t="shared" si="62"/>
        <v>2008-028-3</v>
      </c>
      <c r="C2989" s="52">
        <v>2008</v>
      </c>
      <c r="D2989" s="52" t="s">
        <v>6</v>
      </c>
      <c r="E2989" s="52">
        <v>3</v>
      </c>
      <c r="F2989" s="54" t="s">
        <v>1609</v>
      </c>
      <c r="G2989" s="52"/>
      <c r="H2989" s="55"/>
      <c r="I2989" s="56"/>
    </row>
    <row r="2990" spans="2:9" x14ac:dyDescent="0.2">
      <c r="B2990" s="51" t="str">
        <f t="shared" si="62"/>
        <v>2008-028-4</v>
      </c>
      <c r="C2990" s="52">
        <v>2008</v>
      </c>
      <c r="D2990" s="52" t="s">
        <v>6</v>
      </c>
      <c r="E2990" s="52">
        <v>4</v>
      </c>
      <c r="F2990" s="54" t="s">
        <v>1970</v>
      </c>
      <c r="G2990" s="52"/>
      <c r="H2990" s="55"/>
      <c r="I2990" s="56"/>
    </row>
    <row r="2991" spans="2:9" x14ac:dyDescent="0.2">
      <c r="B2991" s="57" t="str">
        <f t="shared" si="62"/>
        <v>2008-028-5</v>
      </c>
      <c r="C2991" s="58">
        <v>2008</v>
      </c>
      <c r="D2991" s="58" t="s">
        <v>6</v>
      </c>
      <c r="E2991" s="58">
        <v>5</v>
      </c>
      <c r="F2991" s="59" t="s">
        <v>680</v>
      </c>
      <c r="G2991" s="58"/>
      <c r="H2991" s="60"/>
      <c r="I2991" s="61"/>
    </row>
    <row r="2992" spans="2:9" x14ac:dyDescent="0.2">
      <c r="B2992" s="62" t="str">
        <f t="shared" si="62"/>
        <v>2008-029-0</v>
      </c>
      <c r="C2992" s="63">
        <v>2008</v>
      </c>
      <c r="D2992" s="63" t="s">
        <v>7</v>
      </c>
      <c r="E2992" s="63">
        <v>0</v>
      </c>
      <c r="F2992" s="64" t="s">
        <v>444</v>
      </c>
      <c r="G2992" s="63"/>
      <c r="H2992" s="65"/>
      <c r="I2992" s="66"/>
    </row>
    <row r="2993" spans="2:9" ht="27" x14ac:dyDescent="0.2">
      <c r="B2993" s="51" t="str">
        <f t="shared" si="62"/>
        <v>2008-029-1</v>
      </c>
      <c r="C2993" s="52">
        <v>2008</v>
      </c>
      <c r="D2993" s="52" t="s">
        <v>7</v>
      </c>
      <c r="E2993" s="52">
        <v>1</v>
      </c>
      <c r="F2993" s="54" t="s">
        <v>839</v>
      </c>
      <c r="G2993" s="52"/>
      <c r="H2993" s="55"/>
      <c r="I2993" s="56"/>
    </row>
    <row r="2994" spans="2:9" x14ac:dyDescent="0.2">
      <c r="B2994" s="51" t="str">
        <f t="shared" si="62"/>
        <v>2008-029-2</v>
      </c>
      <c r="C2994" s="52">
        <v>2008</v>
      </c>
      <c r="D2994" s="52" t="s">
        <v>7</v>
      </c>
      <c r="E2994" s="52">
        <v>2</v>
      </c>
      <c r="F2994" s="54" t="s">
        <v>1232</v>
      </c>
      <c r="G2994" s="52"/>
      <c r="H2994" s="55"/>
      <c r="I2994" s="56"/>
    </row>
    <row r="2995" spans="2:9" x14ac:dyDescent="0.2">
      <c r="B2995" s="51" t="str">
        <f t="shared" si="62"/>
        <v>2008-029-3</v>
      </c>
      <c r="C2995" s="52">
        <v>2008</v>
      </c>
      <c r="D2995" s="52" t="s">
        <v>7</v>
      </c>
      <c r="E2995" s="52">
        <v>3</v>
      </c>
      <c r="F2995" s="73" t="s">
        <v>1610</v>
      </c>
      <c r="G2995" s="52"/>
      <c r="H2995" s="55"/>
      <c r="I2995" s="56"/>
    </row>
    <row r="2996" spans="2:9" x14ac:dyDescent="0.2">
      <c r="B2996" s="51" t="str">
        <f t="shared" si="62"/>
        <v>2008-029-4</v>
      </c>
      <c r="C2996" s="52">
        <v>2008</v>
      </c>
      <c r="D2996" s="52" t="s">
        <v>7</v>
      </c>
      <c r="E2996" s="52">
        <v>4</v>
      </c>
      <c r="F2996" s="54" t="s">
        <v>1971</v>
      </c>
      <c r="G2996" s="52"/>
      <c r="H2996" s="55"/>
      <c r="I2996" s="56"/>
    </row>
    <row r="2997" spans="2:9" ht="27" x14ac:dyDescent="0.2">
      <c r="B2997" s="57" t="str">
        <f t="shared" si="62"/>
        <v>2008-029-5</v>
      </c>
      <c r="C2997" s="58">
        <v>2008</v>
      </c>
      <c r="D2997" s="58" t="s">
        <v>7</v>
      </c>
      <c r="E2997" s="58">
        <v>5</v>
      </c>
      <c r="F2997" s="59" t="s">
        <v>2329</v>
      </c>
      <c r="G2997" s="58" t="s">
        <v>3391</v>
      </c>
      <c r="H2997" s="60"/>
      <c r="I2997" s="61"/>
    </row>
    <row r="2998" spans="2:9" x14ac:dyDescent="0.2">
      <c r="B2998" s="62" t="str">
        <f t="shared" si="62"/>
        <v>2008-030-0</v>
      </c>
      <c r="C2998" s="63">
        <v>2008</v>
      </c>
      <c r="D2998" s="63" t="s">
        <v>8</v>
      </c>
      <c r="E2998" s="63">
        <v>0</v>
      </c>
      <c r="F2998" s="64" t="s">
        <v>445</v>
      </c>
      <c r="G2998" s="63"/>
      <c r="H2998" s="65"/>
      <c r="I2998" s="66"/>
    </row>
    <row r="2999" spans="2:9" x14ac:dyDescent="0.2">
      <c r="B2999" s="51" t="str">
        <f t="shared" si="62"/>
        <v>2008-030-1</v>
      </c>
      <c r="C2999" s="52">
        <v>2008</v>
      </c>
      <c r="D2999" s="52" t="s">
        <v>8</v>
      </c>
      <c r="E2999" s="52">
        <v>1</v>
      </c>
      <c r="F2999" s="54" t="s">
        <v>840</v>
      </c>
      <c r="G2999" s="52"/>
      <c r="H2999" s="55"/>
      <c r="I2999" s="56"/>
    </row>
    <row r="3000" spans="2:9" x14ac:dyDescent="0.2">
      <c r="B3000" s="51" t="str">
        <f t="shared" si="62"/>
        <v>2008-030-2</v>
      </c>
      <c r="C3000" s="52">
        <v>2008</v>
      </c>
      <c r="D3000" s="52" t="s">
        <v>8</v>
      </c>
      <c r="E3000" s="52">
        <v>2</v>
      </c>
      <c r="F3000" s="54" t="s">
        <v>1233</v>
      </c>
      <c r="G3000" s="52" t="s">
        <v>3391</v>
      </c>
      <c r="H3000" s="55"/>
      <c r="I3000" s="56"/>
    </row>
    <row r="3001" spans="2:9" x14ac:dyDescent="0.2">
      <c r="B3001" s="51" t="str">
        <f t="shared" si="62"/>
        <v>2008-030-3</v>
      </c>
      <c r="C3001" s="52">
        <v>2008</v>
      </c>
      <c r="D3001" s="52" t="s">
        <v>8</v>
      </c>
      <c r="E3001" s="52">
        <v>3</v>
      </c>
      <c r="F3001" s="54" t="s">
        <v>1611</v>
      </c>
      <c r="G3001" s="52"/>
      <c r="H3001" s="55"/>
      <c r="I3001" s="56"/>
    </row>
    <row r="3002" spans="2:9" x14ac:dyDescent="0.2">
      <c r="B3002" s="51" t="str">
        <f t="shared" si="62"/>
        <v>2008-030-4</v>
      </c>
      <c r="C3002" s="52">
        <v>2008</v>
      </c>
      <c r="D3002" s="52" t="s">
        <v>8</v>
      </c>
      <c r="E3002" s="52">
        <v>4</v>
      </c>
      <c r="F3002" s="54" t="s">
        <v>1972</v>
      </c>
      <c r="G3002" s="52"/>
      <c r="H3002" s="55"/>
      <c r="I3002" s="56"/>
    </row>
    <row r="3003" spans="2:9" x14ac:dyDescent="0.2">
      <c r="B3003" s="57" t="str">
        <f t="shared" si="62"/>
        <v>2008-030-5</v>
      </c>
      <c r="C3003" s="58">
        <v>2008</v>
      </c>
      <c r="D3003" s="58" t="s">
        <v>8</v>
      </c>
      <c r="E3003" s="58">
        <v>5</v>
      </c>
      <c r="F3003" s="59" t="s">
        <v>2330</v>
      </c>
      <c r="G3003" s="58"/>
      <c r="H3003" s="60"/>
      <c r="I3003" s="61"/>
    </row>
    <row r="3004" spans="2:9" x14ac:dyDescent="0.2">
      <c r="B3004" s="62" t="str">
        <f t="shared" si="62"/>
        <v>2008-031-0</v>
      </c>
      <c r="C3004" s="63">
        <v>2008</v>
      </c>
      <c r="D3004" s="63" t="s">
        <v>9</v>
      </c>
      <c r="E3004" s="63">
        <v>0</v>
      </c>
      <c r="F3004" s="64" t="s">
        <v>446</v>
      </c>
      <c r="G3004" s="63"/>
      <c r="H3004" s="65"/>
      <c r="I3004" s="66"/>
    </row>
    <row r="3005" spans="2:9" x14ac:dyDescent="0.2">
      <c r="B3005" s="51" t="str">
        <f t="shared" si="62"/>
        <v>2008-031-1</v>
      </c>
      <c r="C3005" s="52">
        <v>2008</v>
      </c>
      <c r="D3005" s="52" t="s">
        <v>9</v>
      </c>
      <c r="E3005" s="52">
        <v>1</v>
      </c>
      <c r="F3005" s="54" t="s">
        <v>841</v>
      </c>
      <c r="G3005" s="52"/>
      <c r="H3005" s="55"/>
      <c r="I3005" s="56"/>
    </row>
    <row r="3006" spans="2:9" x14ac:dyDescent="0.2">
      <c r="B3006" s="51" t="str">
        <f t="shared" si="62"/>
        <v>2008-031-2</v>
      </c>
      <c r="C3006" s="52">
        <v>2008</v>
      </c>
      <c r="D3006" s="52" t="s">
        <v>9</v>
      </c>
      <c r="E3006" s="52">
        <v>2</v>
      </c>
      <c r="F3006" s="54" t="s">
        <v>1234</v>
      </c>
      <c r="G3006" s="52"/>
      <c r="H3006" s="55"/>
      <c r="I3006" s="56"/>
    </row>
    <row r="3007" spans="2:9" x14ac:dyDescent="0.2">
      <c r="B3007" s="51" t="str">
        <f t="shared" si="62"/>
        <v>2008-031-3</v>
      </c>
      <c r="C3007" s="52">
        <v>2008</v>
      </c>
      <c r="D3007" s="52" t="s">
        <v>9</v>
      </c>
      <c r="E3007" s="52">
        <v>3</v>
      </c>
      <c r="F3007" s="54" t="s">
        <v>1612</v>
      </c>
      <c r="G3007" s="52"/>
      <c r="H3007" s="55"/>
      <c r="I3007" s="56"/>
    </row>
    <row r="3008" spans="2:9" x14ac:dyDescent="0.2">
      <c r="B3008" s="51" t="str">
        <f t="shared" si="62"/>
        <v>2008-031-4</v>
      </c>
      <c r="C3008" s="52">
        <v>2008</v>
      </c>
      <c r="D3008" s="52" t="s">
        <v>9</v>
      </c>
      <c r="E3008" s="52">
        <v>4</v>
      </c>
      <c r="F3008" s="54" t="s">
        <v>1973</v>
      </c>
      <c r="G3008" s="52"/>
      <c r="H3008" s="55"/>
      <c r="I3008" s="56"/>
    </row>
    <row r="3009" spans="2:9" x14ac:dyDescent="0.2">
      <c r="B3009" s="57" t="str">
        <f t="shared" si="62"/>
        <v>2008-031-5</v>
      </c>
      <c r="C3009" s="58">
        <v>2008</v>
      </c>
      <c r="D3009" s="58" t="s">
        <v>9</v>
      </c>
      <c r="E3009" s="58">
        <v>5</v>
      </c>
      <c r="F3009" s="59" t="s">
        <v>2331</v>
      </c>
      <c r="G3009" s="58" t="s">
        <v>3391</v>
      </c>
      <c r="H3009" s="60"/>
      <c r="I3009" s="61"/>
    </row>
    <row r="3010" spans="2:9" x14ac:dyDescent="0.2">
      <c r="B3010" s="62" t="str">
        <f t="shared" si="62"/>
        <v>2008-032-0</v>
      </c>
      <c r="C3010" s="63">
        <v>2008</v>
      </c>
      <c r="D3010" s="63" t="s">
        <v>10</v>
      </c>
      <c r="E3010" s="63">
        <v>0</v>
      </c>
      <c r="F3010" s="64" t="s">
        <v>447</v>
      </c>
      <c r="G3010" s="63"/>
      <c r="H3010" s="65"/>
      <c r="I3010" s="66"/>
    </row>
    <row r="3011" spans="2:9" x14ac:dyDescent="0.2">
      <c r="B3011" s="51" t="str">
        <f t="shared" si="62"/>
        <v>2008-032-1</v>
      </c>
      <c r="C3011" s="52">
        <v>2008</v>
      </c>
      <c r="D3011" s="52" t="s">
        <v>10</v>
      </c>
      <c r="E3011" s="52">
        <v>1</v>
      </c>
      <c r="F3011" s="54" t="s">
        <v>842</v>
      </c>
      <c r="G3011" s="52"/>
      <c r="H3011" s="55"/>
      <c r="I3011" s="56"/>
    </row>
    <row r="3012" spans="2:9" x14ac:dyDescent="0.2">
      <c r="B3012" s="51" t="str">
        <f t="shared" si="62"/>
        <v>2008-032-2</v>
      </c>
      <c r="C3012" s="52">
        <v>2008</v>
      </c>
      <c r="D3012" s="52" t="s">
        <v>10</v>
      </c>
      <c r="E3012" s="52">
        <v>2</v>
      </c>
      <c r="F3012" s="54" t="s">
        <v>1235</v>
      </c>
      <c r="G3012" s="52"/>
      <c r="H3012" s="55"/>
      <c r="I3012" s="56"/>
    </row>
    <row r="3013" spans="2:9" ht="27" x14ac:dyDescent="0.2">
      <c r="B3013" s="51" t="str">
        <f t="shared" si="62"/>
        <v>2008-032-3</v>
      </c>
      <c r="C3013" s="52">
        <v>2008</v>
      </c>
      <c r="D3013" s="52" t="s">
        <v>10</v>
      </c>
      <c r="E3013" s="52">
        <v>3</v>
      </c>
      <c r="F3013" s="54" t="s">
        <v>1613</v>
      </c>
      <c r="G3013" s="52"/>
      <c r="H3013" s="55"/>
      <c r="I3013" s="56"/>
    </row>
    <row r="3014" spans="2:9" x14ac:dyDescent="0.2">
      <c r="B3014" s="51" t="str">
        <f t="shared" si="62"/>
        <v>2008-032-4</v>
      </c>
      <c r="C3014" s="52">
        <v>2008</v>
      </c>
      <c r="D3014" s="52" t="s">
        <v>10</v>
      </c>
      <c r="E3014" s="52">
        <v>4</v>
      </c>
      <c r="F3014" s="54" t="s">
        <v>1974</v>
      </c>
      <c r="G3014" s="52"/>
      <c r="H3014" s="55"/>
      <c r="I3014" s="56"/>
    </row>
    <row r="3015" spans="2:9" x14ac:dyDescent="0.2">
      <c r="B3015" s="57" t="str">
        <f t="shared" si="62"/>
        <v>2008-032-5</v>
      </c>
      <c r="C3015" s="58">
        <v>2008</v>
      </c>
      <c r="D3015" s="58" t="s">
        <v>10</v>
      </c>
      <c r="E3015" s="58">
        <v>5</v>
      </c>
      <c r="F3015" s="59" t="s">
        <v>2332</v>
      </c>
      <c r="G3015" s="58" t="s">
        <v>3391</v>
      </c>
      <c r="H3015" s="60"/>
      <c r="I3015" s="61"/>
    </row>
    <row r="3016" spans="2:9" x14ac:dyDescent="0.2">
      <c r="B3016" s="62" t="str">
        <f t="shared" si="62"/>
        <v>2008-033-0</v>
      </c>
      <c r="C3016" s="63">
        <v>2008</v>
      </c>
      <c r="D3016" s="63" t="s">
        <v>11</v>
      </c>
      <c r="E3016" s="63">
        <v>0</v>
      </c>
      <c r="F3016" s="64" t="s">
        <v>448</v>
      </c>
      <c r="G3016" s="63"/>
      <c r="H3016" s="65"/>
      <c r="I3016" s="66"/>
    </row>
    <row r="3017" spans="2:9" ht="27" x14ac:dyDescent="0.2">
      <c r="B3017" s="51" t="str">
        <f t="shared" si="62"/>
        <v>2008-033-1</v>
      </c>
      <c r="C3017" s="52">
        <v>2008</v>
      </c>
      <c r="D3017" s="52" t="s">
        <v>11</v>
      </c>
      <c r="E3017" s="52">
        <v>1</v>
      </c>
      <c r="F3017" s="54" t="s">
        <v>843</v>
      </c>
      <c r="G3017" s="52" t="s">
        <v>3391</v>
      </c>
      <c r="H3017" s="55"/>
      <c r="I3017" s="56"/>
    </row>
    <row r="3018" spans="2:9" x14ac:dyDescent="0.2">
      <c r="B3018" s="51" t="str">
        <f t="shared" si="62"/>
        <v>2008-033-2</v>
      </c>
      <c r="C3018" s="52">
        <v>2008</v>
      </c>
      <c r="D3018" s="52" t="s">
        <v>11</v>
      </c>
      <c r="E3018" s="52">
        <v>2</v>
      </c>
      <c r="F3018" s="54" t="s">
        <v>1236</v>
      </c>
      <c r="G3018" s="52"/>
      <c r="H3018" s="55"/>
      <c r="I3018" s="56"/>
    </row>
    <row r="3019" spans="2:9" x14ac:dyDescent="0.2">
      <c r="B3019" s="51" t="str">
        <f t="shared" si="62"/>
        <v>2008-033-3</v>
      </c>
      <c r="C3019" s="52">
        <v>2008</v>
      </c>
      <c r="D3019" s="52" t="s">
        <v>11</v>
      </c>
      <c r="E3019" s="52">
        <v>3</v>
      </c>
      <c r="F3019" s="54" t="s">
        <v>1614</v>
      </c>
      <c r="G3019" s="52"/>
      <c r="H3019" s="55"/>
      <c r="I3019" s="56"/>
    </row>
    <row r="3020" spans="2:9" x14ac:dyDescent="0.2">
      <c r="B3020" s="51" t="str">
        <f t="shared" si="62"/>
        <v>2008-033-4</v>
      </c>
      <c r="C3020" s="52">
        <v>2008</v>
      </c>
      <c r="D3020" s="52" t="s">
        <v>11</v>
      </c>
      <c r="E3020" s="52">
        <v>4</v>
      </c>
      <c r="F3020" s="54" t="s">
        <v>1975</v>
      </c>
      <c r="G3020" s="52"/>
      <c r="H3020" s="55"/>
      <c r="I3020" s="56"/>
    </row>
    <row r="3021" spans="2:9" x14ac:dyDescent="0.2">
      <c r="B3021" s="57" t="str">
        <f t="shared" si="62"/>
        <v>2008-033-5</v>
      </c>
      <c r="C3021" s="58">
        <v>2008</v>
      </c>
      <c r="D3021" s="58" t="s">
        <v>11</v>
      </c>
      <c r="E3021" s="58">
        <v>5</v>
      </c>
      <c r="F3021" s="59" t="s">
        <v>2333</v>
      </c>
      <c r="G3021" s="58"/>
      <c r="H3021" s="60"/>
      <c r="I3021" s="61"/>
    </row>
    <row r="3022" spans="2:9" x14ac:dyDescent="0.2">
      <c r="B3022" s="62" t="str">
        <f t="shared" si="62"/>
        <v>2008-034-0</v>
      </c>
      <c r="C3022" s="63">
        <v>2008</v>
      </c>
      <c r="D3022" s="63" t="s">
        <v>12</v>
      </c>
      <c r="E3022" s="63">
        <v>0</v>
      </c>
      <c r="F3022" s="64" t="s">
        <v>449</v>
      </c>
      <c r="G3022" s="63"/>
      <c r="H3022" s="65"/>
      <c r="I3022" s="66"/>
    </row>
    <row r="3023" spans="2:9" x14ac:dyDescent="0.2">
      <c r="B3023" s="51" t="str">
        <f t="shared" si="62"/>
        <v>2008-034-1</v>
      </c>
      <c r="C3023" s="52">
        <v>2008</v>
      </c>
      <c r="D3023" s="52" t="s">
        <v>12</v>
      </c>
      <c r="E3023" s="52">
        <v>1</v>
      </c>
      <c r="F3023" s="54" t="s">
        <v>844</v>
      </c>
      <c r="G3023" s="52"/>
      <c r="H3023" s="55"/>
      <c r="I3023" s="56"/>
    </row>
    <row r="3024" spans="2:9" x14ac:dyDescent="0.2">
      <c r="B3024" s="51" t="str">
        <f t="shared" si="62"/>
        <v>2008-034-2</v>
      </c>
      <c r="C3024" s="52">
        <v>2008</v>
      </c>
      <c r="D3024" s="52" t="s">
        <v>12</v>
      </c>
      <c r="E3024" s="52">
        <v>2</v>
      </c>
      <c r="F3024" s="54" t="s">
        <v>1237</v>
      </c>
      <c r="G3024" s="52"/>
      <c r="H3024" s="55"/>
      <c r="I3024" s="56"/>
    </row>
    <row r="3025" spans="2:9" ht="27" x14ac:dyDescent="0.2">
      <c r="B3025" s="51" t="str">
        <f t="shared" si="62"/>
        <v>2008-034-3</v>
      </c>
      <c r="C3025" s="52">
        <v>2008</v>
      </c>
      <c r="D3025" s="52" t="s">
        <v>12</v>
      </c>
      <c r="E3025" s="52">
        <v>3</v>
      </c>
      <c r="F3025" s="54" t="s">
        <v>1615</v>
      </c>
      <c r="G3025" s="52"/>
      <c r="H3025" s="55"/>
      <c r="I3025" s="56"/>
    </row>
    <row r="3026" spans="2:9" x14ac:dyDescent="0.2">
      <c r="B3026" s="51" t="str">
        <f t="shared" si="62"/>
        <v>2008-034-4</v>
      </c>
      <c r="C3026" s="52">
        <v>2008</v>
      </c>
      <c r="D3026" s="52" t="s">
        <v>12</v>
      </c>
      <c r="E3026" s="52">
        <v>4</v>
      </c>
      <c r="F3026" s="54" t="s">
        <v>1976</v>
      </c>
      <c r="G3026" s="52" t="s">
        <v>3391</v>
      </c>
      <c r="H3026" s="55"/>
      <c r="I3026" s="56"/>
    </row>
    <row r="3027" spans="2:9" x14ac:dyDescent="0.2">
      <c r="B3027" s="57" t="str">
        <f t="shared" si="62"/>
        <v>2008-034-5</v>
      </c>
      <c r="C3027" s="58">
        <v>2008</v>
      </c>
      <c r="D3027" s="58" t="s">
        <v>12</v>
      </c>
      <c r="E3027" s="58">
        <v>5</v>
      </c>
      <c r="F3027" s="59" t="s">
        <v>2334</v>
      </c>
      <c r="G3027" s="58"/>
      <c r="H3027" s="60"/>
      <c r="I3027" s="61"/>
    </row>
    <row r="3028" spans="2:9" x14ac:dyDescent="0.2">
      <c r="B3028" s="62" t="str">
        <f t="shared" si="62"/>
        <v>2008-035-0</v>
      </c>
      <c r="C3028" s="63">
        <v>2008</v>
      </c>
      <c r="D3028" s="63" t="s">
        <v>13</v>
      </c>
      <c r="E3028" s="63">
        <v>0</v>
      </c>
      <c r="F3028" s="64" t="s">
        <v>450</v>
      </c>
      <c r="G3028" s="63"/>
      <c r="H3028" s="65"/>
      <c r="I3028" s="66"/>
    </row>
    <row r="3029" spans="2:9" x14ac:dyDescent="0.2">
      <c r="B3029" s="51" t="str">
        <f t="shared" si="62"/>
        <v>2008-035-1</v>
      </c>
      <c r="C3029" s="52">
        <v>2008</v>
      </c>
      <c r="D3029" s="52" t="s">
        <v>13</v>
      </c>
      <c r="E3029" s="52">
        <v>1</v>
      </c>
      <c r="F3029" s="54" t="s">
        <v>845</v>
      </c>
      <c r="G3029" s="52"/>
      <c r="H3029" s="55"/>
      <c r="I3029" s="56"/>
    </row>
    <row r="3030" spans="2:9" x14ac:dyDescent="0.2">
      <c r="B3030" s="51" t="str">
        <f t="shared" si="62"/>
        <v>2008-035-2</v>
      </c>
      <c r="C3030" s="52">
        <v>2008</v>
      </c>
      <c r="D3030" s="52" t="s">
        <v>13</v>
      </c>
      <c r="E3030" s="52">
        <v>2</v>
      </c>
      <c r="F3030" s="54" t="s">
        <v>1238</v>
      </c>
      <c r="G3030" s="52"/>
      <c r="H3030" s="55"/>
      <c r="I3030" s="56"/>
    </row>
    <row r="3031" spans="2:9" x14ac:dyDescent="0.2">
      <c r="B3031" s="51" t="str">
        <f t="shared" si="62"/>
        <v>2008-035-3</v>
      </c>
      <c r="C3031" s="52">
        <v>2008</v>
      </c>
      <c r="D3031" s="52" t="s">
        <v>13</v>
      </c>
      <c r="E3031" s="52">
        <v>3</v>
      </c>
      <c r="F3031" s="54" t="s">
        <v>1616</v>
      </c>
      <c r="G3031" s="52" t="s">
        <v>3391</v>
      </c>
      <c r="H3031" s="55"/>
      <c r="I3031" s="56"/>
    </row>
    <row r="3032" spans="2:9" x14ac:dyDescent="0.2">
      <c r="B3032" s="51" t="str">
        <f t="shared" si="62"/>
        <v>2008-035-4</v>
      </c>
      <c r="C3032" s="52">
        <v>2008</v>
      </c>
      <c r="D3032" s="52" t="s">
        <v>13</v>
      </c>
      <c r="E3032" s="52">
        <v>4</v>
      </c>
      <c r="F3032" s="54" t="s">
        <v>1977</v>
      </c>
      <c r="G3032" s="52"/>
      <c r="H3032" s="55"/>
      <c r="I3032" s="56"/>
    </row>
    <row r="3033" spans="2:9" x14ac:dyDescent="0.2">
      <c r="B3033" s="57" t="str">
        <f t="shared" si="62"/>
        <v>2008-035-5</v>
      </c>
      <c r="C3033" s="58">
        <v>2008</v>
      </c>
      <c r="D3033" s="58" t="s">
        <v>13</v>
      </c>
      <c r="E3033" s="58">
        <v>5</v>
      </c>
      <c r="F3033" s="59" t="s">
        <v>2335</v>
      </c>
      <c r="G3033" s="58"/>
      <c r="H3033" s="60"/>
      <c r="I3033" s="61"/>
    </row>
    <row r="3034" spans="2:9" x14ac:dyDescent="0.2">
      <c r="B3034" s="62" t="str">
        <f t="shared" si="62"/>
        <v>2008-036-0</v>
      </c>
      <c r="C3034" s="63">
        <v>2008</v>
      </c>
      <c r="D3034" s="63" t="s">
        <v>14</v>
      </c>
      <c r="E3034" s="63">
        <v>0</v>
      </c>
      <c r="F3034" s="64" t="s">
        <v>451</v>
      </c>
      <c r="G3034" s="63"/>
      <c r="H3034" s="65"/>
      <c r="I3034" s="66"/>
    </row>
    <row r="3035" spans="2:9" x14ac:dyDescent="0.2">
      <c r="B3035" s="51" t="str">
        <f t="shared" si="62"/>
        <v>2008-036-1</v>
      </c>
      <c r="C3035" s="52">
        <v>2008</v>
      </c>
      <c r="D3035" s="52" t="s">
        <v>14</v>
      </c>
      <c r="E3035" s="52">
        <v>1</v>
      </c>
      <c r="F3035" s="54" t="s">
        <v>846</v>
      </c>
      <c r="G3035" s="52" t="s">
        <v>3391</v>
      </c>
      <c r="H3035" s="55"/>
      <c r="I3035" s="56"/>
    </row>
    <row r="3036" spans="2:9" x14ac:dyDescent="0.2">
      <c r="B3036" s="51" t="str">
        <f t="shared" si="62"/>
        <v>2008-036-2</v>
      </c>
      <c r="C3036" s="52">
        <v>2008</v>
      </c>
      <c r="D3036" s="52" t="s">
        <v>14</v>
      </c>
      <c r="E3036" s="52">
        <v>2</v>
      </c>
      <c r="F3036" s="54" t="s">
        <v>1239</v>
      </c>
      <c r="G3036" s="52"/>
      <c r="H3036" s="55"/>
      <c r="I3036" s="56"/>
    </row>
    <row r="3037" spans="2:9" x14ac:dyDescent="0.2">
      <c r="B3037" s="51" t="str">
        <f t="shared" si="62"/>
        <v>2008-036-3</v>
      </c>
      <c r="C3037" s="52">
        <v>2008</v>
      </c>
      <c r="D3037" s="52" t="s">
        <v>14</v>
      </c>
      <c r="E3037" s="52">
        <v>3</v>
      </c>
      <c r="F3037" s="54" t="s">
        <v>1617</v>
      </c>
      <c r="G3037" s="52"/>
      <c r="H3037" s="55"/>
      <c r="I3037" s="56"/>
    </row>
    <row r="3038" spans="2:9" x14ac:dyDescent="0.2">
      <c r="B3038" s="51" t="str">
        <f t="shared" si="62"/>
        <v>2008-036-4</v>
      </c>
      <c r="C3038" s="52">
        <v>2008</v>
      </c>
      <c r="D3038" s="52" t="s">
        <v>14</v>
      </c>
      <c r="E3038" s="52">
        <v>4</v>
      </c>
      <c r="F3038" s="54" t="s">
        <v>1978</v>
      </c>
      <c r="G3038" s="52"/>
      <c r="H3038" s="55"/>
      <c r="I3038" s="56"/>
    </row>
    <row r="3039" spans="2:9" x14ac:dyDescent="0.2">
      <c r="B3039" s="57" t="str">
        <f t="shared" ref="B3039:B3102" si="63">C3039&amp;"-"&amp;D3039&amp;"-"&amp;E3039</f>
        <v>2008-036-5</v>
      </c>
      <c r="C3039" s="58">
        <v>2008</v>
      </c>
      <c r="D3039" s="58" t="s">
        <v>14</v>
      </c>
      <c r="E3039" s="58">
        <v>5</v>
      </c>
      <c r="F3039" s="59" t="s">
        <v>2336</v>
      </c>
      <c r="G3039" s="58"/>
      <c r="H3039" s="60"/>
      <c r="I3039" s="61"/>
    </row>
    <row r="3040" spans="2:9" x14ac:dyDescent="0.2">
      <c r="B3040" s="62" t="str">
        <f t="shared" si="63"/>
        <v>2008-037-0</v>
      </c>
      <c r="C3040" s="63">
        <v>2008</v>
      </c>
      <c r="D3040" s="63" t="s">
        <v>15</v>
      </c>
      <c r="E3040" s="63">
        <v>0</v>
      </c>
      <c r="F3040" s="64" t="s">
        <v>452</v>
      </c>
      <c r="G3040" s="63"/>
      <c r="H3040" s="65"/>
      <c r="I3040" s="66"/>
    </row>
    <row r="3041" spans="2:9" x14ac:dyDescent="0.2">
      <c r="B3041" s="51" t="str">
        <f t="shared" si="63"/>
        <v>2008-037-1</v>
      </c>
      <c r="C3041" s="52">
        <v>2008</v>
      </c>
      <c r="D3041" s="52" t="s">
        <v>15</v>
      </c>
      <c r="E3041" s="52">
        <v>1</v>
      </c>
      <c r="F3041" s="54" t="s">
        <v>847</v>
      </c>
      <c r="G3041" s="52" t="s">
        <v>3391</v>
      </c>
      <c r="H3041" s="55"/>
      <c r="I3041" s="56"/>
    </row>
    <row r="3042" spans="2:9" x14ac:dyDescent="0.2">
      <c r="B3042" s="51" t="str">
        <f t="shared" si="63"/>
        <v>2008-037-2</v>
      </c>
      <c r="C3042" s="52">
        <v>2008</v>
      </c>
      <c r="D3042" s="52" t="s">
        <v>15</v>
      </c>
      <c r="E3042" s="52">
        <v>2</v>
      </c>
      <c r="F3042" s="54" t="s">
        <v>1240</v>
      </c>
      <c r="G3042" s="52"/>
      <c r="H3042" s="55"/>
      <c r="I3042" s="56"/>
    </row>
    <row r="3043" spans="2:9" x14ac:dyDescent="0.2">
      <c r="B3043" s="51" t="str">
        <f t="shared" si="63"/>
        <v>2008-037-3</v>
      </c>
      <c r="C3043" s="52">
        <v>2008</v>
      </c>
      <c r="D3043" s="52" t="s">
        <v>15</v>
      </c>
      <c r="E3043" s="52">
        <v>3</v>
      </c>
      <c r="F3043" s="54" t="s">
        <v>1618</v>
      </c>
      <c r="G3043" s="52"/>
      <c r="H3043" s="55"/>
      <c r="I3043" s="56"/>
    </row>
    <row r="3044" spans="2:9" x14ac:dyDescent="0.2">
      <c r="B3044" s="51" t="str">
        <f t="shared" si="63"/>
        <v>2008-037-4</v>
      </c>
      <c r="C3044" s="52">
        <v>2008</v>
      </c>
      <c r="D3044" s="52" t="s">
        <v>15</v>
      </c>
      <c r="E3044" s="52">
        <v>4</v>
      </c>
      <c r="F3044" s="54" t="s">
        <v>1979</v>
      </c>
      <c r="G3044" s="52"/>
      <c r="H3044" s="55"/>
      <c r="I3044" s="56"/>
    </row>
    <row r="3045" spans="2:9" x14ac:dyDescent="0.2">
      <c r="B3045" s="57" t="str">
        <f t="shared" si="63"/>
        <v>2008-037-5</v>
      </c>
      <c r="C3045" s="58">
        <v>2008</v>
      </c>
      <c r="D3045" s="58" t="s">
        <v>15</v>
      </c>
      <c r="E3045" s="58">
        <v>5</v>
      </c>
      <c r="F3045" s="59" t="s">
        <v>2337</v>
      </c>
      <c r="G3045" s="58"/>
      <c r="H3045" s="60"/>
      <c r="I3045" s="61"/>
    </row>
    <row r="3046" spans="2:9" x14ac:dyDescent="0.2">
      <c r="B3046" s="62" t="str">
        <f t="shared" si="63"/>
        <v>2008-038-0</v>
      </c>
      <c r="C3046" s="63">
        <v>2008</v>
      </c>
      <c r="D3046" s="63" t="s">
        <v>16</v>
      </c>
      <c r="E3046" s="63">
        <v>0</v>
      </c>
      <c r="F3046" s="64" t="s">
        <v>453</v>
      </c>
      <c r="G3046" s="63"/>
      <c r="H3046" s="65"/>
      <c r="I3046" s="66"/>
    </row>
    <row r="3047" spans="2:9" x14ac:dyDescent="0.2">
      <c r="B3047" s="51" t="str">
        <f t="shared" si="63"/>
        <v>2008-038-1</v>
      </c>
      <c r="C3047" s="52">
        <v>2008</v>
      </c>
      <c r="D3047" s="52" t="s">
        <v>16</v>
      </c>
      <c r="E3047" s="52">
        <v>1</v>
      </c>
      <c r="F3047" s="54" t="s">
        <v>848</v>
      </c>
      <c r="G3047" s="52"/>
      <c r="H3047" s="55"/>
      <c r="I3047" s="56"/>
    </row>
    <row r="3048" spans="2:9" x14ac:dyDescent="0.2">
      <c r="B3048" s="51" t="str">
        <f t="shared" si="63"/>
        <v>2008-038-2</v>
      </c>
      <c r="C3048" s="52">
        <v>2008</v>
      </c>
      <c r="D3048" s="52" t="s">
        <v>16</v>
      </c>
      <c r="E3048" s="52">
        <v>2</v>
      </c>
      <c r="F3048" s="54" t="s">
        <v>1241</v>
      </c>
      <c r="G3048" s="52"/>
      <c r="H3048" s="55"/>
      <c r="I3048" s="56"/>
    </row>
    <row r="3049" spans="2:9" x14ac:dyDescent="0.2">
      <c r="B3049" s="51" t="str">
        <f t="shared" si="63"/>
        <v>2008-038-3</v>
      </c>
      <c r="C3049" s="52">
        <v>2008</v>
      </c>
      <c r="D3049" s="52" t="s">
        <v>16</v>
      </c>
      <c r="E3049" s="52">
        <v>3</v>
      </c>
      <c r="F3049" s="54" t="s">
        <v>1619</v>
      </c>
      <c r="G3049" s="52"/>
      <c r="H3049" s="55"/>
      <c r="I3049" s="56"/>
    </row>
    <row r="3050" spans="2:9" x14ac:dyDescent="0.2">
      <c r="B3050" s="51" t="str">
        <f t="shared" si="63"/>
        <v>2008-038-4</v>
      </c>
      <c r="C3050" s="52">
        <v>2008</v>
      </c>
      <c r="D3050" s="52" t="s">
        <v>16</v>
      </c>
      <c r="E3050" s="52">
        <v>4</v>
      </c>
      <c r="F3050" s="54" t="s">
        <v>1980</v>
      </c>
      <c r="G3050" s="52" t="s">
        <v>3391</v>
      </c>
      <c r="H3050" s="55"/>
      <c r="I3050" s="56"/>
    </row>
    <row r="3051" spans="2:9" x14ac:dyDescent="0.2">
      <c r="B3051" s="57" t="str">
        <f t="shared" si="63"/>
        <v>2008-038-5</v>
      </c>
      <c r="C3051" s="58">
        <v>2008</v>
      </c>
      <c r="D3051" s="58" t="s">
        <v>16</v>
      </c>
      <c r="E3051" s="58">
        <v>5</v>
      </c>
      <c r="F3051" s="59" t="s">
        <v>2338</v>
      </c>
      <c r="G3051" s="58"/>
      <c r="H3051" s="60"/>
      <c r="I3051" s="61"/>
    </row>
    <row r="3052" spans="2:9" x14ac:dyDescent="0.2">
      <c r="B3052" s="62" t="str">
        <f t="shared" si="63"/>
        <v>2008-039-0</v>
      </c>
      <c r="C3052" s="63">
        <v>2008</v>
      </c>
      <c r="D3052" s="63" t="s">
        <v>17</v>
      </c>
      <c r="E3052" s="63">
        <v>0</v>
      </c>
      <c r="F3052" s="64" t="s">
        <v>454</v>
      </c>
      <c r="G3052" s="63"/>
      <c r="H3052" s="65"/>
      <c r="I3052" s="66"/>
    </row>
    <row r="3053" spans="2:9" x14ac:dyDescent="0.2">
      <c r="B3053" s="51" t="str">
        <f t="shared" si="63"/>
        <v>2008-039-1</v>
      </c>
      <c r="C3053" s="52">
        <v>2008</v>
      </c>
      <c r="D3053" s="52" t="s">
        <v>17</v>
      </c>
      <c r="E3053" s="52">
        <v>1</v>
      </c>
      <c r="F3053" s="54" t="s">
        <v>849</v>
      </c>
      <c r="G3053" s="52"/>
      <c r="H3053" s="55"/>
      <c r="I3053" s="56"/>
    </row>
    <row r="3054" spans="2:9" ht="27" x14ac:dyDescent="0.2">
      <c r="B3054" s="51" t="str">
        <f t="shared" si="63"/>
        <v>2008-039-2</v>
      </c>
      <c r="C3054" s="52">
        <v>2008</v>
      </c>
      <c r="D3054" s="52" t="s">
        <v>17</v>
      </c>
      <c r="E3054" s="52">
        <v>2</v>
      </c>
      <c r="F3054" s="54" t="s">
        <v>1242</v>
      </c>
      <c r="G3054" s="52"/>
      <c r="H3054" s="55"/>
      <c r="I3054" s="56"/>
    </row>
    <row r="3055" spans="2:9" ht="27" x14ac:dyDescent="0.2">
      <c r="B3055" s="51" t="str">
        <f t="shared" si="63"/>
        <v>2008-039-3</v>
      </c>
      <c r="C3055" s="52">
        <v>2008</v>
      </c>
      <c r="D3055" s="52" t="s">
        <v>17</v>
      </c>
      <c r="E3055" s="52">
        <v>3</v>
      </c>
      <c r="F3055" s="54" t="s">
        <v>1620</v>
      </c>
      <c r="G3055" s="52"/>
      <c r="H3055" s="55"/>
      <c r="I3055" s="56"/>
    </row>
    <row r="3056" spans="2:9" ht="27" x14ac:dyDescent="0.2">
      <c r="B3056" s="51" t="str">
        <f t="shared" si="63"/>
        <v>2008-039-4</v>
      </c>
      <c r="C3056" s="52">
        <v>2008</v>
      </c>
      <c r="D3056" s="52" t="s">
        <v>17</v>
      </c>
      <c r="E3056" s="52">
        <v>4</v>
      </c>
      <c r="F3056" s="54" t="s">
        <v>1981</v>
      </c>
      <c r="G3056" s="52"/>
      <c r="H3056" s="55"/>
      <c r="I3056" s="56"/>
    </row>
    <row r="3057" spans="2:9" ht="27" x14ac:dyDescent="0.2">
      <c r="B3057" s="57" t="str">
        <f t="shared" si="63"/>
        <v>2008-039-5</v>
      </c>
      <c r="C3057" s="58">
        <v>2008</v>
      </c>
      <c r="D3057" s="58" t="s">
        <v>17</v>
      </c>
      <c r="E3057" s="58">
        <v>5</v>
      </c>
      <c r="F3057" s="59" t="s">
        <v>2339</v>
      </c>
      <c r="G3057" s="58" t="s">
        <v>3391</v>
      </c>
      <c r="H3057" s="60"/>
      <c r="I3057" s="61"/>
    </row>
    <row r="3058" spans="2:9" x14ac:dyDescent="0.2">
      <c r="B3058" s="62" t="str">
        <f t="shared" si="63"/>
        <v>2008-040-0</v>
      </c>
      <c r="C3058" s="63">
        <v>2008</v>
      </c>
      <c r="D3058" s="63" t="s">
        <v>18</v>
      </c>
      <c r="E3058" s="63">
        <v>0</v>
      </c>
      <c r="F3058" s="64" t="s">
        <v>455</v>
      </c>
      <c r="G3058" s="63"/>
      <c r="H3058" s="65"/>
      <c r="I3058" s="66"/>
    </row>
    <row r="3059" spans="2:9" x14ac:dyDescent="0.2">
      <c r="B3059" s="51" t="str">
        <f t="shared" si="63"/>
        <v>2008-040-1</v>
      </c>
      <c r="C3059" s="52">
        <v>2008</v>
      </c>
      <c r="D3059" s="52" t="s">
        <v>18</v>
      </c>
      <c r="E3059" s="52">
        <v>1</v>
      </c>
      <c r="F3059" s="54" t="s">
        <v>850</v>
      </c>
      <c r="G3059" s="52" t="s">
        <v>3391</v>
      </c>
      <c r="H3059" s="55"/>
      <c r="I3059" s="56"/>
    </row>
    <row r="3060" spans="2:9" x14ac:dyDescent="0.2">
      <c r="B3060" s="51" t="str">
        <f t="shared" si="63"/>
        <v>2008-040-2</v>
      </c>
      <c r="C3060" s="52">
        <v>2008</v>
      </c>
      <c r="D3060" s="52" t="s">
        <v>18</v>
      </c>
      <c r="E3060" s="52">
        <v>2</v>
      </c>
      <c r="F3060" s="54" t="s">
        <v>1243</v>
      </c>
      <c r="G3060" s="52"/>
      <c r="H3060" s="55"/>
      <c r="I3060" s="56"/>
    </row>
    <row r="3061" spans="2:9" x14ac:dyDescent="0.2">
      <c r="B3061" s="51" t="str">
        <f t="shared" si="63"/>
        <v>2008-040-3</v>
      </c>
      <c r="C3061" s="52">
        <v>2008</v>
      </c>
      <c r="D3061" s="52" t="s">
        <v>18</v>
      </c>
      <c r="E3061" s="52">
        <v>3</v>
      </c>
      <c r="F3061" s="54" t="s">
        <v>1621</v>
      </c>
      <c r="G3061" s="52"/>
      <c r="H3061" s="55"/>
      <c r="I3061" s="56"/>
    </row>
    <row r="3062" spans="2:9" x14ac:dyDescent="0.2">
      <c r="B3062" s="51" t="str">
        <f t="shared" si="63"/>
        <v>2008-040-4</v>
      </c>
      <c r="C3062" s="52">
        <v>2008</v>
      </c>
      <c r="D3062" s="52" t="s">
        <v>18</v>
      </c>
      <c r="E3062" s="52">
        <v>4</v>
      </c>
      <c r="F3062" s="54" t="s">
        <v>1982</v>
      </c>
      <c r="G3062" s="52"/>
      <c r="H3062" s="55"/>
      <c r="I3062" s="56"/>
    </row>
    <row r="3063" spans="2:9" x14ac:dyDescent="0.2">
      <c r="B3063" s="57" t="str">
        <f t="shared" si="63"/>
        <v>2008-040-5</v>
      </c>
      <c r="C3063" s="58">
        <v>2008</v>
      </c>
      <c r="D3063" s="58" t="s">
        <v>18</v>
      </c>
      <c r="E3063" s="58">
        <v>5</v>
      </c>
      <c r="F3063" s="59" t="s">
        <v>2340</v>
      </c>
      <c r="G3063" s="58"/>
      <c r="H3063" s="60"/>
      <c r="I3063" s="61"/>
    </row>
    <row r="3064" spans="2:9" x14ac:dyDescent="0.2">
      <c r="B3064" s="62" t="str">
        <f t="shared" si="63"/>
        <v>2008-041-0</v>
      </c>
      <c r="C3064" s="63">
        <v>2008</v>
      </c>
      <c r="D3064" s="63" t="s">
        <v>72</v>
      </c>
      <c r="E3064" s="63">
        <v>0</v>
      </c>
      <c r="F3064" s="64" t="s">
        <v>336</v>
      </c>
      <c r="G3064" s="63"/>
      <c r="H3064" s="65"/>
      <c r="I3064" s="66"/>
    </row>
    <row r="3065" spans="2:9" x14ac:dyDescent="0.2">
      <c r="B3065" s="51" t="str">
        <f t="shared" si="63"/>
        <v>2008-041-1</v>
      </c>
      <c r="C3065" s="52">
        <v>2008</v>
      </c>
      <c r="D3065" s="52" t="s">
        <v>72</v>
      </c>
      <c r="E3065" s="52">
        <v>1</v>
      </c>
      <c r="F3065" s="54" t="s">
        <v>851</v>
      </c>
      <c r="G3065" s="52"/>
      <c r="H3065" s="55"/>
      <c r="I3065" s="56"/>
    </row>
    <row r="3066" spans="2:9" x14ac:dyDescent="0.2">
      <c r="B3066" s="51" t="str">
        <f t="shared" si="63"/>
        <v>2008-041-2</v>
      </c>
      <c r="C3066" s="52">
        <v>2008</v>
      </c>
      <c r="D3066" s="52" t="s">
        <v>72</v>
      </c>
      <c r="E3066" s="52">
        <v>2</v>
      </c>
      <c r="F3066" s="54" t="s">
        <v>1244</v>
      </c>
      <c r="G3066" s="52"/>
      <c r="H3066" s="55"/>
      <c r="I3066" s="56"/>
    </row>
    <row r="3067" spans="2:9" ht="27" x14ac:dyDescent="0.2">
      <c r="B3067" s="51" t="str">
        <f t="shared" si="63"/>
        <v>2008-041-3</v>
      </c>
      <c r="C3067" s="52">
        <v>2008</v>
      </c>
      <c r="D3067" s="52" t="s">
        <v>72</v>
      </c>
      <c r="E3067" s="52">
        <v>3</v>
      </c>
      <c r="F3067" s="54" t="s">
        <v>1622</v>
      </c>
      <c r="G3067" s="52"/>
      <c r="H3067" s="55"/>
      <c r="I3067" s="56"/>
    </row>
    <row r="3068" spans="2:9" ht="27" x14ac:dyDescent="0.2">
      <c r="B3068" s="51" t="str">
        <f t="shared" si="63"/>
        <v>2008-041-4</v>
      </c>
      <c r="C3068" s="52">
        <v>2008</v>
      </c>
      <c r="D3068" s="52" t="s">
        <v>72</v>
      </c>
      <c r="E3068" s="52">
        <v>4</v>
      </c>
      <c r="F3068" s="54" t="s">
        <v>1983</v>
      </c>
      <c r="G3068" s="52" t="s">
        <v>3391</v>
      </c>
      <c r="H3068" s="55"/>
      <c r="I3068" s="56"/>
    </row>
    <row r="3069" spans="2:9" ht="27" x14ac:dyDescent="0.2">
      <c r="B3069" s="57" t="str">
        <f t="shared" si="63"/>
        <v>2008-041-5</v>
      </c>
      <c r="C3069" s="58">
        <v>2008</v>
      </c>
      <c r="D3069" s="58" t="s">
        <v>72</v>
      </c>
      <c r="E3069" s="58">
        <v>5</v>
      </c>
      <c r="F3069" s="59" t="s">
        <v>2341</v>
      </c>
      <c r="G3069" s="58"/>
      <c r="H3069" s="60"/>
      <c r="I3069" s="61"/>
    </row>
    <row r="3070" spans="2:9" x14ac:dyDescent="0.2">
      <c r="B3070" s="62" t="str">
        <f t="shared" si="63"/>
        <v>2008-042-0</v>
      </c>
      <c r="C3070" s="63">
        <v>2008</v>
      </c>
      <c r="D3070" s="63" t="s">
        <v>73</v>
      </c>
      <c r="E3070" s="63">
        <v>0</v>
      </c>
      <c r="F3070" s="64" t="s">
        <v>456</v>
      </c>
      <c r="G3070" s="63"/>
      <c r="H3070" s="65"/>
      <c r="I3070" s="66"/>
    </row>
    <row r="3071" spans="2:9" x14ac:dyDescent="0.2">
      <c r="B3071" s="51" t="str">
        <f t="shared" si="63"/>
        <v>2008-042-1</v>
      </c>
      <c r="C3071" s="52">
        <v>2008</v>
      </c>
      <c r="D3071" s="52" t="s">
        <v>73</v>
      </c>
      <c r="E3071" s="52">
        <v>1</v>
      </c>
      <c r="F3071" s="73" t="s">
        <v>852</v>
      </c>
      <c r="G3071" s="52"/>
      <c r="H3071" s="55"/>
      <c r="I3071" s="56"/>
    </row>
    <row r="3072" spans="2:9" ht="27" x14ac:dyDescent="0.2">
      <c r="B3072" s="51" t="str">
        <f t="shared" si="63"/>
        <v>2008-042-2</v>
      </c>
      <c r="C3072" s="52">
        <v>2008</v>
      </c>
      <c r="D3072" s="52" t="s">
        <v>73</v>
      </c>
      <c r="E3072" s="52">
        <v>2</v>
      </c>
      <c r="F3072" s="73" t="s">
        <v>1245</v>
      </c>
      <c r="G3072" s="52"/>
      <c r="H3072" s="55"/>
      <c r="I3072" s="56"/>
    </row>
    <row r="3073" spans="2:9" ht="27" x14ac:dyDescent="0.2">
      <c r="B3073" s="51" t="str">
        <f t="shared" si="63"/>
        <v>2008-042-3</v>
      </c>
      <c r="C3073" s="52">
        <v>2008</v>
      </c>
      <c r="D3073" s="52" t="s">
        <v>73</v>
      </c>
      <c r="E3073" s="52">
        <v>3</v>
      </c>
      <c r="F3073" s="73" t="s">
        <v>1623</v>
      </c>
      <c r="G3073" s="52" t="s">
        <v>3391</v>
      </c>
      <c r="H3073" s="55"/>
      <c r="I3073" s="56"/>
    </row>
    <row r="3074" spans="2:9" ht="27" x14ac:dyDescent="0.2">
      <c r="B3074" s="51" t="str">
        <f t="shared" si="63"/>
        <v>2008-042-4</v>
      </c>
      <c r="C3074" s="52">
        <v>2008</v>
      </c>
      <c r="D3074" s="52" t="s">
        <v>73</v>
      </c>
      <c r="E3074" s="52">
        <v>4</v>
      </c>
      <c r="F3074" s="73" t="s">
        <v>1984</v>
      </c>
      <c r="G3074" s="52"/>
      <c r="H3074" s="55"/>
      <c r="I3074" s="56"/>
    </row>
    <row r="3075" spans="2:9" x14ac:dyDescent="0.2">
      <c r="B3075" s="57" t="str">
        <f t="shared" si="63"/>
        <v>2008-042-5</v>
      </c>
      <c r="C3075" s="58">
        <v>2008</v>
      </c>
      <c r="D3075" s="58" t="s">
        <v>73</v>
      </c>
      <c r="E3075" s="58">
        <v>5</v>
      </c>
      <c r="F3075" s="72" t="s">
        <v>2342</v>
      </c>
      <c r="G3075" s="58"/>
      <c r="H3075" s="60"/>
      <c r="I3075" s="61"/>
    </row>
    <row r="3076" spans="2:9" x14ac:dyDescent="0.2">
      <c r="B3076" s="62" t="str">
        <f t="shared" si="63"/>
        <v>2008-043-0</v>
      </c>
      <c r="C3076" s="63">
        <v>2008</v>
      </c>
      <c r="D3076" s="63" t="s">
        <v>74</v>
      </c>
      <c r="E3076" s="63">
        <v>0</v>
      </c>
      <c r="F3076" s="64" t="s">
        <v>457</v>
      </c>
      <c r="G3076" s="63"/>
      <c r="H3076" s="65"/>
      <c r="I3076" s="66"/>
    </row>
    <row r="3077" spans="2:9" x14ac:dyDescent="0.2">
      <c r="B3077" s="51" t="str">
        <f t="shared" si="63"/>
        <v>2008-043-1</v>
      </c>
      <c r="C3077" s="52">
        <v>2008</v>
      </c>
      <c r="D3077" s="52" t="s">
        <v>74</v>
      </c>
      <c r="E3077" s="52">
        <v>1</v>
      </c>
      <c r="F3077" s="54" t="s">
        <v>853</v>
      </c>
      <c r="G3077" s="52"/>
      <c r="H3077" s="55"/>
      <c r="I3077" s="56"/>
    </row>
    <row r="3078" spans="2:9" x14ac:dyDescent="0.2">
      <c r="B3078" s="51" t="str">
        <f t="shared" si="63"/>
        <v>2008-043-2</v>
      </c>
      <c r="C3078" s="52">
        <v>2008</v>
      </c>
      <c r="D3078" s="52" t="s">
        <v>74</v>
      </c>
      <c r="E3078" s="52">
        <v>2</v>
      </c>
      <c r="F3078" s="54" t="s">
        <v>1246</v>
      </c>
      <c r="G3078" s="52" t="s">
        <v>3391</v>
      </c>
      <c r="H3078" s="55"/>
      <c r="I3078" s="56"/>
    </row>
    <row r="3079" spans="2:9" x14ac:dyDescent="0.2">
      <c r="B3079" s="51" t="str">
        <f t="shared" si="63"/>
        <v>2008-043-3</v>
      </c>
      <c r="C3079" s="52">
        <v>2008</v>
      </c>
      <c r="D3079" s="52" t="s">
        <v>74</v>
      </c>
      <c r="E3079" s="52">
        <v>3</v>
      </c>
      <c r="F3079" s="54" t="s">
        <v>1624</v>
      </c>
      <c r="G3079" s="52"/>
      <c r="H3079" s="55"/>
      <c r="I3079" s="56"/>
    </row>
    <row r="3080" spans="2:9" x14ac:dyDescent="0.2">
      <c r="B3080" s="51" t="str">
        <f t="shared" si="63"/>
        <v>2008-043-4</v>
      </c>
      <c r="C3080" s="52">
        <v>2008</v>
      </c>
      <c r="D3080" s="52" t="s">
        <v>74</v>
      </c>
      <c r="E3080" s="52">
        <v>4</v>
      </c>
      <c r="F3080" s="54" t="s">
        <v>1985</v>
      </c>
      <c r="G3080" s="52"/>
      <c r="H3080" s="55"/>
      <c r="I3080" s="56"/>
    </row>
    <row r="3081" spans="2:9" x14ac:dyDescent="0.2">
      <c r="B3081" s="57" t="str">
        <f t="shared" si="63"/>
        <v>2008-043-5</v>
      </c>
      <c r="C3081" s="58">
        <v>2008</v>
      </c>
      <c r="D3081" s="58" t="s">
        <v>74</v>
      </c>
      <c r="E3081" s="58">
        <v>5</v>
      </c>
      <c r="F3081" s="59" t="s">
        <v>2343</v>
      </c>
      <c r="G3081" s="58"/>
      <c r="H3081" s="60"/>
      <c r="I3081" s="61"/>
    </row>
    <row r="3082" spans="2:9" x14ac:dyDescent="0.2">
      <c r="B3082" s="62" t="str">
        <f t="shared" si="63"/>
        <v>2008-044-0</v>
      </c>
      <c r="C3082" s="63">
        <v>2008</v>
      </c>
      <c r="D3082" s="63" t="s">
        <v>75</v>
      </c>
      <c r="E3082" s="63">
        <v>0</v>
      </c>
      <c r="F3082" s="64" t="s">
        <v>458</v>
      </c>
      <c r="G3082" s="63"/>
      <c r="H3082" s="65"/>
      <c r="I3082" s="66"/>
    </row>
    <row r="3083" spans="2:9" x14ac:dyDescent="0.2">
      <c r="B3083" s="51" t="str">
        <f t="shared" si="63"/>
        <v>2008-044-1</v>
      </c>
      <c r="C3083" s="52">
        <v>2008</v>
      </c>
      <c r="D3083" s="52" t="s">
        <v>75</v>
      </c>
      <c r="E3083" s="52">
        <v>1</v>
      </c>
      <c r="F3083" s="54" t="s">
        <v>854</v>
      </c>
      <c r="G3083" s="52"/>
      <c r="H3083" s="55"/>
      <c r="I3083" s="56"/>
    </row>
    <row r="3084" spans="2:9" x14ac:dyDescent="0.2">
      <c r="B3084" s="51" t="str">
        <f t="shared" si="63"/>
        <v>2008-044-2</v>
      </c>
      <c r="C3084" s="52">
        <v>2008</v>
      </c>
      <c r="D3084" s="52" t="s">
        <v>75</v>
      </c>
      <c r="E3084" s="52">
        <v>2</v>
      </c>
      <c r="F3084" s="54" t="s">
        <v>1247</v>
      </c>
      <c r="G3084" s="52"/>
      <c r="H3084" s="55"/>
      <c r="I3084" s="56"/>
    </row>
    <row r="3085" spans="2:9" x14ac:dyDescent="0.2">
      <c r="B3085" s="51" t="str">
        <f t="shared" si="63"/>
        <v>2008-044-3</v>
      </c>
      <c r="C3085" s="52">
        <v>2008</v>
      </c>
      <c r="D3085" s="52" t="s">
        <v>75</v>
      </c>
      <c r="E3085" s="52">
        <v>3</v>
      </c>
      <c r="F3085" s="54" t="s">
        <v>1625</v>
      </c>
      <c r="G3085" s="52"/>
      <c r="H3085" s="55"/>
      <c r="I3085" s="56"/>
    </row>
    <row r="3086" spans="2:9" x14ac:dyDescent="0.2">
      <c r="B3086" s="51" t="str">
        <f t="shared" si="63"/>
        <v>2008-044-4</v>
      </c>
      <c r="C3086" s="52">
        <v>2008</v>
      </c>
      <c r="D3086" s="52" t="s">
        <v>75</v>
      </c>
      <c r="E3086" s="52">
        <v>4</v>
      </c>
      <c r="F3086" s="54" t="s">
        <v>1986</v>
      </c>
      <c r="G3086" s="52" t="s">
        <v>3391</v>
      </c>
      <c r="H3086" s="55"/>
      <c r="I3086" s="56"/>
    </row>
    <row r="3087" spans="2:9" x14ac:dyDescent="0.2">
      <c r="B3087" s="57" t="str">
        <f t="shared" si="63"/>
        <v>2008-044-5</v>
      </c>
      <c r="C3087" s="58">
        <v>2008</v>
      </c>
      <c r="D3087" s="58" t="s">
        <v>75</v>
      </c>
      <c r="E3087" s="58">
        <v>5</v>
      </c>
      <c r="F3087" s="59" t="s">
        <v>2344</v>
      </c>
      <c r="G3087" s="58"/>
      <c r="H3087" s="60"/>
      <c r="I3087" s="61"/>
    </row>
    <row r="3088" spans="2:9" x14ac:dyDescent="0.2">
      <c r="B3088" s="62" t="str">
        <f t="shared" si="63"/>
        <v>2008-045-0</v>
      </c>
      <c r="C3088" s="63">
        <v>2008</v>
      </c>
      <c r="D3088" s="63" t="s">
        <v>76</v>
      </c>
      <c r="E3088" s="63">
        <v>0</v>
      </c>
      <c r="F3088" s="64" t="s">
        <v>459</v>
      </c>
      <c r="G3088" s="63"/>
      <c r="H3088" s="65"/>
      <c r="I3088" s="66"/>
    </row>
    <row r="3089" spans="2:9" x14ac:dyDescent="0.2">
      <c r="B3089" s="51" t="str">
        <f t="shared" si="63"/>
        <v>2008-045-1</v>
      </c>
      <c r="C3089" s="52">
        <v>2008</v>
      </c>
      <c r="D3089" s="52" t="s">
        <v>76</v>
      </c>
      <c r="E3089" s="52">
        <v>1</v>
      </c>
      <c r="F3089" s="54" t="s">
        <v>855</v>
      </c>
      <c r="G3089" s="52"/>
      <c r="H3089" s="55"/>
      <c r="I3089" s="56"/>
    </row>
    <row r="3090" spans="2:9" x14ac:dyDescent="0.2">
      <c r="B3090" s="51" t="str">
        <f t="shared" si="63"/>
        <v>2008-045-2</v>
      </c>
      <c r="C3090" s="52">
        <v>2008</v>
      </c>
      <c r="D3090" s="52" t="s">
        <v>76</v>
      </c>
      <c r="E3090" s="52">
        <v>2</v>
      </c>
      <c r="F3090" s="54" t="s">
        <v>1248</v>
      </c>
      <c r="G3090" s="52"/>
      <c r="H3090" s="55"/>
      <c r="I3090" s="56"/>
    </row>
    <row r="3091" spans="2:9" x14ac:dyDescent="0.2">
      <c r="B3091" s="51" t="str">
        <f t="shared" si="63"/>
        <v>2008-045-3</v>
      </c>
      <c r="C3091" s="52">
        <v>2008</v>
      </c>
      <c r="D3091" s="52" t="s">
        <v>76</v>
      </c>
      <c r="E3091" s="52">
        <v>3</v>
      </c>
      <c r="F3091" s="54" t="s">
        <v>1626</v>
      </c>
      <c r="G3091" s="52"/>
      <c r="H3091" s="55"/>
      <c r="I3091" s="56"/>
    </row>
    <row r="3092" spans="2:9" x14ac:dyDescent="0.2">
      <c r="B3092" s="51" t="str">
        <f t="shared" si="63"/>
        <v>2008-045-4</v>
      </c>
      <c r="C3092" s="52">
        <v>2008</v>
      </c>
      <c r="D3092" s="52" t="s">
        <v>76</v>
      </c>
      <c r="E3092" s="52">
        <v>4</v>
      </c>
      <c r="F3092" s="54" t="s">
        <v>1987</v>
      </c>
      <c r="G3092" s="52"/>
      <c r="H3092" s="55"/>
      <c r="I3092" s="56"/>
    </row>
    <row r="3093" spans="2:9" x14ac:dyDescent="0.2">
      <c r="B3093" s="57" t="str">
        <f t="shared" si="63"/>
        <v>2008-045-5</v>
      </c>
      <c r="C3093" s="58">
        <v>2008</v>
      </c>
      <c r="D3093" s="58" t="s">
        <v>76</v>
      </c>
      <c r="E3093" s="58">
        <v>5</v>
      </c>
      <c r="F3093" s="59" t="s">
        <v>2345</v>
      </c>
      <c r="G3093" s="58" t="s">
        <v>3391</v>
      </c>
      <c r="H3093" s="60"/>
      <c r="I3093" s="61"/>
    </row>
    <row r="3094" spans="2:9" x14ac:dyDescent="0.2">
      <c r="B3094" s="62" t="str">
        <f t="shared" si="63"/>
        <v>2008-046-0</v>
      </c>
      <c r="C3094" s="63">
        <v>2008</v>
      </c>
      <c r="D3094" s="63" t="s">
        <v>77</v>
      </c>
      <c r="E3094" s="63">
        <v>0</v>
      </c>
      <c r="F3094" s="64" t="s">
        <v>460</v>
      </c>
      <c r="G3094" s="63"/>
      <c r="H3094" s="65"/>
      <c r="I3094" s="66"/>
    </row>
    <row r="3095" spans="2:9" x14ac:dyDescent="0.2">
      <c r="B3095" s="51" t="str">
        <f t="shared" si="63"/>
        <v>2008-046-1</v>
      </c>
      <c r="C3095" s="52">
        <v>2008</v>
      </c>
      <c r="D3095" s="52" t="s">
        <v>77</v>
      </c>
      <c r="E3095" s="52">
        <v>1</v>
      </c>
      <c r="F3095" s="54" t="s">
        <v>856</v>
      </c>
      <c r="G3095" s="52"/>
      <c r="H3095" s="55"/>
      <c r="I3095" s="56"/>
    </row>
    <row r="3096" spans="2:9" x14ac:dyDescent="0.2">
      <c r="B3096" s="51" t="str">
        <f t="shared" si="63"/>
        <v>2008-046-2</v>
      </c>
      <c r="C3096" s="52">
        <v>2008</v>
      </c>
      <c r="D3096" s="52" t="s">
        <v>77</v>
      </c>
      <c r="E3096" s="52">
        <v>2</v>
      </c>
      <c r="F3096" s="54" t="s">
        <v>1249</v>
      </c>
      <c r="G3096" s="52" t="s">
        <v>3391</v>
      </c>
      <c r="H3096" s="55"/>
      <c r="I3096" s="56"/>
    </row>
    <row r="3097" spans="2:9" x14ac:dyDescent="0.2">
      <c r="B3097" s="51" t="str">
        <f t="shared" si="63"/>
        <v>2008-046-3</v>
      </c>
      <c r="C3097" s="52">
        <v>2008</v>
      </c>
      <c r="D3097" s="52" t="s">
        <v>77</v>
      </c>
      <c r="E3097" s="52">
        <v>3</v>
      </c>
      <c r="F3097" s="54" t="s">
        <v>1627</v>
      </c>
      <c r="G3097" s="52"/>
      <c r="H3097" s="55"/>
      <c r="I3097" s="56"/>
    </row>
    <row r="3098" spans="2:9" x14ac:dyDescent="0.2">
      <c r="B3098" s="51" t="str">
        <f t="shared" si="63"/>
        <v>2008-046-4</v>
      </c>
      <c r="C3098" s="52">
        <v>2008</v>
      </c>
      <c r="D3098" s="52" t="s">
        <v>77</v>
      </c>
      <c r="E3098" s="52">
        <v>4</v>
      </c>
      <c r="F3098" s="54" t="s">
        <v>1988</v>
      </c>
      <c r="G3098" s="52"/>
      <c r="H3098" s="55"/>
      <c r="I3098" s="56"/>
    </row>
    <row r="3099" spans="2:9" x14ac:dyDescent="0.2">
      <c r="B3099" s="57" t="str">
        <f t="shared" si="63"/>
        <v>2008-046-5</v>
      </c>
      <c r="C3099" s="58">
        <v>2008</v>
      </c>
      <c r="D3099" s="58" t="s">
        <v>77</v>
      </c>
      <c r="E3099" s="58">
        <v>5</v>
      </c>
      <c r="F3099" s="59" t="s">
        <v>2346</v>
      </c>
      <c r="G3099" s="58"/>
      <c r="H3099" s="60"/>
      <c r="I3099" s="61"/>
    </row>
    <row r="3100" spans="2:9" x14ac:dyDescent="0.2">
      <c r="B3100" s="62" t="str">
        <f t="shared" si="63"/>
        <v>2008-047-0</v>
      </c>
      <c r="C3100" s="63">
        <v>2008</v>
      </c>
      <c r="D3100" s="63" t="s">
        <v>78</v>
      </c>
      <c r="E3100" s="63">
        <v>0</v>
      </c>
      <c r="F3100" s="64" t="s">
        <v>461</v>
      </c>
      <c r="G3100" s="63"/>
      <c r="H3100" s="65"/>
      <c r="I3100" s="66"/>
    </row>
    <row r="3101" spans="2:9" x14ac:dyDescent="0.2">
      <c r="B3101" s="51" t="str">
        <f t="shared" si="63"/>
        <v>2008-047-1</v>
      </c>
      <c r="C3101" s="52">
        <v>2008</v>
      </c>
      <c r="D3101" s="52" t="s">
        <v>78</v>
      </c>
      <c r="E3101" s="52">
        <v>1</v>
      </c>
      <c r="F3101" s="54" t="s">
        <v>857</v>
      </c>
      <c r="G3101" s="52"/>
      <c r="H3101" s="55"/>
      <c r="I3101" s="56"/>
    </row>
    <row r="3102" spans="2:9" x14ac:dyDescent="0.2">
      <c r="B3102" s="51" t="str">
        <f t="shared" si="63"/>
        <v>2008-047-2</v>
      </c>
      <c r="C3102" s="52">
        <v>2008</v>
      </c>
      <c r="D3102" s="52" t="s">
        <v>78</v>
      </c>
      <c r="E3102" s="52">
        <v>2</v>
      </c>
      <c r="F3102" s="54" t="s">
        <v>1250</v>
      </c>
      <c r="G3102" s="52"/>
      <c r="H3102" s="55"/>
      <c r="I3102" s="56"/>
    </row>
    <row r="3103" spans="2:9" x14ac:dyDescent="0.2">
      <c r="B3103" s="51" t="str">
        <f t="shared" ref="B3103:B3123" si="64">C3103&amp;"-"&amp;D3103&amp;"-"&amp;E3103</f>
        <v>2008-047-3</v>
      </c>
      <c r="C3103" s="52">
        <v>2008</v>
      </c>
      <c r="D3103" s="52" t="s">
        <v>78</v>
      </c>
      <c r="E3103" s="52">
        <v>3</v>
      </c>
      <c r="F3103" s="54" t="s">
        <v>1628</v>
      </c>
      <c r="G3103" s="52" t="s">
        <v>3391</v>
      </c>
      <c r="H3103" s="55"/>
      <c r="I3103" s="56"/>
    </row>
    <row r="3104" spans="2:9" x14ac:dyDescent="0.2">
      <c r="B3104" s="51" t="str">
        <f t="shared" si="64"/>
        <v>2008-047-4</v>
      </c>
      <c r="C3104" s="52">
        <v>2008</v>
      </c>
      <c r="D3104" s="52" t="s">
        <v>78</v>
      </c>
      <c r="E3104" s="52">
        <v>4</v>
      </c>
      <c r="F3104" s="54" t="s">
        <v>1989</v>
      </c>
      <c r="G3104" s="52"/>
      <c r="H3104" s="55"/>
      <c r="I3104" s="56"/>
    </row>
    <row r="3105" spans="2:9" x14ac:dyDescent="0.2">
      <c r="B3105" s="57" t="str">
        <f t="shared" si="64"/>
        <v>2008-047-5</v>
      </c>
      <c r="C3105" s="58">
        <v>2008</v>
      </c>
      <c r="D3105" s="58" t="s">
        <v>78</v>
      </c>
      <c r="E3105" s="58">
        <v>5</v>
      </c>
      <c r="F3105" s="59" t="s">
        <v>2347</v>
      </c>
      <c r="G3105" s="58"/>
      <c r="H3105" s="60"/>
      <c r="I3105" s="61"/>
    </row>
    <row r="3106" spans="2:9" x14ac:dyDescent="0.2">
      <c r="B3106" s="62" t="str">
        <f t="shared" si="64"/>
        <v>2008-048-0</v>
      </c>
      <c r="C3106" s="63">
        <v>2008</v>
      </c>
      <c r="D3106" s="63" t="s">
        <v>79</v>
      </c>
      <c r="E3106" s="63">
        <v>0</v>
      </c>
      <c r="F3106" s="64" t="s">
        <v>462</v>
      </c>
      <c r="G3106" s="63"/>
      <c r="H3106" s="65"/>
      <c r="I3106" s="66"/>
    </row>
    <row r="3107" spans="2:9" x14ac:dyDescent="0.2">
      <c r="B3107" s="51" t="str">
        <f t="shared" si="64"/>
        <v>2008-048-1</v>
      </c>
      <c r="C3107" s="52">
        <v>2008</v>
      </c>
      <c r="D3107" s="52" t="s">
        <v>79</v>
      </c>
      <c r="E3107" s="52">
        <v>1</v>
      </c>
      <c r="F3107" s="54" t="s">
        <v>858</v>
      </c>
      <c r="G3107" s="52"/>
      <c r="H3107" s="55"/>
      <c r="I3107" s="56"/>
    </row>
    <row r="3108" spans="2:9" x14ac:dyDescent="0.2">
      <c r="B3108" s="51" t="str">
        <f t="shared" si="64"/>
        <v>2008-048-2</v>
      </c>
      <c r="C3108" s="52">
        <v>2008</v>
      </c>
      <c r="D3108" s="52" t="s">
        <v>79</v>
      </c>
      <c r="E3108" s="52">
        <v>2</v>
      </c>
      <c r="F3108" s="54" t="s">
        <v>1251</v>
      </c>
      <c r="G3108" s="52" t="s">
        <v>3391</v>
      </c>
      <c r="H3108" s="55"/>
      <c r="I3108" s="56"/>
    </row>
    <row r="3109" spans="2:9" x14ac:dyDescent="0.2">
      <c r="B3109" s="51" t="str">
        <f t="shared" si="64"/>
        <v>2008-048-3</v>
      </c>
      <c r="C3109" s="52">
        <v>2008</v>
      </c>
      <c r="D3109" s="52" t="s">
        <v>79</v>
      </c>
      <c r="E3109" s="52">
        <v>3</v>
      </c>
      <c r="F3109" s="54" t="s">
        <v>1629</v>
      </c>
      <c r="G3109" s="52"/>
      <c r="H3109" s="55"/>
      <c r="I3109" s="56"/>
    </row>
    <row r="3110" spans="2:9" x14ac:dyDescent="0.2">
      <c r="B3110" s="51" t="str">
        <f t="shared" si="64"/>
        <v>2008-048-4</v>
      </c>
      <c r="C3110" s="52">
        <v>2008</v>
      </c>
      <c r="D3110" s="52" t="s">
        <v>79</v>
      </c>
      <c r="E3110" s="52">
        <v>4</v>
      </c>
      <c r="F3110" s="54" t="s">
        <v>1990</v>
      </c>
      <c r="G3110" s="52"/>
      <c r="H3110" s="55"/>
      <c r="I3110" s="56"/>
    </row>
    <row r="3111" spans="2:9" x14ac:dyDescent="0.2">
      <c r="B3111" s="57" t="str">
        <f t="shared" si="64"/>
        <v>2008-048-5</v>
      </c>
      <c r="C3111" s="58">
        <v>2008</v>
      </c>
      <c r="D3111" s="58" t="s">
        <v>79</v>
      </c>
      <c r="E3111" s="58">
        <v>5</v>
      </c>
      <c r="F3111" s="59" t="s">
        <v>2348</v>
      </c>
      <c r="G3111" s="58"/>
      <c r="H3111" s="60"/>
      <c r="I3111" s="61"/>
    </row>
    <row r="3112" spans="2:9" x14ac:dyDescent="0.2">
      <c r="B3112" s="62" t="str">
        <f t="shared" si="64"/>
        <v>2008-049-0</v>
      </c>
      <c r="C3112" s="63">
        <v>2008</v>
      </c>
      <c r="D3112" s="63" t="s">
        <v>80</v>
      </c>
      <c r="E3112" s="63">
        <v>0</v>
      </c>
      <c r="F3112" s="64" t="s">
        <v>463</v>
      </c>
      <c r="G3112" s="63"/>
      <c r="H3112" s="65"/>
      <c r="I3112" s="66"/>
    </row>
    <row r="3113" spans="2:9" ht="27" x14ac:dyDescent="0.2">
      <c r="B3113" s="51" t="str">
        <f t="shared" si="64"/>
        <v>2008-049-1</v>
      </c>
      <c r="C3113" s="52">
        <v>2008</v>
      </c>
      <c r="D3113" s="52" t="s">
        <v>80</v>
      </c>
      <c r="E3113" s="52">
        <v>1</v>
      </c>
      <c r="F3113" s="54" t="s">
        <v>859</v>
      </c>
      <c r="G3113" s="52"/>
      <c r="H3113" s="55"/>
      <c r="I3113" s="56"/>
    </row>
    <row r="3114" spans="2:9" x14ac:dyDescent="0.2">
      <c r="B3114" s="51" t="str">
        <f t="shared" si="64"/>
        <v>2008-049-2</v>
      </c>
      <c r="C3114" s="52">
        <v>2008</v>
      </c>
      <c r="D3114" s="52" t="s">
        <v>80</v>
      </c>
      <c r="E3114" s="52">
        <v>2</v>
      </c>
      <c r="F3114" s="54" t="s">
        <v>1252</v>
      </c>
      <c r="G3114" s="52"/>
      <c r="H3114" s="55"/>
      <c r="I3114" s="56"/>
    </row>
    <row r="3115" spans="2:9" ht="27" x14ac:dyDescent="0.2">
      <c r="B3115" s="51" t="str">
        <f t="shared" si="64"/>
        <v>2008-049-3</v>
      </c>
      <c r="C3115" s="52">
        <v>2008</v>
      </c>
      <c r="D3115" s="52" t="s">
        <v>80</v>
      </c>
      <c r="E3115" s="52">
        <v>3</v>
      </c>
      <c r="F3115" s="54" t="s">
        <v>1630</v>
      </c>
      <c r="G3115" s="52" t="s">
        <v>3391</v>
      </c>
      <c r="H3115" s="55"/>
      <c r="I3115" s="56"/>
    </row>
    <row r="3116" spans="2:9" x14ac:dyDescent="0.2">
      <c r="B3116" s="51" t="str">
        <f t="shared" si="64"/>
        <v>2008-049-4</v>
      </c>
      <c r="C3116" s="52">
        <v>2008</v>
      </c>
      <c r="D3116" s="52" t="s">
        <v>80</v>
      </c>
      <c r="E3116" s="52">
        <v>4</v>
      </c>
      <c r="F3116" s="54" t="s">
        <v>1991</v>
      </c>
      <c r="G3116" s="52"/>
      <c r="H3116" s="55"/>
      <c r="I3116" s="56"/>
    </row>
    <row r="3117" spans="2:9" x14ac:dyDescent="0.2">
      <c r="B3117" s="57" t="str">
        <f t="shared" si="64"/>
        <v>2008-049-5</v>
      </c>
      <c r="C3117" s="58">
        <v>2008</v>
      </c>
      <c r="D3117" s="58" t="s">
        <v>80</v>
      </c>
      <c r="E3117" s="58">
        <v>5</v>
      </c>
      <c r="F3117" s="59" t="s">
        <v>2349</v>
      </c>
      <c r="G3117" s="58"/>
      <c r="H3117" s="60"/>
      <c r="I3117" s="61"/>
    </row>
    <row r="3118" spans="2:9" x14ac:dyDescent="0.2">
      <c r="B3118" s="62" t="str">
        <f t="shared" si="64"/>
        <v>2008-050-0</v>
      </c>
      <c r="C3118" s="63">
        <v>2008</v>
      </c>
      <c r="D3118" s="63" t="s">
        <v>81</v>
      </c>
      <c r="E3118" s="63">
        <v>0</v>
      </c>
      <c r="F3118" s="64" t="s">
        <v>464</v>
      </c>
      <c r="G3118" s="63"/>
      <c r="H3118" s="65"/>
      <c r="I3118" s="66"/>
    </row>
    <row r="3119" spans="2:9" x14ac:dyDescent="0.2">
      <c r="B3119" s="51" t="str">
        <f t="shared" si="64"/>
        <v>2008-050-1</v>
      </c>
      <c r="C3119" s="52">
        <v>2008</v>
      </c>
      <c r="D3119" s="52" t="s">
        <v>81</v>
      </c>
      <c r="E3119" s="52">
        <v>1</v>
      </c>
      <c r="F3119" s="54" t="s">
        <v>860</v>
      </c>
      <c r="G3119" s="52"/>
      <c r="H3119" s="55"/>
      <c r="I3119" s="56"/>
    </row>
    <row r="3120" spans="2:9" x14ac:dyDescent="0.2">
      <c r="B3120" s="51" t="str">
        <f t="shared" si="64"/>
        <v>2008-050-2</v>
      </c>
      <c r="C3120" s="52">
        <v>2008</v>
      </c>
      <c r="D3120" s="52" t="s">
        <v>81</v>
      </c>
      <c r="E3120" s="52">
        <v>2</v>
      </c>
      <c r="F3120" s="54" t="s">
        <v>1253</v>
      </c>
      <c r="G3120" s="52"/>
      <c r="H3120" s="55"/>
      <c r="I3120" s="56"/>
    </row>
    <row r="3121" spans="2:9" x14ac:dyDescent="0.2">
      <c r="B3121" s="51" t="str">
        <f t="shared" si="64"/>
        <v>2008-050-3</v>
      </c>
      <c r="C3121" s="52">
        <v>2008</v>
      </c>
      <c r="D3121" s="52" t="s">
        <v>81</v>
      </c>
      <c r="E3121" s="52">
        <v>3</v>
      </c>
      <c r="F3121" s="54" t="s">
        <v>1631</v>
      </c>
      <c r="G3121" s="52"/>
      <c r="H3121" s="55"/>
      <c r="I3121" s="56"/>
    </row>
    <row r="3122" spans="2:9" x14ac:dyDescent="0.2">
      <c r="B3122" s="51" t="str">
        <f t="shared" si="64"/>
        <v>2008-050-4</v>
      </c>
      <c r="C3122" s="52">
        <v>2008</v>
      </c>
      <c r="D3122" s="52" t="s">
        <v>81</v>
      </c>
      <c r="E3122" s="52">
        <v>4</v>
      </c>
      <c r="F3122" s="54" t="s">
        <v>1992</v>
      </c>
      <c r="G3122" s="74" t="s">
        <v>3391</v>
      </c>
      <c r="H3122" s="55"/>
      <c r="I3122" s="56"/>
    </row>
    <row r="3123" spans="2:9" ht="14.25" thickBot="1" x14ac:dyDescent="0.25">
      <c r="B3123" s="67" t="str">
        <f t="shared" si="64"/>
        <v>2008-050-5</v>
      </c>
      <c r="C3123" s="68">
        <v>2008</v>
      </c>
      <c r="D3123" s="68" t="s">
        <v>81</v>
      </c>
      <c r="E3123" s="68">
        <v>5</v>
      </c>
      <c r="F3123" s="69" t="s">
        <v>2350</v>
      </c>
      <c r="G3123" s="68"/>
      <c r="H3123" s="70"/>
      <c r="I3123" s="71"/>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0" sqref="D20"/>
    </sheetView>
  </sheetViews>
  <sheetFormatPr defaultRowHeight="13.5" x14ac:dyDescent="0.2"/>
  <cols>
    <col min="1" max="1" width="9.140625" style="1"/>
    <col min="2" max="2" width="11.7109375" style="74" customWidth="1"/>
    <col min="3" max="3" width="5.7109375" style="74" customWidth="1"/>
    <col min="4" max="4" width="98.7109375" style="77" customWidth="1"/>
    <col min="5" max="7" width="5.7109375" style="74" customWidth="1"/>
    <col min="8" max="16384" width="9.140625" style="1"/>
  </cols>
  <sheetData>
    <row r="2" spans="2:10" x14ac:dyDescent="0.2">
      <c r="B2" s="75" t="s">
        <v>53</v>
      </c>
      <c r="C2" s="76">
        <v>40</v>
      </c>
    </row>
    <row r="3" spans="2:10" x14ac:dyDescent="0.2">
      <c r="B3" s="75" t="s">
        <v>67</v>
      </c>
      <c r="C3" s="76" t="s">
        <v>60</v>
      </c>
    </row>
    <row r="4" spans="2:10" x14ac:dyDescent="0.2">
      <c r="B4" s="75" t="s">
        <v>68</v>
      </c>
      <c r="C4" s="76" t="s">
        <v>60</v>
      </c>
    </row>
    <row r="5" spans="2:10" x14ac:dyDescent="0.2">
      <c r="B5" s="75" t="s">
        <v>54</v>
      </c>
      <c r="C5" s="76">
        <v>2026</v>
      </c>
    </row>
    <row r="6" spans="2:10" x14ac:dyDescent="0.2">
      <c r="B6" s="75" t="s">
        <v>55</v>
      </c>
      <c r="C6" s="76">
        <v>2026</v>
      </c>
    </row>
    <row r="10" spans="2:10" x14ac:dyDescent="0.2">
      <c r="B10" s="78" t="s">
        <v>56</v>
      </c>
      <c r="C10" s="78" t="s">
        <v>1</v>
      </c>
      <c r="D10" s="78" t="s">
        <v>57</v>
      </c>
      <c r="E10" s="78" t="s">
        <v>58</v>
      </c>
      <c r="F10" s="78" t="s">
        <v>66</v>
      </c>
      <c r="G10" s="78" t="s">
        <v>59</v>
      </c>
    </row>
    <row r="11" spans="2:10" ht="108" x14ac:dyDescent="0.2">
      <c r="B11" s="79" t="s">
        <v>2992</v>
      </c>
      <c r="C11" s="79">
        <v>1</v>
      </c>
      <c r="D11" s="80" t="s">
        <v>2993</v>
      </c>
      <c r="E11" s="81">
        <v>3</v>
      </c>
      <c r="F11" s="79"/>
      <c r="G11" s="79" t="str">
        <f>IF(F11&lt;&gt;"", IF(E11=F11, "O", "X"), "")</f>
        <v/>
      </c>
      <c r="H11" s="3"/>
      <c r="I11" s="3"/>
      <c r="J11" s="3"/>
    </row>
    <row r="12" spans="2:10" x14ac:dyDescent="0.2">
      <c r="B12" s="186" t="s">
        <v>2996</v>
      </c>
      <c r="C12" s="186" t="s">
        <v>61</v>
      </c>
      <c r="D12" s="187" t="s">
        <v>24</v>
      </c>
      <c r="E12" s="186"/>
      <c r="F12" s="186"/>
      <c r="G12" s="186"/>
      <c r="H12" s="3"/>
      <c r="I12" s="3"/>
      <c r="J12" s="3"/>
    </row>
    <row r="13" spans="2:10" x14ac:dyDescent="0.2">
      <c r="B13" s="186" t="s">
        <v>2998</v>
      </c>
      <c r="C13" s="186" t="s">
        <v>62</v>
      </c>
      <c r="D13" s="187" t="s">
        <v>34</v>
      </c>
      <c r="E13" s="186"/>
      <c r="F13" s="186"/>
      <c r="G13" s="186"/>
      <c r="H13" s="3"/>
      <c r="I13" s="3"/>
      <c r="J13" s="3"/>
    </row>
    <row r="14" spans="2:10" x14ac:dyDescent="0.2">
      <c r="B14" s="186" t="s">
        <v>2995</v>
      </c>
      <c r="C14" s="186" t="s">
        <v>63</v>
      </c>
      <c r="D14" s="187" t="s">
        <v>41</v>
      </c>
      <c r="E14" s="186"/>
      <c r="F14" s="186"/>
      <c r="G14" s="186"/>
      <c r="H14" s="3"/>
      <c r="I14" s="3"/>
      <c r="J14" s="3"/>
    </row>
    <row r="15" spans="2:10" x14ac:dyDescent="0.2">
      <c r="B15" s="186" t="s">
        <v>2997</v>
      </c>
      <c r="C15" s="186" t="s">
        <v>64</v>
      </c>
      <c r="D15" s="187" t="s">
        <v>45</v>
      </c>
      <c r="E15" s="186"/>
      <c r="F15" s="186"/>
      <c r="G15" s="186"/>
      <c r="H15" s="3"/>
      <c r="I15" s="3"/>
      <c r="J15" s="3"/>
    </row>
    <row r="16" spans="2:10" x14ac:dyDescent="0.2">
      <c r="B16" s="186" t="s">
        <v>2994</v>
      </c>
      <c r="C16" s="186" t="s">
        <v>65</v>
      </c>
      <c r="D16" s="187" t="s">
        <v>50</v>
      </c>
      <c r="E16" s="186"/>
      <c r="F16" s="186"/>
      <c r="G16" s="186"/>
      <c r="H16" s="3"/>
      <c r="I16" s="3"/>
      <c r="J16" s="3"/>
    </row>
    <row r="17" spans="2:10" x14ac:dyDescent="0.2">
      <c r="B17" s="79" t="s">
        <v>2999</v>
      </c>
      <c r="C17" s="79">
        <v>2</v>
      </c>
      <c r="D17" s="80" t="s">
        <v>3000</v>
      </c>
      <c r="E17" s="81">
        <v>5</v>
      </c>
      <c r="F17" s="79"/>
      <c r="G17" s="79" t="str">
        <f>IF(F17&lt;&gt;"", IF(E17=F17, "O", "X"), "")</f>
        <v/>
      </c>
      <c r="H17" s="3"/>
      <c r="I17" s="3"/>
      <c r="J17" s="3"/>
    </row>
    <row r="18" spans="2:10" x14ac:dyDescent="0.2">
      <c r="B18" s="186" t="s">
        <v>3004</v>
      </c>
      <c r="C18" s="186" t="s">
        <v>61</v>
      </c>
      <c r="D18" s="187" t="s">
        <v>3005</v>
      </c>
      <c r="E18" s="186"/>
      <c r="F18" s="186"/>
      <c r="G18" s="186"/>
      <c r="H18" s="3"/>
      <c r="I18" s="3"/>
      <c r="J18" s="3"/>
    </row>
    <row r="19" spans="2:10" x14ac:dyDescent="0.2">
      <c r="B19" s="186" t="s">
        <v>3006</v>
      </c>
      <c r="C19" s="186" t="s">
        <v>62</v>
      </c>
      <c r="D19" s="187" t="s">
        <v>1288</v>
      </c>
      <c r="E19" s="186"/>
      <c r="F19" s="186"/>
      <c r="G19" s="186"/>
      <c r="H19" s="3"/>
      <c r="I19" s="3"/>
      <c r="J19" s="3"/>
    </row>
    <row r="20" spans="2:10" ht="27" x14ac:dyDescent="0.2">
      <c r="B20" s="186" t="s">
        <v>3001</v>
      </c>
      <c r="C20" s="186" t="s">
        <v>63</v>
      </c>
      <c r="D20" s="187" t="s">
        <v>1256</v>
      </c>
      <c r="E20" s="186"/>
      <c r="F20" s="186"/>
      <c r="G20" s="186"/>
      <c r="H20" s="3"/>
      <c r="I20" s="3"/>
      <c r="J20" s="3"/>
    </row>
    <row r="21" spans="2:10" x14ac:dyDescent="0.2">
      <c r="B21" s="186" t="s">
        <v>3002</v>
      </c>
      <c r="C21" s="186" t="s">
        <v>64</v>
      </c>
      <c r="D21" s="187" t="s">
        <v>3003</v>
      </c>
      <c r="E21" s="186"/>
      <c r="F21" s="186"/>
      <c r="G21" s="186"/>
      <c r="H21" s="3"/>
      <c r="I21" s="3"/>
      <c r="J21" s="3"/>
    </row>
    <row r="22" spans="2:10" x14ac:dyDescent="0.2">
      <c r="B22" s="186" t="s">
        <v>3007</v>
      </c>
      <c r="C22" s="186" t="s">
        <v>65</v>
      </c>
      <c r="D22" s="187" t="s">
        <v>2776</v>
      </c>
      <c r="E22" s="186"/>
      <c r="F22" s="186"/>
      <c r="G22" s="186"/>
      <c r="H22" s="3"/>
      <c r="I22" s="3"/>
      <c r="J22" s="3"/>
    </row>
    <row r="23" spans="2:10" x14ac:dyDescent="0.2">
      <c r="B23" s="79" t="s">
        <v>3008</v>
      </c>
      <c r="C23" s="79">
        <v>3</v>
      </c>
      <c r="D23" s="80" t="s">
        <v>3009</v>
      </c>
      <c r="E23" s="81">
        <v>4</v>
      </c>
      <c r="F23" s="79"/>
      <c r="G23" s="79" t="str">
        <f>IF(F23&lt;&gt;"", IF(E23=F23, "O", "X"), "")</f>
        <v/>
      </c>
      <c r="H23" s="3"/>
      <c r="I23" s="3"/>
      <c r="J23" s="3"/>
    </row>
    <row r="24" spans="2:10" x14ac:dyDescent="0.2">
      <c r="B24" s="186" t="s">
        <v>3016</v>
      </c>
      <c r="C24" s="186" t="s">
        <v>61</v>
      </c>
      <c r="D24" s="187" t="s">
        <v>3017</v>
      </c>
      <c r="E24" s="186"/>
      <c r="F24" s="186"/>
      <c r="G24" s="186"/>
      <c r="H24" s="3"/>
      <c r="I24" s="3"/>
      <c r="J24" s="3"/>
    </row>
    <row r="25" spans="2:10" x14ac:dyDescent="0.2">
      <c r="B25" s="186" t="s">
        <v>3018</v>
      </c>
      <c r="C25" s="186" t="s">
        <v>62</v>
      </c>
      <c r="D25" s="187" t="s">
        <v>3019</v>
      </c>
      <c r="E25" s="186"/>
      <c r="F25" s="186"/>
      <c r="G25" s="186"/>
      <c r="H25" s="3"/>
      <c r="I25" s="3"/>
      <c r="J25" s="3"/>
    </row>
    <row r="26" spans="2:10" ht="27" x14ac:dyDescent="0.2">
      <c r="B26" s="186" t="s">
        <v>3010</v>
      </c>
      <c r="C26" s="186" t="s">
        <v>63</v>
      </c>
      <c r="D26" s="187" t="s">
        <v>3011</v>
      </c>
      <c r="E26" s="186"/>
      <c r="F26" s="186"/>
      <c r="G26" s="186"/>
      <c r="H26" s="3"/>
      <c r="I26" s="3"/>
      <c r="J26" s="3"/>
    </row>
    <row r="27" spans="2:10" ht="27" x14ac:dyDescent="0.2">
      <c r="B27" s="186" t="s">
        <v>3014</v>
      </c>
      <c r="C27" s="186" t="s">
        <v>64</v>
      </c>
      <c r="D27" s="187" t="s">
        <v>3015</v>
      </c>
      <c r="E27" s="186"/>
      <c r="F27" s="186"/>
      <c r="G27" s="186"/>
      <c r="H27" s="3"/>
      <c r="I27" s="3"/>
      <c r="J27" s="3"/>
    </row>
    <row r="28" spans="2:10" ht="27" x14ac:dyDescent="0.2">
      <c r="B28" s="186" t="s">
        <v>3012</v>
      </c>
      <c r="C28" s="186" t="s">
        <v>65</v>
      </c>
      <c r="D28" s="187" t="s">
        <v>3013</v>
      </c>
      <c r="E28" s="186"/>
      <c r="F28" s="186"/>
      <c r="G28" s="186"/>
      <c r="H28" s="3"/>
      <c r="I28" s="3"/>
      <c r="J28" s="3"/>
    </row>
    <row r="29" spans="2:10" x14ac:dyDescent="0.2">
      <c r="B29" s="79" t="s">
        <v>3020</v>
      </c>
      <c r="C29" s="79">
        <v>4</v>
      </c>
      <c r="D29" s="80" t="s">
        <v>3021</v>
      </c>
      <c r="E29" s="81">
        <v>1</v>
      </c>
      <c r="F29" s="79"/>
      <c r="G29" s="79" t="str">
        <f>IF(F29&lt;&gt;"", IF(E29=F29, "O", "X"), "")</f>
        <v/>
      </c>
      <c r="H29" s="3"/>
      <c r="I29" s="3"/>
      <c r="J29" s="3"/>
    </row>
    <row r="30" spans="2:10" ht="27" x14ac:dyDescent="0.2">
      <c r="B30" s="186" t="s">
        <v>3024</v>
      </c>
      <c r="C30" s="186" t="s">
        <v>61</v>
      </c>
      <c r="D30" s="187" t="s">
        <v>3025</v>
      </c>
      <c r="E30" s="186"/>
      <c r="F30" s="186"/>
      <c r="G30" s="186"/>
      <c r="H30" s="3"/>
      <c r="I30" s="3"/>
      <c r="J30" s="3"/>
    </row>
    <row r="31" spans="2:10" ht="27" x14ac:dyDescent="0.2">
      <c r="B31" s="186" t="s">
        <v>3027</v>
      </c>
      <c r="C31" s="186" t="s">
        <v>62</v>
      </c>
      <c r="D31" s="187" t="s">
        <v>3028</v>
      </c>
      <c r="E31" s="186"/>
      <c r="F31" s="186"/>
      <c r="G31" s="186"/>
      <c r="H31" s="3"/>
      <c r="I31" s="3"/>
      <c r="J31" s="3"/>
    </row>
    <row r="32" spans="2:10" x14ac:dyDescent="0.2">
      <c r="B32" s="186" t="s">
        <v>3026</v>
      </c>
      <c r="C32" s="186" t="s">
        <v>63</v>
      </c>
      <c r="D32" s="187" t="s">
        <v>1870</v>
      </c>
      <c r="E32" s="186"/>
      <c r="F32" s="186"/>
      <c r="G32" s="186"/>
      <c r="H32" s="3"/>
      <c r="I32" s="3"/>
      <c r="J32" s="3"/>
    </row>
    <row r="33" spans="2:10" ht="27" x14ac:dyDescent="0.2">
      <c r="B33" s="186" t="s">
        <v>3023</v>
      </c>
      <c r="C33" s="186" t="s">
        <v>64</v>
      </c>
      <c r="D33" s="187" t="s">
        <v>1637</v>
      </c>
      <c r="E33" s="186"/>
      <c r="F33" s="186"/>
      <c r="G33" s="186"/>
      <c r="H33" s="3"/>
      <c r="I33" s="3"/>
      <c r="J33" s="3"/>
    </row>
    <row r="34" spans="2:10" x14ac:dyDescent="0.2">
      <c r="B34" s="186" t="s">
        <v>3022</v>
      </c>
      <c r="C34" s="186" t="s">
        <v>65</v>
      </c>
      <c r="D34" s="187" t="s">
        <v>2777</v>
      </c>
      <c r="E34" s="186"/>
      <c r="F34" s="186"/>
      <c r="G34" s="186"/>
      <c r="H34" s="3"/>
      <c r="I34" s="3"/>
      <c r="J34" s="3"/>
    </row>
    <row r="35" spans="2:10" x14ac:dyDescent="0.2">
      <c r="B35" s="79" t="s">
        <v>3029</v>
      </c>
      <c r="C35" s="79">
        <v>5</v>
      </c>
      <c r="D35" s="80" t="s">
        <v>3030</v>
      </c>
      <c r="E35" s="81"/>
      <c r="F35" s="79"/>
      <c r="G35" s="79" t="str">
        <f>IF(F35&lt;&gt;"", IF(E35=F35, "O", "X"), "")</f>
        <v/>
      </c>
      <c r="H35" s="3"/>
      <c r="I35" s="3"/>
      <c r="J35" s="3"/>
    </row>
    <row r="36" spans="2:10" ht="27" x14ac:dyDescent="0.2">
      <c r="B36" s="186" t="s">
        <v>3037</v>
      </c>
      <c r="C36" s="186" t="s">
        <v>61</v>
      </c>
      <c r="D36" s="187" t="s">
        <v>3038</v>
      </c>
      <c r="E36" s="186"/>
      <c r="F36" s="186"/>
      <c r="G36" s="186"/>
      <c r="H36" s="3"/>
      <c r="I36" s="3"/>
      <c r="J36" s="3"/>
    </row>
    <row r="37" spans="2:10" x14ac:dyDescent="0.2">
      <c r="B37" s="186" t="s">
        <v>3039</v>
      </c>
      <c r="C37" s="186" t="s">
        <v>62</v>
      </c>
      <c r="D37" s="187" t="s">
        <v>3040</v>
      </c>
      <c r="E37" s="186"/>
      <c r="F37" s="186"/>
      <c r="G37" s="186"/>
      <c r="H37" s="3"/>
      <c r="I37" s="3"/>
      <c r="J37" s="3"/>
    </row>
    <row r="38" spans="2:10" ht="27" x14ac:dyDescent="0.2">
      <c r="B38" s="186" t="s">
        <v>3033</v>
      </c>
      <c r="C38" s="186" t="s">
        <v>63</v>
      </c>
      <c r="D38" s="187" t="s">
        <v>3034</v>
      </c>
      <c r="E38" s="186"/>
      <c r="F38" s="186"/>
      <c r="G38" s="186"/>
      <c r="H38" s="3"/>
      <c r="I38" s="3"/>
      <c r="J38" s="3"/>
    </row>
    <row r="39" spans="2:10" x14ac:dyDescent="0.2">
      <c r="B39" s="186" t="s">
        <v>3035</v>
      </c>
      <c r="C39" s="186" t="s">
        <v>64</v>
      </c>
      <c r="D39" s="187" t="s">
        <v>3036</v>
      </c>
      <c r="E39" s="186"/>
      <c r="F39" s="186"/>
      <c r="G39" s="186"/>
      <c r="H39" s="3"/>
      <c r="I39" s="3"/>
      <c r="J39" s="3"/>
    </row>
    <row r="40" spans="2:10" ht="27" x14ac:dyDescent="0.2">
      <c r="B40" s="186" t="s">
        <v>3031</v>
      </c>
      <c r="C40" s="186" t="s">
        <v>65</v>
      </c>
      <c r="D40" s="187" t="s">
        <v>3032</v>
      </c>
      <c r="E40" s="186"/>
      <c r="F40" s="186"/>
      <c r="G40" s="186"/>
      <c r="H40" s="3"/>
      <c r="I40" s="3"/>
      <c r="J40" s="3"/>
    </row>
    <row r="41" spans="2:10" ht="81" x14ac:dyDescent="0.2">
      <c r="B41" s="79" t="s">
        <v>3041</v>
      </c>
      <c r="C41" s="79">
        <v>6</v>
      </c>
      <c r="D41" s="80" t="s">
        <v>3042</v>
      </c>
      <c r="E41" s="81"/>
      <c r="F41" s="79"/>
      <c r="G41" s="79" t="str">
        <f>IF(F41&lt;&gt;"", IF(E41=F41, "O", "X"), "")</f>
        <v/>
      </c>
      <c r="H41" s="3"/>
      <c r="I41" s="3"/>
      <c r="J41" s="3"/>
    </row>
    <row r="42" spans="2:10" x14ac:dyDescent="0.2">
      <c r="B42" s="186" t="s">
        <v>3046</v>
      </c>
      <c r="C42" s="186" t="s">
        <v>61</v>
      </c>
      <c r="D42" s="187" t="s">
        <v>20</v>
      </c>
      <c r="E42" s="186"/>
      <c r="F42" s="186"/>
      <c r="G42" s="186"/>
      <c r="H42" s="3"/>
      <c r="I42" s="3"/>
      <c r="J42" s="3"/>
    </row>
    <row r="43" spans="2:10" x14ac:dyDescent="0.2">
      <c r="B43" s="186" t="s">
        <v>3048</v>
      </c>
      <c r="C43" s="186" t="s">
        <v>62</v>
      </c>
      <c r="D43" s="187" t="s">
        <v>38</v>
      </c>
      <c r="E43" s="186"/>
      <c r="F43" s="186"/>
      <c r="G43" s="186"/>
      <c r="H43" s="3"/>
      <c r="I43" s="3"/>
      <c r="J43" s="3"/>
    </row>
    <row r="44" spans="2:10" x14ac:dyDescent="0.2">
      <c r="B44" s="186" t="s">
        <v>3044</v>
      </c>
      <c r="C44" s="186" t="s">
        <v>63</v>
      </c>
      <c r="D44" s="187" t="s">
        <v>3045</v>
      </c>
      <c r="E44" s="186"/>
      <c r="F44" s="186"/>
      <c r="G44" s="186"/>
      <c r="H44" s="3"/>
      <c r="I44" s="3"/>
      <c r="J44" s="3"/>
    </row>
    <row r="45" spans="2:10" x14ac:dyDescent="0.2">
      <c r="B45" s="186" t="s">
        <v>3047</v>
      </c>
      <c r="C45" s="186" t="s">
        <v>64</v>
      </c>
      <c r="D45" s="187" t="s">
        <v>39</v>
      </c>
      <c r="E45" s="186"/>
      <c r="F45" s="186"/>
      <c r="G45" s="186"/>
      <c r="H45" s="3"/>
      <c r="I45" s="3"/>
      <c r="J45" s="3"/>
    </row>
    <row r="46" spans="2:10" x14ac:dyDescent="0.2">
      <c r="B46" s="186" t="s">
        <v>3043</v>
      </c>
      <c r="C46" s="186" t="s">
        <v>65</v>
      </c>
      <c r="D46" s="187" t="s">
        <v>49</v>
      </c>
      <c r="E46" s="186"/>
      <c r="F46" s="186"/>
      <c r="G46" s="186"/>
      <c r="H46" s="3"/>
      <c r="I46" s="3"/>
      <c r="J46" s="3"/>
    </row>
    <row r="47" spans="2:10" x14ac:dyDescent="0.2">
      <c r="B47" s="79" t="s">
        <v>3049</v>
      </c>
      <c r="C47" s="79">
        <v>7</v>
      </c>
      <c r="D47" s="80" t="s">
        <v>114</v>
      </c>
      <c r="E47" s="81"/>
      <c r="F47" s="79"/>
      <c r="G47" s="79" t="str">
        <f>IF(F47&lt;&gt;"", IF(E47=F47, "O", "X"), "")</f>
        <v/>
      </c>
      <c r="H47" s="3"/>
      <c r="I47" s="3"/>
      <c r="J47" s="3"/>
    </row>
    <row r="48" spans="2:10" ht="27" x14ac:dyDescent="0.2">
      <c r="B48" s="186" t="s">
        <v>3052</v>
      </c>
      <c r="C48" s="186" t="s">
        <v>61</v>
      </c>
      <c r="D48" s="187" t="s">
        <v>3053</v>
      </c>
      <c r="E48" s="186"/>
      <c r="F48" s="186"/>
      <c r="G48" s="186"/>
      <c r="H48" s="3"/>
      <c r="I48" s="3"/>
      <c r="J48" s="3"/>
    </row>
    <row r="49" spans="2:10" x14ac:dyDescent="0.2">
      <c r="B49" s="186" t="s">
        <v>3050</v>
      </c>
      <c r="C49" s="186" t="s">
        <v>62</v>
      </c>
      <c r="D49" s="187" t="s">
        <v>3051</v>
      </c>
      <c r="E49" s="186"/>
      <c r="F49" s="186"/>
      <c r="G49" s="186"/>
      <c r="H49" s="3"/>
      <c r="I49" s="3"/>
      <c r="J49" s="3"/>
    </row>
    <row r="50" spans="2:10" ht="27" x14ac:dyDescent="0.2">
      <c r="B50" s="186" t="s">
        <v>3054</v>
      </c>
      <c r="C50" s="186" t="s">
        <v>63</v>
      </c>
      <c r="D50" s="187" t="s">
        <v>3055</v>
      </c>
      <c r="E50" s="186"/>
      <c r="F50" s="186"/>
      <c r="G50" s="186"/>
      <c r="H50" s="3"/>
      <c r="I50" s="3"/>
      <c r="J50" s="3"/>
    </row>
    <row r="51" spans="2:10" x14ac:dyDescent="0.2">
      <c r="B51" s="186" t="s">
        <v>3058</v>
      </c>
      <c r="C51" s="186" t="s">
        <v>64</v>
      </c>
      <c r="D51" s="187" t="s">
        <v>3059</v>
      </c>
      <c r="E51" s="186"/>
      <c r="F51" s="186"/>
      <c r="G51" s="186"/>
      <c r="H51" s="3"/>
      <c r="I51" s="3"/>
      <c r="J51" s="3"/>
    </row>
    <row r="52" spans="2:10" ht="27" x14ac:dyDescent="0.2">
      <c r="B52" s="186" t="s">
        <v>3056</v>
      </c>
      <c r="C52" s="186" t="s">
        <v>65</v>
      </c>
      <c r="D52" s="187" t="s">
        <v>3057</v>
      </c>
      <c r="E52" s="186"/>
      <c r="F52" s="186"/>
      <c r="G52" s="186"/>
      <c r="H52" s="3"/>
      <c r="I52" s="3"/>
      <c r="J52" s="3"/>
    </row>
    <row r="53" spans="2:10" x14ac:dyDescent="0.2">
      <c r="B53" s="79" t="s">
        <v>3060</v>
      </c>
      <c r="C53" s="79">
        <v>8</v>
      </c>
      <c r="D53" s="80" t="s">
        <v>3061</v>
      </c>
      <c r="E53" s="81"/>
      <c r="F53" s="79"/>
      <c r="G53" s="79" t="str">
        <f>IF(F53&lt;&gt;"", IF(E53=F53, "O", "X"), "")</f>
        <v/>
      </c>
      <c r="H53" s="3"/>
      <c r="I53" s="3"/>
      <c r="J53" s="3"/>
    </row>
    <row r="54" spans="2:10" ht="27" x14ac:dyDescent="0.2">
      <c r="B54" s="186" t="s">
        <v>3066</v>
      </c>
      <c r="C54" s="186" t="s">
        <v>61</v>
      </c>
      <c r="D54" s="187" t="s">
        <v>3067</v>
      </c>
      <c r="E54" s="186"/>
      <c r="F54" s="186"/>
      <c r="G54" s="186"/>
      <c r="H54" s="3"/>
      <c r="I54" s="3"/>
      <c r="J54" s="3"/>
    </row>
    <row r="55" spans="2:10" ht="27" x14ac:dyDescent="0.2">
      <c r="B55" s="186" t="s">
        <v>3070</v>
      </c>
      <c r="C55" s="186" t="s">
        <v>62</v>
      </c>
      <c r="D55" s="187" t="s">
        <v>3071</v>
      </c>
      <c r="E55" s="186"/>
      <c r="F55" s="186"/>
      <c r="G55" s="186"/>
      <c r="H55" s="3"/>
      <c r="I55" s="3"/>
      <c r="J55" s="3"/>
    </row>
    <row r="56" spans="2:10" ht="27" x14ac:dyDescent="0.2">
      <c r="B56" s="186" t="s">
        <v>3062</v>
      </c>
      <c r="C56" s="186" t="s">
        <v>63</v>
      </c>
      <c r="D56" s="187" t="s">
        <v>3063</v>
      </c>
      <c r="E56" s="186"/>
      <c r="F56" s="186"/>
      <c r="G56" s="186"/>
      <c r="H56" s="3"/>
      <c r="I56" s="3"/>
      <c r="J56" s="3"/>
    </row>
    <row r="57" spans="2:10" ht="27" x14ac:dyDescent="0.2">
      <c r="B57" s="186" t="s">
        <v>3068</v>
      </c>
      <c r="C57" s="186" t="s">
        <v>64</v>
      </c>
      <c r="D57" s="187" t="s">
        <v>3069</v>
      </c>
      <c r="E57" s="186"/>
      <c r="F57" s="186"/>
      <c r="G57" s="186"/>
      <c r="H57" s="3"/>
      <c r="I57" s="3"/>
      <c r="J57" s="3"/>
    </row>
    <row r="58" spans="2:10" x14ac:dyDescent="0.2">
      <c r="B58" s="186" t="s">
        <v>3064</v>
      </c>
      <c r="C58" s="186" t="s">
        <v>65</v>
      </c>
      <c r="D58" s="187" t="s">
        <v>3065</v>
      </c>
      <c r="E58" s="186"/>
      <c r="F58" s="186"/>
      <c r="G58" s="186"/>
      <c r="H58" s="3"/>
      <c r="I58" s="3"/>
      <c r="J58" s="3"/>
    </row>
    <row r="59" spans="2:10" x14ac:dyDescent="0.2">
      <c r="B59" s="79" t="s">
        <v>3072</v>
      </c>
      <c r="C59" s="79">
        <v>9</v>
      </c>
      <c r="D59" s="80" t="s">
        <v>154</v>
      </c>
      <c r="E59" s="81"/>
      <c r="F59" s="79"/>
      <c r="G59" s="79" t="str">
        <f>IF(F59&lt;&gt;"", IF(E59=F59, "O", "X"), "")</f>
        <v/>
      </c>
      <c r="H59" s="3"/>
      <c r="I59" s="3"/>
      <c r="J59" s="3"/>
    </row>
    <row r="60" spans="2:10" ht="27" x14ac:dyDescent="0.2">
      <c r="B60" s="186" t="s">
        <v>3074</v>
      </c>
      <c r="C60" s="186" t="s">
        <v>61</v>
      </c>
      <c r="D60" s="187" t="s">
        <v>3075</v>
      </c>
      <c r="E60" s="186"/>
      <c r="F60" s="186"/>
      <c r="G60" s="186"/>
      <c r="H60" s="3"/>
      <c r="I60" s="3"/>
      <c r="J60" s="3"/>
    </row>
    <row r="61" spans="2:10" ht="27" x14ac:dyDescent="0.2">
      <c r="B61" s="186" t="s">
        <v>3076</v>
      </c>
      <c r="C61" s="186" t="s">
        <v>62</v>
      </c>
      <c r="D61" s="187" t="s">
        <v>3077</v>
      </c>
      <c r="E61" s="186"/>
      <c r="F61" s="186"/>
      <c r="G61" s="186"/>
      <c r="H61" s="3"/>
      <c r="I61" s="3"/>
      <c r="J61" s="3"/>
    </row>
    <row r="62" spans="2:10" ht="27" x14ac:dyDescent="0.2">
      <c r="B62" s="186" t="s">
        <v>3073</v>
      </c>
      <c r="C62" s="186" t="s">
        <v>63</v>
      </c>
      <c r="D62" s="187" t="s">
        <v>2778</v>
      </c>
      <c r="E62" s="186"/>
      <c r="F62" s="186"/>
      <c r="G62" s="186"/>
      <c r="H62" s="3"/>
      <c r="I62" s="3"/>
      <c r="J62" s="3"/>
    </row>
    <row r="63" spans="2:10" ht="27" x14ac:dyDescent="0.2">
      <c r="B63" s="186" t="s">
        <v>3078</v>
      </c>
      <c r="C63" s="186" t="s">
        <v>64</v>
      </c>
      <c r="D63" s="187" t="s">
        <v>3079</v>
      </c>
      <c r="E63" s="186"/>
      <c r="F63" s="186"/>
      <c r="G63" s="186"/>
      <c r="H63" s="3"/>
      <c r="I63" s="3"/>
      <c r="J63" s="3"/>
    </row>
    <row r="64" spans="2:10" x14ac:dyDescent="0.2">
      <c r="B64" s="186" t="s">
        <v>3080</v>
      </c>
      <c r="C64" s="186" t="s">
        <v>65</v>
      </c>
      <c r="D64" s="187" t="s">
        <v>3081</v>
      </c>
      <c r="E64" s="186"/>
      <c r="F64" s="186"/>
      <c r="G64" s="186"/>
      <c r="H64" s="3"/>
      <c r="I64" s="3"/>
      <c r="J64" s="3"/>
    </row>
    <row r="65" spans="2:10" x14ac:dyDescent="0.2">
      <c r="B65" s="79" t="s">
        <v>3082</v>
      </c>
      <c r="C65" s="79">
        <v>10</v>
      </c>
      <c r="D65" s="80" t="s">
        <v>239</v>
      </c>
      <c r="E65" s="81"/>
      <c r="F65" s="79"/>
      <c r="G65" s="79" t="str">
        <f>IF(F65&lt;&gt;"", IF(E65=F65, "O", "X"), "")</f>
        <v/>
      </c>
      <c r="H65" s="3"/>
      <c r="I65" s="3"/>
      <c r="J65" s="3"/>
    </row>
    <row r="66" spans="2:10" ht="27" x14ac:dyDescent="0.2">
      <c r="B66" s="186" t="s">
        <v>3083</v>
      </c>
      <c r="C66" s="186" t="s">
        <v>61</v>
      </c>
      <c r="D66" s="187" t="s">
        <v>478</v>
      </c>
      <c r="E66" s="186"/>
      <c r="F66" s="186"/>
      <c r="G66" s="186"/>
      <c r="H66" s="3"/>
      <c r="I66" s="3"/>
      <c r="J66" s="3"/>
    </row>
    <row r="67" spans="2:10" ht="27" x14ac:dyDescent="0.2">
      <c r="B67" s="186" t="s">
        <v>3086</v>
      </c>
      <c r="C67" s="186" t="s">
        <v>62</v>
      </c>
      <c r="D67" s="187" t="s">
        <v>3087</v>
      </c>
      <c r="E67" s="186"/>
      <c r="F67" s="186"/>
      <c r="G67" s="186"/>
      <c r="H67" s="3"/>
      <c r="I67" s="3"/>
      <c r="J67" s="3"/>
    </row>
    <row r="68" spans="2:10" ht="27" x14ac:dyDescent="0.2">
      <c r="B68" s="186" t="s">
        <v>3084</v>
      </c>
      <c r="C68" s="186" t="s">
        <v>63</v>
      </c>
      <c r="D68" s="187" t="s">
        <v>3085</v>
      </c>
      <c r="E68" s="186"/>
      <c r="F68" s="186"/>
      <c r="G68" s="186"/>
      <c r="H68" s="3"/>
      <c r="I68" s="3"/>
      <c r="J68" s="3"/>
    </row>
    <row r="69" spans="2:10" ht="27" x14ac:dyDescent="0.2">
      <c r="B69" s="186" t="s">
        <v>3088</v>
      </c>
      <c r="C69" s="186" t="s">
        <v>64</v>
      </c>
      <c r="D69" s="187" t="s">
        <v>2779</v>
      </c>
      <c r="E69" s="186"/>
      <c r="F69" s="186"/>
      <c r="G69" s="186"/>
      <c r="H69" s="3"/>
      <c r="I69" s="3"/>
      <c r="J69" s="3"/>
    </row>
    <row r="70" spans="2:10" ht="27" x14ac:dyDescent="0.2">
      <c r="B70" s="186" t="s">
        <v>3089</v>
      </c>
      <c r="C70" s="186" t="s">
        <v>65</v>
      </c>
      <c r="D70" s="187" t="s">
        <v>3090</v>
      </c>
      <c r="E70" s="186"/>
      <c r="F70" s="186"/>
      <c r="G70" s="186"/>
      <c r="H70" s="3"/>
      <c r="I70" s="3"/>
      <c r="J70" s="3"/>
    </row>
    <row r="71" spans="2:10" ht="27" x14ac:dyDescent="0.2">
      <c r="B71" s="79" t="s">
        <v>3091</v>
      </c>
      <c r="C71" s="79">
        <v>11</v>
      </c>
      <c r="D71" s="80" t="s">
        <v>3092</v>
      </c>
      <c r="E71" s="81"/>
      <c r="F71" s="79"/>
      <c r="G71" s="79" t="str">
        <f>IF(F71&lt;&gt;"", IF(E71=F71, "O", "X"), "")</f>
        <v/>
      </c>
      <c r="H71" s="3"/>
      <c r="I71" s="3"/>
      <c r="J71" s="3"/>
    </row>
    <row r="72" spans="2:10" x14ac:dyDescent="0.2">
      <c r="B72" s="186" t="s">
        <v>3093</v>
      </c>
      <c r="C72" s="186" t="s">
        <v>61</v>
      </c>
      <c r="D72" s="187" t="s">
        <v>872</v>
      </c>
      <c r="E72" s="186"/>
      <c r="F72" s="186"/>
      <c r="G72" s="186"/>
      <c r="H72" s="3"/>
      <c r="I72" s="3"/>
      <c r="J72" s="3"/>
    </row>
    <row r="73" spans="2:10" ht="27" x14ac:dyDescent="0.2">
      <c r="B73" s="186" t="s">
        <v>3094</v>
      </c>
      <c r="C73" s="186" t="s">
        <v>62</v>
      </c>
      <c r="D73" s="187" t="s">
        <v>3095</v>
      </c>
      <c r="E73" s="186"/>
      <c r="F73" s="186"/>
      <c r="G73" s="186"/>
      <c r="H73" s="3"/>
      <c r="I73" s="3"/>
      <c r="J73" s="3"/>
    </row>
    <row r="74" spans="2:10" ht="27" x14ac:dyDescent="0.2">
      <c r="B74" s="186" t="s">
        <v>3098</v>
      </c>
      <c r="C74" s="186" t="s">
        <v>63</v>
      </c>
      <c r="D74" s="187" t="s">
        <v>3099</v>
      </c>
      <c r="E74" s="186"/>
      <c r="F74" s="186"/>
      <c r="G74" s="186"/>
      <c r="H74" s="3"/>
      <c r="I74" s="3"/>
      <c r="J74" s="3"/>
    </row>
    <row r="75" spans="2:10" ht="27" x14ac:dyDescent="0.2">
      <c r="B75" s="186" t="s">
        <v>3100</v>
      </c>
      <c r="C75" s="186" t="s">
        <v>64</v>
      </c>
      <c r="D75" s="187" t="s">
        <v>3101</v>
      </c>
      <c r="E75" s="186"/>
      <c r="F75" s="186"/>
      <c r="G75" s="186"/>
      <c r="H75" s="3"/>
      <c r="I75" s="3"/>
      <c r="J75" s="3"/>
    </row>
    <row r="76" spans="2:10" ht="27" x14ac:dyDescent="0.2">
      <c r="B76" s="186" t="s">
        <v>3096</v>
      </c>
      <c r="C76" s="186" t="s">
        <v>65</v>
      </c>
      <c r="D76" s="187" t="s">
        <v>3097</v>
      </c>
      <c r="E76" s="186"/>
      <c r="F76" s="186"/>
      <c r="G76" s="186"/>
      <c r="H76" s="3"/>
      <c r="I76" s="3"/>
      <c r="J76" s="3"/>
    </row>
    <row r="77" spans="2:10" x14ac:dyDescent="0.2">
      <c r="B77" s="79" t="s">
        <v>3102</v>
      </c>
      <c r="C77" s="79">
        <v>12</v>
      </c>
      <c r="D77" s="80" t="s">
        <v>179</v>
      </c>
      <c r="E77" s="81"/>
      <c r="F77" s="79"/>
      <c r="G77" s="79" t="str">
        <f>IF(F77&lt;&gt;"", IF(E77=F77, "O", "X"), "")</f>
        <v/>
      </c>
      <c r="H77" s="3"/>
      <c r="I77" s="3"/>
      <c r="J77" s="3"/>
    </row>
    <row r="78" spans="2:10" x14ac:dyDescent="0.2">
      <c r="B78" s="186" t="s">
        <v>3105</v>
      </c>
      <c r="C78" s="186" t="s">
        <v>61</v>
      </c>
      <c r="D78" s="187" t="s">
        <v>3106</v>
      </c>
      <c r="E78" s="186"/>
      <c r="F78" s="186"/>
      <c r="G78" s="186"/>
      <c r="H78" s="3"/>
      <c r="I78" s="3"/>
      <c r="J78" s="3"/>
    </row>
    <row r="79" spans="2:10" x14ac:dyDescent="0.2">
      <c r="B79" s="186" t="s">
        <v>3111</v>
      </c>
      <c r="C79" s="186" t="s">
        <v>62</v>
      </c>
      <c r="D79" s="187" t="s">
        <v>928</v>
      </c>
      <c r="E79" s="186"/>
      <c r="F79" s="186"/>
      <c r="G79" s="186"/>
      <c r="H79" s="3"/>
      <c r="I79" s="3"/>
      <c r="J79" s="3"/>
    </row>
    <row r="80" spans="2:10" x14ac:dyDescent="0.2">
      <c r="B80" s="186" t="s">
        <v>3103</v>
      </c>
      <c r="C80" s="186" t="s">
        <v>63</v>
      </c>
      <c r="D80" s="187" t="s">
        <v>3104</v>
      </c>
      <c r="E80" s="186"/>
      <c r="F80" s="186"/>
      <c r="G80" s="186"/>
      <c r="H80" s="3"/>
      <c r="I80" s="3"/>
      <c r="J80" s="3"/>
    </row>
    <row r="81" spans="2:10" ht="27" x14ac:dyDescent="0.2">
      <c r="B81" s="186" t="s">
        <v>3109</v>
      </c>
      <c r="C81" s="186" t="s">
        <v>64</v>
      </c>
      <c r="D81" s="187" t="s">
        <v>3110</v>
      </c>
      <c r="E81" s="186"/>
      <c r="F81" s="186"/>
      <c r="G81" s="186"/>
      <c r="H81" s="3"/>
      <c r="I81" s="3"/>
      <c r="J81" s="3"/>
    </row>
    <row r="82" spans="2:10" ht="27" x14ac:dyDescent="0.2">
      <c r="B82" s="186" t="s">
        <v>3107</v>
      </c>
      <c r="C82" s="186" t="s">
        <v>65</v>
      </c>
      <c r="D82" s="187" t="s">
        <v>3108</v>
      </c>
      <c r="E82" s="186"/>
      <c r="F82" s="186"/>
      <c r="G82" s="186"/>
      <c r="H82" s="3"/>
      <c r="I82" s="3"/>
      <c r="J82" s="3"/>
    </row>
    <row r="83" spans="2:10" x14ac:dyDescent="0.2">
      <c r="B83" s="79" t="s">
        <v>3112</v>
      </c>
      <c r="C83" s="79">
        <v>13</v>
      </c>
      <c r="D83" s="80" t="s">
        <v>3113</v>
      </c>
      <c r="E83" s="81"/>
      <c r="F83" s="79"/>
      <c r="G83" s="79" t="str">
        <f>IF(F83&lt;&gt;"", IF(E83=F83, "O", "X"), "")</f>
        <v/>
      </c>
      <c r="H83" s="3"/>
      <c r="I83" s="3"/>
      <c r="J83" s="3"/>
    </row>
    <row r="84" spans="2:10" x14ac:dyDescent="0.2">
      <c r="B84" s="186" t="s">
        <v>3120</v>
      </c>
      <c r="C84" s="186" t="s">
        <v>61</v>
      </c>
      <c r="D84" s="187" t="s">
        <v>3121</v>
      </c>
      <c r="E84" s="186"/>
      <c r="F84" s="186"/>
      <c r="G84" s="186"/>
      <c r="H84" s="3"/>
      <c r="I84" s="3"/>
      <c r="J84" s="3"/>
    </row>
    <row r="85" spans="2:10" x14ac:dyDescent="0.2">
      <c r="B85" s="186" t="s">
        <v>3118</v>
      </c>
      <c r="C85" s="186" t="s">
        <v>62</v>
      </c>
      <c r="D85" s="187" t="s">
        <v>3119</v>
      </c>
      <c r="E85" s="186"/>
      <c r="F85" s="186"/>
      <c r="G85" s="186"/>
      <c r="H85" s="3"/>
      <c r="I85" s="3"/>
      <c r="J85" s="3"/>
    </row>
    <row r="86" spans="2:10" x14ac:dyDescent="0.2">
      <c r="B86" s="186" t="s">
        <v>3122</v>
      </c>
      <c r="C86" s="186" t="s">
        <v>63</v>
      </c>
      <c r="D86" s="187" t="s">
        <v>1572</v>
      </c>
      <c r="E86" s="186"/>
      <c r="F86" s="186"/>
      <c r="G86" s="186"/>
      <c r="H86" s="3"/>
      <c r="I86" s="3"/>
      <c r="J86" s="3"/>
    </row>
    <row r="87" spans="2:10" x14ac:dyDescent="0.2">
      <c r="B87" s="186" t="s">
        <v>3116</v>
      </c>
      <c r="C87" s="186" t="s">
        <v>64</v>
      </c>
      <c r="D87" s="187" t="s">
        <v>3117</v>
      </c>
      <c r="E87" s="186"/>
      <c r="F87" s="186"/>
      <c r="G87" s="186"/>
      <c r="H87" s="3"/>
      <c r="I87" s="3"/>
      <c r="J87" s="3"/>
    </row>
    <row r="88" spans="2:10" x14ac:dyDescent="0.2">
      <c r="B88" s="186" t="s">
        <v>3114</v>
      </c>
      <c r="C88" s="186" t="s">
        <v>65</v>
      </c>
      <c r="D88" s="187" t="s">
        <v>3115</v>
      </c>
      <c r="E88" s="186"/>
      <c r="F88" s="186"/>
      <c r="G88" s="186"/>
      <c r="H88" s="3"/>
      <c r="I88" s="3"/>
      <c r="J88" s="3"/>
    </row>
    <row r="89" spans="2:10" x14ac:dyDescent="0.2">
      <c r="B89" s="79" t="s">
        <v>3123</v>
      </c>
      <c r="C89" s="79">
        <v>14</v>
      </c>
      <c r="D89" s="80" t="s">
        <v>293</v>
      </c>
      <c r="E89" s="81"/>
      <c r="F89" s="79"/>
      <c r="G89" s="79" t="str">
        <f>IF(F89&lt;&gt;"", IF(E89=F89, "O", "X"), "")</f>
        <v/>
      </c>
      <c r="H89" s="3"/>
      <c r="I89" s="3"/>
      <c r="J89" s="3"/>
    </row>
    <row r="90" spans="2:10" ht="27" x14ac:dyDescent="0.2">
      <c r="B90" s="186" t="s">
        <v>3124</v>
      </c>
      <c r="C90" s="186" t="s">
        <v>61</v>
      </c>
      <c r="D90" s="187" t="s">
        <v>3125</v>
      </c>
      <c r="E90" s="186"/>
      <c r="F90" s="186"/>
      <c r="G90" s="186"/>
      <c r="H90" s="3"/>
      <c r="I90" s="3"/>
      <c r="J90" s="3"/>
    </row>
    <row r="91" spans="2:10" ht="27" x14ac:dyDescent="0.2">
      <c r="B91" s="186" t="s">
        <v>3128</v>
      </c>
      <c r="C91" s="186" t="s">
        <v>62</v>
      </c>
      <c r="D91" s="187" t="s">
        <v>3129</v>
      </c>
      <c r="E91" s="186"/>
      <c r="F91" s="186"/>
      <c r="G91" s="186"/>
      <c r="H91" s="3"/>
      <c r="I91" s="3"/>
      <c r="J91" s="3"/>
    </row>
    <row r="92" spans="2:10" ht="27" x14ac:dyDescent="0.2">
      <c r="B92" s="186" t="s">
        <v>3126</v>
      </c>
      <c r="C92" s="186" t="s">
        <v>63</v>
      </c>
      <c r="D92" s="187" t="s">
        <v>3127</v>
      </c>
      <c r="E92" s="186"/>
      <c r="F92" s="186"/>
      <c r="G92" s="186"/>
      <c r="H92" s="3"/>
      <c r="I92" s="3"/>
      <c r="J92" s="3"/>
    </row>
    <row r="93" spans="2:10" x14ac:dyDescent="0.2">
      <c r="B93" s="186" t="s">
        <v>3132</v>
      </c>
      <c r="C93" s="186" t="s">
        <v>64</v>
      </c>
      <c r="D93" s="187" t="s">
        <v>3133</v>
      </c>
      <c r="E93" s="186"/>
      <c r="F93" s="186"/>
      <c r="G93" s="186"/>
      <c r="H93" s="3"/>
      <c r="I93" s="3"/>
      <c r="J93" s="3"/>
    </row>
    <row r="94" spans="2:10" ht="27" x14ac:dyDescent="0.2">
      <c r="B94" s="186" t="s">
        <v>3130</v>
      </c>
      <c r="C94" s="186" t="s">
        <v>65</v>
      </c>
      <c r="D94" s="187" t="s">
        <v>3131</v>
      </c>
      <c r="E94" s="186"/>
      <c r="F94" s="186"/>
      <c r="G94" s="186"/>
      <c r="H94" s="3"/>
      <c r="I94" s="3"/>
      <c r="J94" s="3"/>
    </row>
    <row r="95" spans="2:10" x14ac:dyDescent="0.2">
      <c r="B95" s="79" t="s">
        <v>3134</v>
      </c>
      <c r="C95" s="79">
        <v>15</v>
      </c>
      <c r="D95" s="80" t="s">
        <v>241</v>
      </c>
      <c r="E95" s="81"/>
      <c r="F95" s="79"/>
      <c r="G95" s="79" t="str">
        <f>IF(F95&lt;&gt;"", IF(E95=F95, "O", "X"), "")</f>
        <v/>
      </c>
      <c r="H95" s="3"/>
      <c r="I95" s="3"/>
      <c r="J95" s="3"/>
    </row>
    <row r="96" spans="2:10" x14ac:dyDescent="0.2">
      <c r="B96" s="186" t="s">
        <v>3135</v>
      </c>
      <c r="C96" s="186" t="s">
        <v>61</v>
      </c>
      <c r="D96" s="187" t="s">
        <v>580</v>
      </c>
      <c r="E96" s="186"/>
      <c r="F96" s="186"/>
      <c r="G96" s="186"/>
      <c r="H96" s="3"/>
      <c r="I96" s="3"/>
      <c r="J96" s="3"/>
    </row>
    <row r="97" spans="2:10" x14ac:dyDescent="0.2">
      <c r="B97" s="186" t="s">
        <v>3141</v>
      </c>
      <c r="C97" s="186" t="s">
        <v>62</v>
      </c>
      <c r="D97" s="187" t="s">
        <v>3142</v>
      </c>
      <c r="E97" s="186"/>
      <c r="F97" s="186"/>
      <c r="G97" s="186"/>
      <c r="H97" s="3"/>
      <c r="I97" s="3"/>
      <c r="J97" s="3"/>
    </row>
    <row r="98" spans="2:10" ht="27" x14ac:dyDescent="0.2">
      <c r="B98" s="186" t="s">
        <v>3139</v>
      </c>
      <c r="C98" s="186" t="s">
        <v>63</v>
      </c>
      <c r="D98" s="187" t="s">
        <v>3140</v>
      </c>
      <c r="E98" s="186"/>
      <c r="F98" s="186"/>
      <c r="G98" s="186"/>
      <c r="H98" s="3"/>
      <c r="I98" s="3"/>
      <c r="J98" s="3"/>
    </row>
    <row r="99" spans="2:10" ht="40.5" x14ac:dyDescent="0.2">
      <c r="B99" s="186" t="s">
        <v>3136</v>
      </c>
      <c r="C99" s="186" t="s">
        <v>64</v>
      </c>
      <c r="D99" s="187" t="s">
        <v>2780</v>
      </c>
      <c r="E99" s="186"/>
      <c r="F99" s="186"/>
      <c r="G99" s="186"/>
      <c r="H99" s="3"/>
      <c r="I99" s="3"/>
      <c r="J99" s="3"/>
    </row>
    <row r="100" spans="2:10" ht="27" x14ac:dyDescent="0.2">
      <c r="B100" s="186" t="s">
        <v>3137</v>
      </c>
      <c r="C100" s="186" t="s">
        <v>65</v>
      </c>
      <c r="D100" s="187" t="s">
        <v>3138</v>
      </c>
      <c r="E100" s="186"/>
      <c r="F100" s="186"/>
      <c r="G100" s="186"/>
      <c r="H100" s="3"/>
      <c r="I100" s="3"/>
      <c r="J100" s="3"/>
    </row>
    <row r="101" spans="2:10" x14ac:dyDescent="0.2">
      <c r="B101" s="79" t="s">
        <v>3143</v>
      </c>
      <c r="C101" s="79">
        <v>16</v>
      </c>
      <c r="D101" s="80" t="s">
        <v>120</v>
      </c>
      <c r="E101" s="81"/>
      <c r="F101" s="79"/>
      <c r="G101" s="79" t="str">
        <f>IF(F101&lt;&gt;"", IF(E101=F101, "O", "X"), "")</f>
        <v/>
      </c>
      <c r="H101" s="3"/>
      <c r="I101" s="3"/>
      <c r="J101" s="3"/>
    </row>
    <row r="102" spans="2:10" ht="27" x14ac:dyDescent="0.2">
      <c r="B102" s="186" t="s">
        <v>3144</v>
      </c>
      <c r="C102" s="186" t="s">
        <v>61</v>
      </c>
      <c r="D102" s="187" t="s">
        <v>1260</v>
      </c>
      <c r="E102" s="186"/>
      <c r="F102" s="186"/>
      <c r="G102" s="186"/>
      <c r="H102" s="3"/>
      <c r="I102" s="3"/>
      <c r="J102" s="3"/>
    </row>
    <row r="103" spans="2:10" ht="27" x14ac:dyDescent="0.2">
      <c r="B103" s="186" t="s">
        <v>3145</v>
      </c>
      <c r="C103" s="186" t="s">
        <v>62</v>
      </c>
      <c r="D103" s="187" t="s">
        <v>1829</v>
      </c>
      <c r="E103" s="186"/>
      <c r="F103" s="186"/>
      <c r="G103" s="186"/>
      <c r="H103" s="3"/>
      <c r="I103" s="3"/>
      <c r="J103" s="3"/>
    </row>
    <row r="104" spans="2:10" ht="27" x14ac:dyDescent="0.2">
      <c r="B104" s="186" t="s">
        <v>3148</v>
      </c>
      <c r="C104" s="186" t="s">
        <v>63</v>
      </c>
      <c r="D104" s="187" t="s">
        <v>3149</v>
      </c>
      <c r="E104" s="186"/>
      <c r="F104" s="186"/>
      <c r="G104" s="186"/>
      <c r="H104" s="3"/>
      <c r="I104" s="3"/>
      <c r="J104" s="3"/>
    </row>
    <row r="105" spans="2:10" ht="27" x14ac:dyDescent="0.2">
      <c r="B105" s="186" t="s">
        <v>3150</v>
      </c>
      <c r="C105" s="186" t="s">
        <v>64</v>
      </c>
      <c r="D105" s="187" t="s">
        <v>3151</v>
      </c>
      <c r="E105" s="186"/>
      <c r="F105" s="186"/>
      <c r="G105" s="186"/>
      <c r="H105" s="3"/>
      <c r="I105" s="3"/>
      <c r="J105" s="3"/>
    </row>
    <row r="106" spans="2:10" ht="27" x14ac:dyDescent="0.2">
      <c r="B106" s="186" t="s">
        <v>3146</v>
      </c>
      <c r="C106" s="186" t="s">
        <v>65</v>
      </c>
      <c r="D106" s="187" t="s">
        <v>3147</v>
      </c>
      <c r="E106" s="186"/>
      <c r="F106" s="186"/>
      <c r="G106" s="186"/>
      <c r="H106" s="3"/>
      <c r="I106" s="3"/>
      <c r="J106" s="3"/>
    </row>
    <row r="107" spans="2:10" x14ac:dyDescent="0.2">
      <c r="B107" s="79" t="s">
        <v>3152</v>
      </c>
      <c r="C107" s="79">
        <v>17</v>
      </c>
      <c r="D107" s="80" t="s">
        <v>3153</v>
      </c>
      <c r="E107" s="81"/>
      <c r="F107" s="79"/>
      <c r="G107" s="79" t="str">
        <f>IF(F107&lt;&gt;"", IF(E107=F107, "O", "X"), "")</f>
        <v/>
      </c>
      <c r="H107" s="3"/>
      <c r="I107" s="3"/>
      <c r="J107" s="3"/>
    </row>
    <row r="108" spans="2:10" ht="27" x14ac:dyDescent="0.2">
      <c r="B108" s="186" t="s">
        <v>3160</v>
      </c>
      <c r="C108" s="186" t="s">
        <v>61</v>
      </c>
      <c r="D108" s="187" t="s">
        <v>3161</v>
      </c>
      <c r="E108" s="186"/>
      <c r="F108" s="186"/>
      <c r="G108" s="186"/>
      <c r="H108" s="3"/>
      <c r="I108" s="3"/>
      <c r="J108" s="3"/>
    </row>
    <row r="109" spans="2:10" ht="27" x14ac:dyDescent="0.2">
      <c r="B109" s="186" t="s">
        <v>3156</v>
      </c>
      <c r="C109" s="186" t="s">
        <v>62</v>
      </c>
      <c r="D109" s="187" t="s">
        <v>3157</v>
      </c>
      <c r="E109" s="186"/>
      <c r="F109" s="186"/>
      <c r="G109" s="186"/>
      <c r="H109" s="3"/>
      <c r="I109" s="3"/>
      <c r="J109" s="3"/>
    </row>
    <row r="110" spans="2:10" ht="27" x14ac:dyDescent="0.2">
      <c r="B110" s="186" t="s">
        <v>3158</v>
      </c>
      <c r="C110" s="186" t="s">
        <v>63</v>
      </c>
      <c r="D110" s="187" t="s">
        <v>3159</v>
      </c>
      <c r="E110" s="186"/>
      <c r="F110" s="186"/>
      <c r="G110" s="186"/>
      <c r="H110" s="3"/>
      <c r="I110" s="3"/>
      <c r="J110" s="3"/>
    </row>
    <row r="111" spans="2:10" ht="27" x14ac:dyDescent="0.2">
      <c r="B111" s="186" t="s">
        <v>3154</v>
      </c>
      <c r="C111" s="186" t="s">
        <v>64</v>
      </c>
      <c r="D111" s="187" t="s">
        <v>3155</v>
      </c>
      <c r="E111" s="186"/>
      <c r="F111" s="186"/>
      <c r="G111" s="186"/>
      <c r="H111" s="3"/>
      <c r="I111" s="3"/>
      <c r="J111" s="3"/>
    </row>
    <row r="112" spans="2:10" ht="27" x14ac:dyDescent="0.2">
      <c r="B112" s="186" t="s">
        <v>3162</v>
      </c>
      <c r="C112" s="186" t="s">
        <v>65</v>
      </c>
      <c r="D112" s="187" t="s">
        <v>3163</v>
      </c>
      <c r="E112" s="186"/>
      <c r="F112" s="186"/>
      <c r="G112" s="186"/>
      <c r="H112" s="3"/>
      <c r="I112" s="3"/>
      <c r="J112" s="3"/>
    </row>
    <row r="113" spans="2:10" x14ac:dyDescent="0.2">
      <c r="B113" s="79" t="s">
        <v>3164</v>
      </c>
      <c r="C113" s="79">
        <v>18</v>
      </c>
      <c r="D113" s="80" t="s">
        <v>161</v>
      </c>
      <c r="E113" s="81"/>
      <c r="F113" s="79"/>
      <c r="G113" s="79" t="str">
        <f>IF(F113&lt;&gt;"", IF(E113=F113, "O", "X"), "")</f>
        <v/>
      </c>
      <c r="H113" s="3"/>
      <c r="I113" s="3"/>
      <c r="J113" s="3"/>
    </row>
    <row r="114" spans="2:10" x14ac:dyDescent="0.2">
      <c r="B114" s="186" t="s">
        <v>3172</v>
      </c>
      <c r="C114" s="186" t="s">
        <v>61</v>
      </c>
      <c r="D114" s="187" t="s">
        <v>2781</v>
      </c>
      <c r="E114" s="186"/>
      <c r="F114" s="186"/>
      <c r="G114" s="186"/>
      <c r="H114" s="3"/>
      <c r="I114" s="3"/>
      <c r="J114" s="3"/>
    </row>
    <row r="115" spans="2:10" x14ac:dyDescent="0.2">
      <c r="B115" s="186" t="s">
        <v>3165</v>
      </c>
      <c r="C115" s="186" t="s">
        <v>62</v>
      </c>
      <c r="D115" s="187" t="s">
        <v>1384</v>
      </c>
      <c r="E115" s="186"/>
      <c r="F115" s="186"/>
      <c r="G115" s="186"/>
      <c r="H115" s="3"/>
      <c r="I115" s="3"/>
      <c r="J115" s="3"/>
    </row>
    <row r="116" spans="2:10" ht="27" x14ac:dyDescent="0.2">
      <c r="B116" s="186" t="s">
        <v>3168</v>
      </c>
      <c r="C116" s="186" t="s">
        <v>63</v>
      </c>
      <c r="D116" s="187" t="s">
        <v>3169</v>
      </c>
      <c r="E116" s="186"/>
      <c r="F116" s="186"/>
      <c r="G116" s="186"/>
      <c r="H116" s="3"/>
      <c r="I116" s="3"/>
      <c r="J116" s="3"/>
    </row>
    <row r="117" spans="2:10" ht="27" x14ac:dyDescent="0.2">
      <c r="B117" s="186" t="s">
        <v>3166</v>
      </c>
      <c r="C117" s="186" t="s">
        <v>64</v>
      </c>
      <c r="D117" s="187" t="s">
        <v>3167</v>
      </c>
      <c r="E117" s="186"/>
      <c r="F117" s="186"/>
      <c r="G117" s="186"/>
      <c r="H117" s="3"/>
      <c r="I117" s="3"/>
      <c r="J117" s="3"/>
    </row>
    <row r="118" spans="2:10" ht="27" x14ac:dyDescent="0.2">
      <c r="B118" s="186" t="s">
        <v>3170</v>
      </c>
      <c r="C118" s="186" t="s">
        <v>65</v>
      </c>
      <c r="D118" s="187" t="s">
        <v>3171</v>
      </c>
      <c r="E118" s="186"/>
      <c r="F118" s="186"/>
      <c r="G118" s="186"/>
      <c r="H118" s="3"/>
      <c r="I118" s="3"/>
      <c r="J118" s="3"/>
    </row>
    <row r="119" spans="2:10" x14ac:dyDescent="0.2">
      <c r="B119" s="79" t="s">
        <v>3173</v>
      </c>
      <c r="C119" s="79">
        <v>19</v>
      </c>
      <c r="D119" s="80" t="s">
        <v>127</v>
      </c>
      <c r="E119" s="81"/>
      <c r="F119" s="79"/>
      <c r="G119" s="79" t="str">
        <f>IF(F119&lt;&gt;"", IF(E119=F119, "O", "X"), "")</f>
        <v/>
      </c>
      <c r="H119" s="3"/>
      <c r="I119" s="3"/>
      <c r="J119" s="3"/>
    </row>
    <row r="120" spans="2:10" x14ac:dyDescent="0.2">
      <c r="B120" s="186" t="s">
        <v>3174</v>
      </c>
      <c r="C120" s="186" t="s">
        <v>61</v>
      </c>
      <c r="D120" s="187" t="s">
        <v>3175</v>
      </c>
      <c r="E120" s="186"/>
      <c r="F120" s="186"/>
      <c r="G120" s="186"/>
      <c r="H120" s="3"/>
      <c r="I120" s="3"/>
      <c r="J120" s="3"/>
    </row>
    <row r="121" spans="2:10" ht="27" x14ac:dyDescent="0.2">
      <c r="B121" s="186" t="s">
        <v>3180</v>
      </c>
      <c r="C121" s="186" t="s">
        <v>62</v>
      </c>
      <c r="D121" s="187" t="s">
        <v>3181</v>
      </c>
      <c r="E121" s="186"/>
      <c r="F121" s="186"/>
      <c r="G121" s="186"/>
      <c r="H121" s="3"/>
      <c r="I121" s="3"/>
      <c r="J121" s="3"/>
    </row>
    <row r="122" spans="2:10" ht="27" x14ac:dyDescent="0.2">
      <c r="B122" s="186" t="s">
        <v>3178</v>
      </c>
      <c r="C122" s="186" t="s">
        <v>63</v>
      </c>
      <c r="D122" s="187" t="s">
        <v>3179</v>
      </c>
      <c r="E122" s="186"/>
      <c r="F122" s="186"/>
      <c r="G122" s="186"/>
      <c r="H122" s="3"/>
      <c r="I122" s="3"/>
      <c r="J122" s="3"/>
    </row>
    <row r="123" spans="2:10" ht="27" x14ac:dyDescent="0.2">
      <c r="B123" s="186" t="s">
        <v>3177</v>
      </c>
      <c r="C123" s="186" t="s">
        <v>64</v>
      </c>
      <c r="D123" s="187" t="s">
        <v>1469</v>
      </c>
      <c r="E123" s="186"/>
      <c r="F123" s="186"/>
      <c r="G123" s="186"/>
      <c r="H123" s="3"/>
      <c r="I123" s="3"/>
      <c r="J123" s="3"/>
    </row>
    <row r="124" spans="2:10" ht="27" x14ac:dyDescent="0.2">
      <c r="B124" s="186" t="s">
        <v>3176</v>
      </c>
      <c r="C124" s="186" t="s">
        <v>65</v>
      </c>
      <c r="D124" s="187" t="s">
        <v>2009</v>
      </c>
      <c r="E124" s="186"/>
      <c r="F124" s="186"/>
      <c r="G124" s="186"/>
      <c r="H124" s="3"/>
      <c r="I124" s="3"/>
      <c r="J124" s="3"/>
    </row>
    <row r="125" spans="2:10" x14ac:dyDescent="0.2">
      <c r="B125" s="79" t="s">
        <v>3182</v>
      </c>
      <c r="C125" s="79">
        <v>20</v>
      </c>
      <c r="D125" s="80" t="s">
        <v>380</v>
      </c>
      <c r="E125" s="81"/>
      <c r="F125" s="79"/>
      <c r="G125" s="79" t="str">
        <f>IF(F125&lt;&gt;"", IF(E125=F125, "O", "X"), "")</f>
        <v/>
      </c>
      <c r="H125" s="3"/>
      <c r="I125" s="3"/>
      <c r="J125" s="3"/>
    </row>
    <row r="126" spans="2:10" ht="27" x14ac:dyDescent="0.2">
      <c r="B126" s="186" t="s">
        <v>3188</v>
      </c>
      <c r="C126" s="186" t="s">
        <v>61</v>
      </c>
      <c r="D126" s="187" t="s">
        <v>3189</v>
      </c>
      <c r="E126" s="186"/>
      <c r="F126" s="186"/>
      <c r="G126" s="186"/>
      <c r="H126" s="3"/>
      <c r="I126" s="3"/>
      <c r="J126" s="3"/>
    </row>
    <row r="127" spans="2:10" x14ac:dyDescent="0.2">
      <c r="B127" s="186" t="s">
        <v>3186</v>
      </c>
      <c r="C127" s="186" t="s">
        <v>62</v>
      </c>
      <c r="D127" s="187" t="s">
        <v>3187</v>
      </c>
      <c r="E127" s="186"/>
      <c r="F127" s="186"/>
      <c r="G127" s="186"/>
      <c r="H127" s="3"/>
      <c r="I127" s="3"/>
      <c r="J127" s="3"/>
    </row>
    <row r="128" spans="2:10" ht="27" x14ac:dyDescent="0.2">
      <c r="B128" s="186" t="s">
        <v>3190</v>
      </c>
      <c r="C128" s="186" t="s">
        <v>63</v>
      </c>
      <c r="D128" s="187" t="s">
        <v>1444</v>
      </c>
      <c r="E128" s="186"/>
      <c r="F128" s="186"/>
      <c r="G128" s="186"/>
      <c r="H128" s="3"/>
      <c r="I128" s="3"/>
      <c r="J128" s="3"/>
    </row>
    <row r="129" spans="2:10" ht="27" x14ac:dyDescent="0.2">
      <c r="B129" s="186" t="s">
        <v>3185</v>
      </c>
      <c r="C129" s="186" t="s">
        <v>64</v>
      </c>
      <c r="D129" s="187" t="s">
        <v>1735</v>
      </c>
      <c r="E129" s="186"/>
      <c r="F129" s="186"/>
      <c r="G129" s="186"/>
      <c r="H129" s="3"/>
      <c r="I129" s="3"/>
      <c r="J129" s="3"/>
    </row>
    <row r="130" spans="2:10" x14ac:dyDescent="0.2">
      <c r="B130" s="186" t="s">
        <v>3183</v>
      </c>
      <c r="C130" s="186" t="s">
        <v>65</v>
      </c>
      <c r="D130" s="187" t="s">
        <v>3184</v>
      </c>
      <c r="E130" s="186"/>
      <c r="F130" s="186"/>
      <c r="G130" s="186"/>
      <c r="H130" s="3"/>
      <c r="I130" s="3"/>
      <c r="J130" s="3"/>
    </row>
    <row r="131" spans="2:10" x14ac:dyDescent="0.2">
      <c r="B131" s="79" t="s">
        <v>3191</v>
      </c>
      <c r="C131" s="79">
        <v>21</v>
      </c>
      <c r="D131" s="80" t="s">
        <v>276</v>
      </c>
      <c r="E131" s="81"/>
      <c r="F131" s="79"/>
      <c r="G131" s="79" t="str">
        <f>IF(F131&lt;&gt;"", IF(E131=F131, "O", "X"), "")</f>
        <v/>
      </c>
      <c r="H131" s="3"/>
      <c r="I131" s="3"/>
      <c r="J131" s="3"/>
    </row>
    <row r="132" spans="2:10" x14ac:dyDescent="0.2">
      <c r="B132" s="186" t="s">
        <v>3196</v>
      </c>
      <c r="C132" s="186" t="s">
        <v>61</v>
      </c>
      <c r="D132" s="187" t="s">
        <v>957</v>
      </c>
      <c r="E132" s="186"/>
      <c r="F132" s="186"/>
      <c r="G132" s="186"/>
      <c r="H132" s="3"/>
      <c r="I132" s="3"/>
      <c r="J132" s="3"/>
    </row>
    <row r="133" spans="2:10" x14ac:dyDescent="0.2">
      <c r="B133" s="186" t="s">
        <v>3194</v>
      </c>
      <c r="C133" s="186" t="s">
        <v>62</v>
      </c>
      <c r="D133" s="187" t="s">
        <v>3195</v>
      </c>
      <c r="E133" s="186"/>
      <c r="F133" s="186"/>
      <c r="G133" s="186"/>
      <c r="H133" s="3"/>
      <c r="I133" s="3"/>
      <c r="J133" s="3"/>
    </row>
    <row r="134" spans="2:10" x14ac:dyDescent="0.2">
      <c r="B134" s="186" t="s">
        <v>3197</v>
      </c>
      <c r="C134" s="186" t="s">
        <v>63</v>
      </c>
      <c r="D134" s="187" t="s">
        <v>3198</v>
      </c>
      <c r="E134" s="186"/>
      <c r="F134" s="186"/>
      <c r="G134" s="186"/>
      <c r="H134" s="3"/>
      <c r="I134" s="3"/>
      <c r="J134" s="3"/>
    </row>
    <row r="135" spans="2:10" x14ac:dyDescent="0.2">
      <c r="B135" s="186" t="s">
        <v>3199</v>
      </c>
      <c r="C135" s="186" t="s">
        <v>64</v>
      </c>
      <c r="D135" s="187" t="s">
        <v>3200</v>
      </c>
      <c r="E135" s="186"/>
      <c r="F135" s="186"/>
      <c r="G135" s="186"/>
      <c r="H135" s="3"/>
      <c r="I135" s="3"/>
      <c r="J135" s="3"/>
    </row>
    <row r="136" spans="2:10" ht="27" x14ac:dyDescent="0.2">
      <c r="B136" s="186" t="s">
        <v>3192</v>
      </c>
      <c r="C136" s="186" t="s">
        <v>65</v>
      </c>
      <c r="D136" s="187" t="s">
        <v>3193</v>
      </c>
      <c r="E136" s="186"/>
      <c r="F136" s="186"/>
      <c r="G136" s="186"/>
      <c r="H136" s="3"/>
      <c r="I136" s="3"/>
      <c r="J136" s="3"/>
    </row>
    <row r="137" spans="2:10" x14ac:dyDescent="0.2">
      <c r="B137" s="79" t="s">
        <v>3201</v>
      </c>
      <c r="C137" s="79">
        <v>22</v>
      </c>
      <c r="D137" s="80" t="s">
        <v>2410</v>
      </c>
      <c r="E137" s="81"/>
      <c r="F137" s="79"/>
      <c r="G137" s="79" t="str">
        <f>IF(F137&lt;&gt;"", IF(E137=F137, "O", "X"), "")</f>
        <v/>
      </c>
      <c r="H137" s="3"/>
      <c r="I137" s="3"/>
      <c r="J137" s="3"/>
    </row>
    <row r="138" spans="2:10" x14ac:dyDescent="0.2">
      <c r="B138" s="186" t="s">
        <v>3203</v>
      </c>
      <c r="C138" s="186" t="s">
        <v>61</v>
      </c>
      <c r="D138" s="187" t="s">
        <v>736</v>
      </c>
      <c r="E138" s="186"/>
      <c r="F138" s="186"/>
      <c r="G138" s="186"/>
      <c r="H138" s="3"/>
      <c r="I138" s="3"/>
      <c r="J138" s="3"/>
    </row>
    <row r="139" spans="2:10" x14ac:dyDescent="0.2">
      <c r="B139" s="186" t="s">
        <v>3208</v>
      </c>
      <c r="C139" s="186" t="s">
        <v>62</v>
      </c>
      <c r="D139" s="187" t="s">
        <v>3209</v>
      </c>
      <c r="E139" s="186"/>
      <c r="F139" s="186"/>
      <c r="G139" s="186"/>
      <c r="H139" s="3"/>
      <c r="I139" s="3"/>
      <c r="J139" s="3"/>
    </row>
    <row r="140" spans="2:10" x14ac:dyDescent="0.2">
      <c r="B140" s="186" t="s">
        <v>3206</v>
      </c>
      <c r="C140" s="186" t="s">
        <v>63</v>
      </c>
      <c r="D140" s="187" t="s">
        <v>3207</v>
      </c>
      <c r="E140" s="186"/>
      <c r="F140" s="186"/>
      <c r="G140" s="186"/>
      <c r="H140" s="3"/>
      <c r="I140" s="3"/>
      <c r="J140" s="3"/>
    </row>
    <row r="141" spans="2:10" x14ac:dyDescent="0.2">
      <c r="B141" s="186" t="s">
        <v>3202</v>
      </c>
      <c r="C141" s="186" t="s">
        <v>64</v>
      </c>
      <c r="D141" s="187" t="s">
        <v>979</v>
      </c>
      <c r="E141" s="186"/>
      <c r="F141" s="186"/>
      <c r="G141" s="186"/>
      <c r="H141" s="3"/>
      <c r="I141" s="3"/>
      <c r="J141" s="3"/>
    </row>
    <row r="142" spans="2:10" ht="27" x14ac:dyDescent="0.2">
      <c r="B142" s="186" t="s">
        <v>3204</v>
      </c>
      <c r="C142" s="186" t="s">
        <v>65</v>
      </c>
      <c r="D142" s="187" t="s">
        <v>3205</v>
      </c>
      <c r="E142" s="186"/>
      <c r="F142" s="186"/>
      <c r="G142" s="186"/>
      <c r="H142" s="3"/>
      <c r="I142" s="3"/>
      <c r="J142" s="3"/>
    </row>
    <row r="143" spans="2:10" x14ac:dyDescent="0.2">
      <c r="B143" s="79" t="s">
        <v>3210</v>
      </c>
      <c r="C143" s="79">
        <v>23</v>
      </c>
      <c r="D143" s="80" t="s">
        <v>3211</v>
      </c>
      <c r="E143" s="81"/>
      <c r="F143" s="79"/>
      <c r="G143" s="79" t="str">
        <f>IF(F143&lt;&gt;"", IF(E143=F143, "O", "X"), "")</f>
        <v/>
      </c>
      <c r="H143" s="3"/>
      <c r="I143" s="3"/>
      <c r="J143" s="3"/>
    </row>
    <row r="144" spans="2:10" ht="27" x14ac:dyDescent="0.2">
      <c r="B144" s="186" t="s">
        <v>3212</v>
      </c>
      <c r="C144" s="186" t="s">
        <v>61</v>
      </c>
      <c r="D144" s="187" t="s">
        <v>3213</v>
      </c>
      <c r="E144" s="186"/>
      <c r="F144" s="186"/>
      <c r="G144" s="186"/>
      <c r="H144" s="3"/>
      <c r="I144" s="3"/>
      <c r="J144" s="3"/>
    </row>
    <row r="145" spans="2:10" x14ac:dyDescent="0.2">
      <c r="B145" s="186" t="s">
        <v>3218</v>
      </c>
      <c r="C145" s="186" t="s">
        <v>62</v>
      </c>
      <c r="D145" s="187" t="s">
        <v>3219</v>
      </c>
      <c r="E145" s="186"/>
      <c r="F145" s="186"/>
      <c r="G145" s="186"/>
      <c r="H145" s="3"/>
      <c r="I145" s="3"/>
      <c r="J145" s="3"/>
    </row>
    <row r="146" spans="2:10" ht="27" x14ac:dyDescent="0.2">
      <c r="B146" s="186" t="s">
        <v>3220</v>
      </c>
      <c r="C146" s="186" t="s">
        <v>63</v>
      </c>
      <c r="D146" s="187" t="s">
        <v>3221</v>
      </c>
      <c r="E146" s="186"/>
      <c r="F146" s="186"/>
      <c r="G146" s="186"/>
      <c r="H146" s="3"/>
      <c r="I146" s="3"/>
      <c r="J146" s="3"/>
    </row>
    <row r="147" spans="2:10" ht="27" x14ac:dyDescent="0.2">
      <c r="B147" s="186" t="s">
        <v>3214</v>
      </c>
      <c r="C147" s="186" t="s">
        <v>64</v>
      </c>
      <c r="D147" s="187" t="s">
        <v>3215</v>
      </c>
      <c r="E147" s="186"/>
      <c r="F147" s="186"/>
      <c r="G147" s="186"/>
      <c r="H147" s="3"/>
      <c r="I147" s="3"/>
      <c r="J147" s="3"/>
    </row>
    <row r="148" spans="2:10" ht="27" x14ac:dyDescent="0.2">
      <c r="B148" s="186" t="s">
        <v>3216</v>
      </c>
      <c r="C148" s="186" t="s">
        <v>65</v>
      </c>
      <c r="D148" s="187" t="s">
        <v>3217</v>
      </c>
      <c r="E148" s="186"/>
      <c r="F148" s="186"/>
      <c r="G148" s="186"/>
      <c r="H148" s="3"/>
      <c r="I148" s="3"/>
      <c r="J148" s="3"/>
    </row>
    <row r="149" spans="2:10" x14ac:dyDescent="0.2">
      <c r="B149" s="79" t="s">
        <v>3222</v>
      </c>
      <c r="C149" s="79">
        <v>24</v>
      </c>
      <c r="D149" s="80" t="s">
        <v>3211</v>
      </c>
      <c r="E149" s="81">
        <v>3</v>
      </c>
      <c r="F149" s="79"/>
      <c r="G149" s="79" t="str">
        <f>IF(F149&lt;&gt;"", IF(E149=F149, "O", "X"), "")</f>
        <v/>
      </c>
      <c r="H149" s="3"/>
      <c r="I149" s="3"/>
      <c r="J149" s="3"/>
    </row>
    <row r="150" spans="2:10" x14ac:dyDescent="0.2">
      <c r="B150" s="186" t="s">
        <v>3227</v>
      </c>
      <c r="C150" s="186" t="s">
        <v>61</v>
      </c>
      <c r="D150" s="187" t="s">
        <v>2782</v>
      </c>
      <c r="E150" s="186"/>
      <c r="F150" s="186"/>
      <c r="G150" s="186"/>
      <c r="H150" s="3"/>
      <c r="I150" s="3"/>
      <c r="J150" s="3"/>
    </row>
    <row r="151" spans="2:10" x14ac:dyDescent="0.2">
      <c r="B151" s="186" t="s">
        <v>3225</v>
      </c>
      <c r="C151" s="186" t="s">
        <v>62</v>
      </c>
      <c r="D151" s="187" t="s">
        <v>3226</v>
      </c>
      <c r="E151" s="186"/>
      <c r="F151" s="186"/>
      <c r="G151" s="186"/>
      <c r="H151" s="3"/>
      <c r="I151" s="3"/>
      <c r="J151" s="3"/>
    </row>
    <row r="152" spans="2:10" x14ac:dyDescent="0.2">
      <c r="B152" s="186" t="s">
        <v>3228</v>
      </c>
      <c r="C152" s="186" t="s">
        <v>63</v>
      </c>
      <c r="D152" s="187" t="s">
        <v>3229</v>
      </c>
      <c r="E152" s="186"/>
      <c r="F152" s="186"/>
      <c r="G152" s="186"/>
      <c r="H152" s="3"/>
      <c r="I152" s="3"/>
      <c r="J152" s="3"/>
    </row>
    <row r="153" spans="2:10" ht="27" x14ac:dyDescent="0.2">
      <c r="B153" s="186" t="s">
        <v>3230</v>
      </c>
      <c r="C153" s="186" t="s">
        <v>64</v>
      </c>
      <c r="D153" s="187" t="s">
        <v>2081</v>
      </c>
      <c r="E153" s="186"/>
      <c r="F153" s="186"/>
      <c r="G153" s="186"/>
      <c r="H153" s="3"/>
      <c r="I153" s="3"/>
      <c r="J153" s="3"/>
    </row>
    <row r="154" spans="2:10" ht="27" x14ac:dyDescent="0.2">
      <c r="B154" s="186" t="s">
        <v>3223</v>
      </c>
      <c r="C154" s="186" t="s">
        <v>65</v>
      </c>
      <c r="D154" s="187" t="s">
        <v>3224</v>
      </c>
      <c r="E154" s="186"/>
      <c r="F154" s="186"/>
      <c r="G154" s="186"/>
      <c r="H154" s="3"/>
      <c r="I154" s="3"/>
      <c r="J154" s="3"/>
    </row>
    <row r="155" spans="2:10" x14ac:dyDescent="0.2">
      <c r="B155" s="79" t="s">
        <v>3231</v>
      </c>
      <c r="C155" s="79">
        <v>25</v>
      </c>
      <c r="D155" s="80" t="s">
        <v>3232</v>
      </c>
      <c r="E155" s="81">
        <v>2</v>
      </c>
      <c r="F155" s="79"/>
      <c r="G155" s="79" t="str">
        <f>IF(F155&lt;&gt;"", IF(E155=F155, "O", "X"), "")</f>
        <v/>
      </c>
      <c r="H155" s="3"/>
      <c r="I155" s="3"/>
      <c r="J155" s="3"/>
    </row>
    <row r="156" spans="2:10" ht="27" x14ac:dyDescent="0.2">
      <c r="B156" s="186" t="s">
        <v>3235</v>
      </c>
      <c r="C156" s="186" t="s">
        <v>61</v>
      </c>
      <c r="D156" s="187" t="s">
        <v>3236</v>
      </c>
      <c r="E156" s="186"/>
      <c r="F156" s="186"/>
      <c r="G156" s="186"/>
      <c r="H156" s="3"/>
      <c r="I156" s="3"/>
      <c r="J156" s="3"/>
    </row>
    <row r="157" spans="2:10" ht="27" x14ac:dyDescent="0.2">
      <c r="B157" s="186" t="s">
        <v>3233</v>
      </c>
      <c r="C157" s="186" t="s">
        <v>62</v>
      </c>
      <c r="D157" s="187" t="s">
        <v>3234</v>
      </c>
      <c r="E157" s="186"/>
      <c r="F157" s="186"/>
      <c r="G157" s="186"/>
      <c r="H157" s="3"/>
      <c r="I157" s="3"/>
      <c r="J157" s="3"/>
    </row>
    <row r="158" spans="2:10" x14ac:dyDescent="0.2">
      <c r="B158" s="186" t="s">
        <v>3239</v>
      </c>
      <c r="C158" s="186" t="s">
        <v>63</v>
      </c>
      <c r="D158" s="187" t="s">
        <v>3240</v>
      </c>
      <c r="E158" s="186"/>
      <c r="F158" s="186"/>
      <c r="G158" s="186"/>
      <c r="H158" s="3"/>
      <c r="I158" s="3"/>
      <c r="J158" s="3"/>
    </row>
    <row r="159" spans="2:10" x14ac:dyDescent="0.2">
      <c r="B159" s="186" t="s">
        <v>3237</v>
      </c>
      <c r="C159" s="186" t="s">
        <v>64</v>
      </c>
      <c r="D159" s="187" t="s">
        <v>3238</v>
      </c>
      <c r="E159" s="186"/>
      <c r="F159" s="186"/>
      <c r="G159" s="186"/>
      <c r="H159" s="3"/>
      <c r="I159" s="3"/>
      <c r="J159" s="3"/>
    </row>
    <row r="160" spans="2:10" x14ac:dyDescent="0.2">
      <c r="B160" s="186" t="s">
        <v>3241</v>
      </c>
      <c r="C160" s="186" t="s">
        <v>65</v>
      </c>
      <c r="D160" s="187" t="s">
        <v>3242</v>
      </c>
      <c r="E160" s="186"/>
      <c r="F160" s="186"/>
      <c r="G160" s="186"/>
      <c r="H160" s="3"/>
      <c r="I160" s="3"/>
      <c r="J160" s="3"/>
    </row>
    <row r="161" spans="2:10" x14ac:dyDescent="0.2">
      <c r="B161" s="79" t="s">
        <v>3243</v>
      </c>
      <c r="C161" s="79">
        <v>26</v>
      </c>
      <c r="D161" s="80" t="s">
        <v>3244</v>
      </c>
      <c r="E161" s="81">
        <v>2</v>
      </c>
      <c r="F161" s="79"/>
      <c r="G161" s="79" t="str">
        <f>IF(F161&lt;&gt;"", IF(E161=F161, "O", "X"), "")</f>
        <v/>
      </c>
      <c r="H161" s="3"/>
      <c r="I161" s="3"/>
      <c r="J161" s="3"/>
    </row>
    <row r="162" spans="2:10" x14ac:dyDescent="0.2">
      <c r="B162" s="186" t="s">
        <v>3245</v>
      </c>
      <c r="C162" s="186" t="s">
        <v>61</v>
      </c>
      <c r="D162" s="187" t="s">
        <v>961</v>
      </c>
      <c r="E162" s="186"/>
      <c r="F162" s="186"/>
      <c r="G162" s="186"/>
      <c r="H162" s="3"/>
      <c r="I162" s="3"/>
      <c r="J162" s="3"/>
    </row>
    <row r="163" spans="2:10" x14ac:dyDescent="0.2">
      <c r="B163" s="186" t="s">
        <v>3252</v>
      </c>
      <c r="C163" s="186" t="s">
        <v>62</v>
      </c>
      <c r="D163" s="187" t="s">
        <v>2199</v>
      </c>
      <c r="E163" s="186"/>
      <c r="F163" s="186"/>
      <c r="G163" s="186"/>
      <c r="H163" s="3"/>
      <c r="I163" s="3"/>
      <c r="J163" s="3"/>
    </row>
    <row r="164" spans="2:10" x14ac:dyDescent="0.2">
      <c r="B164" s="186" t="s">
        <v>3250</v>
      </c>
      <c r="C164" s="186" t="s">
        <v>63</v>
      </c>
      <c r="D164" s="187" t="s">
        <v>3251</v>
      </c>
      <c r="E164" s="186"/>
      <c r="F164" s="186"/>
      <c r="G164" s="186"/>
      <c r="H164" s="3"/>
      <c r="I164" s="3"/>
      <c r="J164" s="3"/>
    </row>
    <row r="165" spans="2:10" x14ac:dyDescent="0.2">
      <c r="B165" s="186" t="s">
        <v>3248</v>
      </c>
      <c r="C165" s="186" t="s">
        <v>64</v>
      </c>
      <c r="D165" s="187" t="s">
        <v>3249</v>
      </c>
      <c r="E165" s="186"/>
      <c r="F165" s="186"/>
      <c r="G165" s="186"/>
      <c r="H165" s="3"/>
      <c r="I165" s="3"/>
      <c r="J165" s="3"/>
    </row>
    <row r="166" spans="2:10" x14ac:dyDescent="0.2">
      <c r="B166" s="186" t="s">
        <v>3246</v>
      </c>
      <c r="C166" s="186" t="s">
        <v>65</v>
      </c>
      <c r="D166" s="187" t="s">
        <v>3247</v>
      </c>
      <c r="E166" s="186"/>
      <c r="F166" s="186"/>
      <c r="G166" s="186"/>
      <c r="H166" s="3"/>
      <c r="I166" s="3"/>
      <c r="J166" s="3"/>
    </row>
    <row r="167" spans="2:10" x14ac:dyDescent="0.2">
      <c r="B167" s="79" t="s">
        <v>3253</v>
      </c>
      <c r="C167" s="79">
        <v>27</v>
      </c>
      <c r="D167" s="80" t="s">
        <v>3254</v>
      </c>
      <c r="E167" s="81"/>
      <c r="F167" s="79"/>
      <c r="G167" s="79" t="str">
        <f>IF(F167&lt;&gt;"", IF(E167=F167, "O", "X"), "")</f>
        <v/>
      </c>
      <c r="H167" s="3"/>
      <c r="I167" s="3"/>
      <c r="J167" s="3"/>
    </row>
    <row r="168" spans="2:10" x14ac:dyDescent="0.2">
      <c r="B168" s="186" t="s">
        <v>3255</v>
      </c>
      <c r="C168" s="186" t="s">
        <v>61</v>
      </c>
      <c r="D168" s="187" t="s">
        <v>3256</v>
      </c>
      <c r="E168" s="186"/>
      <c r="F168" s="186"/>
      <c r="G168" s="186"/>
      <c r="H168" s="3"/>
      <c r="I168" s="3"/>
      <c r="J168" s="3"/>
    </row>
    <row r="169" spans="2:10" x14ac:dyDescent="0.2">
      <c r="B169" s="186" t="s">
        <v>3258</v>
      </c>
      <c r="C169" s="186" t="s">
        <v>62</v>
      </c>
      <c r="D169" s="187" t="s">
        <v>490</v>
      </c>
      <c r="E169" s="186"/>
      <c r="F169" s="186"/>
      <c r="G169" s="186"/>
      <c r="H169" s="3"/>
      <c r="I169" s="3"/>
      <c r="J169" s="3"/>
    </row>
    <row r="170" spans="2:10" x14ac:dyDescent="0.2">
      <c r="B170" s="186" t="s">
        <v>3260</v>
      </c>
      <c r="C170" s="186" t="s">
        <v>63</v>
      </c>
      <c r="D170" s="187" t="s">
        <v>885</v>
      </c>
      <c r="E170" s="186"/>
      <c r="F170" s="186"/>
      <c r="G170" s="186"/>
      <c r="H170" s="3"/>
      <c r="I170" s="3"/>
      <c r="J170" s="3"/>
    </row>
    <row r="171" spans="2:10" x14ac:dyDescent="0.2">
      <c r="B171" s="186" t="s">
        <v>3257</v>
      </c>
      <c r="C171" s="186" t="s">
        <v>64</v>
      </c>
      <c r="D171" s="187" t="s">
        <v>2783</v>
      </c>
      <c r="E171" s="186"/>
      <c r="F171" s="186"/>
      <c r="G171" s="186"/>
      <c r="H171" s="3"/>
      <c r="I171" s="3"/>
      <c r="J171" s="3"/>
    </row>
    <row r="172" spans="2:10" x14ac:dyDescent="0.2">
      <c r="B172" s="186" t="s">
        <v>3259</v>
      </c>
      <c r="C172" s="186" t="s">
        <v>65</v>
      </c>
      <c r="D172" s="187" t="s">
        <v>2784</v>
      </c>
      <c r="E172" s="186"/>
      <c r="F172" s="186"/>
      <c r="G172" s="186"/>
      <c r="H172" s="3"/>
      <c r="I172" s="3"/>
      <c r="J172" s="3"/>
    </row>
    <row r="173" spans="2:10" x14ac:dyDescent="0.2">
      <c r="B173" s="79" t="s">
        <v>3261</v>
      </c>
      <c r="C173" s="79">
        <v>28</v>
      </c>
      <c r="D173" s="80" t="s">
        <v>3262</v>
      </c>
      <c r="E173" s="81"/>
      <c r="F173" s="79"/>
      <c r="G173" s="79" t="str">
        <f>IF(F173&lt;&gt;"", IF(E173=F173, "O", "X"), "")</f>
        <v/>
      </c>
      <c r="H173" s="3"/>
      <c r="I173" s="3"/>
      <c r="J173" s="3"/>
    </row>
    <row r="174" spans="2:10" x14ac:dyDescent="0.2">
      <c r="B174" s="186" t="s">
        <v>3263</v>
      </c>
      <c r="C174" s="186" t="s">
        <v>61</v>
      </c>
      <c r="D174" s="187" t="s">
        <v>2785</v>
      </c>
      <c r="E174" s="186"/>
      <c r="F174" s="186"/>
      <c r="G174" s="186"/>
      <c r="H174" s="3"/>
      <c r="I174" s="3"/>
      <c r="J174" s="3"/>
    </row>
    <row r="175" spans="2:10" x14ac:dyDescent="0.2">
      <c r="B175" s="186" t="s">
        <v>3264</v>
      </c>
      <c r="C175" s="186" t="s">
        <v>62</v>
      </c>
      <c r="D175" s="187" t="s">
        <v>3265</v>
      </c>
      <c r="E175" s="186"/>
      <c r="F175" s="186"/>
      <c r="G175" s="186"/>
      <c r="H175" s="3"/>
      <c r="I175" s="3"/>
      <c r="J175" s="3"/>
    </row>
    <row r="176" spans="2:10" x14ac:dyDescent="0.2">
      <c r="B176" s="186" t="s">
        <v>3270</v>
      </c>
      <c r="C176" s="186" t="s">
        <v>63</v>
      </c>
      <c r="D176" s="187" t="s">
        <v>3271</v>
      </c>
      <c r="E176" s="186"/>
      <c r="F176" s="186"/>
      <c r="G176" s="186"/>
      <c r="H176" s="3"/>
      <c r="I176" s="3"/>
      <c r="J176" s="3"/>
    </row>
    <row r="177" spans="2:10" x14ac:dyDescent="0.2">
      <c r="B177" s="186" t="s">
        <v>3266</v>
      </c>
      <c r="C177" s="186" t="s">
        <v>64</v>
      </c>
      <c r="D177" s="187" t="s">
        <v>3267</v>
      </c>
      <c r="E177" s="186"/>
      <c r="F177" s="186"/>
      <c r="G177" s="186"/>
      <c r="H177" s="3"/>
      <c r="I177" s="3"/>
      <c r="J177" s="3"/>
    </row>
    <row r="178" spans="2:10" x14ac:dyDescent="0.2">
      <c r="B178" s="186" t="s">
        <v>3268</v>
      </c>
      <c r="C178" s="186" t="s">
        <v>65</v>
      </c>
      <c r="D178" s="187" t="s">
        <v>3269</v>
      </c>
      <c r="E178" s="186"/>
      <c r="F178" s="186"/>
      <c r="G178" s="186"/>
      <c r="H178" s="3"/>
      <c r="I178" s="3"/>
      <c r="J178" s="3"/>
    </row>
    <row r="179" spans="2:10" ht="40.5" x14ac:dyDescent="0.2">
      <c r="B179" s="79" t="s">
        <v>3272</v>
      </c>
      <c r="C179" s="79">
        <v>29</v>
      </c>
      <c r="D179" s="80" t="s">
        <v>3273</v>
      </c>
      <c r="E179" s="81"/>
      <c r="F179" s="79"/>
      <c r="G179" s="79" t="str">
        <f>IF(F179&lt;&gt;"", IF(E179=F179, "O", "X"), "")</f>
        <v/>
      </c>
      <c r="H179" s="3"/>
      <c r="I179" s="3"/>
      <c r="J179" s="3"/>
    </row>
    <row r="180" spans="2:10" x14ac:dyDescent="0.2">
      <c r="B180" s="186" t="s">
        <v>3278</v>
      </c>
      <c r="C180" s="186" t="s">
        <v>61</v>
      </c>
      <c r="D180" s="187" t="s">
        <v>3279</v>
      </c>
      <c r="E180" s="186"/>
      <c r="F180" s="186"/>
      <c r="G180" s="186"/>
      <c r="H180" s="3"/>
      <c r="I180" s="3"/>
      <c r="J180" s="3"/>
    </row>
    <row r="181" spans="2:10" x14ac:dyDescent="0.2">
      <c r="B181" s="186" t="s">
        <v>3280</v>
      </c>
      <c r="C181" s="186" t="s">
        <v>62</v>
      </c>
      <c r="D181" s="187" t="s">
        <v>3281</v>
      </c>
      <c r="E181" s="186"/>
      <c r="F181" s="186"/>
      <c r="G181" s="186"/>
      <c r="H181" s="3"/>
      <c r="I181" s="3"/>
      <c r="J181" s="3"/>
    </row>
    <row r="182" spans="2:10" x14ac:dyDescent="0.2">
      <c r="B182" s="186" t="s">
        <v>3276</v>
      </c>
      <c r="C182" s="186" t="s">
        <v>63</v>
      </c>
      <c r="D182" s="187" t="s">
        <v>3277</v>
      </c>
      <c r="E182" s="186"/>
      <c r="F182" s="186"/>
      <c r="G182" s="186"/>
      <c r="H182" s="3"/>
      <c r="I182" s="3"/>
      <c r="J182" s="3"/>
    </row>
    <row r="183" spans="2:10" x14ac:dyDescent="0.2">
      <c r="B183" s="186" t="s">
        <v>3282</v>
      </c>
      <c r="C183" s="186" t="s">
        <v>64</v>
      </c>
      <c r="D183" s="187" t="s">
        <v>3283</v>
      </c>
      <c r="E183" s="186"/>
      <c r="F183" s="186"/>
      <c r="G183" s="186"/>
      <c r="H183" s="3"/>
      <c r="I183" s="3"/>
      <c r="J183" s="3"/>
    </row>
    <row r="184" spans="2:10" x14ac:dyDescent="0.2">
      <c r="B184" s="186" t="s">
        <v>3274</v>
      </c>
      <c r="C184" s="186" t="s">
        <v>65</v>
      </c>
      <c r="D184" s="187" t="s">
        <v>3275</v>
      </c>
      <c r="E184" s="186"/>
      <c r="F184" s="186"/>
      <c r="G184" s="186"/>
      <c r="H184" s="3"/>
      <c r="I184" s="3"/>
      <c r="J184" s="3"/>
    </row>
    <row r="185" spans="2:10" x14ac:dyDescent="0.2">
      <c r="B185" s="79" t="s">
        <v>3284</v>
      </c>
      <c r="C185" s="79">
        <v>30</v>
      </c>
      <c r="D185" s="80" t="s">
        <v>194</v>
      </c>
      <c r="E185" s="81"/>
      <c r="F185" s="79"/>
      <c r="G185" s="79" t="str">
        <f>IF(F185&lt;&gt;"", IF(E185=F185, "O", "X"), "")</f>
        <v/>
      </c>
      <c r="H185" s="3"/>
      <c r="I185" s="3"/>
      <c r="J185" s="3"/>
    </row>
    <row r="186" spans="2:10" x14ac:dyDescent="0.2">
      <c r="B186" s="186" t="s">
        <v>3289</v>
      </c>
      <c r="C186" s="186" t="s">
        <v>61</v>
      </c>
      <c r="D186" s="187" t="s">
        <v>593</v>
      </c>
      <c r="E186" s="186"/>
      <c r="F186" s="186"/>
      <c r="G186" s="186"/>
      <c r="H186" s="3"/>
      <c r="I186" s="3"/>
      <c r="J186" s="3"/>
    </row>
    <row r="187" spans="2:10" x14ac:dyDescent="0.2">
      <c r="B187" s="186" t="s">
        <v>3290</v>
      </c>
      <c r="C187" s="186" t="s">
        <v>62</v>
      </c>
      <c r="D187" s="187" t="s">
        <v>3291</v>
      </c>
      <c r="E187" s="186"/>
      <c r="F187" s="186"/>
      <c r="G187" s="186"/>
      <c r="H187" s="3"/>
      <c r="I187" s="3"/>
      <c r="J187" s="3"/>
    </row>
    <row r="188" spans="2:10" x14ac:dyDescent="0.2">
      <c r="B188" s="186" t="s">
        <v>3292</v>
      </c>
      <c r="C188" s="186" t="s">
        <v>63</v>
      </c>
      <c r="D188" s="187" t="s">
        <v>3293</v>
      </c>
      <c r="E188" s="186"/>
      <c r="F188" s="186"/>
      <c r="G188" s="186"/>
      <c r="H188" s="3"/>
      <c r="I188" s="3"/>
      <c r="J188" s="3"/>
    </row>
    <row r="189" spans="2:10" ht="27" x14ac:dyDescent="0.2">
      <c r="B189" s="186" t="s">
        <v>3285</v>
      </c>
      <c r="C189" s="186" t="s">
        <v>64</v>
      </c>
      <c r="D189" s="187" t="s">
        <v>3286</v>
      </c>
      <c r="E189" s="186"/>
      <c r="F189" s="186"/>
      <c r="G189" s="186"/>
      <c r="H189" s="3"/>
      <c r="I189" s="3"/>
      <c r="J189" s="3"/>
    </row>
    <row r="190" spans="2:10" x14ac:dyDescent="0.2">
      <c r="B190" s="186" t="s">
        <v>3287</v>
      </c>
      <c r="C190" s="186" t="s">
        <v>65</v>
      </c>
      <c r="D190" s="187" t="s">
        <v>3288</v>
      </c>
      <c r="E190" s="186"/>
      <c r="F190" s="186"/>
      <c r="G190" s="186"/>
      <c r="H190" s="3"/>
      <c r="I190" s="3"/>
      <c r="J190" s="3"/>
    </row>
    <row r="191" spans="2:10" ht="40.5" x14ac:dyDescent="0.2">
      <c r="B191" s="79" t="s">
        <v>3294</v>
      </c>
      <c r="C191" s="79">
        <v>31</v>
      </c>
      <c r="D191" s="80" t="s">
        <v>3295</v>
      </c>
      <c r="E191" s="81"/>
      <c r="F191" s="79"/>
      <c r="G191" s="79" t="str">
        <f>IF(F191&lt;&gt;"", IF(E191=F191, "O", "X"), "")</f>
        <v/>
      </c>
      <c r="H191" s="3"/>
      <c r="I191" s="3"/>
      <c r="J191" s="3"/>
    </row>
    <row r="192" spans="2:10" x14ac:dyDescent="0.2">
      <c r="B192" s="186" t="s">
        <v>3300</v>
      </c>
      <c r="C192" s="186" t="s">
        <v>61</v>
      </c>
      <c r="D192" s="187">
        <v>2</v>
      </c>
      <c r="E192" s="186"/>
      <c r="F192" s="186"/>
      <c r="G192" s="186"/>
      <c r="H192" s="3"/>
      <c r="I192" s="3"/>
      <c r="J192" s="3"/>
    </row>
    <row r="193" spans="2:10" x14ac:dyDescent="0.2">
      <c r="B193" s="186" t="s">
        <v>3299</v>
      </c>
      <c r="C193" s="186" t="s">
        <v>62</v>
      </c>
      <c r="D193" s="187">
        <v>3</v>
      </c>
      <c r="E193" s="186"/>
      <c r="F193" s="186"/>
      <c r="G193" s="186"/>
      <c r="H193" s="3"/>
      <c r="I193" s="3"/>
      <c r="J193" s="3"/>
    </row>
    <row r="194" spans="2:10" x14ac:dyDescent="0.2">
      <c r="B194" s="186" t="s">
        <v>3298</v>
      </c>
      <c r="C194" s="186" t="s">
        <v>63</v>
      </c>
      <c r="D194" s="187">
        <v>4</v>
      </c>
      <c r="E194" s="186"/>
      <c r="F194" s="186"/>
      <c r="G194" s="186"/>
      <c r="H194" s="3"/>
      <c r="I194" s="3"/>
      <c r="J194" s="3"/>
    </row>
    <row r="195" spans="2:10" x14ac:dyDescent="0.2">
      <c r="B195" s="186" t="s">
        <v>3297</v>
      </c>
      <c r="C195" s="186" t="s">
        <v>64</v>
      </c>
      <c r="D195" s="187">
        <v>5</v>
      </c>
      <c r="E195" s="186"/>
      <c r="F195" s="186"/>
      <c r="G195" s="186"/>
      <c r="H195" s="3"/>
      <c r="I195" s="3"/>
      <c r="J195" s="3"/>
    </row>
    <row r="196" spans="2:10" x14ac:dyDescent="0.2">
      <c r="B196" s="186" t="s">
        <v>3296</v>
      </c>
      <c r="C196" s="186" t="s">
        <v>65</v>
      </c>
      <c r="D196" s="187">
        <v>6</v>
      </c>
      <c r="E196" s="186"/>
      <c r="F196" s="186"/>
      <c r="G196" s="186"/>
      <c r="H196" s="3"/>
      <c r="I196" s="3"/>
      <c r="J196" s="3"/>
    </row>
    <row r="197" spans="2:10" ht="67.5" x14ac:dyDescent="0.2">
      <c r="B197" s="79" t="s">
        <v>3301</v>
      </c>
      <c r="C197" s="79">
        <v>32</v>
      </c>
      <c r="D197" s="80" t="s">
        <v>3302</v>
      </c>
      <c r="E197" s="81"/>
      <c r="F197" s="79"/>
      <c r="G197" s="79" t="str">
        <f>IF(F197&lt;&gt;"", IF(E197=F197, "O", "X"), "")</f>
        <v/>
      </c>
      <c r="H197" s="3"/>
      <c r="I197" s="3"/>
      <c r="J197" s="3"/>
    </row>
    <row r="198" spans="2:10" x14ac:dyDescent="0.2">
      <c r="B198" s="186" t="s">
        <v>3306</v>
      </c>
      <c r="C198" s="186" t="s">
        <v>61</v>
      </c>
      <c r="D198" s="187" t="s">
        <v>21</v>
      </c>
      <c r="E198" s="186"/>
      <c r="F198" s="186"/>
      <c r="G198" s="186"/>
      <c r="H198" s="3"/>
      <c r="I198" s="3"/>
      <c r="J198" s="3"/>
    </row>
    <row r="199" spans="2:10" x14ac:dyDescent="0.2">
      <c r="B199" s="186" t="s">
        <v>3303</v>
      </c>
      <c r="C199" s="186" t="s">
        <v>62</v>
      </c>
      <c r="D199" s="187" t="s">
        <v>38</v>
      </c>
      <c r="E199" s="186"/>
      <c r="F199" s="186"/>
      <c r="G199" s="186"/>
      <c r="H199" s="3"/>
      <c r="I199" s="3"/>
      <c r="J199" s="3"/>
    </row>
    <row r="200" spans="2:10" x14ac:dyDescent="0.2">
      <c r="B200" s="186" t="s">
        <v>3304</v>
      </c>
      <c r="C200" s="186" t="s">
        <v>63</v>
      </c>
      <c r="D200" s="187" t="s">
        <v>32</v>
      </c>
      <c r="E200" s="186"/>
      <c r="F200" s="186"/>
      <c r="G200" s="186"/>
      <c r="H200" s="3"/>
      <c r="I200" s="3"/>
      <c r="J200" s="3"/>
    </row>
    <row r="201" spans="2:10" x14ac:dyDescent="0.2">
      <c r="B201" s="186" t="s">
        <v>3305</v>
      </c>
      <c r="C201" s="186" t="s">
        <v>64</v>
      </c>
      <c r="D201" s="187" t="s">
        <v>39</v>
      </c>
      <c r="E201" s="186"/>
      <c r="F201" s="186"/>
      <c r="G201" s="186"/>
      <c r="H201" s="3"/>
      <c r="I201" s="3"/>
      <c r="J201" s="3"/>
    </row>
    <row r="202" spans="2:10" x14ac:dyDescent="0.2">
      <c r="B202" s="186" t="s">
        <v>3307</v>
      </c>
      <c r="C202" s="186" t="s">
        <v>65</v>
      </c>
      <c r="D202" s="187" t="s">
        <v>49</v>
      </c>
      <c r="E202" s="186"/>
      <c r="F202" s="186"/>
      <c r="G202" s="186"/>
      <c r="H202" s="3"/>
      <c r="I202" s="3"/>
      <c r="J202" s="3"/>
    </row>
    <row r="203" spans="2:10" x14ac:dyDescent="0.2">
      <c r="B203" s="79" t="s">
        <v>3308</v>
      </c>
      <c r="C203" s="79">
        <v>33</v>
      </c>
      <c r="D203" s="80" t="s">
        <v>138</v>
      </c>
      <c r="E203" s="81"/>
      <c r="F203" s="79"/>
      <c r="G203" s="79" t="str">
        <f>IF(F203&lt;&gt;"", IF(E203=F203, "O", "X"), "")</f>
        <v/>
      </c>
      <c r="H203" s="3"/>
      <c r="I203" s="3"/>
      <c r="J203" s="3"/>
    </row>
    <row r="204" spans="2:10" x14ac:dyDescent="0.2">
      <c r="B204" s="186" t="s">
        <v>3312</v>
      </c>
      <c r="C204" s="186" t="s">
        <v>61</v>
      </c>
      <c r="D204" s="187" t="s">
        <v>3313</v>
      </c>
      <c r="E204" s="186"/>
      <c r="F204" s="186"/>
      <c r="G204" s="186"/>
      <c r="H204" s="3"/>
      <c r="I204" s="3"/>
      <c r="J204" s="3"/>
    </row>
    <row r="205" spans="2:10" x14ac:dyDescent="0.2">
      <c r="B205" s="186" t="s">
        <v>3316</v>
      </c>
      <c r="C205" s="186" t="s">
        <v>62</v>
      </c>
      <c r="D205" s="187" t="s">
        <v>2786</v>
      </c>
      <c r="E205" s="186"/>
      <c r="F205" s="186"/>
      <c r="G205" s="186"/>
      <c r="H205" s="3"/>
      <c r="I205" s="3"/>
      <c r="J205" s="3"/>
    </row>
    <row r="206" spans="2:10" x14ac:dyDescent="0.2">
      <c r="B206" s="186" t="s">
        <v>3314</v>
      </c>
      <c r="C206" s="186" t="s">
        <v>63</v>
      </c>
      <c r="D206" s="187" t="s">
        <v>3315</v>
      </c>
      <c r="E206" s="186"/>
      <c r="F206" s="186"/>
      <c r="G206" s="186"/>
      <c r="H206" s="3"/>
      <c r="I206" s="3"/>
      <c r="J206" s="3"/>
    </row>
    <row r="207" spans="2:10" x14ac:dyDescent="0.2">
      <c r="B207" s="186" t="s">
        <v>3309</v>
      </c>
      <c r="C207" s="186" t="s">
        <v>64</v>
      </c>
      <c r="D207" s="187" t="s">
        <v>1276</v>
      </c>
      <c r="E207" s="186"/>
      <c r="F207" s="186"/>
      <c r="G207" s="186"/>
      <c r="H207" s="3"/>
      <c r="I207" s="3"/>
      <c r="J207" s="3"/>
    </row>
    <row r="208" spans="2:10" x14ac:dyDescent="0.2">
      <c r="B208" s="186" t="s">
        <v>3310</v>
      </c>
      <c r="C208" s="186" t="s">
        <v>65</v>
      </c>
      <c r="D208" s="187" t="s">
        <v>3311</v>
      </c>
      <c r="E208" s="186"/>
      <c r="F208" s="186"/>
      <c r="G208" s="186"/>
      <c r="H208" s="3"/>
      <c r="I208" s="3"/>
      <c r="J208" s="3"/>
    </row>
    <row r="209" spans="2:10" x14ac:dyDescent="0.2">
      <c r="B209" s="79" t="s">
        <v>3317</v>
      </c>
      <c r="C209" s="79">
        <v>34</v>
      </c>
      <c r="D209" s="80" t="s">
        <v>3318</v>
      </c>
      <c r="E209" s="81"/>
      <c r="F209" s="79"/>
      <c r="G209" s="79" t="str">
        <f>IF(F209&lt;&gt;"", IF(E209=F209, "O", "X"), "")</f>
        <v/>
      </c>
      <c r="H209" s="3"/>
      <c r="I209" s="3"/>
      <c r="J209" s="3"/>
    </row>
    <row r="210" spans="2:10" x14ac:dyDescent="0.2">
      <c r="B210" s="186" t="s">
        <v>3325</v>
      </c>
      <c r="C210" s="186" t="s">
        <v>61</v>
      </c>
      <c r="D210" s="187" t="s">
        <v>3326</v>
      </c>
      <c r="E210" s="186"/>
      <c r="F210" s="186"/>
      <c r="G210" s="186"/>
      <c r="H210" s="3"/>
      <c r="I210" s="3"/>
      <c r="J210" s="3"/>
    </row>
    <row r="211" spans="2:10" x14ac:dyDescent="0.2">
      <c r="B211" s="186" t="s">
        <v>3319</v>
      </c>
      <c r="C211" s="186" t="s">
        <v>62</v>
      </c>
      <c r="D211" s="187" t="s">
        <v>3320</v>
      </c>
      <c r="E211" s="186"/>
      <c r="F211" s="186"/>
      <c r="G211" s="186"/>
      <c r="H211" s="3"/>
      <c r="I211" s="3"/>
      <c r="J211" s="3"/>
    </row>
    <row r="212" spans="2:10" ht="27" x14ac:dyDescent="0.2">
      <c r="B212" s="186" t="s">
        <v>3327</v>
      </c>
      <c r="C212" s="186" t="s">
        <v>63</v>
      </c>
      <c r="D212" s="187" t="s">
        <v>3328</v>
      </c>
      <c r="E212" s="186"/>
      <c r="F212" s="186"/>
      <c r="G212" s="186"/>
      <c r="H212" s="3"/>
      <c r="I212" s="3"/>
      <c r="J212" s="3"/>
    </row>
    <row r="213" spans="2:10" ht="27" x14ac:dyDescent="0.2">
      <c r="B213" s="186" t="s">
        <v>3323</v>
      </c>
      <c r="C213" s="186" t="s">
        <v>64</v>
      </c>
      <c r="D213" s="187" t="s">
        <v>3324</v>
      </c>
      <c r="E213" s="186"/>
      <c r="F213" s="186"/>
      <c r="G213" s="186"/>
      <c r="H213" s="3"/>
      <c r="I213" s="3"/>
      <c r="J213" s="3"/>
    </row>
    <row r="214" spans="2:10" x14ac:dyDescent="0.2">
      <c r="B214" s="186" t="s">
        <v>3321</v>
      </c>
      <c r="C214" s="186" t="s">
        <v>65</v>
      </c>
      <c r="D214" s="187" t="s">
        <v>3322</v>
      </c>
      <c r="E214" s="186"/>
      <c r="F214" s="186"/>
      <c r="G214" s="186"/>
      <c r="H214" s="3"/>
      <c r="I214" s="3"/>
      <c r="J214" s="3"/>
    </row>
    <row r="215" spans="2:10" x14ac:dyDescent="0.2">
      <c r="B215" s="79" t="s">
        <v>3329</v>
      </c>
      <c r="C215" s="79">
        <v>35</v>
      </c>
      <c r="D215" s="80" t="s">
        <v>147</v>
      </c>
      <c r="E215" s="81"/>
      <c r="F215" s="79"/>
      <c r="G215" s="79" t="str">
        <f>IF(F215&lt;&gt;"", IF(E215=F215, "O", "X"), "")</f>
        <v/>
      </c>
      <c r="H215" s="3"/>
      <c r="I215" s="3"/>
      <c r="J215" s="3"/>
    </row>
    <row r="216" spans="2:10" ht="27" x14ac:dyDescent="0.2">
      <c r="B216" s="186" t="s">
        <v>3338</v>
      </c>
      <c r="C216" s="186" t="s">
        <v>61</v>
      </c>
      <c r="D216" s="187" t="s">
        <v>3339</v>
      </c>
      <c r="E216" s="186"/>
      <c r="F216" s="186"/>
      <c r="G216" s="186"/>
      <c r="H216" s="3"/>
      <c r="I216" s="3"/>
      <c r="J216" s="3"/>
    </row>
    <row r="217" spans="2:10" ht="27" x14ac:dyDescent="0.2">
      <c r="B217" s="186" t="s">
        <v>3330</v>
      </c>
      <c r="C217" s="186" t="s">
        <v>62</v>
      </c>
      <c r="D217" s="187" t="s">
        <v>3331</v>
      </c>
      <c r="E217" s="186"/>
      <c r="F217" s="186"/>
      <c r="G217" s="186"/>
      <c r="H217" s="3"/>
      <c r="I217" s="3"/>
      <c r="J217" s="3"/>
    </row>
    <row r="218" spans="2:10" x14ac:dyDescent="0.2">
      <c r="B218" s="186" t="s">
        <v>3334</v>
      </c>
      <c r="C218" s="186" t="s">
        <v>63</v>
      </c>
      <c r="D218" s="187" t="s">
        <v>3335</v>
      </c>
      <c r="E218" s="186"/>
      <c r="F218" s="186"/>
      <c r="G218" s="186"/>
      <c r="H218" s="3"/>
      <c r="I218" s="3"/>
      <c r="J218" s="3"/>
    </row>
    <row r="219" spans="2:10" ht="27" x14ac:dyDescent="0.2">
      <c r="B219" s="186" t="s">
        <v>3332</v>
      </c>
      <c r="C219" s="186" t="s">
        <v>64</v>
      </c>
      <c r="D219" s="187" t="s">
        <v>3333</v>
      </c>
      <c r="E219" s="186"/>
      <c r="F219" s="186"/>
      <c r="G219" s="186"/>
      <c r="H219" s="3"/>
      <c r="I219" s="3"/>
      <c r="J219" s="3"/>
    </row>
    <row r="220" spans="2:10" x14ac:dyDescent="0.2">
      <c r="B220" s="186" t="s">
        <v>3336</v>
      </c>
      <c r="C220" s="186" t="s">
        <v>65</v>
      </c>
      <c r="D220" s="187" t="s">
        <v>3337</v>
      </c>
      <c r="E220" s="186"/>
      <c r="F220" s="186"/>
      <c r="G220" s="186"/>
      <c r="H220" s="3"/>
      <c r="I220" s="3"/>
      <c r="J220" s="3"/>
    </row>
    <row r="221" spans="2:10" x14ac:dyDescent="0.2">
      <c r="B221" s="79" t="s">
        <v>3340</v>
      </c>
      <c r="C221" s="79">
        <v>36</v>
      </c>
      <c r="D221" s="80" t="s">
        <v>146</v>
      </c>
      <c r="E221" s="81"/>
      <c r="F221" s="79"/>
      <c r="G221" s="79" t="str">
        <f>IF(F221&lt;&gt;"", IF(E221=F221, "O", "X"), "")</f>
        <v/>
      </c>
      <c r="H221" s="3"/>
      <c r="I221" s="3"/>
      <c r="J221" s="3"/>
    </row>
    <row r="222" spans="2:10" x14ac:dyDescent="0.2">
      <c r="B222" s="186" t="s">
        <v>3341</v>
      </c>
      <c r="C222" s="186" t="s">
        <v>61</v>
      </c>
      <c r="D222" s="187" t="s">
        <v>3342</v>
      </c>
      <c r="E222" s="186"/>
      <c r="F222" s="186"/>
      <c r="G222" s="186"/>
      <c r="H222" s="3"/>
      <c r="I222" s="3"/>
      <c r="J222" s="3"/>
    </row>
    <row r="223" spans="2:10" x14ac:dyDescent="0.2">
      <c r="B223" s="186" t="s">
        <v>3343</v>
      </c>
      <c r="C223" s="186" t="s">
        <v>62</v>
      </c>
      <c r="D223" s="187" t="s">
        <v>3344</v>
      </c>
      <c r="E223" s="186"/>
      <c r="F223" s="186"/>
      <c r="G223" s="186"/>
      <c r="H223" s="3"/>
      <c r="I223" s="3"/>
      <c r="J223" s="3"/>
    </row>
    <row r="224" spans="2:10" ht="27" x14ac:dyDescent="0.2">
      <c r="B224" s="186" t="s">
        <v>3347</v>
      </c>
      <c r="C224" s="186" t="s">
        <v>63</v>
      </c>
      <c r="D224" s="187" t="s">
        <v>1019</v>
      </c>
      <c r="E224" s="186"/>
      <c r="F224" s="186"/>
      <c r="G224" s="186"/>
      <c r="H224" s="3"/>
      <c r="I224" s="3"/>
      <c r="J224" s="3"/>
    </row>
    <row r="225" spans="2:10" ht="27" x14ac:dyDescent="0.2">
      <c r="B225" s="186" t="s">
        <v>3348</v>
      </c>
      <c r="C225" s="186" t="s">
        <v>64</v>
      </c>
      <c r="D225" s="187" t="s">
        <v>3349</v>
      </c>
      <c r="E225" s="186"/>
      <c r="F225" s="186"/>
      <c r="G225" s="186"/>
      <c r="H225" s="3"/>
      <c r="I225" s="3"/>
      <c r="J225" s="3"/>
    </row>
    <row r="226" spans="2:10" x14ac:dyDescent="0.2">
      <c r="B226" s="186" t="s">
        <v>3345</v>
      </c>
      <c r="C226" s="186" t="s">
        <v>65</v>
      </c>
      <c r="D226" s="187" t="s">
        <v>3346</v>
      </c>
      <c r="E226" s="186"/>
      <c r="F226" s="186"/>
      <c r="G226" s="186"/>
      <c r="H226" s="3"/>
      <c r="I226" s="3"/>
      <c r="J226" s="3"/>
    </row>
    <row r="227" spans="2:10" x14ac:dyDescent="0.2">
      <c r="B227" s="79" t="s">
        <v>3350</v>
      </c>
      <c r="C227" s="79">
        <v>37</v>
      </c>
      <c r="D227" s="80" t="s">
        <v>3351</v>
      </c>
      <c r="E227" s="81"/>
      <c r="F227" s="79"/>
      <c r="G227" s="79" t="str">
        <f>IF(F227&lt;&gt;"", IF(E227=F227, "O", "X"), "")</f>
        <v/>
      </c>
      <c r="H227" s="3"/>
      <c r="I227" s="3"/>
      <c r="J227" s="3"/>
    </row>
    <row r="228" spans="2:10" x14ac:dyDescent="0.2">
      <c r="B228" s="186" t="s">
        <v>3353</v>
      </c>
      <c r="C228" s="186" t="s">
        <v>61</v>
      </c>
      <c r="D228" s="187" t="s">
        <v>3354</v>
      </c>
      <c r="E228" s="186"/>
      <c r="F228" s="186"/>
      <c r="G228" s="186"/>
      <c r="H228" s="3"/>
      <c r="I228" s="3"/>
      <c r="J228" s="3"/>
    </row>
    <row r="229" spans="2:10" ht="27" x14ac:dyDescent="0.2">
      <c r="B229" s="186" t="s">
        <v>3356</v>
      </c>
      <c r="C229" s="186" t="s">
        <v>62</v>
      </c>
      <c r="D229" s="187" t="s">
        <v>3357</v>
      </c>
      <c r="E229" s="186"/>
      <c r="F229" s="186"/>
      <c r="G229" s="186"/>
      <c r="H229" s="3"/>
      <c r="I229" s="3"/>
      <c r="J229" s="3"/>
    </row>
    <row r="230" spans="2:10" ht="27" x14ac:dyDescent="0.2">
      <c r="B230" s="186" t="s">
        <v>3358</v>
      </c>
      <c r="C230" s="186" t="s">
        <v>63</v>
      </c>
      <c r="D230" s="187" t="s">
        <v>2787</v>
      </c>
      <c r="E230" s="186"/>
      <c r="F230" s="186"/>
      <c r="G230" s="186"/>
      <c r="H230" s="3"/>
      <c r="I230" s="3"/>
      <c r="J230" s="3"/>
    </row>
    <row r="231" spans="2:10" x14ac:dyDescent="0.2">
      <c r="B231" s="186" t="s">
        <v>3352</v>
      </c>
      <c r="C231" s="186" t="s">
        <v>64</v>
      </c>
      <c r="D231" s="187" t="s">
        <v>1056</v>
      </c>
      <c r="E231" s="186"/>
      <c r="F231" s="186"/>
      <c r="G231" s="186"/>
      <c r="H231" s="3"/>
      <c r="I231" s="3"/>
      <c r="J231" s="3"/>
    </row>
    <row r="232" spans="2:10" x14ac:dyDescent="0.2">
      <c r="B232" s="186" t="s">
        <v>3355</v>
      </c>
      <c r="C232" s="186" t="s">
        <v>65</v>
      </c>
      <c r="D232" s="187" t="s">
        <v>893</v>
      </c>
      <c r="E232" s="186"/>
      <c r="F232" s="186"/>
      <c r="G232" s="186"/>
      <c r="H232" s="3"/>
      <c r="I232" s="3"/>
      <c r="J232" s="3"/>
    </row>
    <row r="233" spans="2:10" x14ac:dyDescent="0.2">
      <c r="B233" s="79" t="s">
        <v>3359</v>
      </c>
      <c r="C233" s="79">
        <v>38</v>
      </c>
      <c r="D233" s="80" t="s">
        <v>3360</v>
      </c>
      <c r="E233" s="81"/>
      <c r="F233" s="79"/>
      <c r="G233" s="79" t="str">
        <f>IF(F233&lt;&gt;"", IF(E233=F233, "O", "X"), "")</f>
        <v/>
      </c>
      <c r="H233" s="3"/>
      <c r="I233" s="3"/>
      <c r="J233" s="3"/>
    </row>
    <row r="234" spans="2:10" x14ac:dyDescent="0.2">
      <c r="B234" s="186" t="s">
        <v>3363</v>
      </c>
      <c r="C234" s="186" t="s">
        <v>61</v>
      </c>
      <c r="D234" s="187" t="s">
        <v>3364</v>
      </c>
      <c r="E234" s="186"/>
      <c r="F234" s="186"/>
      <c r="G234" s="186"/>
      <c r="H234" s="3"/>
      <c r="I234" s="3"/>
      <c r="J234" s="3"/>
    </row>
    <row r="235" spans="2:10" ht="27" x14ac:dyDescent="0.2">
      <c r="B235" s="186" t="s">
        <v>3368</v>
      </c>
      <c r="C235" s="186" t="s">
        <v>62</v>
      </c>
      <c r="D235" s="187" t="s">
        <v>3369</v>
      </c>
      <c r="E235" s="186"/>
      <c r="F235" s="186"/>
      <c r="G235" s="186"/>
      <c r="H235" s="3"/>
      <c r="I235" s="3"/>
      <c r="J235" s="3"/>
    </row>
    <row r="236" spans="2:10" ht="27" x14ac:dyDescent="0.2">
      <c r="B236" s="186" t="s">
        <v>3365</v>
      </c>
      <c r="C236" s="186" t="s">
        <v>63</v>
      </c>
      <c r="D236" s="187" t="s">
        <v>2788</v>
      </c>
      <c r="E236" s="186"/>
      <c r="F236" s="186"/>
      <c r="G236" s="186"/>
      <c r="H236" s="3"/>
      <c r="I236" s="3"/>
      <c r="J236" s="3"/>
    </row>
    <row r="237" spans="2:10" x14ac:dyDescent="0.2">
      <c r="B237" s="186" t="s">
        <v>3366</v>
      </c>
      <c r="C237" s="186" t="s">
        <v>64</v>
      </c>
      <c r="D237" s="187" t="s">
        <v>3367</v>
      </c>
      <c r="E237" s="186"/>
      <c r="F237" s="186"/>
      <c r="G237" s="186"/>
      <c r="H237" s="3"/>
      <c r="I237" s="3"/>
      <c r="J237" s="3"/>
    </row>
    <row r="238" spans="2:10" x14ac:dyDescent="0.2">
      <c r="B238" s="186" t="s">
        <v>3361</v>
      </c>
      <c r="C238" s="186" t="s">
        <v>65</v>
      </c>
      <c r="D238" s="187" t="s">
        <v>3362</v>
      </c>
      <c r="E238" s="186"/>
      <c r="F238" s="186"/>
      <c r="G238" s="186"/>
      <c r="H238" s="3"/>
      <c r="I238" s="3"/>
      <c r="J238" s="3"/>
    </row>
    <row r="239" spans="2:10" x14ac:dyDescent="0.2">
      <c r="B239" s="79" t="s">
        <v>3370</v>
      </c>
      <c r="C239" s="79">
        <v>39</v>
      </c>
      <c r="D239" s="80" t="s">
        <v>3371</v>
      </c>
      <c r="E239" s="81"/>
      <c r="F239" s="79"/>
      <c r="G239" s="79" t="str">
        <f>IF(F239&lt;&gt;"", IF(E239=F239, "O", "X"), "")</f>
        <v/>
      </c>
      <c r="H239" s="3"/>
      <c r="I239" s="3"/>
      <c r="J239" s="3"/>
    </row>
    <row r="240" spans="2:10" x14ac:dyDescent="0.2">
      <c r="B240" s="186" t="s">
        <v>3379</v>
      </c>
      <c r="C240" s="186" t="s">
        <v>61</v>
      </c>
      <c r="D240" s="187" t="s">
        <v>3380</v>
      </c>
      <c r="E240" s="186"/>
      <c r="F240" s="186"/>
      <c r="G240" s="186"/>
      <c r="H240" s="3"/>
      <c r="I240" s="3"/>
      <c r="J240" s="3"/>
    </row>
    <row r="241" spans="2:10" x14ac:dyDescent="0.2">
      <c r="B241" s="186" t="s">
        <v>3372</v>
      </c>
      <c r="C241" s="186" t="s">
        <v>62</v>
      </c>
      <c r="D241" s="187" t="s">
        <v>1351</v>
      </c>
      <c r="E241" s="186"/>
      <c r="F241" s="186"/>
      <c r="G241" s="186"/>
      <c r="H241" s="3"/>
      <c r="I241" s="3"/>
      <c r="J241" s="3"/>
    </row>
    <row r="242" spans="2:10" ht="27" x14ac:dyDescent="0.2">
      <c r="B242" s="186" t="s">
        <v>3377</v>
      </c>
      <c r="C242" s="186" t="s">
        <v>63</v>
      </c>
      <c r="D242" s="187" t="s">
        <v>3378</v>
      </c>
      <c r="E242" s="186"/>
      <c r="F242" s="186"/>
      <c r="G242" s="186"/>
      <c r="H242" s="3"/>
      <c r="I242" s="3"/>
      <c r="J242" s="3"/>
    </row>
    <row r="243" spans="2:10" x14ac:dyDescent="0.2">
      <c r="B243" s="186" t="s">
        <v>3373</v>
      </c>
      <c r="C243" s="186" t="s">
        <v>64</v>
      </c>
      <c r="D243" s="187" t="s">
        <v>3374</v>
      </c>
      <c r="E243" s="186"/>
      <c r="F243" s="186"/>
      <c r="G243" s="186"/>
      <c r="H243" s="3"/>
      <c r="I243" s="3"/>
      <c r="J243" s="3"/>
    </row>
    <row r="244" spans="2:10" x14ac:dyDescent="0.2">
      <c r="B244" s="186" t="s">
        <v>3375</v>
      </c>
      <c r="C244" s="186" t="s">
        <v>65</v>
      </c>
      <c r="D244" s="187" t="s">
        <v>3376</v>
      </c>
      <c r="E244" s="186"/>
      <c r="F244" s="186"/>
      <c r="G244" s="186"/>
      <c r="H244" s="3"/>
      <c r="I244" s="3"/>
      <c r="J244" s="3"/>
    </row>
    <row r="245" spans="2:10" x14ac:dyDescent="0.2">
      <c r="B245" s="79" t="s">
        <v>3381</v>
      </c>
      <c r="C245" s="79">
        <v>40</v>
      </c>
      <c r="D245" s="80" t="s">
        <v>253</v>
      </c>
      <c r="E245" s="81"/>
      <c r="F245" s="79"/>
      <c r="G245" s="79" t="str">
        <f>IF(F245&lt;&gt;"", IF(E245=F245, "O", "X"), "")</f>
        <v/>
      </c>
      <c r="H245" s="3"/>
      <c r="I245" s="3"/>
      <c r="J245" s="3"/>
    </row>
    <row r="246" spans="2:10" ht="27" x14ac:dyDescent="0.2">
      <c r="B246" s="186" t="s">
        <v>3386</v>
      </c>
      <c r="C246" s="186" t="s">
        <v>61</v>
      </c>
      <c r="D246" s="187" t="s">
        <v>3387</v>
      </c>
      <c r="E246" s="186"/>
      <c r="F246" s="186"/>
      <c r="G246" s="186"/>
      <c r="H246" s="3"/>
      <c r="I246" s="3"/>
      <c r="J246" s="3"/>
    </row>
    <row r="247" spans="2:10" ht="27" x14ac:dyDescent="0.2">
      <c r="B247" s="186" t="s">
        <v>3384</v>
      </c>
      <c r="C247" s="186" t="s">
        <v>62</v>
      </c>
      <c r="D247" s="187" t="s">
        <v>3385</v>
      </c>
      <c r="E247" s="186"/>
      <c r="F247" s="186"/>
      <c r="G247" s="186"/>
      <c r="H247" s="3"/>
      <c r="I247" s="3"/>
      <c r="J247" s="3"/>
    </row>
    <row r="248" spans="2:10" x14ac:dyDescent="0.2">
      <c r="B248" s="186" t="s">
        <v>3388</v>
      </c>
      <c r="C248" s="186" t="s">
        <v>63</v>
      </c>
      <c r="D248" s="187" t="s">
        <v>3389</v>
      </c>
      <c r="E248" s="186"/>
      <c r="F248" s="186"/>
      <c r="G248" s="186"/>
      <c r="H248" s="3"/>
      <c r="I248" s="3"/>
      <c r="J248" s="3"/>
    </row>
    <row r="249" spans="2:10" x14ac:dyDescent="0.2">
      <c r="B249" s="186" t="s">
        <v>3382</v>
      </c>
      <c r="C249" s="186" t="s">
        <v>64</v>
      </c>
      <c r="D249" s="187" t="s">
        <v>3383</v>
      </c>
      <c r="E249" s="186"/>
      <c r="F249" s="186"/>
      <c r="G249" s="186"/>
      <c r="H249" s="3"/>
      <c r="I249" s="3"/>
      <c r="J249" s="3"/>
    </row>
    <row r="250" spans="2:10" x14ac:dyDescent="0.2">
      <c r="B250" s="188" t="s">
        <v>3390</v>
      </c>
      <c r="C250" s="188" t="s">
        <v>65</v>
      </c>
      <c r="D250" s="189" t="s">
        <v>2789</v>
      </c>
      <c r="E250" s="188"/>
      <c r="F250" s="188"/>
      <c r="G250" s="188"/>
      <c r="H250" s="3"/>
      <c r="I250" s="3"/>
      <c r="J250" s="3"/>
    </row>
    <row r="251" spans="2:10" x14ac:dyDescent="0.2">
      <c r="B251" s="82"/>
      <c r="C251" s="82"/>
      <c r="D251" s="83"/>
      <c r="E251" s="82"/>
      <c r="F251" s="82"/>
      <c r="G251" s="82"/>
    </row>
    <row r="252" spans="2:10" x14ac:dyDescent="0.2">
      <c r="B252" s="82"/>
      <c r="C252" s="82"/>
      <c r="D252" s="83"/>
      <c r="E252" s="82"/>
      <c r="F252" s="82"/>
      <c r="G252" s="82"/>
    </row>
    <row r="253" spans="2:10" x14ac:dyDescent="0.2">
      <c r="B253" s="82"/>
      <c r="C253" s="82"/>
      <c r="D253" s="83"/>
      <c r="E253" s="82"/>
      <c r="F253" s="82"/>
      <c r="G253" s="82"/>
    </row>
    <row r="254" spans="2:10" x14ac:dyDescent="0.2">
      <c r="B254" s="82"/>
      <c r="C254" s="82"/>
      <c r="D254" s="83"/>
      <c r="E254" s="82"/>
      <c r="F254" s="82"/>
      <c r="G254" s="82"/>
    </row>
    <row r="255" spans="2:10" x14ac:dyDescent="0.2">
      <c r="B255" s="82"/>
      <c r="C255" s="82"/>
      <c r="D255" s="83"/>
      <c r="E255" s="82"/>
      <c r="F255" s="82"/>
      <c r="G255" s="82"/>
    </row>
    <row r="256" spans="2:10" x14ac:dyDescent="0.2">
      <c r="B256" s="82"/>
      <c r="C256" s="82"/>
      <c r="D256" s="83"/>
      <c r="E256" s="82"/>
      <c r="F256" s="82"/>
      <c r="G256" s="82"/>
    </row>
    <row r="257" spans="2:7" x14ac:dyDescent="0.2">
      <c r="B257" s="82"/>
      <c r="C257" s="82"/>
      <c r="D257" s="83"/>
      <c r="E257" s="82"/>
      <c r="F257" s="82"/>
      <c r="G257" s="82"/>
    </row>
    <row r="258" spans="2:7" x14ac:dyDescent="0.2">
      <c r="B258" s="82"/>
      <c r="C258" s="82"/>
      <c r="D258" s="83"/>
      <c r="E258" s="82"/>
      <c r="F258" s="82"/>
      <c r="G258" s="82"/>
    </row>
    <row r="259" spans="2:7" x14ac:dyDescent="0.2">
      <c r="B259" s="82"/>
      <c r="C259" s="82"/>
      <c r="D259" s="83"/>
      <c r="E259" s="82"/>
      <c r="F259" s="82"/>
      <c r="G259" s="82"/>
    </row>
    <row r="260" spans="2:7" x14ac:dyDescent="0.2">
      <c r="B260" s="82"/>
      <c r="C260" s="82"/>
      <c r="D260" s="83"/>
      <c r="E260" s="82"/>
      <c r="F260" s="82"/>
      <c r="G260" s="82"/>
    </row>
    <row r="261" spans="2:7" x14ac:dyDescent="0.2">
      <c r="B261" s="82"/>
      <c r="C261" s="82"/>
      <c r="D261" s="83"/>
      <c r="E261" s="82"/>
      <c r="F261" s="82"/>
      <c r="G261" s="82"/>
    </row>
    <row r="262" spans="2:7" x14ac:dyDescent="0.2">
      <c r="B262" s="82"/>
      <c r="C262" s="82"/>
      <c r="D262" s="83"/>
      <c r="E262" s="82"/>
      <c r="F262" s="82"/>
      <c r="G262" s="82"/>
    </row>
    <row r="263" spans="2:7" x14ac:dyDescent="0.2">
      <c r="B263" s="82"/>
      <c r="C263" s="82"/>
      <c r="D263" s="83"/>
      <c r="E263" s="82"/>
      <c r="F263" s="82"/>
      <c r="G263" s="82"/>
    </row>
    <row r="264" spans="2:7" x14ac:dyDescent="0.2">
      <c r="B264" s="82"/>
      <c r="C264" s="82"/>
      <c r="D264" s="83"/>
      <c r="E264" s="82"/>
      <c r="F264" s="82"/>
      <c r="G264" s="82"/>
    </row>
    <row r="265" spans="2:7" x14ac:dyDescent="0.2">
      <c r="B265" s="82"/>
      <c r="C265" s="82"/>
      <c r="D265" s="83"/>
      <c r="E265" s="82"/>
      <c r="F265" s="82"/>
      <c r="G265" s="82"/>
    </row>
    <row r="266" spans="2:7" x14ac:dyDescent="0.2">
      <c r="B266" s="82"/>
      <c r="C266" s="82"/>
      <c r="D266" s="83"/>
      <c r="E266" s="82"/>
      <c r="F266" s="82"/>
      <c r="G266" s="82"/>
    </row>
    <row r="267" spans="2:7" x14ac:dyDescent="0.2">
      <c r="B267" s="82"/>
      <c r="C267" s="82"/>
      <c r="D267" s="83"/>
      <c r="E267" s="82"/>
      <c r="F267" s="82"/>
      <c r="G267" s="82"/>
    </row>
    <row r="268" spans="2:7" x14ac:dyDescent="0.2">
      <c r="B268" s="82"/>
      <c r="C268" s="82"/>
      <c r="D268" s="83"/>
      <c r="E268" s="82"/>
      <c r="F268" s="82"/>
      <c r="G268" s="82"/>
    </row>
    <row r="269" spans="2:7" x14ac:dyDescent="0.2">
      <c r="B269" s="82"/>
      <c r="C269" s="82"/>
      <c r="D269" s="83"/>
      <c r="E269" s="82"/>
      <c r="F269" s="82"/>
      <c r="G269" s="82"/>
    </row>
    <row r="270" spans="2:7" x14ac:dyDescent="0.2">
      <c r="B270" s="82"/>
      <c r="C270" s="82"/>
      <c r="D270" s="83"/>
      <c r="E270" s="82"/>
      <c r="F270" s="82"/>
      <c r="G270" s="82"/>
    </row>
    <row r="271" spans="2:7" x14ac:dyDescent="0.2">
      <c r="B271" s="82"/>
      <c r="C271" s="82"/>
      <c r="D271" s="83"/>
      <c r="E271" s="82"/>
      <c r="F271" s="82"/>
      <c r="G271" s="82"/>
    </row>
    <row r="272" spans="2:7" x14ac:dyDescent="0.2">
      <c r="B272" s="82"/>
      <c r="C272" s="82"/>
      <c r="D272" s="83"/>
      <c r="E272" s="82"/>
      <c r="F272" s="82"/>
      <c r="G272" s="82"/>
    </row>
    <row r="273" spans="2:7" x14ac:dyDescent="0.2">
      <c r="B273" s="82"/>
      <c r="C273" s="82"/>
      <c r="D273" s="83"/>
      <c r="E273" s="82"/>
      <c r="F273" s="82"/>
      <c r="G273" s="82"/>
    </row>
    <row r="274" spans="2:7" x14ac:dyDescent="0.2">
      <c r="B274" s="82"/>
      <c r="C274" s="82"/>
      <c r="D274" s="83"/>
      <c r="E274" s="82"/>
      <c r="F274" s="82"/>
      <c r="G274" s="82"/>
    </row>
    <row r="275" spans="2:7" x14ac:dyDescent="0.2">
      <c r="B275" s="82"/>
      <c r="C275" s="82"/>
      <c r="D275" s="83"/>
      <c r="E275" s="82"/>
      <c r="F275" s="82"/>
      <c r="G275" s="82"/>
    </row>
    <row r="276" spans="2:7" x14ac:dyDescent="0.2">
      <c r="B276" s="82"/>
      <c r="C276" s="82"/>
      <c r="D276" s="83"/>
      <c r="E276" s="82"/>
      <c r="F276" s="82"/>
      <c r="G276" s="82"/>
    </row>
    <row r="277" spans="2:7" x14ac:dyDescent="0.2">
      <c r="B277" s="82"/>
      <c r="C277" s="82"/>
      <c r="D277" s="83"/>
      <c r="E277" s="82"/>
      <c r="F277" s="82"/>
      <c r="G277" s="82"/>
    </row>
    <row r="278" spans="2:7" x14ac:dyDescent="0.2">
      <c r="B278" s="82"/>
      <c r="C278" s="82"/>
      <c r="D278" s="83"/>
      <c r="E278" s="82"/>
      <c r="F278" s="82"/>
      <c r="G278" s="82"/>
    </row>
    <row r="279" spans="2:7" x14ac:dyDescent="0.2">
      <c r="B279" s="82"/>
      <c r="C279" s="82"/>
      <c r="D279" s="83"/>
      <c r="E279" s="82"/>
      <c r="F279" s="82"/>
      <c r="G279" s="82"/>
    </row>
    <row r="280" spans="2:7" x14ac:dyDescent="0.2">
      <c r="B280" s="82"/>
      <c r="C280" s="82"/>
      <c r="D280" s="83"/>
      <c r="E280" s="82"/>
      <c r="F280" s="82"/>
      <c r="G280" s="82"/>
    </row>
    <row r="281" spans="2:7" x14ac:dyDescent="0.2">
      <c r="B281" s="82"/>
      <c r="C281" s="82"/>
      <c r="D281" s="83"/>
      <c r="E281" s="82"/>
      <c r="F281" s="82"/>
      <c r="G281" s="82"/>
    </row>
    <row r="282" spans="2:7" x14ac:dyDescent="0.2">
      <c r="B282" s="82"/>
      <c r="C282" s="82"/>
      <c r="D282" s="83"/>
      <c r="E282" s="82"/>
      <c r="F282" s="82"/>
      <c r="G282" s="82"/>
    </row>
    <row r="283" spans="2:7" x14ac:dyDescent="0.2">
      <c r="B283" s="82"/>
      <c r="C283" s="82"/>
      <c r="D283" s="83"/>
      <c r="E283" s="82"/>
      <c r="F283" s="82"/>
      <c r="G283" s="82"/>
    </row>
    <row r="284" spans="2:7" x14ac:dyDescent="0.2">
      <c r="B284" s="82"/>
      <c r="C284" s="82"/>
      <c r="D284" s="83"/>
      <c r="E284" s="82"/>
      <c r="F284" s="82"/>
      <c r="G284" s="82"/>
    </row>
    <row r="285" spans="2:7" x14ac:dyDescent="0.2">
      <c r="B285" s="82"/>
      <c r="C285" s="82"/>
      <c r="D285" s="83"/>
      <c r="E285" s="82"/>
      <c r="F285" s="82"/>
      <c r="G285" s="82"/>
    </row>
    <row r="286" spans="2:7" x14ac:dyDescent="0.2">
      <c r="B286" s="82"/>
      <c r="C286" s="82"/>
      <c r="D286" s="83"/>
      <c r="E286" s="82"/>
      <c r="F286" s="82"/>
      <c r="G286" s="82"/>
    </row>
    <row r="287" spans="2:7" x14ac:dyDescent="0.2">
      <c r="B287" s="82"/>
      <c r="C287" s="82"/>
      <c r="D287" s="83"/>
      <c r="E287" s="82"/>
      <c r="F287" s="82"/>
      <c r="G287" s="82"/>
    </row>
    <row r="288" spans="2:7" x14ac:dyDescent="0.2">
      <c r="B288" s="82"/>
      <c r="C288" s="82"/>
      <c r="D288" s="83"/>
      <c r="E288" s="82"/>
      <c r="F288" s="82"/>
      <c r="G288" s="82"/>
    </row>
    <row r="289" spans="2:7" x14ac:dyDescent="0.2">
      <c r="B289" s="82"/>
      <c r="C289" s="82"/>
      <c r="D289" s="83"/>
      <c r="E289" s="82"/>
      <c r="F289" s="82"/>
      <c r="G289" s="82"/>
    </row>
    <row r="290" spans="2:7" x14ac:dyDescent="0.2">
      <c r="B290" s="82"/>
      <c r="C290" s="82"/>
      <c r="D290" s="83"/>
      <c r="E290" s="82"/>
      <c r="F290" s="82"/>
      <c r="G290" s="82"/>
    </row>
    <row r="291" spans="2:7" x14ac:dyDescent="0.2">
      <c r="B291" s="82"/>
      <c r="C291" s="82"/>
      <c r="D291" s="83"/>
      <c r="E291" s="82"/>
      <c r="F291" s="82"/>
      <c r="G291" s="82"/>
    </row>
    <row r="292" spans="2:7" x14ac:dyDescent="0.2">
      <c r="B292" s="82"/>
      <c r="C292" s="82"/>
      <c r="D292" s="83"/>
      <c r="E292" s="82"/>
      <c r="F292" s="82"/>
      <c r="G292" s="82"/>
    </row>
    <row r="293" spans="2:7" x14ac:dyDescent="0.2">
      <c r="B293" s="82"/>
      <c r="C293" s="82"/>
      <c r="D293" s="83"/>
      <c r="E293" s="82"/>
      <c r="F293" s="82"/>
      <c r="G293" s="82"/>
    </row>
    <row r="294" spans="2:7" x14ac:dyDescent="0.2">
      <c r="B294" s="82"/>
      <c r="C294" s="82"/>
      <c r="D294" s="83"/>
      <c r="E294" s="82"/>
      <c r="F294" s="82"/>
      <c r="G294" s="82"/>
    </row>
    <row r="295" spans="2:7" x14ac:dyDescent="0.2">
      <c r="B295" s="82"/>
      <c r="C295" s="82"/>
      <c r="D295" s="83"/>
      <c r="E295" s="82"/>
      <c r="F295" s="82"/>
      <c r="G295" s="82"/>
    </row>
    <row r="296" spans="2:7" x14ac:dyDescent="0.2">
      <c r="B296" s="82"/>
      <c r="C296" s="82"/>
      <c r="D296" s="83"/>
      <c r="E296" s="82"/>
      <c r="F296" s="82"/>
      <c r="G296" s="82"/>
    </row>
    <row r="297" spans="2:7" x14ac:dyDescent="0.2">
      <c r="B297" s="82"/>
      <c r="C297" s="82"/>
      <c r="D297" s="83"/>
      <c r="E297" s="82"/>
      <c r="F297" s="82"/>
      <c r="G297" s="82"/>
    </row>
    <row r="298" spans="2:7" x14ac:dyDescent="0.2">
      <c r="B298" s="82"/>
      <c r="C298" s="82"/>
      <c r="D298" s="83"/>
      <c r="E298" s="82"/>
      <c r="F298" s="82"/>
      <c r="G298" s="82"/>
    </row>
    <row r="299" spans="2:7" x14ac:dyDescent="0.2">
      <c r="B299" s="82"/>
      <c r="C299" s="82"/>
      <c r="D299" s="83"/>
      <c r="E299" s="82"/>
      <c r="F299" s="82"/>
      <c r="G299" s="82"/>
    </row>
    <row r="300" spans="2:7" x14ac:dyDescent="0.2">
      <c r="B300" s="82"/>
      <c r="C300" s="82"/>
      <c r="D300" s="83"/>
      <c r="E300" s="82"/>
      <c r="F300" s="82"/>
      <c r="G300" s="82"/>
    </row>
    <row r="301" spans="2:7" x14ac:dyDescent="0.2">
      <c r="B301" s="82"/>
      <c r="C301" s="82"/>
      <c r="D301" s="83"/>
      <c r="E301" s="82"/>
      <c r="F301" s="82"/>
      <c r="G301" s="82"/>
    </row>
    <row r="302" spans="2:7" x14ac:dyDescent="0.2">
      <c r="B302" s="82"/>
      <c r="C302" s="82"/>
      <c r="D302" s="83"/>
      <c r="E302" s="82"/>
      <c r="F302" s="82"/>
      <c r="G302" s="82"/>
    </row>
    <row r="303" spans="2:7" x14ac:dyDescent="0.2">
      <c r="B303" s="82"/>
      <c r="C303" s="82"/>
      <c r="D303" s="83"/>
      <c r="E303" s="82"/>
      <c r="F303" s="82"/>
      <c r="G303" s="82"/>
    </row>
    <row r="304" spans="2:7" x14ac:dyDescent="0.2">
      <c r="B304" s="82"/>
      <c r="C304" s="82"/>
      <c r="D304" s="83"/>
      <c r="E304" s="82"/>
      <c r="F304" s="82"/>
      <c r="G304" s="82"/>
    </row>
    <row r="305" spans="2:7" x14ac:dyDescent="0.2">
      <c r="B305" s="82"/>
      <c r="C305" s="82"/>
      <c r="D305" s="83"/>
      <c r="E305" s="82"/>
      <c r="F305" s="82"/>
      <c r="G305" s="82"/>
    </row>
    <row r="306" spans="2:7" x14ac:dyDescent="0.2">
      <c r="B306" s="82"/>
      <c r="C306" s="82"/>
      <c r="D306" s="83"/>
      <c r="E306" s="82"/>
      <c r="F306" s="82"/>
      <c r="G306" s="82"/>
    </row>
    <row r="307" spans="2:7" x14ac:dyDescent="0.2">
      <c r="B307" s="82"/>
      <c r="C307" s="82"/>
      <c r="D307" s="83"/>
      <c r="E307" s="82"/>
      <c r="F307" s="82"/>
      <c r="G307" s="82"/>
    </row>
    <row r="308" spans="2:7" x14ac:dyDescent="0.2">
      <c r="B308" s="82"/>
      <c r="C308" s="82"/>
      <c r="D308" s="83"/>
      <c r="E308" s="82"/>
      <c r="F308" s="82"/>
      <c r="G308" s="82"/>
    </row>
    <row r="309" spans="2:7" x14ac:dyDescent="0.2">
      <c r="B309" s="82"/>
      <c r="C309" s="82"/>
      <c r="D309" s="83"/>
      <c r="E309" s="82"/>
      <c r="F309" s="82"/>
      <c r="G309" s="82"/>
    </row>
    <row r="310" spans="2:7" x14ac:dyDescent="0.2">
      <c r="B310" s="82"/>
      <c r="C310" s="82"/>
      <c r="D310" s="83"/>
      <c r="E310" s="82"/>
      <c r="F310" s="82"/>
      <c r="G310" s="82"/>
    </row>
    <row r="311" spans="2:7" x14ac:dyDescent="0.2">
      <c r="B311" s="82"/>
      <c r="C311" s="82"/>
      <c r="D311" s="83"/>
      <c r="E311" s="82"/>
      <c r="F311" s="82"/>
      <c r="G311" s="82"/>
    </row>
    <row r="312" spans="2:7" x14ac:dyDescent="0.2">
      <c r="B312" s="82"/>
      <c r="C312" s="82"/>
      <c r="D312" s="83"/>
      <c r="E312" s="82"/>
      <c r="F312" s="82"/>
      <c r="G312" s="82"/>
    </row>
    <row r="313" spans="2:7" x14ac:dyDescent="0.2">
      <c r="B313" s="82"/>
      <c r="C313" s="82"/>
      <c r="D313" s="83"/>
      <c r="E313" s="82"/>
      <c r="F313" s="82"/>
      <c r="G313" s="82"/>
    </row>
    <row r="314" spans="2:7" x14ac:dyDescent="0.2">
      <c r="B314" s="82"/>
      <c r="C314" s="82"/>
      <c r="D314" s="83"/>
      <c r="E314" s="82"/>
      <c r="F314" s="82"/>
      <c r="G314" s="82"/>
    </row>
    <row r="315" spans="2:7" x14ac:dyDescent="0.2">
      <c r="B315" s="82"/>
      <c r="C315" s="82"/>
      <c r="D315" s="83"/>
      <c r="E315" s="82"/>
      <c r="F315" s="82"/>
      <c r="G315" s="82"/>
    </row>
    <row r="316" spans="2:7" x14ac:dyDescent="0.2">
      <c r="B316" s="82"/>
      <c r="C316" s="82"/>
      <c r="D316" s="83"/>
      <c r="E316" s="82"/>
      <c r="F316" s="82"/>
      <c r="G316" s="82"/>
    </row>
    <row r="317" spans="2:7" x14ac:dyDescent="0.2">
      <c r="B317" s="82"/>
      <c r="C317" s="82"/>
      <c r="D317" s="83"/>
      <c r="E317" s="82"/>
      <c r="F317" s="82"/>
      <c r="G317" s="82"/>
    </row>
    <row r="318" spans="2:7" x14ac:dyDescent="0.2">
      <c r="B318" s="82"/>
      <c r="C318" s="82"/>
      <c r="D318" s="83"/>
      <c r="E318" s="82"/>
      <c r="F318" s="82"/>
      <c r="G318" s="82"/>
    </row>
    <row r="319" spans="2:7" x14ac:dyDescent="0.2">
      <c r="B319" s="82"/>
      <c r="C319" s="82"/>
      <c r="D319" s="83"/>
      <c r="E319" s="82"/>
      <c r="F319" s="82"/>
      <c r="G319" s="82"/>
    </row>
    <row r="320" spans="2:7" x14ac:dyDescent="0.2">
      <c r="B320" s="82"/>
      <c r="C320" s="82"/>
      <c r="D320" s="83"/>
      <c r="E320" s="82"/>
      <c r="F320" s="82"/>
      <c r="G320" s="82"/>
    </row>
    <row r="321" spans="2:7" x14ac:dyDescent="0.2">
      <c r="B321" s="82"/>
      <c r="C321" s="82"/>
      <c r="D321" s="83"/>
      <c r="E321" s="82"/>
      <c r="F321" s="82"/>
      <c r="G321" s="82"/>
    </row>
    <row r="322" spans="2:7" x14ac:dyDescent="0.2">
      <c r="B322" s="82"/>
      <c r="C322" s="82"/>
      <c r="D322" s="83"/>
      <c r="E322" s="82"/>
      <c r="F322" s="82"/>
      <c r="G322" s="82"/>
    </row>
    <row r="323" spans="2:7" x14ac:dyDescent="0.2">
      <c r="B323" s="82"/>
      <c r="C323" s="82"/>
      <c r="D323" s="83"/>
      <c r="E323" s="82"/>
      <c r="F323" s="82"/>
      <c r="G323" s="82"/>
    </row>
    <row r="324" spans="2:7" x14ac:dyDescent="0.2">
      <c r="B324" s="82"/>
      <c r="C324" s="82"/>
      <c r="D324" s="83"/>
      <c r="E324" s="82"/>
      <c r="F324" s="82"/>
      <c r="G324" s="82"/>
    </row>
    <row r="325" spans="2:7" x14ac:dyDescent="0.2">
      <c r="B325" s="82"/>
      <c r="C325" s="82"/>
      <c r="D325" s="83"/>
      <c r="E325" s="82"/>
      <c r="F325" s="82"/>
      <c r="G325" s="82"/>
    </row>
    <row r="326" spans="2:7" x14ac:dyDescent="0.2">
      <c r="B326" s="82"/>
      <c r="C326" s="82"/>
      <c r="D326" s="83"/>
      <c r="E326" s="82"/>
      <c r="F326" s="82"/>
      <c r="G326" s="82"/>
    </row>
    <row r="327" spans="2:7" x14ac:dyDescent="0.2">
      <c r="B327" s="82"/>
      <c r="C327" s="82"/>
      <c r="D327" s="83"/>
      <c r="E327" s="82"/>
      <c r="F327" s="82"/>
      <c r="G327" s="82"/>
    </row>
    <row r="328" spans="2:7" x14ac:dyDescent="0.2">
      <c r="B328" s="82"/>
      <c r="C328" s="82"/>
      <c r="D328" s="83"/>
      <c r="E328" s="82"/>
      <c r="F328" s="82"/>
      <c r="G328" s="82"/>
    </row>
    <row r="329" spans="2:7" x14ac:dyDescent="0.2">
      <c r="B329" s="82"/>
      <c r="C329" s="82"/>
      <c r="D329" s="83"/>
      <c r="E329" s="82"/>
      <c r="F329" s="82"/>
      <c r="G329" s="82"/>
    </row>
    <row r="330" spans="2:7" x14ac:dyDescent="0.2">
      <c r="B330" s="82"/>
      <c r="C330" s="82"/>
      <c r="D330" s="83"/>
      <c r="E330" s="82"/>
      <c r="F330" s="82"/>
      <c r="G330" s="82"/>
    </row>
    <row r="331" spans="2:7" x14ac:dyDescent="0.2">
      <c r="B331" s="82"/>
      <c r="C331" s="82"/>
      <c r="D331" s="83"/>
      <c r="E331" s="82"/>
      <c r="F331" s="82"/>
      <c r="G331" s="82"/>
    </row>
    <row r="332" spans="2:7" x14ac:dyDescent="0.2">
      <c r="B332" s="82"/>
      <c r="C332" s="82"/>
      <c r="D332" s="83"/>
      <c r="E332" s="82"/>
      <c r="F332" s="82"/>
      <c r="G332" s="82"/>
    </row>
    <row r="333" spans="2:7" x14ac:dyDescent="0.2">
      <c r="B333" s="82"/>
      <c r="C333" s="82"/>
      <c r="D333" s="83"/>
      <c r="E333" s="82"/>
      <c r="F333" s="82"/>
      <c r="G333" s="82"/>
    </row>
    <row r="334" spans="2:7" x14ac:dyDescent="0.2">
      <c r="B334" s="82"/>
      <c r="C334" s="82"/>
      <c r="D334" s="83"/>
      <c r="E334" s="82"/>
      <c r="F334" s="82"/>
      <c r="G334" s="82"/>
    </row>
    <row r="335" spans="2:7" x14ac:dyDescent="0.2">
      <c r="B335" s="82"/>
      <c r="C335" s="82"/>
      <c r="D335" s="83"/>
      <c r="E335" s="82"/>
      <c r="F335" s="82"/>
      <c r="G335" s="82"/>
    </row>
    <row r="336" spans="2:7" x14ac:dyDescent="0.2">
      <c r="B336" s="82"/>
      <c r="C336" s="82"/>
      <c r="D336" s="83"/>
      <c r="E336" s="82"/>
      <c r="F336" s="82"/>
      <c r="G336" s="82"/>
    </row>
    <row r="337" spans="2:7" x14ac:dyDescent="0.2">
      <c r="B337" s="82"/>
      <c r="C337" s="82"/>
      <c r="D337" s="83"/>
      <c r="E337" s="82"/>
      <c r="F337" s="82"/>
      <c r="G337" s="82"/>
    </row>
    <row r="338" spans="2:7" x14ac:dyDescent="0.2">
      <c r="B338" s="82"/>
      <c r="C338" s="82"/>
      <c r="D338" s="83"/>
      <c r="E338" s="82"/>
      <c r="F338" s="82"/>
      <c r="G338" s="82"/>
    </row>
    <row r="339" spans="2:7" x14ac:dyDescent="0.2">
      <c r="B339" s="82"/>
      <c r="C339" s="82"/>
      <c r="D339" s="83"/>
      <c r="E339" s="82"/>
      <c r="F339" s="82"/>
      <c r="G339" s="82"/>
    </row>
    <row r="340" spans="2:7" x14ac:dyDescent="0.2">
      <c r="B340" s="82"/>
      <c r="C340" s="82"/>
      <c r="D340" s="83"/>
      <c r="E340" s="82"/>
      <c r="F340" s="82"/>
      <c r="G340" s="82"/>
    </row>
    <row r="341" spans="2:7" x14ac:dyDescent="0.2">
      <c r="B341" s="82"/>
      <c r="C341" s="82"/>
      <c r="D341" s="83"/>
      <c r="E341" s="82"/>
      <c r="F341" s="82"/>
      <c r="G341" s="82"/>
    </row>
    <row r="342" spans="2:7" x14ac:dyDescent="0.2">
      <c r="B342" s="82"/>
      <c r="C342" s="82"/>
      <c r="D342" s="83"/>
      <c r="E342" s="82"/>
      <c r="F342" s="82"/>
      <c r="G342" s="82"/>
    </row>
    <row r="343" spans="2:7" x14ac:dyDescent="0.2">
      <c r="B343" s="82"/>
      <c r="C343" s="82"/>
      <c r="D343" s="83"/>
      <c r="E343" s="82"/>
      <c r="F343" s="82"/>
      <c r="G343" s="82"/>
    </row>
    <row r="344" spans="2:7" x14ac:dyDescent="0.2">
      <c r="B344" s="82"/>
      <c r="C344" s="82"/>
      <c r="D344" s="83"/>
      <c r="E344" s="82"/>
      <c r="F344" s="82"/>
      <c r="G344" s="82"/>
    </row>
    <row r="345" spans="2:7" x14ac:dyDescent="0.2">
      <c r="B345" s="82"/>
      <c r="C345" s="82"/>
      <c r="D345" s="83"/>
      <c r="E345" s="82"/>
      <c r="F345" s="82"/>
      <c r="G345" s="82"/>
    </row>
    <row r="346" spans="2:7" x14ac:dyDescent="0.2">
      <c r="B346" s="82"/>
      <c r="C346" s="82"/>
      <c r="D346" s="83"/>
      <c r="E346" s="82"/>
      <c r="F346" s="82"/>
      <c r="G346" s="82"/>
    </row>
    <row r="347" spans="2:7" x14ac:dyDescent="0.2">
      <c r="B347" s="82"/>
      <c r="C347" s="82"/>
      <c r="D347" s="83"/>
      <c r="E347" s="82"/>
      <c r="F347" s="82"/>
      <c r="G347" s="82"/>
    </row>
    <row r="348" spans="2:7" x14ac:dyDescent="0.2">
      <c r="B348" s="82"/>
      <c r="C348" s="82"/>
      <c r="D348" s="83"/>
      <c r="E348" s="82"/>
      <c r="F348" s="82"/>
      <c r="G348" s="82"/>
    </row>
    <row r="349" spans="2:7" x14ac:dyDescent="0.2">
      <c r="B349" s="82"/>
      <c r="C349" s="82"/>
      <c r="D349" s="83"/>
      <c r="E349" s="82"/>
      <c r="F349" s="82"/>
      <c r="G349" s="82"/>
    </row>
    <row r="350" spans="2:7" x14ac:dyDescent="0.2">
      <c r="B350" s="82"/>
      <c r="C350" s="82"/>
      <c r="D350" s="83"/>
      <c r="E350" s="82"/>
      <c r="F350" s="82"/>
      <c r="G350" s="82"/>
    </row>
    <row r="351" spans="2:7" x14ac:dyDescent="0.2">
      <c r="B351" s="82"/>
      <c r="C351" s="82"/>
      <c r="D351" s="83"/>
      <c r="E351" s="82"/>
      <c r="F351" s="82"/>
      <c r="G351" s="82"/>
    </row>
    <row r="352" spans="2:7" x14ac:dyDescent="0.2">
      <c r="B352" s="82"/>
      <c r="C352" s="82"/>
      <c r="D352" s="83"/>
      <c r="E352" s="82"/>
      <c r="F352" s="82"/>
      <c r="G352" s="82"/>
    </row>
    <row r="353" spans="2:7" x14ac:dyDescent="0.2">
      <c r="B353" s="82"/>
      <c r="C353" s="82"/>
      <c r="D353" s="83"/>
      <c r="E353" s="82"/>
      <c r="F353" s="82"/>
      <c r="G353" s="82"/>
    </row>
    <row r="354" spans="2:7" x14ac:dyDescent="0.2">
      <c r="B354" s="82"/>
      <c r="C354" s="82"/>
      <c r="D354" s="83"/>
      <c r="E354" s="82"/>
      <c r="F354" s="82"/>
      <c r="G354" s="82"/>
    </row>
    <row r="355" spans="2:7" x14ac:dyDescent="0.2">
      <c r="B355" s="82"/>
      <c r="C355" s="82"/>
      <c r="D355" s="83"/>
      <c r="E355" s="82"/>
      <c r="F355" s="82"/>
      <c r="G355" s="82"/>
    </row>
    <row r="356" spans="2:7" x14ac:dyDescent="0.2">
      <c r="B356" s="82"/>
      <c r="C356" s="82"/>
      <c r="D356" s="83"/>
      <c r="E356" s="82"/>
      <c r="F356" s="82"/>
      <c r="G356" s="82"/>
    </row>
    <row r="357" spans="2:7" x14ac:dyDescent="0.2">
      <c r="B357" s="82"/>
      <c r="C357" s="82"/>
      <c r="D357" s="83"/>
      <c r="E357" s="82"/>
      <c r="F357" s="82"/>
      <c r="G357" s="82"/>
    </row>
    <row r="358" spans="2:7" x14ac:dyDescent="0.2">
      <c r="B358" s="82"/>
      <c r="C358" s="82"/>
      <c r="D358" s="83"/>
      <c r="E358" s="82"/>
      <c r="F358" s="82"/>
      <c r="G358" s="82"/>
    </row>
    <row r="359" spans="2:7" x14ac:dyDescent="0.2">
      <c r="B359" s="82"/>
      <c r="C359" s="82"/>
      <c r="D359" s="83"/>
      <c r="E359" s="82"/>
      <c r="F359" s="82"/>
      <c r="G359" s="82"/>
    </row>
    <row r="360" spans="2:7" x14ac:dyDescent="0.2">
      <c r="B360" s="82"/>
      <c r="C360" s="82"/>
      <c r="D360" s="83"/>
      <c r="E360" s="82"/>
      <c r="F360" s="82"/>
      <c r="G360" s="82"/>
    </row>
    <row r="361" spans="2:7" x14ac:dyDescent="0.2">
      <c r="B361" s="82"/>
      <c r="C361" s="82"/>
      <c r="D361" s="83"/>
      <c r="E361" s="82"/>
      <c r="F361" s="82"/>
      <c r="G361" s="82"/>
    </row>
    <row r="362" spans="2:7" x14ac:dyDescent="0.2">
      <c r="B362" s="82"/>
      <c r="C362" s="82"/>
      <c r="D362" s="83"/>
      <c r="E362" s="82"/>
      <c r="F362" s="82"/>
      <c r="G362" s="82"/>
    </row>
    <row r="363" spans="2:7" x14ac:dyDescent="0.2">
      <c r="B363" s="82"/>
      <c r="C363" s="82"/>
      <c r="D363" s="83"/>
      <c r="E363" s="82"/>
      <c r="F363" s="82"/>
      <c r="G363" s="82"/>
    </row>
    <row r="364" spans="2:7" x14ac:dyDescent="0.2">
      <c r="B364" s="82"/>
      <c r="C364" s="82"/>
      <c r="D364" s="83"/>
      <c r="E364" s="82"/>
      <c r="F364" s="82"/>
      <c r="G364" s="82"/>
    </row>
    <row r="365" spans="2:7" x14ac:dyDescent="0.2">
      <c r="B365" s="82"/>
      <c r="C365" s="82"/>
      <c r="D365" s="83"/>
      <c r="E365" s="82"/>
      <c r="F365" s="82"/>
      <c r="G365" s="82"/>
    </row>
    <row r="366" spans="2:7" x14ac:dyDescent="0.2">
      <c r="B366" s="82"/>
      <c r="C366" s="82"/>
      <c r="D366" s="83"/>
      <c r="E366" s="82"/>
      <c r="F366" s="82"/>
      <c r="G366" s="82"/>
    </row>
    <row r="367" spans="2:7" x14ac:dyDescent="0.2">
      <c r="B367" s="82"/>
      <c r="C367" s="82"/>
      <c r="D367" s="83"/>
      <c r="E367" s="82"/>
      <c r="F367" s="82"/>
      <c r="G367" s="82"/>
    </row>
    <row r="368" spans="2:7" x14ac:dyDescent="0.2">
      <c r="B368" s="82"/>
      <c r="C368" s="82"/>
      <c r="D368" s="83"/>
      <c r="E368" s="82"/>
      <c r="F368" s="82"/>
      <c r="G368" s="82"/>
    </row>
    <row r="369" spans="2:7" x14ac:dyDescent="0.2">
      <c r="B369" s="82"/>
      <c r="C369" s="82"/>
      <c r="D369" s="83"/>
      <c r="E369" s="82"/>
      <c r="F369" s="82"/>
      <c r="G369" s="82"/>
    </row>
    <row r="370" spans="2:7" x14ac:dyDescent="0.2">
      <c r="B370" s="82"/>
      <c r="C370" s="82"/>
      <c r="D370" s="83"/>
      <c r="E370" s="82"/>
      <c r="F370" s="82"/>
      <c r="G370" s="82"/>
    </row>
    <row r="371" spans="2:7" x14ac:dyDescent="0.2">
      <c r="B371" s="82"/>
      <c r="C371" s="82"/>
      <c r="D371" s="83"/>
      <c r="E371" s="82"/>
      <c r="F371" s="82"/>
      <c r="G371" s="82"/>
    </row>
    <row r="372" spans="2:7" x14ac:dyDescent="0.2">
      <c r="B372" s="82"/>
      <c r="C372" s="82"/>
      <c r="D372" s="83"/>
      <c r="E372" s="82"/>
      <c r="F372" s="82"/>
      <c r="G372" s="82"/>
    </row>
    <row r="373" spans="2:7" x14ac:dyDescent="0.2">
      <c r="B373" s="82"/>
      <c r="C373" s="82"/>
      <c r="D373" s="83"/>
      <c r="E373" s="82"/>
      <c r="F373" s="82"/>
      <c r="G373" s="82"/>
    </row>
    <row r="374" spans="2:7" x14ac:dyDescent="0.2">
      <c r="B374" s="82"/>
      <c r="C374" s="82"/>
      <c r="D374" s="83"/>
      <c r="E374" s="82"/>
      <c r="F374" s="82"/>
      <c r="G374" s="82"/>
    </row>
    <row r="375" spans="2:7" x14ac:dyDescent="0.2">
      <c r="B375" s="82"/>
      <c r="C375" s="82"/>
      <c r="D375" s="83"/>
      <c r="E375" s="82"/>
      <c r="F375" s="82"/>
      <c r="G375" s="82"/>
    </row>
    <row r="376" spans="2:7" x14ac:dyDescent="0.2">
      <c r="B376" s="82"/>
      <c r="C376" s="82"/>
      <c r="D376" s="83"/>
      <c r="E376" s="82"/>
      <c r="F376" s="82"/>
      <c r="G376" s="82"/>
    </row>
    <row r="377" spans="2:7" x14ac:dyDescent="0.2">
      <c r="B377" s="82"/>
      <c r="C377" s="82"/>
      <c r="D377" s="83"/>
      <c r="E377" s="82"/>
      <c r="F377" s="82"/>
      <c r="G377" s="82"/>
    </row>
    <row r="378" spans="2:7" x14ac:dyDescent="0.2">
      <c r="B378" s="82"/>
      <c r="C378" s="82"/>
      <c r="D378" s="83"/>
      <c r="E378" s="82"/>
      <c r="F378" s="82"/>
      <c r="G378" s="82"/>
    </row>
    <row r="379" spans="2:7" x14ac:dyDescent="0.2">
      <c r="B379" s="82"/>
      <c r="C379" s="82"/>
      <c r="D379" s="83"/>
      <c r="E379" s="82"/>
      <c r="F379" s="82"/>
      <c r="G379" s="82"/>
    </row>
    <row r="380" spans="2:7" x14ac:dyDescent="0.2">
      <c r="B380" s="82"/>
      <c r="C380" s="82"/>
      <c r="D380" s="83"/>
      <c r="E380" s="82"/>
      <c r="F380" s="82"/>
      <c r="G380" s="82"/>
    </row>
    <row r="381" spans="2:7" x14ac:dyDescent="0.2">
      <c r="B381" s="82"/>
      <c r="C381" s="82"/>
      <c r="D381" s="83"/>
      <c r="E381" s="82"/>
      <c r="F381" s="82"/>
      <c r="G381" s="82"/>
    </row>
    <row r="382" spans="2:7" x14ac:dyDescent="0.2">
      <c r="B382" s="82"/>
      <c r="C382" s="82"/>
      <c r="D382" s="83"/>
      <c r="E382" s="82"/>
      <c r="F382" s="82"/>
      <c r="G382" s="82"/>
    </row>
    <row r="383" spans="2:7" x14ac:dyDescent="0.2">
      <c r="B383" s="82"/>
      <c r="C383" s="82"/>
      <c r="D383" s="83"/>
      <c r="E383" s="82"/>
      <c r="F383" s="82"/>
      <c r="G383" s="82"/>
    </row>
    <row r="384" spans="2:7" x14ac:dyDescent="0.2">
      <c r="B384" s="82"/>
      <c r="C384" s="82"/>
      <c r="D384" s="83"/>
      <c r="E384" s="82"/>
      <c r="F384" s="82"/>
      <c r="G384" s="82"/>
    </row>
    <row r="385" spans="2:7" x14ac:dyDescent="0.2">
      <c r="B385" s="82"/>
      <c r="C385" s="82"/>
      <c r="D385" s="83"/>
      <c r="E385" s="82"/>
      <c r="F385" s="82"/>
      <c r="G385" s="82"/>
    </row>
    <row r="386" spans="2:7" x14ac:dyDescent="0.2">
      <c r="B386" s="82"/>
      <c r="C386" s="82"/>
      <c r="D386" s="83"/>
      <c r="E386" s="82"/>
      <c r="F386" s="82"/>
      <c r="G386" s="82"/>
    </row>
    <row r="387" spans="2:7" x14ac:dyDescent="0.2">
      <c r="B387" s="82"/>
      <c r="C387" s="82"/>
      <c r="D387" s="83"/>
      <c r="E387" s="82"/>
      <c r="F387" s="82"/>
      <c r="G387" s="82"/>
    </row>
    <row r="388" spans="2:7" x14ac:dyDescent="0.2">
      <c r="B388" s="82"/>
      <c r="C388" s="82"/>
      <c r="D388" s="83"/>
      <c r="E388" s="82"/>
      <c r="F388" s="82"/>
      <c r="G388" s="82"/>
    </row>
    <row r="389" spans="2:7" x14ac:dyDescent="0.2">
      <c r="B389" s="82"/>
      <c r="C389" s="82"/>
      <c r="D389" s="83"/>
      <c r="E389" s="82"/>
      <c r="F389" s="82"/>
      <c r="G389" s="82"/>
    </row>
    <row r="390" spans="2:7" x14ac:dyDescent="0.2">
      <c r="B390" s="82"/>
      <c r="C390" s="82"/>
      <c r="D390" s="83"/>
      <c r="E390" s="82"/>
      <c r="F390" s="82"/>
      <c r="G390" s="82"/>
    </row>
    <row r="391" spans="2:7" x14ac:dyDescent="0.2">
      <c r="B391" s="82"/>
      <c r="C391" s="82"/>
      <c r="D391" s="83"/>
      <c r="E391" s="82"/>
      <c r="F391" s="82"/>
      <c r="G391" s="82"/>
    </row>
    <row r="392" spans="2:7" x14ac:dyDescent="0.2">
      <c r="B392" s="82"/>
      <c r="C392" s="82"/>
      <c r="D392" s="83"/>
      <c r="E392" s="82"/>
      <c r="F392" s="82"/>
      <c r="G392" s="82"/>
    </row>
    <row r="393" spans="2:7" x14ac:dyDescent="0.2">
      <c r="B393" s="82"/>
      <c r="C393" s="82"/>
      <c r="D393" s="83"/>
      <c r="E393" s="82"/>
      <c r="F393" s="82"/>
      <c r="G393" s="82"/>
    </row>
    <row r="394" spans="2:7" x14ac:dyDescent="0.2">
      <c r="B394" s="82"/>
      <c r="C394" s="82"/>
      <c r="D394" s="83"/>
      <c r="E394" s="82"/>
      <c r="F394" s="82"/>
      <c r="G394" s="82"/>
    </row>
    <row r="395" spans="2:7" x14ac:dyDescent="0.2">
      <c r="B395" s="82"/>
      <c r="C395" s="82"/>
      <c r="D395" s="83"/>
      <c r="E395" s="82"/>
      <c r="F395" s="82"/>
      <c r="G395" s="82"/>
    </row>
    <row r="396" spans="2:7" x14ac:dyDescent="0.2">
      <c r="B396" s="82"/>
      <c r="C396" s="82"/>
      <c r="D396" s="83"/>
      <c r="E396" s="82"/>
      <c r="F396" s="82"/>
      <c r="G396" s="82"/>
    </row>
    <row r="397" spans="2:7" x14ac:dyDescent="0.2">
      <c r="B397" s="82"/>
      <c r="C397" s="82"/>
      <c r="D397" s="83"/>
      <c r="E397" s="82"/>
      <c r="F397" s="82"/>
      <c r="G397" s="82"/>
    </row>
    <row r="398" spans="2:7" x14ac:dyDescent="0.2">
      <c r="B398" s="82"/>
      <c r="C398" s="82"/>
      <c r="D398" s="83"/>
      <c r="E398" s="82"/>
      <c r="F398" s="82"/>
      <c r="G398" s="82"/>
    </row>
    <row r="399" spans="2:7" x14ac:dyDescent="0.2">
      <c r="B399" s="82"/>
      <c r="C399" s="82"/>
      <c r="D399" s="83"/>
      <c r="E399" s="82"/>
      <c r="F399" s="82"/>
      <c r="G399" s="82"/>
    </row>
    <row r="400" spans="2:7" x14ac:dyDescent="0.2">
      <c r="B400" s="82"/>
      <c r="C400" s="82"/>
      <c r="D400" s="83"/>
      <c r="E400" s="82"/>
      <c r="F400" s="82"/>
      <c r="G400" s="82"/>
    </row>
    <row r="401" spans="2:7" x14ac:dyDescent="0.2">
      <c r="B401" s="82"/>
      <c r="C401" s="82"/>
      <c r="D401" s="83"/>
      <c r="E401" s="82"/>
      <c r="F401" s="82"/>
      <c r="G401" s="82"/>
    </row>
    <row r="402" spans="2:7" x14ac:dyDescent="0.2">
      <c r="B402" s="82"/>
      <c r="C402" s="82"/>
      <c r="D402" s="83"/>
      <c r="E402" s="82"/>
      <c r="F402" s="82"/>
      <c r="G402" s="82"/>
    </row>
    <row r="403" spans="2:7" x14ac:dyDescent="0.2">
      <c r="B403" s="82"/>
      <c r="C403" s="82"/>
      <c r="D403" s="83"/>
      <c r="E403" s="82"/>
      <c r="F403" s="82"/>
      <c r="G403" s="82"/>
    </row>
    <row r="404" spans="2:7" x14ac:dyDescent="0.2">
      <c r="B404" s="82"/>
      <c r="C404" s="82"/>
      <c r="D404" s="83"/>
      <c r="E404" s="82"/>
      <c r="F404" s="82"/>
      <c r="G404" s="82"/>
    </row>
    <row r="405" spans="2:7" x14ac:dyDescent="0.2">
      <c r="B405" s="82"/>
      <c r="C405" s="82"/>
      <c r="D405" s="83"/>
      <c r="E405" s="82"/>
      <c r="F405" s="82"/>
      <c r="G405" s="82"/>
    </row>
    <row r="406" spans="2:7" x14ac:dyDescent="0.2">
      <c r="B406" s="82"/>
      <c r="C406" s="82"/>
      <c r="D406" s="83"/>
      <c r="E406" s="82"/>
      <c r="F406" s="82"/>
      <c r="G406" s="82"/>
    </row>
    <row r="407" spans="2:7" x14ac:dyDescent="0.2">
      <c r="B407" s="82"/>
      <c r="C407" s="82"/>
      <c r="D407" s="83"/>
      <c r="E407" s="82"/>
      <c r="F407" s="82"/>
      <c r="G407" s="82"/>
    </row>
    <row r="408" spans="2:7" x14ac:dyDescent="0.2">
      <c r="B408" s="82"/>
      <c r="C408" s="82"/>
      <c r="D408" s="83"/>
      <c r="E408" s="82"/>
      <c r="F408" s="82"/>
      <c r="G408" s="82"/>
    </row>
    <row r="409" spans="2:7" x14ac:dyDescent="0.2">
      <c r="B409" s="82"/>
      <c r="C409" s="82"/>
      <c r="D409" s="83"/>
      <c r="E409" s="82"/>
      <c r="F409" s="82"/>
      <c r="G409" s="82"/>
    </row>
    <row r="410" spans="2:7" x14ac:dyDescent="0.2">
      <c r="B410" s="82"/>
      <c r="C410" s="82"/>
      <c r="D410" s="83"/>
      <c r="E410" s="82"/>
      <c r="F410" s="82"/>
      <c r="G410" s="82"/>
    </row>
    <row r="411" spans="2:7" x14ac:dyDescent="0.2">
      <c r="B411" s="82"/>
      <c r="C411" s="82"/>
      <c r="D411" s="83"/>
      <c r="E411" s="82"/>
      <c r="F411" s="82"/>
      <c r="G411" s="82"/>
    </row>
    <row r="412" spans="2:7" x14ac:dyDescent="0.2">
      <c r="B412" s="82"/>
      <c r="C412" s="82"/>
      <c r="D412" s="83"/>
      <c r="E412" s="82"/>
      <c r="F412" s="82"/>
      <c r="G412" s="82"/>
    </row>
    <row r="413" spans="2:7" x14ac:dyDescent="0.2">
      <c r="B413" s="82"/>
      <c r="C413" s="82"/>
      <c r="D413" s="83"/>
      <c r="E413" s="82"/>
      <c r="F413" s="82"/>
      <c r="G413" s="82"/>
    </row>
    <row r="414" spans="2:7" x14ac:dyDescent="0.2">
      <c r="B414" s="82"/>
      <c r="C414" s="82"/>
      <c r="D414" s="83"/>
      <c r="E414" s="82"/>
      <c r="F414" s="82"/>
      <c r="G414" s="82"/>
    </row>
    <row r="415" spans="2:7" x14ac:dyDescent="0.2">
      <c r="B415" s="82"/>
      <c r="C415" s="82"/>
      <c r="D415" s="83"/>
      <c r="E415" s="82"/>
      <c r="F415" s="82"/>
      <c r="G415" s="82"/>
    </row>
    <row r="416" spans="2:7" x14ac:dyDescent="0.2">
      <c r="B416" s="82"/>
      <c r="C416" s="82"/>
      <c r="D416" s="83"/>
      <c r="E416" s="82"/>
      <c r="F416" s="82"/>
      <c r="G416" s="82"/>
    </row>
    <row r="417" spans="2:7" x14ac:dyDescent="0.2">
      <c r="B417" s="82"/>
      <c r="C417" s="82"/>
      <c r="D417" s="83"/>
      <c r="E417" s="82"/>
      <c r="F417" s="82"/>
      <c r="G417" s="82"/>
    </row>
    <row r="418" spans="2:7" x14ac:dyDescent="0.2">
      <c r="B418" s="82"/>
      <c r="C418" s="82"/>
      <c r="D418" s="83"/>
      <c r="E418" s="82"/>
      <c r="F418" s="82"/>
      <c r="G418" s="82"/>
    </row>
    <row r="419" spans="2:7" x14ac:dyDescent="0.2">
      <c r="B419" s="82"/>
      <c r="C419" s="82"/>
      <c r="D419" s="83"/>
      <c r="E419" s="82"/>
      <c r="F419" s="82"/>
      <c r="G419" s="82"/>
    </row>
    <row r="420" spans="2:7" x14ac:dyDescent="0.2">
      <c r="B420" s="82"/>
      <c r="C420" s="82"/>
      <c r="D420" s="83"/>
      <c r="E420" s="82"/>
      <c r="F420" s="82"/>
      <c r="G420" s="82"/>
    </row>
    <row r="421" spans="2:7" x14ac:dyDescent="0.2">
      <c r="B421" s="82"/>
      <c r="C421" s="82"/>
      <c r="D421" s="83"/>
      <c r="E421" s="82"/>
      <c r="F421" s="82"/>
      <c r="G421" s="82"/>
    </row>
    <row r="422" spans="2:7" x14ac:dyDescent="0.2">
      <c r="B422" s="82"/>
      <c r="C422" s="82"/>
      <c r="D422" s="83"/>
      <c r="E422" s="82"/>
      <c r="F422" s="82"/>
      <c r="G422" s="82"/>
    </row>
    <row r="423" spans="2:7" x14ac:dyDescent="0.2">
      <c r="B423" s="82"/>
      <c r="C423" s="82"/>
      <c r="D423" s="83"/>
      <c r="E423" s="82"/>
      <c r="F423" s="82"/>
      <c r="G423" s="82"/>
    </row>
    <row r="424" spans="2:7" x14ac:dyDescent="0.2">
      <c r="B424" s="82"/>
      <c r="C424" s="82"/>
      <c r="D424" s="83"/>
      <c r="E424" s="82"/>
      <c r="F424" s="82"/>
      <c r="G424" s="82"/>
    </row>
    <row r="425" spans="2:7" x14ac:dyDescent="0.2">
      <c r="B425" s="82"/>
      <c r="C425" s="82"/>
      <c r="D425" s="83"/>
      <c r="E425" s="82"/>
      <c r="F425" s="82"/>
      <c r="G425" s="82"/>
    </row>
    <row r="426" spans="2:7" x14ac:dyDescent="0.2">
      <c r="B426" s="82"/>
      <c r="C426" s="82"/>
      <c r="D426" s="83"/>
      <c r="E426" s="82"/>
      <c r="F426" s="82"/>
      <c r="G426" s="82"/>
    </row>
    <row r="427" spans="2:7" x14ac:dyDescent="0.2">
      <c r="B427" s="82"/>
      <c r="C427" s="82"/>
      <c r="D427" s="83"/>
      <c r="E427" s="82"/>
      <c r="F427" s="82"/>
      <c r="G427" s="82"/>
    </row>
    <row r="428" spans="2:7" x14ac:dyDescent="0.2">
      <c r="B428" s="82"/>
      <c r="C428" s="82"/>
      <c r="D428" s="83"/>
      <c r="E428" s="82"/>
      <c r="F428" s="82"/>
      <c r="G428" s="82"/>
    </row>
    <row r="429" spans="2:7" x14ac:dyDescent="0.2">
      <c r="B429" s="82"/>
      <c r="C429" s="82"/>
      <c r="D429" s="83"/>
      <c r="E429" s="82"/>
      <c r="F429" s="82"/>
      <c r="G429" s="82"/>
    </row>
    <row r="430" spans="2:7" x14ac:dyDescent="0.2">
      <c r="B430" s="82"/>
      <c r="C430" s="82"/>
      <c r="D430" s="83"/>
      <c r="E430" s="82"/>
      <c r="F430" s="82"/>
      <c r="G430" s="82"/>
    </row>
    <row r="431" spans="2:7" x14ac:dyDescent="0.2">
      <c r="B431" s="82"/>
      <c r="C431" s="82"/>
      <c r="D431" s="83"/>
      <c r="E431" s="82"/>
      <c r="F431" s="82"/>
      <c r="G431" s="82"/>
    </row>
    <row r="432" spans="2:7" x14ac:dyDescent="0.2">
      <c r="B432" s="82"/>
      <c r="C432" s="82"/>
      <c r="D432" s="83"/>
      <c r="E432" s="82"/>
      <c r="F432" s="82"/>
      <c r="G432" s="82"/>
    </row>
    <row r="433" spans="2:7" x14ac:dyDescent="0.2">
      <c r="B433" s="82"/>
      <c r="C433" s="82"/>
      <c r="D433" s="83"/>
      <c r="E433" s="82"/>
      <c r="F433" s="82"/>
      <c r="G433" s="82"/>
    </row>
    <row r="434" spans="2:7" x14ac:dyDescent="0.2">
      <c r="B434" s="82"/>
      <c r="C434" s="82"/>
      <c r="D434" s="83"/>
      <c r="E434" s="82"/>
      <c r="F434" s="82"/>
      <c r="G434" s="82"/>
    </row>
    <row r="435" spans="2:7" x14ac:dyDescent="0.2">
      <c r="B435" s="82"/>
      <c r="C435" s="82"/>
      <c r="D435" s="83"/>
      <c r="E435" s="82"/>
      <c r="F435" s="82"/>
      <c r="G435" s="82"/>
    </row>
    <row r="436" spans="2:7" x14ac:dyDescent="0.2">
      <c r="B436" s="82"/>
      <c r="C436" s="82"/>
      <c r="D436" s="83"/>
      <c r="E436" s="82"/>
      <c r="F436" s="82"/>
      <c r="G436" s="82"/>
    </row>
    <row r="437" spans="2:7" x14ac:dyDescent="0.2">
      <c r="B437" s="82"/>
      <c r="C437" s="82"/>
      <c r="D437" s="83"/>
      <c r="E437" s="82"/>
      <c r="F437" s="82"/>
      <c r="G437" s="82"/>
    </row>
    <row r="438" spans="2:7" x14ac:dyDescent="0.2">
      <c r="B438" s="82"/>
      <c r="C438" s="82"/>
      <c r="D438" s="83"/>
      <c r="E438" s="82"/>
      <c r="F438" s="82"/>
      <c r="G438" s="82"/>
    </row>
    <row r="439" spans="2:7" x14ac:dyDescent="0.2">
      <c r="B439" s="82"/>
      <c r="C439" s="82"/>
      <c r="D439" s="83"/>
      <c r="E439" s="82"/>
      <c r="F439" s="82"/>
      <c r="G439" s="82"/>
    </row>
    <row r="440" spans="2:7" x14ac:dyDescent="0.2">
      <c r="B440" s="82"/>
      <c r="C440" s="82"/>
      <c r="D440" s="83"/>
      <c r="E440" s="82"/>
      <c r="F440" s="82"/>
      <c r="G440" s="82"/>
    </row>
    <row r="441" spans="2:7" x14ac:dyDescent="0.2">
      <c r="B441" s="82"/>
      <c r="C441" s="82"/>
      <c r="D441" s="83"/>
      <c r="E441" s="82"/>
      <c r="F441" s="82"/>
      <c r="G441" s="82"/>
    </row>
    <row r="442" spans="2:7" x14ac:dyDescent="0.2">
      <c r="B442" s="82"/>
      <c r="C442" s="82"/>
      <c r="D442" s="83"/>
      <c r="E442" s="82"/>
      <c r="F442" s="82"/>
      <c r="G442" s="82"/>
    </row>
    <row r="443" spans="2:7" x14ac:dyDescent="0.2">
      <c r="B443" s="82"/>
      <c r="C443" s="82"/>
      <c r="D443" s="83"/>
      <c r="E443" s="82"/>
      <c r="F443" s="82"/>
      <c r="G443" s="82"/>
    </row>
    <row r="444" spans="2:7" x14ac:dyDescent="0.2">
      <c r="B444" s="82"/>
      <c r="C444" s="82"/>
      <c r="D444" s="83"/>
      <c r="E444" s="82"/>
      <c r="F444" s="82"/>
      <c r="G444" s="82"/>
    </row>
    <row r="445" spans="2:7" x14ac:dyDescent="0.2">
      <c r="B445" s="82"/>
      <c r="C445" s="82"/>
      <c r="D445" s="83"/>
      <c r="E445" s="82"/>
      <c r="F445" s="82"/>
      <c r="G445" s="82"/>
    </row>
    <row r="446" spans="2:7" x14ac:dyDescent="0.2">
      <c r="B446" s="82"/>
      <c r="C446" s="82"/>
      <c r="D446" s="83"/>
      <c r="E446" s="82"/>
      <c r="F446" s="82"/>
      <c r="G446" s="82"/>
    </row>
    <row r="447" spans="2:7" x14ac:dyDescent="0.2">
      <c r="B447" s="82"/>
      <c r="C447" s="82"/>
      <c r="D447" s="83"/>
      <c r="E447" s="82"/>
      <c r="F447" s="82"/>
      <c r="G447" s="82"/>
    </row>
    <row r="448" spans="2:7" x14ac:dyDescent="0.2">
      <c r="B448" s="82"/>
      <c r="C448" s="82"/>
      <c r="D448" s="83"/>
      <c r="E448" s="82"/>
      <c r="F448" s="82"/>
      <c r="G448" s="82"/>
    </row>
    <row r="449" spans="2:7" x14ac:dyDescent="0.2">
      <c r="B449" s="82"/>
      <c r="C449" s="82"/>
      <c r="D449" s="83"/>
      <c r="E449" s="82"/>
      <c r="F449" s="82"/>
      <c r="G449" s="82"/>
    </row>
    <row r="450" spans="2:7" x14ac:dyDescent="0.2">
      <c r="B450" s="82"/>
      <c r="C450" s="82"/>
      <c r="D450" s="83"/>
      <c r="E450" s="82"/>
      <c r="F450" s="82"/>
      <c r="G450" s="82"/>
    </row>
    <row r="451" spans="2:7" x14ac:dyDescent="0.2">
      <c r="B451" s="82"/>
      <c r="C451" s="82"/>
      <c r="D451" s="83"/>
      <c r="E451" s="82"/>
      <c r="F451" s="82"/>
      <c r="G451" s="82"/>
    </row>
    <row r="452" spans="2:7" x14ac:dyDescent="0.2">
      <c r="B452" s="82"/>
      <c r="C452" s="82"/>
      <c r="D452" s="83"/>
      <c r="E452" s="82"/>
      <c r="F452" s="82"/>
      <c r="G452" s="82"/>
    </row>
    <row r="453" spans="2:7" x14ac:dyDescent="0.2">
      <c r="B453" s="82"/>
      <c r="C453" s="82"/>
      <c r="D453" s="83"/>
      <c r="E453" s="82"/>
      <c r="F453" s="82"/>
      <c r="G453" s="82"/>
    </row>
    <row r="454" spans="2:7" x14ac:dyDescent="0.2">
      <c r="B454" s="82"/>
      <c r="C454" s="82"/>
      <c r="D454" s="83"/>
      <c r="E454" s="82"/>
      <c r="F454" s="82"/>
      <c r="G454" s="82"/>
    </row>
    <row r="455" spans="2:7" x14ac:dyDescent="0.2">
      <c r="B455" s="82"/>
      <c r="C455" s="82"/>
      <c r="D455" s="83"/>
      <c r="E455" s="82"/>
      <c r="F455" s="82"/>
      <c r="G455" s="82"/>
    </row>
    <row r="456" spans="2:7" x14ac:dyDescent="0.2">
      <c r="B456" s="82"/>
      <c r="C456" s="82"/>
      <c r="D456" s="83"/>
      <c r="E456" s="82"/>
      <c r="F456" s="82"/>
      <c r="G456" s="82"/>
    </row>
    <row r="457" spans="2:7" x14ac:dyDescent="0.2">
      <c r="B457" s="82"/>
      <c r="C457" s="82"/>
      <c r="D457" s="83"/>
      <c r="E457" s="82"/>
      <c r="F457" s="82"/>
      <c r="G457" s="82"/>
    </row>
    <row r="458" spans="2:7" x14ac:dyDescent="0.2">
      <c r="B458" s="82"/>
      <c r="C458" s="82"/>
      <c r="D458" s="83"/>
      <c r="E458" s="82"/>
      <c r="F458" s="82"/>
      <c r="G458" s="82"/>
    </row>
    <row r="459" spans="2:7" x14ac:dyDescent="0.2">
      <c r="B459" s="82"/>
      <c r="C459" s="82"/>
      <c r="D459" s="83"/>
      <c r="E459" s="82"/>
      <c r="F459" s="82"/>
      <c r="G459" s="82"/>
    </row>
    <row r="460" spans="2:7" x14ac:dyDescent="0.2">
      <c r="B460" s="82"/>
      <c r="C460" s="82"/>
      <c r="D460" s="83"/>
      <c r="E460" s="82"/>
      <c r="F460" s="82"/>
      <c r="G460" s="82"/>
    </row>
    <row r="461" spans="2:7" x14ac:dyDescent="0.2">
      <c r="B461" s="82"/>
      <c r="C461" s="82"/>
      <c r="D461" s="83"/>
      <c r="E461" s="82"/>
      <c r="F461" s="82"/>
      <c r="G461" s="82"/>
    </row>
    <row r="462" spans="2:7" x14ac:dyDescent="0.2">
      <c r="B462" s="82"/>
      <c r="C462" s="82"/>
      <c r="D462" s="83"/>
      <c r="E462" s="82"/>
      <c r="F462" s="82"/>
      <c r="G462" s="82"/>
    </row>
    <row r="463" spans="2:7" x14ac:dyDescent="0.2">
      <c r="B463" s="82"/>
      <c r="C463" s="82"/>
      <c r="D463" s="83"/>
      <c r="E463" s="82"/>
      <c r="F463" s="82"/>
      <c r="G463" s="82"/>
    </row>
    <row r="464" spans="2:7" x14ac:dyDescent="0.2">
      <c r="B464" s="82"/>
      <c r="C464" s="82"/>
      <c r="D464" s="83"/>
      <c r="E464" s="82"/>
      <c r="F464" s="82"/>
      <c r="G464" s="82"/>
    </row>
    <row r="465" spans="2:7" x14ac:dyDescent="0.2">
      <c r="B465" s="82"/>
      <c r="C465" s="82"/>
      <c r="D465" s="83"/>
      <c r="E465" s="82"/>
      <c r="F465" s="82"/>
      <c r="G465" s="82"/>
    </row>
    <row r="466" spans="2:7" x14ac:dyDescent="0.2">
      <c r="B466" s="82"/>
      <c r="C466" s="82"/>
      <c r="D466" s="83"/>
      <c r="E466" s="82"/>
      <c r="F466" s="82"/>
      <c r="G466" s="82"/>
    </row>
    <row r="467" spans="2:7" x14ac:dyDescent="0.2">
      <c r="B467" s="82"/>
      <c r="C467" s="82"/>
      <c r="D467" s="83"/>
      <c r="E467" s="82"/>
      <c r="F467" s="82"/>
      <c r="G467" s="82"/>
    </row>
    <row r="468" spans="2:7" x14ac:dyDescent="0.2">
      <c r="B468" s="82"/>
      <c r="C468" s="82"/>
      <c r="D468" s="83"/>
      <c r="E468" s="82"/>
      <c r="F468" s="82"/>
      <c r="G468" s="82"/>
    </row>
    <row r="469" spans="2:7" x14ac:dyDescent="0.2">
      <c r="B469" s="82"/>
      <c r="C469" s="82"/>
      <c r="D469" s="83"/>
      <c r="E469" s="82"/>
      <c r="F469" s="82"/>
      <c r="G469" s="82"/>
    </row>
    <row r="470" spans="2:7" x14ac:dyDescent="0.2">
      <c r="B470" s="82"/>
      <c r="C470" s="82"/>
      <c r="D470" s="83"/>
      <c r="E470" s="82"/>
      <c r="F470" s="82"/>
      <c r="G470" s="82"/>
    </row>
    <row r="471" spans="2:7" x14ac:dyDescent="0.2">
      <c r="B471" s="82"/>
      <c r="C471" s="82"/>
      <c r="D471" s="83"/>
      <c r="E471" s="82"/>
      <c r="F471" s="82"/>
      <c r="G471" s="82"/>
    </row>
    <row r="472" spans="2:7" x14ac:dyDescent="0.2">
      <c r="B472" s="82"/>
      <c r="C472" s="82"/>
      <c r="D472" s="83"/>
      <c r="E472" s="82"/>
      <c r="F472" s="82"/>
      <c r="G472" s="82"/>
    </row>
    <row r="473" spans="2:7" x14ac:dyDescent="0.2">
      <c r="B473" s="82"/>
      <c r="C473" s="82"/>
      <c r="D473" s="83"/>
      <c r="E473" s="82"/>
      <c r="F473" s="82"/>
      <c r="G473" s="82"/>
    </row>
    <row r="474" spans="2:7" x14ac:dyDescent="0.2">
      <c r="B474" s="82"/>
      <c r="C474" s="82"/>
      <c r="D474" s="83"/>
      <c r="E474" s="82"/>
      <c r="F474" s="82"/>
      <c r="G474" s="82"/>
    </row>
    <row r="475" spans="2:7" x14ac:dyDescent="0.2">
      <c r="B475" s="82"/>
      <c r="C475" s="82"/>
      <c r="D475" s="83"/>
      <c r="E475" s="82"/>
      <c r="F475" s="82"/>
      <c r="G475" s="82"/>
    </row>
    <row r="476" spans="2:7" x14ac:dyDescent="0.2">
      <c r="B476" s="82"/>
      <c r="C476" s="82"/>
      <c r="D476" s="83"/>
      <c r="E476" s="82"/>
      <c r="F476" s="82"/>
      <c r="G476" s="82"/>
    </row>
    <row r="477" spans="2:7" x14ac:dyDescent="0.2">
      <c r="B477" s="82"/>
      <c r="C477" s="82"/>
      <c r="D477" s="83"/>
      <c r="E477" s="82"/>
      <c r="F477" s="82"/>
      <c r="G477" s="82"/>
    </row>
    <row r="478" spans="2:7" x14ac:dyDescent="0.2">
      <c r="B478" s="82"/>
      <c r="C478" s="82"/>
      <c r="D478" s="83"/>
      <c r="E478" s="82"/>
      <c r="F478" s="82"/>
      <c r="G478" s="82"/>
    </row>
    <row r="479" spans="2:7" x14ac:dyDescent="0.2">
      <c r="B479" s="82"/>
      <c r="C479" s="82"/>
      <c r="D479" s="83"/>
      <c r="E479" s="82"/>
      <c r="F479" s="82"/>
      <c r="G479" s="82"/>
    </row>
    <row r="480" spans="2:7" x14ac:dyDescent="0.2">
      <c r="B480" s="82"/>
      <c r="C480" s="82"/>
      <c r="D480" s="83"/>
      <c r="E480" s="82"/>
      <c r="F480" s="82"/>
      <c r="G480" s="82"/>
    </row>
    <row r="481" spans="2:7" x14ac:dyDescent="0.2">
      <c r="B481" s="82"/>
      <c r="C481" s="82"/>
      <c r="D481" s="83"/>
      <c r="E481" s="82"/>
      <c r="F481" s="82"/>
      <c r="G481" s="82"/>
    </row>
    <row r="482" spans="2:7" x14ac:dyDescent="0.2">
      <c r="B482" s="82"/>
      <c r="C482" s="82"/>
      <c r="D482" s="83"/>
      <c r="E482" s="82"/>
      <c r="F482" s="82"/>
      <c r="G482" s="82"/>
    </row>
    <row r="483" spans="2:7" x14ac:dyDescent="0.2">
      <c r="B483" s="82"/>
      <c r="C483" s="82"/>
      <c r="D483" s="83"/>
      <c r="E483" s="82"/>
      <c r="F483" s="82"/>
      <c r="G483" s="82"/>
    </row>
    <row r="484" spans="2:7" x14ac:dyDescent="0.2">
      <c r="B484" s="82"/>
      <c r="C484" s="82"/>
      <c r="D484" s="83"/>
      <c r="E484" s="82"/>
      <c r="F484" s="82"/>
      <c r="G484" s="82"/>
    </row>
    <row r="485" spans="2:7" x14ac:dyDescent="0.2">
      <c r="B485" s="82"/>
      <c r="C485" s="82"/>
      <c r="D485" s="83"/>
      <c r="E485" s="82"/>
      <c r="F485" s="82"/>
      <c r="G485" s="82"/>
    </row>
    <row r="486" spans="2:7" x14ac:dyDescent="0.2">
      <c r="B486" s="82"/>
      <c r="C486" s="82"/>
      <c r="D486" s="83"/>
      <c r="E486" s="82"/>
      <c r="F486" s="82"/>
      <c r="G486" s="82"/>
    </row>
    <row r="487" spans="2:7" x14ac:dyDescent="0.2">
      <c r="B487" s="82"/>
      <c r="C487" s="82"/>
      <c r="D487" s="83"/>
      <c r="E487" s="82"/>
      <c r="F487" s="82"/>
      <c r="G487" s="82"/>
    </row>
    <row r="488" spans="2:7" x14ac:dyDescent="0.2">
      <c r="B488" s="82"/>
      <c r="C488" s="82"/>
      <c r="D488" s="83"/>
      <c r="E488" s="82"/>
      <c r="F488" s="82"/>
      <c r="G488" s="82"/>
    </row>
    <row r="489" spans="2:7" x14ac:dyDescent="0.2">
      <c r="B489" s="82"/>
      <c r="C489" s="82"/>
      <c r="D489" s="83"/>
      <c r="E489" s="82"/>
      <c r="F489" s="82"/>
      <c r="G489" s="82"/>
    </row>
    <row r="490" spans="2:7" x14ac:dyDescent="0.2">
      <c r="B490" s="82"/>
      <c r="C490" s="82"/>
      <c r="D490" s="83"/>
      <c r="E490" s="82"/>
      <c r="F490" s="82"/>
      <c r="G490" s="82"/>
    </row>
    <row r="491" spans="2:7" x14ac:dyDescent="0.2">
      <c r="B491" s="82"/>
      <c r="C491" s="82"/>
      <c r="D491" s="83"/>
      <c r="E491" s="82"/>
      <c r="F491" s="82"/>
      <c r="G491" s="82"/>
    </row>
    <row r="492" spans="2:7" x14ac:dyDescent="0.2">
      <c r="B492" s="82"/>
      <c r="C492" s="82"/>
      <c r="D492" s="83"/>
      <c r="E492" s="82"/>
      <c r="F492" s="82"/>
      <c r="G492" s="82"/>
    </row>
    <row r="493" spans="2:7" x14ac:dyDescent="0.2">
      <c r="B493" s="82"/>
      <c r="C493" s="82"/>
      <c r="D493" s="83"/>
      <c r="E493" s="82"/>
      <c r="F493" s="82"/>
      <c r="G493" s="82"/>
    </row>
    <row r="494" spans="2:7" x14ac:dyDescent="0.2">
      <c r="B494" s="82"/>
      <c r="C494" s="82"/>
      <c r="D494" s="83"/>
      <c r="E494" s="82"/>
      <c r="F494" s="82"/>
      <c r="G494" s="82"/>
    </row>
    <row r="495" spans="2:7" x14ac:dyDescent="0.2">
      <c r="B495" s="82"/>
      <c r="C495" s="82"/>
      <c r="D495" s="83"/>
      <c r="E495" s="82"/>
      <c r="F495" s="82"/>
      <c r="G495" s="82"/>
    </row>
    <row r="496" spans="2:7" x14ac:dyDescent="0.2">
      <c r="B496" s="82"/>
      <c r="C496" s="82"/>
      <c r="D496" s="83"/>
      <c r="E496" s="82"/>
      <c r="F496" s="82"/>
      <c r="G496" s="82"/>
    </row>
    <row r="497" spans="2:7" x14ac:dyDescent="0.2">
      <c r="B497" s="82"/>
      <c r="C497" s="82"/>
      <c r="D497" s="83"/>
      <c r="E497" s="82"/>
      <c r="F497" s="82"/>
      <c r="G497" s="82"/>
    </row>
    <row r="498" spans="2:7" x14ac:dyDescent="0.2">
      <c r="B498" s="82"/>
      <c r="C498" s="82"/>
      <c r="D498" s="83"/>
      <c r="E498" s="82"/>
      <c r="F498" s="82"/>
      <c r="G498" s="82"/>
    </row>
    <row r="499" spans="2:7" x14ac:dyDescent="0.2">
      <c r="B499" s="82"/>
      <c r="C499" s="82"/>
      <c r="D499" s="83"/>
      <c r="E499" s="82"/>
      <c r="F499" s="82"/>
      <c r="G499" s="82"/>
    </row>
    <row r="500" spans="2:7" x14ac:dyDescent="0.2">
      <c r="B500" s="82"/>
      <c r="C500" s="82"/>
      <c r="D500" s="83"/>
      <c r="E500" s="82"/>
      <c r="F500" s="82"/>
      <c r="G500" s="82"/>
    </row>
    <row r="501" spans="2:7" x14ac:dyDescent="0.2">
      <c r="B501" s="82"/>
      <c r="C501" s="82"/>
      <c r="D501" s="83"/>
      <c r="E501" s="82"/>
      <c r="F501" s="82"/>
      <c r="G501" s="82"/>
    </row>
    <row r="502" spans="2:7" x14ac:dyDescent="0.2">
      <c r="B502" s="82"/>
      <c r="C502" s="82"/>
      <c r="D502" s="83"/>
      <c r="E502" s="82"/>
      <c r="F502" s="82"/>
      <c r="G502" s="82"/>
    </row>
    <row r="503" spans="2:7" x14ac:dyDescent="0.2">
      <c r="B503" s="82"/>
      <c r="C503" s="82"/>
      <c r="D503" s="83"/>
      <c r="E503" s="82"/>
      <c r="F503" s="82"/>
      <c r="G503" s="82"/>
    </row>
    <row r="504" spans="2:7" x14ac:dyDescent="0.2">
      <c r="B504" s="82"/>
      <c r="C504" s="82"/>
      <c r="D504" s="83"/>
      <c r="E504" s="82"/>
      <c r="F504" s="82"/>
      <c r="G504" s="82"/>
    </row>
    <row r="505" spans="2:7" x14ac:dyDescent="0.2">
      <c r="B505" s="82"/>
      <c r="C505" s="82"/>
      <c r="D505" s="83"/>
      <c r="E505" s="82"/>
      <c r="F505" s="82"/>
      <c r="G505" s="82"/>
    </row>
    <row r="506" spans="2:7" x14ac:dyDescent="0.2">
      <c r="B506" s="82"/>
      <c r="C506" s="82"/>
      <c r="D506" s="83"/>
      <c r="E506" s="82"/>
      <c r="F506" s="82"/>
      <c r="G506" s="82"/>
    </row>
    <row r="507" spans="2:7" x14ac:dyDescent="0.2">
      <c r="B507" s="82"/>
      <c r="C507" s="82"/>
      <c r="D507" s="83"/>
      <c r="E507" s="82"/>
      <c r="F507" s="82"/>
      <c r="G507" s="82"/>
    </row>
    <row r="508" spans="2:7" x14ac:dyDescent="0.2">
      <c r="B508" s="82"/>
      <c r="C508" s="82"/>
      <c r="D508" s="83"/>
      <c r="E508" s="82"/>
      <c r="F508" s="82"/>
      <c r="G508" s="82"/>
    </row>
    <row r="509" spans="2:7" x14ac:dyDescent="0.2">
      <c r="B509" s="82"/>
      <c r="C509" s="82"/>
      <c r="D509" s="83"/>
      <c r="E509" s="82"/>
      <c r="F509" s="82"/>
      <c r="G509" s="82"/>
    </row>
    <row r="510" spans="2:7" x14ac:dyDescent="0.2">
      <c r="B510" s="82"/>
      <c r="C510" s="82"/>
      <c r="D510" s="83"/>
      <c r="E510" s="82"/>
      <c r="F510" s="82"/>
      <c r="G510" s="82"/>
    </row>
    <row r="511" spans="2:7" x14ac:dyDescent="0.2">
      <c r="B511" s="82"/>
      <c r="C511" s="82"/>
      <c r="D511" s="83"/>
      <c r="E511" s="82"/>
      <c r="F511" s="82"/>
      <c r="G511" s="82"/>
    </row>
    <row r="512" spans="2:7" x14ac:dyDescent="0.2">
      <c r="B512" s="82"/>
      <c r="C512" s="82"/>
      <c r="D512" s="83"/>
      <c r="E512" s="82"/>
      <c r="F512" s="82"/>
      <c r="G512" s="82"/>
    </row>
    <row r="513" spans="2:7" x14ac:dyDescent="0.2">
      <c r="B513" s="82"/>
      <c r="C513" s="82"/>
      <c r="D513" s="83"/>
      <c r="E513" s="82"/>
      <c r="F513" s="82"/>
      <c r="G513" s="82"/>
    </row>
    <row r="514" spans="2:7" x14ac:dyDescent="0.2">
      <c r="B514" s="82"/>
      <c r="C514" s="82"/>
      <c r="D514" s="83"/>
      <c r="E514" s="82"/>
      <c r="F514" s="82"/>
      <c r="G514" s="82"/>
    </row>
    <row r="515" spans="2:7" x14ac:dyDescent="0.2">
      <c r="B515" s="82"/>
      <c r="C515" s="82"/>
      <c r="D515" s="83"/>
      <c r="E515" s="82"/>
      <c r="F515" s="82"/>
      <c r="G515" s="82"/>
    </row>
    <row r="516" spans="2:7" x14ac:dyDescent="0.2">
      <c r="B516" s="82"/>
      <c r="C516" s="82"/>
      <c r="D516" s="83"/>
      <c r="E516" s="82"/>
      <c r="F516" s="82"/>
      <c r="G516" s="82"/>
    </row>
    <row r="517" spans="2:7" x14ac:dyDescent="0.2">
      <c r="B517" s="82"/>
      <c r="C517" s="82"/>
      <c r="D517" s="83"/>
      <c r="E517" s="82"/>
      <c r="F517" s="82"/>
      <c r="G517" s="82"/>
    </row>
    <row r="518" spans="2:7" x14ac:dyDescent="0.2">
      <c r="B518" s="82"/>
      <c r="C518" s="82"/>
      <c r="D518" s="83"/>
      <c r="E518" s="82"/>
      <c r="F518" s="82"/>
      <c r="G518" s="82"/>
    </row>
    <row r="519" spans="2:7" x14ac:dyDescent="0.2">
      <c r="B519" s="82"/>
      <c r="C519" s="82"/>
      <c r="D519" s="83"/>
      <c r="E519" s="82"/>
      <c r="F519" s="82"/>
      <c r="G519" s="82"/>
    </row>
    <row r="520" spans="2:7" x14ac:dyDescent="0.2">
      <c r="B520" s="82"/>
      <c r="C520" s="82"/>
      <c r="D520" s="83"/>
      <c r="E520" s="82"/>
      <c r="F520" s="82"/>
      <c r="G520" s="82"/>
    </row>
    <row r="521" spans="2:7" x14ac:dyDescent="0.2">
      <c r="B521" s="82"/>
      <c r="C521" s="82"/>
      <c r="D521" s="83"/>
      <c r="E521" s="82"/>
      <c r="F521" s="82"/>
      <c r="G521" s="82"/>
    </row>
    <row r="522" spans="2:7" x14ac:dyDescent="0.2">
      <c r="B522" s="82"/>
      <c r="C522" s="82"/>
      <c r="D522" s="83"/>
      <c r="E522" s="82"/>
      <c r="F522" s="82"/>
      <c r="G522" s="82"/>
    </row>
    <row r="523" spans="2:7" x14ac:dyDescent="0.2">
      <c r="B523" s="82"/>
      <c r="C523" s="82"/>
      <c r="D523" s="83"/>
      <c r="E523" s="82"/>
      <c r="F523" s="82"/>
      <c r="G523" s="82"/>
    </row>
    <row r="524" spans="2:7" x14ac:dyDescent="0.2">
      <c r="B524" s="82"/>
      <c r="C524" s="82"/>
      <c r="D524" s="83"/>
      <c r="E524" s="82"/>
      <c r="F524" s="82"/>
      <c r="G524" s="82"/>
    </row>
    <row r="525" spans="2:7" x14ac:dyDescent="0.2">
      <c r="B525" s="82"/>
      <c r="C525" s="82"/>
      <c r="D525" s="83"/>
      <c r="E525" s="82"/>
      <c r="F525" s="82"/>
      <c r="G525" s="82"/>
    </row>
    <row r="526" spans="2:7" x14ac:dyDescent="0.2">
      <c r="B526" s="82"/>
      <c r="C526" s="82"/>
      <c r="D526" s="83"/>
      <c r="E526" s="82"/>
      <c r="F526" s="82"/>
      <c r="G526" s="82"/>
    </row>
    <row r="527" spans="2:7" x14ac:dyDescent="0.2">
      <c r="B527" s="82"/>
      <c r="C527" s="82"/>
      <c r="D527" s="83"/>
      <c r="E527" s="82"/>
      <c r="F527" s="82"/>
      <c r="G527" s="82"/>
    </row>
    <row r="528" spans="2:7" x14ac:dyDescent="0.2">
      <c r="B528" s="82"/>
      <c r="C528" s="82"/>
      <c r="D528" s="83"/>
      <c r="E528" s="82"/>
      <c r="F528" s="82"/>
      <c r="G528" s="82"/>
    </row>
    <row r="529" spans="2:7" x14ac:dyDescent="0.2">
      <c r="B529" s="82"/>
      <c r="C529" s="82"/>
      <c r="D529" s="83"/>
      <c r="E529" s="82"/>
      <c r="F529" s="82"/>
      <c r="G529" s="82"/>
    </row>
    <row r="530" spans="2:7" x14ac:dyDescent="0.2">
      <c r="B530" s="82"/>
      <c r="C530" s="82"/>
      <c r="D530" s="83"/>
      <c r="E530" s="82"/>
      <c r="F530" s="82"/>
      <c r="G530" s="82"/>
    </row>
    <row r="531" spans="2:7" x14ac:dyDescent="0.2">
      <c r="B531" s="82"/>
      <c r="C531" s="82"/>
      <c r="D531" s="83"/>
      <c r="E531" s="82"/>
      <c r="F531" s="82"/>
      <c r="G531" s="82"/>
    </row>
    <row r="532" spans="2:7" x14ac:dyDescent="0.2">
      <c r="B532" s="82"/>
      <c r="C532" s="82"/>
      <c r="D532" s="83"/>
      <c r="E532" s="82"/>
      <c r="F532" s="82"/>
      <c r="G532" s="82"/>
    </row>
    <row r="533" spans="2:7" x14ac:dyDescent="0.2">
      <c r="B533" s="82"/>
      <c r="C533" s="82"/>
      <c r="D533" s="83"/>
      <c r="E533" s="82"/>
      <c r="F533" s="82"/>
      <c r="G533" s="82"/>
    </row>
    <row r="534" spans="2:7" x14ac:dyDescent="0.2">
      <c r="B534" s="82"/>
      <c r="C534" s="82"/>
      <c r="D534" s="83"/>
      <c r="E534" s="82"/>
      <c r="F534" s="82"/>
      <c r="G534" s="82"/>
    </row>
    <row r="535" spans="2:7" x14ac:dyDescent="0.2">
      <c r="B535" s="82"/>
      <c r="C535" s="82"/>
      <c r="D535" s="83"/>
      <c r="E535" s="82"/>
      <c r="F535" s="82"/>
      <c r="G535" s="82"/>
    </row>
    <row r="536" spans="2:7" x14ac:dyDescent="0.2">
      <c r="B536" s="82"/>
      <c r="C536" s="82"/>
      <c r="D536" s="83"/>
      <c r="E536" s="82"/>
      <c r="F536" s="82"/>
      <c r="G536" s="82"/>
    </row>
    <row r="537" spans="2:7" x14ac:dyDescent="0.2">
      <c r="B537" s="82"/>
      <c r="C537" s="82"/>
      <c r="D537" s="83"/>
      <c r="E537" s="82"/>
      <c r="F537" s="82"/>
      <c r="G537" s="82"/>
    </row>
    <row r="538" spans="2:7" x14ac:dyDescent="0.2">
      <c r="B538" s="82"/>
      <c r="C538" s="82"/>
      <c r="D538" s="83"/>
      <c r="E538" s="82"/>
      <c r="F538" s="82"/>
      <c r="G538" s="82"/>
    </row>
    <row r="539" spans="2:7" x14ac:dyDescent="0.2">
      <c r="B539" s="82"/>
      <c r="C539" s="82"/>
      <c r="D539" s="83"/>
      <c r="E539" s="82"/>
      <c r="F539" s="82"/>
      <c r="G539" s="82"/>
    </row>
    <row r="540" spans="2:7" x14ac:dyDescent="0.2">
      <c r="B540" s="82"/>
      <c r="C540" s="82"/>
      <c r="D540" s="83"/>
      <c r="E540" s="82"/>
      <c r="F540" s="82"/>
      <c r="G540" s="82"/>
    </row>
    <row r="541" spans="2:7" x14ac:dyDescent="0.2">
      <c r="B541" s="82"/>
      <c r="C541" s="82"/>
      <c r="D541" s="83"/>
      <c r="E541" s="82"/>
      <c r="F541" s="82"/>
      <c r="G541" s="82"/>
    </row>
    <row r="542" spans="2:7" x14ac:dyDescent="0.2">
      <c r="B542" s="82"/>
      <c r="C542" s="82"/>
      <c r="D542" s="83"/>
      <c r="E542" s="82"/>
      <c r="F542" s="82"/>
      <c r="G542" s="82"/>
    </row>
    <row r="543" spans="2:7" x14ac:dyDescent="0.2">
      <c r="B543" s="82"/>
      <c r="C543" s="82"/>
      <c r="D543" s="83"/>
      <c r="E543" s="82"/>
      <c r="F543" s="82"/>
      <c r="G543" s="82"/>
    </row>
    <row r="544" spans="2:7" x14ac:dyDescent="0.2">
      <c r="B544" s="82"/>
      <c r="C544" s="82"/>
      <c r="D544" s="83"/>
      <c r="E544" s="82"/>
      <c r="F544" s="82"/>
      <c r="G544" s="82"/>
    </row>
    <row r="545" spans="2:7" x14ac:dyDescent="0.2">
      <c r="B545" s="82"/>
      <c r="C545" s="82"/>
      <c r="D545" s="83"/>
      <c r="E545" s="82"/>
      <c r="F545" s="82"/>
      <c r="G545" s="82"/>
    </row>
    <row r="546" spans="2:7" x14ac:dyDescent="0.2">
      <c r="B546" s="82"/>
      <c r="C546" s="82"/>
      <c r="D546" s="83"/>
      <c r="E546" s="82"/>
      <c r="F546" s="82"/>
      <c r="G546" s="82"/>
    </row>
    <row r="547" spans="2:7" x14ac:dyDescent="0.2">
      <c r="B547" s="82"/>
      <c r="C547" s="82"/>
      <c r="D547" s="83"/>
      <c r="E547" s="82"/>
      <c r="F547" s="82"/>
      <c r="G547" s="82"/>
    </row>
    <row r="548" spans="2:7" x14ac:dyDescent="0.2">
      <c r="B548" s="82"/>
      <c r="C548" s="82"/>
      <c r="D548" s="83"/>
      <c r="E548" s="82"/>
      <c r="F548" s="82"/>
      <c r="G548" s="82"/>
    </row>
    <row r="549" spans="2:7" x14ac:dyDescent="0.2">
      <c r="B549" s="82"/>
      <c r="C549" s="82"/>
      <c r="D549" s="83"/>
      <c r="E549" s="82"/>
      <c r="F549" s="82"/>
      <c r="G549" s="82"/>
    </row>
    <row r="550" spans="2:7" x14ac:dyDescent="0.2">
      <c r="B550" s="82"/>
      <c r="C550" s="82"/>
      <c r="D550" s="83"/>
      <c r="E550" s="82"/>
      <c r="F550" s="82"/>
      <c r="G550" s="82"/>
    </row>
    <row r="551" spans="2:7" x14ac:dyDescent="0.2">
      <c r="B551" s="82"/>
      <c r="C551" s="82"/>
      <c r="D551" s="83"/>
      <c r="E551" s="82"/>
      <c r="F551" s="82"/>
      <c r="G551" s="82"/>
    </row>
    <row r="552" spans="2:7" x14ac:dyDescent="0.2">
      <c r="B552" s="82"/>
      <c r="C552" s="82"/>
      <c r="D552" s="83"/>
      <c r="E552" s="82"/>
      <c r="F552" s="82"/>
      <c r="G552" s="82"/>
    </row>
    <row r="553" spans="2:7" x14ac:dyDescent="0.2">
      <c r="B553" s="82"/>
      <c r="C553" s="82"/>
      <c r="D553" s="83"/>
      <c r="E553" s="82"/>
      <c r="F553" s="82"/>
      <c r="G553" s="82"/>
    </row>
    <row r="554" spans="2:7" x14ac:dyDescent="0.2">
      <c r="B554" s="82"/>
      <c r="C554" s="82"/>
      <c r="D554" s="83"/>
      <c r="E554" s="82"/>
      <c r="F554" s="82"/>
      <c r="G554" s="82"/>
    </row>
    <row r="555" spans="2:7" x14ac:dyDescent="0.2">
      <c r="B555" s="82"/>
      <c r="C555" s="82"/>
      <c r="D555" s="83"/>
      <c r="E555" s="82"/>
      <c r="F555" s="82"/>
      <c r="G555" s="82"/>
    </row>
    <row r="556" spans="2:7" x14ac:dyDescent="0.2">
      <c r="B556" s="82"/>
      <c r="C556" s="82"/>
      <c r="D556" s="83"/>
      <c r="E556" s="82"/>
      <c r="F556" s="82"/>
      <c r="G556" s="82"/>
    </row>
    <row r="557" spans="2:7" x14ac:dyDescent="0.2">
      <c r="B557" s="82"/>
      <c r="C557" s="82"/>
      <c r="D557" s="83"/>
      <c r="E557" s="82"/>
      <c r="F557" s="82"/>
      <c r="G557" s="82"/>
    </row>
    <row r="558" spans="2:7" x14ac:dyDescent="0.2">
      <c r="B558" s="82"/>
      <c r="C558" s="82"/>
      <c r="D558" s="83"/>
      <c r="E558" s="82"/>
      <c r="F558" s="82"/>
      <c r="G558" s="82"/>
    </row>
    <row r="559" spans="2:7" x14ac:dyDescent="0.2">
      <c r="B559" s="82"/>
      <c r="C559" s="82"/>
      <c r="D559" s="83"/>
      <c r="E559" s="82"/>
      <c r="F559" s="82"/>
      <c r="G559" s="82"/>
    </row>
    <row r="560" spans="2:7" x14ac:dyDescent="0.2">
      <c r="B560" s="82"/>
      <c r="C560" s="82"/>
      <c r="D560" s="83"/>
      <c r="E560" s="82"/>
      <c r="F560" s="82"/>
      <c r="G560" s="82"/>
    </row>
    <row r="561" spans="2:7" x14ac:dyDescent="0.2">
      <c r="B561" s="82"/>
      <c r="C561" s="82"/>
      <c r="D561" s="83"/>
      <c r="E561" s="82"/>
      <c r="F561" s="82"/>
      <c r="G561" s="82"/>
    </row>
    <row r="562" spans="2:7" x14ac:dyDescent="0.2">
      <c r="B562" s="82"/>
      <c r="C562" s="82"/>
      <c r="D562" s="83"/>
      <c r="E562" s="82"/>
      <c r="F562" s="82"/>
      <c r="G562" s="82"/>
    </row>
    <row r="563" spans="2:7" x14ac:dyDescent="0.2">
      <c r="B563" s="82"/>
      <c r="C563" s="82"/>
      <c r="D563" s="83"/>
      <c r="E563" s="82"/>
      <c r="F563" s="82"/>
      <c r="G563" s="82"/>
    </row>
    <row r="564" spans="2:7" x14ac:dyDescent="0.2">
      <c r="B564" s="82"/>
      <c r="C564" s="82"/>
      <c r="D564" s="83"/>
      <c r="E564" s="82"/>
      <c r="F564" s="82"/>
      <c r="G564" s="82"/>
    </row>
    <row r="565" spans="2:7" x14ac:dyDescent="0.2">
      <c r="B565" s="82"/>
      <c r="C565" s="82"/>
      <c r="D565" s="83"/>
      <c r="E565" s="82"/>
      <c r="F565" s="82"/>
      <c r="G565" s="82"/>
    </row>
    <row r="566" spans="2:7" x14ac:dyDescent="0.2">
      <c r="B566" s="82"/>
      <c r="C566" s="82"/>
      <c r="D566" s="83"/>
      <c r="E566" s="82"/>
      <c r="F566" s="82"/>
      <c r="G566" s="82"/>
    </row>
    <row r="567" spans="2:7" x14ac:dyDescent="0.2">
      <c r="B567" s="82"/>
      <c r="C567" s="82"/>
      <c r="D567" s="83"/>
      <c r="E567" s="82"/>
      <c r="F567" s="82"/>
      <c r="G567" s="82"/>
    </row>
    <row r="568" spans="2:7" x14ac:dyDescent="0.2">
      <c r="B568" s="82"/>
      <c r="C568" s="82"/>
      <c r="D568" s="83"/>
      <c r="E568" s="82"/>
      <c r="F568" s="82"/>
      <c r="G568" s="82"/>
    </row>
    <row r="569" spans="2:7" x14ac:dyDescent="0.2">
      <c r="B569" s="82"/>
      <c r="C569" s="82"/>
      <c r="D569" s="83"/>
      <c r="E569" s="82"/>
      <c r="F569" s="82"/>
      <c r="G569" s="82"/>
    </row>
    <row r="570" spans="2:7" x14ac:dyDescent="0.2">
      <c r="B570" s="82"/>
      <c r="C570" s="82"/>
      <c r="D570" s="83"/>
      <c r="E570" s="82"/>
      <c r="F570" s="82"/>
      <c r="G570" s="82"/>
    </row>
    <row r="571" spans="2:7" x14ac:dyDescent="0.2">
      <c r="B571" s="82"/>
      <c r="C571" s="82"/>
      <c r="D571" s="83"/>
      <c r="E571" s="82"/>
      <c r="F571" s="82"/>
      <c r="G571" s="82"/>
    </row>
    <row r="572" spans="2:7" x14ac:dyDescent="0.2">
      <c r="B572" s="82"/>
      <c r="C572" s="82"/>
      <c r="D572" s="83"/>
      <c r="E572" s="82"/>
      <c r="F572" s="82"/>
      <c r="G572" s="82"/>
    </row>
    <row r="573" spans="2:7" x14ac:dyDescent="0.2">
      <c r="B573" s="82"/>
      <c r="C573" s="82"/>
      <c r="D573" s="83"/>
      <c r="E573" s="82"/>
      <c r="F573" s="82"/>
      <c r="G573" s="82"/>
    </row>
    <row r="574" spans="2:7" x14ac:dyDescent="0.2">
      <c r="B574" s="82"/>
      <c r="C574" s="82"/>
      <c r="D574" s="83"/>
      <c r="E574" s="82"/>
      <c r="F574" s="82"/>
      <c r="G574" s="82"/>
    </row>
    <row r="575" spans="2:7" x14ac:dyDescent="0.2">
      <c r="B575" s="82"/>
      <c r="C575" s="82"/>
      <c r="D575" s="83"/>
      <c r="E575" s="82"/>
      <c r="F575" s="82"/>
      <c r="G575" s="82"/>
    </row>
    <row r="576" spans="2:7" x14ac:dyDescent="0.2">
      <c r="B576" s="82"/>
      <c r="C576" s="82"/>
      <c r="D576" s="83"/>
      <c r="E576" s="82"/>
      <c r="F576" s="82"/>
      <c r="G576" s="82"/>
    </row>
    <row r="577" spans="2:7" x14ac:dyDescent="0.2">
      <c r="B577" s="82"/>
      <c r="C577" s="82"/>
      <c r="D577" s="83"/>
      <c r="E577" s="82"/>
      <c r="F577" s="82"/>
      <c r="G577" s="82"/>
    </row>
    <row r="578" spans="2:7" x14ac:dyDescent="0.2">
      <c r="B578" s="82"/>
      <c r="C578" s="82"/>
      <c r="D578" s="83"/>
      <c r="E578" s="82"/>
      <c r="F578" s="82"/>
      <c r="G578" s="82"/>
    </row>
    <row r="579" spans="2:7" x14ac:dyDescent="0.2">
      <c r="B579" s="82"/>
      <c r="C579" s="82"/>
      <c r="D579" s="83"/>
      <c r="E579" s="82"/>
      <c r="F579" s="82"/>
      <c r="G579" s="82"/>
    </row>
    <row r="580" spans="2:7" x14ac:dyDescent="0.2">
      <c r="B580" s="82"/>
      <c r="C580" s="82"/>
      <c r="D580" s="83"/>
      <c r="E580" s="82"/>
      <c r="F580" s="82"/>
      <c r="G580" s="82"/>
    </row>
    <row r="581" spans="2:7" x14ac:dyDescent="0.2">
      <c r="B581" s="82"/>
      <c r="C581" s="82"/>
      <c r="D581" s="83"/>
      <c r="E581" s="82"/>
      <c r="F581" s="82"/>
      <c r="G581" s="82"/>
    </row>
    <row r="582" spans="2:7" x14ac:dyDescent="0.2">
      <c r="B582" s="82"/>
      <c r="C582" s="82"/>
      <c r="D582" s="83"/>
      <c r="E582" s="82"/>
      <c r="F582" s="82"/>
      <c r="G582" s="82"/>
    </row>
    <row r="583" spans="2:7" x14ac:dyDescent="0.2">
      <c r="B583" s="82"/>
      <c r="C583" s="82"/>
      <c r="D583" s="83"/>
      <c r="E583" s="82"/>
      <c r="F583" s="82"/>
      <c r="G583" s="82"/>
    </row>
    <row r="584" spans="2:7" x14ac:dyDescent="0.2">
      <c r="B584" s="82"/>
      <c r="C584" s="82"/>
      <c r="D584" s="83"/>
      <c r="E584" s="82"/>
      <c r="F584" s="82"/>
      <c r="G584" s="82"/>
    </row>
    <row r="585" spans="2:7" x14ac:dyDescent="0.2">
      <c r="B585" s="82"/>
      <c r="C585" s="82"/>
      <c r="D585" s="83"/>
      <c r="E585" s="82"/>
      <c r="F585" s="82"/>
      <c r="G585" s="82"/>
    </row>
    <row r="586" spans="2:7" x14ac:dyDescent="0.2">
      <c r="B586" s="82"/>
      <c r="C586" s="82"/>
      <c r="D586" s="83"/>
      <c r="E586" s="82"/>
      <c r="F586" s="82"/>
      <c r="G586" s="82"/>
    </row>
    <row r="587" spans="2:7" x14ac:dyDescent="0.2">
      <c r="B587" s="82"/>
      <c r="C587" s="82"/>
      <c r="D587" s="83"/>
      <c r="E587" s="82"/>
      <c r="F587" s="82"/>
      <c r="G587" s="82"/>
    </row>
    <row r="588" spans="2:7" x14ac:dyDescent="0.2">
      <c r="B588" s="82"/>
      <c r="C588" s="82"/>
      <c r="D588" s="83"/>
      <c r="E588" s="82"/>
      <c r="F588" s="82"/>
      <c r="G588" s="82"/>
    </row>
    <row r="589" spans="2:7" x14ac:dyDescent="0.2">
      <c r="B589" s="82"/>
      <c r="C589" s="82"/>
      <c r="D589" s="83"/>
      <c r="E589" s="82"/>
      <c r="F589" s="82"/>
      <c r="G589" s="82"/>
    </row>
    <row r="590" spans="2:7" x14ac:dyDescent="0.2">
      <c r="B590" s="82"/>
      <c r="C590" s="82"/>
      <c r="D590" s="83"/>
      <c r="E590" s="82"/>
      <c r="F590" s="82"/>
      <c r="G590" s="82"/>
    </row>
    <row r="591" spans="2:7" x14ac:dyDescent="0.2">
      <c r="B591" s="82"/>
      <c r="C591" s="82"/>
      <c r="D591" s="83"/>
      <c r="E591" s="82"/>
      <c r="F591" s="82"/>
      <c r="G591" s="82"/>
    </row>
    <row r="592" spans="2:7" x14ac:dyDescent="0.2">
      <c r="B592" s="82"/>
      <c r="C592" s="82"/>
      <c r="D592" s="83"/>
      <c r="E592" s="82"/>
      <c r="F592" s="82"/>
      <c r="G592" s="82"/>
    </row>
    <row r="593" spans="2:7" x14ac:dyDescent="0.2">
      <c r="B593" s="82"/>
      <c r="C593" s="82"/>
      <c r="D593" s="83"/>
      <c r="E593" s="82"/>
      <c r="F593" s="82"/>
      <c r="G593" s="82"/>
    </row>
    <row r="594" spans="2:7" x14ac:dyDescent="0.2">
      <c r="B594" s="82"/>
      <c r="C594" s="82"/>
      <c r="D594" s="83"/>
      <c r="E594" s="82"/>
      <c r="F594" s="82"/>
      <c r="G594" s="82"/>
    </row>
    <row r="595" spans="2:7" x14ac:dyDescent="0.2">
      <c r="B595" s="82"/>
      <c r="C595" s="82"/>
      <c r="D595" s="83"/>
      <c r="E595" s="82"/>
      <c r="F595" s="82"/>
      <c r="G595" s="82"/>
    </row>
    <row r="596" spans="2:7" x14ac:dyDescent="0.2">
      <c r="B596" s="82"/>
      <c r="C596" s="82"/>
      <c r="D596" s="83"/>
      <c r="E596" s="82"/>
      <c r="F596" s="82"/>
      <c r="G596" s="82"/>
    </row>
    <row r="597" spans="2:7" x14ac:dyDescent="0.2">
      <c r="B597" s="82"/>
      <c r="C597" s="82"/>
      <c r="D597" s="83"/>
      <c r="E597" s="82"/>
      <c r="F597" s="82"/>
      <c r="G597" s="82"/>
    </row>
    <row r="598" spans="2:7" x14ac:dyDescent="0.2">
      <c r="B598" s="82"/>
      <c r="C598" s="82"/>
      <c r="D598" s="83"/>
      <c r="E598" s="82"/>
      <c r="F598" s="82"/>
      <c r="G598" s="82"/>
    </row>
    <row r="599" spans="2:7" x14ac:dyDescent="0.2">
      <c r="B599" s="82"/>
      <c r="C599" s="82"/>
      <c r="D599" s="83"/>
      <c r="E599" s="82"/>
      <c r="F599" s="82"/>
      <c r="G599" s="82"/>
    </row>
    <row r="600" spans="2:7" x14ac:dyDescent="0.2">
      <c r="B600" s="82"/>
      <c r="C600" s="82"/>
      <c r="D600" s="83"/>
      <c r="E600" s="82"/>
      <c r="F600" s="82"/>
      <c r="G600" s="82"/>
    </row>
    <row r="601" spans="2:7" x14ac:dyDescent="0.2">
      <c r="B601" s="82"/>
      <c r="C601" s="82"/>
      <c r="D601" s="83"/>
      <c r="E601" s="82"/>
      <c r="F601" s="82"/>
      <c r="G601" s="82"/>
    </row>
    <row r="602" spans="2:7" x14ac:dyDescent="0.2">
      <c r="B602" s="82"/>
      <c r="C602" s="82"/>
      <c r="D602" s="83"/>
      <c r="E602" s="82"/>
      <c r="F602" s="82"/>
      <c r="G602" s="82"/>
    </row>
    <row r="603" spans="2:7" x14ac:dyDescent="0.2">
      <c r="B603" s="82"/>
      <c r="C603" s="82"/>
      <c r="D603" s="83"/>
      <c r="E603" s="82"/>
      <c r="F603" s="82"/>
      <c r="G603" s="82"/>
    </row>
    <row r="604" spans="2:7" x14ac:dyDescent="0.2">
      <c r="B604" s="82"/>
      <c r="C604" s="82"/>
      <c r="D604" s="83"/>
      <c r="E604" s="82"/>
      <c r="F604" s="82"/>
      <c r="G604" s="82"/>
    </row>
    <row r="605" spans="2:7" x14ac:dyDescent="0.2">
      <c r="B605" s="82"/>
      <c r="C605" s="82"/>
      <c r="D605" s="83"/>
      <c r="E605" s="82"/>
      <c r="F605" s="82"/>
      <c r="G605" s="82"/>
    </row>
    <row r="606" spans="2:7" x14ac:dyDescent="0.2">
      <c r="B606" s="82"/>
      <c r="C606" s="82"/>
      <c r="D606" s="83"/>
      <c r="E606" s="82"/>
      <c r="F606" s="82"/>
      <c r="G606" s="82"/>
    </row>
    <row r="607" spans="2:7" x14ac:dyDescent="0.2">
      <c r="B607" s="82"/>
      <c r="C607" s="82"/>
      <c r="D607" s="83"/>
      <c r="E607" s="82"/>
      <c r="F607" s="82"/>
      <c r="G607" s="82"/>
    </row>
    <row r="608" spans="2:7" x14ac:dyDescent="0.2">
      <c r="B608" s="82"/>
      <c r="C608" s="82"/>
      <c r="D608" s="83"/>
      <c r="E608" s="82"/>
      <c r="F608" s="82"/>
      <c r="G608" s="82"/>
    </row>
    <row r="609" spans="2:7" x14ac:dyDescent="0.2">
      <c r="B609" s="82"/>
      <c r="C609" s="82"/>
      <c r="D609" s="83"/>
      <c r="E609" s="82"/>
      <c r="F609" s="82"/>
      <c r="G609" s="82"/>
    </row>
    <row r="610" spans="2:7" x14ac:dyDescent="0.2">
      <c r="B610" s="82"/>
      <c r="C610" s="82"/>
      <c r="D610" s="83"/>
      <c r="E610" s="82"/>
      <c r="F610" s="82"/>
      <c r="G610" s="82"/>
    </row>
    <row r="611" spans="2:7" x14ac:dyDescent="0.2">
      <c r="B611" s="82"/>
      <c r="C611" s="82"/>
      <c r="D611" s="83"/>
      <c r="E611" s="82"/>
      <c r="F611" s="82"/>
      <c r="G611" s="82"/>
    </row>
    <row r="612" spans="2:7" x14ac:dyDescent="0.2">
      <c r="B612" s="82"/>
      <c r="C612" s="82"/>
      <c r="D612" s="83"/>
      <c r="E612" s="82"/>
      <c r="F612" s="82"/>
      <c r="G612" s="82"/>
    </row>
    <row r="613" spans="2:7" x14ac:dyDescent="0.2">
      <c r="B613" s="82"/>
      <c r="C613" s="82"/>
      <c r="D613" s="83"/>
      <c r="E613" s="82"/>
      <c r="F613" s="82"/>
      <c r="G613" s="82"/>
    </row>
    <row r="614" spans="2:7" x14ac:dyDescent="0.2">
      <c r="B614" s="82"/>
      <c r="C614" s="82"/>
      <c r="D614" s="83"/>
      <c r="E614" s="82"/>
      <c r="F614" s="82"/>
      <c r="G614" s="82"/>
    </row>
    <row r="615" spans="2:7" x14ac:dyDescent="0.2">
      <c r="B615" s="82"/>
      <c r="C615" s="82"/>
      <c r="D615" s="83"/>
      <c r="E615" s="82"/>
      <c r="F615" s="82"/>
      <c r="G615" s="82"/>
    </row>
    <row r="616" spans="2:7" x14ac:dyDescent="0.2">
      <c r="B616" s="82"/>
      <c r="C616" s="82"/>
      <c r="D616" s="83"/>
      <c r="E616" s="82"/>
      <c r="F616" s="82"/>
      <c r="G616" s="82"/>
    </row>
    <row r="617" spans="2:7" x14ac:dyDescent="0.2">
      <c r="B617" s="82"/>
      <c r="C617" s="82"/>
      <c r="D617" s="83"/>
      <c r="E617" s="82"/>
      <c r="F617" s="82"/>
      <c r="G617" s="82"/>
    </row>
    <row r="618" spans="2:7" x14ac:dyDescent="0.2">
      <c r="B618" s="82"/>
      <c r="C618" s="82"/>
      <c r="D618" s="83"/>
      <c r="E618" s="82"/>
      <c r="F618" s="82"/>
      <c r="G618" s="82"/>
    </row>
    <row r="619" spans="2:7" x14ac:dyDescent="0.2">
      <c r="B619" s="82"/>
      <c r="C619" s="82"/>
      <c r="D619" s="83"/>
      <c r="E619" s="82"/>
      <c r="F619" s="82"/>
      <c r="G619" s="82"/>
    </row>
    <row r="620" spans="2:7" x14ac:dyDescent="0.2">
      <c r="B620" s="82"/>
      <c r="C620" s="82"/>
      <c r="D620" s="83"/>
      <c r="E620" s="82"/>
      <c r="F620" s="82"/>
      <c r="G620" s="82"/>
    </row>
    <row r="621" spans="2:7" x14ac:dyDescent="0.2">
      <c r="B621" s="82"/>
      <c r="C621" s="82"/>
      <c r="D621" s="83"/>
      <c r="E621" s="82"/>
      <c r="F621" s="82"/>
      <c r="G621" s="82"/>
    </row>
    <row r="622" spans="2:7" x14ac:dyDescent="0.2">
      <c r="B622" s="82"/>
      <c r="C622" s="82"/>
      <c r="D622" s="83"/>
      <c r="E622" s="82"/>
      <c r="F622" s="82"/>
      <c r="G622" s="82"/>
    </row>
    <row r="623" spans="2:7" x14ac:dyDescent="0.2">
      <c r="B623" s="82"/>
      <c r="C623" s="82"/>
      <c r="D623" s="83"/>
      <c r="E623" s="82"/>
      <c r="F623" s="82"/>
      <c r="G623" s="82"/>
    </row>
    <row r="624" spans="2:7" x14ac:dyDescent="0.2">
      <c r="B624" s="82"/>
      <c r="C624" s="82"/>
      <c r="D624" s="83"/>
      <c r="E624" s="82"/>
      <c r="F624" s="82"/>
      <c r="G624" s="82"/>
    </row>
    <row r="625" spans="2:7" x14ac:dyDescent="0.2">
      <c r="B625" s="82"/>
      <c r="C625" s="82"/>
      <c r="D625" s="83"/>
      <c r="E625" s="82"/>
      <c r="F625" s="82"/>
      <c r="G625" s="82"/>
    </row>
    <row r="626" spans="2:7" x14ac:dyDescent="0.2">
      <c r="B626" s="82"/>
      <c r="C626" s="82"/>
      <c r="D626" s="83"/>
      <c r="E626" s="82"/>
      <c r="F626" s="82"/>
      <c r="G626" s="82"/>
    </row>
    <row r="627" spans="2:7" x14ac:dyDescent="0.2">
      <c r="B627" s="82"/>
      <c r="C627" s="82"/>
      <c r="D627" s="83"/>
      <c r="E627" s="82"/>
      <c r="F627" s="82"/>
      <c r="G627" s="82"/>
    </row>
    <row r="628" spans="2:7" x14ac:dyDescent="0.2">
      <c r="B628" s="82"/>
      <c r="C628" s="82"/>
      <c r="D628" s="83"/>
      <c r="E628" s="82"/>
      <c r="F628" s="82"/>
      <c r="G628" s="82"/>
    </row>
    <row r="629" spans="2:7" x14ac:dyDescent="0.2">
      <c r="B629" s="82"/>
      <c r="C629" s="82"/>
      <c r="D629" s="83"/>
      <c r="E629" s="82"/>
      <c r="F629" s="82"/>
      <c r="G629" s="82"/>
    </row>
    <row r="630" spans="2:7" x14ac:dyDescent="0.2">
      <c r="B630" s="82"/>
      <c r="C630" s="82"/>
      <c r="D630" s="83"/>
      <c r="E630" s="82"/>
      <c r="F630" s="82"/>
      <c r="G630" s="82"/>
    </row>
    <row r="631" spans="2:7" x14ac:dyDescent="0.2">
      <c r="B631" s="82"/>
      <c r="C631" s="82"/>
      <c r="D631" s="83"/>
      <c r="E631" s="82"/>
      <c r="F631" s="82"/>
      <c r="G631" s="82"/>
    </row>
    <row r="632" spans="2:7" x14ac:dyDescent="0.2">
      <c r="B632" s="82"/>
      <c r="C632" s="82"/>
      <c r="D632" s="83"/>
      <c r="E632" s="82"/>
      <c r="F632" s="82"/>
      <c r="G632" s="82"/>
    </row>
    <row r="633" spans="2:7" x14ac:dyDescent="0.2">
      <c r="B633" s="82"/>
      <c r="C633" s="82"/>
      <c r="D633" s="83"/>
      <c r="E633" s="82"/>
      <c r="F633" s="82"/>
      <c r="G633" s="82"/>
    </row>
    <row r="634" spans="2:7" x14ac:dyDescent="0.2">
      <c r="B634" s="82"/>
      <c r="C634" s="82"/>
      <c r="D634" s="83"/>
      <c r="E634" s="82"/>
      <c r="F634" s="82"/>
      <c r="G634" s="82"/>
    </row>
    <row r="635" spans="2:7" x14ac:dyDescent="0.2">
      <c r="B635" s="82"/>
      <c r="C635" s="82"/>
      <c r="D635" s="83"/>
      <c r="E635" s="82"/>
      <c r="F635" s="82"/>
      <c r="G635" s="82"/>
    </row>
    <row r="636" spans="2:7" x14ac:dyDescent="0.2">
      <c r="B636" s="82"/>
      <c r="C636" s="82"/>
      <c r="D636" s="83"/>
      <c r="E636" s="82"/>
      <c r="F636" s="82"/>
      <c r="G636" s="82"/>
    </row>
    <row r="637" spans="2:7" x14ac:dyDescent="0.2">
      <c r="B637" s="82"/>
      <c r="C637" s="82"/>
      <c r="D637" s="83"/>
      <c r="E637" s="82"/>
      <c r="F637" s="82"/>
      <c r="G637" s="82"/>
    </row>
    <row r="638" spans="2:7" x14ac:dyDescent="0.2">
      <c r="B638" s="82"/>
      <c r="C638" s="82"/>
      <c r="D638" s="83"/>
      <c r="E638" s="82"/>
      <c r="F638" s="82"/>
      <c r="G638" s="82"/>
    </row>
    <row r="639" spans="2:7" x14ac:dyDescent="0.2">
      <c r="B639" s="82"/>
      <c r="C639" s="82"/>
      <c r="D639" s="83"/>
      <c r="E639" s="82"/>
      <c r="F639" s="82"/>
      <c r="G639" s="82"/>
    </row>
    <row r="640" spans="2:7" x14ac:dyDescent="0.2">
      <c r="B640" s="82"/>
      <c r="C640" s="82"/>
      <c r="D640" s="83"/>
      <c r="E640" s="82"/>
      <c r="F640" s="82"/>
      <c r="G640" s="82"/>
    </row>
    <row r="641" spans="2:7" x14ac:dyDescent="0.2">
      <c r="B641" s="82"/>
      <c r="C641" s="82"/>
      <c r="D641" s="83"/>
      <c r="E641" s="82"/>
      <c r="F641" s="82"/>
      <c r="G641" s="82"/>
    </row>
    <row r="642" spans="2:7" x14ac:dyDescent="0.2">
      <c r="B642" s="82"/>
      <c r="C642" s="82"/>
      <c r="D642" s="83"/>
      <c r="E642" s="82"/>
      <c r="F642" s="82"/>
      <c r="G642" s="82"/>
    </row>
    <row r="643" spans="2:7" x14ac:dyDescent="0.2">
      <c r="B643" s="82"/>
      <c r="C643" s="82"/>
      <c r="D643" s="83"/>
      <c r="E643" s="82"/>
      <c r="F643" s="82"/>
      <c r="G643" s="82"/>
    </row>
    <row r="644" spans="2:7" x14ac:dyDescent="0.2">
      <c r="B644" s="82"/>
      <c r="C644" s="82"/>
      <c r="D644" s="83"/>
      <c r="E644" s="82"/>
      <c r="F644" s="82"/>
      <c r="G644" s="82"/>
    </row>
    <row r="645" spans="2:7" x14ac:dyDescent="0.2">
      <c r="B645" s="82"/>
      <c r="C645" s="82"/>
      <c r="D645" s="83"/>
      <c r="E645" s="82"/>
      <c r="F645" s="82"/>
      <c r="G645" s="82"/>
    </row>
    <row r="646" spans="2:7" x14ac:dyDescent="0.2">
      <c r="B646" s="82"/>
      <c r="C646" s="82"/>
      <c r="D646" s="83"/>
      <c r="E646" s="82"/>
      <c r="F646" s="82"/>
      <c r="G646" s="82"/>
    </row>
    <row r="647" spans="2:7" x14ac:dyDescent="0.2">
      <c r="B647" s="82"/>
      <c r="C647" s="82"/>
      <c r="D647" s="83"/>
      <c r="E647" s="82"/>
      <c r="F647" s="82"/>
      <c r="G647" s="82"/>
    </row>
    <row r="648" spans="2:7" x14ac:dyDescent="0.2">
      <c r="B648" s="82"/>
      <c r="C648" s="82"/>
      <c r="D648" s="83"/>
      <c r="E648" s="82"/>
      <c r="F648" s="82"/>
      <c r="G648" s="82"/>
    </row>
    <row r="649" spans="2:7" x14ac:dyDescent="0.2">
      <c r="B649" s="82"/>
      <c r="C649" s="82"/>
      <c r="D649" s="83"/>
      <c r="E649" s="82"/>
      <c r="F649" s="82"/>
      <c r="G649" s="82"/>
    </row>
    <row r="650" spans="2:7" x14ac:dyDescent="0.2">
      <c r="B650" s="82"/>
      <c r="C650" s="82"/>
      <c r="D650" s="83"/>
      <c r="E650" s="82"/>
      <c r="F650" s="82"/>
      <c r="G650" s="82"/>
    </row>
    <row r="651" spans="2:7" x14ac:dyDescent="0.2">
      <c r="B651" s="82"/>
      <c r="C651" s="82"/>
      <c r="D651" s="83"/>
      <c r="E651" s="82"/>
      <c r="F651" s="82"/>
      <c r="G651" s="82"/>
    </row>
    <row r="652" spans="2:7" x14ac:dyDescent="0.2">
      <c r="B652" s="82"/>
      <c r="C652" s="82"/>
      <c r="D652" s="83"/>
      <c r="E652" s="82"/>
      <c r="F652" s="82"/>
      <c r="G652" s="82"/>
    </row>
    <row r="653" spans="2:7" x14ac:dyDescent="0.2">
      <c r="B653" s="82"/>
      <c r="C653" s="82"/>
      <c r="D653" s="83"/>
      <c r="E653" s="82"/>
      <c r="F653" s="82"/>
      <c r="G653" s="82"/>
    </row>
    <row r="654" spans="2:7" x14ac:dyDescent="0.2">
      <c r="B654" s="82"/>
      <c r="C654" s="82"/>
      <c r="D654" s="83"/>
      <c r="E654" s="82"/>
      <c r="F654" s="82"/>
      <c r="G654" s="82"/>
    </row>
    <row r="655" spans="2:7" x14ac:dyDescent="0.2">
      <c r="B655" s="82"/>
      <c r="C655" s="82"/>
      <c r="D655" s="83"/>
      <c r="E655" s="82"/>
      <c r="F655" s="82"/>
      <c r="G655" s="82"/>
    </row>
    <row r="656" spans="2:7" x14ac:dyDescent="0.2">
      <c r="B656" s="82"/>
      <c r="C656" s="82"/>
      <c r="D656" s="83"/>
      <c r="E656" s="82"/>
      <c r="F656" s="82"/>
      <c r="G656" s="82"/>
    </row>
    <row r="657" spans="2:7" x14ac:dyDescent="0.2">
      <c r="B657" s="82"/>
      <c r="C657" s="82"/>
      <c r="D657" s="83"/>
      <c r="E657" s="82"/>
      <c r="F657" s="82"/>
      <c r="G657" s="82"/>
    </row>
    <row r="658" spans="2:7" x14ac:dyDescent="0.2">
      <c r="B658" s="82"/>
      <c r="C658" s="82"/>
      <c r="D658" s="83"/>
      <c r="E658" s="82"/>
      <c r="F658" s="82"/>
      <c r="G658" s="82"/>
    </row>
    <row r="659" spans="2:7" x14ac:dyDescent="0.2">
      <c r="B659" s="82"/>
      <c r="C659" s="82"/>
      <c r="D659" s="83"/>
      <c r="E659" s="82"/>
      <c r="F659" s="82"/>
      <c r="G659" s="82"/>
    </row>
    <row r="660" spans="2:7" x14ac:dyDescent="0.2">
      <c r="B660" s="82"/>
      <c r="C660" s="82"/>
      <c r="D660" s="83"/>
      <c r="E660" s="82"/>
      <c r="F660" s="82"/>
      <c r="G660" s="82"/>
    </row>
    <row r="661" spans="2:7" x14ac:dyDescent="0.2">
      <c r="B661" s="82"/>
      <c r="C661" s="82"/>
      <c r="D661" s="83"/>
      <c r="E661" s="82"/>
      <c r="F661" s="82"/>
      <c r="G661" s="82"/>
    </row>
    <row r="662" spans="2:7" x14ac:dyDescent="0.2">
      <c r="B662" s="82"/>
      <c r="C662" s="82"/>
      <c r="D662" s="83"/>
      <c r="E662" s="82"/>
      <c r="F662" s="82"/>
      <c r="G662" s="82"/>
    </row>
    <row r="663" spans="2:7" x14ac:dyDescent="0.2">
      <c r="B663" s="82"/>
      <c r="C663" s="82"/>
      <c r="D663" s="83"/>
      <c r="E663" s="82"/>
      <c r="F663" s="82"/>
      <c r="G663" s="82"/>
    </row>
    <row r="664" spans="2:7" x14ac:dyDescent="0.2">
      <c r="B664" s="82"/>
      <c r="C664" s="82"/>
      <c r="D664" s="83"/>
      <c r="E664" s="82"/>
      <c r="F664" s="82"/>
      <c r="G664" s="82"/>
    </row>
    <row r="665" spans="2:7" x14ac:dyDescent="0.2">
      <c r="B665" s="82"/>
      <c r="C665" s="82"/>
      <c r="D665" s="83"/>
      <c r="E665" s="82"/>
      <c r="F665" s="82"/>
      <c r="G665" s="82"/>
    </row>
    <row r="666" spans="2:7" x14ac:dyDescent="0.2">
      <c r="B666" s="82"/>
      <c r="C666" s="82"/>
      <c r="D666" s="83"/>
      <c r="E666" s="82"/>
      <c r="F666" s="82"/>
      <c r="G666" s="82"/>
    </row>
    <row r="667" spans="2:7" x14ac:dyDescent="0.2">
      <c r="B667" s="82"/>
      <c r="C667" s="82"/>
      <c r="D667" s="83"/>
      <c r="E667" s="82"/>
      <c r="F667" s="82"/>
      <c r="G667" s="82"/>
    </row>
    <row r="668" spans="2:7" x14ac:dyDescent="0.2">
      <c r="B668" s="82"/>
      <c r="C668" s="82"/>
      <c r="D668" s="83"/>
      <c r="E668" s="82"/>
      <c r="F668" s="82"/>
      <c r="G668" s="82"/>
    </row>
    <row r="669" spans="2:7" x14ac:dyDescent="0.2">
      <c r="B669" s="82"/>
      <c r="C669" s="82"/>
      <c r="D669" s="83"/>
      <c r="E669" s="82"/>
      <c r="F669" s="82"/>
      <c r="G669" s="82"/>
    </row>
    <row r="670" spans="2:7" x14ac:dyDescent="0.2">
      <c r="B670" s="82"/>
      <c r="C670" s="82"/>
      <c r="D670" s="83"/>
      <c r="E670" s="82"/>
      <c r="F670" s="82"/>
      <c r="G670" s="82"/>
    </row>
    <row r="671" spans="2:7" x14ac:dyDescent="0.2">
      <c r="B671" s="82"/>
      <c r="C671" s="82"/>
      <c r="D671" s="83"/>
      <c r="E671" s="82"/>
      <c r="F671" s="82"/>
      <c r="G671" s="82"/>
    </row>
    <row r="672" spans="2:7" x14ac:dyDescent="0.2">
      <c r="B672" s="82"/>
      <c r="C672" s="82"/>
      <c r="D672" s="83"/>
      <c r="E672" s="82"/>
      <c r="F672" s="82"/>
      <c r="G672" s="82"/>
    </row>
    <row r="673" spans="2:7" x14ac:dyDescent="0.2">
      <c r="B673" s="82"/>
      <c r="C673" s="82"/>
      <c r="D673" s="83"/>
      <c r="E673" s="82"/>
      <c r="F673" s="82"/>
      <c r="G673" s="82"/>
    </row>
    <row r="674" spans="2:7" x14ac:dyDescent="0.2">
      <c r="B674" s="82"/>
      <c r="C674" s="82"/>
      <c r="D674" s="83"/>
      <c r="E674" s="82"/>
      <c r="F674" s="82"/>
      <c r="G674" s="82"/>
    </row>
    <row r="675" spans="2:7" x14ac:dyDescent="0.2">
      <c r="B675" s="82"/>
      <c r="C675" s="82"/>
      <c r="D675" s="83"/>
      <c r="E675" s="82"/>
      <c r="F675" s="82"/>
      <c r="G675" s="82"/>
    </row>
    <row r="676" spans="2:7" x14ac:dyDescent="0.2">
      <c r="B676" s="82"/>
      <c r="C676" s="82"/>
      <c r="D676" s="83"/>
      <c r="E676" s="82"/>
      <c r="F676" s="82"/>
      <c r="G676" s="82"/>
    </row>
    <row r="677" spans="2:7" x14ac:dyDescent="0.2">
      <c r="B677" s="82"/>
      <c r="C677" s="82"/>
      <c r="D677" s="83"/>
      <c r="E677" s="82"/>
      <c r="F677" s="82"/>
      <c r="G677" s="82"/>
    </row>
    <row r="678" spans="2:7" x14ac:dyDescent="0.2">
      <c r="B678" s="82"/>
      <c r="C678" s="82"/>
      <c r="D678" s="83"/>
      <c r="E678" s="82"/>
      <c r="F678" s="82"/>
      <c r="G678" s="82"/>
    </row>
    <row r="679" spans="2:7" x14ac:dyDescent="0.2">
      <c r="B679" s="82"/>
      <c r="C679" s="82"/>
      <c r="D679" s="83"/>
      <c r="E679" s="82"/>
      <c r="F679" s="82"/>
      <c r="G679" s="82"/>
    </row>
    <row r="680" spans="2:7" x14ac:dyDescent="0.2">
      <c r="B680" s="82"/>
      <c r="C680" s="82"/>
      <c r="D680" s="83"/>
      <c r="E680" s="82"/>
      <c r="F680" s="82"/>
      <c r="G680" s="82"/>
    </row>
    <row r="681" spans="2:7" x14ac:dyDescent="0.2">
      <c r="B681" s="82"/>
      <c r="C681" s="82"/>
      <c r="D681" s="83"/>
      <c r="E681" s="82"/>
      <c r="F681" s="82"/>
      <c r="G681" s="82"/>
    </row>
    <row r="682" spans="2:7" x14ac:dyDescent="0.2">
      <c r="B682" s="82"/>
      <c r="C682" s="82"/>
      <c r="D682" s="83"/>
      <c r="E682" s="82"/>
      <c r="F682" s="82"/>
      <c r="G682" s="82"/>
    </row>
    <row r="683" spans="2:7" x14ac:dyDescent="0.2">
      <c r="B683" s="82"/>
      <c r="C683" s="82"/>
      <c r="D683" s="83"/>
      <c r="E683" s="82"/>
      <c r="F683" s="82"/>
      <c r="G683" s="82"/>
    </row>
    <row r="684" spans="2:7" x14ac:dyDescent="0.2">
      <c r="B684" s="82"/>
      <c r="C684" s="82"/>
      <c r="D684" s="83"/>
      <c r="E684" s="82"/>
      <c r="F684" s="82"/>
      <c r="G684" s="82"/>
    </row>
    <row r="685" spans="2:7" x14ac:dyDescent="0.2">
      <c r="B685" s="82"/>
      <c r="C685" s="82"/>
      <c r="D685" s="83"/>
      <c r="E685" s="82"/>
      <c r="F685" s="82"/>
      <c r="G685" s="82"/>
    </row>
    <row r="686" spans="2:7" x14ac:dyDescent="0.2">
      <c r="B686" s="82"/>
      <c r="C686" s="82"/>
      <c r="D686" s="83"/>
      <c r="E686" s="82"/>
      <c r="F686" s="82"/>
      <c r="G686" s="82"/>
    </row>
    <row r="687" spans="2:7" x14ac:dyDescent="0.2">
      <c r="B687" s="82"/>
      <c r="C687" s="82"/>
      <c r="D687" s="83"/>
      <c r="E687" s="82"/>
      <c r="F687" s="82"/>
      <c r="G687" s="82"/>
    </row>
    <row r="688" spans="2:7" x14ac:dyDescent="0.2">
      <c r="B688" s="82"/>
      <c r="C688" s="82"/>
      <c r="D688" s="83"/>
      <c r="E688" s="82"/>
      <c r="F688" s="82"/>
      <c r="G688" s="82"/>
    </row>
    <row r="689" spans="2:7" x14ac:dyDescent="0.2">
      <c r="B689" s="82"/>
      <c r="C689" s="82"/>
      <c r="D689" s="83"/>
      <c r="E689" s="82"/>
      <c r="F689" s="82"/>
      <c r="G689" s="82"/>
    </row>
    <row r="690" spans="2:7" x14ac:dyDescent="0.2">
      <c r="B690" s="82"/>
      <c r="C690" s="82"/>
      <c r="D690" s="83"/>
      <c r="E690" s="82"/>
      <c r="F690" s="82"/>
      <c r="G690" s="82"/>
    </row>
    <row r="691" spans="2:7" x14ac:dyDescent="0.2">
      <c r="B691" s="82"/>
      <c r="C691" s="82"/>
      <c r="D691" s="83"/>
      <c r="E691" s="82"/>
      <c r="F691" s="82"/>
      <c r="G691" s="82"/>
    </row>
    <row r="692" spans="2:7" x14ac:dyDescent="0.2">
      <c r="B692" s="82"/>
      <c r="C692" s="82"/>
      <c r="D692" s="83"/>
      <c r="E692" s="82"/>
      <c r="F692" s="82"/>
      <c r="G692" s="82"/>
    </row>
    <row r="693" spans="2:7" x14ac:dyDescent="0.2">
      <c r="B693" s="82"/>
      <c r="C693" s="82"/>
      <c r="D693" s="83"/>
      <c r="E693" s="82"/>
      <c r="F693" s="82"/>
      <c r="G693" s="82"/>
    </row>
    <row r="694" spans="2:7" x14ac:dyDescent="0.2">
      <c r="B694" s="82"/>
      <c r="C694" s="82"/>
      <c r="D694" s="83"/>
      <c r="E694" s="82"/>
      <c r="F694" s="82"/>
      <c r="G694" s="82"/>
    </row>
    <row r="695" spans="2:7" x14ac:dyDescent="0.2">
      <c r="B695" s="82"/>
      <c r="C695" s="82"/>
      <c r="D695" s="83"/>
      <c r="E695" s="82"/>
      <c r="F695" s="82"/>
      <c r="G695" s="82"/>
    </row>
    <row r="696" spans="2:7" x14ac:dyDescent="0.2">
      <c r="B696" s="82"/>
      <c r="C696" s="82"/>
      <c r="D696" s="83"/>
      <c r="E696" s="82"/>
      <c r="F696" s="82"/>
      <c r="G696" s="82"/>
    </row>
    <row r="697" spans="2:7" x14ac:dyDescent="0.2">
      <c r="B697" s="82"/>
      <c r="C697" s="82"/>
      <c r="D697" s="83"/>
      <c r="E697" s="82"/>
      <c r="F697" s="82"/>
      <c r="G697" s="82"/>
    </row>
    <row r="698" spans="2:7" x14ac:dyDescent="0.2">
      <c r="B698" s="82"/>
      <c r="C698" s="82"/>
      <c r="D698" s="83"/>
      <c r="E698" s="82"/>
      <c r="F698" s="82"/>
      <c r="G698" s="82"/>
    </row>
    <row r="699" spans="2:7" x14ac:dyDescent="0.2">
      <c r="B699" s="82"/>
      <c r="C699" s="82"/>
      <c r="D699" s="83"/>
      <c r="E699" s="82"/>
      <c r="F699" s="82"/>
      <c r="G699" s="82"/>
    </row>
    <row r="700" spans="2:7" x14ac:dyDescent="0.2">
      <c r="B700" s="82"/>
      <c r="C700" s="82"/>
      <c r="D700" s="83"/>
      <c r="E700" s="82"/>
      <c r="F700" s="82"/>
      <c r="G700" s="82"/>
    </row>
    <row r="701" spans="2:7" x14ac:dyDescent="0.2">
      <c r="B701" s="82"/>
      <c r="C701" s="82"/>
      <c r="D701" s="83"/>
      <c r="E701" s="82"/>
      <c r="F701" s="82"/>
      <c r="G701" s="82"/>
    </row>
    <row r="702" spans="2:7" x14ac:dyDescent="0.2">
      <c r="B702" s="82"/>
      <c r="C702" s="82"/>
      <c r="D702" s="83"/>
      <c r="E702" s="82"/>
      <c r="F702" s="82"/>
      <c r="G702" s="82"/>
    </row>
    <row r="703" spans="2:7" x14ac:dyDescent="0.2">
      <c r="B703" s="82"/>
      <c r="C703" s="82"/>
      <c r="D703" s="83"/>
      <c r="E703" s="82"/>
      <c r="F703" s="82"/>
      <c r="G703" s="82"/>
    </row>
    <row r="704" spans="2:7" x14ac:dyDescent="0.2">
      <c r="B704" s="82"/>
      <c r="C704" s="82"/>
      <c r="D704" s="83"/>
      <c r="E704" s="82"/>
      <c r="F704" s="82"/>
      <c r="G704" s="82"/>
    </row>
    <row r="705" spans="2:7" x14ac:dyDescent="0.2">
      <c r="B705" s="82"/>
      <c r="C705" s="82"/>
      <c r="D705" s="83"/>
      <c r="E705" s="82"/>
      <c r="F705" s="82"/>
      <c r="G705" s="82"/>
    </row>
    <row r="706" spans="2:7" x14ac:dyDescent="0.2">
      <c r="B706" s="82"/>
      <c r="C706" s="82"/>
      <c r="D706" s="83"/>
      <c r="E706" s="82"/>
      <c r="F706" s="82"/>
      <c r="G706" s="82"/>
    </row>
    <row r="707" spans="2:7" x14ac:dyDescent="0.2">
      <c r="B707" s="82"/>
      <c r="C707" s="82"/>
      <c r="D707" s="83"/>
      <c r="E707" s="82"/>
      <c r="F707" s="82"/>
      <c r="G707" s="82"/>
    </row>
    <row r="708" spans="2:7" x14ac:dyDescent="0.2">
      <c r="B708" s="82"/>
      <c r="C708" s="82"/>
      <c r="D708" s="83"/>
      <c r="E708" s="82"/>
      <c r="F708" s="82"/>
      <c r="G708" s="82"/>
    </row>
    <row r="709" spans="2:7" x14ac:dyDescent="0.2">
      <c r="B709" s="82"/>
      <c r="C709" s="82"/>
      <c r="D709" s="83"/>
      <c r="E709" s="82"/>
      <c r="F709" s="82"/>
      <c r="G709" s="82"/>
    </row>
    <row r="710" spans="2:7" x14ac:dyDescent="0.2">
      <c r="B710" s="82"/>
      <c r="C710" s="82"/>
      <c r="D710" s="83"/>
      <c r="E710" s="82"/>
      <c r="F710" s="82"/>
      <c r="G710" s="82"/>
    </row>
    <row r="711" spans="2:7" x14ac:dyDescent="0.2">
      <c r="B711" s="82"/>
      <c r="C711" s="82"/>
      <c r="D711" s="83"/>
      <c r="E711" s="82"/>
      <c r="F711" s="82"/>
      <c r="G711" s="82"/>
    </row>
    <row r="712" spans="2:7" x14ac:dyDescent="0.2">
      <c r="B712" s="82"/>
      <c r="C712" s="82"/>
      <c r="D712" s="83"/>
      <c r="E712" s="82"/>
      <c r="F712" s="82"/>
      <c r="G712" s="82"/>
    </row>
    <row r="713" spans="2:7" x14ac:dyDescent="0.2">
      <c r="B713" s="82"/>
      <c r="C713" s="82"/>
      <c r="D713" s="83"/>
      <c r="E713" s="82"/>
      <c r="F713" s="82"/>
      <c r="G713" s="82"/>
    </row>
    <row r="714" spans="2:7" x14ac:dyDescent="0.2">
      <c r="B714" s="82"/>
      <c r="C714" s="82"/>
      <c r="D714" s="83"/>
      <c r="E714" s="82"/>
      <c r="F714" s="82"/>
      <c r="G714" s="82"/>
    </row>
    <row r="715" spans="2:7" x14ac:dyDescent="0.2">
      <c r="B715" s="82"/>
      <c r="C715" s="82"/>
      <c r="D715" s="83"/>
      <c r="E715" s="82"/>
      <c r="F715" s="82"/>
      <c r="G715" s="82"/>
    </row>
    <row r="716" spans="2:7" x14ac:dyDescent="0.2">
      <c r="B716" s="82"/>
      <c r="C716" s="82"/>
      <c r="D716" s="83"/>
      <c r="E716" s="82"/>
      <c r="F716" s="82"/>
      <c r="G716" s="82"/>
    </row>
    <row r="717" spans="2:7" x14ac:dyDescent="0.2">
      <c r="B717" s="82"/>
      <c r="C717" s="82"/>
      <c r="D717" s="83"/>
      <c r="E717" s="82"/>
      <c r="F717" s="82"/>
      <c r="G717" s="82"/>
    </row>
    <row r="718" spans="2:7" x14ac:dyDescent="0.2">
      <c r="B718" s="82"/>
      <c r="C718" s="82"/>
      <c r="D718" s="83"/>
      <c r="E718" s="82"/>
      <c r="F718" s="82"/>
      <c r="G718" s="82"/>
    </row>
    <row r="719" spans="2:7" x14ac:dyDescent="0.2">
      <c r="B719" s="82"/>
      <c r="C719" s="82"/>
      <c r="D719" s="83"/>
      <c r="E719" s="82"/>
      <c r="F719" s="82"/>
      <c r="G719" s="82"/>
    </row>
    <row r="720" spans="2:7" x14ac:dyDescent="0.2">
      <c r="B720" s="82"/>
      <c r="C720" s="82"/>
      <c r="D720" s="83"/>
      <c r="E720" s="82"/>
      <c r="F720" s="82"/>
      <c r="G720" s="82"/>
    </row>
    <row r="721" spans="2:7" x14ac:dyDescent="0.2">
      <c r="B721" s="82"/>
      <c r="C721" s="82"/>
      <c r="D721" s="83"/>
      <c r="E721" s="82"/>
      <c r="F721" s="82"/>
      <c r="G721" s="82"/>
    </row>
    <row r="722" spans="2:7" x14ac:dyDescent="0.2">
      <c r="B722" s="82"/>
      <c r="C722" s="82"/>
      <c r="D722" s="83"/>
      <c r="E722" s="82"/>
      <c r="F722" s="82"/>
      <c r="G722" s="82"/>
    </row>
    <row r="723" spans="2:7" x14ac:dyDescent="0.2">
      <c r="B723" s="82"/>
      <c r="C723" s="82"/>
      <c r="D723" s="83"/>
      <c r="E723" s="82"/>
      <c r="F723" s="82"/>
      <c r="G723" s="82"/>
    </row>
    <row r="724" spans="2:7" x14ac:dyDescent="0.2">
      <c r="B724" s="82"/>
      <c r="C724" s="82"/>
      <c r="D724" s="83"/>
      <c r="E724" s="82"/>
      <c r="F724" s="82"/>
      <c r="G724" s="82"/>
    </row>
    <row r="725" spans="2:7" x14ac:dyDescent="0.2">
      <c r="B725" s="82"/>
      <c r="C725" s="82"/>
      <c r="D725" s="83"/>
      <c r="E725" s="82"/>
      <c r="F725" s="82"/>
      <c r="G725" s="82"/>
    </row>
    <row r="726" spans="2:7" x14ac:dyDescent="0.2">
      <c r="B726" s="82"/>
      <c r="C726" s="82"/>
      <c r="D726" s="83"/>
      <c r="E726" s="82"/>
      <c r="F726" s="82"/>
      <c r="G726" s="82"/>
    </row>
    <row r="727" spans="2:7" x14ac:dyDescent="0.2">
      <c r="B727" s="82"/>
      <c r="C727" s="82"/>
      <c r="D727" s="83"/>
      <c r="E727" s="82"/>
      <c r="F727" s="82"/>
      <c r="G727" s="82"/>
    </row>
    <row r="728" spans="2:7" x14ac:dyDescent="0.2">
      <c r="B728" s="82"/>
      <c r="C728" s="82"/>
      <c r="D728" s="83"/>
      <c r="E728" s="82"/>
      <c r="F728" s="82"/>
      <c r="G728" s="82"/>
    </row>
    <row r="729" spans="2:7" x14ac:dyDescent="0.2">
      <c r="B729" s="82"/>
      <c r="C729" s="82"/>
      <c r="D729" s="83"/>
      <c r="E729" s="82"/>
      <c r="F729" s="82"/>
      <c r="G729" s="82"/>
    </row>
    <row r="730" spans="2:7" x14ac:dyDescent="0.2">
      <c r="B730" s="82"/>
      <c r="C730" s="82"/>
      <c r="D730" s="83"/>
      <c r="E730" s="82"/>
      <c r="F730" s="82"/>
      <c r="G730" s="82"/>
    </row>
    <row r="731" spans="2:7" x14ac:dyDescent="0.2">
      <c r="B731" s="82"/>
      <c r="C731" s="82"/>
      <c r="D731" s="83"/>
      <c r="E731" s="82"/>
      <c r="F731" s="82"/>
      <c r="G731" s="82"/>
    </row>
    <row r="732" spans="2:7" x14ac:dyDescent="0.2">
      <c r="B732" s="82"/>
      <c r="C732" s="82"/>
      <c r="D732" s="83"/>
      <c r="E732" s="82"/>
      <c r="F732" s="82"/>
      <c r="G732" s="82"/>
    </row>
    <row r="733" spans="2:7" x14ac:dyDescent="0.2">
      <c r="B733" s="82"/>
      <c r="C733" s="82"/>
      <c r="D733" s="83"/>
      <c r="E733" s="82"/>
      <c r="F733" s="82"/>
      <c r="G733" s="82"/>
    </row>
    <row r="734" spans="2:7" x14ac:dyDescent="0.2">
      <c r="B734" s="82"/>
      <c r="C734" s="82"/>
      <c r="D734" s="83"/>
      <c r="E734" s="82"/>
      <c r="F734" s="82"/>
      <c r="G734" s="82"/>
    </row>
    <row r="735" spans="2:7" x14ac:dyDescent="0.2">
      <c r="B735" s="82"/>
      <c r="C735" s="82"/>
      <c r="D735" s="83"/>
      <c r="E735" s="82"/>
      <c r="F735" s="82"/>
      <c r="G735" s="82"/>
    </row>
    <row r="736" spans="2:7" x14ac:dyDescent="0.2">
      <c r="B736" s="82"/>
      <c r="C736" s="82"/>
      <c r="D736" s="83"/>
      <c r="E736" s="82"/>
      <c r="F736" s="82"/>
      <c r="G736" s="82"/>
    </row>
    <row r="737" spans="2:7" x14ac:dyDescent="0.2">
      <c r="B737" s="82"/>
      <c r="C737" s="82"/>
      <c r="D737" s="83"/>
      <c r="E737" s="82"/>
      <c r="F737" s="82"/>
      <c r="G737" s="82"/>
    </row>
    <row r="738" spans="2:7" x14ac:dyDescent="0.2">
      <c r="B738" s="82"/>
      <c r="C738" s="82"/>
      <c r="D738" s="83"/>
      <c r="E738" s="82"/>
      <c r="F738" s="82"/>
      <c r="G738" s="82"/>
    </row>
    <row r="739" spans="2:7" x14ac:dyDescent="0.2">
      <c r="B739" s="82"/>
      <c r="C739" s="82"/>
      <c r="D739" s="83"/>
      <c r="E739" s="82"/>
      <c r="F739" s="82"/>
      <c r="G739" s="82"/>
    </row>
    <row r="740" spans="2:7" x14ac:dyDescent="0.2">
      <c r="B740" s="82"/>
      <c r="C740" s="82"/>
      <c r="D740" s="83"/>
      <c r="E740" s="82"/>
      <c r="F740" s="82"/>
      <c r="G740" s="82"/>
    </row>
    <row r="741" spans="2:7" x14ac:dyDescent="0.2">
      <c r="B741" s="82"/>
      <c r="C741" s="82"/>
      <c r="D741" s="83"/>
      <c r="E741" s="82"/>
      <c r="F741" s="82"/>
      <c r="G741" s="82"/>
    </row>
    <row r="742" spans="2:7" x14ac:dyDescent="0.2">
      <c r="B742" s="82"/>
      <c r="C742" s="82"/>
      <c r="D742" s="83"/>
      <c r="E742" s="82"/>
      <c r="F742" s="82"/>
      <c r="G742" s="82"/>
    </row>
    <row r="743" spans="2:7" x14ac:dyDescent="0.2">
      <c r="B743" s="82"/>
      <c r="C743" s="82"/>
      <c r="D743" s="83"/>
      <c r="E743" s="82"/>
      <c r="F743" s="82"/>
      <c r="G743" s="82"/>
    </row>
    <row r="744" spans="2:7" x14ac:dyDescent="0.2">
      <c r="B744" s="82"/>
      <c r="C744" s="82"/>
      <c r="D744" s="83"/>
      <c r="E744" s="82"/>
      <c r="F744" s="82"/>
      <c r="G744" s="82"/>
    </row>
    <row r="745" spans="2:7" x14ac:dyDescent="0.2">
      <c r="B745" s="82"/>
      <c r="C745" s="82"/>
      <c r="D745" s="83"/>
      <c r="E745" s="82"/>
      <c r="F745" s="82"/>
      <c r="G745" s="82"/>
    </row>
    <row r="746" spans="2:7" x14ac:dyDescent="0.2">
      <c r="B746" s="82"/>
      <c r="C746" s="82"/>
      <c r="D746" s="83"/>
      <c r="E746" s="82"/>
      <c r="F746" s="82"/>
      <c r="G746" s="82"/>
    </row>
    <row r="747" spans="2:7" x14ac:dyDescent="0.2">
      <c r="B747" s="82"/>
      <c r="C747" s="82"/>
      <c r="D747" s="83"/>
      <c r="E747" s="82"/>
      <c r="F747" s="82"/>
      <c r="G747" s="82"/>
    </row>
    <row r="748" spans="2:7" x14ac:dyDescent="0.2">
      <c r="B748" s="82"/>
      <c r="C748" s="82"/>
      <c r="D748" s="83"/>
      <c r="E748" s="82"/>
      <c r="F748" s="82"/>
      <c r="G748" s="82"/>
    </row>
    <row r="749" spans="2:7" x14ac:dyDescent="0.2">
      <c r="B749" s="82"/>
      <c r="C749" s="82"/>
      <c r="D749" s="83"/>
      <c r="E749" s="82"/>
      <c r="F749" s="82"/>
      <c r="G749" s="82"/>
    </row>
    <row r="750" spans="2:7" x14ac:dyDescent="0.2">
      <c r="B750" s="82"/>
      <c r="C750" s="82"/>
      <c r="D750" s="83"/>
      <c r="E750" s="82"/>
      <c r="F750" s="82"/>
      <c r="G750" s="82"/>
    </row>
    <row r="751" spans="2:7" x14ac:dyDescent="0.2">
      <c r="B751" s="82"/>
      <c r="C751" s="82"/>
      <c r="D751" s="83"/>
      <c r="E751" s="82"/>
      <c r="F751" s="82"/>
      <c r="G751" s="82"/>
    </row>
    <row r="752" spans="2:7" x14ac:dyDescent="0.2">
      <c r="B752" s="82"/>
      <c r="C752" s="82"/>
      <c r="D752" s="83"/>
      <c r="E752" s="82"/>
      <c r="F752" s="82"/>
      <c r="G752" s="82"/>
    </row>
    <row r="753" spans="2:7" x14ac:dyDescent="0.2">
      <c r="B753" s="82"/>
      <c r="C753" s="82"/>
      <c r="D753" s="83"/>
      <c r="E753" s="82"/>
      <c r="F753" s="82"/>
      <c r="G753" s="82"/>
    </row>
    <row r="754" spans="2:7" x14ac:dyDescent="0.2">
      <c r="B754" s="82"/>
      <c r="C754" s="82"/>
      <c r="D754" s="83"/>
      <c r="E754" s="82"/>
      <c r="F754" s="82"/>
      <c r="G754" s="82"/>
    </row>
    <row r="755" spans="2:7" x14ac:dyDescent="0.2">
      <c r="B755" s="82"/>
      <c r="C755" s="82"/>
      <c r="D755" s="83"/>
      <c r="E755" s="82"/>
      <c r="F755" s="82"/>
      <c r="G755" s="82"/>
    </row>
    <row r="756" spans="2:7" x14ac:dyDescent="0.2">
      <c r="B756" s="82"/>
      <c r="C756" s="82"/>
      <c r="D756" s="83"/>
      <c r="E756" s="82"/>
      <c r="F756" s="82"/>
      <c r="G756" s="82"/>
    </row>
    <row r="757" spans="2:7" x14ac:dyDescent="0.2">
      <c r="B757" s="82"/>
      <c r="C757" s="82"/>
      <c r="D757" s="83"/>
      <c r="E757" s="82"/>
      <c r="F757" s="82"/>
      <c r="G757" s="82"/>
    </row>
    <row r="758" spans="2:7" x14ac:dyDescent="0.2">
      <c r="B758" s="82"/>
      <c r="C758" s="82"/>
      <c r="D758" s="83"/>
      <c r="E758" s="82"/>
      <c r="F758" s="82"/>
      <c r="G758" s="82"/>
    </row>
    <row r="759" spans="2:7" x14ac:dyDescent="0.2">
      <c r="B759" s="82"/>
      <c r="C759" s="82"/>
      <c r="D759" s="83"/>
      <c r="E759" s="82"/>
      <c r="F759" s="82"/>
      <c r="G759" s="82"/>
    </row>
    <row r="760" spans="2:7" x14ac:dyDescent="0.2">
      <c r="B760" s="82"/>
      <c r="C760" s="82"/>
      <c r="D760" s="83"/>
      <c r="E760" s="82"/>
      <c r="F760" s="82"/>
      <c r="G760" s="82"/>
    </row>
    <row r="761" spans="2:7" x14ac:dyDescent="0.2">
      <c r="B761" s="82"/>
      <c r="C761" s="82"/>
      <c r="D761" s="83"/>
      <c r="E761" s="82"/>
      <c r="F761" s="82"/>
      <c r="G761" s="82"/>
    </row>
    <row r="762" spans="2:7" x14ac:dyDescent="0.2">
      <c r="B762" s="82"/>
      <c r="C762" s="82"/>
      <c r="D762" s="83"/>
      <c r="E762" s="82"/>
      <c r="F762" s="82"/>
      <c r="G762" s="82"/>
    </row>
    <row r="763" spans="2:7" x14ac:dyDescent="0.2">
      <c r="B763" s="82"/>
      <c r="C763" s="82"/>
      <c r="D763" s="83"/>
      <c r="E763" s="82"/>
      <c r="F763" s="82"/>
      <c r="G763" s="82"/>
    </row>
    <row r="764" spans="2:7" x14ac:dyDescent="0.2">
      <c r="B764" s="82"/>
      <c r="C764" s="82"/>
      <c r="D764" s="83"/>
      <c r="E764" s="82"/>
      <c r="F764" s="82"/>
      <c r="G764" s="82"/>
    </row>
    <row r="765" spans="2:7" x14ac:dyDescent="0.2">
      <c r="B765" s="82"/>
      <c r="C765" s="82"/>
      <c r="D765" s="83"/>
      <c r="E765" s="82"/>
      <c r="F765" s="82"/>
      <c r="G765" s="82"/>
    </row>
    <row r="766" spans="2:7" x14ac:dyDescent="0.2">
      <c r="B766" s="82"/>
      <c r="C766" s="82"/>
      <c r="D766" s="83"/>
      <c r="E766" s="82"/>
      <c r="F766" s="82"/>
      <c r="G766" s="82"/>
    </row>
    <row r="767" spans="2:7" x14ac:dyDescent="0.2">
      <c r="B767" s="82"/>
      <c r="C767" s="82"/>
      <c r="D767" s="83"/>
      <c r="E767" s="82"/>
      <c r="F767" s="82"/>
      <c r="G767" s="82"/>
    </row>
    <row r="768" spans="2:7" x14ac:dyDescent="0.2">
      <c r="B768" s="82"/>
      <c r="C768" s="82"/>
      <c r="D768" s="83"/>
      <c r="E768" s="82"/>
      <c r="F768" s="82"/>
      <c r="G768" s="82"/>
    </row>
    <row r="769" spans="2:7" x14ac:dyDescent="0.2">
      <c r="B769" s="82"/>
      <c r="C769" s="82"/>
      <c r="D769" s="83"/>
      <c r="E769" s="82"/>
      <c r="F769" s="82"/>
      <c r="G769" s="82"/>
    </row>
    <row r="770" spans="2:7" x14ac:dyDescent="0.2">
      <c r="B770" s="82"/>
      <c r="C770" s="82"/>
      <c r="D770" s="83"/>
      <c r="E770" s="82"/>
      <c r="F770" s="82"/>
      <c r="G770" s="82"/>
    </row>
    <row r="771" spans="2:7" x14ac:dyDescent="0.2">
      <c r="B771" s="82"/>
      <c r="C771" s="82"/>
      <c r="D771" s="83"/>
      <c r="E771" s="82"/>
      <c r="F771" s="82"/>
      <c r="G771" s="82"/>
    </row>
    <row r="772" spans="2:7" x14ac:dyDescent="0.2">
      <c r="B772" s="82"/>
      <c r="C772" s="82"/>
      <c r="D772" s="83"/>
      <c r="E772" s="82"/>
      <c r="F772" s="82"/>
      <c r="G772" s="82"/>
    </row>
    <row r="773" spans="2:7" x14ac:dyDescent="0.2">
      <c r="B773" s="82"/>
      <c r="C773" s="82"/>
      <c r="D773" s="83"/>
      <c r="E773" s="82"/>
      <c r="F773" s="82"/>
      <c r="G773" s="82"/>
    </row>
    <row r="774" spans="2:7" x14ac:dyDescent="0.2">
      <c r="B774" s="82"/>
      <c r="C774" s="82"/>
      <c r="D774" s="83"/>
      <c r="E774" s="82"/>
      <c r="F774" s="82"/>
      <c r="G774" s="82"/>
    </row>
    <row r="775" spans="2:7" x14ac:dyDescent="0.2">
      <c r="B775" s="82"/>
      <c r="C775" s="82"/>
      <c r="D775" s="83"/>
      <c r="E775" s="82"/>
      <c r="F775" s="82"/>
      <c r="G775" s="82"/>
    </row>
    <row r="776" spans="2:7" x14ac:dyDescent="0.2">
      <c r="B776" s="82"/>
      <c r="C776" s="82"/>
      <c r="D776" s="83"/>
      <c r="E776" s="82"/>
      <c r="F776" s="82"/>
      <c r="G776" s="82"/>
    </row>
    <row r="777" spans="2:7" x14ac:dyDescent="0.2">
      <c r="B777" s="82"/>
      <c r="C777" s="82"/>
      <c r="D777" s="83"/>
      <c r="E777" s="82"/>
      <c r="F777" s="82"/>
      <c r="G777" s="82"/>
    </row>
    <row r="778" spans="2:7" x14ac:dyDescent="0.2">
      <c r="B778" s="82"/>
      <c r="C778" s="82"/>
      <c r="D778" s="83"/>
      <c r="E778" s="82"/>
      <c r="F778" s="82"/>
      <c r="G778" s="82"/>
    </row>
    <row r="779" spans="2:7" x14ac:dyDescent="0.2">
      <c r="B779" s="82"/>
      <c r="C779" s="82"/>
      <c r="D779" s="83"/>
      <c r="E779" s="82"/>
      <c r="F779" s="82"/>
      <c r="G779" s="82"/>
    </row>
    <row r="780" spans="2:7" x14ac:dyDescent="0.2">
      <c r="B780" s="82"/>
      <c r="C780" s="82"/>
      <c r="D780" s="83"/>
      <c r="E780" s="82"/>
      <c r="F780" s="82"/>
      <c r="G780" s="82"/>
    </row>
    <row r="781" spans="2:7" x14ac:dyDescent="0.2">
      <c r="B781" s="82"/>
      <c r="C781" s="82"/>
      <c r="D781" s="83"/>
      <c r="E781" s="82"/>
      <c r="F781" s="82"/>
      <c r="G781" s="82"/>
    </row>
    <row r="782" spans="2:7" x14ac:dyDescent="0.2">
      <c r="B782" s="82"/>
      <c r="C782" s="82"/>
      <c r="D782" s="83"/>
      <c r="E782" s="82"/>
      <c r="F782" s="82"/>
      <c r="G782" s="82"/>
    </row>
    <row r="783" spans="2:7" x14ac:dyDescent="0.2">
      <c r="B783" s="82"/>
      <c r="C783" s="82"/>
      <c r="D783" s="83"/>
      <c r="E783" s="82"/>
      <c r="F783" s="82"/>
      <c r="G783" s="82"/>
    </row>
    <row r="784" spans="2:7" x14ac:dyDescent="0.2">
      <c r="B784" s="82"/>
      <c r="C784" s="82"/>
      <c r="D784" s="83"/>
      <c r="E784" s="82"/>
      <c r="F784" s="82"/>
      <c r="G784" s="82"/>
    </row>
    <row r="785" spans="2:7" x14ac:dyDescent="0.2">
      <c r="B785" s="82"/>
      <c r="C785" s="82"/>
      <c r="D785" s="83"/>
      <c r="E785" s="82"/>
      <c r="F785" s="82"/>
      <c r="G785" s="82"/>
    </row>
    <row r="786" spans="2:7" x14ac:dyDescent="0.2">
      <c r="B786" s="82"/>
      <c r="C786" s="82"/>
      <c r="D786" s="83"/>
      <c r="E786" s="82"/>
      <c r="F786" s="82"/>
      <c r="G786" s="82"/>
    </row>
    <row r="787" spans="2:7" x14ac:dyDescent="0.2">
      <c r="B787" s="82"/>
      <c r="C787" s="82"/>
      <c r="D787" s="83"/>
      <c r="E787" s="82"/>
      <c r="F787" s="82"/>
      <c r="G787" s="82"/>
    </row>
    <row r="788" spans="2:7" x14ac:dyDescent="0.2">
      <c r="B788" s="82"/>
      <c r="C788" s="82"/>
      <c r="D788" s="83"/>
      <c r="E788" s="82"/>
      <c r="F788" s="82"/>
      <c r="G788" s="82"/>
    </row>
    <row r="789" spans="2:7" x14ac:dyDescent="0.2">
      <c r="B789" s="82"/>
      <c r="C789" s="82"/>
      <c r="D789" s="83"/>
      <c r="E789" s="82"/>
      <c r="F789" s="82"/>
      <c r="G789" s="82"/>
    </row>
    <row r="790" spans="2:7" x14ac:dyDescent="0.2">
      <c r="B790" s="82"/>
      <c r="C790" s="82"/>
      <c r="D790" s="83"/>
      <c r="E790" s="82"/>
      <c r="F790" s="82"/>
      <c r="G790" s="82"/>
    </row>
    <row r="791" spans="2:7" x14ac:dyDescent="0.2">
      <c r="B791" s="82"/>
      <c r="C791" s="82"/>
      <c r="D791" s="83"/>
      <c r="E791" s="82"/>
      <c r="F791" s="82"/>
      <c r="G791" s="82"/>
    </row>
    <row r="792" spans="2:7" x14ac:dyDescent="0.2">
      <c r="B792" s="82"/>
      <c r="C792" s="82"/>
      <c r="D792" s="83"/>
      <c r="E792" s="82"/>
      <c r="F792" s="82"/>
      <c r="G792" s="82"/>
    </row>
    <row r="793" spans="2:7" x14ac:dyDescent="0.2">
      <c r="B793" s="82"/>
      <c r="C793" s="82"/>
      <c r="D793" s="83"/>
      <c r="E793" s="82"/>
      <c r="F793" s="82"/>
      <c r="G793" s="82"/>
    </row>
    <row r="794" spans="2:7" x14ac:dyDescent="0.2">
      <c r="B794" s="82"/>
      <c r="C794" s="82"/>
      <c r="D794" s="83"/>
      <c r="E794" s="82"/>
      <c r="F794" s="82"/>
      <c r="G794" s="82"/>
    </row>
    <row r="795" spans="2:7" x14ac:dyDescent="0.2">
      <c r="B795" s="82"/>
      <c r="C795" s="82"/>
      <c r="D795" s="83"/>
      <c r="E795" s="82"/>
      <c r="F795" s="82"/>
      <c r="G795" s="82"/>
    </row>
    <row r="796" spans="2:7" x14ac:dyDescent="0.2">
      <c r="B796" s="82"/>
      <c r="C796" s="82"/>
      <c r="D796" s="83"/>
      <c r="E796" s="82"/>
      <c r="F796" s="82"/>
      <c r="G796" s="82"/>
    </row>
    <row r="797" spans="2:7" x14ac:dyDescent="0.2">
      <c r="B797" s="82"/>
      <c r="C797" s="82"/>
      <c r="D797" s="83"/>
      <c r="E797" s="82"/>
      <c r="F797" s="82"/>
      <c r="G797" s="82"/>
    </row>
    <row r="798" spans="2:7" x14ac:dyDescent="0.2">
      <c r="B798" s="82"/>
      <c r="C798" s="82"/>
      <c r="D798" s="83"/>
      <c r="E798" s="82"/>
      <c r="F798" s="82"/>
      <c r="G798" s="82"/>
    </row>
    <row r="799" spans="2:7" x14ac:dyDescent="0.2">
      <c r="B799" s="82"/>
      <c r="C799" s="82"/>
      <c r="D799" s="83"/>
      <c r="E799" s="82"/>
      <c r="F799" s="82"/>
      <c r="G799" s="82"/>
    </row>
    <row r="800" spans="2:7" x14ac:dyDescent="0.2">
      <c r="B800" s="82"/>
      <c r="C800" s="82"/>
      <c r="D800" s="83"/>
      <c r="E800" s="82"/>
      <c r="F800" s="82"/>
      <c r="G800" s="82"/>
    </row>
    <row r="801" spans="2:7" x14ac:dyDescent="0.2">
      <c r="B801" s="82"/>
      <c r="C801" s="82"/>
      <c r="D801" s="83"/>
      <c r="E801" s="82"/>
      <c r="F801" s="82"/>
      <c r="G801" s="82"/>
    </row>
    <row r="802" spans="2:7" x14ac:dyDescent="0.2">
      <c r="B802" s="82"/>
      <c r="C802" s="82"/>
      <c r="D802" s="83"/>
      <c r="E802" s="82"/>
      <c r="F802" s="82"/>
      <c r="G802" s="82"/>
    </row>
    <row r="803" spans="2:7" x14ac:dyDescent="0.2">
      <c r="B803" s="82"/>
      <c r="C803" s="82"/>
      <c r="D803" s="83"/>
      <c r="E803" s="82"/>
      <c r="F803" s="82"/>
      <c r="G803" s="82"/>
    </row>
    <row r="804" spans="2:7" x14ac:dyDescent="0.2">
      <c r="B804" s="82"/>
      <c r="C804" s="82"/>
      <c r="D804" s="83"/>
      <c r="E804" s="82"/>
      <c r="F804" s="82"/>
      <c r="G804" s="82"/>
    </row>
    <row r="805" spans="2:7" x14ac:dyDescent="0.2">
      <c r="B805" s="82"/>
      <c r="C805" s="82"/>
      <c r="D805" s="83"/>
      <c r="E805" s="82"/>
      <c r="F805" s="82"/>
      <c r="G805" s="82"/>
    </row>
    <row r="806" spans="2:7" x14ac:dyDescent="0.2">
      <c r="B806" s="82"/>
      <c r="C806" s="82"/>
      <c r="D806" s="83"/>
      <c r="E806" s="82"/>
      <c r="F806" s="82"/>
      <c r="G806" s="82"/>
    </row>
    <row r="807" spans="2:7" x14ac:dyDescent="0.2">
      <c r="B807" s="82"/>
      <c r="C807" s="82"/>
      <c r="D807" s="83"/>
      <c r="E807" s="82"/>
      <c r="F807" s="82"/>
      <c r="G807" s="82"/>
    </row>
    <row r="808" spans="2:7" x14ac:dyDescent="0.2">
      <c r="B808" s="82"/>
      <c r="C808" s="82"/>
      <c r="D808" s="83"/>
      <c r="E808" s="82"/>
      <c r="F808" s="82"/>
      <c r="G808" s="82"/>
    </row>
    <row r="809" spans="2:7" x14ac:dyDescent="0.2">
      <c r="B809" s="82"/>
      <c r="C809" s="82"/>
      <c r="D809" s="83"/>
      <c r="E809" s="82"/>
      <c r="F809" s="82"/>
      <c r="G809" s="82"/>
    </row>
    <row r="810" spans="2:7" x14ac:dyDescent="0.2">
      <c r="B810" s="82"/>
      <c r="C810" s="82"/>
      <c r="D810" s="83"/>
      <c r="E810" s="82"/>
      <c r="F810" s="82"/>
      <c r="G810" s="82"/>
    </row>
    <row r="811" spans="2:7" x14ac:dyDescent="0.2">
      <c r="B811" s="82"/>
      <c r="C811" s="82"/>
      <c r="D811" s="83"/>
      <c r="E811" s="82"/>
      <c r="F811" s="82"/>
      <c r="G811" s="82"/>
    </row>
    <row r="812" spans="2:7" x14ac:dyDescent="0.2">
      <c r="B812" s="82"/>
      <c r="C812" s="82"/>
      <c r="D812" s="83"/>
      <c r="E812" s="82"/>
      <c r="F812" s="82"/>
      <c r="G812" s="82"/>
    </row>
    <row r="813" spans="2:7" x14ac:dyDescent="0.2">
      <c r="B813" s="82"/>
      <c r="C813" s="82"/>
      <c r="D813" s="83"/>
      <c r="E813" s="82"/>
      <c r="F813" s="82"/>
      <c r="G813" s="82"/>
    </row>
    <row r="814" spans="2:7" x14ac:dyDescent="0.2">
      <c r="B814" s="82"/>
      <c r="C814" s="82"/>
      <c r="D814" s="83"/>
      <c r="E814" s="82"/>
      <c r="F814" s="82"/>
      <c r="G814" s="82"/>
    </row>
    <row r="815" spans="2:7" x14ac:dyDescent="0.2">
      <c r="B815" s="82"/>
      <c r="C815" s="82"/>
      <c r="D815" s="83"/>
      <c r="E815" s="82"/>
      <c r="F815" s="82"/>
      <c r="G815" s="82"/>
    </row>
    <row r="816" spans="2:7" x14ac:dyDescent="0.2">
      <c r="B816" s="82"/>
      <c r="C816" s="82"/>
      <c r="D816" s="83"/>
      <c r="E816" s="82"/>
      <c r="F816" s="82"/>
      <c r="G816" s="82"/>
    </row>
    <row r="817" spans="2:7" x14ac:dyDescent="0.2">
      <c r="B817" s="82"/>
      <c r="C817" s="82"/>
      <c r="D817" s="83"/>
      <c r="E817" s="82"/>
      <c r="F817" s="82"/>
      <c r="G817" s="82"/>
    </row>
    <row r="818" spans="2:7" x14ac:dyDescent="0.2">
      <c r="B818" s="82"/>
      <c r="C818" s="82"/>
      <c r="D818" s="83"/>
      <c r="E818" s="82"/>
      <c r="F818" s="82"/>
      <c r="G818" s="82"/>
    </row>
    <row r="819" spans="2:7" x14ac:dyDescent="0.2">
      <c r="B819" s="82"/>
      <c r="C819" s="82"/>
      <c r="D819" s="83"/>
      <c r="E819" s="82"/>
      <c r="F819" s="82"/>
      <c r="G819" s="82"/>
    </row>
    <row r="820" spans="2:7" x14ac:dyDescent="0.2">
      <c r="B820" s="82"/>
      <c r="C820" s="82"/>
      <c r="D820" s="83"/>
      <c r="E820" s="82"/>
      <c r="F820" s="82"/>
      <c r="G820" s="82"/>
    </row>
    <row r="821" spans="2:7" x14ac:dyDescent="0.2">
      <c r="B821" s="82"/>
      <c r="C821" s="82"/>
      <c r="D821" s="83"/>
      <c r="E821" s="82"/>
      <c r="F821" s="82"/>
      <c r="G821" s="82"/>
    </row>
    <row r="822" spans="2:7" x14ac:dyDescent="0.2">
      <c r="B822" s="82"/>
      <c r="C822" s="82"/>
      <c r="D822" s="83"/>
      <c r="E822" s="82"/>
      <c r="F822" s="82"/>
      <c r="G822" s="82"/>
    </row>
    <row r="823" spans="2:7" x14ac:dyDescent="0.2">
      <c r="B823" s="82"/>
      <c r="C823" s="82"/>
      <c r="D823" s="83"/>
      <c r="E823" s="82"/>
      <c r="F823" s="82"/>
      <c r="G823" s="82"/>
    </row>
    <row r="824" spans="2:7" x14ac:dyDescent="0.2">
      <c r="B824" s="82"/>
      <c r="C824" s="82"/>
      <c r="D824" s="83"/>
      <c r="E824" s="82"/>
      <c r="F824" s="82"/>
      <c r="G824" s="82"/>
    </row>
    <row r="825" spans="2:7" x14ac:dyDescent="0.2">
      <c r="B825" s="82"/>
      <c r="C825" s="82"/>
      <c r="D825" s="83"/>
      <c r="E825" s="82"/>
      <c r="F825" s="82"/>
      <c r="G825" s="82"/>
    </row>
    <row r="826" spans="2:7" x14ac:dyDescent="0.2">
      <c r="B826" s="82"/>
      <c r="C826" s="82"/>
      <c r="D826" s="83"/>
      <c r="E826" s="82"/>
      <c r="F826" s="82"/>
      <c r="G826" s="82"/>
    </row>
    <row r="827" spans="2:7" x14ac:dyDescent="0.2">
      <c r="B827" s="82"/>
      <c r="C827" s="82"/>
      <c r="D827" s="83"/>
      <c r="E827" s="82"/>
      <c r="F827" s="82"/>
      <c r="G827" s="82"/>
    </row>
    <row r="828" spans="2:7" x14ac:dyDescent="0.2">
      <c r="B828" s="82"/>
      <c r="C828" s="82"/>
      <c r="D828" s="83"/>
      <c r="E828" s="82"/>
      <c r="F828" s="82"/>
      <c r="G828" s="82"/>
    </row>
    <row r="829" spans="2:7" x14ac:dyDescent="0.2">
      <c r="B829" s="82"/>
      <c r="C829" s="82"/>
      <c r="D829" s="83"/>
      <c r="E829" s="82"/>
      <c r="F829" s="82"/>
      <c r="G829" s="82"/>
    </row>
    <row r="830" spans="2:7" x14ac:dyDescent="0.2">
      <c r="B830" s="82"/>
      <c r="C830" s="82"/>
      <c r="D830" s="83"/>
      <c r="E830" s="82"/>
      <c r="F830" s="82"/>
      <c r="G830" s="82"/>
    </row>
    <row r="831" spans="2:7" x14ac:dyDescent="0.2">
      <c r="B831" s="82"/>
      <c r="C831" s="82"/>
      <c r="D831" s="83"/>
      <c r="E831" s="82"/>
      <c r="F831" s="82"/>
      <c r="G831" s="82"/>
    </row>
    <row r="832" spans="2:7" x14ac:dyDescent="0.2">
      <c r="B832" s="82"/>
      <c r="C832" s="82"/>
      <c r="D832" s="83"/>
      <c r="E832" s="82"/>
      <c r="F832" s="82"/>
      <c r="G832" s="82"/>
    </row>
    <row r="833" spans="2:7" x14ac:dyDescent="0.2">
      <c r="B833" s="82"/>
      <c r="C833" s="82"/>
      <c r="D833" s="83"/>
      <c r="E833" s="82"/>
      <c r="F833" s="82"/>
      <c r="G833" s="82"/>
    </row>
    <row r="834" spans="2:7" x14ac:dyDescent="0.2">
      <c r="B834" s="82"/>
      <c r="C834" s="82"/>
      <c r="D834" s="83"/>
      <c r="E834" s="82"/>
      <c r="F834" s="82"/>
      <c r="G834" s="82"/>
    </row>
    <row r="835" spans="2:7" x14ac:dyDescent="0.2">
      <c r="B835" s="82"/>
      <c r="C835" s="82"/>
      <c r="D835" s="83"/>
      <c r="E835" s="82"/>
      <c r="F835" s="82"/>
      <c r="G835" s="82"/>
    </row>
    <row r="836" spans="2:7" x14ac:dyDescent="0.2">
      <c r="B836" s="82"/>
      <c r="C836" s="82"/>
      <c r="D836" s="83"/>
      <c r="E836" s="82"/>
      <c r="F836" s="82"/>
      <c r="G836" s="82"/>
    </row>
    <row r="837" spans="2:7" x14ac:dyDescent="0.2">
      <c r="B837" s="82"/>
      <c r="C837" s="82"/>
      <c r="D837" s="83"/>
      <c r="E837" s="82"/>
      <c r="F837" s="82"/>
      <c r="G837" s="82"/>
    </row>
    <row r="838" spans="2:7" x14ac:dyDescent="0.2">
      <c r="B838" s="82"/>
      <c r="C838" s="82"/>
      <c r="D838" s="83"/>
      <c r="E838" s="82"/>
      <c r="F838" s="82"/>
      <c r="G838" s="82"/>
    </row>
    <row r="839" spans="2:7" x14ac:dyDescent="0.2">
      <c r="B839" s="82"/>
      <c r="C839" s="82"/>
      <c r="D839" s="83"/>
      <c r="E839" s="82"/>
      <c r="F839" s="82"/>
      <c r="G839" s="82"/>
    </row>
    <row r="840" spans="2:7" x14ac:dyDescent="0.2">
      <c r="B840" s="82"/>
      <c r="C840" s="82"/>
      <c r="D840" s="83"/>
      <c r="E840" s="82"/>
      <c r="F840" s="82"/>
      <c r="G840" s="82"/>
    </row>
    <row r="841" spans="2:7" x14ac:dyDescent="0.2">
      <c r="B841" s="82"/>
      <c r="C841" s="82"/>
      <c r="D841" s="83"/>
      <c r="E841" s="82"/>
      <c r="F841" s="82"/>
      <c r="G841" s="82"/>
    </row>
    <row r="842" spans="2:7" x14ac:dyDescent="0.2">
      <c r="B842" s="82"/>
      <c r="C842" s="82"/>
      <c r="D842" s="83"/>
      <c r="E842" s="82"/>
      <c r="F842" s="82"/>
      <c r="G842" s="82"/>
    </row>
    <row r="843" spans="2:7" x14ac:dyDescent="0.2">
      <c r="B843" s="82"/>
      <c r="C843" s="82"/>
      <c r="D843" s="83"/>
      <c r="E843" s="82"/>
      <c r="F843" s="82"/>
      <c r="G843" s="82"/>
    </row>
    <row r="844" spans="2:7" x14ac:dyDescent="0.2">
      <c r="B844" s="82"/>
      <c r="C844" s="82"/>
      <c r="D844" s="83"/>
      <c r="E844" s="82"/>
      <c r="F844" s="82"/>
      <c r="G844" s="82"/>
    </row>
    <row r="845" spans="2:7" x14ac:dyDescent="0.2">
      <c r="B845" s="82"/>
      <c r="C845" s="82"/>
      <c r="D845" s="83"/>
      <c r="E845" s="82"/>
      <c r="F845" s="82"/>
      <c r="G845" s="82"/>
    </row>
    <row r="846" spans="2:7" x14ac:dyDescent="0.2">
      <c r="B846" s="82"/>
      <c r="C846" s="82"/>
      <c r="D846" s="83"/>
      <c r="E846" s="82"/>
      <c r="F846" s="82"/>
      <c r="G846" s="82"/>
    </row>
    <row r="847" spans="2:7" x14ac:dyDescent="0.2">
      <c r="B847" s="82"/>
      <c r="C847" s="82"/>
      <c r="D847" s="83"/>
      <c r="E847" s="82"/>
      <c r="F847" s="82"/>
      <c r="G847" s="82"/>
    </row>
    <row r="848" spans="2:7" x14ac:dyDescent="0.2">
      <c r="B848" s="82"/>
      <c r="C848" s="82"/>
      <c r="D848" s="83"/>
      <c r="E848" s="82"/>
      <c r="F848" s="82"/>
      <c r="G848" s="82"/>
    </row>
    <row r="849" spans="2:7" x14ac:dyDescent="0.2">
      <c r="B849" s="82"/>
      <c r="C849" s="82"/>
      <c r="D849" s="83"/>
      <c r="E849" s="82"/>
      <c r="F849" s="82"/>
      <c r="G849" s="82"/>
    </row>
    <row r="850" spans="2:7" x14ac:dyDescent="0.2">
      <c r="B850" s="82"/>
      <c r="C850" s="82"/>
      <c r="D850" s="83"/>
      <c r="E850" s="82"/>
      <c r="F850" s="82"/>
      <c r="G850" s="82"/>
    </row>
    <row r="851" spans="2:7" x14ac:dyDescent="0.2">
      <c r="B851" s="82"/>
      <c r="C851" s="82"/>
      <c r="D851" s="83"/>
      <c r="E851" s="82"/>
      <c r="F851" s="82"/>
      <c r="G851" s="82"/>
    </row>
    <row r="852" spans="2:7" x14ac:dyDescent="0.2">
      <c r="B852" s="82"/>
      <c r="C852" s="82"/>
      <c r="D852" s="83"/>
      <c r="E852" s="82"/>
      <c r="F852" s="82"/>
      <c r="G852" s="82"/>
    </row>
    <row r="853" spans="2:7" x14ac:dyDescent="0.2">
      <c r="B853" s="82"/>
      <c r="C853" s="82"/>
      <c r="D853" s="83"/>
      <c r="E853" s="82"/>
      <c r="F853" s="82"/>
      <c r="G853" s="82"/>
    </row>
    <row r="854" spans="2:7" x14ac:dyDescent="0.2">
      <c r="B854" s="82"/>
      <c r="C854" s="82"/>
      <c r="D854" s="83"/>
      <c r="E854" s="82"/>
      <c r="F854" s="82"/>
      <c r="G854" s="82"/>
    </row>
    <row r="855" spans="2:7" x14ac:dyDescent="0.2">
      <c r="B855" s="82"/>
      <c r="C855" s="82"/>
      <c r="D855" s="83"/>
      <c r="E855" s="82"/>
      <c r="F855" s="82"/>
      <c r="G855" s="82"/>
    </row>
    <row r="856" spans="2:7" x14ac:dyDescent="0.2">
      <c r="B856" s="82"/>
      <c r="C856" s="82"/>
      <c r="D856" s="83"/>
      <c r="E856" s="82"/>
      <c r="F856" s="82"/>
      <c r="G856" s="82"/>
    </row>
    <row r="857" spans="2:7" x14ac:dyDescent="0.2">
      <c r="B857" s="82"/>
      <c r="C857" s="82"/>
      <c r="D857" s="83"/>
      <c r="E857" s="82"/>
      <c r="F857" s="82"/>
      <c r="G857" s="82"/>
    </row>
    <row r="858" spans="2:7" x14ac:dyDescent="0.2">
      <c r="B858" s="82"/>
      <c r="C858" s="82"/>
      <c r="D858" s="83"/>
      <c r="E858" s="82"/>
      <c r="F858" s="82"/>
      <c r="G858" s="82"/>
    </row>
    <row r="859" spans="2:7" x14ac:dyDescent="0.2">
      <c r="B859" s="82"/>
      <c r="C859" s="82"/>
      <c r="D859" s="83"/>
      <c r="E859" s="82"/>
      <c r="F859" s="82"/>
      <c r="G859" s="82"/>
    </row>
    <row r="860" spans="2:7" x14ac:dyDescent="0.2">
      <c r="B860" s="82"/>
      <c r="C860" s="82"/>
      <c r="D860" s="83"/>
      <c r="E860" s="82"/>
      <c r="F860" s="82"/>
      <c r="G860" s="82"/>
    </row>
    <row r="861" spans="2:7" x14ac:dyDescent="0.2">
      <c r="B861" s="82"/>
      <c r="C861" s="82"/>
      <c r="D861" s="83"/>
      <c r="E861" s="82"/>
      <c r="F861" s="82"/>
      <c r="G861" s="82"/>
    </row>
    <row r="862" spans="2:7" x14ac:dyDescent="0.2">
      <c r="B862" s="82"/>
      <c r="C862" s="82"/>
      <c r="D862" s="83"/>
      <c r="E862" s="82"/>
      <c r="F862" s="82"/>
      <c r="G862" s="82"/>
    </row>
    <row r="863" spans="2:7" x14ac:dyDescent="0.2">
      <c r="B863" s="82"/>
      <c r="C863" s="82"/>
      <c r="D863" s="83"/>
      <c r="E863" s="82"/>
      <c r="F863" s="82"/>
      <c r="G863" s="82"/>
    </row>
    <row r="864" spans="2:7" x14ac:dyDescent="0.2">
      <c r="B864" s="82"/>
      <c r="C864" s="82"/>
      <c r="D864" s="83"/>
      <c r="E864" s="82"/>
      <c r="F864" s="82"/>
      <c r="G864" s="82"/>
    </row>
    <row r="865" spans="2:7" x14ac:dyDescent="0.2">
      <c r="B865" s="82"/>
      <c r="C865" s="82"/>
      <c r="D865" s="83"/>
      <c r="E865" s="82"/>
      <c r="F865" s="82"/>
      <c r="G865" s="82"/>
    </row>
    <row r="866" spans="2:7" x14ac:dyDescent="0.2">
      <c r="B866" s="82"/>
      <c r="C866" s="82"/>
      <c r="D866" s="83"/>
      <c r="E866" s="82"/>
      <c r="F866" s="82"/>
      <c r="G866" s="82"/>
    </row>
    <row r="867" spans="2:7" x14ac:dyDescent="0.2">
      <c r="B867" s="82"/>
      <c r="C867" s="82"/>
      <c r="D867" s="83"/>
      <c r="E867" s="82"/>
      <c r="F867" s="82"/>
      <c r="G867" s="82"/>
    </row>
    <row r="868" spans="2:7" x14ac:dyDescent="0.2">
      <c r="B868" s="82"/>
      <c r="C868" s="82"/>
      <c r="D868" s="83"/>
      <c r="E868" s="82"/>
      <c r="F868" s="82"/>
      <c r="G868" s="82"/>
    </row>
    <row r="869" spans="2:7" x14ac:dyDescent="0.2">
      <c r="B869" s="82"/>
      <c r="C869" s="82"/>
      <c r="D869" s="83"/>
      <c r="E869" s="82"/>
      <c r="F869" s="82"/>
      <c r="G869" s="82"/>
    </row>
    <row r="870" spans="2:7" x14ac:dyDescent="0.2">
      <c r="B870" s="82"/>
      <c r="C870" s="82"/>
      <c r="D870" s="83"/>
      <c r="E870" s="82"/>
      <c r="F870" s="82"/>
      <c r="G870" s="82"/>
    </row>
    <row r="871" spans="2:7" x14ac:dyDescent="0.2">
      <c r="B871" s="82"/>
      <c r="C871" s="82"/>
      <c r="D871" s="83"/>
      <c r="E871" s="82"/>
      <c r="F871" s="82"/>
      <c r="G871" s="82"/>
    </row>
    <row r="872" spans="2:7" x14ac:dyDescent="0.2">
      <c r="B872" s="82"/>
      <c r="C872" s="82"/>
      <c r="D872" s="83"/>
      <c r="E872" s="82"/>
      <c r="F872" s="82"/>
      <c r="G872" s="82"/>
    </row>
    <row r="873" spans="2:7" x14ac:dyDescent="0.2">
      <c r="B873" s="82"/>
      <c r="C873" s="82"/>
      <c r="D873" s="83"/>
      <c r="E873" s="82"/>
      <c r="F873" s="82"/>
      <c r="G873" s="82"/>
    </row>
    <row r="874" spans="2:7" x14ac:dyDescent="0.2">
      <c r="B874" s="82"/>
      <c r="C874" s="82"/>
      <c r="D874" s="83"/>
      <c r="E874" s="82"/>
      <c r="F874" s="82"/>
      <c r="G874" s="82"/>
    </row>
    <row r="875" spans="2:7" x14ac:dyDescent="0.2">
      <c r="B875" s="82"/>
      <c r="C875" s="82"/>
      <c r="D875" s="83"/>
      <c r="E875" s="82"/>
      <c r="F875" s="82"/>
      <c r="G875" s="82"/>
    </row>
    <row r="876" spans="2:7" x14ac:dyDescent="0.2">
      <c r="B876" s="82"/>
      <c r="C876" s="82"/>
      <c r="D876" s="83"/>
      <c r="E876" s="82"/>
      <c r="F876" s="82"/>
      <c r="G876" s="82"/>
    </row>
    <row r="877" spans="2:7" x14ac:dyDescent="0.2">
      <c r="B877" s="82"/>
      <c r="C877" s="82"/>
      <c r="D877" s="83"/>
      <c r="E877" s="82"/>
      <c r="F877" s="82"/>
      <c r="G877" s="82"/>
    </row>
    <row r="878" spans="2:7" x14ac:dyDescent="0.2">
      <c r="B878" s="82"/>
      <c r="C878" s="82"/>
      <c r="D878" s="83"/>
      <c r="E878" s="82"/>
      <c r="F878" s="82"/>
      <c r="G878" s="82"/>
    </row>
    <row r="879" spans="2:7" x14ac:dyDescent="0.2">
      <c r="B879" s="82"/>
      <c r="C879" s="82"/>
      <c r="D879" s="83"/>
      <c r="E879" s="82"/>
      <c r="F879" s="82"/>
      <c r="G879" s="82"/>
    </row>
    <row r="880" spans="2:7" x14ac:dyDescent="0.2">
      <c r="B880" s="82"/>
      <c r="C880" s="82"/>
      <c r="D880" s="83"/>
      <c r="E880" s="82"/>
      <c r="F880" s="82"/>
      <c r="G880" s="82"/>
    </row>
    <row r="881" spans="2:7" x14ac:dyDescent="0.2">
      <c r="B881" s="82"/>
      <c r="C881" s="82"/>
      <c r="D881" s="83"/>
      <c r="E881" s="82"/>
      <c r="F881" s="82"/>
      <c r="G881" s="82"/>
    </row>
    <row r="882" spans="2:7" x14ac:dyDescent="0.2">
      <c r="B882" s="82"/>
      <c r="C882" s="82"/>
      <c r="D882" s="83"/>
      <c r="E882" s="82"/>
      <c r="F882" s="82"/>
      <c r="G882" s="82"/>
    </row>
    <row r="883" spans="2:7" x14ac:dyDescent="0.2">
      <c r="B883" s="82"/>
      <c r="C883" s="82"/>
      <c r="D883" s="83"/>
      <c r="E883" s="82"/>
      <c r="F883" s="82"/>
      <c r="G883" s="82"/>
    </row>
    <row r="884" spans="2:7" x14ac:dyDescent="0.2">
      <c r="B884" s="82"/>
      <c r="C884" s="82"/>
      <c r="D884" s="83"/>
      <c r="E884" s="82"/>
      <c r="F884" s="82"/>
      <c r="G884" s="82"/>
    </row>
    <row r="885" spans="2:7" x14ac:dyDescent="0.2">
      <c r="B885" s="82"/>
      <c r="C885" s="82"/>
      <c r="D885" s="83"/>
      <c r="E885" s="82"/>
      <c r="F885" s="82"/>
      <c r="G885" s="82"/>
    </row>
    <row r="886" spans="2:7" x14ac:dyDescent="0.2">
      <c r="B886" s="82"/>
      <c r="C886" s="82"/>
      <c r="D886" s="83"/>
      <c r="E886" s="82"/>
      <c r="F886" s="82"/>
      <c r="G886" s="82"/>
    </row>
    <row r="887" spans="2:7" x14ac:dyDescent="0.2">
      <c r="B887" s="82"/>
      <c r="C887" s="82"/>
      <c r="D887" s="83"/>
      <c r="E887" s="82"/>
      <c r="F887" s="82"/>
      <c r="G887" s="82"/>
    </row>
    <row r="888" spans="2:7" x14ac:dyDescent="0.2">
      <c r="B888" s="82"/>
      <c r="C888" s="82"/>
      <c r="D888" s="83"/>
      <c r="E888" s="82"/>
      <c r="F888" s="82"/>
      <c r="G888" s="82"/>
    </row>
    <row r="889" spans="2:7" x14ac:dyDescent="0.2">
      <c r="B889" s="82"/>
      <c r="C889" s="82"/>
      <c r="D889" s="83"/>
      <c r="E889" s="82"/>
      <c r="F889" s="82"/>
      <c r="G889" s="82"/>
    </row>
    <row r="890" spans="2:7" x14ac:dyDescent="0.2">
      <c r="B890" s="82"/>
      <c r="C890" s="82"/>
      <c r="D890" s="83"/>
      <c r="E890" s="82"/>
      <c r="F890" s="82"/>
      <c r="G890" s="82"/>
    </row>
    <row r="891" spans="2:7" x14ac:dyDescent="0.2">
      <c r="B891" s="82"/>
      <c r="C891" s="82"/>
      <c r="D891" s="83"/>
      <c r="E891" s="82"/>
      <c r="F891" s="82"/>
      <c r="G891" s="82"/>
    </row>
    <row r="892" spans="2:7" x14ac:dyDescent="0.2">
      <c r="B892" s="82"/>
      <c r="C892" s="82"/>
      <c r="D892" s="83"/>
      <c r="E892" s="82"/>
      <c r="F892" s="82"/>
      <c r="G892" s="82"/>
    </row>
    <row r="893" spans="2:7" x14ac:dyDescent="0.2">
      <c r="B893" s="82"/>
      <c r="C893" s="82"/>
      <c r="D893" s="83"/>
      <c r="E893" s="82"/>
      <c r="F893" s="82"/>
      <c r="G893" s="82"/>
    </row>
    <row r="894" spans="2:7" x14ac:dyDescent="0.2">
      <c r="B894" s="82"/>
      <c r="C894" s="82"/>
      <c r="D894" s="83"/>
      <c r="E894" s="82"/>
      <c r="F894" s="82"/>
      <c r="G894" s="82"/>
    </row>
    <row r="895" spans="2:7" x14ac:dyDescent="0.2">
      <c r="B895" s="82"/>
      <c r="C895" s="82"/>
      <c r="D895" s="83"/>
      <c r="E895" s="82"/>
      <c r="F895" s="82"/>
      <c r="G895" s="82"/>
    </row>
    <row r="896" spans="2:7" x14ac:dyDescent="0.2">
      <c r="B896" s="82"/>
      <c r="C896" s="82"/>
      <c r="D896" s="83"/>
      <c r="E896" s="82"/>
      <c r="F896" s="82"/>
      <c r="G896" s="82"/>
    </row>
    <row r="897" spans="2:7" x14ac:dyDescent="0.2">
      <c r="B897" s="82"/>
      <c r="C897" s="82"/>
      <c r="D897" s="83"/>
      <c r="E897" s="82"/>
      <c r="F897" s="82"/>
      <c r="G897" s="82"/>
    </row>
    <row r="898" spans="2:7" x14ac:dyDescent="0.2">
      <c r="B898" s="82"/>
      <c r="C898" s="82"/>
      <c r="D898" s="83"/>
      <c r="E898" s="82"/>
      <c r="F898" s="82"/>
      <c r="G898" s="82"/>
    </row>
    <row r="899" spans="2:7" x14ac:dyDescent="0.2">
      <c r="B899" s="82"/>
      <c r="C899" s="82"/>
      <c r="D899" s="83"/>
      <c r="E899" s="82"/>
      <c r="F899" s="82"/>
      <c r="G899" s="82"/>
    </row>
    <row r="900" spans="2:7" x14ac:dyDescent="0.2">
      <c r="B900" s="82"/>
      <c r="C900" s="82"/>
      <c r="D900" s="83"/>
      <c r="E900" s="82"/>
      <c r="F900" s="82"/>
      <c r="G900" s="82"/>
    </row>
    <row r="901" spans="2:7" x14ac:dyDescent="0.2">
      <c r="B901" s="82"/>
      <c r="C901" s="82"/>
      <c r="D901" s="83"/>
      <c r="E901" s="82"/>
      <c r="F901" s="82"/>
      <c r="G901" s="82"/>
    </row>
    <row r="902" spans="2:7" x14ac:dyDescent="0.2">
      <c r="B902" s="82"/>
      <c r="C902" s="82"/>
      <c r="D902" s="83"/>
      <c r="E902" s="82"/>
      <c r="F902" s="82"/>
      <c r="G902" s="82"/>
    </row>
    <row r="903" spans="2:7" x14ac:dyDescent="0.2">
      <c r="B903" s="82"/>
      <c r="C903" s="82"/>
      <c r="D903" s="83"/>
      <c r="E903" s="82"/>
      <c r="F903" s="82"/>
      <c r="G903" s="82"/>
    </row>
    <row r="904" spans="2:7" x14ac:dyDescent="0.2">
      <c r="B904" s="82"/>
      <c r="C904" s="82"/>
      <c r="D904" s="83"/>
      <c r="E904" s="82"/>
      <c r="F904" s="82"/>
      <c r="G904" s="82"/>
    </row>
    <row r="905" spans="2:7" x14ac:dyDescent="0.2">
      <c r="B905" s="82"/>
      <c r="C905" s="82"/>
      <c r="D905" s="83"/>
      <c r="E905" s="82"/>
      <c r="F905" s="82"/>
      <c r="G905" s="82"/>
    </row>
    <row r="906" spans="2:7" x14ac:dyDescent="0.2">
      <c r="B906" s="82"/>
      <c r="C906" s="82"/>
      <c r="D906" s="83"/>
      <c r="E906" s="82"/>
      <c r="F906" s="82"/>
      <c r="G906" s="82"/>
    </row>
    <row r="907" spans="2:7" x14ac:dyDescent="0.2">
      <c r="B907" s="82"/>
      <c r="C907" s="82"/>
      <c r="D907" s="83"/>
      <c r="E907" s="82"/>
      <c r="F907" s="82"/>
      <c r="G907" s="82"/>
    </row>
    <row r="908" spans="2:7" x14ac:dyDescent="0.2">
      <c r="B908" s="82"/>
      <c r="C908" s="82"/>
      <c r="D908" s="83"/>
      <c r="E908" s="82"/>
      <c r="F908" s="82"/>
      <c r="G908" s="82"/>
    </row>
    <row r="909" spans="2:7" x14ac:dyDescent="0.2">
      <c r="B909" s="82"/>
      <c r="C909" s="82"/>
      <c r="D909" s="83"/>
      <c r="E909" s="82"/>
      <c r="F909" s="82"/>
      <c r="G909" s="82"/>
    </row>
    <row r="910" spans="2:7" x14ac:dyDescent="0.2">
      <c r="B910" s="82"/>
      <c r="C910" s="82"/>
      <c r="D910" s="83"/>
      <c r="E910" s="82"/>
      <c r="F910" s="82"/>
      <c r="G910" s="82"/>
    </row>
    <row r="911" spans="2:7" x14ac:dyDescent="0.2">
      <c r="B911" s="82"/>
      <c r="C911" s="82"/>
      <c r="D911" s="83"/>
      <c r="E911" s="82"/>
      <c r="F911" s="82"/>
      <c r="G911" s="82"/>
    </row>
    <row r="912" spans="2:7" x14ac:dyDescent="0.2">
      <c r="B912" s="82"/>
      <c r="C912" s="82"/>
      <c r="D912" s="83"/>
      <c r="E912" s="82"/>
      <c r="F912" s="82"/>
      <c r="G912" s="82"/>
    </row>
    <row r="913" spans="2:7" x14ac:dyDescent="0.2">
      <c r="B913" s="82"/>
      <c r="C913" s="82"/>
      <c r="D913" s="83"/>
      <c r="E913" s="82"/>
      <c r="F913" s="82"/>
      <c r="G913" s="82"/>
    </row>
    <row r="914" spans="2:7" x14ac:dyDescent="0.2">
      <c r="B914" s="82"/>
      <c r="C914" s="82"/>
      <c r="D914" s="83"/>
      <c r="E914" s="82"/>
      <c r="F914" s="82"/>
      <c r="G914" s="82"/>
    </row>
    <row r="915" spans="2:7" x14ac:dyDescent="0.2">
      <c r="B915" s="82"/>
      <c r="C915" s="82"/>
      <c r="D915" s="83"/>
      <c r="E915" s="82"/>
      <c r="F915" s="82"/>
      <c r="G915" s="82"/>
    </row>
    <row r="916" spans="2:7" x14ac:dyDescent="0.2">
      <c r="B916" s="82"/>
      <c r="C916" s="82"/>
      <c r="D916" s="83"/>
      <c r="E916" s="82"/>
      <c r="F916" s="82"/>
      <c r="G916" s="82"/>
    </row>
    <row r="917" spans="2:7" x14ac:dyDescent="0.2">
      <c r="B917" s="82"/>
      <c r="C917" s="82"/>
      <c r="D917" s="83"/>
      <c r="E917" s="82"/>
      <c r="F917" s="82"/>
      <c r="G917" s="82"/>
    </row>
    <row r="918" spans="2:7" x14ac:dyDescent="0.2">
      <c r="B918" s="82"/>
      <c r="C918" s="82"/>
      <c r="D918" s="83"/>
      <c r="E918" s="82"/>
      <c r="F918" s="82"/>
      <c r="G918" s="82"/>
    </row>
    <row r="919" spans="2:7" x14ac:dyDescent="0.2">
      <c r="B919" s="82"/>
      <c r="C919" s="82"/>
      <c r="D919" s="83"/>
      <c r="E919" s="82"/>
      <c r="F919" s="82"/>
      <c r="G919" s="82"/>
    </row>
    <row r="920" spans="2:7" x14ac:dyDescent="0.2">
      <c r="B920" s="82"/>
      <c r="C920" s="82"/>
      <c r="D920" s="83"/>
      <c r="E920" s="82"/>
      <c r="F920" s="82"/>
      <c r="G920" s="82"/>
    </row>
    <row r="921" spans="2:7" x14ac:dyDescent="0.2">
      <c r="B921" s="82"/>
      <c r="C921" s="82"/>
      <c r="D921" s="83"/>
      <c r="E921" s="82"/>
      <c r="F921" s="82"/>
      <c r="G921" s="82"/>
    </row>
    <row r="922" spans="2:7" x14ac:dyDescent="0.2">
      <c r="B922" s="82"/>
      <c r="C922" s="82"/>
      <c r="D922" s="83"/>
      <c r="E922" s="82"/>
      <c r="F922" s="82"/>
      <c r="G922" s="82"/>
    </row>
    <row r="923" spans="2:7" x14ac:dyDescent="0.2">
      <c r="B923" s="82"/>
      <c r="C923" s="82"/>
      <c r="D923" s="83"/>
      <c r="E923" s="82"/>
      <c r="F923" s="82"/>
      <c r="G923" s="82"/>
    </row>
    <row r="924" spans="2:7" x14ac:dyDescent="0.2">
      <c r="B924" s="82"/>
      <c r="C924" s="82"/>
      <c r="D924" s="83"/>
      <c r="E924" s="82"/>
      <c r="F924" s="82"/>
      <c r="G924" s="82"/>
    </row>
    <row r="925" spans="2:7" x14ac:dyDescent="0.2">
      <c r="B925" s="82"/>
      <c r="C925" s="82"/>
      <c r="D925" s="83"/>
      <c r="E925" s="82"/>
      <c r="F925" s="82"/>
      <c r="G925" s="82"/>
    </row>
    <row r="926" spans="2:7" x14ac:dyDescent="0.2">
      <c r="B926" s="82"/>
      <c r="C926" s="82"/>
      <c r="D926" s="83"/>
      <c r="E926" s="82"/>
      <c r="F926" s="82"/>
      <c r="G926" s="82"/>
    </row>
    <row r="927" spans="2:7" x14ac:dyDescent="0.2">
      <c r="B927" s="82"/>
      <c r="C927" s="82"/>
      <c r="D927" s="83"/>
      <c r="E927" s="82"/>
      <c r="F927" s="82"/>
      <c r="G927" s="82"/>
    </row>
    <row r="928" spans="2:7" x14ac:dyDescent="0.2">
      <c r="B928" s="82"/>
      <c r="C928" s="82"/>
      <c r="D928" s="83"/>
      <c r="E928" s="82"/>
      <c r="F928" s="82"/>
      <c r="G928" s="82"/>
    </row>
    <row r="929" spans="2:7" x14ac:dyDescent="0.2">
      <c r="B929" s="82"/>
      <c r="C929" s="82"/>
      <c r="D929" s="83"/>
      <c r="E929" s="82"/>
      <c r="F929" s="82"/>
      <c r="G929" s="82"/>
    </row>
    <row r="930" spans="2:7" x14ac:dyDescent="0.2">
      <c r="B930" s="82"/>
      <c r="C930" s="82"/>
      <c r="D930" s="83"/>
      <c r="E930" s="82"/>
      <c r="F930" s="82"/>
      <c r="G930" s="82"/>
    </row>
    <row r="931" spans="2:7" x14ac:dyDescent="0.2">
      <c r="B931" s="82"/>
      <c r="C931" s="82"/>
      <c r="D931" s="83"/>
      <c r="E931" s="82"/>
      <c r="F931" s="82"/>
      <c r="G931" s="82"/>
    </row>
    <row r="932" spans="2:7" x14ac:dyDescent="0.2">
      <c r="B932" s="82"/>
      <c r="C932" s="82"/>
      <c r="D932" s="83"/>
      <c r="E932" s="82"/>
      <c r="F932" s="82"/>
      <c r="G932" s="82"/>
    </row>
    <row r="933" spans="2:7" x14ac:dyDescent="0.2">
      <c r="B933" s="82"/>
      <c r="C933" s="82"/>
      <c r="D933" s="83"/>
      <c r="E933" s="82"/>
      <c r="F933" s="82"/>
      <c r="G933" s="82"/>
    </row>
    <row r="934" spans="2:7" x14ac:dyDescent="0.2">
      <c r="B934" s="82"/>
      <c r="C934" s="82"/>
      <c r="D934" s="83"/>
      <c r="E934" s="82"/>
      <c r="F934" s="82"/>
      <c r="G934" s="82"/>
    </row>
    <row r="935" spans="2:7" x14ac:dyDescent="0.2">
      <c r="B935" s="82"/>
      <c r="C935" s="82"/>
      <c r="D935" s="83"/>
      <c r="E935" s="82"/>
      <c r="F935" s="82"/>
      <c r="G935" s="82"/>
    </row>
    <row r="936" spans="2:7" x14ac:dyDescent="0.2">
      <c r="B936" s="82"/>
      <c r="C936" s="82"/>
      <c r="D936" s="83"/>
      <c r="E936" s="82"/>
      <c r="F936" s="82"/>
      <c r="G936" s="82"/>
    </row>
    <row r="937" spans="2:7" x14ac:dyDescent="0.2">
      <c r="B937" s="82"/>
      <c r="C937" s="82"/>
      <c r="D937" s="83"/>
      <c r="E937" s="82"/>
      <c r="F937" s="82"/>
      <c r="G937" s="82"/>
    </row>
    <row r="938" spans="2:7" x14ac:dyDescent="0.2">
      <c r="B938" s="82"/>
      <c r="C938" s="82"/>
      <c r="D938" s="83"/>
      <c r="E938" s="82"/>
      <c r="F938" s="82"/>
      <c r="G938" s="82"/>
    </row>
    <row r="939" spans="2:7" x14ac:dyDescent="0.2">
      <c r="B939" s="82"/>
      <c r="C939" s="82"/>
      <c r="D939" s="83"/>
      <c r="E939" s="82"/>
      <c r="F939" s="82"/>
      <c r="G939" s="82"/>
    </row>
    <row r="940" spans="2:7" x14ac:dyDescent="0.2">
      <c r="B940" s="82"/>
      <c r="C940" s="82"/>
      <c r="D940" s="83"/>
      <c r="E940" s="82"/>
      <c r="F940" s="82"/>
      <c r="G940" s="82"/>
    </row>
    <row r="941" spans="2:7" x14ac:dyDescent="0.2">
      <c r="B941" s="82"/>
      <c r="C941" s="82"/>
      <c r="D941" s="83"/>
      <c r="E941" s="82"/>
      <c r="F941" s="82"/>
      <c r="G941" s="82"/>
    </row>
    <row r="942" spans="2:7" x14ac:dyDescent="0.2">
      <c r="B942" s="82"/>
      <c r="C942" s="82"/>
      <c r="D942" s="83"/>
      <c r="E942" s="82"/>
      <c r="F942" s="82"/>
      <c r="G942" s="82"/>
    </row>
    <row r="943" spans="2:7" x14ac:dyDescent="0.2">
      <c r="B943" s="82"/>
      <c r="C943" s="82"/>
      <c r="D943" s="83"/>
      <c r="E943" s="82"/>
      <c r="F943" s="82"/>
      <c r="G943" s="82"/>
    </row>
    <row r="944" spans="2:7" x14ac:dyDescent="0.2">
      <c r="B944" s="82"/>
      <c r="C944" s="82"/>
      <c r="D944" s="83"/>
      <c r="E944" s="82"/>
      <c r="F944" s="82"/>
      <c r="G944" s="82"/>
    </row>
    <row r="945" spans="2:7" x14ac:dyDescent="0.2">
      <c r="B945" s="82"/>
      <c r="C945" s="82"/>
      <c r="D945" s="83"/>
      <c r="E945" s="82"/>
      <c r="F945" s="82"/>
      <c r="G945" s="82"/>
    </row>
    <row r="946" spans="2:7" x14ac:dyDescent="0.2">
      <c r="B946" s="82"/>
      <c r="C946" s="82"/>
      <c r="D946" s="83"/>
      <c r="E946" s="82"/>
      <c r="F946" s="82"/>
      <c r="G946" s="82"/>
    </row>
    <row r="947" spans="2:7" x14ac:dyDescent="0.2">
      <c r="B947" s="82"/>
      <c r="C947" s="82"/>
      <c r="D947" s="83"/>
      <c r="E947" s="82"/>
      <c r="F947" s="82"/>
      <c r="G947" s="82"/>
    </row>
    <row r="948" spans="2:7" x14ac:dyDescent="0.2">
      <c r="B948" s="82"/>
      <c r="C948" s="82"/>
      <c r="D948" s="83"/>
      <c r="E948" s="82"/>
      <c r="F948" s="82"/>
      <c r="G948" s="82"/>
    </row>
    <row r="949" spans="2:7" x14ac:dyDescent="0.2">
      <c r="B949" s="82"/>
      <c r="C949" s="82"/>
      <c r="D949" s="83"/>
      <c r="E949" s="82"/>
      <c r="F949" s="82"/>
      <c r="G949" s="82"/>
    </row>
    <row r="950" spans="2:7" x14ac:dyDescent="0.2">
      <c r="B950" s="82"/>
      <c r="C950" s="82"/>
      <c r="D950" s="83"/>
      <c r="E950" s="82"/>
      <c r="F950" s="82"/>
      <c r="G950" s="82"/>
    </row>
    <row r="951" spans="2:7" x14ac:dyDescent="0.2">
      <c r="B951" s="82"/>
      <c r="C951" s="82"/>
      <c r="D951" s="83"/>
      <c r="E951" s="82"/>
      <c r="F951" s="82"/>
      <c r="G951" s="82"/>
    </row>
    <row r="952" spans="2:7" x14ac:dyDescent="0.2">
      <c r="B952" s="82"/>
      <c r="C952" s="82"/>
      <c r="D952" s="83"/>
      <c r="E952" s="82"/>
      <c r="F952" s="82"/>
      <c r="G952" s="82"/>
    </row>
    <row r="953" spans="2:7" x14ac:dyDescent="0.2">
      <c r="B953" s="82"/>
      <c r="C953" s="82"/>
      <c r="D953" s="83"/>
      <c r="E953" s="82"/>
      <c r="F953" s="82"/>
      <c r="G953" s="82"/>
    </row>
    <row r="954" spans="2:7" x14ac:dyDescent="0.2">
      <c r="B954" s="82"/>
      <c r="C954" s="82"/>
      <c r="D954" s="83"/>
      <c r="E954" s="82"/>
      <c r="F954" s="82"/>
      <c r="G954" s="82"/>
    </row>
    <row r="955" spans="2:7" x14ac:dyDescent="0.2">
      <c r="B955" s="82"/>
      <c r="C955" s="82"/>
      <c r="D955" s="83"/>
      <c r="E955" s="82"/>
      <c r="F955" s="82"/>
      <c r="G955" s="82"/>
    </row>
    <row r="956" spans="2:7" x14ac:dyDescent="0.2">
      <c r="B956" s="82"/>
      <c r="C956" s="82"/>
      <c r="D956" s="83"/>
      <c r="E956" s="82"/>
      <c r="F956" s="82"/>
      <c r="G956" s="82"/>
    </row>
    <row r="957" spans="2:7" x14ac:dyDescent="0.2">
      <c r="B957" s="82"/>
      <c r="C957" s="82"/>
      <c r="D957" s="83"/>
      <c r="E957" s="82"/>
      <c r="F957" s="82"/>
      <c r="G957" s="82"/>
    </row>
    <row r="958" spans="2:7" x14ac:dyDescent="0.2">
      <c r="B958" s="82"/>
      <c r="C958" s="82"/>
      <c r="D958" s="83"/>
      <c r="E958" s="82"/>
      <c r="F958" s="82"/>
      <c r="G958" s="82"/>
    </row>
    <row r="959" spans="2:7" x14ac:dyDescent="0.2">
      <c r="B959" s="82"/>
      <c r="C959" s="82"/>
      <c r="D959" s="83"/>
      <c r="E959" s="82"/>
      <c r="F959" s="82"/>
      <c r="G959" s="82"/>
    </row>
    <row r="960" spans="2:7" x14ac:dyDescent="0.2">
      <c r="B960" s="82"/>
      <c r="C960" s="82"/>
      <c r="D960" s="83"/>
      <c r="E960" s="82"/>
      <c r="F960" s="82"/>
      <c r="G960" s="82"/>
    </row>
    <row r="961" spans="2:7" x14ac:dyDescent="0.2">
      <c r="B961" s="82"/>
      <c r="C961" s="82"/>
      <c r="D961" s="83"/>
      <c r="E961" s="82"/>
      <c r="F961" s="82"/>
      <c r="G961" s="82"/>
    </row>
    <row r="962" spans="2:7" x14ac:dyDescent="0.2">
      <c r="B962" s="82"/>
      <c r="C962" s="82"/>
      <c r="D962" s="83"/>
      <c r="E962" s="82"/>
      <c r="F962" s="82"/>
      <c r="G962" s="82"/>
    </row>
    <row r="963" spans="2:7" x14ac:dyDescent="0.2">
      <c r="B963" s="82"/>
      <c r="C963" s="82"/>
      <c r="D963" s="83"/>
      <c r="E963" s="82"/>
      <c r="F963" s="82"/>
      <c r="G963" s="82"/>
    </row>
    <row r="964" spans="2:7" x14ac:dyDescent="0.2">
      <c r="B964" s="82"/>
      <c r="C964" s="82"/>
      <c r="D964" s="83"/>
      <c r="E964" s="82"/>
      <c r="F964" s="82"/>
      <c r="G964" s="82"/>
    </row>
    <row r="965" spans="2:7" x14ac:dyDescent="0.2">
      <c r="B965" s="82"/>
      <c r="C965" s="82"/>
      <c r="D965" s="83"/>
      <c r="E965" s="82"/>
      <c r="F965" s="82"/>
      <c r="G965" s="82"/>
    </row>
    <row r="966" spans="2:7" x14ac:dyDescent="0.2">
      <c r="B966" s="82"/>
      <c r="C966" s="82"/>
      <c r="D966" s="83"/>
      <c r="E966" s="82"/>
      <c r="F966" s="82"/>
      <c r="G966" s="82"/>
    </row>
    <row r="967" spans="2:7" x14ac:dyDescent="0.2">
      <c r="B967" s="82"/>
      <c r="C967" s="82"/>
      <c r="D967" s="83"/>
      <c r="E967" s="82"/>
      <c r="F967" s="82"/>
      <c r="G967" s="82"/>
    </row>
    <row r="968" spans="2:7" x14ac:dyDescent="0.2">
      <c r="B968" s="82"/>
      <c r="C968" s="82"/>
      <c r="D968" s="83"/>
      <c r="E968" s="82"/>
      <c r="F968" s="82"/>
      <c r="G968" s="82"/>
    </row>
    <row r="969" spans="2:7" x14ac:dyDescent="0.2">
      <c r="B969" s="82"/>
      <c r="C969" s="82"/>
      <c r="D969" s="83"/>
      <c r="E969" s="82"/>
      <c r="F969" s="82"/>
      <c r="G969" s="82"/>
    </row>
    <row r="970" spans="2:7" x14ac:dyDescent="0.2">
      <c r="B970" s="82"/>
      <c r="C970" s="82"/>
      <c r="D970" s="83"/>
      <c r="E970" s="82"/>
      <c r="F970" s="82"/>
      <c r="G970" s="82"/>
    </row>
    <row r="971" spans="2:7" x14ac:dyDescent="0.2">
      <c r="B971" s="82"/>
      <c r="C971" s="82"/>
      <c r="D971" s="83"/>
      <c r="E971" s="82"/>
      <c r="F971" s="82"/>
      <c r="G971" s="82"/>
    </row>
    <row r="972" spans="2:7" x14ac:dyDescent="0.2">
      <c r="B972" s="82"/>
      <c r="C972" s="82"/>
      <c r="D972" s="83"/>
      <c r="E972" s="82"/>
      <c r="F972" s="82"/>
      <c r="G972" s="82"/>
    </row>
    <row r="973" spans="2:7" x14ac:dyDescent="0.2">
      <c r="B973" s="82"/>
      <c r="C973" s="82"/>
      <c r="D973" s="83"/>
      <c r="E973" s="82"/>
      <c r="F973" s="82"/>
      <c r="G973" s="82"/>
    </row>
    <row r="974" spans="2:7" x14ac:dyDescent="0.2">
      <c r="B974" s="82"/>
      <c r="C974" s="82"/>
      <c r="D974" s="83"/>
      <c r="E974" s="82"/>
      <c r="F974" s="82"/>
      <c r="G974" s="82"/>
    </row>
    <row r="975" spans="2:7" x14ac:dyDescent="0.2">
      <c r="B975" s="82"/>
      <c r="C975" s="82"/>
      <c r="D975" s="83"/>
      <c r="E975" s="82"/>
      <c r="F975" s="82"/>
      <c r="G975" s="82"/>
    </row>
    <row r="976" spans="2:7" x14ac:dyDescent="0.2">
      <c r="B976" s="82"/>
      <c r="C976" s="82"/>
      <c r="D976" s="83"/>
      <c r="E976" s="82"/>
      <c r="F976" s="82"/>
      <c r="G976" s="82"/>
    </row>
    <row r="977" spans="2:7" x14ac:dyDescent="0.2">
      <c r="B977" s="82"/>
      <c r="C977" s="82"/>
      <c r="D977" s="83"/>
      <c r="E977" s="82"/>
      <c r="F977" s="82"/>
      <c r="G977" s="82"/>
    </row>
    <row r="978" spans="2:7" x14ac:dyDescent="0.2">
      <c r="B978" s="82"/>
      <c r="C978" s="82"/>
      <c r="D978" s="83"/>
      <c r="E978" s="82"/>
      <c r="F978" s="82"/>
      <c r="G978" s="82"/>
    </row>
    <row r="979" spans="2:7" x14ac:dyDescent="0.2">
      <c r="B979" s="82"/>
      <c r="C979" s="82"/>
      <c r="D979" s="83"/>
      <c r="E979" s="82"/>
      <c r="F979" s="82"/>
      <c r="G979" s="82"/>
    </row>
    <row r="980" spans="2:7" x14ac:dyDescent="0.2">
      <c r="B980" s="82"/>
      <c r="C980" s="82"/>
      <c r="D980" s="83"/>
      <c r="E980" s="82"/>
      <c r="F980" s="82"/>
      <c r="G980" s="82"/>
    </row>
    <row r="981" spans="2:7" x14ac:dyDescent="0.2">
      <c r="B981" s="82"/>
      <c r="C981" s="82"/>
      <c r="D981" s="83"/>
      <c r="E981" s="82"/>
      <c r="F981" s="82"/>
      <c r="G981" s="82"/>
    </row>
    <row r="982" spans="2:7" x14ac:dyDescent="0.2">
      <c r="B982" s="82"/>
      <c r="C982" s="82"/>
      <c r="D982" s="83"/>
      <c r="E982" s="82"/>
      <c r="F982" s="82"/>
      <c r="G982" s="82"/>
    </row>
    <row r="983" spans="2:7" x14ac:dyDescent="0.2">
      <c r="B983" s="82"/>
      <c r="C983" s="82"/>
      <c r="D983" s="83"/>
      <c r="E983" s="82"/>
      <c r="F983" s="82"/>
      <c r="G983" s="82"/>
    </row>
    <row r="984" spans="2:7" x14ac:dyDescent="0.2">
      <c r="B984" s="82"/>
      <c r="C984" s="82"/>
      <c r="D984" s="83"/>
      <c r="E984" s="82"/>
      <c r="F984" s="82"/>
      <c r="G984" s="82"/>
    </row>
    <row r="985" spans="2:7" x14ac:dyDescent="0.2">
      <c r="B985" s="82"/>
      <c r="C985" s="82"/>
      <c r="D985" s="83"/>
      <c r="E985" s="82"/>
      <c r="F985" s="82"/>
      <c r="G985" s="82"/>
    </row>
    <row r="986" spans="2:7" x14ac:dyDescent="0.2">
      <c r="B986" s="82"/>
      <c r="C986" s="82"/>
      <c r="D986" s="83"/>
      <c r="E986" s="82"/>
      <c r="F986" s="82"/>
      <c r="G986" s="82"/>
    </row>
    <row r="987" spans="2:7" x14ac:dyDescent="0.2">
      <c r="B987" s="82"/>
      <c r="C987" s="82"/>
      <c r="D987" s="83"/>
      <c r="E987" s="82"/>
      <c r="F987" s="82"/>
      <c r="G987" s="82"/>
    </row>
    <row r="988" spans="2:7" x14ac:dyDescent="0.2">
      <c r="B988" s="82"/>
      <c r="C988" s="82"/>
      <c r="D988" s="83"/>
      <c r="E988" s="82"/>
      <c r="F988" s="82"/>
      <c r="G988" s="82"/>
    </row>
    <row r="989" spans="2:7" x14ac:dyDescent="0.2">
      <c r="B989" s="82"/>
      <c r="C989" s="82"/>
      <c r="D989" s="83"/>
      <c r="E989" s="82"/>
      <c r="F989" s="82"/>
      <c r="G989" s="82"/>
    </row>
    <row r="990" spans="2:7" x14ac:dyDescent="0.2">
      <c r="B990" s="82"/>
      <c r="C990" s="82"/>
      <c r="D990" s="83"/>
      <c r="E990" s="82"/>
      <c r="F990" s="82"/>
      <c r="G990" s="82"/>
    </row>
    <row r="991" spans="2:7" x14ac:dyDescent="0.2">
      <c r="B991" s="82"/>
      <c r="C991" s="82"/>
      <c r="D991" s="83"/>
      <c r="E991" s="82"/>
      <c r="F991" s="82"/>
      <c r="G991" s="82"/>
    </row>
    <row r="992" spans="2:7" x14ac:dyDescent="0.2">
      <c r="B992" s="82"/>
      <c r="C992" s="82"/>
      <c r="D992" s="83"/>
      <c r="E992" s="82"/>
      <c r="F992" s="82"/>
      <c r="G992" s="82"/>
    </row>
    <row r="993" spans="2:7" x14ac:dyDescent="0.2">
      <c r="B993" s="82"/>
      <c r="C993" s="82"/>
      <c r="D993" s="83"/>
      <c r="E993" s="82"/>
      <c r="F993" s="82"/>
      <c r="G993" s="82"/>
    </row>
    <row r="994" spans="2:7" x14ac:dyDescent="0.2">
      <c r="B994" s="82"/>
      <c r="C994" s="82"/>
      <c r="D994" s="83"/>
      <c r="E994" s="82"/>
      <c r="F994" s="82"/>
      <c r="G994" s="82"/>
    </row>
    <row r="995" spans="2:7" x14ac:dyDescent="0.2">
      <c r="B995" s="82"/>
      <c r="C995" s="82"/>
      <c r="D995" s="83"/>
      <c r="E995" s="82"/>
      <c r="F995" s="82"/>
      <c r="G995" s="82"/>
    </row>
    <row r="996" spans="2:7" x14ac:dyDescent="0.2">
      <c r="B996" s="82"/>
      <c r="C996" s="82"/>
      <c r="D996" s="83"/>
      <c r="E996" s="82"/>
      <c r="F996" s="82"/>
      <c r="G996" s="82"/>
    </row>
    <row r="997" spans="2:7" x14ac:dyDescent="0.2">
      <c r="B997" s="82"/>
      <c r="C997" s="82"/>
      <c r="D997" s="83"/>
      <c r="E997" s="82"/>
      <c r="F997" s="82"/>
      <c r="G997" s="82"/>
    </row>
    <row r="998" spans="2:7" x14ac:dyDescent="0.2">
      <c r="B998" s="82"/>
      <c r="C998" s="82"/>
      <c r="D998" s="83"/>
      <c r="E998" s="82"/>
      <c r="F998" s="82"/>
      <c r="G998" s="82"/>
    </row>
    <row r="999" spans="2:7" x14ac:dyDescent="0.2">
      <c r="B999" s="82"/>
      <c r="C999" s="82"/>
      <c r="D999" s="83"/>
      <c r="E999" s="82"/>
      <c r="F999" s="82"/>
      <c r="G999" s="82"/>
    </row>
    <row r="1000" spans="2:7" x14ac:dyDescent="0.2">
      <c r="B1000" s="82"/>
      <c r="C1000" s="82"/>
      <c r="D1000" s="83"/>
      <c r="E1000" s="82"/>
      <c r="F1000" s="82"/>
      <c r="G1000" s="82"/>
    </row>
    <row r="1001" spans="2:7" x14ac:dyDescent="0.2">
      <c r="B1001" s="82"/>
      <c r="C1001" s="82"/>
      <c r="D1001" s="83"/>
      <c r="E1001" s="82"/>
      <c r="F1001" s="82"/>
      <c r="G1001" s="82"/>
    </row>
    <row r="1002" spans="2:7" x14ac:dyDescent="0.2">
      <c r="B1002" s="82"/>
      <c r="C1002" s="82"/>
      <c r="D1002" s="83"/>
      <c r="E1002" s="82"/>
      <c r="F1002" s="82"/>
      <c r="G1002" s="82"/>
    </row>
    <row r="1003" spans="2:7" x14ac:dyDescent="0.2">
      <c r="B1003" s="82"/>
      <c r="C1003" s="82"/>
      <c r="D1003" s="83"/>
      <c r="E1003" s="82"/>
      <c r="F1003" s="82"/>
      <c r="G1003" s="82"/>
    </row>
    <row r="1004" spans="2:7" x14ac:dyDescent="0.2">
      <c r="B1004" s="82"/>
      <c r="C1004" s="82"/>
      <c r="D1004" s="83"/>
      <c r="E1004" s="82"/>
      <c r="F1004" s="82"/>
      <c r="G1004" s="82"/>
    </row>
    <row r="1005" spans="2:7" x14ac:dyDescent="0.2">
      <c r="B1005" s="82"/>
      <c r="C1005" s="82"/>
      <c r="D1005" s="83"/>
      <c r="E1005" s="82"/>
      <c r="F1005" s="82"/>
      <c r="G1005" s="82"/>
    </row>
    <row r="1006" spans="2:7" x14ac:dyDescent="0.2">
      <c r="B1006" s="82"/>
      <c r="C1006" s="82"/>
      <c r="D1006" s="83"/>
      <c r="E1006" s="82"/>
      <c r="F1006" s="82"/>
      <c r="G1006" s="82"/>
    </row>
    <row r="1007" spans="2:7" x14ac:dyDescent="0.2">
      <c r="B1007" s="82"/>
      <c r="C1007" s="82"/>
      <c r="D1007" s="83"/>
      <c r="E1007" s="82"/>
      <c r="F1007" s="82"/>
      <c r="G1007" s="82"/>
    </row>
    <row r="1008" spans="2:7" x14ac:dyDescent="0.2">
      <c r="B1008" s="82"/>
      <c r="C1008" s="82"/>
      <c r="D1008" s="83"/>
      <c r="E1008" s="82"/>
      <c r="F1008" s="82"/>
      <c r="G1008" s="82"/>
    </row>
    <row r="1009" spans="2:7" x14ac:dyDescent="0.2">
      <c r="B1009" s="82"/>
      <c r="C1009" s="82"/>
      <c r="D1009" s="83"/>
      <c r="E1009" s="82"/>
      <c r="F1009" s="82"/>
      <c r="G1009" s="82"/>
    </row>
    <row r="1010" spans="2:7" x14ac:dyDescent="0.2">
      <c r="B1010" s="82"/>
      <c r="C1010" s="82"/>
      <c r="D1010" s="83"/>
      <c r="E1010" s="82"/>
      <c r="F1010" s="82"/>
      <c r="G1010" s="82"/>
    </row>
    <row r="1011" spans="2:7" x14ac:dyDescent="0.2">
      <c r="B1011" s="82"/>
      <c r="C1011" s="82"/>
      <c r="D1011" s="83"/>
      <c r="E1011" s="82"/>
      <c r="F1011" s="82"/>
      <c r="G1011" s="82"/>
    </row>
    <row r="1012" spans="2:7" x14ac:dyDescent="0.2">
      <c r="B1012" s="82"/>
      <c r="C1012" s="82"/>
      <c r="D1012" s="83"/>
      <c r="E1012" s="82"/>
      <c r="F1012" s="82"/>
      <c r="G1012" s="82"/>
    </row>
    <row r="1013" spans="2:7" x14ac:dyDescent="0.2">
      <c r="B1013" s="82"/>
      <c r="C1013" s="82"/>
      <c r="D1013" s="83"/>
      <c r="E1013" s="82"/>
      <c r="F1013" s="82"/>
      <c r="G1013" s="82"/>
    </row>
    <row r="1014" spans="2:7" x14ac:dyDescent="0.2">
      <c r="B1014" s="82"/>
      <c r="C1014" s="82"/>
      <c r="D1014" s="83"/>
      <c r="E1014" s="82"/>
      <c r="F1014" s="82"/>
      <c r="G1014" s="82"/>
    </row>
    <row r="1015" spans="2:7" x14ac:dyDescent="0.2">
      <c r="B1015" s="82"/>
      <c r="C1015" s="82"/>
      <c r="D1015" s="83"/>
      <c r="E1015" s="82"/>
      <c r="F1015" s="82"/>
      <c r="G1015" s="82"/>
    </row>
    <row r="1016" spans="2:7" x14ac:dyDescent="0.2">
      <c r="B1016" s="82"/>
      <c r="C1016" s="82"/>
      <c r="D1016" s="83"/>
      <c r="E1016" s="82"/>
      <c r="F1016" s="82"/>
      <c r="G1016" s="82"/>
    </row>
    <row r="1017" spans="2:7" x14ac:dyDescent="0.2">
      <c r="B1017" s="82"/>
      <c r="C1017" s="82"/>
      <c r="D1017" s="83"/>
      <c r="E1017" s="82"/>
      <c r="F1017" s="82"/>
      <c r="G1017" s="82"/>
    </row>
    <row r="1018" spans="2:7" x14ac:dyDescent="0.2">
      <c r="B1018" s="82"/>
      <c r="C1018" s="82"/>
      <c r="D1018" s="83"/>
      <c r="E1018" s="82"/>
      <c r="F1018" s="82"/>
      <c r="G1018" s="82"/>
    </row>
    <row r="1019" spans="2:7" x14ac:dyDescent="0.2">
      <c r="B1019" s="82"/>
      <c r="C1019" s="82"/>
      <c r="D1019" s="83"/>
      <c r="E1019" s="82"/>
      <c r="F1019" s="82"/>
      <c r="G1019" s="82"/>
    </row>
    <row r="1020" spans="2:7" x14ac:dyDescent="0.2">
      <c r="B1020" s="82"/>
      <c r="C1020" s="82"/>
      <c r="D1020" s="83"/>
      <c r="E1020" s="82"/>
      <c r="F1020" s="82"/>
      <c r="G1020" s="82"/>
    </row>
    <row r="1021" spans="2:7" x14ac:dyDescent="0.2">
      <c r="B1021" s="82"/>
      <c r="C1021" s="82"/>
      <c r="D1021" s="83"/>
      <c r="E1021" s="82"/>
      <c r="F1021" s="82"/>
      <c r="G1021" s="82"/>
    </row>
    <row r="1022" spans="2:7" x14ac:dyDescent="0.2">
      <c r="B1022" s="82"/>
      <c r="C1022" s="82"/>
      <c r="D1022" s="83"/>
      <c r="E1022" s="82"/>
      <c r="F1022" s="82"/>
      <c r="G1022" s="82"/>
    </row>
    <row r="1023" spans="2:7" x14ac:dyDescent="0.2">
      <c r="B1023" s="82"/>
      <c r="C1023" s="82"/>
      <c r="D1023" s="83"/>
      <c r="E1023" s="82"/>
      <c r="F1023" s="82"/>
      <c r="G1023" s="82"/>
    </row>
    <row r="1024" spans="2:7" x14ac:dyDescent="0.2">
      <c r="B1024" s="82"/>
      <c r="C1024" s="82"/>
      <c r="D1024" s="83"/>
      <c r="E1024" s="82"/>
      <c r="F1024" s="82"/>
      <c r="G1024" s="82"/>
    </row>
    <row r="1025" spans="2:7" x14ac:dyDescent="0.2">
      <c r="B1025" s="82"/>
      <c r="C1025" s="82"/>
      <c r="D1025" s="83"/>
      <c r="E1025" s="82"/>
      <c r="F1025" s="82"/>
      <c r="G1025" s="82"/>
    </row>
    <row r="1026" spans="2:7" x14ac:dyDescent="0.2">
      <c r="B1026" s="82"/>
      <c r="C1026" s="82"/>
      <c r="D1026" s="83"/>
      <c r="E1026" s="82"/>
      <c r="F1026" s="82"/>
      <c r="G1026" s="82"/>
    </row>
    <row r="1027" spans="2:7" x14ac:dyDescent="0.2">
      <c r="B1027" s="82"/>
      <c r="C1027" s="82"/>
      <c r="D1027" s="83"/>
      <c r="E1027" s="82"/>
      <c r="F1027" s="82"/>
      <c r="G1027" s="82"/>
    </row>
    <row r="1028" spans="2:7" x14ac:dyDescent="0.2">
      <c r="B1028" s="82"/>
      <c r="C1028" s="82"/>
      <c r="D1028" s="83"/>
      <c r="E1028" s="82"/>
      <c r="F1028" s="82"/>
      <c r="G1028" s="82"/>
    </row>
    <row r="1029" spans="2:7" x14ac:dyDescent="0.2">
      <c r="B1029" s="82"/>
      <c r="C1029" s="82"/>
      <c r="D1029" s="83"/>
      <c r="E1029" s="82"/>
      <c r="F1029" s="82"/>
      <c r="G1029" s="82"/>
    </row>
    <row r="1030" spans="2:7" x14ac:dyDescent="0.2">
      <c r="B1030" s="82"/>
      <c r="C1030" s="82"/>
      <c r="D1030" s="83"/>
      <c r="E1030" s="82"/>
      <c r="F1030" s="82"/>
      <c r="G1030" s="82"/>
    </row>
    <row r="1031" spans="2:7" x14ac:dyDescent="0.2">
      <c r="B1031" s="82"/>
      <c r="C1031" s="82"/>
      <c r="D1031" s="83"/>
      <c r="E1031" s="82"/>
      <c r="F1031" s="82"/>
      <c r="G1031" s="82"/>
    </row>
    <row r="1032" spans="2:7" x14ac:dyDescent="0.2">
      <c r="B1032" s="82"/>
      <c r="C1032" s="82"/>
      <c r="D1032" s="83"/>
      <c r="E1032" s="82"/>
      <c r="F1032" s="82"/>
      <c r="G1032" s="82"/>
    </row>
    <row r="1033" spans="2:7" x14ac:dyDescent="0.2">
      <c r="B1033" s="82"/>
      <c r="C1033" s="82"/>
      <c r="D1033" s="83"/>
      <c r="E1033" s="82"/>
      <c r="F1033" s="82"/>
      <c r="G1033" s="82"/>
    </row>
    <row r="1034" spans="2:7" x14ac:dyDescent="0.2">
      <c r="B1034" s="82"/>
      <c r="C1034" s="82"/>
      <c r="D1034" s="83"/>
      <c r="E1034" s="82"/>
      <c r="F1034" s="82"/>
      <c r="G1034" s="82"/>
    </row>
    <row r="1035" spans="2:7" x14ac:dyDescent="0.2">
      <c r="B1035" s="82"/>
      <c r="C1035" s="82"/>
      <c r="D1035" s="83"/>
      <c r="E1035" s="82"/>
      <c r="F1035" s="82"/>
      <c r="G1035" s="82"/>
    </row>
    <row r="1036" spans="2:7" x14ac:dyDescent="0.2">
      <c r="B1036" s="82"/>
      <c r="C1036" s="82"/>
      <c r="D1036" s="83"/>
      <c r="E1036" s="82"/>
      <c r="F1036" s="82"/>
      <c r="G1036" s="82"/>
    </row>
    <row r="1037" spans="2:7" x14ac:dyDescent="0.2">
      <c r="B1037" s="82"/>
      <c r="C1037" s="82"/>
      <c r="D1037" s="83"/>
      <c r="E1037" s="82"/>
      <c r="F1037" s="82"/>
      <c r="G1037" s="82"/>
    </row>
    <row r="1038" spans="2:7" x14ac:dyDescent="0.2">
      <c r="B1038" s="82"/>
      <c r="C1038" s="82"/>
      <c r="D1038" s="83"/>
      <c r="E1038" s="82"/>
      <c r="F1038" s="82"/>
      <c r="G1038" s="82"/>
    </row>
    <row r="1039" spans="2:7" x14ac:dyDescent="0.2">
      <c r="B1039" s="82"/>
      <c r="C1039" s="82"/>
      <c r="D1039" s="83"/>
      <c r="E1039" s="82"/>
      <c r="F1039" s="82"/>
      <c r="G1039" s="82"/>
    </row>
    <row r="1040" spans="2:7" x14ac:dyDescent="0.2">
      <c r="B1040" s="82"/>
      <c r="C1040" s="82"/>
      <c r="D1040" s="83"/>
      <c r="E1040" s="82"/>
      <c r="F1040" s="82"/>
      <c r="G1040" s="82"/>
    </row>
    <row r="1041" spans="2:7" x14ac:dyDescent="0.2">
      <c r="B1041" s="82"/>
      <c r="C1041" s="82"/>
      <c r="D1041" s="83"/>
      <c r="E1041" s="82"/>
      <c r="F1041" s="82"/>
      <c r="G1041" s="82"/>
    </row>
    <row r="1042" spans="2:7" x14ac:dyDescent="0.2">
      <c r="B1042" s="82"/>
      <c r="C1042" s="82"/>
      <c r="D1042" s="83"/>
      <c r="E1042" s="82"/>
      <c r="F1042" s="82"/>
      <c r="G1042" s="82"/>
    </row>
    <row r="1043" spans="2:7" x14ac:dyDescent="0.2">
      <c r="B1043" s="82"/>
      <c r="C1043" s="82"/>
      <c r="D1043" s="83"/>
      <c r="E1043" s="82"/>
      <c r="F1043" s="82"/>
      <c r="G1043" s="82"/>
    </row>
    <row r="1044" spans="2:7" x14ac:dyDescent="0.2">
      <c r="B1044" s="82"/>
      <c r="C1044" s="82"/>
      <c r="D1044" s="83"/>
      <c r="E1044" s="82"/>
      <c r="F1044" s="82"/>
      <c r="G1044" s="82"/>
    </row>
    <row r="1045" spans="2:7" x14ac:dyDescent="0.2">
      <c r="B1045" s="82"/>
      <c r="C1045" s="82"/>
      <c r="D1045" s="83"/>
      <c r="E1045" s="82"/>
      <c r="F1045" s="82"/>
      <c r="G1045" s="82"/>
    </row>
    <row r="1046" spans="2:7" x14ac:dyDescent="0.2">
      <c r="B1046" s="82"/>
      <c r="C1046" s="82"/>
      <c r="D1046" s="83"/>
      <c r="E1046" s="82"/>
      <c r="F1046" s="82"/>
      <c r="G1046" s="82"/>
    </row>
    <row r="1047" spans="2:7" x14ac:dyDescent="0.2">
      <c r="B1047" s="82"/>
      <c r="C1047" s="82"/>
      <c r="D1047" s="83"/>
      <c r="E1047" s="82"/>
      <c r="F1047" s="82"/>
      <c r="G1047" s="82"/>
    </row>
    <row r="1048" spans="2:7" x14ac:dyDescent="0.2">
      <c r="B1048" s="82"/>
      <c r="C1048" s="82"/>
      <c r="D1048" s="83"/>
      <c r="E1048" s="82"/>
      <c r="F1048" s="82"/>
      <c r="G1048" s="82"/>
    </row>
    <row r="1049" spans="2:7" x14ac:dyDescent="0.2">
      <c r="B1049" s="82"/>
      <c r="C1049" s="82"/>
      <c r="D1049" s="83"/>
      <c r="E1049" s="82"/>
      <c r="F1049" s="82"/>
      <c r="G1049" s="82"/>
    </row>
    <row r="1050" spans="2:7" x14ac:dyDescent="0.2">
      <c r="B1050" s="82"/>
      <c r="C1050" s="82"/>
      <c r="D1050" s="83"/>
      <c r="E1050" s="82"/>
      <c r="F1050" s="82"/>
      <c r="G1050" s="82"/>
    </row>
    <row r="1051" spans="2:7" x14ac:dyDescent="0.2">
      <c r="B1051" s="82"/>
      <c r="C1051" s="82"/>
      <c r="D1051" s="83"/>
      <c r="E1051" s="82"/>
      <c r="F1051" s="82"/>
      <c r="G1051" s="82"/>
    </row>
    <row r="1052" spans="2:7" x14ac:dyDescent="0.2">
      <c r="B1052" s="82"/>
      <c r="C1052" s="82"/>
      <c r="D1052" s="83"/>
      <c r="E1052" s="82"/>
      <c r="F1052" s="82"/>
      <c r="G1052" s="82"/>
    </row>
    <row r="1053" spans="2:7" x14ac:dyDescent="0.2">
      <c r="B1053" s="82"/>
      <c r="C1053" s="82"/>
      <c r="D1053" s="83"/>
      <c r="E1053" s="82"/>
      <c r="F1053" s="82"/>
      <c r="G1053" s="82"/>
    </row>
    <row r="1054" spans="2:7" x14ac:dyDescent="0.2">
      <c r="B1054" s="82"/>
      <c r="C1054" s="82"/>
      <c r="D1054" s="83"/>
      <c r="E1054" s="82"/>
      <c r="F1054" s="82"/>
      <c r="G1054" s="82"/>
    </row>
    <row r="1055" spans="2:7" x14ac:dyDescent="0.2">
      <c r="B1055" s="82"/>
      <c r="C1055" s="82"/>
      <c r="D1055" s="83"/>
      <c r="E1055" s="82"/>
      <c r="F1055" s="82"/>
      <c r="G1055" s="82"/>
    </row>
    <row r="1056" spans="2:7" x14ac:dyDescent="0.2">
      <c r="B1056" s="82"/>
      <c r="C1056" s="82"/>
      <c r="D1056" s="83"/>
      <c r="E1056" s="82"/>
      <c r="F1056" s="82"/>
      <c r="G1056" s="82"/>
    </row>
    <row r="1057" spans="2:7" x14ac:dyDescent="0.2">
      <c r="B1057" s="82"/>
      <c r="C1057" s="82"/>
      <c r="D1057" s="83"/>
      <c r="E1057" s="82"/>
      <c r="F1057" s="82"/>
      <c r="G1057" s="82"/>
    </row>
    <row r="1058" spans="2:7" x14ac:dyDescent="0.2">
      <c r="B1058" s="82"/>
      <c r="C1058" s="82"/>
      <c r="D1058" s="83"/>
      <c r="E1058" s="82"/>
      <c r="F1058" s="82"/>
      <c r="G1058" s="82"/>
    </row>
    <row r="1059" spans="2:7" x14ac:dyDescent="0.2">
      <c r="B1059" s="82"/>
      <c r="C1059" s="82"/>
      <c r="D1059" s="83"/>
      <c r="E1059" s="82"/>
      <c r="F1059" s="82"/>
      <c r="G1059" s="82"/>
    </row>
    <row r="1060" spans="2:7" x14ac:dyDescent="0.2">
      <c r="B1060" s="82"/>
      <c r="C1060" s="82"/>
      <c r="D1060" s="83"/>
      <c r="E1060" s="82"/>
      <c r="F1060" s="82"/>
      <c r="G1060" s="82"/>
    </row>
    <row r="1061" spans="2:7" x14ac:dyDescent="0.2">
      <c r="B1061" s="82"/>
      <c r="C1061" s="82"/>
      <c r="D1061" s="83"/>
      <c r="E1061" s="82"/>
      <c r="F1061" s="82"/>
      <c r="G1061" s="82"/>
    </row>
    <row r="1062" spans="2:7" x14ac:dyDescent="0.2">
      <c r="B1062" s="82"/>
      <c r="C1062" s="82"/>
      <c r="D1062" s="83"/>
      <c r="E1062" s="82"/>
      <c r="F1062" s="82"/>
      <c r="G1062" s="82"/>
    </row>
    <row r="1063" spans="2:7" x14ac:dyDescent="0.2">
      <c r="B1063" s="82"/>
      <c r="C1063" s="82"/>
      <c r="D1063" s="83"/>
      <c r="E1063" s="82"/>
      <c r="F1063" s="82"/>
      <c r="G1063" s="82"/>
    </row>
    <row r="1064" spans="2:7" x14ac:dyDescent="0.2">
      <c r="B1064" s="82"/>
      <c r="C1064" s="82"/>
      <c r="D1064" s="83"/>
      <c r="E1064" s="82"/>
      <c r="F1064" s="82"/>
      <c r="G1064" s="82"/>
    </row>
    <row r="1065" spans="2:7" x14ac:dyDescent="0.2">
      <c r="B1065" s="82"/>
      <c r="C1065" s="82"/>
      <c r="D1065" s="83"/>
      <c r="E1065" s="82"/>
      <c r="F1065" s="82"/>
      <c r="G1065" s="82"/>
    </row>
    <row r="1066" spans="2:7" x14ac:dyDescent="0.2">
      <c r="B1066" s="82"/>
      <c r="C1066" s="82"/>
      <c r="D1066" s="83"/>
      <c r="E1066" s="82"/>
      <c r="F1066" s="82"/>
      <c r="G1066" s="82"/>
    </row>
    <row r="1067" spans="2:7" x14ac:dyDescent="0.2">
      <c r="B1067" s="82"/>
      <c r="C1067" s="82"/>
      <c r="D1067" s="83"/>
      <c r="E1067" s="82"/>
      <c r="F1067" s="82"/>
      <c r="G1067" s="82"/>
    </row>
    <row r="1068" spans="2:7" x14ac:dyDescent="0.2">
      <c r="B1068" s="82"/>
      <c r="C1068" s="82"/>
      <c r="D1068" s="83"/>
      <c r="E1068" s="82"/>
      <c r="F1068" s="82"/>
      <c r="G1068" s="82"/>
    </row>
    <row r="1069" spans="2:7" x14ac:dyDescent="0.2">
      <c r="B1069" s="82"/>
      <c r="C1069" s="82"/>
      <c r="D1069" s="83"/>
      <c r="E1069" s="82"/>
      <c r="F1069" s="82"/>
      <c r="G1069" s="82"/>
    </row>
    <row r="1070" spans="2:7" x14ac:dyDescent="0.2">
      <c r="B1070" s="82"/>
      <c r="C1070" s="82"/>
      <c r="D1070" s="83"/>
      <c r="E1070" s="82"/>
      <c r="F1070" s="82"/>
      <c r="G1070" s="82"/>
    </row>
    <row r="1071" spans="2:7" x14ac:dyDescent="0.2">
      <c r="B1071" s="82"/>
      <c r="C1071" s="82"/>
      <c r="D1071" s="83"/>
      <c r="E1071" s="82"/>
      <c r="F1071" s="82"/>
      <c r="G1071" s="82"/>
    </row>
    <row r="1072" spans="2:7" x14ac:dyDescent="0.2">
      <c r="B1072" s="82"/>
      <c r="C1072" s="82"/>
      <c r="D1072" s="83"/>
      <c r="E1072" s="82"/>
      <c r="F1072" s="82"/>
      <c r="G1072" s="82"/>
    </row>
    <row r="1073" spans="2:7" x14ac:dyDescent="0.2">
      <c r="B1073" s="82"/>
      <c r="C1073" s="82"/>
      <c r="D1073" s="83"/>
      <c r="E1073" s="82"/>
      <c r="F1073" s="82"/>
      <c r="G1073" s="82"/>
    </row>
    <row r="1074" spans="2:7" x14ac:dyDescent="0.2">
      <c r="B1074" s="82"/>
      <c r="C1074" s="82"/>
      <c r="D1074" s="83"/>
      <c r="E1074" s="82"/>
      <c r="F1074" s="82"/>
      <c r="G1074" s="82"/>
    </row>
    <row r="1075" spans="2:7" x14ac:dyDescent="0.2">
      <c r="B1075" s="82"/>
      <c r="C1075" s="82"/>
      <c r="D1075" s="83"/>
      <c r="E1075" s="82"/>
      <c r="F1075" s="82"/>
      <c r="G1075" s="82"/>
    </row>
    <row r="1076" spans="2:7" x14ac:dyDescent="0.2">
      <c r="B1076" s="82"/>
      <c r="C1076" s="82"/>
      <c r="D1076" s="83"/>
      <c r="E1076" s="82"/>
      <c r="F1076" s="82"/>
      <c r="G1076" s="82"/>
    </row>
    <row r="1077" spans="2:7" x14ac:dyDescent="0.2">
      <c r="B1077" s="82"/>
      <c r="C1077" s="82"/>
      <c r="D1077" s="83"/>
      <c r="E1077" s="82"/>
      <c r="F1077" s="82"/>
      <c r="G1077" s="82"/>
    </row>
    <row r="1078" spans="2:7" x14ac:dyDescent="0.2">
      <c r="B1078" s="82"/>
      <c r="C1078" s="82"/>
      <c r="D1078" s="83"/>
      <c r="E1078" s="82"/>
      <c r="F1078" s="82"/>
      <c r="G1078" s="82"/>
    </row>
    <row r="1079" spans="2:7" x14ac:dyDescent="0.2">
      <c r="B1079" s="82"/>
      <c r="C1079" s="82"/>
      <c r="D1079" s="83"/>
      <c r="E1079" s="82"/>
      <c r="F1079" s="82"/>
      <c r="G1079" s="82"/>
    </row>
    <row r="1080" spans="2:7" x14ac:dyDescent="0.2">
      <c r="B1080" s="82"/>
      <c r="C1080" s="82"/>
      <c r="D1080" s="83"/>
      <c r="E1080" s="82"/>
      <c r="F1080" s="82"/>
      <c r="G1080" s="82"/>
    </row>
    <row r="1081" spans="2:7" x14ac:dyDescent="0.2">
      <c r="B1081" s="82"/>
      <c r="C1081" s="82"/>
      <c r="D1081" s="83"/>
      <c r="E1081" s="82"/>
      <c r="F1081" s="82"/>
      <c r="G1081" s="82"/>
    </row>
    <row r="1082" spans="2:7" x14ac:dyDescent="0.2">
      <c r="B1082" s="82"/>
      <c r="C1082" s="82"/>
      <c r="D1082" s="83"/>
      <c r="E1082" s="82"/>
      <c r="F1082" s="82"/>
      <c r="G1082" s="82"/>
    </row>
    <row r="1083" spans="2:7" x14ac:dyDescent="0.2">
      <c r="B1083" s="82"/>
      <c r="C1083" s="82"/>
      <c r="D1083" s="83"/>
      <c r="E1083" s="82"/>
      <c r="F1083" s="82"/>
      <c r="G1083" s="82"/>
    </row>
    <row r="1084" spans="2:7" x14ac:dyDescent="0.2">
      <c r="B1084" s="82"/>
      <c r="C1084" s="82"/>
      <c r="D1084" s="83"/>
      <c r="E1084" s="82"/>
      <c r="F1084" s="82"/>
      <c r="G1084" s="82"/>
    </row>
    <row r="1085" spans="2:7" x14ac:dyDescent="0.2">
      <c r="B1085" s="82"/>
      <c r="C1085" s="82"/>
      <c r="D1085" s="83"/>
      <c r="E1085" s="82"/>
      <c r="F1085" s="82"/>
      <c r="G1085" s="82"/>
    </row>
    <row r="1086" spans="2:7" x14ac:dyDescent="0.2">
      <c r="D1086" s="84"/>
    </row>
    <row r="1087" spans="2:7" x14ac:dyDescent="0.2">
      <c r="D1087" s="84"/>
    </row>
    <row r="1088" spans="2:7" x14ac:dyDescent="0.2">
      <c r="D1088" s="84"/>
    </row>
    <row r="1089" spans="4:4" x14ac:dyDescent="0.2">
      <c r="D1089" s="84"/>
    </row>
    <row r="1090" spans="4:4" x14ac:dyDescent="0.2">
      <c r="D1090" s="84"/>
    </row>
    <row r="1091" spans="4:4" x14ac:dyDescent="0.2">
      <c r="D1091" s="84"/>
    </row>
    <row r="1092" spans="4:4" x14ac:dyDescent="0.2">
      <c r="D1092" s="84"/>
    </row>
    <row r="1093" spans="4:4" x14ac:dyDescent="0.2">
      <c r="D1093" s="84"/>
    </row>
    <row r="1094" spans="4:4" x14ac:dyDescent="0.2">
      <c r="D1094" s="84"/>
    </row>
    <row r="1095" spans="4:4" x14ac:dyDescent="0.2">
      <c r="D1095" s="84"/>
    </row>
    <row r="1096" spans="4:4" x14ac:dyDescent="0.2">
      <c r="D1096" s="84"/>
    </row>
    <row r="1097" spans="4:4" x14ac:dyDescent="0.2">
      <c r="D1097" s="84"/>
    </row>
    <row r="1098" spans="4:4" x14ac:dyDescent="0.2">
      <c r="D1098" s="84"/>
    </row>
    <row r="1099" spans="4:4" x14ac:dyDescent="0.2">
      <c r="D1099" s="84"/>
    </row>
    <row r="1100" spans="4:4" x14ac:dyDescent="0.2">
      <c r="D1100" s="84"/>
    </row>
    <row r="1101" spans="4:4" x14ac:dyDescent="0.2">
      <c r="D1101" s="84"/>
    </row>
    <row r="1102" spans="4:4" x14ac:dyDescent="0.2">
      <c r="D1102" s="84"/>
    </row>
    <row r="1103" spans="4:4" x14ac:dyDescent="0.2">
      <c r="D1103" s="84"/>
    </row>
    <row r="1104" spans="4:4" x14ac:dyDescent="0.2">
      <c r="D1104" s="84"/>
    </row>
    <row r="1105" spans="4:4" x14ac:dyDescent="0.2">
      <c r="D1105" s="84"/>
    </row>
    <row r="1106" spans="4:4" x14ac:dyDescent="0.2">
      <c r="D1106" s="84"/>
    </row>
    <row r="1107" spans="4:4" x14ac:dyDescent="0.2">
      <c r="D1107" s="84"/>
    </row>
    <row r="1108" spans="4:4" x14ac:dyDescent="0.2">
      <c r="D1108" s="84"/>
    </row>
    <row r="1109" spans="4:4" x14ac:dyDescent="0.2">
      <c r="D1109" s="84"/>
    </row>
    <row r="1110" spans="4:4" x14ac:dyDescent="0.2">
      <c r="D1110" s="84"/>
    </row>
    <row r="1111" spans="4:4" x14ac:dyDescent="0.2">
      <c r="D1111" s="84"/>
    </row>
    <row r="1112" spans="4:4" x14ac:dyDescent="0.2">
      <c r="D1112" s="84"/>
    </row>
    <row r="1113" spans="4:4" x14ac:dyDescent="0.2">
      <c r="D1113" s="84"/>
    </row>
    <row r="1114" spans="4:4" x14ac:dyDescent="0.2">
      <c r="D1114" s="84"/>
    </row>
    <row r="1115" spans="4:4" x14ac:dyDescent="0.2">
      <c r="D1115" s="84"/>
    </row>
    <row r="1116" spans="4:4" x14ac:dyDescent="0.2">
      <c r="D1116" s="84"/>
    </row>
    <row r="1117" spans="4:4" x14ac:dyDescent="0.2">
      <c r="D1117" s="84"/>
    </row>
    <row r="1118" spans="4:4" x14ac:dyDescent="0.2">
      <c r="D1118" s="84"/>
    </row>
    <row r="1119" spans="4:4" x14ac:dyDescent="0.2">
      <c r="D1119" s="84"/>
    </row>
    <row r="1120" spans="4:4" x14ac:dyDescent="0.2">
      <c r="D1120" s="84"/>
    </row>
    <row r="1121" spans="4:4" x14ac:dyDescent="0.2">
      <c r="D1121" s="84"/>
    </row>
    <row r="1122" spans="4:4" x14ac:dyDescent="0.2">
      <c r="D1122" s="84"/>
    </row>
    <row r="1123" spans="4:4" x14ac:dyDescent="0.2">
      <c r="D1123" s="84"/>
    </row>
    <row r="1124" spans="4:4" x14ac:dyDescent="0.2">
      <c r="D1124" s="84"/>
    </row>
    <row r="1125" spans="4:4" x14ac:dyDescent="0.2">
      <c r="D1125" s="84"/>
    </row>
    <row r="1126" spans="4:4" x14ac:dyDescent="0.2">
      <c r="D1126" s="84"/>
    </row>
    <row r="1127" spans="4:4" x14ac:dyDescent="0.2">
      <c r="D1127" s="84"/>
    </row>
    <row r="1128" spans="4:4" x14ac:dyDescent="0.2">
      <c r="D1128" s="84"/>
    </row>
    <row r="1129" spans="4:4" x14ac:dyDescent="0.2">
      <c r="D1129" s="84"/>
    </row>
    <row r="1130" spans="4:4" x14ac:dyDescent="0.2">
      <c r="D1130" s="84"/>
    </row>
    <row r="1131" spans="4:4" x14ac:dyDescent="0.2">
      <c r="D1131" s="84"/>
    </row>
    <row r="1132" spans="4:4" x14ac:dyDescent="0.2">
      <c r="D1132" s="84"/>
    </row>
    <row r="1133" spans="4:4" x14ac:dyDescent="0.2">
      <c r="D1133" s="84"/>
    </row>
    <row r="1134" spans="4:4" x14ac:dyDescent="0.2">
      <c r="D1134" s="84"/>
    </row>
    <row r="1135" spans="4:4" x14ac:dyDescent="0.2">
      <c r="D1135" s="84"/>
    </row>
    <row r="1136" spans="4:4" x14ac:dyDescent="0.2">
      <c r="D1136" s="84"/>
    </row>
    <row r="1137" spans="4:4" x14ac:dyDescent="0.2">
      <c r="D1137" s="84"/>
    </row>
    <row r="1138" spans="4:4" x14ac:dyDescent="0.2">
      <c r="D1138" s="84"/>
    </row>
    <row r="1139" spans="4:4" x14ac:dyDescent="0.2">
      <c r="D1139" s="84"/>
    </row>
    <row r="1140" spans="4:4" x14ac:dyDescent="0.2">
      <c r="D1140" s="84"/>
    </row>
    <row r="1141" spans="4:4" x14ac:dyDescent="0.2">
      <c r="D1141" s="84"/>
    </row>
    <row r="1142" spans="4:4" x14ac:dyDescent="0.2">
      <c r="D1142" s="84"/>
    </row>
    <row r="1143" spans="4:4" x14ac:dyDescent="0.2">
      <c r="D1143" s="84"/>
    </row>
    <row r="1144" spans="4:4" x14ac:dyDescent="0.2">
      <c r="D1144" s="84"/>
    </row>
    <row r="1145" spans="4:4" x14ac:dyDescent="0.2">
      <c r="D1145" s="84"/>
    </row>
    <row r="1146" spans="4:4" x14ac:dyDescent="0.2">
      <c r="D1146" s="84"/>
    </row>
    <row r="1147" spans="4:4" x14ac:dyDescent="0.2">
      <c r="D1147" s="84"/>
    </row>
    <row r="1148" spans="4:4" x14ac:dyDescent="0.2">
      <c r="D1148" s="84"/>
    </row>
    <row r="1149" spans="4:4" x14ac:dyDescent="0.2">
      <c r="D1149" s="84"/>
    </row>
    <row r="1150" spans="4:4" x14ac:dyDescent="0.2">
      <c r="D1150" s="84"/>
    </row>
    <row r="1151" spans="4:4" x14ac:dyDescent="0.2">
      <c r="D1151" s="84"/>
    </row>
    <row r="1152" spans="4:4" x14ac:dyDescent="0.2">
      <c r="D1152" s="84"/>
    </row>
    <row r="1153" spans="4:4" x14ac:dyDescent="0.2">
      <c r="D1153" s="84"/>
    </row>
    <row r="1154" spans="4:4" x14ac:dyDescent="0.2">
      <c r="D1154" s="84"/>
    </row>
    <row r="1155" spans="4:4" x14ac:dyDescent="0.2">
      <c r="D1155" s="84"/>
    </row>
    <row r="1156" spans="4:4" x14ac:dyDescent="0.2">
      <c r="D1156" s="84"/>
    </row>
    <row r="1157" spans="4:4" x14ac:dyDescent="0.2">
      <c r="D1157" s="84"/>
    </row>
    <row r="1158" spans="4:4" x14ac:dyDescent="0.2">
      <c r="D1158" s="84"/>
    </row>
    <row r="1159" spans="4:4" x14ac:dyDescent="0.2">
      <c r="D1159" s="84"/>
    </row>
    <row r="1160" spans="4:4" x14ac:dyDescent="0.2">
      <c r="D1160" s="84"/>
    </row>
    <row r="1161" spans="4:4" x14ac:dyDescent="0.2">
      <c r="D1161" s="84"/>
    </row>
    <row r="1162" spans="4:4" x14ac:dyDescent="0.2">
      <c r="D1162" s="84"/>
    </row>
    <row r="1163" spans="4:4" x14ac:dyDescent="0.2">
      <c r="D1163" s="84"/>
    </row>
    <row r="1164" spans="4:4" x14ac:dyDescent="0.2">
      <c r="D1164" s="84"/>
    </row>
    <row r="1165" spans="4:4" x14ac:dyDescent="0.2">
      <c r="D1165" s="84"/>
    </row>
    <row r="1166" spans="4:4" x14ac:dyDescent="0.2">
      <c r="D1166" s="84"/>
    </row>
    <row r="1167" spans="4:4" x14ac:dyDescent="0.2">
      <c r="D1167" s="84"/>
    </row>
    <row r="1168" spans="4:4" x14ac:dyDescent="0.2">
      <c r="D1168" s="84"/>
    </row>
    <row r="1169" spans="4:4" x14ac:dyDescent="0.2">
      <c r="D1169" s="84"/>
    </row>
    <row r="1170" spans="4:4" x14ac:dyDescent="0.2">
      <c r="D1170" s="84"/>
    </row>
    <row r="1171" spans="4:4" x14ac:dyDescent="0.2">
      <c r="D1171" s="84"/>
    </row>
    <row r="1172" spans="4:4" x14ac:dyDescent="0.2">
      <c r="D1172" s="84"/>
    </row>
    <row r="1173" spans="4:4" x14ac:dyDescent="0.2">
      <c r="D1173" s="84"/>
    </row>
    <row r="1174" spans="4:4" x14ac:dyDescent="0.2">
      <c r="D1174" s="84"/>
    </row>
    <row r="1175" spans="4:4" x14ac:dyDescent="0.2">
      <c r="D1175" s="84"/>
    </row>
    <row r="1176" spans="4:4" x14ac:dyDescent="0.2">
      <c r="D1176" s="84"/>
    </row>
    <row r="1177" spans="4:4" x14ac:dyDescent="0.2">
      <c r="D1177" s="84"/>
    </row>
    <row r="1178" spans="4:4" x14ac:dyDescent="0.2">
      <c r="D1178" s="84"/>
    </row>
    <row r="1179" spans="4:4" x14ac:dyDescent="0.2">
      <c r="D1179" s="84"/>
    </row>
    <row r="1180" spans="4:4" x14ac:dyDescent="0.2">
      <c r="D1180" s="84"/>
    </row>
    <row r="1181" spans="4:4" x14ac:dyDescent="0.2">
      <c r="D1181" s="84"/>
    </row>
    <row r="1182" spans="4:4" x14ac:dyDescent="0.2">
      <c r="D1182" s="84"/>
    </row>
    <row r="1183" spans="4:4" x14ac:dyDescent="0.2">
      <c r="D1183" s="84"/>
    </row>
    <row r="1184" spans="4:4" x14ac:dyDescent="0.2">
      <c r="D1184" s="84"/>
    </row>
    <row r="1185" spans="4:4" x14ac:dyDescent="0.2">
      <c r="D1185" s="84"/>
    </row>
    <row r="1186" spans="4:4" x14ac:dyDescent="0.2">
      <c r="D1186" s="84"/>
    </row>
    <row r="1187" spans="4:4" x14ac:dyDescent="0.2">
      <c r="D1187" s="84"/>
    </row>
    <row r="1188" spans="4:4" x14ac:dyDescent="0.2">
      <c r="D1188" s="84"/>
    </row>
    <row r="1189" spans="4:4" x14ac:dyDescent="0.2">
      <c r="D1189" s="84"/>
    </row>
    <row r="1190" spans="4:4" x14ac:dyDescent="0.2">
      <c r="D1190" s="84"/>
    </row>
    <row r="1191" spans="4:4" x14ac:dyDescent="0.2">
      <c r="D1191" s="84"/>
    </row>
    <row r="1192" spans="4:4" x14ac:dyDescent="0.2">
      <c r="D1192" s="84"/>
    </row>
    <row r="1193" spans="4:4" x14ac:dyDescent="0.2">
      <c r="D1193" s="84"/>
    </row>
    <row r="1194" spans="4:4" x14ac:dyDescent="0.2">
      <c r="D1194" s="84"/>
    </row>
    <row r="1195" spans="4:4" x14ac:dyDescent="0.2">
      <c r="D1195" s="84"/>
    </row>
    <row r="1196" spans="4:4" x14ac:dyDescent="0.2">
      <c r="D1196" s="84"/>
    </row>
    <row r="1197" spans="4:4" x14ac:dyDescent="0.2">
      <c r="D1197" s="84"/>
    </row>
    <row r="1198" spans="4:4" x14ac:dyDescent="0.2">
      <c r="D1198" s="84"/>
    </row>
    <row r="1199" spans="4:4" x14ac:dyDescent="0.2">
      <c r="D1199" s="84"/>
    </row>
    <row r="1200" spans="4:4" x14ac:dyDescent="0.2">
      <c r="D1200" s="84"/>
    </row>
    <row r="1201" spans="4:4" x14ac:dyDescent="0.2">
      <c r="D1201" s="84"/>
    </row>
    <row r="1202" spans="4:4" x14ac:dyDescent="0.2">
      <c r="D1202" s="84"/>
    </row>
    <row r="1203" spans="4:4" x14ac:dyDescent="0.2">
      <c r="D1203" s="84"/>
    </row>
    <row r="1204" spans="4:4" x14ac:dyDescent="0.2">
      <c r="D1204" s="84"/>
    </row>
    <row r="1205" spans="4:4" x14ac:dyDescent="0.2">
      <c r="D1205" s="84"/>
    </row>
    <row r="1206" spans="4:4" x14ac:dyDescent="0.2">
      <c r="D1206" s="84"/>
    </row>
    <row r="1207" spans="4:4" x14ac:dyDescent="0.2">
      <c r="D1207" s="84"/>
    </row>
    <row r="1208" spans="4:4" x14ac:dyDescent="0.2">
      <c r="D1208" s="84"/>
    </row>
    <row r="1209" spans="4:4" x14ac:dyDescent="0.2">
      <c r="D1209" s="84"/>
    </row>
    <row r="1210" spans="4:4" x14ac:dyDescent="0.2">
      <c r="D1210" s="84"/>
    </row>
    <row r="1211" spans="4:4" x14ac:dyDescent="0.2">
      <c r="D1211" s="84"/>
    </row>
    <row r="1212" spans="4:4" x14ac:dyDescent="0.2">
      <c r="D1212" s="84"/>
    </row>
    <row r="1213" spans="4:4" x14ac:dyDescent="0.2">
      <c r="D1213" s="84"/>
    </row>
    <row r="1214" spans="4:4" x14ac:dyDescent="0.2">
      <c r="D1214" s="84"/>
    </row>
    <row r="1215" spans="4:4" x14ac:dyDescent="0.2">
      <c r="D1215" s="84"/>
    </row>
    <row r="1216" spans="4:4" x14ac:dyDescent="0.2">
      <c r="D1216" s="84"/>
    </row>
    <row r="1217" spans="4:4" x14ac:dyDescent="0.2">
      <c r="D1217" s="84"/>
    </row>
    <row r="1218" spans="4:4" x14ac:dyDescent="0.2">
      <c r="D1218" s="84"/>
    </row>
    <row r="1219" spans="4:4" x14ac:dyDescent="0.2">
      <c r="D1219" s="84"/>
    </row>
    <row r="1220" spans="4:4" x14ac:dyDescent="0.2">
      <c r="D1220" s="84"/>
    </row>
    <row r="1221" spans="4:4" x14ac:dyDescent="0.2">
      <c r="D1221" s="84"/>
    </row>
    <row r="1222" spans="4:4" x14ac:dyDescent="0.2">
      <c r="D1222" s="84"/>
    </row>
    <row r="1223" spans="4:4" x14ac:dyDescent="0.2">
      <c r="D1223" s="84"/>
    </row>
    <row r="1224" spans="4:4" x14ac:dyDescent="0.2">
      <c r="D1224" s="84"/>
    </row>
    <row r="1225" spans="4:4" x14ac:dyDescent="0.2">
      <c r="D1225" s="84"/>
    </row>
    <row r="1226" spans="4:4" x14ac:dyDescent="0.2">
      <c r="D1226" s="84"/>
    </row>
    <row r="1227" spans="4:4" x14ac:dyDescent="0.2">
      <c r="D1227" s="84"/>
    </row>
    <row r="1228" spans="4:4" x14ac:dyDescent="0.2">
      <c r="D1228" s="84"/>
    </row>
    <row r="1229" spans="4:4" x14ac:dyDescent="0.2">
      <c r="D1229" s="84"/>
    </row>
    <row r="1230" spans="4:4" x14ac:dyDescent="0.2">
      <c r="D1230" s="84"/>
    </row>
    <row r="1231" spans="4:4" x14ac:dyDescent="0.2">
      <c r="D1231" s="84"/>
    </row>
    <row r="1232" spans="4:4" x14ac:dyDescent="0.2">
      <c r="D1232" s="84"/>
    </row>
    <row r="1233" spans="4:4" x14ac:dyDescent="0.2">
      <c r="D1233" s="84"/>
    </row>
    <row r="1234" spans="4:4" x14ac:dyDescent="0.2">
      <c r="D1234" s="84"/>
    </row>
    <row r="1235" spans="4:4" x14ac:dyDescent="0.2">
      <c r="D1235" s="84"/>
    </row>
    <row r="1236" spans="4:4" x14ac:dyDescent="0.2">
      <c r="D1236" s="84"/>
    </row>
    <row r="1237" spans="4:4" x14ac:dyDescent="0.2">
      <c r="D1237" s="84"/>
    </row>
    <row r="1238" spans="4:4" x14ac:dyDescent="0.2">
      <c r="D1238" s="84"/>
    </row>
    <row r="1239" spans="4:4" x14ac:dyDescent="0.2">
      <c r="D1239" s="84"/>
    </row>
    <row r="1240" spans="4:4" x14ac:dyDescent="0.2">
      <c r="D1240" s="84"/>
    </row>
    <row r="1241" spans="4:4" x14ac:dyDescent="0.2">
      <c r="D1241" s="84"/>
    </row>
    <row r="1242" spans="4:4" x14ac:dyDescent="0.2">
      <c r="D1242" s="84"/>
    </row>
    <row r="1243" spans="4:4" x14ac:dyDescent="0.2">
      <c r="D1243" s="84"/>
    </row>
    <row r="1244" spans="4:4" x14ac:dyDescent="0.2">
      <c r="D1244" s="84"/>
    </row>
    <row r="1245" spans="4:4" x14ac:dyDescent="0.2">
      <c r="D1245" s="84"/>
    </row>
    <row r="1246" spans="4:4" x14ac:dyDescent="0.2">
      <c r="D1246" s="84"/>
    </row>
    <row r="1247" spans="4:4" x14ac:dyDescent="0.2">
      <c r="D1247" s="84"/>
    </row>
    <row r="1248" spans="4:4" x14ac:dyDescent="0.2">
      <c r="D1248" s="84"/>
    </row>
    <row r="1249" spans="4:4" x14ac:dyDescent="0.2">
      <c r="D1249" s="84"/>
    </row>
    <row r="1250" spans="4:4" x14ac:dyDescent="0.2">
      <c r="D1250" s="84"/>
    </row>
    <row r="1251" spans="4:4" x14ac:dyDescent="0.2">
      <c r="D1251" s="84"/>
    </row>
    <row r="1252" spans="4:4" x14ac:dyDescent="0.2">
      <c r="D1252" s="84"/>
    </row>
    <row r="1253" spans="4:4" x14ac:dyDescent="0.2">
      <c r="D1253" s="84"/>
    </row>
    <row r="1254" spans="4:4" x14ac:dyDescent="0.2">
      <c r="D1254" s="84"/>
    </row>
    <row r="1255" spans="4:4" x14ac:dyDescent="0.2">
      <c r="D1255" s="84"/>
    </row>
    <row r="1256" spans="4:4" x14ac:dyDescent="0.2">
      <c r="D1256" s="84"/>
    </row>
    <row r="1257" spans="4:4" x14ac:dyDescent="0.2">
      <c r="D1257" s="84"/>
    </row>
    <row r="1258" spans="4:4" x14ac:dyDescent="0.2">
      <c r="D1258" s="84"/>
    </row>
    <row r="1259" spans="4:4" x14ac:dyDescent="0.2">
      <c r="D1259" s="84"/>
    </row>
    <row r="1260" spans="4:4" x14ac:dyDescent="0.2">
      <c r="D1260" s="84"/>
    </row>
    <row r="1261" spans="4:4" x14ac:dyDescent="0.2">
      <c r="D1261" s="84"/>
    </row>
    <row r="1262" spans="4:4" x14ac:dyDescent="0.2">
      <c r="D1262" s="84"/>
    </row>
    <row r="1263" spans="4:4" x14ac:dyDescent="0.2">
      <c r="D1263" s="84"/>
    </row>
    <row r="1264" spans="4:4" x14ac:dyDescent="0.2">
      <c r="D1264" s="84"/>
    </row>
    <row r="1265" spans="4:4" x14ac:dyDescent="0.2">
      <c r="D1265" s="84"/>
    </row>
    <row r="1266" spans="4:4" x14ac:dyDescent="0.2">
      <c r="D1266" s="84"/>
    </row>
    <row r="1267" spans="4:4" x14ac:dyDescent="0.2">
      <c r="D1267" s="84"/>
    </row>
    <row r="1268" spans="4:4" x14ac:dyDescent="0.2">
      <c r="D1268" s="84"/>
    </row>
    <row r="1269" spans="4:4" x14ac:dyDescent="0.2">
      <c r="D1269" s="84"/>
    </row>
    <row r="1270" spans="4:4" x14ac:dyDescent="0.2">
      <c r="D1270" s="84"/>
    </row>
    <row r="1271" spans="4:4" x14ac:dyDescent="0.2">
      <c r="D1271" s="84"/>
    </row>
    <row r="1272" spans="4:4" x14ac:dyDescent="0.2">
      <c r="D1272" s="84"/>
    </row>
    <row r="1273" spans="4:4" x14ac:dyDescent="0.2">
      <c r="D1273" s="84"/>
    </row>
    <row r="1274" spans="4:4" x14ac:dyDescent="0.2">
      <c r="D1274" s="84"/>
    </row>
    <row r="1275" spans="4:4" x14ac:dyDescent="0.2">
      <c r="D1275" s="84"/>
    </row>
    <row r="1276" spans="4:4" x14ac:dyDescent="0.2">
      <c r="D1276" s="84"/>
    </row>
    <row r="1277" spans="4:4" x14ac:dyDescent="0.2">
      <c r="D1277" s="84"/>
    </row>
    <row r="1278" spans="4:4" x14ac:dyDescent="0.2">
      <c r="D1278" s="84"/>
    </row>
    <row r="1279" spans="4:4" x14ac:dyDescent="0.2">
      <c r="D1279" s="84"/>
    </row>
    <row r="1280" spans="4:4" x14ac:dyDescent="0.2">
      <c r="D1280" s="84"/>
    </row>
    <row r="1281" spans="4:4" x14ac:dyDescent="0.2">
      <c r="D1281" s="84"/>
    </row>
    <row r="1282" spans="4:4" x14ac:dyDescent="0.2">
      <c r="D1282" s="84"/>
    </row>
    <row r="1283" spans="4:4" x14ac:dyDescent="0.2">
      <c r="D1283" s="84"/>
    </row>
    <row r="1284" spans="4:4" x14ac:dyDescent="0.2">
      <c r="D1284" s="84"/>
    </row>
    <row r="1285" spans="4:4" x14ac:dyDescent="0.2">
      <c r="D1285" s="84"/>
    </row>
    <row r="1286" spans="4:4" x14ac:dyDescent="0.2">
      <c r="D1286" s="84"/>
    </row>
    <row r="1287" spans="4:4" x14ac:dyDescent="0.2">
      <c r="D1287" s="84"/>
    </row>
    <row r="1288" spans="4:4" x14ac:dyDescent="0.2">
      <c r="D1288" s="84"/>
    </row>
    <row r="1289" spans="4:4" x14ac:dyDescent="0.2">
      <c r="D1289" s="84"/>
    </row>
    <row r="1290" spans="4:4" x14ac:dyDescent="0.2">
      <c r="D1290" s="84"/>
    </row>
    <row r="1291" spans="4:4" x14ac:dyDescent="0.2">
      <c r="D1291" s="84"/>
    </row>
    <row r="1292" spans="4:4" x14ac:dyDescent="0.2">
      <c r="D1292" s="84"/>
    </row>
    <row r="1293" spans="4:4" x14ac:dyDescent="0.2">
      <c r="D1293" s="84"/>
    </row>
    <row r="1294" spans="4:4" x14ac:dyDescent="0.2">
      <c r="D1294" s="84"/>
    </row>
    <row r="1295" spans="4:4" x14ac:dyDescent="0.2">
      <c r="D1295" s="84"/>
    </row>
    <row r="1296" spans="4:4" x14ac:dyDescent="0.2">
      <c r="D1296" s="84"/>
    </row>
    <row r="1297" spans="4:4" x14ac:dyDescent="0.2">
      <c r="D1297" s="84"/>
    </row>
    <row r="1298" spans="4:4" x14ac:dyDescent="0.2">
      <c r="D1298" s="84"/>
    </row>
    <row r="1299" spans="4:4" x14ac:dyDescent="0.2">
      <c r="D1299" s="84"/>
    </row>
    <row r="1300" spans="4:4" x14ac:dyDescent="0.2">
      <c r="D1300" s="84"/>
    </row>
    <row r="1301" spans="4:4" x14ac:dyDescent="0.2">
      <c r="D1301" s="84"/>
    </row>
    <row r="1302" spans="4:4" x14ac:dyDescent="0.2">
      <c r="D1302" s="84"/>
    </row>
    <row r="1303" spans="4:4" x14ac:dyDescent="0.2">
      <c r="D1303" s="84"/>
    </row>
    <row r="1304" spans="4:4" x14ac:dyDescent="0.2">
      <c r="D1304" s="84"/>
    </row>
    <row r="1305" spans="4:4" x14ac:dyDescent="0.2">
      <c r="D1305" s="84"/>
    </row>
    <row r="1306" spans="4:4" x14ac:dyDescent="0.2">
      <c r="D1306" s="84"/>
    </row>
    <row r="1307" spans="4:4" x14ac:dyDescent="0.2">
      <c r="D1307" s="84"/>
    </row>
    <row r="1308" spans="4:4" x14ac:dyDescent="0.2">
      <c r="D1308" s="84"/>
    </row>
    <row r="1309" spans="4:4" x14ac:dyDescent="0.2">
      <c r="D1309" s="84"/>
    </row>
    <row r="1310" spans="4:4" x14ac:dyDescent="0.2">
      <c r="D1310" s="84"/>
    </row>
    <row r="1311" spans="4:4" x14ac:dyDescent="0.2">
      <c r="D1311" s="84"/>
    </row>
    <row r="1312" spans="4:4" x14ac:dyDescent="0.2">
      <c r="D1312" s="84"/>
    </row>
    <row r="1313" spans="4:4" x14ac:dyDescent="0.2">
      <c r="D1313" s="84"/>
    </row>
    <row r="1314" spans="4:4" x14ac:dyDescent="0.2">
      <c r="D1314" s="84"/>
    </row>
    <row r="1315" spans="4:4" x14ac:dyDescent="0.2">
      <c r="D1315" s="84"/>
    </row>
    <row r="1316" spans="4:4" x14ac:dyDescent="0.2">
      <c r="D1316" s="84"/>
    </row>
    <row r="1317" spans="4:4" x14ac:dyDescent="0.2">
      <c r="D1317" s="84"/>
    </row>
    <row r="1318" spans="4:4" x14ac:dyDescent="0.2">
      <c r="D1318" s="84"/>
    </row>
    <row r="1319" spans="4:4" x14ac:dyDescent="0.2">
      <c r="D1319" s="84"/>
    </row>
    <row r="1320" spans="4:4" x14ac:dyDescent="0.2">
      <c r="D1320" s="84"/>
    </row>
    <row r="1321" spans="4:4" x14ac:dyDescent="0.2">
      <c r="D1321" s="84"/>
    </row>
    <row r="1322" spans="4:4" x14ac:dyDescent="0.2">
      <c r="D1322" s="84"/>
    </row>
    <row r="1323" spans="4:4" x14ac:dyDescent="0.2">
      <c r="D1323" s="84"/>
    </row>
    <row r="1324" spans="4:4" x14ac:dyDescent="0.2">
      <c r="D1324" s="84"/>
    </row>
    <row r="1325" spans="4:4" x14ac:dyDescent="0.2">
      <c r="D1325" s="84"/>
    </row>
    <row r="1326" spans="4:4" x14ac:dyDescent="0.2">
      <c r="D1326" s="84"/>
    </row>
    <row r="1327" spans="4:4" x14ac:dyDescent="0.2">
      <c r="D1327" s="84"/>
    </row>
    <row r="1328" spans="4:4" x14ac:dyDescent="0.2">
      <c r="D1328" s="84"/>
    </row>
    <row r="1329" spans="4:4" x14ac:dyDescent="0.2">
      <c r="D1329" s="84"/>
    </row>
    <row r="1330" spans="4:4" x14ac:dyDescent="0.2">
      <c r="D1330" s="84"/>
    </row>
    <row r="1331" spans="4:4" x14ac:dyDescent="0.2">
      <c r="D1331" s="84"/>
    </row>
    <row r="1332" spans="4:4" x14ac:dyDescent="0.2">
      <c r="D1332" s="84"/>
    </row>
    <row r="1333" spans="4:4" x14ac:dyDescent="0.2">
      <c r="D1333" s="84"/>
    </row>
    <row r="1334" spans="4:4" x14ac:dyDescent="0.2">
      <c r="D1334" s="84"/>
    </row>
    <row r="1335" spans="4:4" x14ac:dyDescent="0.2">
      <c r="D1335" s="84"/>
    </row>
    <row r="1336" spans="4:4" x14ac:dyDescent="0.2">
      <c r="D1336" s="84"/>
    </row>
    <row r="1337" spans="4:4" x14ac:dyDescent="0.2">
      <c r="D1337" s="84"/>
    </row>
    <row r="1338" spans="4:4" x14ac:dyDescent="0.2">
      <c r="D1338" s="84"/>
    </row>
    <row r="1339" spans="4:4" x14ac:dyDescent="0.2">
      <c r="D1339" s="84"/>
    </row>
    <row r="1340" spans="4:4" x14ac:dyDescent="0.2">
      <c r="D1340" s="84"/>
    </row>
    <row r="1341" spans="4:4" x14ac:dyDescent="0.2">
      <c r="D1341" s="84"/>
    </row>
    <row r="1342" spans="4:4" x14ac:dyDescent="0.2">
      <c r="D1342" s="84"/>
    </row>
    <row r="1343" spans="4:4" x14ac:dyDescent="0.2">
      <c r="D1343" s="84"/>
    </row>
    <row r="1344" spans="4:4" x14ac:dyDescent="0.2">
      <c r="D1344" s="84"/>
    </row>
    <row r="1345" spans="4:4" x14ac:dyDescent="0.2">
      <c r="D1345" s="84"/>
    </row>
    <row r="1346" spans="4:4" x14ac:dyDescent="0.2">
      <c r="D1346" s="84"/>
    </row>
    <row r="1347" spans="4:4" x14ac:dyDescent="0.2">
      <c r="D1347" s="84"/>
    </row>
    <row r="1348" spans="4:4" x14ac:dyDescent="0.2">
      <c r="D1348" s="84"/>
    </row>
    <row r="1349" spans="4:4" x14ac:dyDescent="0.2">
      <c r="D1349" s="84"/>
    </row>
    <row r="1350" spans="4:4" x14ac:dyDescent="0.2">
      <c r="D1350" s="84"/>
    </row>
    <row r="1351" spans="4:4" x14ac:dyDescent="0.2">
      <c r="D1351" s="84"/>
    </row>
    <row r="1352" spans="4:4" x14ac:dyDescent="0.2">
      <c r="D1352" s="84"/>
    </row>
    <row r="1353" spans="4:4" x14ac:dyDescent="0.2">
      <c r="D1353" s="84"/>
    </row>
    <row r="1354" spans="4:4" x14ac:dyDescent="0.2">
      <c r="D1354" s="84"/>
    </row>
    <row r="1355" spans="4:4" x14ac:dyDescent="0.2">
      <c r="D1355" s="84"/>
    </row>
    <row r="1356" spans="4:4" x14ac:dyDescent="0.2">
      <c r="D1356" s="84"/>
    </row>
    <row r="1357" spans="4:4" x14ac:dyDescent="0.2">
      <c r="D1357" s="84"/>
    </row>
    <row r="1358" spans="4:4" x14ac:dyDescent="0.2">
      <c r="D1358" s="84"/>
    </row>
    <row r="1359" spans="4:4" x14ac:dyDescent="0.2">
      <c r="D1359" s="84"/>
    </row>
    <row r="1360" spans="4:4" x14ac:dyDescent="0.2">
      <c r="D1360" s="84"/>
    </row>
    <row r="1361" spans="4:4" x14ac:dyDescent="0.2">
      <c r="D1361" s="84"/>
    </row>
    <row r="1362" spans="4:4" x14ac:dyDescent="0.2">
      <c r="D1362" s="84"/>
    </row>
    <row r="1363" spans="4:4" x14ac:dyDescent="0.2">
      <c r="D1363" s="84"/>
    </row>
    <row r="1364" spans="4:4" x14ac:dyDescent="0.2">
      <c r="D1364" s="84"/>
    </row>
    <row r="1365" spans="4:4" x14ac:dyDescent="0.2">
      <c r="D1365" s="84"/>
    </row>
    <row r="1366" spans="4:4" x14ac:dyDescent="0.2">
      <c r="D1366" s="84"/>
    </row>
    <row r="1367" spans="4:4" x14ac:dyDescent="0.2">
      <c r="D1367" s="84"/>
    </row>
    <row r="1368" spans="4:4" x14ac:dyDescent="0.2">
      <c r="D1368" s="84"/>
    </row>
    <row r="1369" spans="4:4" x14ac:dyDescent="0.2">
      <c r="D1369" s="84"/>
    </row>
    <row r="1370" spans="4:4" x14ac:dyDescent="0.2">
      <c r="D1370" s="84"/>
    </row>
    <row r="1371" spans="4:4" x14ac:dyDescent="0.2">
      <c r="D1371" s="84"/>
    </row>
    <row r="1372" spans="4:4" x14ac:dyDescent="0.2">
      <c r="D1372" s="84"/>
    </row>
    <row r="1373" spans="4:4" x14ac:dyDescent="0.2">
      <c r="D1373" s="84"/>
    </row>
    <row r="1374" spans="4:4" x14ac:dyDescent="0.2">
      <c r="D1374" s="84"/>
    </row>
    <row r="1375" spans="4:4" x14ac:dyDescent="0.2">
      <c r="D1375" s="84"/>
    </row>
    <row r="1376" spans="4:4" x14ac:dyDescent="0.2">
      <c r="D1376" s="84"/>
    </row>
    <row r="1377" spans="4:4" x14ac:dyDescent="0.2">
      <c r="D1377" s="84"/>
    </row>
    <row r="1378" spans="4:4" x14ac:dyDescent="0.2">
      <c r="D1378" s="84"/>
    </row>
    <row r="1379" spans="4:4" x14ac:dyDescent="0.2">
      <c r="D1379" s="84"/>
    </row>
    <row r="1380" spans="4:4" x14ac:dyDescent="0.2">
      <c r="D1380" s="84"/>
    </row>
    <row r="1381" spans="4:4" x14ac:dyDescent="0.2">
      <c r="D1381" s="84"/>
    </row>
    <row r="1382" spans="4:4" x14ac:dyDescent="0.2">
      <c r="D1382" s="84"/>
    </row>
    <row r="1383" spans="4:4" x14ac:dyDescent="0.2">
      <c r="D1383" s="84"/>
    </row>
    <row r="1384" spans="4:4" x14ac:dyDescent="0.2">
      <c r="D1384" s="84"/>
    </row>
    <row r="1385" spans="4:4" x14ac:dyDescent="0.2">
      <c r="D1385" s="84"/>
    </row>
    <row r="1386" spans="4:4" x14ac:dyDescent="0.2">
      <c r="D1386" s="84"/>
    </row>
    <row r="1387" spans="4:4" x14ac:dyDescent="0.2">
      <c r="D1387" s="84"/>
    </row>
    <row r="1388" spans="4:4" x14ac:dyDescent="0.2">
      <c r="D1388" s="84"/>
    </row>
    <row r="1389" spans="4:4" x14ac:dyDescent="0.2">
      <c r="D1389" s="84"/>
    </row>
    <row r="1390" spans="4:4" x14ac:dyDescent="0.2">
      <c r="D1390" s="84"/>
    </row>
    <row r="1391" spans="4:4" x14ac:dyDescent="0.2">
      <c r="D1391" s="84"/>
    </row>
    <row r="1392" spans="4:4" x14ac:dyDescent="0.2">
      <c r="D1392" s="84"/>
    </row>
    <row r="1393" spans="4:4" x14ac:dyDescent="0.2">
      <c r="D1393" s="84"/>
    </row>
    <row r="1394" spans="4:4" x14ac:dyDescent="0.2">
      <c r="D1394" s="84"/>
    </row>
    <row r="1395" spans="4:4" x14ac:dyDescent="0.2">
      <c r="D1395" s="84"/>
    </row>
    <row r="1396" spans="4:4" x14ac:dyDescent="0.2">
      <c r="D1396" s="84"/>
    </row>
    <row r="1397" spans="4:4" x14ac:dyDescent="0.2">
      <c r="D1397" s="84"/>
    </row>
    <row r="1398" spans="4:4" x14ac:dyDescent="0.2">
      <c r="D1398" s="84"/>
    </row>
    <row r="1399" spans="4:4" x14ac:dyDescent="0.2">
      <c r="D1399" s="84"/>
    </row>
    <row r="1400" spans="4:4" x14ac:dyDescent="0.2">
      <c r="D1400" s="84"/>
    </row>
    <row r="1401" spans="4:4" x14ac:dyDescent="0.2">
      <c r="D1401" s="84"/>
    </row>
    <row r="1402" spans="4:4" x14ac:dyDescent="0.2">
      <c r="D1402" s="84"/>
    </row>
    <row r="1403" spans="4:4" x14ac:dyDescent="0.2">
      <c r="D1403" s="84"/>
    </row>
    <row r="1404" spans="4:4" x14ac:dyDescent="0.2">
      <c r="D1404" s="84"/>
    </row>
    <row r="1405" spans="4:4" x14ac:dyDescent="0.2">
      <c r="D1405" s="84"/>
    </row>
    <row r="1406" spans="4:4" x14ac:dyDescent="0.2">
      <c r="D1406" s="84"/>
    </row>
    <row r="1407" spans="4:4" x14ac:dyDescent="0.2">
      <c r="D1407" s="84"/>
    </row>
    <row r="1408" spans="4:4" x14ac:dyDescent="0.2">
      <c r="D1408" s="84"/>
    </row>
    <row r="1409" spans="4:4" x14ac:dyDescent="0.2">
      <c r="D1409" s="84"/>
    </row>
    <row r="1410" spans="4:4" x14ac:dyDescent="0.2">
      <c r="D1410" s="84"/>
    </row>
    <row r="1411" spans="4:4" x14ac:dyDescent="0.2">
      <c r="D1411" s="84"/>
    </row>
    <row r="1412" spans="4:4" x14ac:dyDescent="0.2">
      <c r="D1412" s="84"/>
    </row>
    <row r="1413" spans="4:4" x14ac:dyDescent="0.2">
      <c r="D1413" s="84"/>
    </row>
    <row r="1414" spans="4:4" x14ac:dyDescent="0.2">
      <c r="D1414" s="84"/>
    </row>
    <row r="1415" spans="4:4" x14ac:dyDescent="0.2">
      <c r="D1415" s="84"/>
    </row>
    <row r="1416" spans="4:4" x14ac:dyDescent="0.2">
      <c r="D1416" s="84"/>
    </row>
    <row r="1417" spans="4:4" x14ac:dyDescent="0.2">
      <c r="D1417" s="84"/>
    </row>
    <row r="1418" spans="4:4" x14ac:dyDescent="0.2">
      <c r="D1418" s="84"/>
    </row>
    <row r="1419" spans="4:4" x14ac:dyDescent="0.2">
      <c r="D1419" s="84"/>
    </row>
    <row r="1420" spans="4:4" x14ac:dyDescent="0.2">
      <c r="D1420" s="84"/>
    </row>
    <row r="1421" spans="4:4" x14ac:dyDescent="0.2">
      <c r="D1421" s="84"/>
    </row>
    <row r="1422" spans="4:4" x14ac:dyDescent="0.2">
      <c r="D1422" s="84"/>
    </row>
    <row r="1423" spans="4:4" x14ac:dyDescent="0.2">
      <c r="D1423" s="84"/>
    </row>
    <row r="1424" spans="4:4" x14ac:dyDescent="0.2">
      <c r="D1424" s="84"/>
    </row>
    <row r="1425" spans="4:4" x14ac:dyDescent="0.2">
      <c r="D1425" s="84"/>
    </row>
    <row r="1426" spans="4:4" x14ac:dyDescent="0.2">
      <c r="D1426" s="84"/>
    </row>
    <row r="1427" spans="4:4" x14ac:dyDescent="0.2">
      <c r="D1427" s="84"/>
    </row>
    <row r="1428" spans="4:4" x14ac:dyDescent="0.2">
      <c r="D1428" s="84"/>
    </row>
    <row r="1429" spans="4:4" x14ac:dyDescent="0.2">
      <c r="D1429" s="84"/>
    </row>
    <row r="1430" spans="4:4" x14ac:dyDescent="0.2">
      <c r="D1430" s="84"/>
    </row>
    <row r="1431" spans="4:4" x14ac:dyDescent="0.2">
      <c r="D1431" s="84"/>
    </row>
    <row r="1432" spans="4:4" x14ac:dyDescent="0.2">
      <c r="D1432" s="84"/>
    </row>
    <row r="1433" spans="4:4" x14ac:dyDescent="0.2">
      <c r="D1433" s="84"/>
    </row>
    <row r="1434" spans="4:4" x14ac:dyDescent="0.2">
      <c r="D1434" s="84"/>
    </row>
    <row r="1435" spans="4:4" x14ac:dyDescent="0.2">
      <c r="D1435" s="84"/>
    </row>
    <row r="1436" spans="4:4" x14ac:dyDescent="0.2">
      <c r="D1436" s="84"/>
    </row>
    <row r="1437" spans="4:4" x14ac:dyDescent="0.2">
      <c r="D1437" s="84"/>
    </row>
    <row r="1438" spans="4:4" x14ac:dyDescent="0.2">
      <c r="D1438" s="84"/>
    </row>
    <row r="1439" spans="4:4" x14ac:dyDescent="0.2">
      <c r="D1439" s="84"/>
    </row>
    <row r="1440" spans="4:4" x14ac:dyDescent="0.2">
      <c r="D1440" s="84"/>
    </row>
    <row r="1441" spans="4:4" x14ac:dyDescent="0.2">
      <c r="D1441" s="84"/>
    </row>
    <row r="1442" spans="4:4" x14ac:dyDescent="0.2">
      <c r="D1442" s="84"/>
    </row>
    <row r="1443" spans="4:4" x14ac:dyDescent="0.2">
      <c r="D1443" s="84"/>
    </row>
    <row r="1444" spans="4:4" x14ac:dyDescent="0.2">
      <c r="D1444" s="84"/>
    </row>
    <row r="1445" spans="4:4" x14ac:dyDescent="0.2">
      <c r="D1445" s="84"/>
    </row>
    <row r="1446" spans="4:4" x14ac:dyDescent="0.2">
      <c r="D1446" s="84"/>
    </row>
    <row r="1447" spans="4:4" x14ac:dyDescent="0.2">
      <c r="D1447" s="84"/>
    </row>
    <row r="1448" spans="4:4" x14ac:dyDescent="0.2">
      <c r="D1448" s="84"/>
    </row>
    <row r="1449" spans="4:4" x14ac:dyDescent="0.2">
      <c r="D1449" s="84"/>
    </row>
    <row r="1450" spans="4:4" x14ac:dyDescent="0.2">
      <c r="D1450" s="84"/>
    </row>
    <row r="1451" spans="4:4" x14ac:dyDescent="0.2">
      <c r="D1451" s="84"/>
    </row>
    <row r="1452" spans="4:4" x14ac:dyDescent="0.2">
      <c r="D1452" s="84"/>
    </row>
    <row r="1453" spans="4:4" x14ac:dyDescent="0.2">
      <c r="D1453" s="84"/>
    </row>
    <row r="1454" spans="4:4" x14ac:dyDescent="0.2">
      <c r="D1454" s="84"/>
    </row>
    <row r="1455" spans="4:4" x14ac:dyDescent="0.2">
      <c r="D1455" s="84"/>
    </row>
    <row r="1456" spans="4:4" x14ac:dyDescent="0.2">
      <c r="D1456" s="84"/>
    </row>
    <row r="1457" spans="4:4" x14ac:dyDescent="0.2">
      <c r="D1457" s="84"/>
    </row>
    <row r="1458" spans="4:4" x14ac:dyDescent="0.2">
      <c r="D1458" s="84"/>
    </row>
    <row r="1459" spans="4:4" x14ac:dyDescent="0.2">
      <c r="D1459" s="84"/>
    </row>
    <row r="1460" spans="4:4" x14ac:dyDescent="0.2">
      <c r="D1460" s="84"/>
    </row>
    <row r="1461" spans="4:4" x14ac:dyDescent="0.2">
      <c r="D1461" s="84"/>
    </row>
    <row r="1462" spans="4:4" x14ac:dyDescent="0.2">
      <c r="D1462" s="84"/>
    </row>
    <row r="1463" spans="4:4" x14ac:dyDescent="0.2">
      <c r="D1463" s="84"/>
    </row>
    <row r="1464" spans="4:4" x14ac:dyDescent="0.2">
      <c r="D1464" s="84"/>
    </row>
    <row r="1465" spans="4:4" x14ac:dyDescent="0.2">
      <c r="D1465" s="84"/>
    </row>
    <row r="1466" spans="4:4" x14ac:dyDescent="0.2">
      <c r="D1466" s="84"/>
    </row>
    <row r="1467" spans="4:4" x14ac:dyDescent="0.2">
      <c r="D1467" s="84"/>
    </row>
    <row r="1468" spans="4:4" x14ac:dyDescent="0.2">
      <c r="D1468" s="84"/>
    </row>
    <row r="1469" spans="4:4" x14ac:dyDescent="0.2">
      <c r="D1469" s="84"/>
    </row>
    <row r="1470" spans="4:4" x14ac:dyDescent="0.2">
      <c r="D1470" s="84"/>
    </row>
    <row r="1471" spans="4:4" x14ac:dyDescent="0.2">
      <c r="D1471" s="84"/>
    </row>
    <row r="1472" spans="4:4" x14ac:dyDescent="0.2">
      <c r="D1472" s="84"/>
    </row>
    <row r="1473" spans="4:4" x14ac:dyDescent="0.2">
      <c r="D1473" s="84"/>
    </row>
    <row r="1474" spans="4:4" x14ac:dyDescent="0.2">
      <c r="D1474" s="84"/>
    </row>
    <row r="1475" spans="4:4" x14ac:dyDescent="0.2">
      <c r="D1475" s="84"/>
    </row>
    <row r="1476" spans="4:4" x14ac:dyDescent="0.2">
      <c r="D1476" s="84"/>
    </row>
    <row r="1477" spans="4:4" x14ac:dyDescent="0.2">
      <c r="D1477" s="84"/>
    </row>
    <row r="1478" spans="4:4" x14ac:dyDescent="0.2">
      <c r="D1478" s="84"/>
    </row>
    <row r="1479" spans="4:4" x14ac:dyDescent="0.2">
      <c r="D1479" s="84"/>
    </row>
    <row r="1480" spans="4:4" x14ac:dyDescent="0.2">
      <c r="D1480" s="84"/>
    </row>
    <row r="1481" spans="4:4" x14ac:dyDescent="0.2">
      <c r="D1481" s="84"/>
    </row>
    <row r="1482" spans="4:4" x14ac:dyDescent="0.2">
      <c r="D1482" s="84"/>
    </row>
    <row r="1483" spans="4:4" x14ac:dyDescent="0.2">
      <c r="D1483" s="84"/>
    </row>
    <row r="1484" spans="4:4" x14ac:dyDescent="0.2">
      <c r="D1484" s="84"/>
    </row>
    <row r="1485" spans="4:4" x14ac:dyDescent="0.2">
      <c r="D1485" s="84"/>
    </row>
    <row r="1486" spans="4:4" x14ac:dyDescent="0.2">
      <c r="D1486" s="84"/>
    </row>
    <row r="1487" spans="4:4" x14ac:dyDescent="0.2">
      <c r="D1487" s="84"/>
    </row>
    <row r="1488" spans="4:4" x14ac:dyDescent="0.2">
      <c r="D1488" s="84"/>
    </row>
    <row r="1489" spans="4:4" x14ac:dyDescent="0.2">
      <c r="D1489" s="84"/>
    </row>
    <row r="1490" spans="4:4" x14ac:dyDescent="0.2">
      <c r="D1490" s="84"/>
    </row>
    <row r="1491" spans="4:4" x14ac:dyDescent="0.2">
      <c r="D1491" s="84"/>
    </row>
    <row r="1492" spans="4:4" x14ac:dyDescent="0.2">
      <c r="D1492" s="84"/>
    </row>
    <row r="1493" spans="4:4" x14ac:dyDescent="0.2">
      <c r="D1493" s="84"/>
    </row>
    <row r="1494" spans="4:4" x14ac:dyDescent="0.2">
      <c r="D1494" s="84"/>
    </row>
    <row r="1495" spans="4:4" x14ac:dyDescent="0.2">
      <c r="D1495" s="84"/>
    </row>
    <row r="1496" spans="4:4" x14ac:dyDescent="0.2">
      <c r="D1496" s="84"/>
    </row>
    <row r="1497" spans="4:4" x14ac:dyDescent="0.2">
      <c r="D1497" s="84"/>
    </row>
    <row r="1498" spans="4:4" x14ac:dyDescent="0.2">
      <c r="D1498" s="84"/>
    </row>
    <row r="1499" spans="4:4" x14ac:dyDescent="0.2">
      <c r="D1499" s="84"/>
    </row>
    <row r="1500" spans="4:4" x14ac:dyDescent="0.2">
      <c r="D1500" s="84"/>
    </row>
    <row r="1501" spans="4:4" x14ac:dyDescent="0.2">
      <c r="D1501" s="84"/>
    </row>
    <row r="1502" spans="4:4" x14ac:dyDescent="0.2">
      <c r="D1502" s="84"/>
    </row>
    <row r="1503" spans="4:4" x14ac:dyDescent="0.2">
      <c r="D1503" s="84"/>
    </row>
    <row r="1504" spans="4:4" x14ac:dyDescent="0.2">
      <c r="D1504" s="84"/>
    </row>
    <row r="1505" spans="4:4" x14ac:dyDescent="0.2">
      <c r="D1505" s="84"/>
    </row>
    <row r="1506" spans="4:4" x14ac:dyDescent="0.2">
      <c r="D1506" s="84"/>
    </row>
    <row r="1507" spans="4:4" x14ac:dyDescent="0.2">
      <c r="D1507" s="84"/>
    </row>
    <row r="1508" spans="4:4" x14ac:dyDescent="0.2">
      <c r="D1508" s="84"/>
    </row>
    <row r="1509" spans="4:4" x14ac:dyDescent="0.2">
      <c r="D1509" s="84"/>
    </row>
    <row r="1510" spans="4:4" x14ac:dyDescent="0.2">
      <c r="D1510" s="84"/>
    </row>
    <row r="1511" spans="4:4" x14ac:dyDescent="0.2">
      <c r="D1511" s="84"/>
    </row>
    <row r="1512" spans="4:4" x14ac:dyDescent="0.2">
      <c r="D1512" s="84"/>
    </row>
    <row r="1513" spans="4:4" x14ac:dyDescent="0.2">
      <c r="D1513" s="84"/>
    </row>
    <row r="1514" spans="4:4" x14ac:dyDescent="0.2">
      <c r="D1514" s="84"/>
    </row>
    <row r="1515" spans="4:4" x14ac:dyDescent="0.2">
      <c r="D1515" s="84"/>
    </row>
    <row r="1516" spans="4:4" x14ac:dyDescent="0.2">
      <c r="D1516" s="84"/>
    </row>
    <row r="1517" spans="4:4" x14ac:dyDescent="0.2">
      <c r="D1517" s="84"/>
    </row>
    <row r="1518" spans="4:4" x14ac:dyDescent="0.2">
      <c r="D1518" s="84"/>
    </row>
    <row r="1519" spans="4:4" x14ac:dyDescent="0.2">
      <c r="D1519" s="84"/>
    </row>
    <row r="1520" spans="4:4" x14ac:dyDescent="0.2">
      <c r="D1520" s="84"/>
    </row>
    <row r="1521" spans="4:4" x14ac:dyDescent="0.2">
      <c r="D1521" s="84"/>
    </row>
    <row r="1522" spans="4:4" x14ac:dyDescent="0.2">
      <c r="D1522" s="84"/>
    </row>
    <row r="1523" spans="4:4" x14ac:dyDescent="0.2">
      <c r="D1523" s="84"/>
    </row>
    <row r="1524" spans="4:4" x14ac:dyDescent="0.2">
      <c r="D1524" s="84"/>
    </row>
    <row r="1525" spans="4:4" x14ac:dyDescent="0.2">
      <c r="D1525" s="84"/>
    </row>
    <row r="1526" spans="4:4" x14ac:dyDescent="0.2">
      <c r="D1526" s="84"/>
    </row>
    <row r="1527" spans="4:4" x14ac:dyDescent="0.2">
      <c r="D1527" s="84"/>
    </row>
    <row r="1528" spans="4:4" x14ac:dyDescent="0.2">
      <c r="D1528" s="84"/>
    </row>
    <row r="1529" spans="4:4" x14ac:dyDescent="0.2">
      <c r="D1529" s="84"/>
    </row>
    <row r="1530" spans="4:4" x14ac:dyDescent="0.2">
      <c r="D1530" s="84"/>
    </row>
    <row r="1531" spans="4:4" x14ac:dyDescent="0.2">
      <c r="D1531" s="84"/>
    </row>
    <row r="1532" spans="4:4" x14ac:dyDescent="0.2">
      <c r="D1532" s="84"/>
    </row>
    <row r="1533" spans="4:4" x14ac:dyDescent="0.2">
      <c r="D1533" s="84"/>
    </row>
    <row r="1534" spans="4:4" x14ac:dyDescent="0.2">
      <c r="D1534" s="84"/>
    </row>
    <row r="1535" spans="4:4" x14ac:dyDescent="0.2">
      <c r="D1535" s="84"/>
    </row>
    <row r="1536" spans="4:4" x14ac:dyDescent="0.2">
      <c r="D1536" s="84"/>
    </row>
    <row r="1537" spans="4:4" x14ac:dyDescent="0.2">
      <c r="D1537" s="84"/>
    </row>
    <row r="1538" spans="4:4" x14ac:dyDescent="0.2">
      <c r="D1538" s="84"/>
    </row>
    <row r="1539" spans="4:4" x14ac:dyDescent="0.2">
      <c r="D1539" s="84"/>
    </row>
    <row r="1540" spans="4:4" x14ac:dyDescent="0.2">
      <c r="D1540" s="84"/>
    </row>
    <row r="1541" spans="4:4" x14ac:dyDescent="0.2">
      <c r="D1541" s="84"/>
    </row>
    <row r="1542" spans="4:4" x14ac:dyDescent="0.2">
      <c r="D1542" s="84"/>
    </row>
    <row r="1543" spans="4:4" x14ac:dyDescent="0.2">
      <c r="D1543" s="84"/>
    </row>
    <row r="1544" spans="4:4" x14ac:dyDescent="0.2">
      <c r="D1544" s="84"/>
    </row>
    <row r="1545" spans="4:4" x14ac:dyDescent="0.2">
      <c r="D1545" s="84"/>
    </row>
    <row r="1546" spans="4:4" x14ac:dyDescent="0.2">
      <c r="D1546" s="84"/>
    </row>
    <row r="1547" spans="4:4" x14ac:dyDescent="0.2">
      <c r="D1547" s="84"/>
    </row>
    <row r="1548" spans="4:4" x14ac:dyDescent="0.2">
      <c r="D1548" s="84"/>
    </row>
    <row r="1549" spans="4:4" x14ac:dyDescent="0.2">
      <c r="D1549" s="84"/>
    </row>
    <row r="1550" spans="4:4" x14ac:dyDescent="0.2">
      <c r="D1550" s="84"/>
    </row>
    <row r="1551" spans="4:4" x14ac:dyDescent="0.2">
      <c r="D1551" s="84"/>
    </row>
    <row r="1552" spans="4:4" x14ac:dyDescent="0.2">
      <c r="D1552" s="84"/>
    </row>
    <row r="1553" spans="4:4" x14ac:dyDescent="0.2">
      <c r="D1553" s="84"/>
    </row>
    <row r="1554" spans="4:4" x14ac:dyDescent="0.2">
      <c r="D1554" s="84"/>
    </row>
    <row r="1555" spans="4:4" x14ac:dyDescent="0.2">
      <c r="D1555" s="84"/>
    </row>
    <row r="1556" spans="4:4" x14ac:dyDescent="0.2">
      <c r="D1556" s="84"/>
    </row>
    <row r="1557" spans="4:4" x14ac:dyDescent="0.2">
      <c r="D1557" s="84"/>
    </row>
    <row r="1558" spans="4:4" x14ac:dyDescent="0.2">
      <c r="D1558" s="84"/>
    </row>
    <row r="1559" spans="4:4" x14ac:dyDescent="0.2">
      <c r="D1559" s="84"/>
    </row>
    <row r="1560" spans="4:4" x14ac:dyDescent="0.2">
      <c r="D1560" s="84"/>
    </row>
    <row r="1561" spans="4:4" x14ac:dyDescent="0.2">
      <c r="D1561" s="84"/>
    </row>
    <row r="1562" spans="4:4" x14ac:dyDescent="0.2">
      <c r="D1562" s="84"/>
    </row>
    <row r="1563" spans="4:4" x14ac:dyDescent="0.2">
      <c r="D1563" s="84"/>
    </row>
    <row r="1564" spans="4:4" x14ac:dyDescent="0.2">
      <c r="D1564" s="84"/>
    </row>
    <row r="1565" spans="4:4" x14ac:dyDescent="0.2">
      <c r="D1565" s="84"/>
    </row>
    <row r="1566" spans="4:4" x14ac:dyDescent="0.2">
      <c r="D1566" s="84"/>
    </row>
    <row r="1567" spans="4:4" x14ac:dyDescent="0.2">
      <c r="D1567" s="84"/>
    </row>
    <row r="1568" spans="4:4" x14ac:dyDescent="0.2">
      <c r="D1568" s="84"/>
    </row>
    <row r="1569" spans="4:4" x14ac:dyDescent="0.2">
      <c r="D1569" s="84"/>
    </row>
    <row r="1570" spans="4:4" x14ac:dyDescent="0.2">
      <c r="D1570" s="84"/>
    </row>
    <row r="1571" spans="4:4" x14ac:dyDescent="0.2">
      <c r="D1571" s="84"/>
    </row>
    <row r="1572" spans="4:4" x14ac:dyDescent="0.2">
      <c r="D1572" s="84"/>
    </row>
    <row r="1573" spans="4:4" x14ac:dyDescent="0.2">
      <c r="D1573" s="84"/>
    </row>
    <row r="1574" spans="4:4" x14ac:dyDescent="0.2">
      <c r="D1574" s="84"/>
    </row>
    <row r="1575" spans="4:4" x14ac:dyDescent="0.2">
      <c r="D1575" s="84"/>
    </row>
    <row r="1576" spans="4:4" x14ac:dyDescent="0.2">
      <c r="D1576" s="84"/>
    </row>
    <row r="1577" spans="4:4" x14ac:dyDescent="0.2">
      <c r="D1577" s="84"/>
    </row>
    <row r="1578" spans="4:4" x14ac:dyDescent="0.2">
      <c r="D1578" s="84"/>
    </row>
    <row r="1579" spans="4:4" x14ac:dyDescent="0.2">
      <c r="D1579" s="84"/>
    </row>
    <row r="1580" spans="4:4" x14ac:dyDescent="0.2">
      <c r="D1580" s="84"/>
    </row>
    <row r="1581" spans="4:4" x14ac:dyDescent="0.2">
      <c r="D1581" s="84"/>
    </row>
    <row r="1582" spans="4:4" x14ac:dyDescent="0.2">
      <c r="D1582" s="84"/>
    </row>
    <row r="1583" spans="4:4" x14ac:dyDescent="0.2">
      <c r="D1583" s="84"/>
    </row>
    <row r="1584" spans="4:4" x14ac:dyDescent="0.2">
      <c r="D1584" s="84"/>
    </row>
    <row r="1585" spans="4:4" x14ac:dyDescent="0.2">
      <c r="D1585" s="84"/>
    </row>
    <row r="1586" spans="4:4" x14ac:dyDescent="0.2">
      <c r="D1586" s="84"/>
    </row>
    <row r="1587" spans="4:4" x14ac:dyDescent="0.2">
      <c r="D1587" s="84"/>
    </row>
    <row r="1588" spans="4:4" x14ac:dyDescent="0.2">
      <c r="D1588" s="84"/>
    </row>
    <row r="1589" spans="4:4" x14ac:dyDescent="0.2">
      <c r="D1589" s="84"/>
    </row>
    <row r="1590" spans="4:4" x14ac:dyDescent="0.2">
      <c r="D1590" s="84"/>
    </row>
    <row r="1591" spans="4:4" x14ac:dyDescent="0.2">
      <c r="D1591" s="84"/>
    </row>
    <row r="1592" spans="4:4" x14ac:dyDescent="0.2">
      <c r="D1592" s="84"/>
    </row>
    <row r="1593" spans="4:4" x14ac:dyDescent="0.2">
      <c r="D1593" s="84"/>
    </row>
    <row r="1594" spans="4:4" x14ac:dyDescent="0.2">
      <c r="D1594" s="84"/>
    </row>
    <row r="1595" spans="4:4" x14ac:dyDescent="0.2">
      <c r="D1595" s="84"/>
    </row>
    <row r="1596" spans="4:4" x14ac:dyDescent="0.2">
      <c r="D1596" s="84"/>
    </row>
    <row r="1597" spans="4:4" x14ac:dyDescent="0.2">
      <c r="D1597" s="84"/>
    </row>
    <row r="1598" spans="4:4" x14ac:dyDescent="0.2">
      <c r="D1598" s="84"/>
    </row>
    <row r="1599" spans="4:4" x14ac:dyDescent="0.2">
      <c r="D1599" s="84"/>
    </row>
    <row r="1600" spans="4:4" x14ac:dyDescent="0.2">
      <c r="D1600" s="84"/>
    </row>
    <row r="1601" spans="4:4" x14ac:dyDescent="0.2">
      <c r="D1601" s="84"/>
    </row>
    <row r="1602" spans="4:4" x14ac:dyDescent="0.2">
      <c r="D1602" s="84"/>
    </row>
    <row r="1603" spans="4:4" x14ac:dyDescent="0.2">
      <c r="D1603" s="84"/>
    </row>
    <row r="1604" spans="4:4" x14ac:dyDescent="0.2">
      <c r="D1604" s="84"/>
    </row>
    <row r="1605" spans="4:4" x14ac:dyDescent="0.2">
      <c r="D1605" s="84"/>
    </row>
    <row r="1606" spans="4:4" x14ac:dyDescent="0.2">
      <c r="D1606" s="84"/>
    </row>
    <row r="1607" spans="4:4" x14ac:dyDescent="0.2">
      <c r="D1607" s="84"/>
    </row>
    <row r="1608" spans="4:4" x14ac:dyDescent="0.2">
      <c r="D1608" s="84"/>
    </row>
    <row r="1609" spans="4:4" x14ac:dyDescent="0.2">
      <c r="D1609" s="84"/>
    </row>
    <row r="1610" spans="4:4" x14ac:dyDescent="0.2">
      <c r="D1610" s="84"/>
    </row>
    <row r="1611" spans="4:4" x14ac:dyDescent="0.2">
      <c r="D1611" s="84"/>
    </row>
    <row r="1612" spans="4:4" x14ac:dyDescent="0.2">
      <c r="D1612" s="84"/>
    </row>
    <row r="1613" spans="4:4" x14ac:dyDescent="0.2">
      <c r="D1613" s="84"/>
    </row>
    <row r="1614" spans="4:4" x14ac:dyDescent="0.2">
      <c r="D1614" s="84"/>
    </row>
    <row r="1615" spans="4:4" x14ac:dyDescent="0.2">
      <c r="D1615" s="84"/>
    </row>
    <row r="1616" spans="4:4" x14ac:dyDescent="0.2">
      <c r="D1616" s="84"/>
    </row>
    <row r="1617" spans="4:4" x14ac:dyDescent="0.2">
      <c r="D1617" s="84"/>
    </row>
    <row r="1618" spans="4:4" x14ac:dyDescent="0.2">
      <c r="D1618" s="84"/>
    </row>
    <row r="1619" spans="4:4" x14ac:dyDescent="0.2">
      <c r="D1619" s="84"/>
    </row>
    <row r="1620" spans="4:4" x14ac:dyDescent="0.2">
      <c r="D1620" s="84"/>
    </row>
    <row r="1621" spans="4:4" x14ac:dyDescent="0.2">
      <c r="D1621" s="84"/>
    </row>
    <row r="1622" spans="4:4" x14ac:dyDescent="0.2">
      <c r="D1622" s="84"/>
    </row>
    <row r="1623" spans="4:4" x14ac:dyDescent="0.2">
      <c r="D1623" s="84"/>
    </row>
    <row r="1624" spans="4:4" x14ac:dyDescent="0.2">
      <c r="D1624" s="84"/>
    </row>
    <row r="1625" spans="4:4" x14ac:dyDescent="0.2">
      <c r="D1625" s="84"/>
    </row>
    <row r="1626" spans="4:4" x14ac:dyDescent="0.2">
      <c r="D1626" s="84"/>
    </row>
    <row r="1627" spans="4:4" x14ac:dyDescent="0.2">
      <c r="D1627" s="84"/>
    </row>
    <row r="1628" spans="4:4" x14ac:dyDescent="0.2">
      <c r="D1628" s="84"/>
    </row>
    <row r="1629" spans="4:4" x14ac:dyDescent="0.2">
      <c r="D1629" s="84"/>
    </row>
    <row r="1630" spans="4:4" x14ac:dyDescent="0.2">
      <c r="D1630" s="84"/>
    </row>
    <row r="1631" spans="4:4" x14ac:dyDescent="0.2">
      <c r="D1631" s="84"/>
    </row>
    <row r="1632" spans="4:4" x14ac:dyDescent="0.2">
      <c r="D1632" s="84"/>
    </row>
    <row r="1633" spans="4:4" x14ac:dyDescent="0.2">
      <c r="D1633" s="84"/>
    </row>
    <row r="1634" spans="4:4" x14ac:dyDescent="0.2">
      <c r="D1634" s="84"/>
    </row>
    <row r="1635" spans="4:4" x14ac:dyDescent="0.2">
      <c r="D1635" s="84"/>
    </row>
    <row r="1636" spans="4:4" x14ac:dyDescent="0.2">
      <c r="D1636" s="84"/>
    </row>
    <row r="1637" spans="4:4" x14ac:dyDescent="0.2">
      <c r="D1637" s="84"/>
    </row>
    <row r="1638" spans="4:4" x14ac:dyDescent="0.2">
      <c r="D1638" s="84"/>
    </row>
    <row r="1639" spans="4:4" x14ac:dyDescent="0.2">
      <c r="D1639" s="84"/>
    </row>
    <row r="1640" spans="4:4" x14ac:dyDescent="0.2">
      <c r="D1640" s="84"/>
    </row>
    <row r="1641" spans="4:4" x14ac:dyDescent="0.2">
      <c r="D1641" s="84"/>
    </row>
    <row r="1642" spans="4:4" x14ac:dyDescent="0.2">
      <c r="D1642" s="84"/>
    </row>
    <row r="1643" spans="4:4" x14ac:dyDescent="0.2">
      <c r="D1643" s="84"/>
    </row>
    <row r="1644" spans="4:4" x14ac:dyDescent="0.2">
      <c r="D1644" s="84"/>
    </row>
    <row r="1645" spans="4:4" x14ac:dyDescent="0.2">
      <c r="D1645" s="84"/>
    </row>
    <row r="1646" spans="4:4" x14ac:dyDescent="0.2">
      <c r="D1646" s="84"/>
    </row>
    <row r="1647" spans="4:4" x14ac:dyDescent="0.2">
      <c r="D1647" s="84"/>
    </row>
    <row r="1648" spans="4:4" x14ac:dyDescent="0.2">
      <c r="D1648" s="84"/>
    </row>
    <row r="1649" spans="4:4" x14ac:dyDescent="0.2">
      <c r="D1649" s="84"/>
    </row>
    <row r="1650" spans="4:4" x14ac:dyDescent="0.2">
      <c r="D1650" s="84"/>
    </row>
    <row r="1651" spans="4:4" x14ac:dyDescent="0.2">
      <c r="D1651" s="84"/>
    </row>
    <row r="1652" spans="4:4" x14ac:dyDescent="0.2">
      <c r="D1652" s="84"/>
    </row>
    <row r="1653" spans="4:4" x14ac:dyDescent="0.2">
      <c r="D1653" s="84"/>
    </row>
    <row r="1654" spans="4:4" x14ac:dyDescent="0.2">
      <c r="D1654" s="84"/>
    </row>
    <row r="1655" spans="4:4" x14ac:dyDescent="0.2">
      <c r="D1655" s="84"/>
    </row>
    <row r="1656" spans="4:4" x14ac:dyDescent="0.2">
      <c r="D1656" s="84"/>
    </row>
    <row r="1657" spans="4:4" x14ac:dyDescent="0.2">
      <c r="D1657" s="84"/>
    </row>
    <row r="1658" spans="4:4" x14ac:dyDescent="0.2">
      <c r="D1658" s="84"/>
    </row>
    <row r="1659" spans="4:4" x14ac:dyDescent="0.2">
      <c r="D1659" s="84"/>
    </row>
    <row r="1660" spans="4:4" x14ac:dyDescent="0.2">
      <c r="D1660" s="84"/>
    </row>
    <row r="1661" spans="4:4" x14ac:dyDescent="0.2">
      <c r="D1661" s="84"/>
    </row>
    <row r="1662" spans="4:4" x14ac:dyDescent="0.2">
      <c r="D1662" s="84"/>
    </row>
    <row r="1663" spans="4:4" x14ac:dyDescent="0.2">
      <c r="D1663" s="84"/>
    </row>
    <row r="1664" spans="4:4" x14ac:dyDescent="0.2">
      <c r="D1664" s="84"/>
    </row>
    <row r="1665" spans="4:4" x14ac:dyDescent="0.2">
      <c r="D1665" s="84"/>
    </row>
    <row r="1666" spans="4:4" x14ac:dyDescent="0.2">
      <c r="D1666" s="84"/>
    </row>
    <row r="1667" spans="4:4" x14ac:dyDescent="0.2">
      <c r="D1667" s="84"/>
    </row>
    <row r="1668" spans="4:4" x14ac:dyDescent="0.2">
      <c r="D1668" s="84"/>
    </row>
    <row r="1669" spans="4:4" x14ac:dyDescent="0.2">
      <c r="D1669" s="84"/>
    </row>
    <row r="1670" spans="4:4" x14ac:dyDescent="0.2">
      <c r="D1670" s="84"/>
    </row>
    <row r="1671" spans="4:4" x14ac:dyDescent="0.2">
      <c r="D1671" s="84"/>
    </row>
    <row r="1672" spans="4:4" x14ac:dyDescent="0.2">
      <c r="D1672" s="84"/>
    </row>
    <row r="1673" spans="4:4" x14ac:dyDescent="0.2">
      <c r="D1673" s="84"/>
    </row>
    <row r="1674" spans="4:4" x14ac:dyDescent="0.2">
      <c r="D1674" s="84"/>
    </row>
    <row r="1675" spans="4:4" x14ac:dyDescent="0.2">
      <c r="D1675" s="84"/>
    </row>
    <row r="1676" spans="4:4" x14ac:dyDescent="0.2">
      <c r="D1676" s="84"/>
    </row>
    <row r="1677" spans="4:4" x14ac:dyDescent="0.2">
      <c r="D1677" s="84"/>
    </row>
    <row r="1678" spans="4:4" x14ac:dyDescent="0.2">
      <c r="D1678" s="84"/>
    </row>
    <row r="1679" spans="4:4" x14ac:dyDescent="0.2">
      <c r="D1679" s="84"/>
    </row>
    <row r="1680" spans="4:4" x14ac:dyDescent="0.2">
      <c r="D1680" s="84"/>
    </row>
    <row r="1681" spans="4:4" x14ac:dyDescent="0.2">
      <c r="D1681" s="84"/>
    </row>
    <row r="1682" spans="4:4" x14ac:dyDescent="0.2">
      <c r="D1682" s="84"/>
    </row>
    <row r="1683" spans="4:4" x14ac:dyDescent="0.2">
      <c r="D1683" s="84"/>
    </row>
    <row r="1684" spans="4:4" x14ac:dyDescent="0.2">
      <c r="D1684" s="84"/>
    </row>
    <row r="1685" spans="4:4" x14ac:dyDescent="0.2">
      <c r="D1685" s="84"/>
    </row>
    <row r="1686" spans="4:4" x14ac:dyDescent="0.2">
      <c r="D1686" s="84"/>
    </row>
    <row r="1687" spans="4:4" x14ac:dyDescent="0.2">
      <c r="D1687" s="84"/>
    </row>
    <row r="1688" spans="4:4" x14ac:dyDescent="0.2">
      <c r="D1688" s="84"/>
    </row>
    <row r="1689" spans="4:4" x14ac:dyDescent="0.2">
      <c r="D1689" s="84"/>
    </row>
    <row r="1690" spans="4:4" x14ac:dyDescent="0.2">
      <c r="D1690" s="84"/>
    </row>
    <row r="1691" spans="4:4" x14ac:dyDescent="0.2">
      <c r="D1691" s="84"/>
    </row>
    <row r="1692" spans="4:4" x14ac:dyDescent="0.2">
      <c r="D1692" s="84"/>
    </row>
    <row r="1693" spans="4:4" x14ac:dyDescent="0.2">
      <c r="D1693" s="84"/>
    </row>
    <row r="1694" spans="4:4" x14ac:dyDescent="0.2">
      <c r="D1694" s="84"/>
    </row>
    <row r="1695" spans="4:4" x14ac:dyDescent="0.2">
      <c r="D1695" s="84"/>
    </row>
    <row r="1696" spans="4:4" x14ac:dyDescent="0.2">
      <c r="D1696" s="84"/>
    </row>
    <row r="1697" spans="4:4" x14ac:dyDescent="0.2">
      <c r="D1697" s="84"/>
    </row>
    <row r="1698" spans="4:4" x14ac:dyDescent="0.2">
      <c r="D1698" s="84"/>
    </row>
    <row r="1699" spans="4:4" x14ac:dyDescent="0.2">
      <c r="D1699" s="84"/>
    </row>
    <row r="1700" spans="4:4" x14ac:dyDescent="0.2">
      <c r="D1700" s="84"/>
    </row>
    <row r="1701" spans="4:4" x14ac:dyDescent="0.2">
      <c r="D1701" s="84"/>
    </row>
    <row r="1702" spans="4:4" x14ac:dyDescent="0.2">
      <c r="D1702" s="84"/>
    </row>
    <row r="1703" spans="4:4" x14ac:dyDescent="0.2">
      <c r="D1703" s="84"/>
    </row>
    <row r="1704" spans="4:4" x14ac:dyDescent="0.2">
      <c r="D1704" s="84"/>
    </row>
    <row r="1705" spans="4:4" x14ac:dyDescent="0.2">
      <c r="D1705" s="84"/>
    </row>
    <row r="1706" spans="4:4" x14ac:dyDescent="0.2">
      <c r="D1706" s="84"/>
    </row>
    <row r="1707" spans="4:4" x14ac:dyDescent="0.2">
      <c r="D1707" s="84"/>
    </row>
    <row r="1708" spans="4:4" x14ac:dyDescent="0.2">
      <c r="D1708" s="84"/>
    </row>
    <row r="1709" spans="4:4" x14ac:dyDescent="0.2">
      <c r="D1709" s="84"/>
    </row>
    <row r="1710" spans="4:4" x14ac:dyDescent="0.2">
      <c r="D1710" s="84"/>
    </row>
    <row r="1711" spans="4:4" x14ac:dyDescent="0.2">
      <c r="D1711" s="84"/>
    </row>
    <row r="1712" spans="4:4" x14ac:dyDescent="0.2">
      <c r="D1712" s="84"/>
    </row>
    <row r="1713" spans="4:4" x14ac:dyDescent="0.2">
      <c r="D1713" s="84"/>
    </row>
    <row r="1714" spans="4:4" x14ac:dyDescent="0.2">
      <c r="D1714" s="84"/>
    </row>
    <row r="1715" spans="4:4" x14ac:dyDescent="0.2">
      <c r="D1715" s="84"/>
    </row>
    <row r="1716" spans="4:4" x14ac:dyDescent="0.2">
      <c r="D1716" s="84"/>
    </row>
    <row r="1717" spans="4:4" x14ac:dyDescent="0.2">
      <c r="D1717" s="84"/>
    </row>
    <row r="1718" spans="4:4" x14ac:dyDescent="0.2">
      <c r="D1718" s="84"/>
    </row>
    <row r="1719" spans="4:4" x14ac:dyDescent="0.2">
      <c r="D1719" s="84"/>
    </row>
    <row r="1720" spans="4:4" x14ac:dyDescent="0.2">
      <c r="D1720" s="84"/>
    </row>
    <row r="1721" spans="4:4" x14ac:dyDescent="0.2">
      <c r="D1721" s="84"/>
    </row>
    <row r="1722" spans="4:4" x14ac:dyDescent="0.2">
      <c r="D1722" s="84"/>
    </row>
    <row r="1723" spans="4:4" x14ac:dyDescent="0.2">
      <c r="D1723" s="84"/>
    </row>
    <row r="1724" spans="4:4" x14ac:dyDescent="0.2">
      <c r="D1724" s="84"/>
    </row>
    <row r="1725" spans="4:4" x14ac:dyDescent="0.2">
      <c r="D1725" s="84"/>
    </row>
    <row r="1726" spans="4:4" x14ac:dyDescent="0.2">
      <c r="D1726" s="84"/>
    </row>
    <row r="1727" spans="4:4" x14ac:dyDescent="0.2">
      <c r="D1727" s="84"/>
    </row>
    <row r="1728" spans="4:4" x14ac:dyDescent="0.2">
      <c r="D1728" s="84"/>
    </row>
    <row r="1729" spans="4:4" x14ac:dyDescent="0.2">
      <c r="D1729" s="84"/>
    </row>
    <row r="1730" spans="4:4" x14ac:dyDescent="0.2">
      <c r="D1730" s="84"/>
    </row>
    <row r="1731" spans="4:4" x14ac:dyDescent="0.2">
      <c r="D1731" s="84"/>
    </row>
    <row r="1732" spans="4:4" x14ac:dyDescent="0.2">
      <c r="D1732" s="84"/>
    </row>
    <row r="1733" spans="4:4" x14ac:dyDescent="0.2">
      <c r="D1733" s="84"/>
    </row>
    <row r="1734" spans="4:4" x14ac:dyDescent="0.2">
      <c r="D1734" s="84"/>
    </row>
    <row r="1735" spans="4:4" x14ac:dyDescent="0.2">
      <c r="D1735" s="84"/>
    </row>
    <row r="1736" spans="4:4" x14ac:dyDescent="0.2">
      <c r="D1736" s="84"/>
    </row>
    <row r="1737" spans="4:4" x14ac:dyDescent="0.2">
      <c r="D1737" s="84"/>
    </row>
    <row r="1738" spans="4:4" x14ac:dyDescent="0.2">
      <c r="D1738" s="84"/>
    </row>
    <row r="1739" spans="4:4" x14ac:dyDescent="0.2">
      <c r="D1739" s="84"/>
    </row>
    <row r="1740" spans="4:4" x14ac:dyDescent="0.2">
      <c r="D1740" s="84"/>
    </row>
    <row r="1741" spans="4:4" x14ac:dyDescent="0.2">
      <c r="D1741" s="84"/>
    </row>
    <row r="1742" spans="4:4" x14ac:dyDescent="0.2">
      <c r="D1742" s="84"/>
    </row>
    <row r="1743" spans="4:4" x14ac:dyDescent="0.2">
      <c r="D1743" s="84"/>
    </row>
    <row r="1744" spans="4:4" x14ac:dyDescent="0.2">
      <c r="D1744" s="84"/>
    </row>
    <row r="1745" spans="4:4" x14ac:dyDescent="0.2">
      <c r="D1745" s="84"/>
    </row>
    <row r="1746" spans="4:4" x14ac:dyDescent="0.2">
      <c r="D1746" s="84"/>
    </row>
    <row r="1747" spans="4:4" x14ac:dyDescent="0.2">
      <c r="D1747" s="84"/>
    </row>
    <row r="1748" spans="4:4" x14ac:dyDescent="0.2">
      <c r="D1748" s="84"/>
    </row>
    <row r="1749" spans="4:4" x14ac:dyDescent="0.2">
      <c r="D1749" s="84"/>
    </row>
    <row r="1750" spans="4:4" x14ac:dyDescent="0.2">
      <c r="D1750" s="84"/>
    </row>
    <row r="1751" spans="4:4" x14ac:dyDescent="0.2">
      <c r="D1751" s="84"/>
    </row>
    <row r="1752" spans="4:4" x14ac:dyDescent="0.2">
      <c r="D1752" s="84"/>
    </row>
    <row r="1753" spans="4:4" x14ac:dyDescent="0.2">
      <c r="D1753" s="84"/>
    </row>
    <row r="1754" spans="4:4" x14ac:dyDescent="0.2">
      <c r="D1754" s="84"/>
    </row>
    <row r="1755" spans="4:4" x14ac:dyDescent="0.2">
      <c r="D1755" s="84"/>
    </row>
    <row r="1756" spans="4:4" x14ac:dyDescent="0.2">
      <c r="D1756" s="84"/>
    </row>
    <row r="1757" spans="4:4" x14ac:dyDescent="0.2">
      <c r="D1757" s="84"/>
    </row>
    <row r="1758" spans="4:4" x14ac:dyDescent="0.2">
      <c r="D1758" s="84"/>
    </row>
    <row r="1759" spans="4:4" x14ac:dyDescent="0.2">
      <c r="D1759" s="84"/>
    </row>
    <row r="1760" spans="4:4" x14ac:dyDescent="0.2">
      <c r="D1760" s="84"/>
    </row>
    <row r="1761" spans="4:4" x14ac:dyDescent="0.2">
      <c r="D1761" s="84"/>
    </row>
    <row r="1762" spans="4:4" x14ac:dyDescent="0.2">
      <c r="D1762" s="84"/>
    </row>
    <row r="1763" spans="4:4" x14ac:dyDescent="0.2">
      <c r="D1763" s="84"/>
    </row>
    <row r="1764" spans="4:4" x14ac:dyDescent="0.2">
      <c r="D1764" s="84"/>
    </row>
    <row r="1765" spans="4:4" x14ac:dyDescent="0.2">
      <c r="D1765" s="84"/>
    </row>
    <row r="1766" spans="4:4" x14ac:dyDescent="0.2">
      <c r="D1766" s="84"/>
    </row>
    <row r="1767" spans="4:4" x14ac:dyDescent="0.2">
      <c r="D1767" s="84"/>
    </row>
    <row r="1768" spans="4:4" x14ac:dyDescent="0.2">
      <c r="D1768" s="84"/>
    </row>
    <row r="1769" spans="4:4" x14ac:dyDescent="0.2">
      <c r="D1769" s="84"/>
    </row>
    <row r="1770" spans="4:4" x14ac:dyDescent="0.2">
      <c r="D1770" s="84"/>
    </row>
    <row r="1771" spans="4:4" x14ac:dyDescent="0.2">
      <c r="D1771" s="84"/>
    </row>
    <row r="1772" spans="4:4" x14ac:dyDescent="0.2">
      <c r="D1772" s="84"/>
    </row>
    <row r="1773" spans="4:4" x14ac:dyDescent="0.2">
      <c r="D1773" s="84"/>
    </row>
    <row r="1774" spans="4:4" x14ac:dyDescent="0.2">
      <c r="D1774" s="84"/>
    </row>
    <row r="1775" spans="4:4" x14ac:dyDescent="0.2">
      <c r="D1775" s="84"/>
    </row>
    <row r="1776" spans="4:4" x14ac:dyDescent="0.2">
      <c r="D1776" s="84"/>
    </row>
    <row r="1777" spans="4:4" x14ac:dyDescent="0.2">
      <c r="D1777" s="84"/>
    </row>
    <row r="1778" spans="4:4" x14ac:dyDescent="0.2">
      <c r="D1778" s="84"/>
    </row>
    <row r="1779" spans="4:4" x14ac:dyDescent="0.2">
      <c r="D1779" s="84"/>
    </row>
    <row r="1780" spans="4:4" x14ac:dyDescent="0.2">
      <c r="D1780" s="84"/>
    </row>
    <row r="1781" spans="4:4" x14ac:dyDescent="0.2">
      <c r="D1781" s="84"/>
    </row>
    <row r="1782" spans="4:4" x14ac:dyDescent="0.2">
      <c r="D1782" s="84"/>
    </row>
    <row r="1783" spans="4:4" x14ac:dyDescent="0.2">
      <c r="D1783" s="84"/>
    </row>
    <row r="1784" spans="4:4" x14ac:dyDescent="0.2">
      <c r="D1784" s="84"/>
    </row>
    <row r="1785" spans="4:4" x14ac:dyDescent="0.2">
      <c r="D1785" s="84"/>
    </row>
    <row r="1786" spans="4:4" x14ac:dyDescent="0.2">
      <c r="D1786" s="84"/>
    </row>
    <row r="1787" spans="4:4" x14ac:dyDescent="0.2">
      <c r="D1787" s="84"/>
    </row>
    <row r="1788" spans="4:4" x14ac:dyDescent="0.2">
      <c r="D1788" s="84"/>
    </row>
    <row r="1789" spans="4:4" x14ac:dyDescent="0.2">
      <c r="D1789" s="84"/>
    </row>
    <row r="1790" spans="4:4" x14ac:dyDescent="0.2">
      <c r="D1790" s="84"/>
    </row>
    <row r="1791" spans="4:4" x14ac:dyDescent="0.2">
      <c r="D1791" s="84"/>
    </row>
    <row r="1792" spans="4:4" x14ac:dyDescent="0.2">
      <c r="D1792" s="84"/>
    </row>
    <row r="1793" spans="4:4" x14ac:dyDescent="0.2">
      <c r="D1793" s="84"/>
    </row>
    <row r="1794" spans="4:4" x14ac:dyDescent="0.2">
      <c r="D1794" s="84"/>
    </row>
    <row r="1795" spans="4:4" x14ac:dyDescent="0.2">
      <c r="D1795" s="84"/>
    </row>
    <row r="1796" spans="4:4" x14ac:dyDescent="0.2">
      <c r="D1796" s="84"/>
    </row>
    <row r="1797" spans="4:4" x14ac:dyDescent="0.2">
      <c r="D1797" s="84"/>
    </row>
    <row r="1798" spans="4:4" x14ac:dyDescent="0.2">
      <c r="D1798" s="84"/>
    </row>
    <row r="1799" spans="4:4" x14ac:dyDescent="0.2">
      <c r="D1799" s="84"/>
    </row>
    <row r="1800" spans="4:4" x14ac:dyDescent="0.2">
      <c r="D1800" s="84"/>
    </row>
    <row r="1801" spans="4:4" x14ac:dyDescent="0.2">
      <c r="D1801" s="84"/>
    </row>
    <row r="1802" spans="4:4" x14ac:dyDescent="0.2">
      <c r="D1802" s="84"/>
    </row>
    <row r="1803" spans="4:4" x14ac:dyDescent="0.2">
      <c r="D1803" s="84"/>
    </row>
    <row r="1804" spans="4:4" x14ac:dyDescent="0.2">
      <c r="D1804" s="84"/>
    </row>
    <row r="1805" spans="4:4" x14ac:dyDescent="0.2">
      <c r="D1805" s="84"/>
    </row>
    <row r="1806" spans="4:4" x14ac:dyDescent="0.2">
      <c r="D1806" s="84"/>
    </row>
    <row r="1807" spans="4:4" x14ac:dyDescent="0.2">
      <c r="D1807" s="84"/>
    </row>
    <row r="1808" spans="4:4" x14ac:dyDescent="0.2">
      <c r="D1808" s="84"/>
    </row>
    <row r="1809" spans="4:4" x14ac:dyDescent="0.2">
      <c r="D1809" s="84"/>
    </row>
    <row r="1810" spans="4:4" x14ac:dyDescent="0.2">
      <c r="D1810" s="84"/>
    </row>
    <row r="1811" spans="4:4" x14ac:dyDescent="0.2">
      <c r="D1811" s="84"/>
    </row>
    <row r="1812" spans="4:4" x14ac:dyDescent="0.2">
      <c r="D1812" s="84"/>
    </row>
    <row r="1813" spans="4:4" x14ac:dyDescent="0.2">
      <c r="D1813" s="84"/>
    </row>
    <row r="1814" spans="4:4" x14ac:dyDescent="0.2">
      <c r="D1814" s="84"/>
    </row>
    <row r="1815" spans="4:4" x14ac:dyDescent="0.2">
      <c r="D1815" s="84"/>
    </row>
    <row r="1816" spans="4:4" x14ac:dyDescent="0.2">
      <c r="D1816" s="84"/>
    </row>
    <row r="1817" spans="4:4" x14ac:dyDescent="0.2">
      <c r="D1817" s="84"/>
    </row>
    <row r="1818" spans="4:4" x14ac:dyDescent="0.2">
      <c r="D1818" s="84"/>
    </row>
    <row r="1819" spans="4:4" x14ac:dyDescent="0.2">
      <c r="D1819" s="84"/>
    </row>
    <row r="1820" spans="4:4" x14ac:dyDescent="0.2">
      <c r="D1820" s="84"/>
    </row>
    <row r="1821" spans="4:4" x14ac:dyDescent="0.2">
      <c r="D1821" s="84"/>
    </row>
    <row r="1822" spans="4:4" x14ac:dyDescent="0.2">
      <c r="D1822" s="84"/>
    </row>
    <row r="1823" spans="4:4" x14ac:dyDescent="0.2">
      <c r="D1823" s="84"/>
    </row>
    <row r="1824" spans="4:4" x14ac:dyDescent="0.2">
      <c r="D1824" s="84"/>
    </row>
    <row r="1825" spans="4:4" x14ac:dyDescent="0.2">
      <c r="D1825" s="84"/>
    </row>
    <row r="1826" spans="4:4" x14ac:dyDescent="0.2">
      <c r="D1826" s="84"/>
    </row>
    <row r="1827" spans="4:4" x14ac:dyDescent="0.2">
      <c r="D1827" s="84"/>
    </row>
    <row r="1828" spans="4:4" x14ac:dyDescent="0.2">
      <c r="D1828" s="84"/>
    </row>
    <row r="1829" spans="4:4" x14ac:dyDescent="0.2">
      <c r="D1829" s="84"/>
    </row>
    <row r="1830" spans="4:4" x14ac:dyDescent="0.2">
      <c r="D1830" s="84"/>
    </row>
    <row r="1831" spans="4:4" x14ac:dyDescent="0.2">
      <c r="D1831" s="84"/>
    </row>
    <row r="1832" spans="4:4" x14ac:dyDescent="0.2">
      <c r="D1832" s="84"/>
    </row>
    <row r="1833" spans="4:4" x14ac:dyDescent="0.2">
      <c r="D1833" s="84"/>
    </row>
    <row r="1834" spans="4:4" x14ac:dyDescent="0.2">
      <c r="D1834" s="84"/>
    </row>
    <row r="1835" spans="4:4" x14ac:dyDescent="0.2">
      <c r="D1835" s="84"/>
    </row>
    <row r="1836" spans="4:4" x14ac:dyDescent="0.2">
      <c r="D1836" s="84"/>
    </row>
    <row r="1837" spans="4:4" x14ac:dyDescent="0.2">
      <c r="D1837" s="84"/>
    </row>
    <row r="1838" spans="4:4" x14ac:dyDescent="0.2">
      <c r="D1838" s="84"/>
    </row>
    <row r="1839" spans="4:4" x14ac:dyDescent="0.2">
      <c r="D1839" s="84"/>
    </row>
    <row r="1840" spans="4:4" x14ac:dyDescent="0.2">
      <c r="D1840" s="84"/>
    </row>
    <row r="1841" spans="4:4" x14ac:dyDescent="0.2">
      <c r="D1841" s="84"/>
    </row>
    <row r="1842" spans="4:4" x14ac:dyDescent="0.2">
      <c r="D1842" s="84"/>
    </row>
    <row r="1843" spans="4:4" x14ac:dyDescent="0.2">
      <c r="D1843" s="84"/>
    </row>
    <row r="1844" spans="4:4" x14ac:dyDescent="0.2">
      <c r="D1844" s="84"/>
    </row>
    <row r="1845" spans="4:4" x14ac:dyDescent="0.2">
      <c r="D1845" s="84"/>
    </row>
    <row r="1846" spans="4:4" x14ac:dyDescent="0.2">
      <c r="D1846" s="84"/>
    </row>
    <row r="1847" spans="4:4" x14ac:dyDescent="0.2">
      <c r="D1847" s="84"/>
    </row>
    <row r="1848" spans="4:4" x14ac:dyDescent="0.2">
      <c r="D1848" s="84"/>
    </row>
    <row r="1849" spans="4:4" x14ac:dyDescent="0.2">
      <c r="D1849" s="84"/>
    </row>
    <row r="1850" spans="4:4" x14ac:dyDescent="0.2">
      <c r="D1850" s="84"/>
    </row>
    <row r="1851" spans="4:4" x14ac:dyDescent="0.2">
      <c r="D1851" s="84"/>
    </row>
    <row r="1852" spans="4:4" x14ac:dyDescent="0.2">
      <c r="D1852" s="84"/>
    </row>
    <row r="1853" spans="4:4" x14ac:dyDescent="0.2">
      <c r="D1853" s="84"/>
    </row>
    <row r="1854" spans="4:4" x14ac:dyDescent="0.2">
      <c r="D1854" s="84"/>
    </row>
    <row r="1855" spans="4:4" x14ac:dyDescent="0.2">
      <c r="D1855" s="84"/>
    </row>
    <row r="1856" spans="4:4" x14ac:dyDescent="0.2">
      <c r="D1856" s="84"/>
    </row>
    <row r="1857" spans="4:4" x14ac:dyDescent="0.2">
      <c r="D1857" s="84"/>
    </row>
    <row r="1858" spans="4:4" x14ac:dyDescent="0.2">
      <c r="D1858" s="84"/>
    </row>
    <row r="1859" spans="4:4" x14ac:dyDescent="0.2">
      <c r="D1859" s="84"/>
    </row>
    <row r="1860" spans="4:4" x14ac:dyDescent="0.2">
      <c r="D1860" s="84"/>
    </row>
    <row r="1861" spans="4:4" x14ac:dyDescent="0.2">
      <c r="D1861" s="84"/>
    </row>
    <row r="1862" spans="4:4" x14ac:dyDescent="0.2">
      <c r="D1862" s="84"/>
    </row>
    <row r="1863" spans="4:4" x14ac:dyDescent="0.2">
      <c r="D1863" s="84"/>
    </row>
    <row r="1864" spans="4:4" x14ac:dyDescent="0.2">
      <c r="D1864" s="84"/>
    </row>
    <row r="1865" spans="4:4" x14ac:dyDescent="0.2">
      <c r="D1865" s="84"/>
    </row>
    <row r="1866" spans="4:4" x14ac:dyDescent="0.2">
      <c r="D1866" s="84"/>
    </row>
    <row r="1867" spans="4:4" x14ac:dyDescent="0.2">
      <c r="D1867" s="84"/>
    </row>
    <row r="1868" spans="4:4" x14ac:dyDescent="0.2">
      <c r="D1868" s="84"/>
    </row>
    <row r="1869" spans="4:4" x14ac:dyDescent="0.2">
      <c r="D1869" s="84"/>
    </row>
    <row r="1870" spans="4:4" x14ac:dyDescent="0.2">
      <c r="D1870" s="84"/>
    </row>
    <row r="1871" spans="4:4" x14ac:dyDescent="0.2">
      <c r="D1871" s="84"/>
    </row>
    <row r="1872" spans="4:4" x14ac:dyDescent="0.2">
      <c r="D1872" s="84"/>
    </row>
    <row r="1873" spans="4:4" x14ac:dyDescent="0.2">
      <c r="D1873" s="84"/>
    </row>
    <row r="1874" spans="4:4" x14ac:dyDescent="0.2">
      <c r="D1874" s="84"/>
    </row>
    <row r="1875" spans="4:4" x14ac:dyDescent="0.2">
      <c r="D1875" s="84"/>
    </row>
    <row r="1876" spans="4:4" x14ac:dyDescent="0.2">
      <c r="D1876" s="84"/>
    </row>
    <row r="1877" spans="4:4" x14ac:dyDescent="0.2">
      <c r="D1877" s="84"/>
    </row>
    <row r="1878" spans="4:4" x14ac:dyDescent="0.2">
      <c r="D1878" s="84"/>
    </row>
    <row r="1879" spans="4:4" x14ac:dyDescent="0.2">
      <c r="D1879" s="84"/>
    </row>
    <row r="1880" spans="4:4" x14ac:dyDescent="0.2">
      <c r="D1880" s="84"/>
    </row>
    <row r="1881" spans="4:4" x14ac:dyDescent="0.2">
      <c r="D1881" s="84"/>
    </row>
    <row r="1882" spans="4:4" x14ac:dyDescent="0.2">
      <c r="D1882" s="84"/>
    </row>
    <row r="1883" spans="4:4" x14ac:dyDescent="0.2">
      <c r="D1883" s="84"/>
    </row>
    <row r="1884" spans="4:4" x14ac:dyDescent="0.2">
      <c r="D1884" s="84"/>
    </row>
    <row r="1885" spans="4:4" x14ac:dyDescent="0.2">
      <c r="D1885" s="84"/>
    </row>
    <row r="1886" spans="4:4" x14ac:dyDescent="0.2">
      <c r="D1886" s="84"/>
    </row>
    <row r="1887" spans="4:4" x14ac:dyDescent="0.2">
      <c r="D1887" s="84"/>
    </row>
    <row r="1888" spans="4:4" x14ac:dyDescent="0.2">
      <c r="D1888" s="84"/>
    </row>
    <row r="1889" spans="4:4" x14ac:dyDescent="0.2">
      <c r="D1889" s="84"/>
    </row>
    <row r="1890" spans="4:4" x14ac:dyDescent="0.2">
      <c r="D1890" s="84"/>
    </row>
    <row r="1891" spans="4:4" x14ac:dyDescent="0.2">
      <c r="D1891" s="84"/>
    </row>
    <row r="1892" spans="4:4" x14ac:dyDescent="0.2">
      <c r="D1892" s="84"/>
    </row>
    <row r="1893" spans="4:4" x14ac:dyDescent="0.2">
      <c r="D1893" s="84"/>
    </row>
    <row r="1894" spans="4:4" x14ac:dyDescent="0.2">
      <c r="D1894" s="84"/>
    </row>
    <row r="1895" spans="4:4" x14ac:dyDescent="0.2">
      <c r="D1895" s="84"/>
    </row>
    <row r="1896" spans="4:4" x14ac:dyDescent="0.2">
      <c r="D1896" s="84"/>
    </row>
    <row r="1897" spans="4:4" x14ac:dyDescent="0.2">
      <c r="D1897" s="84"/>
    </row>
    <row r="1898" spans="4:4" x14ac:dyDescent="0.2">
      <c r="D1898" s="84"/>
    </row>
    <row r="1899" spans="4:4" x14ac:dyDescent="0.2">
      <c r="D1899" s="84"/>
    </row>
    <row r="1900" spans="4:4" x14ac:dyDescent="0.2">
      <c r="D1900" s="84"/>
    </row>
    <row r="1901" spans="4:4" x14ac:dyDescent="0.2">
      <c r="D1901" s="84"/>
    </row>
    <row r="1902" spans="4:4" x14ac:dyDescent="0.2">
      <c r="D1902" s="84"/>
    </row>
    <row r="1903" spans="4:4" x14ac:dyDescent="0.2">
      <c r="D1903" s="84"/>
    </row>
    <row r="1904" spans="4:4" x14ac:dyDescent="0.2">
      <c r="D1904" s="84"/>
    </row>
    <row r="1905" spans="4:4" x14ac:dyDescent="0.2">
      <c r="D1905" s="84"/>
    </row>
    <row r="1906" spans="4:4" x14ac:dyDescent="0.2">
      <c r="D1906" s="84"/>
    </row>
    <row r="1907" spans="4:4" x14ac:dyDescent="0.2">
      <c r="D1907" s="84"/>
    </row>
    <row r="1908" spans="4:4" x14ac:dyDescent="0.2">
      <c r="D1908" s="84"/>
    </row>
    <row r="1909" spans="4:4" x14ac:dyDescent="0.2">
      <c r="D1909" s="84"/>
    </row>
    <row r="1910" spans="4:4" x14ac:dyDescent="0.2">
      <c r="D1910" s="84"/>
    </row>
    <row r="1911" spans="4:4" x14ac:dyDescent="0.2">
      <c r="D1911" s="84"/>
    </row>
    <row r="1912" spans="4:4" x14ac:dyDescent="0.2">
      <c r="D1912" s="84"/>
    </row>
    <row r="1913" spans="4:4" x14ac:dyDescent="0.2">
      <c r="D1913" s="84"/>
    </row>
    <row r="1914" spans="4:4" x14ac:dyDescent="0.2">
      <c r="D1914" s="84"/>
    </row>
    <row r="1915" spans="4:4" x14ac:dyDescent="0.2">
      <c r="D1915" s="84"/>
    </row>
    <row r="1916" spans="4:4" x14ac:dyDescent="0.2">
      <c r="D1916" s="84"/>
    </row>
    <row r="1917" spans="4:4" x14ac:dyDescent="0.2">
      <c r="D1917" s="84"/>
    </row>
    <row r="1918" spans="4:4" x14ac:dyDescent="0.2">
      <c r="D1918" s="84"/>
    </row>
    <row r="1919" spans="4:4" x14ac:dyDescent="0.2">
      <c r="D1919" s="84"/>
    </row>
    <row r="1920" spans="4:4" x14ac:dyDescent="0.2">
      <c r="D1920" s="84"/>
    </row>
    <row r="1921" spans="4:4" x14ac:dyDescent="0.2">
      <c r="D1921" s="84"/>
    </row>
    <row r="1922" spans="4:4" x14ac:dyDescent="0.2">
      <c r="D1922" s="84"/>
    </row>
    <row r="1923" spans="4:4" x14ac:dyDescent="0.2">
      <c r="D1923" s="84"/>
    </row>
    <row r="1924" spans="4:4" x14ac:dyDescent="0.2">
      <c r="D1924" s="84"/>
    </row>
    <row r="1925" spans="4:4" x14ac:dyDescent="0.2">
      <c r="D1925" s="84"/>
    </row>
    <row r="1926" spans="4:4" x14ac:dyDescent="0.2">
      <c r="D1926" s="84"/>
    </row>
    <row r="1927" spans="4:4" x14ac:dyDescent="0.2">
      <c r="D1927" s="84"/>
    </row>
    <row r="1928" spans="4:4" x14ac:dyDescent="0.2">
      <c r="D1928" s="84"/>
    </row>
    <row r="1929" spans="4:4" x14ac:dyDescent="0.2">
      <c r="D1929" s="84"/>
    </row>
    <row r="1930" spans="4:4" x14ac:dyDescent="0.2">
      <c r="D1930" s="84"/>
    </row>
    <row r="1931" spans="4:4" x14ac:dyDescent="0.2">
      <c r="D1931" s="84"/>
    </row>
    <row r="1932" spans="4:4" x14ac:dyDescent="0.2">
      <c r="D1932" s="84"/>
    </row>
    <row r="1933" spans="4:4" x14ac:dyDescent="0.2">
      <c r="D1933" s="84"/>
    </row>
    <row r="1934" spans="4:4" x14ac:dyDescent="0.2">
      <c r="D1934" s="84"/>
    </row>
    <row r="1935" spans="4:4" x14ac:dyDescent="0.2">
      <c r="D1935" s="84"/>
    </row>
    <row r="1936" spans="4:4" x14ac:dyDescent="0.2">
      <c r="D1936" s="84"/>
    </row>
    <row r="1937" spans="4:4" x14ac:dyDescent="0.2">
      <c r="D1937" s="84"/>
    </row>
    <row r="1938" spans="4:4" x14ac:dyDescent="0.2">
      <c r="D1938" s="84"/>
    </row>
    <row r="1939" spans="4:4" x14ac:dyDescent="0.2">
      <c r="D1939" s="84"/>
    </row>
    <row r="1940" spans="4:4" x14ac:dyDescent="0.2">
      <c r="D1940" s="84"/>
    </row>
    <row r="1941" spans="4:4" x14ac:dyDescent="0.2">
      <c r="D1941" s="84"/>
    </row>
    <row r="1942" spans="4:4" x14ac:dyDescent="0.2">
      <c r="D1942" s="84"/>
    </row>
    <row r="1943" spans="4:4" x14ac:dyDescent="0.2">
      <c r="D1943" s="84"/>
    </row>
    <row r="1944" spans="4:4" x14ac:dyDescent="0.2">
      <c r="D1944" s="84"/>
    </row>
    <row r="1945" spans="4:4" x14ac:dyDescent="0.2">
      <c r="D1945" s="84"/>
    </row>
    <row r="1946" spans="4:4" x14ac:dyDescent="0.2">
      <c r="D1946" s="84"/>
    </row>
    <row r="1947" spans="4:4" x14ac:dyDescent="0.2">
      <c r="D1947" s="84"/>
    </row>
    <row r="1948" spans="4:4" x14ac:dyDescent="0.2">
      <c r="D1948" s="84"/>
    </row>
    <row r="1949" spans="4:4" x14ac:dyDescent="0.2">
      <c r="D1949" s="84"/>
    </row>
    <row r="1950" spans="4:4" x14ac:dyDescent="0.2">
      <c r="D1950" s="84"/>
    </row>
    <row r="1951" spans="4:4" x14ac:dyDescent="0.2">
      <c r="D1951" s="84"/>
    </row>
    <row r="1952" spans="4:4" x14ac:dyDescent="0.2">
      <c r="D1952" s="84"/>
    </row>
    <row r="1953" spans="4:4" x14ac:dyDescent="0.2">
      <c r="D1953" s="84"/>
    </row>
    <row r="1954" spans="4:4" x14ac:dyDescent="0.2">
      <c r="D1954" s="84"/>
    </row>
    <row r="1955" spans="4:4" x14ac:dyDescent="0.2">
      <c r="D1955" s="84"/>
    </row>
    <row r="1956" spans="4:4" x14ac:dyDescent="0.2">
      <c r="D1956" s="84"/>
    </row>
    <row r="1957" spans="4:4" x14ac:dyDescent="0.2">
      <c r="D1957" s="84"/>
    </row>
    <row r="1958" spans="4:4" x14ac:dyDescent="0.2">
      <c r="D1958" s="84"/>
    </row>
    <row r="1959" spans="4:4" x14ac:dyDescent="0.2">
      <c r="D1959" s="84"/>
    </row>
    <row r="1960" spans="4:4" x14ac:dyDescent="0.2">
      <c r="D1960" s="84"/>
    </row>
    <row r="1961" spans="4:4" x14ac:dyDescent="0.2">
      <c r="D1961" s="84"/>
    </row>
    <row r="1962" spans="4:4" x14ac:dyDescent="0.2">
      <c r="D1962" s="84"/>
    </row>
    <row r="1963" spans="4:4" x14ac:dyDescent="0.2">
      <c r="D1963" s="84"/>
    </row>
    <row r="1964" spans="4:4" x14ac:dyDescent="0.2">
      <c r="D1964" s="84"/>
    </row>
    <row r="1965" spans="4:4" x14ac:dyDescent="0.2">
      <c r="D1965" s="84"/>
    </row>
    <row r="1966" spans="4:4" x14ac:dyDescent="0.2">
      <c r="D1966" s="84"/>
    </row>
    <row r="1967" spans="4:4" x14ac:dyDescent="0.2">
      <c r="D1967" s="84"/>
    </row>
    <row r="1968" spans="4:4" x14ac:dyDescent="0.2">
      <c r="D1968" s="84"/>
    </row>
    <row r="1969" spans="4:4" x14ac:dyDescent="0.2">
      <c r="D1969" s="84"/>
    </row>
    <row r="1970" spans="4:4" x14ac:dyDescent="0.2">
      <c r="D1970" s="84"/>
    </row>
    <row r="1971" spans="4:4" x14ac:dyDescent="0.2">
      <c r="D1971" s="84"/>
    </row>
    <row r="1972" spans="4:4" x14ac:dyDescent="0.2">
      <c r="D1972" s="84"/>
    </row>
    <row r="1973" spans="4:4" x14ac:dyDescent="0.2">
      <c r="D1973" s="84"/>
    </row>
    <row r="1974" spans="4:4" x14ac:dyDescent="0.2">
      <c r="D1974" s="84"/>
    </row>
    <row r="1975" spans="4:4" x14ac:dyDescent="0.2">
      <c r="D1975" s="84"/>
    </row>
    <row r="1976" spans="4:4" x14ac:dyDescent="0.2">
      <c r="D1976" s="84"/>
    </row>
    <row r="1977" spans="4:4" x14ac:dyDescent="0.2">
      <c r="D1977" s="84"/>
    </row>
    <row r="1978" spans="4:4" x14ac:dyDescent="0.2">
      <c r="D1978" s="84"/>
    </row>
    <row r="1979" spans="4:4" x14ac:dyDescent="0.2">
      <c r="D1979" s="84"/>
    </row>
    <row r="1980" spans="4:4" x14ac:dyDescent="0.2">
      <c r="D1980" s="84"/>
    </row>
    <row r="1981" spans="4:4" x14ac:dyDescent="0.2">
      <c r="D1981" s="84"/>
    </row>
    <row r="1982" spans="4:4" x14ac:dyDescent="0.2">
      <c r="D1982" s="84"/>
    </row>
    <row r="1983" spans="4:4" x14ac:dyDescent="0.2">
      <c r="D1983" s="84"/>
    </row>
    <row r="1984" spans="4:4" x14ac:dyDescent="0.2">
      <c r="D1984" s="84"/>
    </row>
    <row r="1985" spans="4:4" x14ac:dyDescent="0.2">
      <c r="D1985" s="84"/>
    </row>
    <row r="1986" spans="4:4" x14ac:dyDescent="0.2">
      <c r="D1986" s="84"/>
    </row>
    <row r="1987" spans="4:4" x14ac:dyDescent="0.2">
      <c r="D1987" s="84"/>
    </row>
    <row r="1988" spans="4:4" x14ac:dyDescent="0.2">
      <c r="D1988" s="84"/>
    </row>
    <row r="1989" spans="4:4" x14ac:dyDescent="0.2">
      <c r="D1989" s="84"/>
    </row>
    <row r="1990" spans="4:4" x14ac:dyDescent="0.2">
      <c r="D1990" s="84"/>
    </row>
    <row r="1991" spans="4:4" x14ac:dyDescent="0.2">
      <c r="D1991" s="84"/>
    </row>
    <row r="1992" spans="4:4" x14ac:dyDescent="0.2">
      <c r="D1992" s="84"/>
    </row>
    <row r="1993" spans="4:4" x14ac:dyDescent="0.2">
      <c r="D1993" s="84"/>
    </row>
    <row r="1994" spans="4:4" x14ac:dyDescent="0.2">
      <c r="D1994" s="84"/>
    </row>
    <row r="1995" spans="4:4" x14ac:dyDescent="0.2">
      <c r="D1995" s="84"/>
    </row>
    <row r="1996" spans="4:4" x14ac:dyDescent="0.2">
      <c r="D1996" s="84"/>
    </row>
    <row r="1997" spans="4:4" x14ac:dyDescent="0.2">
      <c r="D1997" s="84"/>
    </row>
    <row r="1998" spans="4:4" x14ac:dyDescent="0.2">
      <c r="D1998" s="84"/>
    </row>
    <row r="1999" spans="4:4" x14ac:dyDescent="0.2">
      <c r="D1999" s="84"/>
    </row>
    <row r="2000" spans="4:4" x14ac:dyDescent="0.2">
      <c r="D2000" s="84"/>
    </row>
    <row r="2001" spans="4:4" x14ac:dyDescent="0.2">
      <c r="D2001" s="84"/>
    </row>
    <row r="2002" spans="4:4" x14ac:dyDescent="0.2">
      <c r="D2002" s="84"/>
    </row>
    <row r="2003" spans="4:4" x14ac:dyDescent="0.2">
      <c r="D2003" s="84"/>
    </row>
    <row r="2004" spans="4:4" x14ac:dyDescent="0.2">
      <c r="D2004" s="84"/>
    </row>
    <row r="2005" spans="4:4" x14ac:dyDescent="0.2">
      <c r="D2005" s="84"/>
    </row>
    <row r="2006" spans="4:4" x14ac:dyDescent="0.2">
      <c r="D2006" s="84"/>
    </row>
    <row r="2007" spans="4:4" x14ac:dyDescent="0.2">
      <c r="D2007" s="84"/>
    </row>
    <row r="2008" spans="4:4" x14ac:dyDescent="0.2">
      <c r="D2008" s="84"/>
    </row>
    <row r="2009" spans="4:4" x14ac:dyDescent="0.2">
      <c r="D2009" s="84"/>
    </row>
    <row r="2010" spans="4:4" x14ac:dyDescent="0.2">
      <c r="D2010" s="84"/>
    </row>
    <row r="2011" spans="4:4" x14ac:dyDescent="0.2">
      <c r="D2011" s="84"/>
    </row>
    <row r="2012" spans="4:4" x14ac:dyDescent="0.2">
      <c r="D2012" s="84"/>
    </row>
    <row r="2013" spans="4:4" x14ac:dyDescent="0.2">
      <c r="D2013" s="84"/>
    </row>
    <row r="2014" spans="4:4" x14ac:dyDescent="0.2">
      <c r="D2014" s="84"/>
    </row>
    <row r="2015" spans="4:4" x14ac:dyDescent="0.2">
      <c r="D2015" s="84"/>
    </row>
    <row r="2016" spans="4:4" x14ac:dyDescent="0.2">
      <c r="D2016" s="84"/>
    </row>
    <row r="2017" spans="4:4" x14ac:dyDescent="0.2">
      <c r="D2017" s="84"/>
    </row>
    <row r="2018" spans="4:4" x14ac:dyDescent="0.2">
      <c r="D2018" s="84"/>
    </row>
    <row r="2019" spans="4:4" x14ac:dyDescent="0.2">
      <c r="D2019" s="84"/>
    </row>
    <row r="2020" spans="4:4" x14ac:dyDescent="0.2">
      <c r="D2020" s="84"/>
    </row>
    <row r="2021" spans="4:4" x14ac:dyDescent="0.2">
      <c r="D2021" s="84"/>
    </row>
    <row r="2022" spans="4:4" x14ac:dyDescent="0.2">
      <c r="D2022" s="84"/>
    </row>
    <row r="2023" spans="4:4" x14ac:dyDescent="0.2">
      <c r="D2023" s="84"/>
    </row>
    <row r="2024" spans="4:4" x14ac:dyDescent="0.2">
      <c r="D2024" s="84"/>
    </row>
    <row r="2025" spans="4:4" x14ac:dyDescent="0.2">
      <c r="D2025" s="84"/>
    </row>
    <row r="2026" spans="4:4" x14ac:dyDescent="0.2">
      <c r="D2026" s="84"/>
    </row>
    <row r="2027" spans="4:4" x14ac:dyDescent="0.2">
      <c r="D2027" s="84"/>
    </row>
    <row r="2028" spans="4:4" x14ac:dyDescent="0.2">
      <c r="D2028" s="84"/>
    </row>
    <row r="2029" spans="4:4" x14ac:dyDescent="0.2">
      <c r="D2029" s="84"/>
    </row>
    <row r="2030" spans="4:4" x14ac:dyDescent="0.2">
      <c r="D2030" s="84"/>
    </row>
    <row r="2031" spans="4:4" x14ac:dyDescent="0.2">
      <c r="D2031" s="84"/>
    </row>
    <row r="2032" spans="4:4" x14ac:dyDescent="0.2">
      <c r="D2032" s="84"/>
    </row>
    <row r="2033" spans="4:4" x14ac:dyDescent="0.2">
      <c r="D2033" s="84"/>
    </row>
    <row r="2034" spans="4:4" x14ac:dyDescent="0.2">
      <c r="D2034" s="84"/>
    </row>
    <row r="2035" spans="4:4" x14ac:dyDescent="0.2">
      <c r="D2035" s="84"/>
    </row>
    <row r="2036" spans="4:4" x14ac:dyDescent="0.2">
      <c r="D2036" s="84"/>
    </row>
    <row r="2037" spans="4:4" x14ac:dyDescent="0.2">
      <c r="D2037" s="84"/>
    </row>
    <row r="2038" spans="4:4" x14ac:dyDescent="0.2">
      <c r="D2038" s="84"/>
    </row>
    <row r="2039" spans="4:4" x14ac:dyDescent="0.2">
      <c r="D2039" s="84"/>
    </row>
    <row r="2040" spans="4:4" x14ac:dyDescent="0.2">
      <c r="D2040" s="84"/>
    </row>
    <row r="2041" spans="4:4" x14ac:dyDescent="0.2">
      <c r="D2041" s="84"/>
    </row>
    <row r="2042" spans="4:4" x14ac:dyDescent="0.2">
      <c r="D2042" s="84"/>
    </row>
    <row r="2043" spans="4:4" x14ac:dyDescent="0.2">
      <c r="D2043" s="84"/>
    </row>
    <row r="2044" spans="4:4" x14ac:dyDescent="0.2">
      <c r="D2044" s="84"/>
    </row>
    <row r="2045" spans="4:4" x14ac:dyDescent="0.2">
      <c r="D2045" s="84"/>
    </row>
    <row r="2046" spans="4:4" x14ac:dyDescent="0.2">
      <c r="D2046" s="84"/>
    </row>
    <row r="2047" spans="4:4" x14ac:dyDescent="0.2">
      <c r="D2047" s="84"/>
    </row>
    <row r="2048" spans="4:4" x14ac:dyDescent="0.2">
      <c r="D2048" s="84"/>
    </row>
    <row r="2049" spans="4:4" x14ac:dyDescent="0.2">
      <c r="D2049" s="84"/>
    </row>
    <row r="2050" spans="4:4" x14ac:dyDescent="0.2">
      <c r="D2050" s="84"/>
    </row>
    <row r="2051" spans="4:4" x14ac:dyDescent="0.2">
      <c r="D2051" s="84"/>
    </row>
    <row r="2052" spans="4:4" x14ac:dyDescent="0.2">
      <c r="D2052" s="84"/>
    </row>
    <row r="2053" spans="4:4" x14ac:dyDescent="0.2">
      <c r="D2053" s="84"/>
    </row>
    <row r="2054" spans="4:4" x14ac:dyDescent="0.2">
      <c r="D2054" s="84"/>
    </row>
    <row r="2055" spans="4:4" x14ac:dyDescent="0.2">
      <c r="D2055" s="84"/>
    </row>
    <row r="2056" spans="4:4" x14ac:dyDescent="0.2">
      <c r="D2056" s="84"/>
    </row>
    <row r="2057" spans="4:4" x14ac:dyDescent="0.2">
      <c r="D2057" s="84"/>
    </row>
    <row r="2058" spans="4:4" x14ac:dyDescent="0.2">
      <c r="D2058" s="84"/>
    </row>
    <row r="2059" spans="4:4" x14ac:dyDescent="0.2">
      <c r="D2059" s="84"/>
    </row>
    <row r="2060" spans="4:4" x14ac:dyDescent="0.2">
      <c r="D2060" s="84"/>
    </row>
    <row r="2061" spans="4:4" x14ac:dyDescent="0.2">
      <c r="D2061" s="84"/>
    </row>
    <row r="2062" spans="4:4" x14ac:dyDescent="0.2">
      <c r="D2062" s="84"/>
    </row>
    <row r="2063" spans="4:4" x14ac:dyDescent="0.2">
      <c r="D2063" s="84"/>
    </row>
    <row r="2064" spans="4:4" x14ac:dyDescent="0.2">
      <c r="D2064" s="84"/>
    </row>
    <row r="2065" spans="4:4" x14ac:dyDescent="0.2">
      <c r="D2065" s="84"/>
    </row>
    <row r="2066" spans="4:4" x14ac:dyDescent="0.2">
      <c r="D2066" s="84"/>
    </row>
    <row r="2067" spans="4:4" x14ac:dyDescent="0.2">
      <c r="D2067" s="84"/>
    </row>
    <row r="2068" spans="4:4" x14ac:dyDescent="0.2">
      <c r="D2068" s="84"/>
    </row>
    <row r="2069" spans="4:4" x14ac:dyDescent="0.2">
      <c r="D2069" s="84"/>
    </row>
    <row r="2070" spans="4:4" x14ac:dyDescent="0.2">
      <c r="D2070" s="84"/>
    </row>
    <row r="2071" spans="4:4" x14ac:dyDescent="0.2">
      <c r="D2071" s="84"/>
    </row>
    <row r="2072" spans="4:4" x14ac:dyDescent="0.2">
      <c r="D2072" s="84"/>
    </row>
    <row r="2073" spans="4:4" x14ac:dyDescent="0.2">
      <c r="D2073" s="84"/>
    </row>
    <row r="2074" spans="4:4" x14ac:dyDescent="0.2">
      <c r="D2074" s="84"/>
    </row>
    <row r="2075" spans="4:4" x14ac:dyDescent="0.2">
      <c r="D2075" s="84"/>
    </row>
    <row r="2076" spans="4:4" x14ac:dyDescent="0.2">
      <c r="D2076" s="84"/>
    </row>
    <row r="2077" spans="4:4" x14ac:dyDescent="0.2">
      <c r="D2077" s="84"/>
    </row>
    <row r="2078" spans="4:4" x14ac:dyDescent="0.2">
      <c r="D2078" s="84"/>
    </row>
    <row r="2079" spans="4:4" x14ac:dyDescent="0.2">
      <c r="D2079" s="84"/>
    </row>
    <row r="2080" spans="4:4" x14ac:dyDescent="0.2">
      <c r="D2080" s="84"/>
    </row>
    <row r="2081" spans="4:4" x14ac:dyDescent="0.2">
      <c r="D2081" s="84"/>
    </row>
    <row r="2082" spans="4:4" x14ac:dyDescent="0.2">
      <c r="D2082" s="84"/>
    </row>
    <row r="2083" spans="4:4" x14ac:dyDescent="0.2">
      <c r="D2083" s="84"/>
    </row>
    <row r="2084" spans="4:4" x14ac:dyDescent="0.2">
      <c r="D2084" s="84"/>
    </row>
    <row r="2085" spans="4:4" x14ac:dyDescent="0.2">
      <c r="D2085" s="84"/>
    </row>
    <row r="2086" spans="4:4" x14ac:dyDescent="0.2">
      <c r="D2086" s="84"/>
    </row>
    <row r="2087" spans="4:4" x14ac:dyDescent="0.2">
      <c r="D2087" s="84"/>
    </row>
    <row r="2088" spans="4:4" x14ac:dyDescent="0.2">
      <c r="D2088" s="84"/>
    </row>
    <row r="2089" spans="4:4" x14ac:dyDescent="0.2">
      <c r="D2089" s="84"/>
    </row>
    <row r="2090" spans="4:4" x14ac:dyDescent="0.2">
      <c r="D2090" s="84"/>
    </row>
    <row r="2091" spans="4:4" x14ac:dyDescent="0.2">
      <c r="D2091" s="84"/>
    </row>
    <row r="2092" spans="4:4" x14ac:dyDescent="0.2">
      <c r="D2092" s="84"/>
    </row>
    <row r="2093" spans="4:4" x14ac:dyDescent="0.2">
      <c r="D2093" s="84"/>
    </row>
    <row r="2094" spans="4:4" x14ac:dyDescent="0.2">
      <c r="D2094" s="84"/>
    </row>
    <row r="2095" spans="4:4" x14ac:dyDescent="0.2">
      <c r="D2095" s="84"/>
    </row>
    <row r="2096" spans="4:4" x14ac:dyDescent="0.2">
      <c r="D2096" s="84"/>
    </row>
    <row r="2097" spans="4:4" x14ac:dyDescent="0.2">
      <c r="D2097" s="84"/>
    </row>
    <row r="2098" spans="4:4" x14ac:dyDescent="0.2">
      <c r="D2098" s="84"/>
    </row>
    <row r="2099" spans="4:4" x14ac:dyDescent="0.2">
      <c r="D2099" s="84"/>
    </row>
    <row r="2100" spans="4:4" x14ac:dyDescent="0.2">
      <c r="D2100" s="84"/>
    </row>
    <row r="2101" spans="4:4" x14ac:dyDescent="0.2">
      <c r="D2101" s="84"/>
    </row>
    <row r="2102" spans="4:4" x14ac:dyDescent="0.2">
      <c r="D2102" s="84"/>
    </row>
    <row r="2103" spans="4:4" x14ac:dyDescent="0.2">
      <c r="D2103" s="84"/>
    </row>
    <row r="2104" spans="4:4" x14ac:dyDescent="0.2">
      <c r="D2104" s="84"/>
    </row>
    <row r="2105" spans="4:4" x14ac:dyDescent="0.2">
      <c r="D2105" s="84"/>
    </row>
    <row r="2106" spans="4:4" x14ac:dyDescent="0.2">
      <c r="D2106" s="84"/>
    </row>
    <row r="2107" spans="4:4" x14ac:dyDescent="0.2">
      <c r="D2107" s="84"/>
    </row>
    <row r="2108" spans="4:4" x14ac:dyDescent="0.2">
      <c r="D2108" s="84"/>
    </row>
    <row r="2109" spans="4:4" x14ac:dyDescent="0.2">
      <c r="D2109" s="84"/>
    </row>
    <row r="2110" spans="4:4" x14ac:dyDescent="0.2">
      <c r="D2110" s="84"/>
    </row>
    <row r="2111" spans="4:4" x14ac:dyDescent="0.2">
      <c r="D2111" s="84"/>
    </row>
    <row r="2112" spans="4:4" x14ac:dyDescent="0.2">
      <c r="D2112" s="84"/>
    </row>
    <row r="2113" spans="4:4" x14ac:dyDescent="0.2">
      <c r="D2113" s="84"/>
    </row>
    <row r="2114" spans="4:4" x14ac:dyDescent="0.2">
      <c r="D2114" s="84"/>
    </row>
    <row r="2115" spans="4:4" x14ac:dyDescent="0.2">
      <c r="D2115" s="84"/>
    </row>
    <row r="2116" spans="4:4" x14ac:dyDescent="0.2">
      <c r="D2116" s="84"/>
    </row>
    <row r="2117" spans="4:4" x14ac:dyDescent="0.2">
      <c r="D2117" s="84"/>
    </row>
    <row r="2118" spans="4:4" x14ac:dyDescent="0.2">
      <c r="D2118" s="84"/>
    </row>
    <row r="2119" spans="4:4" x14ac:dyDescent="0.2">
      <c r="D2119" s="84"/>
    </row>
    <row r="2120" spans="4:4" x14ac:dyDescent="0.2">
      <c r="D2120" s="84"/>
    </row>
    <row r="2121" spans="4:4" x14ac:dyDescent="0.2">
      <c r="D2121" s="84"/>
    </row>
    <row r="2122" spans="4:4" x14ac:dyDescent="0.2">
      <c r="D2122" s="84"/>
    </row>
    <row r="2123" spans="4:4" x14ac:dyDescent="0.2">
      <c r="D2123" s="84"/>
    </row>
    <row r="2124" spans="4:4" x14ac:dyDescent="0.2">
      <c r="D2124" s="84"/>
    </row>
    <row r="2125" spans="4:4" x14ac:dyDescent="0.2">
      <c r="D2125" s="84"/>
    </row>
    <row r="2126" spans="4:4" x14ac:dyDescent="0.2">
      <c r="D2126" s="84"/>
    </row>
    <row r="2127" spans="4:4" x14ac:dyDescent="0.2">
      <c r="D2127" s="84"/>
    </row>
    <row r="2128" spans="4:4" x14ac:dyDescent="0.2">
      <c r="D2128" s="84"/>
    </row>
    <row r="2129" spans="4:4" x14ac:dyDescent="0.2">
      <c r="D2129" s="84"/>
    </row>
    <row r="2130" spans="4:4" x14ac:dyDescent="0.2">
      <c r="D2130" s="84"/>
    </row>
    <row r="2131" spans="4:4" x14ac:dyDescent="0.2">
      <c r="D2131" s="84"/>
    </row>
    <row r="2132" spans="4:4" x14ac:dyDescent="0.2">
      <c r="D2132" s="84"/>
    </row>
    <row r="2133" spans="4:4" x14ac:dyDescent="0.2">
      <c r="D2133" s="84"/>
    </row>
    <row r="2134" spans="4:4" x14ac:dyDescent="0.2">
      <c r="D2134" s="84"/>
    </row>
    <row r="2135" spans="4:4" x14ac:dyDescent="0.2">
      <c r="D2135" s="84"/>
    </row>
    <row r="2136" spans="4:4" x14ac:dyDescent="0.2">
      <c r="D2136" s="84"/>
    </row>
    <row r="2137" spans="4:4" x14ac:dyDescent="0.2">
      <c r="D2137" s="84"/>
    </row>
    <row r="2138" spans="4:4" x14ac:dyDescent="0.2">
      <c r="D2138" s="84"/>
    </row>
    <row r="2139" spans="4:4" x14ac:dyDescent="0.2">
      <c r="D2139" s="84"/>
    </row>
    <row r="2140" spans="4:4" x14ac:dyDescent="0.2">
      <c r="D2140" s="84"/>
    </row>
    <row r="2141" spans="4:4" x14ac:dyDescent="0.2">
      <c r="D2141" s="84"/>
    </row>
    <row r="2142" spans="4:4" x14ac:dyDescent="0.2">
      <c r="D2142" s="84"/>
    </row>
    <row r="2143" spans="4:4" x14ac:dyDescent="0.2">
      <c r="D2143" s="84"/>
    </row>
    <row r="2144" spans="4:4" x14ac:dyDescent="0.2">
      <c r="D2144" s="84"/>
    </row>
    <row r="2145" spans="4:4" x14ac:dyDescent="0.2">
      <c r="D2145" s="84"/>
    </row>
    <row r="2146" spans="4:4" x14ac:dyDescent="0.2">
      <c r="D2146" s="84"/>
    </row>
    <row r="2147" spans="4:4" x14ac:dyDescent="0.2">
      <c r="D2147" s="84"/>
    </row>
    <row r="2148" spans="4:4" x14ac:dyDescent="0.2">
      <c r="D2148" s="84"/>
    </row>
    <row r="2149" spans="4:4" x14ac:dyDescent="0.2">
      <c r="D2149" s="84"/>
    </row>
    <row r="2150" spans="4:4" x14ac:dyDescent="0.2">
      <c r="D2150" s="84"/>
    </row>
    <row r="2151" spans="4:4" x14ac:dyDescent="0.2">
      <c r="D2151" s="84"/>
    </row>
    <row r="2152" spans="4:4" x14ac:dyDescent="0.2">
      <c r="D2152" s="84"/>
    </row>
    <row r="2153" spans="4:4" x14ac:dyDescent="0.2">
      <c r="D2153" s="84"/>
    </row>
    <row r="2154" spans="4:4" x14ac:dyDescent="0.2">
      <c r="D2154" s="84"/>
    </row>
    <row r="2155" spans="4:4" x14ac:dyDescent="0.2">
      <c r="D2155" s="84"/>
    </row>
    <row r="2156" spans="4:4" x14ac:dyDescent="0.2">
      <c r="D2156" s="84"/>
    </row>
    <row r="2157" spans="4:4" x14ac:dyDescent="0.2">
      <c r="D2157" s="84"/>
    </row>
    <row r="2158" spans="4:4" x14ac:dyDescent="0.2">
      <c r="D2158" s="84"/>
    </row>
    <row r="2159" spans="4:4" x14ac:dyDescent="0.2">
      <c r="D2159" s="84"/>
    </row>
    <row r="2160" spans="4:4" x14ac:dyDescent="0.2">
      <c r="D2160" s="84"/>
    </row>
    <row r="2161" spans="4:4" x14ac:dyDescent="0.2">
      <c r="D2161" s="84"/>
    </row>
    <row r="2162" spans="4:4" x14ac:dyDescent="0.2">
      <c r="D2162" s="84"/>
    </row>
    <row r="2163" spans="4:4" x14ac:dyDescent="0.2">
      <c r="D2163" s="84"/>
    </row>
    <row r="2164" spans="4:4" x14ac:dyDescent="0.2">
      <c r="D2164" s="84"/>
    </row>
    <row r="2165" spans="4:4" x14ac:dyDescent="0.2">
      <c r="D2165" s="84"/>
    </row>
    <row r="2166" spans="4:4" x14ac:dyDescent="0.2">
      <c r="D2166" s="84"/>
    </row>
    <row r="2167" spans="4:4" x14ac:dyDescent="0.2">
      <c r="D2167" s="84"/>
    </row>
    <row r="2168" spans="4:4" x14ac:dyDescent="0.2">
      <c r="D2168" s="84"/>
    </row>
    <row r="2169" spans="4:4" x14ac:dyDescent="0.2">
      <c r="D2169" s="84"/>
    </row>
    <row r="2170" spans="4:4" x14ac:dyDescent="0.2">
      <c r="D2170" s="84"/>
    </row>
    <row r="2171" spans="4:4" x14ac:dyDescent="0.2">
      <c r="D2171" s="84"/>
    </row>
    <row r="2172" spans="4:4" x14ac:dyDescent="0.2">
      <c r="D2172" s="84"/>
    </row>
    <row r="2173" spans="4:4" x14ac:dyDescent="0.2">
      <c r="D2173" s="84"/>
    </row>
    <row r="2174" spans="4:4" x14ac:dyDescent="0.2">
      <c r="D2174" s="84"/>
    </row>
    <row r="2175" spans="4:4" x14ac:dyDescent="0.2">
      <c r="D2175" s="84"/>
    </row>
    <row r="2176" spans="4:4" x14ac:dyDescent="0.2">
      <c r="D2176" s="84"/>
    </row>
    <row r="2177" spans="4:4" x14ac:dyDescent="0.2">
      <c r="D2177" s="84"/>
    </row>
    <row r="2178" spans="4:4" x14ac:dyDescent="0.2">
      <c r="D2178" s="84"/>
    </row>
    <row r="2179" spans="4:4" x14ac:dyDescent="0.2">
      <c r="D2179" s="84"/>
    </row>
    <row r="2180" spans="4:4" x14ac:dyDescent="0.2">
      <c r="D2180" s="84"/>
    </row>
    <row r="2181" spans="4:4" x14ac:dyDescent="0.2">
      <c r="D2181" s="84"/>
    </row>
    <row r="2182" spans="4:4" x14ac:dyDescent="0.2">
      <c r="D2182" s="84"/>
    </row>
    <row r="2183" spans="4:4" x14ac:dyDescent="0.2">
      <c r="D2183" s="84"/>
    </row>
    <row r="2184" spans="4:4" x14ac:dyDescent="0.2">
      <c r="D2184" s="84"/>
    </row>
    <row r="2185" spans="4:4" x14ac:dyDescent="0.2">
      <c r="D2185" s="84"/>
    </row>
    <row r="2186" spans="4:4" x14ac:dyDescent="0.2">
      <c r="D2186" s="84"/>
    </row>
    <row r="2187" spans="4:4" x14ac:dyDescent="0.2">
      <c r="D2187" s="84"/>
    </row>
    <row r="2188" spans="4:4" x14ac:dyDescent="0.2">
      <c r="D2188" s="84"/>
    </row>
    <row r="2189" spans="4:4" x14ac:dyDescent="0.2">
      <c r="D2189" s="84"/>
    </row>
    <row r="2190" spans="4:4" x14ac:dyDescent="0.2">
      <c r="D2190" s="84"/>
    </row>
    <row r="2191" spans="4:4" x14ac:dyDescent="0.2">
      <c r="D2191" s="84"/>
    </row>
    <row r="2192" spans="4:4" x14ac:dyDescent="0.2">
      <c r="D2192" s="84"/>
    </row>
    <row r="2193" spans="4:4" x14ac:dyDescent="0.2">
      <c r="D2193" s="84"/>
    </row>
    <row r="2194" spans="4:4" x14ac:dyDescent="0.2">
      <c r="D2194" s="84"/>
    </row>
    <row r="2195" spans="4:4" x14ac:dyDescent="0.2">
      <c r="D2195" s="84"/>
    </row>
    <row r="2196" spans="4:4" x14ac:dyDescent="0.2">
      <c r="D2196" s="84"/>
    </row>
    <row r="2197" spans="4:4" x14ac:dyDescent="0.2">
      <c r="D2197" s="84"/>
    </row>
    <row r="2198" spans="4:4" x14ac:dyDescent="0.2">
      <c r="D2198" s="84"/>
    </row>
    <row r="2199" spans="4:4" x14ac:dyDescent="0.2">
      <c r="D2199" s="84"/>
    </row>
    <row r="2200" spans="4:4" x14ac:dyDescent="0.2">
      <c r="D2200" s="84"/>
    </row>
    <row r="2201" spans="4:4" x14ac:dyDescent="0.2">
      <c r="D2201" s="84"/>
    </row>
    <row r="2202" spans="4:4" x14ac:dyDescent="0.2">
      <c r="D2202" s="84"/>
    </row>
    <row r="2203" spans="4:4" x14ac:dyDescent="0.2">
      <c r="D2203" s="84"/>
    </row>
    <row r="2204" spans="4:4" x14ac:dyDescent="0.2">
      <c r="D2204" s="84"/>
    </row>
    <row r="2205" spans="4:4" x14ac:dyDescent="0.2">
      <c r="D2205" s="84"/>
    </row>
    <row r="2206" spans="4:4" x14ac:dyDescent="0.2">
      <c r="D2206" s="84"/>
    </row>
    <row r="2207" spans="4:4" x14ac:dyDescent="0.2">
      <c r="D2207" s="84"/>
    </row>
    <row r="2208" spans="4:4" x14ac:dyDescent="0.2">
      <c r="D2208" s="84"/>
    </row>
    <row r="2209" spans="4:4" x14ac:dyDescent="0.2">
      <c r="D2209" s="84"/>
    </row>
    <row r="2210" spans="4:4" x14ac:dyDescent="0.2">
      <c r="D2210" s="84"/>
    </row>
    <row r="2211" spans="4:4" x14ac:dyDescent="0.2">
      <c r="D2211" s="84"/>
    </row>
    <row r="2212" spans="4:4" x14ac:dyDescent="0.2">
      <c r="D2212" s="84"/>
    </row>
    <row r="2213" spans="4:4" x14ac:dyDescent="0.2">
      <c r="D2213" s="84"/>
    </row>
    <row r="2214" spans="4:4" x14ac:dyDescent="0.2">
      <c r="D2214" s="84"/>
    </row>
    <row r="2215" spans="4:4" x14ac:dyDescent="0.2">
      <c r="D2215" s="84"/>
    </row>
    <row r="2216" spans="4:4" x14ac:dyDescent="0.2">
      <c r="D2216" s="84"/>
    </row>
    <row r="2217" spans="4:4" x14ac:dyDescent="0.2">
      <c r="D2217" s="84"/>
    </row>
    <row r="2218" spans="4:4" x14ac:dyDescent="0.2">
      <c r="D2218" s="84"/>
    </row>
    <row r="2219" spans="4:4" x14ac:dyDescent="0.2">
      <c r="D2219" s="84"/>
    </row>
    <row r="2220" spans="4:4" x14ac:dyDescent="0.2">
      <c r="D2220" s="84"/>
    </row>
    <row r="2221" spans="4:4" x14ac:dyDescent="0.2">
      <c r="D2221" s="84"/>
    </row>
    <row r="2222" spans="4:4" x14ac:dyDescent="0.2">
      <c r="D2222" s="84"/>
    </row>
    <row r="2223" spans="4:4" x14ac:dyDescent="0.2">
      <c r="D2223" s="84"/>
    </row>
    <row r="2224" spans="4:4" x14ac:dyDescent="0.2">
      <c r="D2224" s="84"/>
    </row>
    <row r="2225" spans="4:4" x14ac:dyDescent="0.2">
      <c r="D2225" s="84"/>
    </row>
    <row r="2226" spans="4:4" x14ac:dyDescent="0.2">
      <c r="D2226" s="84"/>
    </row>
    <row r="2227" spans="4:4" x14ac:dyDescent="0.2">
      <c r="D2227" s="84"/>
    </row>
    <row r="2228" spans="4:4" x14ac:dyDescent="0.2">
      <c r="D2228" s="84"/>
    </row>
    <row r="2229" spans="4:4" x14ac:dyDescent="0.2">
      <c r="D2229" s="84"/>
    </row>
    <row r="2230" spans="4:4" x14ac:dyDescent="0.2">
      <c r="D2230" s="84"/>
    </row>
    <row r="2231" spans="4:4" x14ac:dyDescent="0.2">
      <c r="D2231" s="84"/>
    </row>
    <row r="2232" spans="4:4" x14ac:dyDescent="0.2">
      <c r="D2232" s="84"/>
    </row>
    <row r="2233" spans="4:4" x14ac:dyDescent="0.2">
      <c r="D2233" s="84"/>
    </row>
    <row r="2234" spans="4:4" x14ac:dyDescent="0.2">
      <c r="D2234" s="84"/>
    </row>
    <row r="2235" spans="4:4" x14ac:dyDescent="0.2">
      <c r="D2235" s="84"/>
    </row>
    <row r="2236" spans="4:4" x14ac:dyDescent="0.2">
      <c r="D2236" s="84"/>
    </row>
    <row r="2237" spans="4:4" x14ac:dyDescent="0.2">
      <c r="D2237" s="84"/>
    </row>
    <row r="2238" spans="4:4" x14ac:dyDescent="0.2">
      <c r="D2238" s="84"/>
    </row>
    <row r="2239" spans="4:4" x14ac:dyDescent="0.2">
      <c r="D2239" s="84"/>
    </row>
    <row r="2240" spans="4:4" x14ac:dyDescent="0.2">
      <c r="D2240" s="84"/>
    </row>
    <row r="2241" spans="4:4" x14ac:dyDescent="0.2">
      <c r="D2241" s="84"/>
    </row>
    <row r="2242" spans="4:4" x14ac:dyDescent="0.2">
      <c r="D2242" s="84"/>
    </row>
    <row r="2243" spans="4:4" x14ac:dyDescent="0.2">
      <c r="D2243" s="84"/>
    </row>
    <row r="2244" spans="4:4" x14ac:dyDescent="0.2">
      <c r="D2244" s="84"/>
    </row>
    <row r="2245" spans="4:4" x14ac:dyDescent="0.2">
      <c r="D2245" s="84"/>
    </row>
    <row r="2246" spans="4:4" x14ac:dyDescent="0.2">
      <c r="D2246" s="84"/>
    </row>
    <row r="2247" spans="4:4" x14ac:dyDescent="0.2">
      <c r="D2247" s="84"/>
    </row>
    <row r="2248" spans="4:4" x14ac:dyDescent="0.2">
      <c r="D2248" s="84"/>
    </row>
    <row r="2249" spans="4:4" x14ac:dyDescent="0.2">
      <c r="D2249" s="84"/>
    </row>
    <row r="2250" spans="4:4" x14ac:dyDescent="0.2">
      <c r="D2250" s="84"/>
    </row>
    <row r="2251" spans="4:4" x14ac:dyDescent="0.2">
      <c r="D2251" s="84"/>
    </row>
    <row r="2252" spans="4:4" x14ac:dyDescent="0.2">
      <c r="D2252" s="84"/>
    </row>
    <row r="2253" spans="4:4" x14ac:dyDescent="0.2">
      <c r="D2253" s="84"/>
    </row>
    <row r="2254" spans="4:4" x14ac:dyDescent="0.2">
      <c r="D2254" s="84"/>
    </row>
    <row r="2255" spans="4:4" x14ac:dyDescent="0.2">
      <c r="D2255" s="84"/>
    </row>
    <row r="2256" spans="4:4" x14ac:dyDescent="0.2">
      <c r="D2256" s="84"/>
    </row>
    <row r="2257" spans="4:4" x14ac:dyDescent="0.2">
      <c r="D2257" s="84"/>
    </row>
    <row r="2258" spans="4:4" x14ac:dyDescent="0.2">
      <c r="D2258" s="84"/>
    </row>
    <row r="2259" spans="4:4" x14ac:dyDescent="0.2">
      <c r="D2259" s="84"/>
    </row>
    <row r="2260" spans="4:4" x14ac:dyDescent="0.2">
      <c r="D2260" s="84"/>
    </row>
    <row r="2261" spans="4:4" x14ac:dyDescent="0.2">
      <c r="D2261" s="84"/>
    </row>
    <row r="2262" spans="4:4" x14ac:dyDescent="0.2">
      <c r="D2262" s="84"/>
    </row>
    <row r="2263" spans="4:4" x14ac:dyDescent="0.2">
      <c r="D2263" s="84"/>
    </row>
    <row r="2264" spans="4:4" x14ac:dyDescent="0.2">
      <c r="D2264" s="84"/>
    </row>
    <row r="2265" spans="4:4" x14ac:dyDescent="0.2">
      <c r="D2265" s="84"/>
    </row>
    <row r="2266" spans="4:4" x14ac:dyDescent="0.2">
      <c r="D2266" s="84"/>
    </row>
    <row r="2267" spans="4:4" x14ac:dyDescent="0.2">
      <c r="D2267" s="84"/>
    </row>
    <row r="2268" spans="4:4" x14ac:dyDescent="0.2">
      <c r="D2268" s="84"/>
    </row>
    <row r="2269" spans="4:4" x14ac:dyDescent="0.2">
      <c r="D2269" s="84"/>
    </row>
    <row r="2270" spans="4:4" x14ac:dyDescent="0.2">
      <c r="D2270" s="84"/>
    </row>
    <row r="2271" spans="4:4" x14ac:dyDescent="0.2">
      <c r="D2271" s="84"/>
    </row>
    <row r="2272" spans="4:4" x14ac:dyDescent="0.2">
      <c r="D2272" s="84"/>
    </row>
    <row r="2273" spans="4:4" x14ac:dyDescent="0.2">
      <c r="D2273" s="84"/>
    </row>
    <row r="2274" spans="4:4" x14ac:dyDescent="0.2">
      <c r="D2274" s="84"/>
    </row>
    <row r="2275" spans="4:4" x14ac:dyDescent="0.2">
      <c r="D2275" s="84"/>
    </row>
    <row r="2276" spans="4:4" x14ac:dyDescent="0.2">
      <c r="D2276" s="84"/>
    </row>
    <row r="2277" spans="4:4" x14ac:dyDescent="0.2">
      <c r="D2277" s="84"/>
    </row>
    <row r="2278" spans="4:4" x14ac:dyDescent="0.2">
      <c r="D2278" s="84"/>
    </row>
    <row r="2279" spans="4:4" x14ac:dyDescent="0.2">
      <c r="D2279" s="84"/>
    </row>
    <row r="2280" spans="4:4" x14ac:dyDescent="0.2">
      <c r="D2280" s="84"/>
    </row>
    <row r="2281" spans="4:4" x14ac:dyDescent="0.2">
      <c r="D2281" s="84"/>
    </row>
    <row r="2282" spans="4:4" x14ac:dyDescent="0.2">
      <c r="D2282" s="84"/>
    </row>
    <row r="2283" spans="4:4" x14ac:dyDescent="0.2">
      <c r="D2283" s="84"/>
    </row>
    <row r="2284" spans="4:4" x14ac:dyDescent="0.2">
      <c r="D2284" s="84"/>
    </row>
    <row r="2285" spans="4:4" x14ac:dyDescent="0.2">
      <c r="D2285" s="84"/>
    </row>
    <row r="2286" spans="4:4" x14ac:dyDescent="0.2">
      <c r="D2286" s="84"/>
    </row>
    <row r="2287" spans="4:4" x14ac:dyDescent="0.2">
      <c r="D2287" s="84"/>
    </row>
    <row r="2288" spans="4:4" x14ac:dyDescent="0.2">
      <c r="D2288" s="84"/>
    </row>
    <row r="2289" spans="4:4" x14ac:dyDescent="0.2">
      <c r="D2289" s="84"/>
    </row>
    <row r="2290" spans="4:4" x14ac:dyDescent="0.2">
      <c r="D2290" s="84"/>
    </row>
    <row r="2291" spans="4:4" x14ac:dyDescent="0.2">
      <c r="D2291" s="84"/>
    </row>
    <row r="2292" spans="4:4" x14ac:dyDescent="0.2">
      <c r="D2292" s="84"/>
    </row>
    <row r="2293" spans="4:4" x14ac:dyDescent="0.2">
      <c r="D2293" s="84"/>
    </row>
    <row r="2294" spans="4:4" x14ac:dyDescent="0.2">
      <c r="D2294" s="84"/>
    </row>
    <row r="2295" spans="4:4" x14ac:dyDescent="0.2">
      <c r="D2295" s="84"/>
    </row>
    <row r="2296" spans="4:4" x14ac:dyDescent="0.2">
      <c r="D2296" s="84"/>
    </row>
    <row r="2297" spans="4:4" x14ac:dyDescent="0.2">
      <c r="D2297" s="84"/>
    </row>
    <row r="2298" spans="4:4" x14ac:dyDescent="0.2">
      <c r="D2298" s="84"/>
    </row>
    <row r="2299" spans="4:4" x14ac:dyDescent="0.2">
      <c r="D2299" s="84"/>
    </row>
    <row r="2300" spans="4:4" x14ac:dyDescent="0.2">
      <c r="D2300" s="84"/>
    </row>
    <row r="2301" spans="4:4" x14ac:dyDescent="0.2">
      <c r="D2301" s="84"/>
    </row>
    <row r="2302" spans="4:4" x14ac:dyDescent="0.2">
      <c r="D2302" s="84"/>
    </row>
    <row r="2303" spans="4:4" x14ac:dyDescent="0.2">
      <c r="D2303" s="84"/>
    </row>
    <row r="2304" spans="4:4" x14ac:dyDescent="0.2">
      <c r="D2304" s="84"/>
    </row>
    <row r="2305" spans="4:4" x14ac:dyDescent="0.2">
      <c r="D2305" s="84"/>
    </row>
    <row r="2306" spans="4:4" x14ac:dyDescent="0.2">
      <c r="D2306" s="84"/>
    </row>
    <row r="2307" spans="4:4" x14ac:dyDescent="0.2">
      <c r="D2307" s="84"/>
    </row>
    <row r="2308" spans="4:4" x14ac:dyDescent="0.2">
      <c r="D2308" s="84"/>
    </row>
    <row r="2309" spans="4:4" x14ac:dyDescent="0.2">
      <c r="D2309" s="84"/>
    </row>
    <row r="2310" spans="4:4" x14ac:dyDescent="0.2">
      <c r="D2310" s="84"/>
    </row>
    <row r="2311" spans="4:4" x14ac:dyDescent="0.2">
      <c r="D2311" s="84"/>
    </row>
    <row r="2312" spans="4:4" x14ac:dyDescent="0.2">
      <c r="D2312" s="84"/>
    </row>
    <row r="2313" spans="4:4" x14ac:dyDescent="0.2">
      <c r="D2313" s="84"/>
    </row>
    <row r="2314" spans="4:4" x14ac:dyDescent="0.2">
      <c r="D2314" s="84"/>
    </row>
    <row r="2315" spans="4:4" x14ac:dyDescent="0.2">
      <c r="D2315" s="84"/>
    </row>
    <row r="2316" spans="4:4" x14ac:dyDescent="0.2">
      <c r="D2316" s="84"/>
    </row>
    <row r="2317" spans="4:4" x14ac:dyDescent="0.2">
      <c r="D2317" s="84"/>
    </row>
    <row r="2318" spans="4:4" x14ac:dyDescent="0.2">
      <c r="D2318" s="84"/>
    </row>
    <row r="2319" spans="4:4" x14ac:dyDescent="0.2">
      <c r="D2319" s="84"/>
    </row>
    <row r="2320" spans="4:4" x14ac:dyDescent="0.2">
      <c r="D2320" s="84"/>
    </row>
    <row r="2321" spans="4:4" x14ac:dyDescent="0.2">
      <c r="D2321" s="84"/>
    </row>
    <row r="2322" spans="4:4" x14ac:dyDescent="0.2">
      <c r="D2322" s="84"/>
    </row>
    <row r="2323" spans="4:4" x14ac:dyDescent="0.2">
      <c r="D2323" s="84"/>
    </row>
    <row r="2324" spans="4:4" x14ac:dyDescent="0.2">
      <c r="D2324" s="84"/>
    </row>
    <row r="2325" spans="4:4" x14ac:dyDescent="0.2">
      <c r="D2325" s="84"/>
    </row>
    <row r="2326" spans="4:4" x14ac:dyDescent="0.2">
      <c r="D2326" s="84"/>
    </row>
    <row r="2327" spans="4:4" x14ac:dyDescent="0.2">
      <c r="D2327" s="84"/>
    </row>
    <row r="2328" spans="4:4" x14ac:dyDescent="0.2">
      <c r="D2328" s="84"/>
    </row>
    <row r="2329" spans="4:4" x14ac:dyDescent="0.2">
      <c r="D2329" s="84"/>
    </row>
    <row r="2330" spans="4:4" x14ac:dyDescent="0.2">
      <c r="D2330" s="84"/>
    </row>
    <row r="2331" spans="4:4" x14ac:dyDescent="0.2">
      <c r="D2331" s="84"/>
    </row>
    <row r="2332" spans="4:4" x14ac:dyDescent="0.2">
      <c r="D2332" s="84"/>
    </row>
    <row r="2333" spans="4:4" x14ac:dyDescent="0.2">
      <c r="D2333" s="84"/>
    </row>
    <row r="2334" spans="4:4" x14ac:dyDescent="0.2">
      <c r="D2334" s="84"/>
    </row>
    <row r="2335" spans="4:4" x14ac:dyDescent="0.2">
      <c r="D2335" s="84"/>
    </row>
    <row r="2336" spans="4:4" x14ac:dyDescent="0.2">
      <c r="D2336" s="84"/>
    </row>
    <row r="2337" spans="4:4" x14ac:dyDescent="0.2">
      <c r="D2337" s="84"/>
    </row>
    <row r="2338" spans="4:4" x14ac:dyDescent="0.2">
      <c r="D2338" s="84"/>
    </row>
    <row r="2339" spans="4:4" x14ac:dyDescent="0.2">
      <c r="D2339" s="84"/>
    </row>
    <row r="2340" spans="4:4" x14ac:dyDescent="0.2">
      <c r="D2340" s="84"/>
    </row>
    <row r="2341" spans="4:4" x14ac:dyDescent="0.2">
      <c r="D2341" s="84"/>
    </row>
    <row r="2342" spans="4:4" x14ac:dyDescent="0.2">
      <c r="D2342" s="84"/>
    </row>
    <row r="2343" spans="4:4" x14ac:dyDescent="0.2">
      <c r="D2343" s="84"/>
    </row>
    <row r="2344" spans="4:4" x14ac:dyDescent="0.2">
      <c r="D2344" s="84"/>
    </row>
    <row r="2345" spans="4:4" x14ac:dyDescent="0.2">
      <c r="D2345" s="84"/>
    </row>
    <row r="2346" spans="4:4" x14ac:dyDescent="0.2">
      <c r="D2346" s="84"/>
    </row>
    <row r="2347" spans="4:4" x14ac:dyDescent="0.2">
      <c r="D2347" s="84"/>
    </row>
    <row r="2348" spans="4:4" x14ac:dyDescent="0.2">
      <c r="D2348" s="84"/>
    </row>
    <row r="2349" spans="4:4" x14ac:dyDescent="0.2">
      <c r="D2349" s="84"/>
    </row>
    <row r="2350" spans="4:4" x14ac:dyDescent="0.2">
      <c r="D2350" s="84"/>
    </row>
    <row r="2351" spans="4:4" x14ac:dyDescent="0.2">
      <c r="D2351" s="84"/>
    </row>
    <row r="2352" spans="4:4" x14ac:dyDescent="0.2">
      <c r="D2352" s="84"/>
    </row>
    <row r="2353" spans="4:4" x14ac:dyDescent="0.2">
      <c r="D2353" s="84"/>
    </row>
    <row r="2354" spans="4:4" x14ac:dyDescent="0.2">
      <c r="D2354" s="84"/>
    </row>
    <row r="2355" spans="4:4" x14ac:dyDescent="0.2">
      <c r="D2355" s="84"/>
    </row>
    <row r="2356" spans="4:4" x14ac:dyDescent="0.2">
      <c r="D2356" s="84"/>
    </row>
    <row r="2357" spans="4:4" x14ac:dyDescent="0.2">
      <c r="D2357" s="84"/>
    </row>
    <row r="2358" spans="4:4" x14ac:dyDescent="0.2">
      <c r="D2358" s="84"/>
    </row>
    <row r="2359" spans="4:4" x14ac:dyDescent="0.2">
      <c r="D2359" s="84"/>
    </row>
    <row r="2360" spans="4:4" x14ac:dyDescent="0.2">
      <c r="D2360" s="84"/>
    </row>
    <row r="2361" spans="4:4" x14ac:dyDescent="0.2">
      <c r="D2361" s="84"/>
    </row>
    <row r="2362" spans="4:4" x14ac:dyDescent="0.2">
      <c r="D2362" s="84"/>
    </row>
    <row r="2363" spans="4:4" x14ac:dyDescent="0.2">
      <c r="D2363" s="84"/>
    </row>
    <row r="2364" spans="4:4" x14ac:dyDescent="0.2">
      <c r="D2364" s="84"/>
    </row>
    <row r="2365" spans="4:4" x14ac:dyDescent="0.2">
      <c r="D2365" s="84"/>
    </row>
    <row r="2366" spans="4:4" x14ac:dyDescent="0.2">
      <c r="D2366" s="84"/>
    </row>
    <row r="2367" spans="4:4" x14ac:dyDescent="0.2">
      <c r="D2367" s="84"/>
    </row>
    <row r="2368" spans="4:4" x14ac:dyDescent="0.2">
      <c r="D2368" s="84"/>
    </row>
    <row r="2369" spans="4:4" x14ac:dyDescent="0.2">
      <c r="D2369" s="84"/>
    </row>
    <row r="2370" spans="4:4" x14ac:dyDescent="0.2">
      <c r="D2370" s="84"/>
    </row>
    <row r="2371" spans="4:4" x14ac:dyDescent="0.2">
      <c r="D2371" s="84"/>
    </row>
    <row r="2372" spans="4:4" x14ac:dyDescent="0.2">
      <c r="D2372" s="84"/>
    </row>
    <row r="2373" spans="4:4" x14ac:dyDescent="0.2">
      <c r="D2373" s="84"/>
    </row>
    <row r="2374" spans="4:4" x14ac:dyDescent="0.2">
      <c r="D2374" s="84"/>
    </row>
    <row r="2375" spans="4:4" x14ac:dyDescent="0.2">
      <c r="D2375" s="84"/>
    </row>
    <row r="2376" spans="4:4" x14ac:dyDescent="0.2">
      <c r="D2376" s="84"/>
    </row>
    <row r="2377" spans="4:4" x14ac:dyDescent="0.2">
      <c r="D2377" s="84"/>
    </row>
    <row r="2378" spans="4:4" x14ac:dyDescent="0.2">
      <c r="D2378" s="84"/>
    </row>
    <row r="2379" spans="4:4" x14ac:dyDescent="0.2">
      <c r="D2379" s="84"/>
    </row>
    <row r="2380" spans="4:4" x14ac:dyDescent="0.2">
      <c r="D2380" s="84"/>
    </row>
    <row r="2381" spans="4:4" x14ac:dyDescent="0.2">
      <c r="D2381" s="84"/>
    </row>
    <row r="2382" spans="4:4" x14ac:dyDescent="0.2">
      <c r="D2382" s="84"/>
    </row>
    <row r="2383" spans="4:4" x14ac:dyDescent="0.2">
      <c r="D2383" s="84"/>
    </row>
    <row r="2384" spans="4:4" x14ac:dyDescent="0.2">
      <c r="D2384" s="84"/>
    </row>
    <row r="2385" spans="4:4" x14ac:dyDescent="0.2">
      <c r="D2385" s="84"/>
    </row>
    <row r="2386" spans="4:4" x14ac:dyDescent="0.2">
      <c r="D2386" s="84"/>
    </row>
    <row r="2387" spans="4:4" x14ac:dyDescent="0.2">
      <c r="D2387" s="84"/>
    </row>
    <row r="2388" spans="4:4" x14ac:dyDescent="0.2">
      <c r="D2388" s="84"/>
    </row>
    <row r="2389" spans="4:4" x14ac:dyDescent="0.2">
      <c r="D2389" s="84"/>
    </row>
    <row r="2390" spans="4:4" x14ac:dyDescent="0.2">
      <c r="D2390" s="84"/>
    </row>
    <row r="2391" spans="4:4" x14ac:dyDescent="0.2">
      <c r="D2391" s="84"/>
    </row>
    <row r="2392" spans="4:4" x14ac:dyDescent="0.2">
      <c r="D2392" s="84"/>
    </row>
    <row r="2393" spans="4:4" x14ac:dyDescent="0.2">
      <c r="D2393" s="84"/>
    </row>
    <row r="2394" spans="4:4" x14ac:dyDescent="0.2">
      <c r="D2394" s="84"/>
    </row>
    <row r="2395" spans="4:4" x14ac:dyDescent="0.2">
      <c r="D2395" s="84"/>
    </row>
    <row r="2396" spans="4:4" x14ac:dyDescent="0.2">
      <c r="D2396" s="84"/>
    </row>
    <row r="2397" spans="4:4" x14ac:dyDescent="0.2">
      <c r="D2397" s="84"/>
    </row>
    <row r="2398" spans="4:4" x14ac:dyDescent="0.2">
      <c r="D2398" s="84"/>
    </row>
    <row r="2399" spans="4:4" x14ac:dyDescent="0.2">
      <c r="D2399" s="84"/>
    </row>
    <row r="2400" spans="4:4" x14ac:dyDescent="0.2">
      <c r="D2400" s="84"/>
    </row>
    <row r="2401" spans="4:4" x14ac:dyDescent="0.2">
      <c r="D2401" s="84"/>
    </row>
    <row r="2402" spans="4:4" x14ac:dyDescent="0.2">
      <c r="D2402" s="84"/>
    </row>
    <row r="2403" spans="4:4" x14ac:dyDescent="0.2">
      <c r="D2403" s="84"/>
    </row>
    <row r="2404" spans="4:4" x14ac:dyDescent="0.2">
      <c r="D2404" s="84"/>
    </row>
    <row r="2405" spans="4:4" x14ac:dyDescent="0.2">
      <c r="D2405" s="84"/>
    </row>
    <row r="2406" spans="4:4" x14ac:dyDescent="0.2">
      <c r="D2406" s="84"/>
    </row>
    <row r="2407" spans="4:4" x14ac:dyDescent="0.2">
      <c r="D2407" s="84"/>
    </row>
    <row r="2408" spans="4:4" x14ac:dyDescent="0.2">
      <c r="D2408" s="84"/>
    </row>
    <row r="2409" spans="4:4" x14ac:dyDescent="0.2">
      <c r="D2409" s="84"/>
    </row>
    <row r="2410" spans="4:4" x14ac:dyDescent="0.2">
      <c r="D2410" s="84"/>
    </row>
    <row r="2411" spans="4:4" x14ac:dyDescent="0.2">
      <c r="D2411" s="84"/>
    </row>
    <row r="2412" spans="4:4" x14ac:dyDescent="0.2">
      <c r="D2412" s="84"/>
    </row>
    <row r="2413" spans="4:4" x14ac:dyDescent="0.2">
      <c r="D2413" s="84"/>
    </row>
    <row r="2414" spans="4:4" x14ac:dyDescent="0.2">
      <c r="D2414" s="84"/>
    </row>
    <row r="2415" spans="4:4" x14ac:dyDescent="0.2">
      <c r="D2415" s="84"/>
    </row>
    <row r="2416" spans="4:4" x14ac:dyDescent="0.2">
      <c r="D2416" s="84"/>
    </row>
    <row r="2417" spans="4:4" x14ac:dyDescent="0.2">
      <c r="D2417" s="84"/>
    </row>
    <row r="2418" spans="4:4" x14ac:dyDescent="0.2">
      <c r="D2418" s="84"/>
    </row>
    <row r="2419" spans="4:4" x14ac:dyDescent="0.2">
      <c r="D2419" s="84"/>
    </row>
    <row r="2420" spans="4:4" x14ac:dyDescent="0.2">
      <c r="D2420" s="84"/>
    </row>
    <row r="2421" spans="4:4" x14ac:dyDescent="0.2">
      <c r="D2421" s="84"/>
    </row>
    <row r="2422" spans="4:4" x14ac:dyDescent="0.2">
      <c r="D2422" s="84"/>
    </row>
    <row r="2423" spans="4:4" x14ac:dyDescent="0.2">
      <c r="D2423" s="84"/>
    </row>
    <row r="2424" spans="4:4" x14ac:dyDescent="0.2">
      <c r="D2424" s="84"/>
    </row>
    <row r="2425" spans="4:4" x14ac:dyDescent="0.2">
      <c r="D2425" s="84"/>
    </row>
    <row r="2426" spans="4:4" x14ac:dyDescent="0.2">
      <c r="D2426" s="84"/>
    </row>
    <row r="2427" spans="4:4" x14ac:dyDescent="0.2">
      <c r="D2427" s="84"/>
    </row>
    <row r="2428" spans="4:4" x14ac:dyDescent="0.2">
      <c r="D2428" s="84"/>
    </row>
    <row r="2429" spans="4:4" x14ac:dyDescent="0.2">
      <c r="D2429" s="84"/>
    </row>
    <row r="2430" spans="4:4" x14ac:dyDescent="0.2">
      <c r="D2430" s="84"/>
    </row>
    <row r="2431" spans="4:4" x14ac:dyDescent="0.2">
      <c r="D2431" s="84"/>
    </row>
    <row r="2432" spans="4:4" x14ac:dyDescent="0.2">
      <c r="D2432" s="84"/>
    </row>
    <row r="2433" spans="4:4" x14ac:dyDescent="0.2">
      <c r="D2433" s="84"/>
    </row>
    <row r="2434" spans="4:4" x14ac:dyDescent="0.2">
      <c r="D2434" s="84"/>
    </row>
    <row r="2435" spans="4:4" x14ac:dyDescent="0.2">
      <c r="D2435" s="84"/>
    </row>
    <row r="2436" spans="4:4" x14ac:dyDescent="0.2">
      <c r="D2436" s="84"/>
    </row>
    <row r="2437" spans="4:4" x14ac:dyDescent="0.2">
      <c r="D2437" s="84"/>
    </row>
    <row r="2438" spans="4:4" x14ac:dyDescent="0.2">
      <c r="D2438" s="84"/>
    </row>
    <row r="2439" spans="4:4" x14ac:dyDescent="0.2">
      <c r="D2439" s="84"/>
    </row>
    <row r="2440" spans="4:4" x14ac:dyDescent="0.2">
      <c r="D2440" s="84"/>
    </row>
    <row r="2441" spans="4:4" x14ac:dyDescent="0.2">
      <c r="D2441" s="84"/>
    </row>
    <row r="2442" spans="4:4" x14ac:dyDescent="0.2">
      <c r="D2442" s="84"/>
    </row>
    <row r="2443" spans="4:4" x14ac:dyDescent="0.2">
      <c r="D2443" s="84"/>
    </row>
    <row r="2444" spans="4:4" x14ac:dyDescent="0.2">
      <c r="D2444" s="84"/>
    </row>
    <row r="2445" spans="4:4" x14ac:dyDescent="0.2">
      <c r="D2445" s="84"/>
    </row>
    <row r="2446" spans="4:4" x14ac:dyDescent="0.2">
      <c r="D2446" s="84"/>
    </row>
    <row r="2447" spans="4:4" x14ac:dyDescent="0.2">
      <c r="D2447" s="84"/>
    </row>
    <row r="2448" spans="4:4" x14ac:dyDescent="0.2">
      <c r="D2448" s="84"/>
    </row>
    <row r="2449" spans="4:4" x14ac:dyDescent="0.2">
      <c r="D2449" s="84"/>
    </row>
    <row r="2450" spans="4:4" x14ac:dyDescent="0.2">
      <c r="D2450" s="84"/>
    </row>
    <row r="2451" spans="4:4" x14ac:dyDescent="0.2">
      <c r="D2451" s="84"/>
    </row>
    <row r="2452" spans="4:4" x14ac:dyDescent="0.2">
      <c r="D2452" s="84"/>
    </row>
    <row r="2453" spans="4:4" x14ac:dyDescent="0.2">
      <c r="D2453" s="84"/>
    </row>
    <row r="2454" spans="4:4" x14ac:dyDescent="0.2">
      <c r="D2454" s="84"/>
    </row>
    <row r="2455" spans="4:4" x14ac:dyDescent="0.2">
      <c r="D2455" s="84"/>
    </row>
    <row r="2456" spans="4:4" x14ac:dyDescent="0.2">
      <c r="D2456" s="84"/>
    </row>
    <row r="2457" spans="4:4" x14ac:dyDescent="0.2">
      <c r="D2457" s="84"/>
    </row>
    <row r="2458" spans="4:4" x14ac:dyDescent="0.2">
      <c r="D2458" s="84"/>
    </row>
    <row r="2459" spans="4:4" x14ac:dyDescent="0.2">
      <c r="D2459" s="84"/>
    </row>
    <row r="2460" spans="4:4" x14ac:dyDescent="0.2">
      <c r="D2460" s="84"/>
    </row>
    <row r="2461" spans="4:4" x14ac:dyDescent="0.2">
      <c r="D2461" s="84"/>
    </row>
    <row r="2462" spans="4:4" x14ac:dyDescent="0.2">
      <c r="D2462" s="84"/>
    </row>
    <row r="2463" spans="4:4" x14ac:dyDescent="0.2">
      <c r="D2463" s="84"/>
    </row>
    <row r="2464" spans="4:4" x14ac:dyDescent="0.2">
      <c r="D2464" s="84"/>
    </row>
    <row r="2465" spans="4:4" x14ac:dyDescent="0.2">
      <c r="D2465" s="84"/>
    </row>
    <row r="2466" spans="4:4" x14ac:dyDescent="0.2">
      <c r="D2466" s="84"/>
    </row>
    <row r="2467" spans="4:4" x14ac:dyDescent="0.2">
      <c r="D2467" s="84"/>
    </row>
    <row r="2468" spans="4:4" x14ac:dyDescent="0.2">
      <c r="D2468" s="84"/>
    </row>
    <row r="2469" spans="4:4" x14ac:dyDescent="0.2">
      <c r="D2469" s="84"/>
    </row>
    <row r="2470" spans="4:4" x14ac:dyDescent="0.2">
      <c r="D2470" s="84"/>
    </row>
    <row r="2471" spans="4:4" x14ac:dyDescent="0.2">
      <c r="D2471" s="84"/>
    </row>
    <row r="2472" spans="4:4" x14ac:dyDescent="0.2">
      <c r="D2472" s="84"/>
    </row>
    <row r="2473" spans="4:4" x14ac:dyDescent="0.2">
      <c r="D2473" s="84"/>
    </row>
    <row r="2474" spans="4:4" x14ac:dyDescent="0.2">
      <c r="D2474" s="84"/>
    </row>
    <row r="2475" spans="4:4" x14ac:dyDescent="0.2">
      <c r="D2475" s="84"/>
    </row>
    <row r="2476" spans="4:4" x14ac:dyDescent="0.2">
      <c r="D2476" s="84"/>
    </row>
    <row r="2477" spans="4:4" x14ac:dyDescent="0.2">
      <c r="D2477" s="84"/>
    </row>
    <row r="2478" spans="4:4" x14ac:dyDescent="0.2">
      <c r="D2478" s="84"/>
    </row>
    <row r="2479" spans="4:4" x14ac:dyDescent="0.2">
      <c r="D2479" s="84"/>
    </row>
    <row r="2480" spans="4:4" x14ac:dyDescent="0.2">
      <c r="D2480" s="84"/>
    </row>
    <row r="2481" spans="4:4" x14ac:dyDescent="0.2">
      <c r="D2481" s="84"/>
    </row>
    <row r="2482" spans="4:4" x14ac:dyDescent="0.2">
      <c r="D2482" s="84"/>
    </row>
    <row r="2483" spans="4:4" x14ac:dyDescent="0.2">
      <c r="D2483" s="84"/>
    </row>
    <row r="2484" spans="4:4" x14ac:dyDescent="0.2">
      <c r="D2484" s="84"/>
    </row>
    <row r="2485" spans="4:4" x14ac:dyDescent="0.2">
      <c r="D2485" s="84"/>
    </row>
    <row r="2486" spans="4:4" x14ac:dyDescent="0.2">
      <c r="D2486" s="84"/>
    </row>
    <row r="2487" spans="4:4" x14ac:dyDescent="0.2">
      <c r="D2487" s="84"/>
    </row>
    <row r="2488" spans="4:4" x14ac:dyDescent="0.2">
      <c r="D2488" s="84"/>
    </row>
    <row r="2489" spans="4:4" x14ac:dyDescent="0.2">
      <c r="D2489" s="84"/>
    </row>
    <row r="2490" spans="4:4" x14ac:dyDescent="0.2">
      <c r="D2490" s="84"/>
    </row>
    <row r="2491" spans="4:4" x14ac:dyDescent="0.2">
      <c r="D2491" s="84"/>
    </row>
    <row r="2492" spans="4:4" x14ac:dyDescent="0.2">
      <c r="D2492" s="84"/>
    </row>
    <row r="2493" spans="4:4" x14ac:dyDescent="0.2">
      <c r="D2493" s="84"/>
    </row>
    <row r="2494" spans="4:4" x14ac:dyDescent="0.2">
      <c r="D2494" s="84"/>
    </row>
    <row r="2495" spans="4:4" x14ac:dyDescent="0.2">
      <c r="D2495" s="84"/>
    </row>
    <row r="2496" spans="4:4" x14ac:dyDescent="0.2">
      <c r="D2496" s="84"/>
    </row>
    <row r="2497" spans="4:4" x14ac:dyDescent="0.2">
      <c r="D2497" s="84"/>
    </row>
    <row r="2498" spans="4:4" x14ac:dyDescent="0.2">
      <c r="D2498" s="84"/>
    </row>
    <row r="2499" spans="4:4" x14ac:dyDescent="0.2">
      <c r="D2499" s="84"/>
    </row>
    <row r="2500" spans="4:4" x14ac:dyDescent="0.2">
      <c r="D2500" s="84"/>
    </row>
    <row r="2501" spans="4:4" x14ac:dyDescent="0.2">
      <c r="D2501" s="84"/>
    </row>
    <row r="2502" spans="4:4" x14ac:dyDescent="0.2">
      <c r="D2502" s="84"/>
    </row>
    <row r="2503" spans="4:4" x14ac:dyDescent="0.2">
      <c r="D2503" s="84"/>
    </row>
    <row r="2504" spans="4:4" x14ac:dyDescent="0.2">
      <c r="D2504" s="84"/>
    </row>
    <row r="2505" spans="4:4" x14ac:dyDescent="0.2">
      <c r="D2505" s="84"/>
    </row>
    <row r="2506" spans="4:4" x14ac:dyDescent="0.2">
      <c r="D2506" s="84"/>
    </row>
    <row r="2507" spans="4:4" x14ac:dyDescent="0.2">
      <c r="D2507" s="84"/>
    </row>
    <row r="2508" spans="4:4" x14ac:dyDescent="0.2">
      <c r="D2508" s="84"/>
    </row>
    <row r="2509" spans="4:4" x14ac:dyDescent="0.2">
      <c r="D2509" s="84"/>
    </row>
    <row r="2510" spans="4:4" x14ac:dyDescent="0.2">
      <c r="D2510" s="84"/>
    </row>
    <row r="2511" spans="4:4" x14ac:dyDescent="0.2">
      <c r="D2511" s="84"/>
    </row>
    <row r="2512" spans="4:4" x14ac:dyDescent="0.2">
      <c r="D2512" s="84"/>
    </row>
    <row r="2513" spans="4:4" x14ac:dyDescent="0.2">
      <c r="D2513" s="84"/>
    </row>
    <row r="2514" spans="4:4" x14ac:dyDescent="0.2">
      <c r="D2514" s="84"/>
    </row>
    <row r="2515" spans="4:4" x14ac:dyDescent="0.2">
      <c r="D2515" s="84"/>
    </row>
    <row r="2516" spans="4:4" x14ac:dyDescent="0.2">
      <c r="D2516" s="84"/>
    </row>
    <row r="2517" spans="4:4" x14ac:dyDescent="0.2">
      <c r="D2517" s="84"/>
    </row>
    <row r="2518" spans="4:4" x14ac:dyDescent="0.2">
      <c r="D2518" s="84"/>
    </row>
    <row r="2519" spans="4:4" x14ac:dyDescent="0.2">
      <c r="D2519" s="84"/>
    </row>
    <row r="2520" spans="4:4" x14ac:dyDescent="0.2">
      <c r="D2520" s="84"/>
    </row>
    <row r="2521" spans="4:4" x14ac:dyDescent="0.2">
      <c r="D2521" s="84"/>
    </row>
    <row r="2522" spans="4:4" x14ac:dyDescent="0.2">
      <c r="D2522" s="84"/>
    </row>
    <row r="2523" spans="4:4" x14ac:dyDescent="0.2">
      <c r="D2523" s="84"/>
    </row>
    <row r="2524" spans="4:4" x14ac:dyDescent="0.2">
      <c r="D2524" s="84"/>
    </row>
    <row r="2525" spans="4:4" x14ac:dyDescent="0.2">
      <c r="D2525" s="84"/>
    </row>
    <row r="2526" spans="4:4" x14ac:dyDescent="0.2">
      <c r="D2526" s="84"/>
    </row>
    <row r="2527" spans="4:4" x14ac:dyDescent="0.2">
      <c r="D2527" s="84"/>
    </row>
    <row r="2528" spans="4:4" x14ac:dyDescent="0.2">
      <c r="D2528" s="84"/>
    </row>
    <row r="2529" spans="4:4" x14ac:dyDescent="0.2">
      <c r="D2529" s="84"/>
    </row>
    <row r="2530" spans="4:4" x14ac:dyDescent="0.2">
      <c r="D2530" s="84"/>
    </row>
    <row r="2531" spans="4:4" x14ac:dyDescent="0.2">
      <c r="D2531" s="84"/>
    </row>
    <row r="2532" spans="4:4" x14ac:dyDescent="0.2">
      <c r="D2532" s="84"/>
    </row>
    <row r="2533" spans="4:4" x14ac:dyDescent="0.2">
      <c r="D2533" s="84"/>
    </row>
    <row r="2534" spans="4:4" x14ac:dyDescent="0.2">
      <c r="D2534" s="84"/>
    </row>
    <row r="2535" spans="4:4" x14ac:dyDescent="0.2">
      <c r="D2535" s="84"/>
    </row>
    <row r="2536" spans="4:4" x14ac:dyDescent="0.2">
      <c r="D2536" s="84"/>
    </row>
    <row r="2537" spans="4:4" x14ac:dyDescent="0.2">
      <c r="D2537" s="84"/>
    </row>
    <row r="2538" spans="4:4" x14ac:dyDescent="0.2">
      <c r="D2538" s="84"/>
    </row>
    <row r="2539" spans="4:4" x14ac:dyDescent="0.2">
      <c r="D2539" s="84"/>
    </row>
    <row r="2540" spans="4:4" x14ac:dyDescent="0.2">
      <c r="D2540" s="84"/>
    </row>
    <row r="2541" spans="4:4" x14ac:dyDescent="0.2">
      <c r="D2541" s="84"/>
    </row>
    <row r="2542" spans="4:4" x14ac:dyDescent="0.2">
      <c r="D2542" s="84"/>
    </row>
    <row r="2543" spans="4:4" x14ac:dyDescent="0.2">
      <c r="D2543" s="84"/>
    </row>
    <row r="2544" spans="4:4" x14ac:dyDescent="0.2">
      <c r="D2544" s="84"/>
    </row>
    <row r="2545" spans="4:4" x14ac:dyDescent="0.2">
      <c r="D2545" s="84"/>
    </row>
    <row r="2546" spans="4:4" x14ac:dyDescent="0.2">
      <c r="D2546" s="84"/>
    </row>
    <row r="2547" spans="4:4" x14ac:dyDescent="0.2">
      <c r="D2547" s="84"/>
    </row>
    <row r="2548" spans="4:4" x14ac:dyDescent="0.2">
      <c r="D2548" s="84"/>
    </row>
    <row r="2549" spans="4:4" x14ac:dyDescent="0.2">
      <c r="D2549" s="84"/>
    </row>
    <row r="2550" spans="4:4" x14ac:dyDescent="0.2">
      <c r="D2550" s="84"/>
    </row>
    <row r="2551" spans="4:4" x14ac:dyDescent="0.2">
      <c r="D2551" s="84"/>
    </row>
    <row r="2552" spans="4:4" x14ac:dyDescent="0.2">
      <c r="D2552" s="84"/>
    </row>
    <row r="2553" spans="4:4" x14ac:dyDescent="0.2">
      <c r="D2553" s="84"/>
    </row>
    <row r="2554" spans="4:4" x14ac:dyDescent="0.2">
      <c r="D2554" s="84"/>
    </row>
    <row r="2555" spans="4:4" x14ac:dyDescent="0.2">
      <c r="D2555" s="84"/>
    </row>
    <row r="2556" spans="4:4" x14ac:dyDescent="0.2">
      <c r="D2556" s="84"/>
    </row>
    <row r="2557" spans="4:4" x14ac:dyDescent="0.2">
      <c r="D2557" s="84"/>
    </row>
    <row r="2558" spans="4:4" x14ac:dyDescent="0.2">
      <c r="D2558" s="84"/>
    </row>
    <row r="2559" spans="4:4" x14ac:dyDescent="0.2">
      <c r="D2559" s="84"/>
    </row>
    <row r="2560" spans="4:4" x14ac:dyDescent="0.2">
      <c r="D2560" s="84"/>
    </row>
    <row r="2561" spans="4:4" x14ac:dyDescent="0.2">
      <c r="D2561" s="84"/>
    </row>
    <row r="2562" spans="4:4" x14ac:dyDescent="0.2">
      <c r="D2562" s="84"/>
    </row>
    <row r="2563" spans="4:4" x14ac:dyDescent="0.2">
      <c r="D2563" s="84"/>
    </row>
    <row r="2564" spans="4:4" x14ac:dyDescent="0.2">
      <c r="D2564" s="84"/>
    </row>
    <row r="2565" spans="4:4" x14ac:dyDescent="0.2">
      <c r="D2565" s="84"/>
    </row>
    <row r="2566" spans="4:4" x14ac:dyDescent="0.2">
      <c r="D2566" s="84"/>
    </row>
    <row r="2567" spans="4:4" x14ac:dyDescent="0.2">
      <c r="D2567" s="84"/>
    </row>
    <row r="2568" spans="4:4" x14ac:dyDescent="0.2">
      <c r="D2568" s="84"/>
    </row>
    <row r="2569" spans="4:4" x14ac:dyDescent="0.2">
      <c r="D2569" s="84"/>
    </row>
    <row r="2570" spans="4:4" x14ac:dyDescent="0.2">
      <c r="D2570" s="84"/>
    </row>
    <row r="2571" spans="4:4" x14ac:dyDescent="0.2">
      <c r="D2571" s="84"/>
    </row>
    <row r="2572" spans="4:4" x14ac:dyDescent="0.2">
      <c r="D2572" s="84"/>
    </row>
    <row r="2573" spans="4:4" x14ac:dyDescent="0.2">
      <c r="D2573" s="84"/>
    </row>
    <row r="2574" spans="4:4" x14ac:dyDescent="0.2">
      <c r="D2574" s="84"/>
    </row>
    <row r="2575" spans="4:4" x14ac:dyDescent="0.2">
      <c r="D2575" s="84"/>
    </row>
    <row r="2576" spans="4:4" x14ac:dyDescent="0.2">
      <c r="D2576" s="84"/>
    </row>
    <row r="2577" spans="4:4" x14ac:dyDescent="0.2">
      <c r="D2577" s="84"/>
    </row>
    <row r="2578" spans="4:4" x14ac:dyDescent="0.2">
      <c r="D2578" s="84"/>
    </row>
    <row r="2579" spans="4:4" x14ac:dyDescent="0.2">
      <c r="D2579" s="84"/>
    </row>
    <row r="2580" spans="4:4" x14ac:dyDescent="0.2">
      <c r="D2580" s="84"/>
    </row>
    <row r="2581" spans="4:4" x14ac:dyDescent="0.2">
      <c r="D2581" s="84"/>
    </row>
    <row r="2582" spans="4:4" x14ac:dyDescent="0.2">
      <c r="D2582" s="84"/>
    </row>
    <row r="2583" spans="4:4" x14ac:dyDescent="0.2">
      <c r="D2583" s="84"/>
    </row>
    <row r="2584" spans="4:4" x14ac:dyDescent="0.2">
      <c r="D2584" s="84"/>
    </row>
    <row r="2585" spans="4:4" x14ac:dyDescent="0.2">
      <c r="D2585" s="84"/>
    </row>
    <row r="2586" spans="4:4" x14ac:dyDescent="0.2">
      <c r="D2586" s="84"/>
    </row>
    <row r="2587" spans="4:4" x14ac:dyDescent="0.2">
      <c r="D2587" s="84"/>
    </row>
    <row r="2588" spans="4:4" x14ac:dyDescent="0.2">
      <c r="D2588" s="84"/>
    </row>
    <row r="2589" spans="4:4" x14ac:dyDescent="0.2">
      <c r="D2589" s="84"/>
    </row>
    <row r="2590" spans="4:4" x14ac:dyDescent="0.2">
      <c r="D2590" s="84"/>
    </row>
    <row r="2591" spans="4:4" x14ac:dyDescent="0.2">
      <c r="D2591" s="84"/>
    </row>
    <row r="2592" spans="4:4" x14ac:dyDescent="0.2">
      <c r="D2592" s="84"/>
    </row>
    <row r="2593" spans="4:4" x14ac:dyDescent="0.2">
      <c r="D2593" s="84"/>
    </row>
    <row r="2594" spans="4:4" x14ac:dyDescent="0.2">
      <c r="D2594" s="84"/>
    </row>
    <row r="2595" spans="4:4" x14ac:dyDescent="0.2">
      <c r="D2595" s="84"/>
    </row>
    <row r="2596" spans="4:4" x14ac:dyDescent="0.2">
      <c r="D2596" s="84"/>
    </row>
    <row r="2597" spans="4:4" x14ac:dyDescent="0.2">
      <c r="D2597" s="84"/>
    </row>
    <row r="2598" spans="4:4" x14ac:dyDescent="0.2">
      <c r="D2598" s="84"/>
    </row>
    <row r="2599" spans="4:4" x14ac:dyDescent="0.2">
      <c r="D2599" s="84"/>
    </row>
    <row r="2600" spans="4:4" x14ac:dyDescent="0.2">
      <c r="D2600" s="84"/>
    </row>
    <row r="2601" spans="4:4" x14ac:dyDescent="0.2">
      <c r="D2601" s="84"/>
    </row>
    <row r="2602" spans="4:4" x14ac:dyDescent="0.2">
      <c r="D2602" s="84"/>
    </row>
    <row r="2603" spans="4:4" x14ac:dyDescent="0.2">
      <c r="D2603" s="84"/>
    </row>
    <row r="2604" spans="4:4" x14ac:dyDescent="0.2">
      <c r="D2604" s="84"/>
    </row>
    <row r="2605" spans="4:4" x14ac:dyDescent="0.2">
      <c r="D2605" s="84"/>
    </row>
    <row r="2606" spans="4:4" x14ac:dyDescent="0.2">
      <c r="D2606" s="84"/>
    </row>
    <row r="2607" spans="4:4" x14ac:dyDescent="0.2">
      <c r="D2607" s="84"/>
    </row>
    <row r="2608" spans="4:4" x14ac:dyDescent="0.2">
      <c r="D2608" s="84"/>
    </row>
    <row r="2609" spans="4:4" x14ac:dyDescent="0.2">
      <c r="D2609" s="84"/>
    </row>
    <row r="2610" spans="4:4" x14ac:dyDescent="0.2">
      <c r="D2610" s="84"/>
    </row>
    <row r="2611" spans="4:4" x14ac:dyDescent="0.2">
      <c r="D2611" s="84"/>
    </row>
    <row r="2612" spans="4:4" x14ac:dyDescent="0.2">
      <c r="D2612" s="84"/>
    </row>
    <row r="2613" spans="4:4" x14ac:dyDescent="0.2">
      <c r="D2613" s="84"/>
    </row>
    <row r="2614" spans="4:4" x14ac:dyDescent="0.2">
      <c r="D2614" s="84"/>
    </row>
    <row r="2615" spans="4:4" x14ac:dyDescent="0.2">
      <c r="D2615" s="84"/>
    </row>
    <row r="2616" spans="4:4" x14ac:dyDescent="0.2">
      <c r="D2616" s="84"/>
    </row>
    <row r="2617" spans="4:4" x14ac:dyDescent="0.2">
      <c r="D2617" s="84"/>
    </row>
    <row r="2618" spans="4:4" x14ac:dyDescent="0.2">
      <c r="D2618" s="84"/>
    </row>
    <row r="2619" spans="4:4" x14ac:dyDescent="0.2">
      <c r="D2619" s="84"/>
    </row>
    <row r="2620" spans="4:4" x14ac:dyDescent="0.2">
      <c r="D2620" s="84"/>
    </row>
    <row r="2621" spans="4:4" x14ac:dyDescent="0.2">
      <c r="D2621" s="84"/>
    </row>
    <row r="2622" spans="4:4" x14ac:dyDescent="0.2">
      <c r="D2622" s="84"/>
    </row>
    <row r="2623" spans="4:4" x14ac:dyDescent="0.2">
      <c r="D2623" s="84"/>
    </row>
    <row r="2624" spans="4:4" x14ac:dyDescent="0.2">
      <c r="D2624" s="84"/>
    </row>
    <row r="2625" spans="4:4" x14ac:dyDescent="0.2">
      <c r="D2625" s="84"/>
    </row>
    <row r="2626" spans="4:4" x14ac:dyDescent="0.2">
      <c r="D2626" s="84"/>
    </row>
    <row r="2627" spans="4:4" x14ac:dyDescent="0.2">
      <c r="D2627" s="84"/>
    </row>
    <row r="2628" spans="4:4" x14ac:dyDescent="0.2">
      <c r="D2628" s="84"/>
    </row>
    <row r="2629" spans="4:4" x14ac:dyDescent="0.2">
      <c r="D2629" s="84"/>
    </row>
    <row r="2630" spans="4:4" x14ac:dyDescent="0.2">
      <c r="D2630" s="84"/>
    </row>
    <row r="2631" spans="4:4" x14ac:dyDescent="0.2">
      <c r="D2631" s="84"/>
    </row>
    <row r="2632" spans="4:4" x14ac:dyDescent="0.2">
      <c r="D2632" s="84"/>
    </row>
    <row r="2633" spans="4:4" x14ac:dyDescent="0.2">
      <c r="D2633" s="84"/>
    </row>
    <row r="2634" spans="4:4" x14ac:dyDescent="0.2">
      <c r="D2634" s="84"/>
    </row>
    <row r="2635" spans="4:4" x14ac:dyDescent="0.2">
      <c r="D2635" s="84"/>
    </row>
    <row r="2636" spans="4:4" x14ac:dyDescent="0.2">
      <c r="D2636" s="84"/>
    </row>
    <row r="2637" spans="4:4" x14ac:dyDescent="0.2">
      <c r="D2637" s="84"/>
    </row>
    <row r="2638" spans="4:4" x14ac:dyDescent="0.2">
      <c r="D2638" s="84"/>
    </row>
    <row r="2639" spans="4:4" x14ac:dyDescent="0.2">
      <c r="D2639" s="84"/>
    </row>
    <row r="2640" spans="4:4" x14ac:dyDescent="0.2">
      <c r="D2640" s="84"/>
    </row>
    <row r="2641" spans="4:4" x14ac:dyDescent="0.2">
      <c r="D2641" s="84"/>
    </row>
    <row r="2642" spans="4:4" x14ac:dyDescent="0.2">
      <c r="D2642" s="84"/>
    </row>
    <row r="2643" spans="4:4" x14ac:dyDescent="0.2">
      <c r="D2643" s="84"/>
    </row>
    <row r="2644" spans="4:4" x14ac:dyDescent="0.2">
      <c r="D2644" s="84"/>
    </row>
    <row r="2645" spans="4:4" x14ac:dyDescent="0.2">
      <c r="D2645" s="84"/>
    </row>
    <row r="2646" spans="4:4" x14ac:dyDescent="0.2">
      <c r="D2646" s="84"/>
    </row>
    <row r="2647" spans="4:4" x14ac:dyDescent="0.2">
      <c r="D2647" s="84"/>
    </row>
    <row r="2648" spans="4:4" x14ac:dyDescent="0.2">
      <c r="D2648" s="84"/>
    </row>
    <row r="2649" spans="4:4" x14ac:dyDescent="0.2">
      <c r="D2649" s="84"/>
    </row>
    <row r="2650" spans="4:4" x14ac:dyDescent="0.2">
      <c r="D2650" s="84"/>
    </row>
    <row r="2651" spans="4:4" x14ac:dyDescent="0.2">
      <c r="D2651" s="84"/>
    </row>
    <row r="2652" spans="4:4" x14ac:dyDescent="0.2">
      <c r="D2652" s="84"/>
    </row>
    <row r="2653" spans="4:4" x14ac:dyDescent="0.2">
      <c r="D2653" s="84"/>
    </row>
    <row r="2654" spans="4:4" x14ac:dyDescent="0.2">
      <c r="D2654" s="84"/>
    </row>
    <row r="2655" spans="4:4" x14ac:dyDescent="0.2">
      <c r="D2655" s="84"/>
    </row>
    <row r="2656" spans="4:4" x14ac:dyDescent="0.2">
      <c r="D2656" s="84"/>
    </row>
    <row r="2657" spans="4:4" x14ac:dyDescent="0.2">
      <c r="D2657" s="84"/>
    </row>
    <row r="2658" spans="4:4" x14ac:dyDescent="0.2">
      <c r="D2658" s="84"/>
    </row>
    <row r="2659" spans="4:4" x14ac:dyDescent="0.2">
      <c r="D2659" s="84"/>
    </row>
    <row r="2660" spans="4:4" x14ac:dyDescent="0.2">
      <c r="D2660" s="84"/>
    </row>
    <row r="2661" spans="4:4" x14ac:dyDescent="0.2">
      <c r="D2661" s="84"/>
    </row>
    <row r="2662" spans="4:4" x14ac:dyDescent="0.2">
      <c r="D2662" s="84"/>
    </row>
    <row r="2663" spans="4:4" x14ac:dyDescent="0.2">
      <c r="D2663" s="84"/>
    </row>
    <row r="2664" spans="4:4" x14ac:dyDescent="0.2">
      <c r="D2664" s="84"/>
    </row>
    <row r="2665" spans="4:4" x14ac:dyDescent="0.2">
      <c r="D2665" s="84"/>
    </row>
    <row r="2666" spans="4:4" x14ac:dyDescent="0.2">
      <c r="D2666" s="84"/>
    </row>
    <row r="2667" spans="4:4" x14ac:dyDescent="0.2">
      <c r="D2667" s="84"/>
    </row>
    <row r="2668" spans="4:4" x14ac:dyDescent="0.2">
      <c r="D2668" s="84"/>
    </row>
    <row r="2669" spans="4:4" x14ac:dyDescent="0.2">
      <c r="D2669" s="84"/>
    </row>
    <row r="2670" spans="4:4" x14ac:dyDescent="0.2">
      <c r="D2670" s="84"/>
    </row>
    <row r="2671" spans="4:4" x14ac:dyDescent="0.2">
      <c r="D2671" s="84"/>
    </row>
    <row r="2672" spans="4:4" x14ac:dyDescent="0.2">
      <c r="D2672" s="84"/>
    </row>
    <row r="2673" spans="4:4" x14ac:dyDescent="0.2">
      <c r="D2673" s="84"/>
    </row>
    <row r="2674" spans="4:4" x14ac:dyDescent="0.2">
      <c r="D2674" s="84"/>
    </row>
    <row r="2675" spans="4:4" x14ac:dyDescent="0.2">
      <c r="D2675" s="84"/>
    </row>
    <row r="2676" spans="4:4" x14ac:dyDescent="0.2">
      <c r="D2676" s="84"/>
    </row>
    <row r="2677" spans="4:4" x14ac:dyDescent="0.2">
      <c r="D2677" s="84"/>
    </row>
    <row r="2678" spans="4:4" x14ac:dyDescent="0.2">
      <c r="D2678" s="84"/>
    </row>
    <row r="2679" spans="4:4" x14ac:dyDescent="0.2">
      <c r="D2679" s="84"/>
    </row>
    <row r="2680" spans="4:4" x14ac:dyDescent="0.2">
      <c r="D2680" s="84"/>
    </row>
    <row r="2681" spans="4:4" x14ac:dyDescent="0.2">
      <c r="D2681" s="84"/>
    </row>
    <row r="2682" spans="4:4" x14ac:dyDescent="0.2">
      <c r="D2682" s="84"/>
    </row>
    <row r="2683" spans="4:4" x14ac:dyDescent="0.2">
      <c r="D2683" s="84"/>
    </row>
    <row r="2684" spans="4:4" x14ac:dyDescent="0.2">
      <c r="D2684" s="84"/>
    </row>
    <row r="2685" spans="4:4" x14ac:dyDescent="0.2">
      <c r="D2685" s="84"/>
    </row>
    <row r="2686" spans="4:4" x14ac:dyDescent="0.2">
      <c r="D2686" s="84"/>
    </row>
    <row r="2687" spans="4:4" x14ac:dyDescent="0.2">
      <c r="D2687" s="84"/>
    </row>
    <row r="2688" spans="4:4" x14ac:dyDescent="0.2">
      <c r="D2688" s="84"/>
    </row>
    <row r="2689" spans="4:4" x14ac:dyDescent="0.2">
      <c r="D2689" s="84"/>
    </row>
    <row r="2690" spans="4:4" x14ac:dyDescent="0.2">
      <c r="D2690" s="84"/>
    </row>
    <row r="2691" spans="4:4" x14ac:dyDescent="0.2">
      <c r="D2691" s="84"/>
    </row>
    <row r="2692" spans="4:4" x14ac:dyDescent="0.2">
      <c r="D2692" s="84"/>
    </row>
    <row r="2693" spans="4:4" x14ac:dyDescent="0.2">
      <c r="D2693" s="84"/>
    </row>
    <row r="2694" spans="4:4" x14ac:dyDescent="0.2">
      <c r="D2694" s="84"/>
    </row>
    <row r="2695" spans="4:4" x14ac:dyDescent="0.2">
      <c r="D2695" s="84"/>
    </row>
    <row r="2696" spans="4:4" x14ac:dyDescent="0.2">
      <c r="D2696" s="84"/>
    </row>
    <row r="2697" spans="4:4" x14ac:dyDescent="0.2">
      <c r="D2697" s="84"/>
    </row>
    <row r="2698" spans="4:4" x14ac:dyDescent="0.2">
      <c r="D2698" s="84"/>
    </row>
    <row r="2699" spans="4:4" x14ac:dyDescent="0.2">
      <c r="D2699" s="84"/>
    </row>
    <row r="2700" spans="4:4" x14ac:dyDescent="0.2">
      <c r="D2700" s="84"/>
    </row>
    <row r="2701" spans="4:4" x14ac:dyDescent="0.2">
      <c r="D2701" s="84"/>
    </row>
    <row r="2702" spans="4:4" x14ac:dyDescent="0.2">
      <c r="D2702" s="84"/>
    </row>
    <row r="2703" spans="4:4" x14ac:dyDescent="0.2">
      <c r="D2703" s="84"/>
    </row>
    <row r="2704" spans="4:4" x14ac:dyDescent="0.2">
      <c r="D2704" s="84"/>
    </row>
    <row r="2705" spans="4:4" x14ac:dyDescent="0.2">
      <c r="D2705" s="84"/>
    </row>
    <row r="2706" spans="4:4" x14ac:dyDescent="0.2">
      <c r="D2706" s="84"/>
    </row>
    <row r="2707" spans="4:4" x14ac:dyDescent="0.2">
      <c r="D2707" s="84"/>
    </row>
    <row r="2708" spans="4:4" x14ac:dyDescent="0.2">
      <c r="D2708" s="84"/>
    </row>
    <row r="2709" spans="4:4" x14ac:dyDescent="0.2">
      <c r="D2709" s="84"/>
    </row>
    <row r="2710" spans="4:4" x14ac:dyDescent="0.2">
      <c r="D2710" s="84"/>
    </row>
    <row r="2711" spans="4:4" x14ac:dyDescent="0.2">
      <c r="D2711" s="84"/>
    </row>
    <row r="2712" spans="4:4" x14ac:dyDescent="0.2">
      <c r="D2712" s="84"/>
    </row>
    <row r="2713" spans="4:4" x14ac:dyDescent="0.2">
      <c r="D2713" s="84"/>
    </row>
    <row r="2714" spans="4:4" x14ac:dyDescent="0.2">
      <c r="D2714" s="84"/>
    </row>
    <row r="2715" spans="4:4" x14ac:dyDescent="0.2">
      <c r="D2715" s="84"/>
    </row>
    <row r="2716" spans="4:4" x14ac:dyDescent="0.2">
      <c r="D2716" s="84"/>
    </row>
    <row r="2717" spans="4:4" x14ac:dyDescent="0.2">
      <c r="D2717" s="84"/>
    </row>
    <row r="2718" spans="4:4" x14ac:dyDescent="0.2">
      <c r="D2718" s="84"/>
    </row>
    <row r="2719" spans="4:4" x14ac:dyDescent="0.2">
      <c r="D2719" s="84"/>
    </row>
    <row r="2720" spans="4:4" x14ac:dyDescent="0.2">
      <c r="D2720" s="84"/>
    </row>
    <row r="2721" spans="4:4" x14ac:dyDescent="0.2">
      <c r="D2721" s="84"/>
    </row>
    <row r="2722" spans="4:4" x14ac:dyDescent="0.2">
      <c r="D2722" s="84"/>
    </row>
    <row r="2723" spans="4:4" x14ac:dyDescent="0.2">
      <c r="D2723" s="84"/>
    </row>
    <row r="2724" spans="4:4" x14ac:dyDescent="0.2">
      <c r="D2724" s="84"/>
    </row>
    <row r="2725" spans="4:4" x14ac:dyDescent="0.2">
      <c r="D2725" s="84"/>
    </row>
    <row r="2726" spans="4:4" x14ac:dyDescent="0.2">
      <c r="D2726" s="84"/>
    </row>
    <row r="2727" spans="4:4" x14ac:dyDescent="0.2">
      <c r="D2727" s="84"/>
    </row>
    <row r="2728" spans="4:4" x14ac:dyDescent="0.2">
      <c r="D2728" s="84"/>
    </row>
    <row r="2729" spans="4:4" x14ac:dyDescent="0.2">
      <c r="D2729" s="84"/>
    </row>
    <row r="2730" spans="4:4" x14ac:dyDescent="0.2">
      <c r="D2730" s="84"/>
    </row>
    <row r="2731" spans="4:4" x14ac:dyDescent="0.2">
      <c r="D2731" s="84"/>
    </row>
    <row r="2732" spans="4:4" x14ac:dyDescent="0.2">
      <c r="D2732" s="84"/>
    </row>
    <row r="2733" spans="4:4" x14ac:dyDescent="0.2">
      <c r="D2733" s="84"/>
    </row>
    <row r="2734" spans="4:4" x14ac:dyDescent="0.2">
      <c r="D2734" s="84"/>
    </row>
    <row r="2735" spans="4:4" x14ac:dyDescent="0.2">
      <c r="D2735" s="84"/>
    </row>
    <row r="2736" spans="4:4" x14ac:dyDescent="0.2">
      <c r="D2736" s="84"/>
    </row>
    <row r="2737" spans="4:4" x14ac:dyDescent="0.2">
      <c r="D2737" s="84"/>
    </row>
    <row r="2738" spans="4:4" x14ac:dyDescent="0.2">
      <c r="D2738" s="84"/>
    </row>
    <row r="2739" spans="4:4" x14ac:dyDescent="0.2">
      <c r="D2739" s="84"/>
    </row>
    <row r="2740" spans="4:4" x14ac:dyDescent="0.2">
      <c r="D2740" s="84"/>
    </row>
    <row r="2741" spans="4:4" x14ac:dyDescent="0.2">
      <c r="D2741" s="84"/>
    </row>
    <row r="2742" spans="4:4" x14ac:dyDescent="0.2">
      <c r="D2742" s="84"/>
    </row>
    <row r="2743" spans="4:4" x14ac:dyDescent="0.2">
      <c r="D2743" s="84"/>
    </row>
    <row r="2744" spans="4:4" x14ac:dyDescent="0.2">
      <c r="D2744" s="84"/>
    </row>
    <row r="2745" spans="4:4" x14ac:dyDescent="0.2">
      <c r="D2745" s="84"/>
    </row>
    <row r="2746" spans="4:4" x14ac:dyDescent="0.2">
      <c r="D2746" s="84"/>
    </row>
    <row r="2747" spans="4:4" x14ac:dyDescent="0.2">
      <c r="D2747" s="84"/>
    </row>
    <row r="2748" spans="4:4" x14ac:dyDescent="0.2">
      <c r="D2748" s="84"/>
    </row>
    <row r="2749" spans="4:4" x14ac:dyDescent="0.2">
      <c r="D2749" s="84"/>
    </row>
    <row r="2750" spans="4:4" x14ac:dyDescent="0.2">
      <c r="D2750" s="84"/>
    </row>
    <row r="2751" spans="4:4" x14ac:dyDescent="0.2">
      <c r="D2751" s="84"/>
    </row>
    <row r="2752" spans="4:4" x14ac:dyDescent="0.2">
      <c r="D2752" s="84"/>
    </row>
    <row r="2753" spans="4:4" x14ac:dyDescent="0.2">
      <c r="D2753" s="84"/>
    </row>
    <row r="2754" spans="4:4" x14ac:dyDescent="0.2">
      <c r="D2754" s="84"/>
    </row>
    <row r="2755" spans="4:4" x14ac:dyDescent="0.2">
      <c r="D2755" s="84"/>
    </row>
    <row r="2756" spans="4:4" x14ac:dyDescent="0.2">
      <c r="D2756" s="84"/>
    </row>
    <row r="2757" spans="4:4" x14ac:dyDescent="0.2">
      <c r="D2757" s="84"/>
    </row>
    <row r="2758" spans="4:4" x14ac:dyDescent="0.2">
      <c r="D2758" s="84"/>
    </row>
    <row r="2759" spans="4:4" x14ac:dyDescent="0.2">
      <c r="D2759" s="84"/>
    </row>
    <row r="2760" spans="4:4" x14ac:dyDescent="0.2">
      <c r="D2760" s="84"/>
    </row>
    <row r="2761" spans="4:4" x14ac:dyDescent="0.2">
      <c r="D2761" s="84"/>
    </row>
    <row r="2762" spans="4:4" x14ac:dyDescent="0.2">
      <c r="D2762" s="84"/>
    </row>
    <row r="2763" spans="4:4" x14ac:dyDescent="0.2">
      <c r="D2763" s="84"/>
    </row>
    <row r="2764" spans="4:4" x14ac:dyDescent="0.2">
      <c r="D2764" s="84"/>
    </row>
    <row r="2765" spans="4:4" x14ac:dyDescent="0.2">
      <c r="D2765" s="84"/>
    </row>
    <row r="2766" spans="4:4" x14ac:dyDescent="0.2">
      <c r="D2766" s="84"/>
    </row>
    <row r="2767" spans="4:4" x14ac:dyDescent="0.2">
      <c r="D2767" s="84"/>
    </row>
    <row r="2768" spans="4:4" x14ac:dyDescent="0.2">
      <c r="D2768" s="84"/>
    </row>
    <row r="2769" spans="4:4" x14ac:dyDescent="0.2">
      <c r="D2769" s="84"/>
    </row>
    <row r="2770" spans="4:4" x14ac:dyDescent="0.2">
      <c r="D2770" s="84"/>
    </row>
    <row r="2771" spans="4:4" x14ac:dyDescent="0.2">
      <c r="D2771" s="84"/>
    </row>
    <row r="2772" spans="4:4" x14ac:dyDescent="0.2">
      <c r="D2772" s="84"/>
    </row>
    <row r="2773" spans="4:4" x14ac:dyDescent="0.2">
      <c r="D2773" s="84"/>
    </row>
    <row r="2774" spans="4:4" x14ac:dyDescent="0.2">
      <c r="D2774" s="84"/>
    </row>
    <row r="2775" spans="4:4" x14ac:dyDescent="0.2">
      <c r="D2775" s="84"/>
    </row>
    <row r="2776" spans="4:4" x14ac:dyDescent="0.2">
      <c r="D2776" s="84"/>
    </row>
    <row r="2777" spans="4:4" x14ac:dyDescent="0.2">
      <c r="D2777" s="84"/>
    </row>
    <row r="2778" spans="4:4" x14ac:dyDescent="0.2">
      <c r="D2778" s="84"/>
    </row>
    <row r="2779" spans="4:4" x14ac:dyDescent="0.2">
      <c r="D2779" s="84"/>
    </row>
    <row r="2780" spans="4:4" x14ac:dyDescent="0.2">
      <c r="D2780" s="84"/>
    </row>
    <row r="2781" spans="4:4" x14ac:dyDescent="0.2">
      <c r="D2781" s="84"/>
    </row>
    <row r="2782" spans="4:4" x14ac:dyDescent="0.2">
      <c r="D2782" s="84"/>
    </row>
    <row r="2783" spans="4:4" x14ac:dyDescent="0.2">
      <c r="D2783" s="84"/>
    </row>
    <row r="2784" spans="4:4" x14ac:dyDescent="0.2">
      <c r="D2784" s="84"/>
    </row>
    <row r="2785" spans="4:4" x14ac:dyDescent="0.2">
      <c r="D2785" s="84"/>
    </row>
    <row r="2786" spans="4:4" x14ac:dyDescent="0.2">
      <c r="D2786" s="84"/>
    </row>
    <row r="2787" spans="4:4" x14ac:dyDescent="0.2">
      <c r="D2787" s="84"/>
    </row>
    <row r="2788" spans="4:4" x14ac:dyDescent="0.2">
      <c r="D2788" s="84"/>
    </row>
    <row r="2789" spans="4:4" x14ac:dyDescent="0.2">
      <c r="D2789" s="84"/>
    </row>
    <row r="2790" spans="4:4" x14ac:dyDescent="0.2">
      <c r="D2790" s="84"/>
    </row>
    <row r="2791" spans="4:4" x14ac:dyDescent="0.2">
      <c r="D2791" s="84"/>
    </row>
    <row r="2792" spans="4:4" x14ac:dyDescent="0.2">
      <c r="D2792" s="84"/>
    </row>
    <row r="2793" spans="4:4" x14ac:dyDescent="0.2">
      <c r="D2793" s="84"/>
    </row>
    <row r="2794" spans="4:4" x14ac:dyDescent="0.2">
      <c r="D2794" s="84"/>
    </row>
    <row r="2795" spans="4:4" x14ac:dyDescent="0.2">
      <c r="D2795" s="84"/>
    </row>
    <row r="2796" spans="4:4" x14ac:dyDescent="0.2">
      <c r="D2796" s="84"/>
    </row>
    <row r="2797" spans="4:4" x14ac:dyDescent="0.2">
      <c r="D2797" s="84"/>
    </row>
    <row r="2798" spans="4:4" x14ac:dyDescent="0.2">
      <c r="D2798" s="84"/>
    </row>
    <row r="2799" spans="4:4" x14ac:dyDescent="0.2">
      <c r="D2799" s="84"/>
    </row>
    <row r="2800" spans="4:4" x14ac:dyDescent="0.2">
      <c r="D2800" s="84"/>
    </row>
    <row r="2801" spans="4:4" x14ac:dyDescent="0.2">
      <c r="D2801" s="84"/>
    </row>
    <row r="2802" spans="4:4" x14ac:dyDescent="0.2">
      <c r="D2802" s="84"/>
    </row>
    <row r="2803" spans="4:4" x14ac:dyDescent="0.2">
      <c r="D2803" s="84"/>
    </row>
    <row r="2804" spans="4:4" x14ac:dyDescent="0.2">
      <c r="D2804" s="84"/>
    </row>
    <row r="2805" spans="4:4" x14ac:dyDescent="0.2">
      <c r="D2805" s="84"/>
    </row>
    <row r="2806" spans="4:4" x14ac:dyDescent="0.2">
      <c r="D2806" s="84"/>
    </row>
    <row r="2807" spans="4:4" x14ac:dyDescent="0.2">
      <c r="D2807" s="84"/>
    </row>
    <row r="2808" spans="4:4" x14ac:dyDescent="0.2">
      <c r="D2808" s="84"/>
    </row>
    <row r="2809" spans="4:4" x14ac:dyDescent="0.2">
      <c r="D2809" s="84"/>
    </row>
    <row r="2810" spans="4:4" x14ac:dyDescent="0.2">
      <c r="D2810" s="84"/>
    </row>
    <row r="2811" spans="4:4" x14ac:dyDescent="0.2">
      <c r="D2811" s="84"/>
    </row>
    <row r="2812" spans="4:4" x14ac:dyDescent="0.2">
      <c r="D2812" s="84"/>
    </row>
    <row r="2813" spans="4:4" x14ac:dyDescent="0.2">
      <c r="D2813" s="84"/>
    </row>
    <row r="2814" spans="4:4" x14ac:dyDescent="0.2">
      <c r="D2814" s="84"/>
    </row>
    <row r="2815" spans="4:4" x14ac:dyDescent="0.2">
      <c r="D2815" s="84"/>
    </row>
    <row r="2816" spans="4:4" x14ac:dyDescent="0.2">
      <c r="D2816" s="84"/>
    </row>
    <row r="2817" spans="4:4" x14ac:dyDescent="0.2">
      <c r="D2817" s="84"/>
    </row>
    <row r="2818" spans="4:4" x14ac:dyDescent="0.2">
      <c r="D2818" s="84"/>
    </row>
    <row r="2819" spans="4:4" x14ac:dyDescent="0.2">
      <c r="D2819" s="84"/>
    </row>
    <row r="2820" spans="4:4" x14ac:dyDescent="0.2">
      <c r="D2820" s="84"/>
    </row>
    <row r="2821" spans="4:4" x14ac:dyDescent="0.2">
      <c r="D2821" s="84"/>
    </row>
    <row r="2822" spans="4:4" x14ac:dyDescent="0.2">
      <c r="D2822" s="84"/>
    </row>
    <row r="2823" spans="4:4" x14ac:dyDescent="0.2">
      <c r="D2823" s="84"/>
    </row>
    <row r="2824" spans="4:4" x14ac:dyDescent="0.2">
      <c r="D2824" s="84"/>
    </row>
    <row r="2825" spans="4:4" x14ac:dyDescent="0.2">
      <c r="D2825" s="84"/>
    </row>
    <row r="2826" spans="4:4" x14ac:dyDescent="0.2">
      <c r="D2826" s="84"/>
    </row>
    <row r="2827" spans="4:4" x14ac:dyDescent="0.2">
      <c r="D2827" s="84"/>
    </row>
    <row r="2828" spans="4:4" x14ac:dyDescent="0.2">
      <c r="D2828" s="84"/>
    </row>
    <row r="2829" spans="4:4" x14ac:dyDescent="0.2">
      <c r="D2829" s="84"/>
    </row>
    <row r="2830" spans="4:4" x14ac:dyDescent="0.2">
      <c r="D2830" s="84"/>
    </row>
    <row r="2831" spans="4:4" x14ac:dyDescent="0.2">
      <c r="D2831" s="84"/>
    </row>
    <row r="2832" spans="4:4" x14ac:dyDescent="0.2">
      <c r="D2832" s="84"/>
    </row>
    <row r="2833" spans="4:4" x14ac:dyDescent="0.2">
      <c r="D2833" s="84"/>
    </row>
    <row r="2834" spans="4:4" x14ac:dyDescent="0.2">
      <c r="D2834" s="84"/>
    </row>
    <row r="2835" spans="4:4" x14ac:dyDescent="0.2">
      <c r="D2835" s="84"/>
    </row>
    <row r="2836" spans="4:4" x14ac:dyDescent="0.2">
      <c r="D2836" s="84"/>
    </row>
    <row r="2837" spans="4:4" x14ac:dyDescent="0.2">
      <c r="D2837" s="84"/>
    </row>
    <row r="2838" spans="4:4" x14ac:dyDescent="0.2">
      <c r="D2838" s="84"/>
    </row>
    <row r="2839" spans="4:4" x14ac:dyDescent="0.2">
      <c r="D2839" s="84"/>
    </row>
    <row r="2840" spans="4:4" x14ac:dyDescent="0.2">
      <c r="D2840" s="84"/>
    </row>
    <row r="2841" spans="4:4" x14ac:dyDescent="0.2">
      <c r="D2841" s="84"/>
    </row>
    <row r="2842" spans="4:4" x14ac:dyDescent="0.2">
      <c r="D2842" s="84"/>
    </row>
    <row r="2843" spans="4:4" x14ac:dyDescent="0.2">
      <c r="D2843" s="84"/>
    </row>
    <row r="2844" spans="4:4" x14ac:dyDescent="0.2">
      <c r="D2844" s="84"/>
    </row>
    <row r="2845" spans="4:4" x14ac:dyDescent="0.2">
      <c r="D2845" s="84"/>
    </row>
    <row r="2846" spans="4:4" x14ac:dyDescent="0.2">
      <c r="D2846" s="84"/>
    </row>
    <row r="2847" spans="4:4" x14ac:dyDescent="0.2">
      <c r="D2847" s="84"/>
    </row>
    <row r="2848" spans="4:4" x14ac:dyDescent="0.2">
      <c r="D2848" s="84"/>
    </row>
    <row r="2849" spans="4:4" x14ac:dyDescent="0.2">
      <c r="D2849" s="84"/>
    </row>
    <row r="2850" spans="4:4" x14ac:dyDescent="0.2">
      <c r="D2850" s="84"/>
    </row>
    <row r="2851" spans="4:4" x14ac:dyDescent="0.2">
      <c r="D2851" s="84"/>
    </row>
    <row r="2852" spans="4:4" x14ac:dyDescent="0.2">
      <c r="D2852" s="84"/>
    </row>
    <row r="2853" spans="4:4" x14ac:dyDescent="0.2">
      <c r="D2853" s="84"/>
    </row>
    <row r="2854" spans="4:4" x14ac:dyDescent="0.2">
      <c r="D2854" s="84"/>
    </row>
    <row r="2855" spans="4:4" x14ac:dyDescent="0.2">
      <c r="D2855" s="84"/>
    </row>
    <row r="2856" spans="4:4" x14ac:dyDescent="0.2">
      <c r="D2856" s="84"/>
    </row>
    <row r="2857" spans="4:4" x14ac:dyDescent="0.2">
      <c r="D2857" s="84"/>
    </row>
    <row r="2858" spans="4:4" x14ac:dyDescent="0.2">
      <c r="D2858" s="84"/>
    </row>
    <row r="2859" spans="4:4" x14ac:dyDescent="0.2">
      <c r="D2859" s="84"/>
    </row>
    <row r="2860" spans="4:4" x14ac:dyDescent="0.2">
      <c r="D2860" s="84"/>
    </row>
    <row r="2861" spans="4:4" x14ac:dyDescent="0.2">
      <c r="D2861" s="84"/>
    </row>
    <row r="2862" spans="4:4" x14ac:dyDescent="0.2">
      <c r="D2862" s="84"/>
    </row>
    <row r="2863" spans="4:4" x14ac:dyDescent="0.2">
      <c r="D2863" s="84"/>
    </row>
    <row r="2864" spans="4:4" x14ac:dyDescent="0.2">
      <c r="D2864" s="84"/>
    </row>
    <row r="2865" spans="4:4" x14ac:dyDescent="0.2">
      <c r="D2865" s="84"/>
    </row>
    <row r="2866" spans="4:4" x14ac:dyDescent="0.2">
      <c r="D2866" s="84"/>
    </row>
    <row r="2867" spans="4:4" x14ac:dyDescent="0.2">
      <c r="D2867" s="84"/>
    </row>
    <row r="2868" spans="4:4" x14ac:dyDescent="0.2">
      <c r="D2868" s="84"/>
    </row>
    <row r="2869" spans="4:4" x14ac:dyDescent="0.2">
      <c r="D2869" s="84"/>
    </row>
    <row r="2870" spans="4:4" x14ac:dyDescent="0.2">
      <c r="D2870" s="84"/>
    </row>
    <row r="2871" spans="4:4" x14ac:dyDescent="0.2">
      <c r="D2871" s="84"/>
    </row>
    <row r="2872" spans="4:4" x14ac:dyDescent="0.2">
      <c r="D2872" s="84"/>
    </row>
    <row r="2873" spans="4:4" x14ac:dyDescent="0.2">
      <c r="D2873" s="84"/>
    </row>
    <row r="2874" spans="4:4" x14ac:dyDescent="0.2">
      <c r="D2874" s="84"/>
    </row>
    <row r="2875" spans="4:4" x14ac:dyDescent="0.2">
      <c r="D2875" s="84"/>
    </row>
    <row r="2876" spans="4:4" x14ac:dyDescent="0.2">
      <c r="D2876" s="84"/>
    </row>
    <row r="2877" spans="4:4" x14ac:dyDescent="0.2">
      <c r="D2877" s="84"/>
    </row>
    <row r="2878" spans="4:4" x14ac:dyDescent="0.2">
      <c r="D2878" s="84"/>
    </row>
    <row r="2879" spans="4:4" x14ac:dyDescent="0.2">
      <c r="D2879" s="84"/>
    </row>
    <row r="2880" spans="4:4" x14ac:dyDescent="0.2">
      <c r="D2880" s="84"/>
    </row>
    <row r="2881" spans="4:4" x14ac:dyDescent="0.2">
      <c r="D2881" s="84"/>
    </row>
    <row r="2882" spans="4:4" x14ac:dyDescent="0.2">
      <c r="D2882" s="84"/>
    </row>
    <row r="2883" spans="4:4" x14ac:dyDescent="0.2">
      <c r="D2883" s="84"/>
    </row>
    <row r="2884" spans="4:4" x14ac:dyDescent="0.2">
      <c r="D2884" s="84"/>
    </row>
    <row r="2885" spans="4:4" x14ac:dyDescent="0.2">
      <c r="D2885" s="84"/>
    </row>
    <row r="2886" spans="4:4" x14ac:dyDescent="0.2">
      <c r="D2886" s="84"/>
    </row>
    <row r="2887" spans="4:4" x14ac:dyDescent="0.2">
      <c r="D2887" s="84"/>
    </row>
    <row r="2888" spans="4:4" x14ac:dyDescent="0.2">
      <c r="D2888" s="84"/>
    </row>
    <row r="2889" spans="4:4" x14ac:dyDescent="0.2">
      <c r="D2889" s="84"/>
    </row>
    <row r="2890" spans="4:4" x14ac:dyDescent="0.2">
      <c r="D2890" s="84"/>
    </row>
    <row r="2891" spans="4:4" x14ac:dyDescent="0.2">
      <c r="D2891" s="84"/>
    </row>
    <row r="2892" spans="4:4" x14ac:dyDescent="0.2">
      <c r="D2892" s="84"/>
    </row>
    <row r="2893" spans="4:4" x14ac:dyDescent="0.2">
      <c r="D2893" s="84"/>
    </row>
    <row r="2894" spans="4:4" x14ac:dyDescent="0.2">
      <c r="D2894" s="84"/>
    </row>
    <row r="2895" spans="4:4" x14ac:dyDescent="0.2">
      <c r="D2895" s="84"/>
    </row>
    <row r="2896" spans="4:4" x14ac:dyDescent="0.2">
      <c r="D2896" s="84"/>
    </row>
    <row r="2897" spans="4:4" x14ac:dyDescent="0.2">
      <c r="D2897" s="84"/>
    </row>
    <row r="2898" spans="4:4" x14ac:dyDescent="0.2">
      <c r="D2898" s="84"/>
    </row>
    <row r="2899" spans="4:4" x14ac:dyDescent="0.2">
      <c r="D2899" s="84"/>
    </row>
    <row r="2900" spans="4:4" x14ac:dyDescent="0.2">
      <c r="D2900" s="84"/>
    </row>
    <row r="2901" spans="4:4" x14ac:dyDescent="0.2">
      <c r="D2901" s="84"/>
    </row>
    <row r="2902" spans="4:4" x14ac:dyDescent="0.2">
      <c r="D2902" s="84"/>
    </row>
    <row r="2903" spans="4:4" x14ac:dyDescent="0.2">
      <c r="D2903" s="84"/>
    </row>
    <row r="2904" spans="4:4" x14ac:dyDescent="0.2">
      <c r="D2904" s="84"/>
    </row>
    <row r="2905" spans="4:4" x14ac:dyDescent="0.2">
      <c r="D2905" s="84"/>
    </row>
    <row r="2906" spans="4:4" x14ac:dyDescent="0.2">
      <c r="D2906" s="84"/>
    </row>
    <row r="2907" spans="4:4" x14ac:dyDescent="0.2">
      <c r="D2907" s="84"/>
    </row>
    <row r="2908" spans="4:4" x14ac:dyDescent="0.2">
      <c r="D2908" s="84"/>
    </row>
    <row r="2909" spans="4:4" x14ac:dyDescent="0.2">
      <c r="D2909" s="84"/>
    </row>
    <row r="2910" spans="4:4" x14ac:dyDescent="0.2">
      <c r="D2910" s="84"/>
    </row>
    <row r="2911" spans="4:4" x14ac:dyDescent="0.2">
      <c r="D2911" s="84"/>
    </row>
    <row r="2912" spans="4:4" x14ac:dyDescent="0.2">
      <c r="D2912" s="84"/>
    </row>
    <row r="2913" spans="4:4" x14ac:dyDescent="0.2">
      <c r="D2913" s="84"/>
    </row>
    <row r="2914" spans="4:4" x14ac:dyDescent="0.2">
      <c r="D2914" s="84"/>
    </row>
    <row r="2915" spans="4:4" x14ac:dyDescent="0.2">
      <c r="D2915" s="84"/>
    </row>
    <row r="2916" spans="4:4" x14ac:dyDescent="0.2">
      <c r="D2916" s="84"/>
    </row>
    <row r="2917" spans="4:4" x14ac:dyDescent="0.2">
      <c r="D2917" s="84"/>
    </row>
    <row r="2918" spans="4:4" x14ac:dyDescent="0.2">
      <c r="D2918" s="84"/>
    </row>
    <row r="2919" spans="4:4" x14ac:dyDescent="0.2">
      <c r="D2919" s="84"/>
    </row>
    <row r="2920" spans="4:4" x14ac:dyDescent="0.2">
      <c r="D2920" s="84"/>
    </row>
    <row r="2921" spans="4:4" x14ac:dyDescent="0.2">
      <c r="D2921" s="84"/>
    </row>
    <row r="2922" spans="4:4" x14ac:dyDescent="0.2">
      <c r="D2922" s="84"/>
    </row>
    <row r="2923" spans="4:4" x14ac:dyDescent="0.2">
      <c r="D2923" s="84"/>
    </row>
    <row r="2924" spans="4:4" x14ac:dyDescent="0.2">
      <c r="D2924" s="84"/>
    </row>
    <row r="2925" spans="4:4" x14ac:dyDescent="0.2">
      <c r="D2925" s="84"/>
    </row>
    <row r="2926" spans="4:4" x14ac:dyDescent="0.2">
      <c r="D2926" s="84"/>
    </row>
    <row r="2927" spans="4:4" x14ac:dyDescent="0.2">
      <c r="D2927" s="84"/>
    </row>
    <row r="2928" spans="4:4" x14ac:dyDescent="0.2">
      <c r="D2928" s="84"/>
    </row>
    <row r="2929" spans="4:4" x14ac:dyDescent="0.2">
      <c r="D2929" s="84"/>
    </row>
    <row r="2930" spans="4:4" x14ac:dyDescent="0.2">
      <c r="D2930" s="84"/>
    </row>
    <row r="2931" spans="4:4" x14ac:dyDescent="0.2">
      <c r="D2931" s="84"/>
    </row>
    <row r="2932" spans="4:4" x14ac:dyDescent="0.2">
      <c r="D2932" s="84"/>
    </row>
    <row r="2933" spans="4:4" x14ac:dyDescent="0.2">
      <c r="D2933" s="84"/>
    </row>
    <row r="2934" spans="4:4" x14ac:dyDescent="0.2">
      <c r="D2934" s="84"/>
    </row>
    <row r="2935" spans="4:4" x14ac:dyDescent="0.2">
      <c r="D2935" s="84"/>
    </row>
    <row r="2936" spans="4:4" x14ac:dyDescent="0.2">
      <c r="D2936" s="84"/>
    </row>
    <row r="2937" spans="4:4" x14ac:dyDescent="0.2">
      <c r="D2937" s="84"/>
    </row>
    <row r="2938" spans="4:4" x14ac:dyDescent="0.2">
      <c r="D2938" s="84"/>
    </row>
    <row r="2939" spans="4:4" x14ac:dyDescent="0.2">
      <c r="D2939" s="84"/>
    </row>
    <row r="2940" spans="4:4" x14ac:dyDescent="0.2">
      <c r="D2940" s="84"/>
    </row>
    <row r="2941" spans="4:4" x14ac:dyDescent="0.2">
      <c r="D2941" s="84"/>
    </row>
    <row r="2942" spans="4:4" x14ac:dyDescent="0.2">
      <c r="D2942" s="84"/>
    </row>
    <row r="2943" spans="4:4" x14ac:dyDescent="0.2">
      <c r="D2943" s="84"/>
    </row>
    <row r="2944" spans="4:4" x14ac:dyDescent="0.2">
      <c r="D2944" s="84"/>
    </row>
    <row r="2945" spans="4:4" x14ac:dyDescent="0.2">
      <c r="D2945" s="84"/>
    </row>
    <row r="2946" spans="4:4" x14ac:dyDescent="0.2">
      <c r="D2946" s="84"/>
    </row>
    <row r="2947" spans="4:4" x14ac:dyDescent="0.2">
      <c r="D2947" s="84"/>
    </row>
    <row r="2948" spans="4:4" x14ac:dyDescent="0.2">
      <c r="D2948" s="84"/>
    </row>
    <row r="2949" spans="4:4" x14ac:dyDescent="0.2">
      <c r="D2949" s="84"/>
    </row>
    <row r="2950" spans="4:4" x14ac:dyDescent="0.2">
      <c r="D2950" s="84"/>
    </row>
    <row r="2951" spans="4:4" x14ac:dyDescent="0.2">
      <c r="D2951" s="84"/>
    </row>
    <row r="2952" spans="4:4" x14ac:dyDescent="0.2">
      <c r="D2952" s="84"/>
    </row>
    <row r="2953" spans="4:4" x14ac:dyDescent="0.2">
      <c r="D2953" s="84"/>
    </row>
    <row r="2954" spans="4:4" x14ac:dyDescent="0.2">
      <c r="D2954" s="84"/>
    </row>
    <row r="2955" spans="4:4" x14ac:dyDescent="0.2">
      <c r="D2955" s="84"/>
    </row>
    <row r="2956" spans="4:4" x14ac:dyDescent="0.2">
      <c r="D2956" s="84"/>
    </row>
    <row r="2957" spans="4:4" x14ac:dyDescent="0.2">
      <c r="D2957" s="84"/>
    </row>
    <row r="2958" spans="4:4" x14ac:dyDescent="0.2">
      <c r="D2958" s="84"/>
    </row>
    <row r="2959" spans="4:4" x14ac:dyDescent="0.2">
      <c r="D2959" s="84"/>
    </row>
    <row r="2960" spans="4:4" x14ac:dyDescent="0.2">
      <c r="D2960" s="84"/>
    </row>
    <row r="2961" spans="4:4" x14ac:dyDescent="0.2">
      <c r="D2961" s="84"/>
    </row>
    <row r="2962" spans="4:4" x14ac:dyDescent="0.2">
      <c r="D2962" s="84"/>
    </row>
    <row r="2963" spans="4:4" x14ac:dyDescent="0.2">
      <c r="D2963" s="84"/>
    </row>
    <row r="2964" spans="4:4" x14ac:dyDescent="0.2">
      <c r="D2964" s="84"/>
    </row>
    <row r="2965" spans="4:4" x14ac:dyDescent="0.2">
      <c r="D2965" s="84"/>
    </row>
    <row r="2966" spans="4:4" x14ac:dyDescent="0.2">
      <c r="D2966" s="84"/>
    </row>
    <row r="2967" spans="4:4" x14ac:dyDescent="0.2">
      <c r="D2967" s="84"/>
    </row>
    <row r="2968" spans="4:4" x14ac:dyDescent="0.2">
      <c r="D2968" s="84"/>
    </row>
    <row r="2969" spans="4:4" x14ac:dyDescent="0.2">
      <c r="D2969" s="84"/>
    </row>
    <row r="2970" spans="4:4" x14ac:dyDescent="0.2">
      <c r="D2970" s="84"/>
    </row>
    <row r="2971" spans="4:4" x14ac:dyDescent="0.2">
      <c r="D2971" s="84"/>
    </row>
    <row r="2972" spans="4:4" x14ac:dyDescent="0.2">
      <c r="D2972" s="84"/>
    </row>
    <row r="2973" spans="4:4" x14ac:dyDescent="0.2">
      <c r="D2973" s="84"/>
    </row>
    <row r="2974" spans="4:4" x14ac:dyDescent="0.2">
      <c r="D2974" s="84"/>
    </row>
    <row r="2975" spans="4:4" x14ac:dyDescent="0.2">
      <c r="D2975" s="84"/>
    </row>
    <row r="2976" spans="4:4" x14ac:dyDescent="0.2">
      <c r="D2976" s="84"/>
    </row>
    <row r="2977" spans="4:4" x14ac:dyDescent="0.2">
      <c r="D2977" s="84"/>
    </row>
    <row r="2978" spans="4:4" x14ac:dyDescent="0.2">
      <c r="D2978" s="84"/>
    </row>
    <row r="2979" spans="4:4" x14ac:dyDescent="0.2">
      <c r="D2979" s="84"/>
    </row>
    <row r="2980" spans="4:4" x14ac:dyDescent="0.2">
      <c r="D2980" s="84"/>
    </row>
    <row r="2981" spans="4:4" x14ac:dyDescent="0.2">
      <c r="D2981" s="84"/>
    </row>
    <row r="2982" spans="4:4" x14ac:dyDescent="0.2">
      <c r="D2982" s="84"/>
    </row>
    <row r="2983" spans="4:4" x14ac:dyDescent="0.2">
      <c r="D2983" s="84"/>
    </row>
    <row r="2984" spans="4:4" x14ac:dyDescent="0.2">
      <c r="D2984" s="84"/>
    </row>
    <row r="2985" spans="4:4" x14ac:dyDescent="0.2">
      <c r="D2985" s="84"/>
    </row>
    <row r="2986" spans="4:4" x14ac:dyDescent="0.2">
      <c r="D2986" s="84"/>
    </row>
    <row r="2987" spans="4:4" x14ac:dyDescent="0.2">
      <c r="D2987" s="84"/>
    </row>
    <row r="2988" spans="4:4" x14ac:dyDescent="0.2">
      <c r="D2988" s="84"/>
    </row>
    <row r="2989" spans="4:4" x14ac:dyDescent="0.2">
      <c r="D2989" s="84"/>
    </row>
    <row r="2990" spans="4:4" x14ac:dyDescent="0.2">
      <c r="D2990" s="84"/>
    </row>
    <row r="2991" spans="4:4" x14ac:dyDescent="0.2">
      <c r="D2991" s="84"/>
    </row>
    <row r="2992" spans="4:4" x14ac:dyDescent="0.2">
      <c r="D2992" s="84"/>
    </row>
    <row r="2993" spans="4:4" x14ac:dyDescent="0.2">
      <c r="D2993" s="84"/>
    </row>
    <row r="2994" spans="4:4" x14ac:dyDescent="0.2">
      <c r="D2994" s="84"/>
    </row>
    <row r="2995" spans="4:4" x14ac:dyDescent="0.2">
      <c r="D2995" s="84"/>
    </row>
    <row r="2996" spans="4:4" x14ac:dyDescent="0.2">
      <c r="D2996" s="84"/>
    </row>
    <row r="2997" spans="4:4" x14ac:dyDescent="0.2">
      <c r="D2997" s="84"/>
    </row>
    <row r="2998" spans="4:4" x14ac:dyDescent="0.2">
      <c r="D2998" s="84"/>
    </row>
    <row r="2999" spans="4:4" x14ac:dyDescent="0.2">
      <c r="D2999" s="84"/>
    </row>
    <row r="3000" spans="4:4" x14ac:dyDescent="0.2">
      <c r="D3000" s="84"/>
    </row>
    <row r="3001" spans="4:4" x14ac:dyDescent="0.2">
      <c r="D3001" s="84"/>
    </row>
    <row r="3002" spans="4:4" x14ac:dyDescent="0.2">
      <c r="D3002" s="84"/>
    </row>
    <row r="3003" spans="4:4" x14ac:dyDescent="0.2">
      <c r="D3003" s="84"/>
    </row>
    <row r="3004" spans="4:4" x14ac:dyDescent="0.2">
      <c r="D3004" s="84"/>
    </row>
    <row r="3005" spans="4:4" x14ac:dyDescent="0.2">
      <c r="D3005" s="84"/>
    </row>
    <row r="3006" spans="4:4" x14ac:dyDescent="0.2">
      <c r="D3006" s="84"/>
    </row>
    <row r="3007" spans="4:4" x14ac:dyDescent="0.2">
      <c r="D3007" s="84"/>
    </row>
    <row r="3008" spans="4:4" x14ac:dyDescent="0.2">
      <c r="D3008" s="84"/>
    </row>
    <row r="3009" spans="4:4" x14ac:dyDescent="0.2">
      <c r="D3009" s="84"/>
    </row>
    <row r="3010" spans="4:4" x14ac:dyDescent="0.2">
      <c r="D3010" s="84"/>
    </row>
    <row r="3011" spans="4:4" x14ac:dyDescent="0.2">
      <c r="D3011" s="84"/>
    </row>
    <row r="3012" spans="4:4" x14ac:dyDescent="0.2">
      <c r="D3012" s="84"/>
    </row>
    <row r="3013" spans="4:4" x14ac:dyDescent="0.2">
      <c r="D3013" s="84"/>
    </row>
    <row r="3014" spans="4:4" x14ac:dyDescent="0.2">
      <c r="D3014" s="84"/>
    </row>
    <row r="3015" spans="4:4" x14ac:dyDescent="0.2">
      <c r="D3015" s="84"/>
    </row>
    <row r="3016" spans="4:4" x14ac:dyDescent="0.2">
      <c r="D3016" s="84"/>
    </row>
    <row r="3017" spans="4:4" x14ac:dyDescent="0.2">
      <c r="D3017" s="84"/>
    </row>
    <row r="3018" spans="4:4" x14ac:dyDescent="0.2">
      <c r="D3018" s="84"/>
    </row>
    <row r="3019" spans="4:4" x14ac:dyDescent="0.2">
      <c r="D3019" s="84"/>
    </row>
    <row r="3020" spans="4:4" x14ac:dyDescent="0.2">
      <c r="D3020" s="84"/>
    </row>
    <row r="3021" spans="4:4" x14ac:dyDescent="0.2">
      <c r="D3021" s="84"/>
    </row>
    <row r="3022" spans="4:4" x14ac:dyDescent="0.2">
      <c r="D3022" s="84"/>
    </row>
    <row r="3023" spans="4:4" x14ac:dyDescent="0.2">
      <c r="D3023" s="84"/>
    </row>
    <row r="3024" spans="4:4" x14ac:dyDescent="0.2">
      <c r="D3024" s="84"/>
    </row>
    <row r="3025" spans="4:4" x14ac:dyDescent="0.2">
      <c r="D3025" s="84"/>
    </row>
    <row r="3026" spans="4:4" x14ac:dyDescent="0.2">
      <c r="D3026" s="84"/>
    </row>
    <row r="3027" spans="4:4" x14ac:dyDescent="0.2">
      <c r="D3027" s="84"/>
    </row>
    <row r="3028" spans="4:4" x14ac:dyDescent="0.2">
      <c r="D3028" s="84"/>
    </row>
    <row r="3029" spans="4:4" x14ac:dyDescent="0.2">
      <c r="D3029" s="84"/>
    </row>
    <row r="3030" spans="4:4" x14ac:dyDescent="0.2">
      <c r="D3030" s="84"/>
    </row>
    <row r="3031" spans="4:4" x14ac:dyDescent="0.2">
      <c r="D3031" s="84"/>
    </row>
    <row r="3032" spans="4:4" x14ac:dyDescent="0.2">
      <c r="D3032" s="84"/>
    </row>
    <row r="3033" spans="4:4" x14ac:dyDescent="0.2">
      <c r="D3033" s="84"/>
    </row>
    <row r="3034" spans="4:4" x14ac:dyDescent="0.2">
      <c r="D3034" s="84"/>
    </row>
    <row r="3035" spans="4:4" x14ac:dyDescent="0.2">
      <c r="D3035" s="84"/>
    </row>
    <row r="3036" spans="4:4" x14ac:dyDescent="0.2">
      <c r="D3036" s="84"/>
    </row>
    <row r="3037" spans="4:4" x14ac:dyDescent="0.2">
      <c r="D3037" s="84"/>
    </row>
    <row r="3038" spans="4:4" x14ac:dyDescent="0.2">
      <c r="D3038" s="84"/>
    </row>
    <row r="3039" spans="4:4" x14ac:dyDescent="0.2">
      <c r="D3039" s="84"/>
    </row>
    <row r="3040" spans="4:4" x14ac:dyDescent="0.2">
      <c r="D3040" s="84"/>
    </row>
    <row r="3041" spans="4:4" x14ac:dyDescent="0.2">
      <c r="D3041" s="84"/>
    </row>
    <row r="3042" spans="4:4" x14ac:dyDescent="0.2">
      <c r="D3042" s="84"/>
    </row>
    <row r="3043" spans="4:4" x14ac:dyDescent="0.2">
      <c r="D3043" s="84"/>
    </row>
    <row r="3044" spans="4:4" x14ac:dyDescent="0.2">
      <c r="D3044" s="84"/>
    </row>
    <row r="3045" spans="4:4" x14ac:dyDescent="0.2">
      <c r="D3045" s="84"/>
    </row>
    <row r="3046" spans="4:4" x14ac:dyDescent="0.2">
      <c r="D3046" s="84"/>
    </row>
    <row r="3047" spans="4:4" x14ac:dyDescent="0.2">
      <c r="D3047" s="84"/>
    </row>
    <row r="3048" spans="4:4" x14ac:dyDescent="0.2">
      <c r="D3048" s="84"/>
    </row>
    <row r="3049" spans="4:4" x14ac:dyDescent="0.2">
      <c r="D3049" s="84"/>
    </row>
    <row r="3050" spans="4:4" x14ac:dyDescent="0.2">
      <c r="D3050" s="84"/>
    </row>
    <row r="3051" spans="4:4" x14ac:dyDescent="0.2">
      <c r="D3051" s="84"/>
    </row>
    <row r="3052" spans="4:4" x14ac:dyDescent="0.2">
      <c r="D3052" s="84"/>
    </row>
    <row r="3053" spans="4:4" x14ac:dyDescent="0.2">
      <c r="D3053" s="84"/>
    </row>
    <row r="3054" spans="4:4" x14ac:dyDescent="0.2">
      <c r="D3054" s="84"/>
    </row>
    <row r="3055" spans="4:4" x14ac:dyDescent="0.2">
      <c r="D3055" s="84"/>
    </row>
    <row r="3056" spans="4:4" x14ac:dyDescent="0.2">
      <c r="D3056" s="84"/>
    </row>
    <row r="3057" spans="4:4" x14ac:dyDescent="0.2">
      <c r="D3057" s="84"/>
    </row>
    <row r="3058" spans="4:4" x14ac:dyDescent="0.2">
      <c r="D3058" s="84"/>
    </row>
    <row r="3059" spans="4:4" x14ac:dyDescent="0.2">
      <c r="D3059" s="84"/>
    </row>
    <row r="3060" spans="4:4" x14ac:dyDescent="0.2">
      <c r="D3060" s="84"/>
    </row>
    <row r="3061" spans="4:4" x14ac:dyDescent="0.2">
      <c r="D3061" s="84"/>
    </row>
    <row r="3062" spans="4:4" x14ac:dyDescent="0.2">
      <c r="D3062" s="84"/>
    </row>
    <row r="3063" spans="4:4" x14ac:dyDescent="0.2">
      <c r="D3063" s="84"/>
    </row>
    <row r="3064" spans="4:4" x14ac:dyDescent="0.2">
      <c r="D3064" s="84"/>
    </row>
    <row r="3065" spans="4:4" x14ac:dyDescent="0.2">
      <c r="D3065" s="84"/>
    </row>
    <row r="3066" spans="4:4" x14ac:dyDescent="0.2">
      <c r="D3066" s="84"/>
    </row>
    <row r="3067" spans="4:4" x14ac:dyDescent="0.2">
      <c r="D3067" s="84"/>
    </row>
    <row r="3068" spans="4:4" x14ac:dyDescent="0.2">
      <c r="D3068" s="84"/>
    </row>
    <row r="3069" spans="4:4" x14ac:dyDescent="0.2">
      <c r="D3069" s="84"/>
    </row>
    <row r="3070" spans="4:4" x14ac:dyDescent="0.2">
      <c r="D3070" s="84"/>
    </row>
    <row r="3071" spans="4:4" x14ac:dyDescent="0.2">
      <c r="D3071" s="84"/>
    </row>
    <row r="3072" spans="4:4" x14ac:dyDescent="0.2">
      <c r="D3072" s="84"/>
    </row>
    <row r="3073" spans="4:4" x14ac:dyDescent="0.2">
      <c r="D3073" s="84"/>
    </row>
    <row r="3074" spans="4:4" x14ac:dyDescent="0.2">
      <c r="D3074" s="84"/>
    </row>
    <row r="3075" spans="4:4" x14ac:dyDescent="0.2">
      <c r="D3075" s="84"/>
    </row>
    <row r="3076" spans="4:4" x14ac:dyDescent="0.2">
      <c r="D3076" s="84"/>
    </row>
    <row r="3077" spans="4:4" x14ac:dyDescent="0.2">
      <c r="D3077" s="84"/>
    </row>
    <row r="3078" spans="4:4" x14ac:dyDescent="0.2">
      <c r="D3078" s="84"/>
    </row>
    <row r="3079" spans="4:4" x14ac:dyDescent="0.2">
      <c r="D3079" s="84"/>
    </row>
    <row r="3080" spans="4:4" x14ac:dyDescent="0.2">
      <c r="D3080" s="84"/>
    </row>
    <row r="3081" spans="4:4" x14ac:dyDescent="0.2">
      <c r="D3081" s="84"/>
    </row>
    <row r="3082" spans="4:4" x14ac:dyDescent="0.2">
      <c r="D3082" s="84"/>
    </row>
    <row r="3083" spans="4:4" x14ac:dyDescent="0.2">
      <c r="D3083" s="84"/>
    </row>
    <row r="3084" spans="4:4" x14ac:dyDescent="0.2">
      <c r="D3084" s="84"/>
    </row>
    <row r="3085" spans="4:4" x14ac:dyDescent="0.2">
      <c r="D3085" s="84"/>
    </row>
    <row r="3086" spans="4:4" x14ac:dyDescent="0.2">
      <c r="D3086" s="84"/>
    </row>
    <row r="3087" spans="4:4" x14ac:dyDescent="0.2">
      <c r="D3087" s="84"/>
    </row>
    <row r="3088" spans="4:4" x14ac:dyDescent="0.2">
      <c r="D3088" s="84"/>
    </row>
    <row r="3089" spans="4:4" x14ac:dyDescent="0.2">
      <c r="D3089" s="84"/>
    </row>
    <row r="3090" spans="4:4" x14ac:dyDescent="0.2">
      <c r="D3090" s="84"/>
    </row>
    <row r="3091" spans="4:4" x14ac:dyDescent="0.2">
      <c r="D3091" s="84"/>
    </row>
    <row r="3092" spans="4:4" x14ac:dyDescent="0.2">
      <c r="D3092" s="84"/>
    </row>
    <row r="3093" spans="4:4" x14ac:dyDescent="0.2">
      <c r="D3093" s="84"/>
    </row>
    <row r="3094" spans="4:4" x14ac:dyDescent="0.2">
      <c r="D3094" s="84"/>
    </row>
    <row r="3095" spans="4:4" x14ac:dyDescent="0.2">
      <c r="D3095" s="84"/>
    </row>
    <row r="3096" spans="4:4" x14ac:dyDescent="0.2">
      <c r="D3096" s="84"/>
    </row>
    <row r="3097" spans="4:4" x14ac:dyDescent="0.2">
      <c r="D3097" s="84"/>
    </row>
    <row r="3098" spans="4:4" x14ac:dyDescent="0.2">
      <c r="D3098" s="84"/>
    </row>
    <row r="3099" spans="4:4" x14ac:dyDescent="0.2">
      <c r="D3099" s="84"/>
    </row>
    <row r="3100" spans="4:4" x14ac:dyDescent="0.2">
      <c r="D3100" s="84"/>
    </row>
    <row r="3101" spans="4:4" x14ac:dyDescent="0.2">
      <c r="D3101" s="84"/>
    </row>
    <row r="3102" spans="4:4" x14ac:dyDescent="0.2">
      <c r="D3102" s="84"/>
    </row>
    <row r="3103" spans="4:4" x14ac:dyDescent="0.2">
      <c r="D3103" s="84"/>
    </row>
    <row r="3104" spans="4:4" x14ac:dyDescent="0.2">
      <c r="D3104" s="84"/>
    </row>
    <row r="3105" spans="4:4" x14ac:dyDescent="0.2">
      <c r="D3105" s="84"/>
    </row>
    <row r="3106" spans="4:4" x14ac:dyDescent="0.2">
      <c r="D3106" s="84"/>
    </row>
    <row r="3107" spans="4:4" x14ac:dyDescent="0.2">
      <c r="D3107" s="84"/>
    </row>
    <row r="3108" spans="4:4" x14ac:dyDescent="0.2">
      <c r="D3108" s="84"/>
    </row>
    <row r="3109" spans="4:4" x14ac:dyDescent="0.2">
      <c r="D3109" s="84"/>
    </row>
    <row r="3110" spans="4:4" x14ac:dyDescent="0.2">
      <c r="D3110" s="84"/>
    </row>
    <row r="3111" spans="4:4" x14ac:dyDescent="0.2">
      <c r="D3111" s="84"/>
    </row>
    <row r="3112" spans="4:4" x14ac:dyDescent="0.2">
      <c r="D3112" s="84"/>
    </row>
    <row r="3113" spans="4:4" x14ac:dyDescent="0.2">
      <c r="D3113" s="84"/>
    </row>
    <row r="3114" spans="4:4" x14ac:dyDescent="0.2">
      <c r="D3114" s="84"/>
    </row>
    <row r="3115" spans="4:4" x14ac:dyDescent="0.2">
      <c r="D3115" s="84"/>
    </row>
    <row r="3116" spans="4:4" x14ac:dyDescent="0.2">
      <c r="D3116" s="84"/>
    </row>
    <row r="3117" spans="4:4" x14ac:dyDescent="0.2">
      <c r="D3117" s="84"/>
    </row>
    <row r="3118" spans="4:4" x14ac:dyDescent="0.2">
      <c r="D3118" s="84"/>
    </row>
    <row r="3119" spans="4:4" x14ac:dyDescent="0.2">
      <c r="D3119" s="84"/>
    </row>
    <row r="3120" spans="4:4" x14ac:dyDescent="0.2">
      <c r="D3120" s="84"/>
    </row>
    <row r="3121" spans="4:4" x14ac:dyDescent="0.2">
      <c r="D3121" s="84"/>
    </row>
    <row r="3122" spans="4:4" x14ac:dyDescent="0.2">
      <c r="D3122" s="84"/>
    </row>
    <row r="3123" spans="4:4" x14ac:dyDescent="0.2">
      <c r="D3123" s="84"/>
    </row>
    <row r="3124" spans="4:4" x14ac:dyDescent="0.2">
      <c r="D3124" s="84"/>
    </row>
    <row r="3125" spans="4:4" x14ac:dyDescent="0.2">
      <c r="D3125" s="84"/>
    </row>
    <row r="3126" spans="4:4" x14ac:dyDescent="0.2">
      <c r="D3126" s="84"/>
    </row>
    <row r="3127" spans="4:4" x14ac:dyDescent="0.2">
      <c r="D3127" s="84"/>
    </row>
    <row r="3128" spans="4:4" x14ac:dyDescent="0.2">
      <c r="D3128" s="84"/>
    </row>
    <row r="3129" spans="4:4" x14ac:dyDescent="0.2">
      <c r="D3129" s="84"/>
    </row>
    <row r="3130" spans="4:4" x14ac:dyDescent="0.2">
      <c r="D3130" s="84"/>
    </row>
    <row r="3131" spans="4:4" x14ac:dyDescent="0.2">
      <c r="D3131" s="84"/>
    </row>
    <row r="3132" spans="4:4" x14ac:dyDescent="0.2">
      <c r="D3132" s="84"/>
    </row>
    <row r="3133" spans="4:4" x14ac:dyDescent="0.2">
      <c r="D3133" s="84"/>
    </row>
    <row r="3134" spans="4:4" x14ac:dyDescent="0.2">
      <c r="D3134" s="84"/>
    </row>
    <row r="3135" spans="4:4" x14ac:dyDescent="0.2">
      <c r="D3135" s="84"/>
    </row>
    <row r="3136" spans="4:4" x14ac:dyDescent="0.2">
      <c r="D3136" s="84"/>
    </row>
    <row r="3137" spans="4:4" x14ac:dyDescent="0.2">
      <c r="D3137" s="84"/>
    </row>
    <row r="3138" spans="4:4" x14ac:dyDescent="0.2">
      <c r="D3138" s="84"/>
    </row>
    <row r="3139" spans="4:4" x14ac:dyDescent="0.2">
      <c r="D3139" s="84"/>
    </row>
    <row r="3140" spans="4:4" x14ac:dyDescent="0.2">
      <c r="D3140" s="84"/>
    </row>
    <row r="3141" spans="4:4" x14ac:dyDescent="0.2">
      <c r="D3141" s="84"/>
    </row>
    <row r="3142" spans="4:4" x14ac:dyDescent="0.2">
      <c r="D3142" s="84"/>
    </row>
    <row r="3143" spans="4:4" x14ac:dyDescent="0.2">
      <c r="D3143" s="84"/>
    </row>
    <row r="3144" spans="4:4" x14ac:dyDescent="0.2">
      <c r="D3144" s="84"/>
    </row>
    <row r="3145" spans="4:4" x14ac:dyDescent="0.2">
      <c r="D3145" s="84"/>
    </row>
    <row r="3146" spans="4:4" x14ac:dyDescent="0.2">
      <c r="D3146" s="84"/>
    </row>
    <row r="3147" spans="4:4" x14ac:dyDescent="0.2">
      <c r="D3147" s="84"/>
    </row>
    <row r="3148" spans="4:4" x14ac:dyDescent="0.2">
      <c r="D3148" s="84"/>
    </row>
    <row r="3149" spans="4:4" x14ac:dyDescent="0.2">
      <c r="D3149" s="84"/>
    </row>
    <row r="3150" spans="4:4" x14ac:dyDescent="0.2">
      <c r="D3150" s="84"/>
    </row>
    <row r="3151" spans="4:4" x14ac:dyDescent="0.2">
      <c r="D3151" s="84"/>
    </row>
    <row r="3152" spans="4:4" x14ac:dyDescent="0.2">
      <c r="D3152" s="84"/>
    </row>
    <row r="3153" spans="4:4" x14ac:dyDescent="0.2">
      <c r="D3153" s="84"/>
    </row>
    <row r="3154" spans="4:4" x14ac:dyDescent="0.2">
      <c r="D3154" s="84"/>
    </row>
    <row r="3155" spans="4:4" x14ac:dyDescent="0.2">
      <c r="D3155" s="84"/>
    </row>
    <row r="3156" spans="4:4" x14ac:dyDescent="0.2">
      <c r="D3156" s="84"/>
    </row>
    <row r="3157" spans="4:4" x14ac:dyDescent="0.2">
      <c r="D3157" s="84"/>
    </row>
    <row r="3158" spans="4:4" x14ac:dyDescent="0.2">
      <c r="D3158" s="84"/>
    </row>
    <row r="3159" spans="4:4" x14ac:dyDescent="0.2">
      <c r="D3159" s="84"/>
    </row>
    <row r="3160" spans="4:4" x14ac:dyDescent="0.2">
      <c r="D3160" s="84"/>
    </row>
    <row r="3161" spans="4:4" x14ac:dyDescent="0.2">
      <c r="D3161" s="84"/>
    </row>
    <row r="3162" spans="4:4" x14ac:dyDescent="0.2">
      <c r="D3162" s="84"/>
    </row>
    <row r="3163" spans="4:4" x14ac:dyDescent="0.2">
      <c r="D3163" s="84"/>
    </row>
    <row r="3164" spans="4:4" x14ac:dyDescent="0.2">
      <c r="D3164" s="84"/>
    </row>
    <row r="3165" spans="4:4" x14ac:dyDescent="0.2">
      <c r="D3165" s="84"/>
    </row>
    <row r="3166" spans="4:4" x14ac:dyDescent="0.2">
      <c r="D3166" s="84"/>
    </row>
    <row r="3167" spans="4:4" x14ac:dyDescent="0.2">
      <c r="D3167" s="84"/>
    </row>
    <row r="3168" spans="4:4" x14ac:dyDescent="0.2">
      <c r="D3168" s="84"/>
    </row>
    <row r="3169" spans="4:4" x14ac:dyDescent="0.2">
      <c r="D3169" s="84"/>
    </row>
    <row r="3170" spans="4:4" x14ac:dyDescent="0.2">
      <c r="D3170" s="84"/>
    </row>
    <row r="3171" spans="4:4" x14ac:dyDescent="0.2">
      <c r="D3171" s="84"/>
    </row>
    <row r="3172" spans="4:4" x14ac:dyDescent="0.2">
      <c r="D3172" s="84"/>
    </row>
    <row r="3173" spans="4:4" x14ac:dyDescent="0.2">
      <c r="D3173" s="84"/>
    </row>
    <row r="3174" spans="4:4" x14ac:dyDescent="0.2">
      <c r="D3174" s="84"/>
    </row>
    <row r="3175" spans="4:4" x14ac:dyDescent="0.2">
      <c r="D3175" s="84"/>
    </row>
    <row r="3176" spans="4:4" x14ac:dyDescent="0.2">
      <c r="D3176" s="84"/>
    </row>
    <row r="3177" spans="4:4" x14ac:dyDescent="0.2">
      <c r="D3177" s="84"/>
    </row>
    <row r="3178" spans="4:4" x14ac:dyDescent="0.2">
      <c r="D3178" s="84"/>
    </row>
    <row r="3179" spans="4:4" x14ac:dyDescent="0.2">
      <c r="D3179" s="84"/>
    </row>
    <row r="3180" spans="4:4" x14ac:dyDescent="0.2">
      <c r="D3180" s="84"/>
    </row>
    <row r="3181" spans="4:4" x14ac:dyDescent="0.2">
      <c r="D3181" s="84"/>
    </row>
    <row r="3182" spans="4:4" x14ac:dyDescent="0.2">
      <c r="D3182" s="84"/>
    </row>
    <row r="3183" spans="4:4" x14ac:dyDescent="0.2">
      <c r="D3183" s="84"/>
    </row>
    <row r="3184" spans="4:4" x14ac:dyDescent="0.2">
      <c r="D3184" s="84"/>
    </row>
    <row r="3185" spans="4:4" x14ac:dyDescent="0.2">
      <c r="D3185" s="84"/>
    </row>
    <row r="3186" spans="4:4" x14ac:dyDescent="0.2">
      <c r="D3186" s="84"/>
    </row>
    <row r="3187" spans="4:4" x14ac:dyDescent="0.2">
      <c r="D3187" s="84"/>
    </row>
    <row r="3188" spans="4:4" x14ac:dyDescent="0.2">
      <c r="D3188" s="84"/>
    </row>
    <row r="3189" spans="4:4" x14ac:dyDescent="0.2">
      <c r="D3189" s="84"/>
    </row>
    <row r="3190" spans="4:4" x14ac:dyDescent="0.2">
      <c r="D3190" s="84"/>
    </row>
    <row r="3191" spans="4:4" x14ac:dyDescent="0.2">
      <c r="D3191" s="84"/>
    </row>
    <row r="3192" spans="4:4" x14ac:dyDescent="0.2">
      <c r="D3192" s="84"/>
    </row>
    <row r="3193" spans="4:4" x14ac:dyDescent="0.2">
      <c r="D3193" s="84"/>
    </row>
    <row r="3194" spans="4:4" x14ac:dyDescent="0.2">
      <c r="D3194" s="84"/>
    </row>
    <row r="3195" spans="4:4" x14ac:dyDescent="0.2">
      <c r="D3195" s="84"/>
    </row>
    <row r="3196" spans="4:4" x14ac:dyDescent="0.2">
      <c r="D3196" s="84"/>
    </row>
    <row r="3197" spans="4:4" x14ac:dyDescent="0.2">
      <c r="D3197" s="84"/>
    </row>
    <row r="3198" spans="4:4" x14ac:dyDescent="0.2">
      <c r="D3198" s="84"/>
    </row>
    <row r="3199" spans="4:4" x14ac:dyDescent="0.2">
      <c r="D3199" s="84"/>
    </row>
    <row r="3200" spans="4:4" x14ac:dyDescent="0.2">
      <c r="D3200" s="84"/>
    </row>
    <row r="3201" spans="4:4" x14ac:dyDescent="0.2">
      <c r="D3201" s="84"/>
    </row>
    <row r="3202" spans="4:4" x14ac:dyDescent="0.2">
      <c r="D3202" s="84"/>
    </row>
    <row r="3203" spans="4:4" x14ac:dyDescent="0.2">
      <c r="D3203" s="84"/>
    </row>
    <row r="3204" spans="4:4" x14ac:dyDescent="0.2">
      <c r="D3204" s="84"/>
    </row>
    <row r="3205" spans="4:4" x14ac:dyDescent="0.2">
      <c r="D3205" s="84"/>
    </row>
    <row r="3206" spans="4:4" x14ac:dyDescent="0.2">
      <c r="D3206" s="84"/>
    </row>
    <row r="3207" spans="4:4" x14ac:dyDescent="0.2">
      <c r="D3207" s="84"/>
    </row>
    <row r="3208" spans="4:4" x14ac:dyDescent="0.2">
      <c r="D3208" s="84"/>
    </row>
    <row r="3209" spans="4:4" x14ac:dyDescent="0.2">
      <c r="D3209" s="84"/>
    </row>
    <row r="3210" spans="4:4" x14ac:dyDescent="0.2">
      <c r="D3210" s="84"/>
    </row>
    <row r="3211" spans="4:4" x14ac:dyDescent="0.2">
      <c r="D3211" s="84"/>
    </row>
    <row r="3212" spans="4:4" x14ac:dyDescent="0.2">
      <c r="D3212" s="84"/>
    </row>
    <row r="3213" spans="4:4" x14ac:dyDescent="0.2">
      <c r="D3213" s="84"/>
    </row>
    <row r="3214" spans="4:4" x14ac:dyDescent="0.2">
      <c r="D3214" s="84"/>
    </row>
    <row r="3215" spans="4:4" x14ac:dyDescent="0.2">
      <c r="D3215" s="84"/>
    </row>
    <row r="3216" spans="4:4" x14ac:dyDescent="0.2">
      <c r="D3216" s="84"/>
    </row>
    <row r="3217" spans="4:4" x14ac:dyDescent="0.2">
      <c r="D3217" s="84"/>
    </row>
    <row r="3218" spans="4:4" x14ac:dyDescent="0.2">
      <c r="D3218" s="84"/>
    </row>
    <row r="3219" spans="4:4" x14ac:dyDescent="0.2">
      <c r="D3219" s="84"/>
    </row>
    <row r="3220" spans="4:4" x14ac:dyDescent="0.2">
      <c r="D3220" s="84"/>
    </row>
    <row r="3221" spans="4:4" x14ac:dyDescent="0.2">
      <c r="D3221" s="84"/>
    </row>
    <row r="3222" spans="4:4" x14ac:dyDescent="0.2">
      <c r="D3222" s="84"/>
    </row>
    <row r="3223" spans="4:4" x14ac:dyDescent="0.2">
      <c r="D3223" s="84"/>
    </row>
    <row r="3224" spans="4:4" x14ac:dyDescent="0.2">
      <c r="D3224" s="84"/>
    </row>
    <row r="3225" spans="4:4" x14ac:dyDescent="0.2">
      <c r="D3225" s="84"/>
    </row>
    <row r="3226" spans="4:4" x14ac:dyDescent="0.2">
      <c r="D3226" s="84"/>
    </row>
    <row r="3227" spans="4:4" x14ac:dyDescent="0.2">
      <c r="D3227" s="84"/>
    </row>
    <row r="3228" spans="4:4" x14ac:dyDescent="0.2">
      <c r="D3228" s="84"/>
    </row>
    <row r="3229" spans="4:4" x14ac:dyDescent="0.2">
      <c r="D3229" s="84"/>
    </row>
    <row r="3230" spans="4:4" x14ac:dyDescent="0.2">
      <c r="D3230" s="84"/>
    </row>
    <row r="3231" spans="4:4" x14ac:dyDescent="0.2">
      <c r="D3231" s="84"/>
    </row>
    <row r="3232" spans="4:4" x14ac:dyDescent="0.2">
      <c r="D3232" s="84"/>
    </row>
    <row r="3233" spans="4:4" x14ac:dyDescent="0.2">
      <c r="D3233" s="84"/>
    </row>
    <row r="3234" spans="4:4" x14ac:dyDescent="0.2">
      <c r="D3234" s="84"/>
    </row>
    <row r="3235" spans="4:4" x14ac:dyDescent="0.2">
      <c r="D3235" s="84"/>
    </row>
    <row r="3236" spans="4:4" x14ac:dyDescent="0.2">
      <c r="D3236" s="84"/>
    </row>
    <row r="3237" spans="4:4" x14ac:dyDescent="0.2">
      <c r="D3237" s="84"/>
    </row>
    <row r="3238" spans="4:4" x14ac:dyDescent="0.2">
      <c r="D3238" s="84"/>
    </row>
    <row r="3239" spans="4:4" x14ac:dyDescent="0.2">
      <c r="D3239" s="84"/>
    </row>
    <row r="3240" spans="4:4" x14ac:dyDescent="0.2">
      <c r="D3240" s="84"/>
    </row>
    <row r="3241" spans="4:4" x14ac:dyDescent="0.2">
      <c r="D3241" s="84"/>
    </row>
    <row r="3242" spans="4:4" x14ac:dyDescent="0.2">
      <c r="D3242" s="84"/>
    </row>
    <row r="3243" spans="4:4" x14ac:dyDescent="0.2">
      <c r="D3243" s="84"/>
    </row>
    <row r="3244" spans="4:4" x14ac:dyDescent="0.2">
      <c r="D3244" s="84"/>
    </row>
    <row r="3245" spans="4:4" x14ac:dyDescent="0.2">
      <c r="D3245" s="84"/>
    </row>
    <row r="3246" spans="4:4" x14ac:dyDescent="0.2">
      <c r="D3246" s="84"/>
    </row>
    <row r="3247" spans="4:4" x14ac:dyDescent="0.2">
      <c r="D3247" s="84"/>
    </row>
    <row r="3248" spans="4:4" x14ac:dyDescent="0.2">
      <c r="D3248" s="84"/>
    </row>
    <row r="3249" spans="4:4" x14ac:dyDescent="0.2">
      <c r="D3249" s="84"/>
    </row>
    <row r="3250" spans="4:4" x14ac:dyDescent="0.2">
      <c r="D3250" s="84"/>
    </row>
    <row r="3251" spans="4:4" x14ac:dyDescent="0.2">
      <c r="D3251" s="84"/>
    </row>
    <row r="3252" spans="4:4" x14ac:dyDescent="0.2">
      <c r="D3252" s="84"/>
    </row>
    <row r="3253" spans="4:4" x14ac:dyDescent="0.2">
      <c r="D3253" s="84"/>
    </row>
    <row r="3254" spans="4:4" x14ac:dyDescent="0.2">
      <c r="D3254" s="84"/>
    </row>
    <row r="3255" spans="4:4" x14ac:dyDescent="0.2">
      <c r="D3255" s="84"/>
    </row>
    <row r="3256" spans="4:4" x14ac:dyDescent="0.2">
      <c r="D3256" s="84"/>
    </row>
    <row r="3257" spans="4:4" x14ac:dyDescent="0.2">
      <c r="D3257" s="84"/>
    </row>
    <row r="3258" spans="4:4" x14ac:dyDescent="0.2">
      <c r="D3258" s="84"/>
    </row>
    <row r="3259" spans="4:4" x14ac:dyDescent="0.2">
      <c r="D3259" s="84"/>
    </row>
    <row r="3260" spans="4:4" x14ac:dyDescent="0.2">
      <c r="D3260" s="84"/>
    </row>
    <row r="3261" spans="4:4" x14ac:dyDescent="0.2">
      <c r="D3261" s="84"/>
    </row>
    <row r="3262" spans="4:4" x14ac:dyDescent="0.2">
      <c r="D3262" s="84"/>
    </row>
    <row r="3263" spans="4:4" x14ac:dyDescent="0.2">
      <c r="D3263" s="84"/>
    </row>
    <row r="3264" spans="4:4" x14ac:dyDescent="0.2">
      <c r="D3264" s="84"/>
    </row>
    <row r="3265" spans="4:4" x14ac:dyDescent="0.2">
      <c r="D3265" s="84"/>
    </row>
    <row r="3266" spans="4:4" x14ac:dyDescent="0.2">
      <c r="D3266" s="84"/>
    </row>
    <row r="3267" spans="4:4" x14ac:dyDescent="0.2">
      <c r="D3267" s="84"/>
    </row>
    <row r="3268" spans="4:4" x14ac:dyDescent="0.2">
      <c r="D3268" s="84"/>
    </row>
    <row r="3269" spans="4:4" x14ac:dyDescent="0.2">
      <c r="D3269" s="84"/>
    </row>
    <row r="3270" spans="4:4" x14ac:dyDescent="0.2">
      <c r="D3270" s="84"/>
    </row>
    <row r="3271" spans="4:4" x14ac:dyDescent="0.2">
      <c r="D3271" s="84"/>
    </row>
    <row r="3272" spans="4:4" x14ac:dyDescent="0.2">
      <c r="D3272" s="84"/>
    </row>
    <row r="3273" spans="4:4" x14ac:dyDescent="0.2">
      <c r="D3273" s="84"/>
    </row>
    <row r="3274" spans="4:4" x14ac:dyDescent="0.2">
      <c r="D3274" s="84"/>
    </row>
    <row r="3275" spans="4:4" x14ac:dyDescent="0.2">
      <c r="D3275" s="84"/>
    </row>
    <row r="3276" spans="4:4" x14ac:dyDescent="0.2">
      <c r="D3276" s="84"/>
    </row>
    <row r="3277" spans="4:4" x14ac:dyDescent="0.2">
      <c r="D3277" s="84"/>
    </row>
    <row r="3278" spans="4:4" x14ac:dyDescent="0.2">
      <c r="D3278" s="84"/>
    </row>
    <row r="3279" spans="4:4" x14ac:dyDescent="0.2">
      <c r="D3279" s="84"/>
    </row>
    <row r="3280" spans="4:4" x14ac:dyDescent="0.2">
      <c r="D3280" s="84"/>
    </row>
    <row r="3281" spans="4:4" x14ac:dyDescent="0.2">
      <c r="D3281" s="84"/>
    </row>
    <row r="3282" spans="4:4" x14ac:dyDescent="0.2">
      <c r="D3282" s="84"/>
    </row>
    <row r="3283" spans="4:4" x14ac:dyDescent="0.2">
      <c r="D3283" s="84"/>
    </row>
    <row r="3284" spans="4:4" x14ac:dyDescent="0.2">
      <c r="D3284" s="84"/>
    </row>
    <row r="3285" spans="4:4" x14ac:dyDescent="0.2">
      <c r="D3285" s="84"/>
    </row>
    <row r="3286" spans="4:4" x14ac:dyDescent="0.2">
      <c r="D3286" s="84"/>
    </row>
    <row r="3287" spans="4:4" x14ac:dyDescent="0.2">
      <c r="D3287" s="84"/>
    </row>
    <row r="3288" spans="4:4" x14ac:dyDescent="0.2">
      <c r="D3288" s="84"/>
    </row>
    <row r="3289" spans="4:4" x14ac:dyDescent="0.2">
      <c r="D3289" s="84"/>
    </row>
    <row r="3290" spans="4:4" x14ac:dyDescent="0.2">
      <c r="D3290" s="84"/>
    </row>
    <row r="3291" spans="4:4" x14ac:dyDescent="0.2">
      <c r="D3291" s="84"/>
    </row>
    <row r="3292" spans="4:4" x14ac:dyDescent="0.2">
      <c r="D3292" s="84"/>
    </row>
    <row r="3293" spans="4:4" x14ac:dyDescent="0.2">
      <c r="D3293" s="84"/>
    </row>
    <row r="3294" spans="4:4" x14ac:dyDescent="0.2">
      <c r="D3294" s="84"/>
    </row>
    <row r="3295" spans="4:4" x14ac:dyDescent="0.2">
      <c r="D3295" s="84"/>
    </row>
    <row r="3296" spans="4:4" x14ac:dyDescent="0.2">
      <c r="D3296" s="84"/>
    </row>
    <row r="3297" spans="4:4" x14ac:dyDescent="0.2">
      <c r="D3297" s="84"/>
    </row>
    <row r="3298" spans="4:4" x14ac:dyDescent="0.2">
      <c r="D3298" s="84"/>
    </row>
    <row r="3299" spans="4:4" x14ac:dyDescent="0.2">
      <c r="D3299" s="84"/>
    </row>
    <row r="3300" spans="4:4" x14ac:dyDescent="0.2">
      <c r="D3300" s="84"/>
    </row>
    <row r="3301" spans="4:4" x14ac:dyDescent="0.2">
      <c r="D3301" s="84"/>
    </row>
    <row r="3302" spans="4:4" x14ac:dyDescent="0.2">
      <c r="D3302" s="84"/>
    </row>
    <row r="3303" spans="4:4" x14ac:dyDescent="0.2">
      <c r="D3303" s="84"/>
    </row>
    <row r="3304" spans="4:4" x14ac:dyDescent="0.2">
      <c r="D3304" s="84"/>
    </row>
    <row r="3305" spans="4:4" x14ac:dyDescent="0.2">
      <c r="D3305" s="84"/>
    </row>
    <row r="3306" spans="4:4" x14ac:dyDescent="0.2">
      <c r="D3306" s="84"/>
    </row>
    <row r="3307" spans="4:4" x14ac:dyDescent="0.2">
      <c r="D3307" s="84"/>
    </row>
    <row r="3308" spans="4:4" x14ac:dyDescent="0.2">
      <c r="D3308" s="84"/>
    </row>
    <row r="3309" spans="4:4" x14ac:dyDescent="0.2">
      <c r="D3309" s="84"/>
    </row>
    <row r="3310" spans="4:4" x14ac:dyDescent="0.2">
      <c r="D3310" s="84"/>
    </row>
    <row r="3311" spans="4:4" x14ac:dyDescent="0.2">
      <c r="D3311" s="84"/>
    </row>
    <row r="3312" spans="4:4" x14ac:dyDescent="0.2">
      <c r="D3312" s="84"/>
    </row>
    <row r="3313" spans="4:4" x14ac:dyDescent="0.2">
      <c r="D3313" s="84"/>
    </row>
    <row r="3314" spans="4:4" x14ac:dyDescent="0.2">
      <c r="D3314" s="84"/>
    </row>
    <row r="3315" spans="4:4" x14ac:dyDescent="0.2">
      <c r="D3315" s="84"/>
    </row>
    <row r="3316" spans="4:4" x14ac:dyDescent="0.2">
      <c r="D3316" s="84"/>
    </row>
    <row r="3317" spans="4:4" x14ac:dyDescent="0.2">
      <c r="D3317" s="84"/>
    </row>
    <row r="3318" spans="4:4" x14ac:dyDescent="0.2">
      <c r="D3318" s="84"/>
    </row>
    <row r="3319" spans="4:4" x14ac:dyDescent="0.2">
      <c r="D3319" s="84"/>
    </row>
    <row r="3320" spans="4:4" x14ac:dyDescent="0.2">
      <c r="D3320" s="84"/>
    </row>
    <row r="3321" spans="4:4" x14ac:dyDescent="0.2">
      <c r="D3321" s="84"/>
    </row>
    <row r="3322" spans="4:4" x14ac:dyDescent="0.2">
      <c r="D3322" s="84"/>
    </row>
    <row r="3323" spans="4:4" x14ac:dyDescent="0.2">
      <c r="D3323" s="84"/>
    </row>
    <row r="3324" spans="4:4" x14ac:dyDescent="0.2">
      <c r="D3324" s="84"/>
    </row>
    <row r="3325" spans="4:4" x14ac:dyDescent="0.2">
      <c r="D3325" s="84"/>
    </row>
    <row r="3326" spans="4:4" x14ac:dyDescent="0.2">
      <c r="D3326" s="84"/>
    </row>
    <row r="3327" spans="4:4" x14ac:dyDescent="0.2">
      <c r="D3327" s="84"/>
    </row>
    <row r="3328" spans="4:4" x14ac:dyDescent="0.2">
      <c r="D3328" s="84"/>
    </row>
    <row r="3329" spans="4:4" x14ac:dyDescent="0.2">
      <c r="D3329" s="84"/>
    </row>
    <row r="3330" spans="4:4" x14ac:dyDescent="0.2">
      <c r="D3330" s="84"/>
    </row>
    <row r="3331" spans="4:4" x14ac:dyDescent="0.2">
      <c r="D3331" s="84"/>
    </row>
    <row r="3332" spans="4:4" x14ac:dyDescent="0.2">
      <c r="D3332" s="84"/>
    </row>
    <row r="3333" spans="4:4" x14ac:dyDescent="0.2">
      <c r="D3333" s="84"/>
    </row>
    <row r="3334" spans="4:4" x14ac:dyDescent="0.2">
      <c r="D3334" s="84"/>
    </row>
    <row r="3335" spans="4:4" x14ac:dyDescent="0.2">
      <c r="D3335" s="84"/>
    </row>
    <row r="3336" spans="4:4" x14ac:dyDescent="0.2">
      <c r="D3336" s="84"/>
    </row>
    <row r="3337" spans="4:4" x14ac:dyDescent="0.2">
      <c r="D3337" s="84"/>
    </row>
    <row r="3338" spans="4:4" x14ac:dyDescent="0.2">
      <c r="D3338" s="84"/>
    </row>
    <row r="3339" spans="4:4" x14ac:dyDescent="0.2">
      <c r="D3339" s="84"/>
    </row>
    <row r="3340" spans="4:4" x14ac:dyDescent="0.2">
      <c r="D3340" s="84"/>
    </row>
    <row r="3341" spans="4:4" x14ac:dyDescent="0.2">
      <c r="D3341" s="84"/>
    </row>
    <row r="3342" spans="4:4" x14ac:dyDescent="0.2">
      <c r="D3342" s="84"/>
    </row>
    <row r="3343" spans="4:4" x14ac:dyDescent="0.2">
      <c r="D3343" s="84"/>
    </row>
    <row r="3344" spans="4:4" x14ac:dyDescent="0.2">
      <c r="D3344" s="84"/>
    </row>
    <row r="3345" spans="4:4" x14ac:dyDescent="0.2">
      <c r="D3345" s="84"/>
    </row>
    <row r="3346" spans="4:4" x14ac:dyDescent="0.2">
      <c r="D3346" s="84"/>
    </row>
    <row r="3347" spans="4:4" x14ac:dyDescent="0.2">
      <c r="D3347" s="84"/>
    </row>
    <row r="3348" spans="4:4" x14ac:dyDescent="0.2">
      <c r="D3348" s="84"/>
    </row>
    <row r="3349" spans="4:4" x14ac:dyDescent="0.2">
      <c r="D3349" s="84"/>
    </row>
    <row r="3350" spans="4:4" x14ac:dyDescent="0.2">
      <c r="D3350" s="84"/>
    </row>
    <row r="3351" spans="4:4" x14ac:dyDescent="0.2">
      <c r="D3351" s="84"/>
    </row>
    <row r="3352" spans="4:4" x14ac:dyDescent="0.2">
      <c r="D3352" s="84"/>
    </row>
    <row r="3353" spans="4:4" x14ac:dyDescent="0.2">
      <c r="D3353" s="84"/>
    </row>
    <row r="3354" spans="4:4" x14ac:dyDescent="0.2">
      <c r="D3354" s="84"/>
    </row>
    <row r="3355" spans="4:4" x14ac:dyDescent="0.2">
      <c r="D3355" s="84"/>
    </row>
    <row r="3356" spans="4:4" x14ac:dyDescent="0.2">
      <c r="D3356" s="84"/>
    </row>
    <row r="3357" spans="4:4" x14ac:dyDescent="0.2">
      <c r="D3357" s="84"/>
    </row>
    <row r="3358" spans="4:4" x14ac:dyDescent="0.2">
      <c r="D3358" s="84"/>
    </row>
    <row r="3359" spans="4:4" x14ac:dyDescent="0.2">
      <c r="D3359" s="84"/>
    </row>
    <row r="3360" spans="4:4" x14ac:dyDescent="0.2">
      <c r="D3360" s="84"/>
    </row>
    <row r="3361" spans="4:4" x14ac:dyDescent="0.2">
      <c r="D3361" s="84"/>
    </row>
    <row r="3362" spans="4:4" x14ac:dyDescent="0.2">
      <c r="D3362" s="84"/>
    </row>
    <row r="3363" spans="4:4" x14ac:dyDescent="0.2">
      <c r="D3363" s="84"/>
    </row>
    <row r="3364" spans="4:4" x14ac:dyDescent="0.2">
      <c r="D3364" s="84"/>
    </row>
    <row r="3365" spans="4:4" x14ac:dyDescent="0.2">
      <c r="D3365" s="84"/>
    </row>
    <row r="3366" spans="4:4" x14ac:dyDescent="0.2">
      <c r="D3366" s="84"/>
    </row>
    <row r="3367" spans="4:4" x14ac:dyDescent="0.2">
      <c r="D3367" s="84"/>
    </row>
    <row r="3368" spans="4:4" x14ac:dyDescent="0.2">
      <c r="D3368" s="84"/>
    </row>
    <row r="3369" spans="4:4" x14ac:dyDescent="0.2">
      <c r="D3369" s="84"/>
    </row>
    <row r="3370" spans="4:4" x14ac:dyDescent="0.2">
      <c r="D3370" s="84"/>
    </row>
    <row r="3371" spans="4:4" x14ac:dyDescent="0.2">
      <c r="D3371" s="84"/>
    </row>
    <row r="3372" spans="4:4" x14ac:dyDescent="0.2">
      <c r="D3372" s="84"/>
    </row>
    <row r="3373" spans="4:4" x14ac:dyDescent="0.2">
      <c r="D3373" s="84"/>
    </row>
    <row r="3374" spans="4:4" x14ac:dyDescent="0.2">
      <c r="D3374" s="84"/>
    </row>
    <row r="3375" spans="4:4" x14ac:dyDescent="0.2">
      <c r="D3375" s="84"/>
    </row>
    <row r="3376" spans="4:4" x14ac:dyDescent="0.2">
      <c r="D3376" s="84"/>
    </row>
    <row r="3377" spans="4:4" x14ac:dyDescent="0.2">
      <c r="D3377" s="84"/>
    </row>
    <row r="3378" spans="4:4" x14ac:dyDescent="0.2">
      <c r="D3378" s="84"/>
    </row>
    <row r="3379" spans="4:4" x14ac:dyDescent="0.2">
      <c r="D3379" s="84"/>
    </row>
    <row r="3380" spans="4:4" x14ac:dyDescent="0.2">
      <c r="D3380" s="84"/>
    </row>
    <row r="3381" spans="4:4" x14ac:dyDescent="0.2">
      <c r="D3381" s="84"/>
    </row>
    <row r="3382" spans="4:4" x14ac:dyDescent="0.2">
      <c r="D3382" s="84"/>
    </row>
    <row r="3383" spans="4:4" x14ac:dyDescent="0.2">
      <c r="D3383" s="84"/>
    </row>
    <row r="3384" spans="4:4" x14ac:dyDescent="0.2">
      <c r="D3384" s="84"/>
    </row>
    <row r="3385" spans="4:4" x14ac:dyDescent="0.2">
      <c r="D3385" s="84"/>
    </row>
    <row r="3386" spans="4:4" x14ac:dyDescent="0.2">
      <c r="D3386" s="84"/>
    </row>
    <row r="3387" spans="4:4" x14ac:dyDescent="0.2">
      <c r="D3387" s="84"/>
    </row>
    <row r="3388" spans="4:4" x14ac:dyDescent="0.2">
      <c r="D3388" s="84"/>
    </row>
    <row r="3389" spans="4:4" x14ac:dyDescent="0.2">
      <c r="D3389" s="84"/>
    </row>
    <row r="3390" spans="4:4" x14ac:dyDescent="0.2">
      <c r="D3390" s="84"/>
    </row>
    <row r="3391" spans="4:4" x14ac:dyDescent="0.2">
      <c r="D3391" s="84"/>
    </row>
    <row r="3392" spans="4:4" x14ac:dyDescent="0.2">
      <c r="D3392" s="84"/>
    </row>
    <row r="3393" spans="4:4" x14ac:dyDescent="0.2">
      <c r="D3393" s="84"/>
    </row>
    <row r="3394" spans="4:4" x14ac:dyDescent="0.2">
      <c r="D3394" s="84"/>
    </row>
    <row r="3395" spans="4:4" x14ac:dyDescent="0.2">
      <c r="D3395" s="84"/>
    </row>
    <row r="3396" spans="4:4" x14ac:dyDescent="0.2">
      <c r="D3396" s="84"/>
    </row>
    <row r="3397" spans="4:4" x14ac:dyDescent="0.2">
      <c r="D3397" s="84"/>
    </row>
    <row r="3398" spans="4:4" x14ac:dyDescent="0.2">
      <c r="D3398" s="84"/>
    </row>
    <row r="3399" spans="4:4" x14ac:dyDescent="0.2">
      <c r="D3399" s="84"/>
    </row>
    <row r="3400" spans="4:4" x14ac:dyDescent="0.2">
      <c r="D3400" s="84"/>
    </row>
    <row r="3401" spans="4:4" x14ac:dyDescent="0.2">
      <c r="D3401" s="84"/>
    </row>
    <row r="3402" spans="4:4" x14ac:dyDescent="0.2">
      <c r="D3402" s="84"/>
    </row>
    <row r="3403" spans="4:4" x14ac:dyDescent="0.2">
      <c r="D3403" s="84"/>
    </row>
    <row r="3404" spans="4:4" x14ac:dyDescent="0.2">
      <c r="D3404" s="84"/>
    </row>
    <row r="3405" spans="4:4" x14ac:dyDescent="0.2">
      <c r="D3405" s="84"/>
    </row>
    <row r="3406" spans="4:4" x14ac:dyDescent="0.2">
      <c r="D3406" s="84"/>
    </row>
    <row r="3407" spans="4:4" x14ac:dyDescent="0.2">
      <c r="D3407" s="84"/>
    </row>
    <row r="3408" spans="4:4" x14ac:dyDescent="0.2">
      <c r="D3408" s="84"/>
    </row>
    <row r="3409" spans="4:4" x14ac:dyDescent="0.2">
      <c r="D3409" s="84"/>
    </row>
    <row r="3410" spans="4:4" x14ac:dyDescent="0.2">
      <c r="D3410" s="84"/>
    </row>
    <row r="3411" spans="4:4" x14ac:dyDescent="0.2">
      <c r="D3411" s="84"/>
    </row>
    <row r="3412" spans="4:4" x14ac:dyDescent="0.2">
      <c r="D3412" s="84"/>
    </row>
    <row r="3413" spans="4:4" x14ac:dyDescent="0.2">
      <c r="D3413" s="84"/>
    </row>
    <row r="3414" spans="4:4" x14ac:dyDescent="0.2">
      <c r="D3414" s="84"/>
    </row>
    <row r="3415" spans="4:4" x14ac:dyDescent="0.2">
      <c r="D3415" s="84"/>
    </row>
    <row r="3416" spans="4:4" x14ac:dyDescent="0.2">
      <c r="D3416" s="84"/>
    </row>
    <row r="3417" spans="4:4" x14ac:dyDescent="0.2">
      <c r="D3417" s="84"/>
    </row>
    <row r="3418" spans="4:4" x14ac:dyDescent="0.2">
      <c r="D3418" s="84"/>
    </row>
    <row r="3419" spans="4:4" x14ac:dyDescent="0.2">
      <c r="D3419" s="84"/>
    </row>
    <row r="3420" spans="4:4" x14ac:dyDescent="0.2">
      <c r="D3420" s="84"/>
    </row>
    <row r="3421" spans="4:4" x14ac:dyDescent="0.2">
      <c r="D3421" s="84"/>
    </row>
    <row r="3422" spans="4:4" x14ac:dyDescent="0.2">
      <c r="D3422" s="84"/>
    </row>
    <row r="3423" spans="4:4" x14ac:dyDescent="0.2">
      <c r="D3423" s="84"/>
    </row>
    <row r="3424" spans="4:4" x14ac:dyDescent="0.2">
      <c r="D3424" s="84"/>
    </row>
    <row r="3425" spans="4:4" x14ac:dyDescent="0.2">
      <c r="D3425" s="84"/>
    </row>
    <row r="3426" spans="4:4" x14ac:dyDescent="0.2">
      <c r="D3426" s="84"/>
    </row>
    <row r="3427" spans="4:4" x14ac:dyDescent="0.2">
      <c r="D3427" s="84"/>
    </row>
    <row r="3428" spans="4:4" x14ac:dyDescent="0.2">
      <c r="D3428" s="84"/>
    </row>
    <row r="3429" spans="4:4" x14ac:dyDescent="0.2">
      <c r="D3429" s="84"/>
    </row>
    <row r="3430" spans="4:4" x14ac:dyDescent="0.2">
      <c r="D3430" s="84"/>
    </row>
    <row r="3431" spans="4:4" x14ac:dyDescent="0.2">
      <c r="D3431" s="84"/>
    </row>
    <row r="3432" spans="4:4" x14ac:dyDescent="0.2">
      <c r="D3432" s="84"/>
    </row>
    <row r="3433" spans="4:4" x14ac:dyDescent="0.2">
      <c r="D3433" s="84"/>
    </row>
    <row r="3434" spans="4:4" x14ac:dyDescent="0.2">
      <c r="D3434" s="84"/>
    </row>
    <row r="3435" spans="4:4" x14ac:dyDescent="0.2">
      <c r="D3435" s="84"/>
    </row>
    <row r="3436" spans="4:4" x14ac:dyDescent="0.2">
      <c r="D3436" s="84"/>
    </row>
    <row r="3437" spans="4:4" x14ac:dyDescent="0.2">
      <c r="D3437" s="84"/>
    </row>
    <row r="3438" spans="4:4" x14ac:dyDescent="0.2">
      <c r="D3438" s="84"/>
    </row>
    <row r="3439" spans="4:4" x14ac:dyDescent="0.2">
      <c r="D3439" s="84"/>
    </row>
    <row r="3440" spans="4:4" x14ac:dyDescent="0.2">
      <c r="D3440" s="84"/>
    </row>
    <row r="3441" spans="4:4" x14ac:dyDescent="0.2">
      <c r="D3441" s="84"/>
    </row>
    <row r="3442" spans="4:4" x14ac:dyDescent="0.2">
      <c r="D3442" s="84"/>
    </row>
    <row r="3443" spans="4:4" x14ac:dyDescent="0.2">
      <c r="D3443" s="84"/>
    </row>
    <row r="3444" spans="4:4" x14ac:dyDescent="0.2">
      <c r="D3444" s="84"/>
    </row>
    <row r="3445" spans="4:4" x14ac:dyDescent="0.2">
      <c r="D3445" s="84"/>
    </row>
    <row r="3446" spans="4:4" x14ac:dyDescent="0.2">
      <c r="D3446" s="84"/>
    </row>
    <row r="3447" spans="4:4" x14ac:dyDescent="0.2">
      <c r="D3447" s="84"/>
    </row>
    <row r="3448" spans="4:4" x14ac:dyDescent="0.2">
      <c r="D3448" s="84"/>
    </row>
    <row r="3449" spans="4:4" x14ac:dyDescent="0.2">
      <c r="D3449" s="84"/>
    </row>
    <row r="3450" spans="4:4" x14ac:dyDescent="0.2">
      <c r="D3450" s="84"/>
    </row>
    <row r="3451" spans="4:4" x14ac:dyDescent="0.2">
      <c r="D3451" s="84"/>
    </row>
    <row r="3452" spans="4:4" x14ac:dyDescent="0.2">
      <c r="D3452" s="84"/>
    </row>
    <row r="3453" spans="4:4" x14ac:dyDescent="0.2">
      <c r="D3453" s="84"/>
    </row>
    <row r="3454" spans="4:4" x14ac:dyDescent="0.2">
      <c r="D3454" s="84"/>
    </row>
    <row r="3455" spans="4:4" x14ac:dyDescent="0.2">
      <c r="D3455" s="84"/>
    </row>
    <row r="3456" spans="4:4" x14ac:dyDescent="0.2">
      <c r="D3456" s="84"/>
    </row>
    <row r="3457" spans="4:4" x14ac:dyDescent="0.2">
      <c r="D3457" s="84"/>
    </row>
    <row r="3458" spans="4:4" x14ac:dyDescent="0.2">
      <c r="D3458" s="84"/>
    </row>
    <row r="3459" spans="4:4" x14ac:dyDescent="0.2">
      <c r="D3459" s="84"/>
    </row>
    <row r="3460" spans="4:4" x14ac:dyDescent="0.2">
      <c r="D3460" s="84"/>
    </row>
    <row r="3461" spans="4:4" x14ac:dyDescent="0.2">
      <c r="D3461" s="84"/>
    </row>
    <row r="3462" spans="4:4" x14ac:dyDescent="0.2">
      <c r="D3462" s="84"/>
    </row>
    <row r="3463" spans="4:4" x14ac:dyDescent="0.2">
      <c r="D3463" s="84"/>
    </row>
    <row r="3464" spans="4:4" x14ac:dyDescent="0.2">
      <c r="D3464" s="84"/>
    </row>
    <row r="3465" spans="4:4" x14ac:dyDescent="0.2">
      <c r="D3465" s="84"/>
    </row>
    <row r="3466" spans="4:4" x14ac:dyDescent="0.2">
      <c r="D3466" s="84"/>
    </row>
    <row r="3467" spans="4:4" x14ac:dyDescent="0.2">
      <c r="D3467" s="84"/>
    </row>
    <row r="3468" spans="4:4" x14ac:dyDescent="0.2">
      <c r="D3468" s="84"/>
    </row>
    <row r="3469" spans="4:4" x14ac:dyDescent="0.2">
      <c r="D3469" s="84"/>
    </row>
    <row r="3470" spans="4:4" x14ac:dyDescent="0.2">
      <c r="D3470" s="84"/>
    </row>
    <row r="3471" spans="4:4" x14ac:dyDescent="0.2">
      <c r="D3471" s="84"/>
    </row>
    <row r="3472" spans="4:4" x14ac:dyDescent="0.2">
      <c r="D3472" s="84"/>
    </row>
    <row r="3473" spans="4:4" x14ac:dyDescent="0.2">
      <c r="D3473" s="84"/>
    </row>
    <row r="3474" spans="4:4" x14ac:dyDescent="0.2">
      <c r="D3474" s="84"/>
    </row>
    <row r="3475" spans="4:4" x14ac:dyDescent="0.2">
      <c r="D3475" s="84"/>
    </row>
    <row r="3476" spans="4:4" x14ac:dyDescent="0.2">
      <c r="D3476" s="84"/>
    </row>
    <row r="3477" spans="4:4" x14ac:dyDescent="0.2">
      <c r="D3477" s="84"/>
    </row>
    <row r="3478" spans="4:4" x14ac:dyDescent="0.2">
      <c r="D3478" s="84"/>
    </row>
    <row r="3479" spans="4:4" x14ac:dyDescent="0.2">
      <c r="D3479" s="84"/>
    </row>
    <row r="3480" spans="4:4" x14ac:dyDescent="0.2">
      <c r="D3480" s="84"/>
    </row>
    <row r="3481" spans="4:4" x14ac:dyDescent="0.2">
      <c r="D3481" s="84"/>
    </row>
    <row r="3482" spans="4:4" x14ac:dyDescent="0.2">
      <c r="D3482" s="84"/>
    </row>
    <row r="3483" spans="4:4" x14ac:dyDescent="0.2">
      <c r="D3483" s="84"/>
    </row>
    <row r="3484" spans="4:4" x14ac:dyDescent="0.2">
      <c r="D3484" s="84"/>
    </row>
    <row r="3485" spans="4:4" x14ac:dyDescent="0.2">
      <c r="D3485" s="84"/>
    </row>
    <row r="3486" spans="4:4" x14ac:dyDescent="0.2">
      <c r="D3486" s="84"/>
    </row>
    <row r="3487" spans="4:4" x14ac:dyDescent="0.2">
      <c r="D3487" s="84"/>
    </row>
    <row r="3488" spans="4:4" x14ac:dyDescent="0.2">
      <c r="D3488" s="84"/>
    </row>
    <row r="3489" spans="4:4" x14ac:dyDescent="0.2">
      <c r="D3489" s="84"/>
    </row>
    <row r="3490" spans="4:4" x14ac:dyDescent="0.2">
      <c r="D3490" s="84"/>
    </row>
    <row r="3491" spans="4:4" x14ac:dyDescent="0.2">
      <c r="D3491" s="84"/>
    </row>
    <row r="3492" spans="4:4" x14ac:dyDescent="0.2">
      <c r="D3492" s="84"/>
    </row>
    <row r="3493" spans="4:4" x14ac:dyDescent="0.2">
      <c r="D3493" s="84"/>
    </row>
    <row r="3494" spans="4:4" x14ac:dyDescent="0.2">
      <c r="D3494" s="84"/>
    </row>
    <row r="3495" spans="4:4" x14ac:dyDescent="0.2">
      <c r="D3495" s="84"/>
    </row>
    <row r="3496" spans="4:4" x14ac:dyDescent="0.2">
      <c r="D3496" s="84"/>
    </row>
    <row r="3497" spans="4:4" x14ac:dyDescent="0.2">
      <c r="D3497" s="84"/>
    </row>
    <row r="3498" spans="4:4" x14ac:dyDescent="0.2">
      <c r="D3498" s="84"/>
    </row>
    <row r="3499" spans="4:4" x14ac:dyDescent="0.2">
      <c r="D3499" s="84"/>
    </row>
    <row r="3500" spans="4:4" x14ac:dyDescent="0.2">
      <c r="D3500" s="84"/>
    </row>
    <row r="3501" spans="4:4" x14ac:dyDescent="0.2">
      <c r="D3501" s="84"/>
    </row>
    <row r="3502" spans="4:4" x14ac:dyDescent="0.2">
      <c r="D3502" s="84"/>
    </row>
    <row r="3503" spans="4:4" x14ac:dyDescent="0.2">
      <c r="D3503" s="84"/>
    </row>
    <row r="3504" spans="4:4" x14ac:dyDescent="0.2">
      <c r="D3504" s="84"/>
    </row>
    <row r="3505" spans="4:4" x14ac:dyDescent="0.2">
      <c r="D3505" s="84"/>
    </row>
    <row r="3506" spans="4:4" x14ac:dyDescent="0.2">
      <c r="D3506" s="84"/>
    </row>
    <row r="3507" spans="4:4" x14ac:dyDescent="0.2">
      <c r="D3507" s="84"/>
    </row>
    <row r="3508" spans="4:4" x14ac:dyDescent="0.2">
      <c r="D3508" s="84"/>
    </row>
    <row r="3509" spans="4:4" x14ac:dyDescent="0.2">
      <c r="D3509" s="84"/>
    </row>
    <row r="3510" spans="4:4" x14ac:dyDescent="0.2">
      <c r="D3510" s="84"/>
    </row>
    <row r="3511" spans="4:4" x14ac:dyDescent="0.2">
      <c r="D3511" s="84"/>
    </row>
    <row r="3512" spans="4:4" x14ac:dyDescent="0.2">
      <c r="D3512" s="84"/>
    </row>
    <row r="3513" spans="4:4" x14ac:dyDescent="0.2">
      <c r="D3513" s="84"/>
    </row>
    <row r="3514" spans="4:4" x14ac:dyDescent="0.2">
      <c r="D3514" s="84"/>
    </row>
    <row r="3515" spans="4:4" x14ac:dyDescent="0.2">
      <c r="D3515" s="84"/>
    </row>
    <row r="3516" spans="4:4" x14ac:dyDescent="0.2">
      <c r="D3516" s="84"/>
    </row>
    <row r="3517" spans="4:4" x14ac:dyDescent="0.2">
      <c r="D3517" s="84"/>
    </row>
    <row r="3518" spans="4:4" x14ac:dyDescent="0.2">
      <c r="D3518" s="84"/>
    </row>
    <row r="3519" spans="4:4" x14ac:dyDescent="0.2">
      <c r="D3519" s="84"/>
    </row>
    <row r="3520" spans="4:4" x14ac:dyDescent="0.2">
      <c r="D3520" s="84"/>
    </row>
    <row r="3521" spans="4:4" x14ac:dyDescent="0.2">
      <c r="D3521" s="84"/>
    </row>
    <row r="3522" spans="4:4" x14ac:dyDescent="0.2">
      <c r="D3522" s="84"/>
    </row>
    <row r="3523" spans="4:4" x14ac:dyDescent="0.2">
      <c r="D3523" s="84"/>
    </row>
    <row r="3524" spans="4:4" x14ac:dyDescent="0.2">
      <c r="D3524" s="84"/>
    </row>
    <row r="3525" spans="4:4" x14ac:dyDescent="0.2">
      <c r="D3525" s="84"/>
    </row>
    <row r="3526" spans="4:4" x14ac:dyDescent="0.2">
      <c r="D3526" s="84"/>
    </row>
    <row r="3527" spans="4:4" x14ac:dyDescent="0.2">
      <c r="D3527" s="84"/>
    </row>
    <row r="3528" spans="4:4" x14ac:dyDescent="0.2">
      <c r="D3528" s="84"/>
    </row>
    <row r="3529" spans="4:4" x14ac:dyDescent="0.2">
      <c r="D3529" s="84"/>
    </row>
    <row r="3530" spans="4:4" x14ac:dyDescent="0.2">
      <c r="D3530" s="84"/>
    </row>
    <row r="3531" spans="4:4" x14ac:dyDescent="0.2">
      <c r="D3531" s="84"/>
    </row>
    <row r="3532" spans="4:4" x14ac:dyDescent="0.2">
      <c r="D3532" s="84"/>
    </row>
    <row r="3533" spans="4:4" x14ac:dyDescent="0.2">
      <c r="D3533" s="84"/>
    </row>
    <row r="3534" spans="4:4" x14ac:dyDescent="0.2">
      <c r="D3534" s="84"/>
    </row>
    <row r="3535" spans="4:4" x14ac:dyDescent="0.2">
      <c r="D3535" s="84"/>
    </row>
    <row r="3536" spans="4:4" x14ac:dyDescent="0.2">
      <c r="D3536" s="84"/>
    </row>
    <row r="3537" spans="4:4" x14ac:dyDescent="0.2">
      <c r="D3537" s="84"/>
    </row>
    <row r="3538" spans="4:4" x14ac:dyDescent="0.2">
      <c r="D3538" s="84"/>
    </row>
    <row r="3539" spans="4:4" x14ac:dyDescent="0.2">
      <c r="D3539" s="84"/>
    </row>
    <row r="3540" spans="4:4" x14ac:dyDescent="0.2">
      <c r="D3540" s="84"/>
    </row>
    <row r="3541" spans="4:4" x14ac:dyDescent="0.2">
      <c r="D3541" s="84"/>
    </row>
    <row r="3542" spans="4:4" x14ac:dyDescent="0.2">
      <c r="D3542" s="84"/>
    </row>
    <row r="3543" spans="4:4" x14ac:dyDescent="0.2">
      <c r="D3543" s="84"/>
    </row>
    <row r="3544" spans="4:4" x14ac:dyDescent="0.2">
      <c r="D3544" s="84"/>
    </row>
    <row r="3545" spans="4:4" x14ac:dyDescent="0.2">
      <c r="D3545" s="84"/>
    </row>
    <row r="3546" spans="4:4" x14ac:dyDescent="0.2">
      <c r="D3546" s="84"/>
    </row>
    <row r="3547" spans="4:4" x14ac:dyDescent="0.2">
      <c r="D3547" s="84"/>
    </row>
    <row r="3548" spans="4:4" x14ac:dyDescent="0.2">
      <c r="D3548" s="84"/>
    </row>
    <row r="3549" spans="4:4" x14ac:dyDescent="0.2">
      <c r="D3549" s="84"/>
    </row>
    <row r="3550" spans="4:4" x14ac:dyDescent="0.2">
      <c r="D3550" s="84"/>
    </row>
    <row r="3551" spans="4:4" x14ac:dyDescent="0.2">
      <c r="D3551" s="84"/>
    </row>
    <row r="3552" spans="4:4" x14ac:dyDescent="0.2">
      <c r="D3552" s="84"/>
    </row>
    <row r="3553" spans="4:4" x14ac:dyDescent="0.2">
      <c r="D3553" s="84"/>
    </row>
    <row r="3554" spans="4:4" x14ac:dyDescent="0.2">
      <c r="D3554" s="84"/>
    </row>
    <row r="3555" spans="4:4" x14ac:dyDescent="0.2">
      <c r="D3555" s="84"/>
    </row>
    <row r="3556" spans="4:4" x14ac:dyDescent="0.2">
      <c r="D3556" s="84"/>
    </row>
    <row r="3557" spans="4:4" x14ac:dyDescent="0.2">
      <c r="D3557" s="84"/>
    </row>
    <row r="3558" spans="4:4" x14ac:dyDescent="0.2">
      <c r="D3558" s="84"/>
    </row>
    <row r="3559" spans="4:4" x14ac:dyDescent="0.2">
      <c r="D3559" s="84"/>
    </row>
    <row r="3560" spans="4:4" x14ac:dyDescent="0.2">
      <c r="D3560" s="84"/>
    </row>
    <row r="3561" spans="4:4" x14ac:dyDescent="0.2">
      <c r="D3561" s="84"/>
    </row>
    <row r="3562" spans="4:4" x14ac:dyDescent="0.2">
      <c r="D3562" s="84"/>
    </row>
    <row r="3563" spans="4:4" x14ac:dyDescent="0.2">
      <c r="D3563" s="84"/>
    </row>
    <row r="3564" spans="4:4" x14ac:dyDescent="0.2">
      <c r="D3564" s="84"/>
    </row>
    <row r="3565" spans="4:4" x14ac:dyDescent="0.2">
      <c r="D3565" s="84"/>
    </row>
    <row r="3566" spans="4:4" x14ac:dyDescent="0.2">
      <c r="D3566" s="84"/>
    </row>
    <row r="3567" spans="4:4" x14ac:dyDescent="0.2">
      <c r="D3567" s="84"/>
    </row>
    <row r="3568" spans="4:4" x14ac:dyDescent="0.2">
      <c r="D3568" s="84"/>
    </row>
    <row r="3569" spans="4:4" x14ac:dyDescent="0.2">
      <c r="D3569" s="84"/>
    </row>
    <row r="3570" spans="4:4" x14ac:dyDescent="0.2">
      <c r="D3570" s="84"/>
    </row>
    <row r="3571" spans="4:4" x14ac:dyDescent="0.2">
      <c r="D3571" s="84"/>
    </row>
    <row r="3572" spans="4:4" x14ac:dyDescent="0.2">
      <c r="D3572" s="84"/>
    </row>
    <row r="3573" spans="4:4" x14ac:dyDescent="0.2">
      <c r="D3573" s="84"/>
    </row>
    <row r="3574" spans="4:4" x14ac:dyDescent="0.2">
      <c r="D3574" s="84"/>
    </row>
    <row r="3575" spans="4:4" x14ac:dyDescent="0.2">
      <c r="D3575" s="84"/>
    </row>
    <row r="3576" spans="4:4" x14ac:dyDescent="0.2">
      <c r="D3576" s="84"/>
    </row>
    <row r="3577" spans="4:4" x14ac:dyDescent="0.2">
      <c r="D3577" s="84"/>
    </row>
    <row r="3578" spans="4:4" x14ac:dyDescent="0.2">
      <c r="D3578" s="84"/>
    </row>
    <row r="3579" spans="4:4" x14ac:dyDescent="0.2">
      <c r="D3579" s="84"/>
    </row>
    <row r="3580" spans="4:4" x14ac:dyDescent="0.2">
      <c r="D3580" s="84"/>
    </row>
    <row r="3581" spans="4:4" x14ac:dyDescent="0.2">
      <c r="D3581" s="84"/>
    </row>
    <row r="3582" spans="4:4" x14ac:dyDescent="0.2">
      <c r="D3582" s="84"/>
    </row>
    <row r="3583" spans="4:4" x14ac:dyDescent="0.2">
      <c r="D3583" s="84"/>
    </row>
    <row r="3584" spans="4:4" x14ac:dyDescent="0.2">
      <c r="D3584" s="84"/>
    </row>
    <row r="3585" spans="4:4" x14ac:dyDescent="0.2">
      <c r="D3585" s="84"/>
    </row>
    <row r="3586" spans="4:4" x14ac:dyDescent="0.2">
      <c r="D3586" s="84"/>
    </row>
    <row r="3587" spans="4:4" x14ac:dyDescent="0.2">
      <c r="D3587" s="84"/>
    </row>
    <row r="3588" spans="4:4" x14ac:dyDescent="0.2">
      <c r="D3588" s="84"/>
    </row>
    <row r="3589" spans="4:4" x14ac:dyDescent="0.2">
      <c r="D3589" s="84"/>
    </row>
    <row r="3590" spans="4:4" x14ac:dyDescent="0.2">
      <c r="D3590" s="84"/>
    </row>
    <row r="3591" spans="4:4" x14ac:dyDescent="0.2">
      <c r="D3591" s="84"/>
    </row>
    <row r="3592" spans="4:4" x14ac:dyDescent="0.2">
      <c r="D3592" s="84"/>
    </row>
    <row r="3593" spans="4:4" x14ac:dyDescent="0.2">
      <c r="D3593" s="84"/>
    </row>
    <row r="3594" spans="4:4" x14ac:dyDescent="0.2">
      <c r="D3594" s="84"/>
    </row>
    <row r="3595" spans="4:4" x14ac:dyDescent="0.2">
      <c r="D3595" s="84"/>
    </row>
    <row r="3596" spans="4:4" x14ac:dyDescent="0.2">
      <c r="D3596" s="84"/>
    </row>
    <row r="3597" spans="4:4" x14ac:dyDescent="0.2">
      <c r="D3597" s="84"/>
    </row>
    <row r="3598" spans="4:4" x14ac:dyDescent="0.2">
      <c r="D3598" s="84"/>
    </row>
    <row r="3599" spans="4:4" x14ac:dyDescent="0.2">
      <c r="D3599" s="84"/>
    </row>
    <row r="3600" spans="4:4" x14ac:dyDescent="0.2">
      <c r="D3600" s="84"/>
    </row>
    <row r="3601" spans="4:4" x14ac:dyDescent="0.2">
      <c r="D3601" s="84"/>
    </row>
    <row r="3602" spans="4:4" x14ac:dyDescent="0.2">
      <c r="D3602" s="84"/>
    </row>
    <row r="3603" spans="4:4" x14ac:dyDescent="0.2">
      <c r="D3603" s="84"/>
    </row>
    <row r="3604" spans="4:4" x14ac:dyDescent="0.2">
      <c r="D3604" s="84"/>
    </row>
    <row r="3605" spans="4:4" x14ac:dyDescent="0.2">
      <c r="D3605" s="84"/>
    </row>
    <row r="3606" spans="4:4" x14ac:dyDescent="0.2">
      <c r="D3606" s="84"/>
    </row>
    <row r="3607" spans="4:4" x14ac:dyDescent="0.2">
      <c r="D3607" s="84"/>
    </row>
    <row r="3608" spans="4:4" x14ac:dyDescent="0.2">
      <c r="D3608" s="84"/>
    </row>
    <row r="3609" spans="4:4" x14ac:dyDescent="0.2">
      <c r="D3609" s="84"/>
    </row>
    <row r="3610" spans="4:4" x14ac:dyDescent="0.2">
      <c r="D3610" s="84"/>
    </row>
    <row r="3611" spans="4:4" x14ac:dyDescent="0.2">
      <c r="D3611" s="84"/>
    </row>
    <row r="3612" spans="4:4" x14ac:dyDescent="0.2">
      <c r="D3612" s="84"/>
    </row>
    <row r="3613" spans="4:4" x14ac:dyDescent="0.2">
      <c r="D3613" s="84"/>
    </row>
    <row r="3614" spans="4:4" x14ac:dyDescent="0.2">
      <c r="D3614" s="84"/>
    </row>
    <row r="3615" spans="4:4" x14ac:dyDescent="0.2">
      <c r="D3615" s="84"/>
    </row>
    <row r="3616" spans="4:4" x14ac:dyDescent="0.2">
      <c r="D3616" s="84"/>
    </row>
    <row r="3617" spans="4:4" x14ac:dyDescent="0.2">
      <c r="D3617" s="84"/>
    </row>
    <row r="3618" spans="4:4" x14ac:dyDescent="0.2">
      <c r="D3618" s="84"/>
    </row>
    <row r="3619" spans="4:4" x14ac:dyDescent="0.2">
      <c r="D3619" s="84"/>
    </row>
    <row r="3620" spans="4:4" x14ac:dyDescent="0.2">
      <c r="D3620" s="84"/>
    </row>
    <row r="3621" spans="4:4" x14ac:dyDescent="0.2">
      <c r="D3621" s="84"/>
    </row>
    <row r="3622" spans="4:4" x14ac:dyDescent="0.2">
      <c r="D3622" s="84"/>
    </row>
    <row r="3623" spans="4:4" x14ac:dyDescent="0.2">
      <c r="D3623" s="84"/>
    </row>
    <row r="3624" spans="4:4" x14ac:dyDescent="0.2">
      <c r="D3624" s="84"/>
    </row>
    <row r="3625" spans="4:4" x14ac:dyDescent="0.2">
      <c r="D3625" s="84"/>
    </row>
    <row r="3626" spans="4:4" x14ac:dyDescent="0.2">
      <c r="D3626" s="84"/>
    </row>
    <row r="3627" spans="4:4" x14ac:dyDescent="0.2">
      <c r="D3627" s="84"/>
    </row>
    <row r="3628" spans="4:4" x14ac:dyDescent="0.2">
      <c r="D3628" s="84"/>
    </row>
    <row r="3629" spans="4:4" x14ac:dyDescent="0.2">
      <c r="D3629" s="84"/>
    </row>
    <row r="3630" spans="4:4" x14ac:dyDescent="0.2">
      <c r="D3630" s="84"/>
    </row>
    <row r="3631" spans="4:4" x14ac:dyDescent="0.2">
      <c r="D3631" s="84"/>
    </row>
    <row r="3632" spans="4:4" x14ac:dyDescent="0.2">
      <c r="D3632" s="84"/>
    </row>
    <row r="3633" spans="4:4" x14ac:dyDescent="0.2">
      <c r="D3633" s="84"/>
    </row>
    <row r="3634" spans="4:4" x14ac:dyDescent="0.2">
      <c r="D3634" s="84"/>
    </row>
    <row r="3635" spans="4:4" x14ac:dyDescent="0.2">
      <c r="D3635" s="84"/>
    </row>
    <row r="3636" spans="4:4" x14ac:dyDescent="0.2">
      <c r="D3636" s="84"/>
    </row>
    <row r="3637" spans="4:4" x14ac:dyDescent="0.2">
      <c r="D3637" s="84"/>
    </row>
    <row r="3638" spans="4:4" x14ac:dyDescent="0.2">
      <c r="D3638" s="84"/>
    </row>
    <row r="3639" spans="4:4" x14ac:dyDescent="0.2">
      <c r="D3639" s="84"/>
    </row>
    <row r="3640" spans="4:4" x14ac:dyDescent="0.2">
      <c r="D3640" s="84"/>
    </row>
    <row r="3641" spans="4:4" x14ac:dyDescent="0.2">
      <c r="D3641" s="84"/>
    </row>
    <row r="3642" spans="4:4" x14ac:dyDescent="0.2">
      <c r="D3642" s="84"/>
    </row>
    <row r="3643" spans="4:4" x14ac:dyDescent="0.2">
      <c r="D3643" s="84"/>
    </row>
    <row r="3644" spans="4:4" x14ac:dyDescent="0.2">
      <c r="D3644" s="84"/>
    </row>
    <row r="3645" spans="4:4" x14ac:dyDescent="0.2">
      <c r="D3645" s="84"/>
    </row>
    <row r="3646" spans="4:4" x14ac:dyDescent="0.2">
      <c r="D3646" s="84"/>
    </row>
    <row r="3647" spans="4:4" x14ac:dyDescent="0.2">
      <c r="D3647" s="84"/>
    </row>
    <row r="3648" spans="4:4" x14ac:dyDescent="0.2">
      <c r="D3648" s="84"/>
    </row>
    <row r="3649" spans="4:4" x14ac:dyDescent="0.2">
      <c r="D3649" s="84"/>
    </row>
    <row r="3650" spans="4:4" x14ac:dyDescent="0.2">
      <c r="D3650" s="84"/>
    </row>
    <row r="3651" spans="4:4" x14ac:dyDescent="0.2">
      <c r="D3651" s="84"/>
    </row>
    <row r="3652" spans="4:4" x14ac:dyDescent="0.2">
      <c r="D3652" s="84"/>
    </row>
    <row r="3653" spans="4:4" x14ac:dyDescent="0.2">
      <c r="D3653" s="84"/>
    </row>
    <row r="3654" spans="4:4" x14ac:dyDescent="0.2">
      <c r="D3654" s="84"/>
    </row>
    <row r="3655" spans="4:4" x14ac:dyDescent="0.2">
      <c r="D3655" s="84"/>
    </row>
    <row r="3656" spans="4:4" x14ac:dyDescent="0.2">
      <c r="D3656" s="84"/>
    </row>
    <row r="3657" spans="4:4" x14ac:dyDescent="0.2">
      <c r="D3657" s="84"/>
    </row>
    <row r="3658" spans="4:4" x14ac:dyDescent="0.2">
      <c r="D3658" s="84"/>
    </row>
    <row r="3659" spans="4:4" x14ac:dyDescent="0.2">
      <c r="D3659" s="84"/>
    </row>
    <row r="3660" spans="4:4" x14ac:dyDescent="0.2">
      <c r="D3660" s="84"/>
    </row>
    <row r="3661" spans="4:4" x14ac:dyDescent="0.2">
      <c r="D3661" s="84"/>
    </row>
    <row r="3662" spans="4:4" x14ac:dyDescent="0.2">
      <c r="D3662" s="84"/>
    </row>
    <row r="3663" spans="4:4" x14ac:dyDescent="0.2">
      <c r="D3663" s="84"/>
    </row>
    <row r="3664" spans="4:4" x14ac:dyDescent="0.2">
      <c r="D3664" s="84"/>
    </row>
    <row r="3665" spans="4:4" x14ac:dyDescent="0.2">
      <c r="D3665" s="84"/>
    </row>
    <row r="3666" spans="4:4" x14ac:dyDescent="0.2">
      <c r="D3666" s="84"/>
    </row>
    <row r="3667" spans="4:4" x14ac:dyDescent="0.2">
      <c r="D3667" s="84"/>
    </row>
    <row r="3668" spans="4:4" x14ac:dyDescent="0.2">
      <c r="D3668" s="84"/>
    </row>
    <row r="3669" spans="4:4" x14ac:dyDescent="0.2">
      <c r="D3669" s="84"/>
    </row>
    <row r="3670" spans="4:4" x14ac:dyDescent="0.2">
      <c r="D3670" s="84"/>
    </row>
    <row r="3671" spans="4:4" x14ac:dyDescent="0.2">
      <c r="D3671" s="84"/>
    </row>
    <row r="3672" spans="4:4" x14ac:dyDescent="0.2">
      <c r="D3672" s="84"/>
    </row>
    <row r="3673" spans="4:4" x14ac:dyDescent="0.2">
      <c r="D3673" s="84"/>
    </row>
    <row r="3674" spans="4:4" x14ac:dyDescent="0.2">
      <c r="D3674" s="84"/>
    </row>
    <row r="3675" spans="4:4" x14ac:dyDescent="0.2">
      <c r="D3675" s="84"/>
    </row>
    <row r="3676" spans="4:4" x14ac:dyDescent="0.2">
      <c r="D3676" s="84"/>
    </row>
    <row r="3677" spans="4:4" x14ac:dyDescent="0.2">
      <c r="D3677" s="84"/>
    </row>
    <row r="3678" spans="4:4" x14ac:dyDescent="0.2">
      <c r="D3678" s="84"/>
    </row>
    <row r="3679" spans="4:4" x14ac:dyDescent="0.2">
      <c r="D3679" s="84"/>
    </row>
    <row r="3680" spans="4:4" x14ac:dyDescent="0.2">
      <c r="D3680" s="84"/>
    </row>
    <row r="3681" spans="4:4" x14ac:dyDescent="0.2">
      <c r="D3681" s="84"/>
    </row>
    <row r="3682" spans="4:4" x14ac:dyDescent="0.2">
      <c r="D3682" s="84"/>
    </row>
    <row r="3683" spans="4:4" x14ac:dyDescent="0.2">
      <c r="D3683" s="84"/>
    </row>
    <row r="3684" spans="4:4" x14ac:dyDescent="0.2">
      <c r="D3684" s="84"/>
    </row>
    <row r="3685" spans="4:4" x14ac:dyDescent="0.2">
      <c r="D3685" s="84"/>
    </row>
    <row r="3686" spans="4:4" x14ac:dyDescent="0.2">
      <c r="D3686" s="84"/>
    </row>
    <row r="3687" spans="4:4" x14ac:dyDescent="0.2">
      <c r="D3687" s="84"/>
    </row>
    <row r="3688" spans="4:4" x14ac:dyDescent="0.2">
      <c r="D3688" s="84"/>
    </row>
    <row r="3689" spans="4:4" x14ac:dyDescent="0.2">
      <c r="D3689" s="84"/>
    </row>
    <row r="3690" spans="4:4" x14ac:dyDescent="0.2">
      <c r="D3690" s="84"/>
    </row>
    <row r="3691" spans="4:4" x14ac:dyDescent="0.2">
      <c r="D3691" s="84"/>
    </row>
    <row r="3692" spans="4:4" x14ac:dyDescent="0.2">
      <c r="D3692" s="84"/>
    </row>
    <row r="3693" spans="4:4" x14ac:dyDescent="0.2">
      <c r="D3693" s="84"/>
    </row>
    <row r="3694" spans="4:4" x14ac:dyDescent="0.2">
      <c r="D3694" s="84"/>
    </row>
    <row r="3695" spans="4:4" x14ac:dyDescent="0.2">
      <c r="D3695" s="84"/>
    </row>
    <row r="3696" spans="4:4" x14ac:dyDescent="0.2">
      <c r="D3696" s="84"/>
    </row>
    <row r="3697" spans="4:4" x14ac:dyDescent="0.2">
      <c r="D3697" s="84"/>
    </row>
    <row r="3698" spans="4:4" x14ac:dyDescent="0.2">
      <c r="D3698" s="84"/>
    </row>
    <row r="3699" spans="4:4" x14ac:dyDescent="0.2">
      <c r="D3699" s="84"/>
    </row>
    <row r="3700" spans="4:4" x14ac:dyDescent="0.2">
      <c r="D3700" s="84"/>
    </row>
    <row r="3701" spans="4:4" x14ac:dyDescent="0.2">
      <c r="D3701" s="84"/>
    </row>
    <row r="3702" spans="4:4" x14ac:dyDescent="0.2">
      <c r="D3702" s="84"/>
    </row>
    <row r="3703" spans="4:4" x14ac:dyDescent="0.2">
      <c r="D3703" s="84"/>
    </row>
    <row r="3704" spans="4:4" x14ac:dyDescent="0.2">
      <c r="D3704" s="84"/>
    </row>
    <row r="3705" spans="4:4" x14ac:dyDescent="0.2">
      <c r="D3705" s="84"/>
    </row>
    <row r="3706" spans="4:4" x14ac:dyDescent="0.2">
      <c r="D3706" s="84"/>
    </row>
    <row r="3707" spans="4:4" x14ac:dyDescent="0.2">
      <c r="D3707" s="84"/>
    </row>
    <row r="3708" spans="4:4" x14ac:dyDescent="0.2">
      <c r="D3708" s="84"/>
    </row>
    <row r="3709" spans="4:4" x14ac:dyDescent="0.2">
      <c r="D3709" s="84"/>
    </row>
    <row r="3710" spans="4:4" x14ac:dyDescent="0.2">
      <c r="D3710" s="84"/>
    </row>
    <row r="3711" spans="4:4" x14ac:dyDescent="0.2">
      <c r="D3711" s="84"/>
    </row>
    <row r="3712" spans="4:4" x14ac:dyDescent="0.2">
      <c r="D3712" s="84"/>
    </row>
    <row r="3713" spans="4:4" x14ac:dyDescent="0.2">
      <c r="D3713" s="84"/>
    </row>
    <row r="3714" spans="4:4" x14ac:dyDescent="0.2">
      <c r="D3714" s="84"/>
    </row>
    <row r="3715" spans="4:4" x14ac:dyDescent="0.2">
      <c r="D3715" s="84"/>
    </row>
    <row r="3716" spans="4:4" x14ac:dyDescent="0.2">
      <c r="D3716" s="84"/>
    </row>
    <row r="3717" spans="4:4" x14ac:dyDescent="0.2">
      <c r="D3717" s="84"/>
    </row>
    <row r="3718" spans="4:4" x14ac:dyDescent="0.2">
      <c r="D3718" s="84"/>
    </row>
    <row r="3719" spans="4:4" x14ac:dyDescent="0.2">
      <c r="D3719" s="84"/>
    </row>
    <row r="3720" spans="4:4" x14ac:dyDescent="0.2">
      <c r="D3720" s="84"/>
    </row>
    <row r="3721" spans="4:4" x14ac:dyDescent="0.2">
      <c r="D3721" s="84"/>
    </row>
    <row r="3722" spans="4:4" x14ac:dyDescent="0.2">
      <c r="D3722" s="84"/>
    </row>
    <row r="3723" spans="4:4" x14ac:dyDescent="0.2">
      <c r="D3723" s="84"/>
    </row>
    <row r="3724" spans="4:4" x14ac:dyDescent="0.2">
      <c r="D3724" s="84"/>
    </row>
    <row r="3725" spans="4:4" x14ac:dyDescent="0.2">
      <c r="D3725" s="84"/>
    </row>
    <row r="3726" spans="4:4" x14ac:dyDescent="0.2">
      <c r="D3726" s="84"/>
    </row>
    <row r="3727" spans="4:4" x14ac:dyDescent="0.2">
      <c r="D3727" s="84"/>
    </row>
    <row r="3728" spans="4:4" x14ac:dyDescent="0.2">
      <c r="D3728" s="84"/>
    </row>
    <row r="3729" spans="4:4" x14ac:dyDescent="0.2">
      <c r="D3729" s="84"/>
    </row>
    <row r="3730" spans="4:4" x14ac:dyDescent="0.2">
      <c r="D3730" s="84"/>
    </row>
    <row r="3731" spans="4:4" x14ac:dyDescent="0.2">
      <c r="D3731" s="84"/>
    </row>
    <row r="3732" spans="4:4" x14ac:dyDescent="0.2">
      <c r="D3732" s="84"/>
    </row>
    <row r="3733" spans="4:4" x14ac:dyDescent="0.2">
      <c r="D3733" s="84"/>
    </row>
    <row r="3734" spans="4:4" x14ac:dyDescent="0.2">
      <c r="D3734" s="84"/>
    </row>
    <row r="3735" spans="4:4" x14ac:dyDescent="0.2">
      <c r="D3735" s="84"/>
    </row>
    <row r="3736" spans="4:4" x14ac:dyDescent="0.2">
      <c r="D3736" s="84"/>
    </row>
    <row r="3737" spans="4:4" x14ac:dyDescent="0.2">
      <c r="D3737" s="84"/>
    </row>
    <row r="3738" spans="4:4" x14ac:dyDescent="0.2">
      <c r="D3738" s="84"/>
    </row>
    <row r="3739" spans="4:4" x14ac:dyDescent="0.2">
      <c r="D3739" s="84"/>
    </row>
    <row r="3740" spans="4:4" x14ac:dyDescent="0.2">
      <c r="D3740" s="84"/>
    </row>
    <row r="3741" spans="4:4" x14ac:dyDescent="0.2">
      <c r="D3741" s="84"/>
    </row>
    <row r="3742" spans="4:4" x14ac:dyDescent="0.2">
      <c r="D3742" s="84"/>
    </row>
    <row r="3743" spans="4:4" x14ac:dyDescent="0.2">
      <c r="D3743" s="84"/>
    </row>
    <row r="3744" spans="4:4" x14ac:dyDescent="0.2">
      <c r="D3744" s="84"/>
    </row>
    <row r="3745" spans="4:4" x14ac:dyDescent="0.2">
      <c r="D3745" s="84"/>
    </row>
    <row r="3746" spans="4:4" x14ac:dyDescent="0.2">
      <c r="D3746" s="84"/>
    </row>
    <row r="3747" spans="4:4" x14ac:dyDescent="0.2">
      <c r="D3747" s="84"/>
    </row>
    <row r="3748" spans="4:4" x14ac:dyDescent="0.2">
      <c r="D3748" s="84"/>
    </row>
    <row r="3749" spans="4:4" x14ac:dyDescent="0.2">
      <c r="D3749" s="84"/>
    </row>
    <row r="3750" spans="4:4" x14ac:dyDescent="0.2">
      <c r="D3750" s="84"/>
    </row>
    <row r="3751" spans="4:4" x14ac:dyDescent="0.2">
      <c r="D3751" s="84"/>
    </row>
    <row r="3752" spans="4:4" x14ac:dyDescent="0.2">
      <c r="D3752" s="84"/>
    </row>
    <row r="3753" spans="4:4" x14ac:dyDescent="0.2">
      <c r="D3753" s="84"/>
    </row>
    <row r="3754" spans="4:4" x14ac:dyDescent="0.2">
      <c r="D3754" s="84"/>
    </row>
    <row r="3755" spans="4:4" x14ac:dyDescent="0.2">
      <c r="D3755" s="84"/>
    </row>
    <row r="3756" spans="4:4" x14ac:dyDescent="0.2">
      <c r="D3756" s="84"/>
    </row>
    <row r="3757" spans="4:4" x14ac:dyDescent="0.2">
      <c r="D3757" s="84"/>
    </row>
    <row r="3758" spans="4:4" x14ac:dyDescent="0.2">
      <c r="D3758" s="84"/>
    </row>
    <row r="3759" spans="4:4" x14ac:dyDescent="0.2">
      <c r="D3759" s="84"/>
    </row>
    <row r="3760" spans="4:4" x14ac:dyDescent="0.2">
      <c r="D3760" s="84"/>
    </row>
    <row r="3761" spans="4:4" x14ac:dyDescent="0.2">
      <c r="D3761" s="84"/>
    </row>
    <row r="3762" spans="4:4" x14ac:dyDescent="0.2">
      <c r="D3762" s="84"/>
    </row>
    <row r="3763" spans="4:4" x14ac:dyDescent="0.2">
      <c r="D3763" s="84"/>
    </row>
    <row r="3764" spans="4:4" x14ac:dyDescent="0.2">
      <c r="D3764" s="84"/>
    </row>
    <row r="3765" spans="4:4" x14ac:dyDescent="0.2">
      <c r="D3765" s="84"/>
    </row>
    <row r="3766" spans="4:4" x14ac:dyDescent="0.2">
      <c r="D3766" s="84"/>
    </row>
    <row r="3767" spans="4:4" x14ac:dyDescent="0.2">
      <c r="D3767" s="84"/>
    </row>
    <row r="3768" spans="4:4" x14ac:dyDescent="0.2">
      <c r="D3768" s="84"/>
    </row>
    <row r="3769" spans="4:4" x14ac:dyDescent="0.2">
      <c r="D3769" s="84"/>
    </row>
    <row r="3770" spans="4:4" x14ac:dyDescent="0.2">
      <c r="D3770" s="84"/>
    </row>
    <row r="3771" spans="4:4" x14ac:dyDescent="0.2">
      <c r="D3771" s="84"/>
    </row>
    <row r="3772" spans="4:4" x14ac:dyDescent="0.2">
      <c r="D3772" s="84"/>
    </row>
    <row r="3773" spans="4:4" x14ac:dyDescent="0.2">
      <c r="D3773" s="84"/>
    </row>
    <row r="3774" spans="4:4" x14ac:dyDescent="0.2">
      <c r="D3774" s="84"/>
    </row>
    <row r="3775" spans="4:4" x14ac:dyDescent="0.2">
      <c r="D3775" s="84"/>
    </row>
    <row r="3776" spans="4:4" x14ac:dyDescent="0.2">
      <c r="D3776" s="84"/>
    </row>
    <row r="3777" spans="4:4" x14ac:dyDescent="0.2">
      <c r="D3777" s="84"/>
    </row>
    <row r="3778" spans="4:4" x14ac:dyDescent="0.2">
      <c r="D3778" s="84"/>
    </row>
    <row r="3779" spans="4:4" x14ac:dyDescent="0.2">
      <c r="D3779" s="84"/>
    </row>
    <row r="3780" spans="4:4" x14ac:dyDescent="0.2">
      <c r="D3780" s="84"/>
    </row>
    <row r="3781" spans="4:4" x14ac:dyDescent="0.2">
      <c r="D3781" s="84"/>
    </row>
    <row r="3782" spans="4:4" x14ac:dyDescent="0.2">
      <c r="D3782" s="84"/>
    </row>
    <row r="3783" spans="4:4" x14ac:dyDescent="0.2">
      <c r="D3783" s="84"/>
    </row>
    <row r="3784" spans="4:4" x14ac:dyDescent="0.2">
      <c r="D3784" s="84"/>
    </row>
    <row r="3785" spans="4:4" x14ac:dyDescent="0.2">
      <c r="D3785" s="84"/>
    </row>
    <row r="3786" spans="4:4" x14ac:dyDescent="0.2">
      <c r="D3786" s="84"/>
    </row>
    <row r="3787" spans="4:4" x14ac:dyDescent="0.2">
      <c r="D3787" s="84"/>
    </row>
    <row r="3788" spans="4:4" x14ac:dyDescent="0.2">
      <c r="D3788" s="84"/>
    </row>
    <row r="3789" spans="4:4" x14ac:dyDescent="0.2">
      <c r="D3789" s="84"/>
    </row>
    <row r="3790" spans="4:4" x14ac:dyDescent="0.2">
      <c r="D3790" s="84"/>
    </row>
    <row r="3791" spans="4:4" x14ac:dyDescent="0.2">
      <c r="D3791" s="84"/>
    </row>
    <row r="3792" spans="4:4" x14ac:dyDescent="0.2">
      <c r="D3792" s="84"/>
    </row>
    <row r="3793" spans="4:4" x14ac:dyDescent="0.2">
      <c r="D3793" s="84"/>
    </row>
    <row r="3794" spans="4:4" x14ac:dyDescent="0.2">
      <c r="D3794" s="84"/>
    </row>
    <row r="3795" spans="4:4" x14ac:dyDescent="0.2">
      <c r="D3795" s="84"/>
    </row>
    <row r="3796" spans="4:4" x14ac:dyDescent="0.2">
      <c r="D3796" s="84"/>
    </row>
    <row r="3797" spans="4:4" x14ac:dyDescent="0.2">
      <c r="D3797" s="84"/>
    </row>
    <row r="3798" spans="4:4" x14ac:dyDescent="0.2">
      <c r="D3798" s="84"/>
    </row>
    <row r="3799" spans="4:4" x14ac:dyDescent="0.2">
      <c r="D3799" s="84"/>
    </row>
    <row r="3800" spans="4:4" x14ac:dyDescent="0.2">
      <c r="D3800" s="84"/>
    </row>
    <row r="3801" spans="4:4" x14ac:dyDescent="0.2">
      <c r="D3801" s="84"/>
    </row>
    <row r="3802" spans="4:4" x14ac:dyDescent="0.2">
      <c r="D3802" s="84"/>
    </row>
    <row r="3803" spans="4:4" x14ac:dyDescent="0.2">
      <c r="D3803" s="84"/>
    </row>
    <row r="3804" spans="4:4" x14ac:dyDescent="0.2">
      <c r="D3804" s="84"/>
    </row>
    <row r="3805" spans="4:4" x14ac:dyDescent="0.2">
      <c r="D3805" s="84"/>
    </row>
    <row r="3806" spans="4:4" x14ac:dyDescent="0.2">
      <c r="D3806" s="84"/>
    </row>
    <row r="3807" spans="4:4" x14ac:dyDescent="0.2">
      <c r="D3807" s="84"/>
    </row>
    <row r="3808" spans="4:4" x14ac:dyDescent="0.2">
      <c r="D3808" s="84"/>
    </row>
    <row r="3809" spans="4:4" x14ac:dyDescent="0.2">
      <c r="D3809" s="84"/>
    </row>
    <row r="3810" spans="4:4" x14ac:dyDescent="0.2">
      <c r="D3810" s="84"/>
    </row>
    <row r="3811" spans="4:4" x14ac:dyDescent="0.2">
      <c r="D3811" s="84"/>
    </row>
    <row r="3812" spans="4:4" x14ac:dyDescent="0.2">
      <c r="D3812" s="84"/>
    </row>
    <row r="3813" spans="4:4" x14ac:dyDescent="0.2">
      <c r="D3813" s="84"/>
    </row>
    <row r="3814" spans="4:4" x14ac:dyDescent="0.2">
      <c r="D3814" s="84"/>
    </row>
    <row r="3815" spans="4:4" x14ac:dyDescent="0.2">
      <c r="D3815" s="84"/>
    </row>
    <row r="3816" spans="4:4" x14ac:dyDescent="0.2">
      <c r="D3816" s="84"/>
    </row>
    <row r="3817" spans="4:4" x14ac:dyDescent="0.2">
      <c r="D3817" s="84"/>
    </row>
    <row r="3818" spans="4:4" x14ac:dyDescent="0.2">
      <c r="D3818" s="84"/>
    </row>
    <row r="3819" spans="4:4" x14ac:dyDescent="0.2">
      <c r="D3819" s="84"/>
    </row>
    <row r="3820" spans="4:4" x14ac:dyDescent="0.2">
      <c r="D3820" s="84"/>
    </row>
    <row r="3821" spans="4:4" x14ac:dyDescent="0.2">
      <c r="D3821" s="84"/>
    </row>
    <row r="3822" spans="4:4" x14ac:dyDescent="0.2">
      <c r="D3822" s="84"/>
    </row>
    <row r="3823" spans="4:4" x14ac:dyDescent="0.2">
      <c r="D3823" s="84"/>
    </row>
    <row r="3824" spans="4:4" x14ac:dyDescent="0.2">
      <c r="D3824" s="84"/>
    </row>
    <row r="3825" spans="4:4" x14ac:dyDescent="0.2">
      <c r="D3825" s="84"/>
    </row>
    <row r="3826" spans="4:4" x14ac:dyDescent="0.2">
      <c r="D3826" s="84"/>
    </row>
    <row r="3827" spans="4:4" x14ac:dyDescent="0.2">
      <c r="D3827" s="84"/>
    </row>
    <row r="3828" spans="4:4" x14ac:dyDescent="0.2">
      <c r="D3828" s="84"/>
    </row>
    <row r="3829" spans="4:4" x14ac:dyDescent="0.2">
      <c r="D3829" s="84"/>
    </row>
    <row r="3830" spans="4:4" x14ac:dyDescent="0.2">
      <c r="D3830" s="84"/>
    </row>
    <row r="3831" spans="4:4" x14ac:dyDescent="0.2">
      <c r="D3831" s="84"/>
    </row>
    <row r="3832" spans="4:4" x14ac:dyDescent="0.2">
      <c r="D3832" s="84"/>
    </row>
    <row r="3833" spans="4:4" x14ac:dyDescent="0.2">
      <c r="D3833" s="84"/>
    </row>
    <row r="3834" spans="4:4" x14ac:dyDescent="0.2">
      <c r="D3834" s="84"/>
    </row>
    <row r="3835" spans="4:4" x14ac:dyDescent="0.2">
      <c r="D3835" s="84"/>
    </row>
    <row r="3836" spans="4:4" x14ac:dyDescent="0.2">
      <c r="D3836" s="84"/>
    </row>
    <row r="3837" spans="4:4" x14ac:dyDescent="0.2">
      <c r="D3837" s="84"/>
    </row>
    <row r="3838" spans="4:4" x14ac:dyDescent="0.2">
      <c r="D3838" s="84"/>
    </row>
    <row r="3839" spans="4:4" x14ac:dyDescent="0.2">
      <c r="D3839" s="84"/>
    </row>
    <row r="3840" spans="4:4" x14ac:dyDescent="0.2">
      <c r="D3840" s="84"/>
    </row>
    <row r="3841" spans="4:4" x14ac:dyDescent="0.2">
      <c r="D3841" s="84"/>
    </row>
    <row r="3842" spans="4:4" x14ac:dyDescent="0.2">
      <c r="D3842" s="84"/>
    </row>
    <row r="3843" spans="4:4" x14ac:dyDescent="0.2">
      <c r="D3843" s="84"/>
    </row>
    <row r="3844" spans="4:4" x14ac:dyDescent="0.2">
      <c r="D3844" s="84"/>
    </row>
    <row r="3845" spans="4:4" x14ac:dyDescent="0.2">
      <c r="D3845" s="84"/>
    </row>
    <row r="3846" spans="4:4" x14ac:dyDescent="0.2">
      <c r="D3846" s="84"/>
    </row>
    <row r="3847" spans="4:4" x14ac:dyDescent="0.2">
      <c r="D3847" s="84"/>
    </row>
    <row r="3848" spans="4:4" x14ac:dyDescent="0.2">
      <c r="D3848" s="84"/>
    </row>
    <row r="3849" spans="4:4" x14ac:dyDescent="0.2">
      <c r="D3849" s="84"/>
    </row>
    <row r="3850" spans="4:4" x14ac:dyDescent="0.2">
      <c r="D3850" s="84"/>
    </row>
    <row r="3851" spans="4:4" x14ac:dyDescent="0.2">
      <c r="D3851" s="84"/>
    </row>
    <row r="3852" spans="4:4" x14ac:dyDescent="0.2">
      <c r="D3852" s="84"/>
    </row>
    <row r="3853" spans="4:4" x14ac:dyDescent="0.2">
      <c r="D3853" s="84"/>
    </row>
    <row r="3854" spans="4:4" x14ac:dyDescent="0.2">
      <c r="D3854" s="84"/>
    </row>
    <row r="3855" spans="4:4" x14ac:dyDescent="0.2">
      <c r="D3855" s="84"/>
    </row>
    <row r="3856" spans="4:4" x14ac:dyDescent="0.2">
      <c r="D3856" s="84"/>
    </row>
    <row r="3857" spans="4:4" x14ac:dyDescent="0.2">
      <c r="D3857" s="84"/>
    </row>
    <row r="3858" spans="4:4" x14ac:dyDescent="0.2">
      <c r="D3858" s="84"/>
    </row>
    <row r="3859" spans="4:4" x14ac:dyDescent="0.2">
      <c r="D3859" s="84"/>
    </row>
    <row r="3860" spans="4:4" x14ac:dyDescent="0.2">
      <c r="D3860" s="84"/>
    </row>
    <row r="3861" spans="4:4" x14ac:dyDescent="0.2">
      <c r="D3861" s="84"/>
    </row>
    <row r="3862" spans="4:4" x14ac:dyDescent="0.2">
      <c r="D3862" s="84"/>
    </row>
    <row r="3863" spans="4:4" x14ac:dyDescent="0.2">
      <c r="D3863" s="84"/>
    </row>
    <row r="3864" spans="4:4" x14ac:dyDescent="0.2">
      <c r="D3864" s="84"/>
    </row>
    <row r="3865" spans="4:4" x14ac:dyDescent="0.2">
      <c r="D3865" s="84"/>
    </row>
    <row r="3866" spans="4:4" x14ac:dyDescent="0.2">
      <c r="D3866" s="84"/>
    </row>
    <row r="3867" spans="4:4" x14ac:dyDescent="0.2">
      <c r="D3867" s="84"/>
    </row>
    <row r="3868" spans="4:4" x14ac:dyDescent="0.2">
      <c r="D3868" s="84"/>
    </row>
    <row r="3869" spans="4:4" x14ac:dyDescent="0.2">
      <c r="D3869" s="84"/>
    </row>
    <row r="3870" spans="4:4" x14ac:dyDescent="0.2">
      <c r="D3870" s="84"/>
    </row>
    <row r="3871" spans="4:4" x14ac:dyDescent="0.2">
      <c r="D3871" s="84"/>
    </row>
    <row r="3872" spans="4:4" x14ac:dyDescent="0.2">
      <c r="D3872" s="84"/>
    </row>
    <row r="3873" spans="4:4" x14ac:dyDescent="0.2">
      <c r="D3873" s="84"/>
    </row>
    <row r="3874" spans="4:4" x14ac:dyDescent="0.2">
      <c r="D3874" s="84"/>
    </row>
    <row r="3875" spans="4:4" x14ac:dyDescent="0.2">
      <c r="D3875" s="84"/>
    </row>
    <row r="3876" spans="4:4" x14ac:dyDescent="0.2">
      <c r="D3876" s="84"/>
    </row>
    <row r="3877" spans="4:4" x14ac:dyDescent="0.2">
      <c r="D3877" s="84"/>
    </row>
    <row r="3878" spans="4:4" x14ac:dyDescent="0.2">
      <c r="D3878" s="84"/>
    </row>
    <row r="3879" spans="4:4" x14ac:dyDescent="0.2">
      <c r="D3879" s="84"/>
    </row>
    <row r="3880" spans="4:4" x14ac:dyDescent="0.2">
      <c r="D3880" s="84"/>
    </row>
    <row r="3881" spans="4:4" x14ac:dyDescent="0.2">
      <c r="D3881" s="84"/>
    </row>
    <row r="3882" spans="4:4" x14ac:dyDescent="0.2">
      <c r="D3882" s="84"/>
    </row>
    <row r="3883" spans="4:4" x14ac:dyDescent="0.2">
      <c r="D3883" s="84"/>
    </row>
    <row r="3884" spans="4:4" x14ac:dyDescent="0.2">
      <c r="D3884" s="84"/>
    </row>
    <row r="3885" spans="4:4" x14ac:dyDescent="0.2">
      <c r="D3885" s="84"/>
    </row>
    <row r="3886" spans="4:4" x14ac:dyDescent="0.2">
      <c r="D3886" s="84"/>
    </row>
    <row r="3887" spans="4:4" x14ac:dyDescent="0.2">
      <c r="D3887" s="84"/>
    </row>
    <row r="3888" spans="4:4" x14ac:dyDescent="0.2">
      <c r="D3888" s="84"/>
    </row>
    <row r="3889" spans="4:4" x14ac:dyDescent="0.2">
      <c r="D3889" s="84"/>
    </row>
    <row r="3890" spans="4:4" x14ac:dyDescent="0.2">
      <c r="D3890" s="84"/>
    </row>
    <row r="3891" spans="4:4" x14ac:dyDescent="0.2">
      <c r="D3891" s="84"/>
    </row>
    <row r="3892" spans="4:4" x14ac:dyDescent="0.2">
      <c r="D3892" s="84"/>
    </row>
    <row r="3893" spans="4:4" x14ac:dyDescent="0.2">
      <c r="D3893" s="84"/>
    </row>
    <row r="3894" spans="4:4" x14ac:dyDescent="0.2">
      <c r="D3894" s="84"/>
    </row>
    <row r="3895" spans="4:4" x14ac:dyDescent="0.2">
      <c r="D3895" s="84"/>
    </row>
    <row r="3896" spans="4:4" x14ac:dyDescent="0.2">
      <c r="D3896" s="84"/>
    </row>
    <row r="3897" spans="4:4" x14ac:dyDescent="0.2">
      <c r="D3897" s="84"/>
    </row>
    <row r="3898" spans="4:4" x14ac:dyDescent="0.2">
      <c r="D3898" s="84"/>
    </row>
    <row r="3899" spans="4:4" x14ac:dyDescent="0.2">
      <c r="D3899" s="84"/>
    </row>
    <row r="3900" spans="4:4" x14ac:dyDescent="0.2">
      <c r="D3900" s="84"/>
    </row>
    <row r="3901" spans="4:4" x14ac:dyDescent="0.2">
      <c r="D3901" s="84"/>
    </row>
    <row r="3902" spans="4:4" x14ac:dyDescent="0.2">
      <c r="D3902" s="84"/>
    </row>
    <row r="3903" spans="4:4" x14ac:dyDescent="0.2">
      <c r="D3903" s="84"/>
    </row>
    <row r="3904" spans="4:4" x14ac:dyDescent="0.2">
      <c r="D3904" s="84"/>
    </row>
    <row r="3905" spans="4:4" x14ac:dyDescent="0.2">
      <c r="D3905" s="84"/>
    </row>
    <row r="3906" spans="4:4" x14ac:dyDescent="0.2">
      <c r="D3906" s="84"/>
    </row>
    <row r="3907" spans="4:4" x14ac:dyDescent="0.2">
      <c r="D3907" s="84"/>
    </row>
    <row r="3908" spans="4:4" x14ac:dyDescent="0.2">
      <c r="D3908" s="84"/>
    </row>
    <row r="3909" spans="4:4" x14ac:dyDescent="0.2">
      <c r="D3909" s="84"/>
    </row>
    <row r="3910" spans="4:4" x14ac:dyDescent="0.2">
      <c r="D3910" s="84"/>
    </row>
    <row r="3911" spans="4:4" x14ac:dyDescent="0.2">
      <c r="D3911" s="84"/>
    </row>
    <row r="3912" spans="4:4" x14ac:dyDescent="0.2">
      <c r="D3912" s="84"/>
    </row>
    <row r="3913" spans="4:4" x14ac:dyDescent="0.2">
      <c r="D3913" s="84"/>
    </row>
    <row r="3914" spans="4:4" x14ac:dyDescent="0.2">
      <c r="D3914" s="84"/>
    </row>
    <row r="3915" spans="4:4" x14ac:dyDescent="0.2">
      <c r="D3915" s="84"/>
    </row>
    <row r="3916" spans="4:4" x14ac:dyDescent="0.2">
      <c r="D3916" s="84"/>
    </row>
    <row r="3917" spans="4:4" x14ac:dyDescent="0.2">
      <c r="D3917" s="84"/>
    </row>
    <row r="3918" spans="4:4" x14ac:dyDescent="0.2">
      <c r="D3918" s="84"/>
    </row>
    <row r="3919" spans="4:4" x14ac:dyDescent="0.2">
      <c r="D3919" s="84"/>
    </row>
    <row r="3920" spans="4:4" x14ac:dyDescent="0.2">
      <c r="D3920" s="84"/>
    </row>
    <row r="3921" spans="4:4" x14ac:dyDescent="0.2">
      <c r="D3921" s="84"/>
    </row>
    <row r="3922" spans="4:4" x14ac:dyDescent="0.2">
      <c r="D3922" s="84"/>
    </row>
    <row r="3923" spans="4:4" x14ac:dyDescent="0.2">
      <c r="D3923" s="84"/>
    </row>
    <row r="3924" spans="4:4" x14ac:dyDescent="0.2">
      <c r="D3924" s="84"/>
    </row>
    <row r="3925" spans="4:4" x14ac:dyDescent="0.2">
      <c r="D3925" s="84"/>
    </row>
    <row r="3926" spans="4:4" x14ac:dyDescent="0.2">
      <c r="D3926" s="84"/>
    </row>
    <row r="3927" spans="4:4" x14ac:dyDescent="0.2">
      <c r="D3927" s="84"/>
    </row>
    <row r="3928" spans="4:4" x14ac:dyDescent="0.2">
      <c r="D3928" s="84"/>
    </row>
    <row r="3929" spans="4:4" x14ac:dyDescent="0.2">
      <c r="D3929" s="84"/>
    </row>
    <row r="3930" spans="4:4" x14ac:dyDescent="0.2">
      <c r="D3930" s="84"/>
    </row>
    <row r="3931" spans="4:4" x14ac:dyDescent="0.2">
      <c r="D3931" s="84"/>
    </row>
    <row r="3932" spans="4:4" x14ac:dyDescent="0.2">
      <c r="D3932" s="84"/>
    </row>
    <row r="3933" spans="4:4" x14ac:dyDescent="0.2">
      <c r="D3933" s="84"/>
    </row>
    <row r="3934" spans="4:4" x14ac:dyDescent="0.2">
      <c r="D3934" s="84"/>
    </row>
    <row r="3935" spans="4:4" x14ac:dyDescent="0.2">
      <c r="D3935" s="84"/>
    </row>
    <row r="3936" spans="4:4" x14ac:dyDescent="0.2">
      <c r="D3936" s="84"/>
    </row>
    <row r="3937" spans="4:4" x14ac:dyDescent="0.2">
      <c r="D3937" s="84"/>
    </row>
    <row r="3938" spans="4:4" x14ac:dyDescent="0.2">
      <c r="D3938" s="84"/>
    </row>
    <row r="3939" spans="4:4" x14ac:dyDescent="0.2">
      <c r="D3939" s="84"/>
    </row>
    <row r="3940" spans="4:4" x14ac:dyDescent="0.2">
      <c r="D3940" s="84"/>
    </row>
    <row r="3941" spans="4:4" x14ac:dyDescent="0.2">
      <c r="D3941" s="84"/>
    </row>
    <row r="3942" spans="4:4" x14ac:dyDescent="0.2">
      <c r="D3942" s="84"/>
    </row>
    <row r="3943" spans="4:4" x14ac:dyDescent="0.2">
      <c r="D3943" s="84"/>
    </row>
    <row r="3944" spans="4:4" x14ac:dyDescent="0.2">
      <c r="D3944" s="84"/>
    </row>
    <row r="3945" spans="4:4" x14ac:dyDescent="0.2">
      <c r="D3945" s="84"/>
    </row>
    <row r="3946" spans="4:4" x14ac:dyDescent="0.2">
      <c r="D3946" s="84"/>
    </row>
    <row r="3947" spans="4:4" x14ac:dyDescent="0.2">
      <c r="D3947" s="84"/>
    </row>
    <row r="3948" spans="4:4" x14ac:dyDescent="0.2">
      <c r="D3948" s="84"/>
    </row>
    <row r="3949" spans="4:4" x14ac:dyDescent="0.2">
      <c r="D3949" s="84"/>
    </row>
    <row r="3950" spans="4:4" x14ac:dyDescent="0.2">
      <c r="D3950" s="84"/>
    </row>
    <row r="3951" spans="4:4" x14ac:dyDescent="0.2">
      <c r="D3951" s="84"/>
    </row>
    <row r="3952" spans="4:4" x14ac:dyDescent="0.2">
      <c r="D3952" s="84"/>
    </row>
    <row r="3953" spans="4:4" x14ac:dyDescent="0.2">
      <c r="D3953" s="84"/>
    </row>
    <row r="3954" spans="4:4" x14ac:dyDescent="0.2">
      <c r="D3954" s="84"/>
    </row>
    <row r="3955" spans="4:4" x14ac:dyDescent="0.2">
      <c r="D3955" s="84"/>
    </row>
    <row r="3956" spans="4:4" x14ac:dyDescent="0.2">
      <c r="D3956" s="84"/>
    </row>
    <row r="3957" spans="4:4" x14ac:dyDescent="0.2">
      <c r="D3957" s="84"/>
    </row>
    <row r="3958" spans="4:4" x14ac:dyDescent="0.2">
      <c r="D3958" s="84"/>
    </row>
    <row r="3959" spans="4:4" x14ac:dyDescent="0.2">
      <c r="D3959" s="84"/>
    </row>
    <row r="3960" spans="4:4" x14ac:dyDescent="0.2">
      <c r="D3960" s="84"/>
    </row>
    <row r="3961" spans="4:4" x14ac:dyDescent="0.2">
      <c r="D3961" s="84"/>
    </row>
    <row r="3962" spans="4:4" x14ac:dyDescent="0.2">
      <c r="D3962" s="84"/>
    </row>
    <row r="3963" spans="4:4" x14ac:dyDescent="0.2">
      <c r="D3963" s="84"/>
    </row>
    <row r="3964" spans="4:4" x14ac:dyDescent="0.2">
      <c r="D3964" s="84"/>
    </row>
    <row r="3965" spans="4:4" x14ac:dyDescent="0.2">
      <c r="D3965" s="84"/>
    </row>
    <row r="3966" spans="4:4" x14ac:dyDescent="0.2">
      <c r="D3966" s="84"/>
    </row>
    <row r="3967" spans="4:4" x14ac:dyDescent="0.2">
      <c r="D3967" s="84"/>
    </row>
    <row r="3968" spans="4:4" x14ac:dyDescent="0.2">
      <c r="D3968" s="84"/>
    </row>
    <row r="3969" spans="4:4" x14ac:dyDescent="0.2">
      <c r="D3969" s="84"/>
    </row>
    <row r="3970" spans="4:4" x14ac:dyDescent="0.2">
      <c r="D3970" s="84"/>
    </row>
    <row r="3971" spans="4:4" x14ac:dyDescent="0.2">
      <c r="D3971" s="84"/>
    </row>
    <row r="3972" spans="4:4" x14ac:dyDescent="0.2">
      <c r="D3972" s="84"/>
    </row>
    <row r="3973" spans="4:4" x14ac:dyDescent="0.2">
      <c r="D3973" s="84"/>
    </row>
    <row r="3974" spans="4:4" x14ac:dyDescent="0.2">
      <c r="D3974" s="84"/>
    </row>
    <row r="3975" spans="4:4" x14ac:dyDescent="0.2">
      <c r="D3975" s="84"/>
    </row>
    <row r="3976" spans="4:4" x14ac:dyDescent="0.2">
      <c r="D3976" s="84"/>
    </row>
    <row r="3977" spans="4:4" x14ac:dyDescent="0.2">
      <c r="D3977" s="84"/>
    </row>
    <row r="3978" spans="4:4" x14ac:dyDescent="0.2">
      <c r="D3978" s="84"/>
    </row>
    <row r="3979" spans="4:4" x14ac:dyDescent="0.2">
      <c r="D3979" s="84"/>
    </row>
    <row r="3980" spans="4:4" x14ac:dyDescent="0.2">
      <c r="D3980" s="84"/>
    </row>
    <row r="3981" spans="4:4" x14ac:dyDescent="0.2">
      <c r="D3981" s="84"/>
    </row>
    <row r="3982" spans="4:4" x14ac:dyDescent="0.2">
      <c r="D3982" s="84"/>
    </row>
    <row r="3983" spans="4:4" x14ac:dyDescent="0.2">
      <c r="D3983" s="84"/>
    </row>
    <row r="3984" spans="4:4" x14ac:dyDescent="0.2">
      <c r="D3984" s="84"/>
    </row>
    <row r="3985" spans="4:4" x14ac:dyDescent="0.2">
      <c r="D3985" s="84"/>
    </row>
    <row r="3986" spans="4:4" x14ac:dyDescent="0.2">
      <c r="D3986" s="84"/>
    </row>
    <row r="3987" spans="4:4" x14ac:dyDescent="0.2">
      <c r="D3987" s="84"/>
    </row>
    <row r="3988" spans="4:4" x14ac:dyDescent="0.2">
      <c r="D3988" s="84"/>
    </row>
    <row r="3989" spans="4:4" x14ac:dyDescent="0.2">
      <c r="D3989" s="84"/>
    </row>
    <row r="3990" spans="4:4" x14ac:dyDescent="0.2">
      <c r="D3990" s="84"/>
    </row>
    <row r="3991" spans="4:4" x14ac:dyDescent="0.2">
      <c r="D3991" s="84"/>
    </row>
    <row r="3992" spans="4:4" x14ac:dyDescent="0.2">
      <c r="D3992" s="84"/>
    </row>
    <row r="3993" spans="4:4" x14ac:dyDescent="0.2">
      <c r="D3993" s="84"/>
    </row>
    <row r="3994" spans="4:4" x14ac:dyDescent="0.2">
      <c r="D3994" s="84"/>
    </row>
    <row r="3995" spans="4:4" x14ac:dyDescent="0.2">
      <c r="D3995" s="84"/>
    </row>
    <row r="3996" spans="4:4" x14ac:dyDescent="0.2">
      <c r="D3996" s="84"/>
    </row>
    <row r="3997" spans="4:4" x14ac:dyDescent="0.2">
      <c r="D3997" s="84"/>
    </row>
    <row r="3998" spans="4:4" x14ac:dyDescent="0.2">
      <c r="D3998" s="84"/>
    </row>
    <row r="3999" spans="4:4" x14ac:dyDescent="0.2">
      <c r="D3999" s="84"/>
    </row>
    <row r="4000" spans="4:4" x14ac:dyDescent="0.2">
      <c r="D4000" s="84"/>
    </row>
    <row r="4001" spans="4:4" x14ac:dyDescent="0.2">
      <c r="D4001" s="84"/>
    </row>
    <row r="4002" spans="4:4" x14ac:dyDescent="0.2">
      <c r="D4002" s="84"/>
    </row>
    <row r="4003" spans="4:4" x14ac:dyDescent="0.2">
      <c r="D4003" s="84"/>
    </row>
    <row r="4004" spans="4:4" x14ac:dyDescent="0.2">
      <c r="D4004" s="84"/>
    </row>
    <row r="4005" spans="4:4" x14ac:dyDescent="0.2">
      <c r="D4005" s="84"/>
    </row>
    <row r="4006" spans="4:4" x14ac:dyDescent="0.2">
      <c r="D4006" s="84"/>
    </row>
    <row r="4007" spans="4:4" x14ac:dyDescent="0.2">
      <c r="D4007" s="84"/>
    </row>
    <row r="4008" spans="4:4" x14ac:dyDescent="0.2">
      <c r="D4008" s="84"/>
    </row>
    <row r="4009" spans="4:4" x14ac:dyDescent="0.2">
      <c r="D4009" s="84"/>
    </row>
    <row r="4010" spans="4:4" x14ac:dyDescent="0.2">
      <c r="D4010" s="84"/>
    </row>
    <row r="4011" spans="4:4" x14ac:dyDescent="0.2">
      <c r="D4011" s="84"/>
    </row>
    <row r="4012" spans="4:4" x14ac:dyDescent="0.2">
      <c r="D4012" s="84"/>
    </row>
    <row r="4013" spans="4:4" x14ac:dyDescent="0.2">
      <c r="D4013" s="84"/>
    </row>
    <row r="4014" spans="4:4" x14ac:dyDescent="0.2">
      <c r="D4014" s="84"/>
    </row>
    <row r="4015" spans="4:4" x14ac:dyDescent="0.2">
      <c r="D4015" s="84"/>
    </row>
    <row r="4016" spans="4:4" x14ac:dyDescent="0.2">
      <c r="D4016" s="84"/>
    </row>
    <row r="4017" spans="4:4" x14ac:dyDescent="0.2">
      <c r="D4017" s="84"/>
    </row>
    <row r="4018" spans="4:4" x14ac:dyDescent="0.2">
      <c r="D4018" s="84"/>
    </row>
    <row r="4019" spans="4:4" x14ac:dyDescent="0.2">
      <c r="D4019" s="84"/>
    </row>
    <row r="4020" spans="4:4" x14ac:dyDescent="0.2">
      <c r="D4020" s="84"/>
    </row>
    <row r="4021" spans="4:4" x14ac:dyDescent="0.2">
      <c r="D4021" s="84"/>
    </row>
    <row r="4022" spans="4:4" x14ac:dyDescent="0.2">
      <c r="D4022" s="84"/>
    </row>
    <row r="4023" spans="4:4" x14ac:dyDescent="0.2">
      <c r="D4023" s="84"/>
    </row>
    <row r="4024" spans="4:4" x14ac:dyDescent="0.2">
      <c r="D4024" s="84"/>
    </row>
    <row r="4025" spans="4:4" x14ac:dyDescent="0.2">
      <c r="D4025" s="84"/>
    </row>
    <row r="4026" spans="4:4" x14ac:dyDescent="0.2">
      <c r="D4026" s="84"/>
    </row>
    <row r="4027" spans="4:4" x14ac:dyDescent="0.2">
      <c r="D4027" s="84"/>
    </row>
    <row r="4028" spans="4:4" x14ac:dyDescent="0.2">
      <c r="D4028" s="84"/>
    </row>
    <row r="4029" spans="4:4" x14ac:dyDescent="0.2">
      <c r="D4029" s="84"/>
    </row>
    <row r="4030" spans="4:4" x14ac:dyDescent="0.2">
      <c r="D4030" s="84"/>
    </row>
    <row r="4031" spans="4:4" x14ac:dyDescent="0.2">
      <c r="D4031" s="84"/>
    </row>
    <row r="4032" spans="4:4" x14ac:dyDescent="0.2">
      <c r="D4032" s="84"/>
    </row>
    <row r="4033" spans="4:4" x14ac:dyDescent="0.2">
      <c r="D4033" s="84"/>
    </row>
    <row r="4034" spans="4:4" x14ac:dyDescent="0.2">
      <c r="D4034" s="84"/>
    </row>
    <row r="4035" spans="4:4" x14ac:dyDescent="0.2">
      <c r="D4035" s="84"/>
    </row>
    <row r="4036" spans="4:4" x14ac:dyDescent="0.2">
      <c r="D4036" s="84"/>
    </row>
    <row r="4037" spans="4:4" x14ac:dyDescent="0.2">
      <c r="D4037" s="84"/>
    </row>
    <row r="4038" spans="4:4" x14ac:dyDescent="0.2">
      <c r="D4038" s="84"/>
    </row>
    <row r="4039" spans="4:4" x14ac:dyDescent="0.2">
      <c r="D4039" s="84"/>
    </row>
    <row r="4040" spans="4:4" x14ac:dyDescent="0.2">
      <c r="D4040" s="84"/>
    </row>
    <row r="4041" spans="4:4" x14ac:dyDescent="0.2">
      <c r="D4041" s="84"/>
    </row>
    <row r="4042" spans="4:4" x14ac:dyDescent="0.2">
      <c r="D4042" s="84"/>
    </row>
    <row r="4043" spans="4:4" x14ac:dyDescent="0.2">
      <c r="D4043" s="84"/>
    </row>
    <row r="4044" spans="4:4" x14ac:dyDescent="0.2">
      <c r="D4044" s="84"/>
    </row>
    <row r="4045" spans="4:4" x14ac:dyDescent="0.2">
      <c r="D4045" s="84"/>
    </row>
    <row r="4046" spans="4:4" x14ac:dyDescent="0.2">
      <c r="D4046" s="84"/>
    </row>
    <row r="4047" spans="4:4" x14ac:dyDescent="0.2">
      <c r="D4047" s="84"/>
    </row>
    <row r="4048" spans="4:4" x14ac:dyDescent="0.2">
      <c r="D4048" s="84"/>
    </row>
    <row r="4049" spans="4:4" x14ac:dyDescent="0.2">
      <c r="D4049" s="84"/>
    </row>
    <row r="4050" spans="4:4" x14ac:dyDescent="0.2">
      <c r="D4050" s="84"/>
    </row>
    <row r="4051" spans="4:4" x14ac:dyDescent="0.2">
      <c r="D4051" s="84"/>
    </row>
    <row r="4052" spans="4:4" x14ac:dyDescent="0.2">
      <c r="D4052" s="84"/>
    </row>
    <row r="4053" spans="4:4" x14ac:dyDescent="0.2">
      <c r="D4053" s="84"/>
    </row>
    <row r="4054" spans="4:4" x14ac:dyDescent="0.2">
      <c r="D4054" s="84"/>
    </row>
    <row r="4055" spans="4:4" x14ac:dyDescent="0.2">
      <c r="D4055" s="84"/>
    </row>
    <row r="4056" spans="4:4" x14ac:dyDescent="0.2">
      <c r="D4056" s="84"/>
    </row>
    <row r="4057" spans="4:4" x14ac:dyDescent="0.2">
      <c r="D4057" s="84"/>
    </row>
    <row r="4058" spans="4:4" x14ac:dyDescent="0.2">
      <c r="D4058" s="84"/>
    </row>
    <row r="4059" spans="4:4" x14ac:dyDescent="0.2">
      <c r="D4059" s="84"/>
    </row>
    <row r="4060" spans="4:4" x14ac:dyDescent="0.2">
      <c r="D4060" s="84"/>
    </row>
    <row r="4061" spans="4:4" x14ac:dyDescent="0.2">
      <c r="D4061" s="84"/>
    </row>
    <row r="4062" spans="4:4" x14ac:dyDescent="0.2">
      <c r="D4062" s="84"/>
    </row>
    <row r="4063" spans="4:4" x14ac:dyDescent="0.2">
      <c r="D4063" s="84"/>
    </row>
    <row r="4064" spans="4:4" x14ac:dyDescent="0.2">
      <c r="D4064" s="84"/>
    </row>
    <row r="4065" spans="4:4" x14ac:dyDescent="0.2">
      <c r="D4065" s="84"/>
    </row>
    <row r="4066" spans="4:4" x14ac:dyDescent="0.2">
      <c r="D4066" s="84"/>
    </row>
    <row r="4067" spans="4:4" x14ac:dyDescent="0.2">
      <c r="D4067" s="84"/>
    </row>
    <row r="4068" spans="4:4" x14ac:dyDescent="0.2">
      <c r="D4068" s="84"/>
    </row>
    <row r="4069" spans="4:4" x14ac:dyDescent="0.2">
      <c r="D4069" s="84"/>
    </row>
    <row r="4070" spans="4:4" x14ac:dyDescent="0.2">
      <c r="D4070" s="84"/>
    </row>
    <row r="4071" spans="4:4" x14ac:dyDescent="0.2">
      <c r="D4071" s="84"/>
    </row>
    <row r="4072" spans="4:4" x14ac:dyDescent="0.2">
      <c r="D4072" s="84"/>
    </row>
    <row r="4073" spans="4:4" x14ac:dyDescent="0.2">
      <c r="D4073" s="84"/>
    </row>
    <row r="4074" spans="4:4" x14ac:dyDescent="0.2">
      <c r="D4074" s="84"/>
    </row>
    <row r="4075" spans="4:4" x14ac:dyDescent="0.2">
      <c r="D4075" s="84"/>
    </row>
    <row r="4076" spans="4:4" x14ac:dyDescent="0.2">
      <c r="D4076" s="84"/>
    </row>
    <row r="4077" spans="4:4" x14ac:dyDescent="0.2">
      <c r="D4077" s="84"/>
    </row>
    <row r="4078" spans="4:4" x14ac:dyDescent="0.2">
      <c r="D4078" s="84"/>
    </row>
    <row r="4079" spans="4:4" x14ac:dyDescent="0.2">
      <c r="D4079" s="84"/>
    </row>
    <row r="4080" spans="4:4" x14ac:dyDescent="0.2">
      <c r="D4080" s="84"/>
    </row>
    <row r="4081" spans="4:4" x14ac:dyDescent="0.2">
      <c r="D4081" s="84"/>
    </row>
    <row r="4082" spans="4:4" x14ac:dyDescent="0.2">
      <c r="D4082" s="84"/>
    </row>
    <row r="4083" spans="4:4" x14ac:dyDescent="0.2">
      <c r="D4083" s="84"/>
    </row>
    <row r="4084" spans="4:4" x14ac:dyDescent="0.2">
      <c r="D4084" s="84"/>
    </row>
    <row r="4085" spans="4:4" x14ac:dyDescent="0.2">
      <c r="D4085" s="84"/>
    </row>
    <row r="4086" spans="4:4" x14ac:dyDescent="0.2">
      <c r="D4086" s="84"/>
    </row>
    <row r="4087" spans="4:4" x14ac:dyDescent="0.2">
      <c r="D4087" s="84"/>
    </row>
    <row r="4088" spans="4:4" x14ac:dyDescent="0.2">
      <c r="D4088" s="84"/>
    </row>
    <row r="4089" spans="4:4" x14ac:dyDescent="0.2">
      <c r="D4089" s="84"/>
    </row>
    <row r="4090" spans="4:4" x14ac:dyDescent="0.2">
      <c r="D4090" s="84"/>
    </row>
    <row r="4091" spans="4:4" x14ac:dyDescent="0.2">
      <c r="D4091" s="84"/>
    </row>
    <row r="4092" spans="4:4" x14ac:dyDescent="0.2">
      <c r="D4092" s="84"/>
    </row>
    <row r="4093" spans="4:4" x14ac:dyDescent="0.2">
      <c r="D4093" s="84"/>
    </row>
    <row r="4094" spans="4:4" x14ac:dyDescent="0.2">
      <c r="D4094" s="84"/>
    </row>
    <row r="4095" spans="4:4" x14ac:dyDescent="0.2">
      <c r="D4095" s="84"/>
    </row>
    <row r="4096" spans="4:4" x14ac:dyDescent="0.2">
      <c r="D4096" s="84"/>
    </row>
    <row r="4097" spans="4:4" x14ac:dyDescent="0.2">
      <c r="D4097" s="84"/>
    </row>
    <row r="4098" spans="4:4" x14ac:dyDescent="0.2">
      <c r="D4098" s="84"/>
    </row>
    <row r="4099" spans="4:4" x14ac:dyDescent="0.2">
      <c r="D4099" s="84"/>
    </row>
    <row r="4100" spans="4:4" x14ac:dyDescent="0.2">
      <c r="D4100" s="84"/>
    </row>
    <row r="4101" spans="4:4" x14ac:dyDescent="0.2">
      <c r="D4101" s="84"/>
    </row>
    <row r="4102" spans="4:4" x14ac:dyDescent="0.2">
      <c r="D4102" s="84"/>
    </row>
    <row r="4103" spans="4:4" x14ac:dyDescent="0.2">
      <c r="D4103" s="84"/>
    </row>
    <row r="4104" spans="4:4" x14ac:dyDescent="0.2">
      <c r="D4104" s="84"/>
    </row>
    <row r="4105" spans="4:4" x14ac:dyDescent="0.2">
      <c r="D4105" s="84"/>
    </row>
    <row r="4106" spans="4:4" x14ac:dyDescent="0.2">
      <c r="D4106" s="84"/>
    </row>
    <row r="4107" spans="4:4" x14ac:dyDescent="0.2">
      <c r="D4107" s="84"/>
    </row>
    <row r="4108" spans="4:4" x14ac:dyDescent="0.2">
      <c r="D4108" s="84"/>
    </row>
    <row r="4109" spans="4:4" x14ac:dyDescent="0.2">
      <c r="D4109" s="84"/>
    </row>
    <row r="4110" spans="4:4" x14ac:dyDescent="0.2">
      <c r="D4110" s="84"/>
    </row>
    <row r="4111" spans="4:4" x14ac:dyDescent="0.2">
      <c r="D4111" s="84"/>
    </row>
    <row r="4112" spans="4:4" x14ac:dyDescent="0.2">
      <c r="D4112" s="84"/>
    </row>
    <row r="4113" spans="4:4" x14ac:dyDescent="0.2">
      <c r="D4113" s="84"/>
    </row>
    <row r="4114" spans="4:4" x14ac:dyDescent="0.2">
      <c r="D4114" s="84"/>
    </row>
    <row r="4115" spans="4:4" x14ac:dyDescent="0.2">
      <c r="D4115" s="84"/>
    </row>
    <row r="4116" spans="4:4" x14ac:dyDescent="0.2">
      <c r="D4116" s="84"/>
    </row>
    <row r="4117" spans="4:4" x14ac:dyDescent="0.2">
      <c r="D4117" s="84"/>
    </row>
    <row r="4118" spans="4:4" x14ac:dyDescent="0.2">
      <c r="D4118" s="84"/>
    </row>
    <row r="4119" spans="4:4" x14ac:dyDescent="0.2">
      <c r="D4119" s="84"/>
    </row>
    <row r="4120" spans="4:4" x14ac:dyDescent="0.2">
      <c r="D4120" s="84"/>
    </row>
    <row r="4121" spans="4:4" x14ac:dyDescent="0.2">
      <c r="D4121" s="84"/>
    </row>
    <row r="4122" spans="4:4" x14ac:dyDescent="0.2">
      <c r="D4122" s="84"/>
    </row>
    <row r="4123" spans="4:4" x14ac:dyDescent="0.2">
      <c r="D4123" s="84"/>
    </row>
    <row r="4124" spans="4:4" x14ac:dyDescent="0.2">
      <c r="D4124" s="84"/>
    </row>
    <row r="4125" spans="4:4" x14ac:dyDescent="0.2">
      <c r="D4125" s="84"/>
    </row>
    <row r="4126" spans="4:4" x14ac:dyDescent="0.2">
      <c r="D4126" s="84"/>
    </row>
    <row r="4127" spans="4:4" x14ac:dyDescent="0.2">
      <c r="D4127" s="84"/>
    </row>
    <row r="4128" spans="4:4" x14ac:dyDescent="0.2">
      <c r="D4128" s="84"/>
    </row>
    <row r="4129" spans="4:4" x14ac:dyDescent="0.2">
      <c r="D4129" s="84"/>
    </row>
    <row r="4130" spans="4:4" x14ac:dyDescent="0.2">
      <c r="D4130" s="84"/>
    </row>
    <row r="4131" spans="4:4" x14ac:dyDescent="0.2">
      <c r="D4131" s="84"/>
    </row>
    <row r="4132" spans="4:4" x14ac:dyDescent="0.2">
      <c r="D4132" s="84"/>
    </row>
    <row r="4133" spans="4:4" x14ac:dyDescent="0.2">
      <c r="D4133" s="84"/>
    </row>
    <row r="4134" spans="4:4" x14ac:dyDescent="0.2">
      <c r="D4134" s="84"/>
    </row>
    <row r="4135" spans="4:4" x14ac:dyDescent="0.2">
      <c r="D4135" s="84"/>
    </row>
    <row r="4136" spans="4:4" x14ac:dyDescent="0.2">
      <c r="D4136" s="84"/>
    </row>
    <row r="4137" spans="4:4" x14ac:dyDescent="0.2">
      <c r="D4137" s="84"/>
    </row>
    <row r="4138" spans="4:4" x14ac:dyDescent="0.2">
      <c r="D4138" s="84"/>
    </row>
    <row r="4139" spans="4:4" x14ac:dyDescent="0.2">
      <c r="D4139" s="84"/>
    </row>
    <row r="4140" spans="4:4" x14ac:dyDescent="0.2">
      <c r="D4140" s="84"/>
    </row>
    <row r="4141" spans="4:4" x14ac:dyDescent="0.2">
      <c r="D4141" s="84"/>
    </row>
    <row r="4142" spans="4:4" x14ac:dyDescent="0.2">
      <c r="D4142" s="84"/>
    </row>
    <row r="4143" spans="4:4" x14ac:dyDescent="0.2">
      <c r="D4143" s="84"/>
    </row>
    <row r="4144" spans="4:4" x14ac:dyDescent="0.2">
      <c r="D4144" s="84"/>
    </row>
    <row r="4145" spans="4:4" x14ac:dyDescent="0.2">
      <c r="D4145" s="84"/>
    </row>
    <row r="4146" spans="4:4" x14ac:dyDescent="0.2">
      <c r="D4146" s="84"/>
    </row>
    <row r="4147" spans="4:4" x14ac:dyDescent="0.2">
      <c r="D4147" s="84"/>
    </row>
    <row r="4148" spans="4:4" x14ac:dyDescent="0.2">
      <c r="D4148" s="84"/>
    </row>
    <row r="4149" spans="4:4" x14ac:dyDescent="0.2">
      <c r="D4149" s="84"/>
    </row>
    <row r="4150" spans="4:4" x14ac:dyDescent="0.2">
      <c r="D4150" s="84"/>
    </row>
    <row r="4151" spans="4:4" x14ac:dyDescent="0.2">
      <c r="D4151" s="84"/>
    </row>
    <row r="4152" spans="4:4" x14ac:dyDescent="0.2">
      <c r="D4152" s="84"/>
    </row>
    <row r="4153" spans="4:4" x14ac:dyDescent="0.2">
      <c r="D4153" s="84"/>
    </row>
    <row r="4154" spans="4:4" x14ac:dyDescent="0.2">
      <c r="D4154" s="84"/>
    </row>
    <row r="4155" spans="4:4" x14ac:dyDescent="0.2">
      <c r="D4155" s="84"/>
    </row>
    <row r="4156" spans="4:4" x14ac:dyDescent="0.2">
      <c r="D4156" s="84"/>
    </row>
    <row r="4157" spans="4:4" x14ac:dyDescent="0.2">
      <c r="D4157" s="84"/>
    </row>
    <row r="4158" spans="4:4" x14ac:dyDescent="0.2">
      <c r="D4158" s="84"/>
    </row>
    <row r="4159" spans="4:4" x14ac:dyDescent="0.2">
      <c r="D4159" s="84"/>
    </row>
    <row r="4160" spans="4:4" x14ac:dyDescent="0.2">
      <c r="D4160" s="84"/>
    </row>
    <row r="4161" spans="4:4" x14ac:dyDescent="0.2">
      <c r="D4161" s="84"/>
    </row>
    <row r="4162" spans="4:4" x14ac:dyDescent="0.2">
      <c r="D4162" s="84"/>
    </row>
    <row r="4163" spans="4:4" x14ac:dyDescent="0.2">
      <c r="D4163" s="84"/>
    </row>
    <row r="4164" spans="4:4" x14ac:dyDescent="0.2">
      <c r="D4164" s="84"/>
    </row>
    <row r="4165" spans="4:4" x14ac:dyDescent="0.2">
      <c r="D4165" s="84"/>
    </row>
    <row r="4166" spans="4:4" x14ac:dyDescent="0.2">
      <c r="D4166" s="84"/>
    </row>
    <row r="4167" spans="4:4" x14ac:dyDescent="0.2">
      <c r="D4167" s="84"/>
    </row>
    <row r="4168" spans="4:4" x14ac:dyDescent="0.2">
      <c r="D4168" s="84"/>
    </row>
    <row r="4169" spans="4:4" x14ac:dyDescent="0.2">
      <c r="D4169" s="84"/>
    </row>
    <row r="4170" spans="4:4" x14ac:dyDescent="0.2">
      <c r="D4170" s="84"/>
    </row>
    <row r="4171" spans="4:4" x14ac:dyDescent="0.2">
      <c r="D4171" s="84"/>
    </row>
    <row r="4172" spans="4:4" x14ac:dyDescent="0.2">
      <c r="D4172" s="84"/>
    </row>
    <row r="4173" spans="4:4" x14ac:dyDescent="0.2">
      <c r="D4173" s="84"/>
    </row>
    <row r="4174" spans="4:4" x14ac:dyDescent="0.2">
      <c r="D4174" s="84"/>
    </row>
    <row r="4175" spans="4:4" x14ac:dyDescent="0.2">
      <c r="D4175" s="84"/>
    </row>
    <row r="4176" spans="4:4" x14ac:dyDescent="0.2">
      <c r="D4176" s="84"/>
    </row>
    <row r="4177" spans="4:4" x14ac:dyDescent="0.2">
      <c r="D4177" s="84"/>
    </row>
    <row r="4178" spans="4:4" x14ac:dyDescent="0.2">
      <c r="D4178" s="84"/>
    </row>
    <row r="4179" spans="4:4" x14ac:dyDescent="0.2">
      <c r="D4179" s="84"/>
    </row>
    <row r="4180" spans="4:4" x14ac:dyDescent="0.2">
      <c r="D4180" s="84"/>
    </row>
    <row r="4181" spans="4:4" x14ac:dyDescent="0.2">
      <c r="D4181" s="84"/>
    </row>
    <row r="4182" spans="4:4" x14ac:dyDescent="0.2">
      <c r="D4182" s="84"/>
    </row>
    <row r="4183" spans="4:4" x14ac:dyDescent="0.2">
      <c r="D4183" s="84"/>
    </row>
    <row r="4184" spans="4:4" x14ac:dyDescent="0.2">
      <c r="D4184" s="84"/>
    </row>
    <row r="4185" spans="4:4" x14ac:dyDescent="0.2">
      <c r="D4185" s="84"/>
    </row>
    <row r="4186" spans="4:4" x14ac:dyDescent="0.2">
      <c r="D4186" s="84"/>
    </row>
    <row r="4187" spans="4:4" x14ac:dyDescent="0.2">
      <c r="D4187" s="84"/>
    </row>
    <row r="4188" spans="4:4" x14ac:dyDescent="0.2">
      <c r="D4188" s="84"/>
    </row>
    <row r="4189" spans="4:4" x14ac:dyDescent="0.2">
      <c r="D4189" s="84"/>
    </row>
    <row r="4190" spans="4:4" x14ac:dyDescent="0.2">
      <c r="D4190" s="84"/>
    </row>
    <row r="4191" spans="4:4" x14ac:dyDescent="0.2">
      <c r="D4191" s="84"/>
    </row>
    <row r="4192" spans="4:4" x14ac:dyDescent="0.2">
      <c r="D4192" s="84"/>
    </row>
    <row r="4193" spans="4:4" x14ac:dyDescent="0.2">
      <c r="D4193" s="84"/>
    </row>
    <row r="4194" spans="4:4" x14ac:dyDescent="0.2">
      <c r="D4194" s="84"/>
    </row>
    <row r="4195" spans="4:4" x14ac:dyDescent="0.2">
      <c r="D4195" s="84"/>
    </row>
    <row r="4196" spans="4:4" x14ac:dyDescent="0.2">
      <c r="D4196" s="84"/>
    </row>
    <row r="4197" spans="4:4" x14ac:dyDescent="0.2">
      <c r="D4197" s="84"/>
    </row>
    <row r="4198" spans="4:4" x14ac:dyDescent="0.2">
      <c r="D4198" s="84"/>
    </row>
    <row r="4199" spans="4:4" x14ac:dyDescent="0.2">
      <c r="D4199" s="84"/>
    </row>
    <row r="4200" spans="4:4" x14ac:dyDescent="0.2">
      <c r="D4200" s="84"/>
    </row>
    <row r="4201" spans="4:4" x14ac:dyDescent="0.2">
      <c r="D4201" s="84"/>
    </row>
    <row r="4202" spans="4:4" x14ac:dyDescent="0.2">
      <c r="D4202" s="84"/>
    </row>
    <row r="4203" spans="4:4" x14ac:dyDescent="0.2">
      <c r="D4203" s="84"/>
    </row>
    <row r="4204" spans="4:4" x14ac:dyDescent="0.2">
      <c r="D4204" s="84"/>
    </row>
    <row r="4205" spans="4:4" x14ac:dyDescent="0.2">
      <c r="D4205" s="84"/>
    </row>
    <row r="4206" spans="4:4" x14ac:dyDescent="0.2">
      <c r="D4206" s="84"/>
    </row>
    <row r="4207" spans="4:4" x14ac:dyDescent="0.2">
      <c r="D4207" s="84"/>
    </row>
    <row r="4208" spans="4:4" x14ac:dyDescent="0.2">
      <c r="D4208" s="84"/>
    </row>
    <row r="4209" spans="4:4" x14ac:dyDescent="0.2">
      <c r="D4209" s="84"/>
    </row>
    <row r="4210" spans="4:4" x14ac:dyDescent="0.2">
      <c r="D4210" s="84"/>
    </row>
    <row r="4211" spans="4:4" x14ac:dyDescent="0.2">
      <c r="D4211" s="84"/>
    </row>
    <row r="4212" spans="4:4" x14ac:dyDescent="0.2">
      <c r="D4212" s="84"/>
    </row>
    <row r="4213" spans="4:4" x14ac:dyDescent="0.2">
      <c r="D4213" s="84"/>
    </row>
    <row r="4214" spans="4:4" x14ac:dyDescent="0.2">
      <c r="D4214" s="84"/>
    </row>
    <row r="4215" spans="4:4" x14ac:dyDescent="0.2">
      <c r="D4215" s="84"/>
    </row>
    <row r="4216" spans="4:4" x14ac:dyDescent="0.2">
      <c r="D4216" s="84"/>
    </row>
    <row r="4217" spans="4:4" x14ac:dyDescent="0.2">
      <c r="D4217" s="84"/>
    </row>
    <row r="4218" spans="4:4" x14ac:dyDescent="0.2">
      <c r="D4218" s="84"/>
    </row>
    <row r="4219" spans="4:4" x14ac:dyDescent="0.2">
      <c r="D4219" s="84"/>
    </row>
    <row r="4220" spans="4:4" x14ac:dyDescent="0.2">
      <c r="D4220" s="84"/>
    </row>
    <row r="4221" spans="4:4" x14ac:dyDescent="0.2">
      <c r="D4221" s="84"/>
    </row>
    <row r="4222" spans="4:4" x14ac:dyDescent="0.2">
      <c r="D4222" s="84"/>
    </row>
    <row r="4223" spans="4:4" x14ac:dyDescent="0.2">
      <c r="D4223" s="84"/>
    </row>
    <row r="4224" spans="4:4" x14ac:dyDescent="0.2">
      <c r="D4224" s="84"/>
    </row>
    <row r="4225" spans="4:4" x14ac:dyDescent="0.2">
      <c r="D4225" s="84"/>
    </row>
    <row r="4226" spans="4:4" x14ac:dyDescent="0.2">
      <c r="D4226" s="84"/>
    </row>
    <row r="4227" spans="4:4" x14ac:dyDescent="0.2">
      <c r="D4227" s="84"/>
    </row>
    <row r="4228" spans="4:4" x14ac:dyDescent="0.2">
      <c r="D4228" s="84"/>
    </row>
    <row r="4229" spans="4:4" x14ac:dyDescent="0.2">
      <c r="D4229" s="84"/>
    </row>
    <row r="4230" spans="4:4" x14ac:dyDescent="0.2">
      <c r="D4230" s="84"/>
    </row>
    <row r="4231" spans="4:4" x14ac:dyDescent="0.2">
      <c r="D4231" s="84"/>
    </row>
    <row r="4232" spans="4:4" x14ac:dyDescent="0.2">
      <c r="D4232" s="84"/>
    </row>
    <row r="4233" spans="4:4" x14ac:dyDescent="0.2">
      <c r="D4233" s="84"/>
    </row>
    <row r="4234" spans="4:4" x14ac:dyDescent="0.2">
      <c r="D4234" s="84"/>
    </row>
    <row r="4235" spans="4:4" x14ac:dyDescent="0.2">
      <c r="D4235" s="84"/>
    </row>
    <row r="4236" spans="4:4" x14ac:dyDescent="0.2">
      <c r="D4236" s="84"/>
    </row>
    <row r="4237" spans="4:4" x14ac:dyDescent="0.2">
      <c r="D4237" s="84"/>
    </row>
    <row r="4238" spans="4:4" x14ac:dyDescent="0.2">
      <c r="D4238" s="84"/>
    </row>
    <row r="4239" spans="4:4" x14ac:dyDescent="0.2">
      <c r="D4239" s="84"/>
    </row>
    <row r="4240" spans="4:4" x14ac:dyDescent="0.2">
      <c r="D4240" s="84"/>
    </row>
    <row r="4241" spans="4:4" x14ac:dyDescent="0.2">
      <c r="D4241" s="84"/>
    </row>
    <row r="4242" spans="4:4" x14ac:dyDescent="0.2">
      <c r="D4242" s="84"/>
    </row>
    <row r="4243" spans="4:4" x14ac:dyDescent="0.2">
      <c r="D4243" s="84"/>
    </row>
    <row r="4244" spans="4:4" x14ac:dyDescent="0.2">
      <c r="D4244" s="84"/>
    </row>
    <row r="4245" spans="4:4" x14ac:dyDescent="0.2">
      <c r="D4245" s="84"/>
    </row>
    <row r="4246" spans="4:4" x14ac:dyDescent="0.2">
      <c r="D4246" s="84"/>
    </row>
    <row r="4247" spans="4:4" x14ac:dyDescent="0.2">
      <c r="D4247" s="84"/>
    </row>
    <row r="4248" spans="4:4" x14ac:dyDescent="0.2">
      <c r="D4248" s="84"/>
    </row>
    <row r="4249" spans="4:4" x14ac:dyDescent="0.2">
      <c r="D4249" s="84"/>
    </row>
    <row r="4250" spans="4:4" x14ac:dyDescent="0.2">
      <c r="D4250" s="84"/>
    </row>
    <row r="4251" spans="4:4" x14ac:dyDescent="0.2">
      <c r="D4251" s="84"/>
    </row>
    <row r="4252" spans="4:4" x14ac:dyDescent="0.2">
      <c r="D4252" s="84"/>
    </row>
    <row r="4253" spans="4:4" x14ac:dyDescent="0.2">
      <c r="D4253" s="84"/>
    </row>
    <row r="4254" spans="4:4" x14ac:dyDescent="0.2">
      <c r="D4254" s="84"/>
    </row>
    <row r="4255" spans="4:4" x14ac:dyDescent="0.2">
      <c r="D4255" s="84"/>
    </row>
    <row r="4256" spans="4:4" x14ac:dyDescent="0.2">
      <c r="D4256" s="84"/>
    </row>
    <row r="4257" spans="4:4" x14ac:dyDescent="0.2">
      <c r="D4257" s="84"/>
    </row>
    <row r="4258" spans="4:4" x14ac:dyDescent="0.2">
      <c r="D4258" s="84"/>
    </row>
    <row r="4259" spans="4:4" x14ac:dyDescent="0.2">
      <c r="D4259" s="84"/>
    </row>
    <row r="4260" spans="4:4" x14ac:dyDescent="0.2">
      <c r="D4260" s="84"/>
    </row>
    <row r="4261" spans="4:4" x14ac:dyDescent="0.2">
      <c r="D4261" s="84"/>
    </row>
    <row r="4262" spans="4:4" x14ac:dyDescent="0.2">
      <c r="D4262" s="84"/>
    </row>
    <row r="4263" spans="4:4" x14ac:dyDescent="0.2">
      <c r="D4263" s="84"/>
    </row>
    <row r="4264" spans="4:4" x14ac:dyDescent="0.2">
      <c r="D4264" s="84"/>
    </row>
    <row r="4265" spans="4:4" x14ac:dyDescent="0.2">
      <c r="D4265" s="84"/>
    </row>
    <row r="4266" spans="4:4" x14ac:dyDescent="0.2">
      <c r="D4266" s="84"/>
    </row>
    <row r="4267" spans="4:4" x14ac:dyDescent="0.2">
      <c r="D4267" s="84"/>
    </row>
    <row r="4268" spans="4:4" x14ac:dyDescent="0.2">
      <c r="D4268" s="84"/>
    </row>
    <row r="4269" spans="4:4" x14ac:dyDescent="0.2">
      <c r="D4269" s="84"/>
    </row>
    <row r="4270" spans="4:4" x14ac:dyDescent="0.2">
      <c r="D4270" s="84"/>
    </row>
    <row r="4271" spans="4:4" x14ac:dyDescent="0.2">
      <c r="D4271" s="84"/>
    </row>
    <row r="4272" spans="4:4" x14ac:dyDescent="0.2">
      <c r="D4272" s="84"/>
    </row>
    <row r="4273" spans="4:4" x14ac:dyDescent="0.2">
      <c r="D4273" s="84"/>
    </row>
    <row r="4274" spans="4:4" x14ac:dyDescent="0.2">
      <c r="D4274" s="84"/>
    </row>
    <row r="4275" spans="4:4" x14ac:dyDescent="0.2">
      <c r="D4275" s="84"/>
    </row>
    <row r="4276" spans="4:4" x14ac:dyDescent="0.2">
      <c r="D4276" s="84"/>
    </row>
    <row r="4277" spans="4:4" x14ac:dyDescent="0.2">
      <c r="D4277" s="84"/>
    </row>
    <row r="4278" spans="4:4" x14ac:dyDescent="0.2">
      <c r="D4278" s="84"/>
    </row>
    <row r="4279" spans="4:4" x14ac:dyDescent="0.2">
      <c r="D4279" s="84"/>
    </row>
    <row r="4280" spans="4:4" x14ac:dyDescent="0.2">
      <c r="D4280" s="84"/>
    </row>
    <row r="4281" spans="4:4" x14ac:dyDescent="0.2">
      <c r="D4281" s="84"/>
    </row>
    <row r="4282" spans="4:4" x14ac:dyDescent="0.2">
      <c r="D4282" s="84"/>
    </row>
    <row r="4283" spans="4:4" x14ac:dyDescent="0.2">
      <c r="D4283" s="84"/>
    </row>
    <row r="4284" spans="4:4" x14ac:dyDescent="0.2">
      <c r="D4284" s="84"/>
    </row>
    <row r="4285" spans="4:4" x14ac:dyDescent="0.2">
      <c r="D4285" s="84"/>
    </row>
    <row r="4286" spans="4:4" x14ac:dyDescent="0.2">
      <c r="D4286" s="84"/>
    </row>
    <row r="4287" spans="4:4" x14ac:dyDescent="0.2">
      <c r="D4287" s="84"/>
    </row>
    <row r="4288" spans="4:4" x14ac:dyDescent="0.2">
      <c r="D4288" s="84"/>
    </row>
    <row r="4289" spans="4:4" x14ac:dyDescent="0.2">
      <c r="D4289" s="84"/>
    </row>
    <row r="4290" spans="4:4" x14ac:dyDescent="0.2">
      <c r="D4290" s="84"/>
    </row>
    <row r="4291" spans="4:4" x14ac:dyDescent="0.2">
      <c r="D4291" s="84"/>
    </row>
    <row r="4292" spans="4:4" x14ac:dyDescent="0.2">
      <c r="D4292" s="84"/>
    </row>
    <row r="4293" spans="4:4" x14ac:dyDescent="0.2">
      <c r="D4293" s="84"/>
    </row>
    <row r="4294" spans="4:4" x14ac:dyDescent="0.2">
      <c r="D4294" s="84"/>
    </row>
    <row r="4295" spans="4:4" x14ac:dyDescent="0.2">
      <c r="D4295" s="84"/>
    </row>
    <row r="4296" spans="4:4" x14ac:dyDescent="0.2">
      <c r="D4296" s="84"/>
    </row>
    <row r="4297" spans="4:4" x14ac:dyDescent="0.2">
      <c r="D4297" s="84"/>
    </row>
    <row r="4298" spans="4:4" x14ac:dyDescent="0.2">
      <c r="D4298" s="84"/>
    </row>
    <row r="4299" spans="4:4" x14ac:dyDescent="0.2">
      <c r="D4299" s="84"/>
    </row>
    <row r="4300" spans="4:4" x14ac:dyDescent="0.2">
      <c r="D4300" s="84"/>
    </row>
    <row r="4301" spans="4:4" x14ac:dyDescent="0.2">
      <c r="D4301" s="84"/>
    </row>
    <row r="4302" spans="4:4" x14ac:dyDescent="0.2">
      <c r="D4302" s="84"/>
    </row>
    <row r="4303" spans="4:4" x14ac:dyDescent="0.2">
      <c r="D4303" s="84"/>
    </row>
    <row r="4304" spans="4:4" x14ac:dyDescent="0.2">
      <c r="D4304" s="84"/>
    </row>
    <row r="4305" spans="4:4" x14ac:dyDescent="0.2">
      <c r="D4305" s="84"/>
    </row>
    <row r="4306" spans="4:4" x14ac:dyDescent="0.2">
      <c r="D4306" s="84"/>
    </row>
    <row r="4307" spans="4:4" x14ac:dyDescent="0.2">
      <c r="D4307" s="84"/>
    </row>
    <row r="4308" spans="4:4" x14ac:dyDescent="0.2">
      <c r="D4308" s="84"/>
    </row>
    <row r="4309" spans="4:4" x14ac:dyDescent="0.2">
      <c r="D4309" s="84"/>
    </row>
    <row r="4310" spans="4:4" x14ac:dyDescent="0.2">
      <c r="D4310" s="84"/>
    </row>
    <row r="4311" spans="4:4" x14ac:dyDescent="0.2">
      <c r="D4311" s="84"/>
    </row>
    <row r="4312" spans="4:4" x14ac:dyDescent="0.2">
      <c r="D4312" s="84"/>
    </row>
    <row r="4313" spans="4:4" x14ac:dyDescent="0.2">
      <c r="D4313" s="84"/>
    </row>
    <row r="4314" spans="4:4" x14ac:dyDescent="0.2">
      <c r="D4314" s="84"/>
    </row>
    <row r="4315" spans="4:4" x14ac:dyDescent="0.2">
      <c r="D4315" s="84"/>
    </row>
    <row r="4316" spans="4:4" x14ac:dyDescent="0.2">
      <c r="D4316" s="84"/>
    </row>
    <row r="4317" spans="4:4" x14ac:dyDescent="0.2">
      <c r="D4317" s="84"/>
    </row>
    <row r="4318" spans="4:4" x14ac:dyDescent="0.2">
      <c r="D4318" s="84"/>
    </row>
    <row r="4319" spans="4:4" x14ac:dyDescent="0.2">
      <c r="D4319" s="84"/>
    </row>
    <row r="4320" spans="4:4" x14ac:dyDescent="0.2">
      <c r="D4320" s="84"/>
    </row>
    <row r="4321" spans="4:4" x14ac:dyDescent="0.2">
      <c r="D4321" s="84"/>
    </row>
    <row r="4322" spans="4:4" x14ac:dyDescent="0.2">
      <c r="D4322" s="84"/>
    </row>
    <row r="4323" spans="4:4" x14ac:dyDescent="0.2">
      <c r="D4323" s="84"/>
    </row>
    <row r="4324" spans="4:4" x14ac:dyDescent="0.2">
      <c r="D4324" s="84"/>
    </row>
    <row r="4325" spans="4:4" x14ac:dyDescent="0.2">
      <c r="D4325" s="84"/>
    </row>
    <row r="4326" spans="4:4" x14ac:dyDescent="0.2">
      <c r="D4326" s="84"/>
    </row>
    <row r="4327" spans="4:4" x14ac:dyDescent="0.2">
      <c r="D4327" s="84"/>
    </row>
    <row r="4328" spans="4:4" x14ac:dyDescent="0.2">
      <c r="D4328" s="84"/>
    </row>
    <row r="4329" spans="4:4" x14ac:dyDescent="0.2">
      <c r="D4329" s="84"/>
    </row>
    <row r="4330" spans="4:4" x14ac:dyDescent="0.2">
      <c r="D4330" s="84"/>
    </row>
    <row r="4331" spans="4:4" x14ac:dyDescent="0.2">
      <c r="D4331" s="84"/>
    </row>
    <row r="4332" spans="4:4" x14ac:dyDescent="0.2">
      <c r="D4332" s="84"/>
    </row>
    <row r="4333" spans="4:4" x14ac:dyDescent="0.2">
      <c r="D4333" s="84"/>
    </row>
    <row r="4334" spans="4:4" x14ac:dyDescent="0.2">
      <c r="D4334" s="84"/>
    </row>
    <row r="4335" spans="4:4" x14ac:dyDescent="0.2">
      <c r="D4335" s="84"/>
    </row>
    <row r="4336" spans="4:4" x14ac:dyDescent="0.2">
      <c r="D4336" s="84"/>
    </row>
    <row r="4337" spans="4:4" x14ac:dyDescent="0.2">
      <c r="D4337" s="84"/>
    </row>
    <row r="4338" spans="4:4" x14ac:dyDescent="0.2">
      <c r="D4338" s="84"/>
    </row>
    <row r="4339" spans="4:4" x14ac:dyDescent="0.2">
      <c r="D4339" s="84"/>
    </row>
    <row r="4340" spans="4:4" x14ac:dyDescent="0.2">
      <c r="D4340" s="84"/>
    </row>
    <row r="4341" spans="4:4" x14ac:dyDescent="0.2">
      <c r="D4341" s="84"/>
    </row>
    <row r="4342" spans="4:4" x14ac:dyDescent="0.2">
      <c r="D4342" s="84"/>
    </row>
    <row r="4343" spans="4:4" x14ac:dyDescent="0.2">
      <c r="D4343" s="84"/>
    </row>
    <row r="4344" spans="4:4" x14ac:dyDescent="0.2">
      <c r="D4344" s="84"/>
    </row>
    <row r="4345" spans="4:4" x14ac:dyDescent="0.2">
      <c r="D4345" s="84"/>
    </row>
    <row r="4346" spans="4:4" x14ac:dyDescent="0.2">
      <c r="D4346" s="84"/>
    </row>
    <row r="4347" spans="4:4" x14ac:dyDescent="0.2">
      <c r="D4347" s="84"/>
    </row>
    <row r="4348" spans="4:4" x14ac:dyDescent="0.2">
      <c r="D4348" s="84"/>
    </row>
    <row r="4349" spans="4:4" x14ac:dyDescent="0.2">
      <c r="D4349" s="84"/>
    </row>
    <row r="4350" spans="4:4" x14ac:dyDescent="0.2">
      <c r="D4350" s="84"/>
    </row>
    <row r="4351" spans="4:4" x14ac:dyDescent="0.2">
      <c r="D4351" s="84"/>
    </row>
    <row r="4352" spans="4:4" x14ac:dyDescent="0.2">
      <c r="D4352" s="84"/>
    </row>
    <row r="4353" spans="4:4" x14ac:dyDescent="0.2">
      <c r="D4353" s="84"/>
    </row>
    <row r="4354" spans="4:4" x14ac:dyDescent="0.2">
      <c r="D4354" s="84"/>
    </row>
    <row r="4355" spans="4:4" x14ac:dyDescent="0.2">
      <c r="D4355" s="84"/>
    </row>
    <row r="4356" spans="4:4" x14ac:dyDescent="0.2">
      <c r="D4356" s="84"/>
    </row>
    <row r="4357" spans="4:4" x14ac:dyDescent="0.2">
      <c r="D4357" s="84"/>
    </row>
    <row r="4358" spans="4:4" x14ac:dyDescent="0.2">
      <c r="D4358" s="84"/>
    </row>
    <row r="4359" spans="4:4" x14ac:dyDescent="0.2">
      <c r="D4359" s="84"/>
    </row>
    <row r="4360" spans="4:4" x14ac:dyDescent="0.2">
      <c r="D4360" s="84"/>
    </row>
    <row r="4361" spans="4:4" x14ac:dyDescent="0.2">
      <c r="D4361" s="84"/>
    </row>
    <row r="4362" spans="4:4" x14ac:dyDescent="0.2">
      <c r="D4362" s="84"/>
    </row>
    <row r="4363" spans="4:4" x14ac:dyDescent="0.2">
      <c r="D4363" s="84"/>
    </row>
    <row r="4364" spans="4:4" x14ac:dyDescent="0.2">
      <c r="D4364" s="84"/>
    </row>
    <row r="4365" spans="4:4" x14ac:dyDescent="0.2">
      <c r="D4365" s="84"/>
    </row>
    <row r="4366" spans="4:4" x14ac:dyDescent="0.2">
      <c r="D4366" s="84"/>
    </row>
    <row r="4367" spans="4:4" x14ac:dyDescent="0.2">
      <c r="D4367" s="84"/>
    </row>
    <row r="4368" spans="4:4" x14ac:dyDescent="0.2">
      <c r="D4368" s="84"/>
    </row>
    <row r="4369" spans="4:4" x14ac:dyDescent="0.2">
      <c r="D4369" s="84"/>
    </row>
    <row r="4370" spans="4:4" x14ac:dyDescent="0.2">
      <c r="D4370" s="84"/>
    </row>
    <row r="4371" spans="4:4" x14ac:dyDescent="0.2">
      <c r="D4371" s="84"/>
    </row>
    <row r="4372" spans="4:4" x14ac:dyDescent="0.2">
      <c r="D4372" s="84"/>
    </row>
    <row r="4373" spans="4:4" x14ac:dyDescent="0.2">
      <c r="D4373" s="84"/>
    </row>
    <row r="4374" spans="4:4" x14ac:dyDescent="0.2">
      <c r="D4374" s="84"/>
    </row>
    <row r="4375" spans="4:4" x14ac:dyDescent="0.2">
      <c r="D4375" s="84"/>
    </row>
    <row r="4376" spans="4:4" x14ac:dyDescent="0.2">
      <c r="D4376" s="84"/>
    </row>
    <row r="4377" spans="4:4" x14ac:dyDescent="0.2">
      <c r="D4377" s="84"/>
    </row>
    <row r="4378" spans="4:4" x14ac:dyDescent="0.2">
      <c r="D4378" s="84"/>
    </row>
    <row r="4379" spans="4:4" x14ac:dyDescent="0.2">
      <c r="D4379" s="84"/>
    </row>
    <row r="4380" spans="4:4" x14ac:dyDescent="0.2">
      <c r="D4380" s="84"/>
    </row>
    <row r="4381" spans="4:4" x14ac:dyDescent="0.2">
      <c r="D4381" s="84"/>
    </row>
    <row r="4382" spans="4:4" x14ac:dyDescent="0.2">
      <c r="D4382" s="84"/>
    </row>
    <row r="4383" spans="4:4" x14ac:dyDescent="0.2">
      <c r="D4383" s="84"/>
    </row>
    <row r="4384" spans="4:4" x14ac:dyDescent="0.2">
      <c r="D4384" s="84"/>
    </row>
    <row r="4385" spans="4:4" x14ac:dyDescent="0.2">
      <c r="D4385" s="84"/>
    </row>
    <row r="4386" spans="4:4" x14ac:dyDescent="0.2">
      <c r="D4386" s="84"/>
    </row>
    <row r="4387" spans="4:4" x14ac:dyDescent="0.2">
      <c r="D4387" s="84"/>
    </row>
    <row r="4388" spans="4:4" x14ac:dyDescent="0.2">
      <c r="D4388" s="84"/>
    </row>
    <row r="4389" spans="4:4" x14ac:dyDescent="0.2">
      <c r="D4389" s="84"/>
    </row>
    <row r="4390" spans="4:4" x14ac:dyDescent="0.2">
      <c r="D4390" s="84"/>
    </row>
    <row r="4391" spans="4:4" x14ac:dyDescent="0.2">
      <c r="D4391" s="84"/>
    </row>
    <row r="4392" spans="4:4" x14ac:dyDescent="0.2">
      <c r="D4392" s="84"/>
    </row>
    <row r="4393" spans="4:4" x14ac:dyDescent="0.2">
      <c r="D4393" s="84"/>
    </row>
    <row r="4394" spans="4:4" x14ac:dyDescent="0.2">
      <c r="D4394" s="84"/>
    </row>
    <row r="4395" spans="4:4" x14ac:dyDescent="0.2">
      <c r="D4395" s="84"/>
    </row>
    <row r="4396" spans="4:4" x14ac:dyDescent="0.2">
      <c r="D4396" s="84"/>
    </row>
    <row r="4397" spans="4:4" x14ac:dyDescent="0.2">
      <c r="D4397" s="84"/>
    </row>
    <row r="4398" spans="4:4" x14ac:dyDescent="0.2">
      <c r="D4398" s="84"/>
    </row>
    <row r="4399" spans="4:4" x14ac:dyDescent="0.2">
      <c r="D4399" s="84"/>
    </row>
    <row r="4400" spans="4:4" x14ac:dyDescent="0.2">
      <c r="D4400" s="84"/>
    </row>
    <row r="4401" spans="4:4" x14ac:dyDescent="0.2">
      <c r="D4401" s="84"/>
    </row>
    <row r="4402" spans="4:4" x14ac:dyDescent="0.2">
      <c r="D4402" s="84"/>
    </row>
    <row r="4403" spans="4:4" x14ac:dyDescent="0.2">
      <c r="D4403" s="84"/>
    </row>
    <row r="4404" spans="4:4" x14ac:dyDescent="0.2">
      <c r="D4404" s="84"/>
    </row>
    <row r="4405" spans="4:4" x14ac:dyDescent="0.2">
      <c r="D4405" s="84"/>
    </row>
    <row r="4406" spans="4:4" x14ac:dyDescent="0.2">
      <c r="D4406" s="84"/>
    </row>
    <row r="4407" spans="4:4" x14ac:dyDescent="0.2">
      <c r="D4407" s="84"/>
    </row>
    <row r="4408" spans="4:4" x14ac:dyDescent="0.2">
      <c r="D4408" s="84"/>
    </row>
    <row r="4409" spans="4:4" x14ac:dyDescent="0.2">
      <c r="D4409" s="84"/>
    </row>
    <row r="4410" spans="4:4" x14ac:dyDescent="0.2">
      <c r="D4410" s="84"/>
    </row>
    <row r="4411" spans="4:4" x14ac:dyDescent="0.2">
      <c r="D4411" s="84"/>
    </row>
    <row r="4412" spans="4:4" x14ac:dyDescent="0.2">
      <c r="D4412" s="84"/>
    </row>
    <row r="4413" spans="4:4" x14ac:dyDescent="0.2">
      <c r="D4413" s="84"/>
    </row>
    <row r="4414" spans="4:4" x14ac:dyDescent="0.2">
      <c r="D4414" s="84"/>
    </row>
    <row r="4415" spans="4:4" x14ac:dyDescent="0.2">
      <c r="D4415" s="84"/>
    </row>
    <row r="4416" spans="4:4" x14ac:dyDescent="0.2">
      <c r="D4416" s="84"/>
    </row>
    <row r="4417" spans="4:4" x14ac:dyDescent="0.2">
      <c r="D4417" s="84"/>
    </row>
    <row r="4418" spans="4:4" x14ac:dyDescent="0.2">
      <c r="D4418" s="84"/>
    </row>
    <row r="4419" spans="4:4" x14ac:dyDescent="0.2">
      <c r="D4419" s="84"/>
    </row>
    <row r="4420" spans="4:4" x14ac:dyDescent="0.2">
      <c r="D4420" s="84"/>
    </row>
    <row r="4421" spans="4:4" x14ac:dyDescent="0.2">
      <c r="D4421" s="84"/>
    </row>
    <row r="4422" spans="4:4" x14ac:dyDescent="0.2">
      <c r="D4422" s="84"/>
    </row>
    <row r="4423" spans="4:4" x14ac:dyDescent="0.2">
      <c r="D4423" s="84"/>
    </row>
    <row r="4424" spans="4:4" x14ac:dyDescent="0.2">
      <c r="D4424" s="84"/>
    </row>
    <row r="4425" spans="4:4" x14ac:dyDescent="0.2">
      <c r="D4425" s="84"/>
    </row>
    <row r="4426" spans="4:4" x14ac:dyDescent="0.2">
      <c r="D4426" s="84"/>
    </row>
    <row r="4427" spans="4:4" x14ac:dyDescent="0.2">
      <c r="D4427" s="84"/>
    </row>
    <row r="4428" spans="4:4" x14ac:dyDescent="0.2">
      <c r="D4428" s="84"/>
    </row>
    <row r="4429" spans="4:4" x14ac:dyDescent="0.2">
      <c r="D4429" s="84"/>
    </row>
    <row r="4430" spans="4:4" x14ac:dyDescent="0.2">
      <c r="D4430" s="84"/>
    </row>
    <row r="4431" spans="4:4" x14ac:dyDescent="0.2">
      <c r="D4431" s="84"/>
    </row>
    <row r="4432" spans="4:4" x14ac:dyDescent="0.2">
      <c r="D4432" s="84"/>
    </row>
    <row r="4433" spans="4:4" x14ac:dyDescent="0.2">
      <c r="D4433" s="84"/>
    </row>
    <row r="4434" spans="4:4" x14ac:dyDescent="0.2">
      <c r="D4434" s="84"/>
    </row>
    <row r="4435" spans="4:4" x14ac:dyDescent="0.2">
      <c r="D4435" s="84"/>
    </row>
    <row r="4436" spans="4:4" x14ac:dyDescent="0.2">
      <c r="D4436" s="84"/>
    </row>
    <row r="4437" spans="4:4" x14ac:dyDescent="0.2">
      <c r="D4437" s="84"/>
    </row>
    <row r="4438" spans="4:4" x14ac:dyDescent="0.2">
      <c r="D4438" s="84"/>
    </row>
    <row r="4439" spans="4:4" x14ac:dyDescent="0.2">
      <c r="D4439" s="84"/>
    </row>
    <row r="4440" spans="4:4" x14ac:dyDescent="0.2">
      <c r="D4440" s="84"/>
    </row>
    <row r="4441" spans="4:4" x14ac:dyDescent="0.2">
      <c r="D4441" s="84"/>
    </row>
    <row r="4442" spans="4:4" x14ac:dyDescent="0.2">
      <c r="D4442" s="84"/>
    </row>
    <row r="4443" spans="4:4" x14ac:dyDescent="0.2">
      <c r="D4443" s="84"/>
    </row>
    <row r="4444" spans="4:4" x14ac:dyDescent="0.2">
      <c r="D4444" s="84"/>
    </row>
    <row r="4445" spans="4:4" x14ac:dyDescent="0.2">
      <c r="D4445" s="84"/>
    </row>
    <row r="4446" spans="4:4" x14ac:dyDescent="0.2">
      <c r="D4446" s="84"/>
    </row>
    <row r="4447" spans="4:4" x14ac:dyDescent="0.2">
      <c r="D4447" s="84"/>
    </row>
    <row r="4448" spans="4:4" x14ac:dyDescent="0.2">
      <c r="D4448" s="84"/>
    </row>
    <row r="4449" spans="4:4" x14ac:dyDescent="0.2">
      <c r="D4449" s="84"/>
    </row>
    <row r="4450" spans="4:4" x14ac:dyDescent="0.2">
      <c r="D4450" s="84"/>
    </row>
    <row r="4451" spans="4:4" x14ac:dyDescent="0.2">
      <c r="D4451" s="84"/>
    </row>
    <row r="4452" spans="4:4" x14ac:dyDescent="0.2">
      <c r="D4452" s="84"/>
    </row>
    <row r="4453" spans="4:4" x14ac:dyDescent="0.2">
      <c r="D4453" s="84"/>
    </row>
    <row r="4454" spans="4:4" x14ac:dyDescent="0.2">
      <c r="D4454" s="84"/>
    </row>
    <row r="4455" spans="4:4" x14ac:dyDescent="0.2">
      <c r="D4455" s="84"/>
    </row>
    <row r="4456" spans="4:4" x14ac:dyDescent="0.2">
      <c r="D4456" s="84"/>
    </row>
    <row r="4457" spans="4:4" x14ac:dyDescent="0.2">
      <c r="D4457" s="84"/>
    </row>
    <row r="4458" spans="4:4" x14ac:dyDescent="0.2">
      <c r="D4458" s="84"/>
    </row>
    <row r="4459" spans="4:4" x14ac:dyDescent="0.2">
      <c r="D4459" s="84"/>
    </row>
    <row r="4460" spans="4:4" x14ac:dyDescent="0.2">
      <c r="D4460" s="84"/>
    </row>
    <row r="4461" spans="4:4" x14ac:dyDescent="0.2">
      <c r="D4461" s="84"/>
    </row>
    <row r="4462" spans="4:4" x14ac:dyDescent="0.2">
      <c r="D4462" s="84"/>
    </row>
    <row r="4463" spans="4:4" x14ac:dyDescent="0.2">
      <c r="D4463" s="84"/>
    </row>
    <row r="4464" spans="4:4" x14ac:dyDescent="0.2">
      <c r="D4464" s="84"/>
    </row>
    <row r="4465" spans="4:4" x14ac:dyDescent="0.2">
      <c r="D4465" s="84"/>
    </row>
    <row r="4466" spans="4:4" x14ac:dyDescent="0.2">
      <c r="D4466" s="84"/>
    </row>
    <row r="4467" spans="4:4" x14ac:dyDescent="0.2">
      <c r="D4467" s="84"/>
    </row>
    <row r="4468" spans="4:4" x14ac:dyDescent="0.2">
      <c r="D4468" s="84"/>
    </row>
    <row r="4469" spans="4:4" x14ac:dyDescent="0.2">
      <c r="D4469" s="84"/>
    </row>
    <row r="4470" spans="4:4" x14ac:dyDescent="0.2">
      <c r="D4470" s="84"/>
    </row>
    <row r="4471" spans="4:4" x14ac:dyDescent="0.2">
      <c r="D4471" s="84"/>
    </row>
    <row r="4472" spans="4:4" x14ac:dyDescent="0.2">
      <c r="D4472" s="84"/>
    </row>
    <row r="4473" spans="4:4" x14ac:dyDescent="0.2">
      <c r="D4473" s="84"/>
    </row>
    <row r="4474" spans="4:4" x14ac:dyDescent="0.2">
      <c r="D4474" s="84"/>
    </row>
    <row r="4475" spans="4:4" x14ac:dyDescent="0.2">
      <c r="D4475" s="84"/>
    </row>
    <row r="4476" spans="4:4" x14ac:dyDescent="0.2">
      <c r="D4476" s="84"/>
    </row>
    <row r="4477" spans="4:4" x14ac:dyDescent="0.2">
      <c r="D4477" s="84"/>
    </row>
    <row r="4478" spans="4:4" x14ac:dyDescent="0.2">
      <c r="D4478" s="84"/>
    </row>
    <row r="4479" spans="4:4" x14ac:dyDescent="0.2">
      <c r="D4479" s="84"/>
    </row>
    <row r="4480" spans="4:4" x14ac:dyDescent="0.2">
      <c r="D4480" s="84"/>
    </row>
    <row r="4481" spans="4:4" x14ac:dyDescent="0.2">
      <c r="D4481" s="84"/>
    </row>
    <row r="4482" spans="4:4" x14ac:dyDescent="0.2">
      <c r="D4482" s="84"/>
    </row>
    <row r="4483" spans="4:4" x14ac:dyDescent="0.2">
      <c r="D4483" s="84"/>
    </row>
    <row r="4484" spans="4:4" x14ac:dyDescent="0.2">
      <c r="D4484" s="84"/>
    </row>
    <row r="4485" spans="4:4" x14ac:dyDescent="0.2">
      <c r="D4485" s="84"/>
    </row>
    <row r="4486" spans="4:4" x14ac:dyDescent="0.2">
      <c r="D4486" s="84"/>
    </row>
    <row r="4487" spans="4:4" x14ac:dyDescent="0.2">
      <c r="D4487" s="84"/>
    </row>
    <row r="4488" spans="4:4" x14ac:dyDescent="0.2">
      <c r="D4488" s="84"/>
    </row>
    <row r="4489" spans="4:4" x14ac:dyDescent="0.2">
      <c r="D4489" s="84"/>
    </row>
    <row r="4490" spans="4:4" x14ac:dyDescent="0.2">
      <c r="D4490" s="84"/>
    </row>
    <row r="4491" spans="4:4" x14ac:dyDescent="0.2">
      <c r="D4491" s="84"/>
    </row>
    <row r="4492" spans="4:4" x14ac:dyDescent="0.2">
      <c r="D4492" s="84"/>
    </row>
    <row r="4493" spans="4:4" x14ac:dyDescent="0.2">
      <c r="D4493" s="84"/>
    </row>
    <row r="4494" spans="4:4" x14ac:dyDescent="0.2">
      <c r="D4494" s="84"/>
    </row>
    <row r="4495" spans="4:4" x14ac:dyDescent="0.2">
      <c r="D4495" s="84"/>
    </row>
    <row r="4496" spans="4:4" x14ac:dyDescent="0.2">
      <c r="D4496" s="84"/>
    </row>
    <row r="4497" spans="4:4" x14ac:dyDescent="0.2">
      <c r="D4497" s="84"/>
    </row>
    <row r="4498" spans="4:4" x14ac:dyDescent="0.2">
      <c r="D4498" s="84"/>
    </row>
    <row r="4499" spans="4:4" x14ac:dyDescent="0.2">
      <c r="D4499" s="84"/>
    </row>
    <row r="4500" spans="4:4" x14ac:dyDescent="0.2">
      <c r="D4500" s="84"/>
    </row>
    <row r="4501" spans="4:4" x14ac:dyDescent="0.2">
      <c r="D4501" s="84"/>
    </row>
    <row r="4502" spans="4:4" x14ac:dyDescent="0.2">
      <c r="D4502" s="84"/>
    </row>
    <row r="4503" spans="4:4" x14ac:dyDescent="0.2">
      <c r="D4503" s="84"/>
    </row>
    <row r="4504" spans="4:4" x14ac:dyDescent="0.2">
      <c r="D4504" s="84"/>
    </row>
    <row r="4505" spans="4:4" x14ac:dyDescent="0.2">
      <c r="D4505" s="84"/>
    </row>
    <row r="4506" spans="4:4" x14ac:dyDescent="0.2">
      <c r="D4506" s="84"/>
    </row>
    <row r="4507" spans="4:4" x14ac:dyDescent="0.2">
      <c r="D4507" s="84"/>
    </row>
    <row r="4508" spans="4:4" x14ac:dyDescent="0.2">
      <c r="D4508" s="84"/>
    </row>
    <row r="4509" spans="4:4" x14ac:dyDescent="0.2">
      <c r="D4509" s="84"/>
    </row>
    <row r="4510" spans="4:4" x14ac:dyDescent="0.2">
      <c r="D4510" s="84"/>
    </row>
    <row r="4511" spans="4:4" x14ac:dyDescent="0.2">
      <c r="D4511" s="84"/>
    </row>
    <row r="4512" spans="4:4" x14ac:dyDescent="0.2">
      <c r="D4512" s="84"/>
    </row>
    <row r="4513" spans="4:4" x14ac:dyDescent="0.2">
      <c r="D4513" s="84"/>
    </row>
    <row r="4514" spans="4:4" x14ac:dyDescent="0.2">
      <c r="D4514" s="84"/>
    </row>
    <row r="4515" spans="4:4" x14ac:dyDescent="0.2">
      <c r="D4515" s="84"/>
    </row>
    <row r="4516" spans="4:4" x14ac:dyDescent="0.2">
      <c r="D4516" s="84"/>
    </row>
    <row r="4517" spans="4:4" x14ac:dyDescent="0.2">
      <c r="D4517" s="84"/>
    </row>
    <row r="4518" spans="4:4" x14ac:dyDescent="0.2">
      <c r="D4518" s="84"/>
    </row>
    <row r="4519" spans="4:4" x14ac:dyDescent="0.2">
      <c r="D4519" s="84"/>
    </row>
    <row r="4520" spans="4:4" x14ac:dyDescent="0.2">
      <c r="D4520" s="84"/>
    </row>
    <row r="4521" spans="4:4" x14ac:dyDescent="0.2">
      <c r="D4521" s="84"/>
    </row>
    <row r="4522" spans="4:4" x14ac:dyDescent="0.2">
      <c r="D4522" s="84"/>
    </row>
    <row r="4523" spans="4:4" x14ac:dyDescent="0.2">
      <c r="D4523" s="84"/>
    </row>
    <row r="4524" spans="4:4" x14ac:dyDescent="0.2">
      <c r="D4524" s="84"/>
    </row>
    <row r="4525" spans="4:4" x14ac:dyDescent="0.2">
      <c r="D4525" s="84"/>
    </row>
    <row r="4526" spans="4:4" x14ac:dyDescent="0.2">
      <c r="D4526" s="84"/>
    </row>
    <row r="4527" spans="4:4" x14ac:dyDescent="0.2">
      <c r="D4527" s="84"/>
    </row>
    <row r="4528" spans="4:4" x14ac:dyDescent="0.2">
      <c r="D4528" s="84"/>
    </row>
    <row r="4529" spans="4:4" x14ac:dyDescent="0.2">
      <c r="D4529" s="84"/>
    </row>
    <row r="4530" spans="4:4" x14ac:dyDescent="0.2">
      <c r="D4530" s="84"/>
    </row>
    <row r="4531" spans="4:4" x14ac:dyDescent="0.2">
      <c r="D4531" s="84"/>
    </row>
    <row r="4532" spans="4:4" x14ac:dyDescent="0.2">
      <c r="D4532" s="84"/>
    </row>
    <row r="4533" spans="4:4" x14ac:dyDescent="0.2">
      <c r="D4533" s="84"/>
    </row>
    <row r="4534" spans="4:4" x14ac:dyDescent="0.2">
      <c r="D4534" s="84"/>
    </row>
    <row r="4535" spans="4:4" x14ac:dyDescent="0.2">
      <c r="D4535" s="84"/>
    </row>
    <row r="4536" spans="4:4" x14ac:dyDescent="0.2">
      <c r="D4536" s="84"/>
    </row>
    <row r="4537" spans="4:4" x14ac:dyDescent="0.2">
      <c r="D4537" s="84"/>
    </row>
    <row r="4538" spans="4:4" x14ac:dyDescent="0.2">
      <c r="D4538" s="84"/>
    </row>
    <row r="4539" spans="4:4" x14ac:dyDescent="0.2">
      <c r="D4539" s="84"/>
    </row>
    <row r="4540" spans="4:4" x14ac:dyDescent="0.2">
      <c r="D4540" s="84"/>
    </row>
    <row r="4541" spans="4:4" x14ac:dyDescent="0.2">
      <c r="D4541" s="84"/>
    </row>
    <row r="4542" spans="4:4" x14ac:dyDescent="0.2">
      <c r="D4542" s="84"/>
    </row>
    <row r="4543" spans="4:4" x14ac:dyDescent="0.2">
      <c r="D4543" s="84"/>
    </row>
    <row r="4544" spans="4:4" x14ac:dyDescent="0.2">
      <c r="D4544" s="84"/>
    </row>
    <row r="4545" spans="4:4" x14ac:dyDescent="0.2">
      <c r="D4545" s="84"/>
    </row>
    <row r="4546" spans="4:4" x14ac:dyDescent="0.2">
      <c r="D4546" s="84"/>
    </row>
    <row r="4547" spans="4:4" x14ac:dyDescent="0.2">
      <c r="D4547" s="84"/>
    </row>
    <row r="4548" spans="4:4" x14ac:dyDescent="0.2">
      <c r="D4548" s="84"/>
    </row>
    <row r="4549" spans="4:4" x14ac:dyDescent="0.2">
      <c r="D4549" s="84"/>
    </row>
    <row r="4550" spans="4:4" x14ac:dyDescent="0.2">
      <c r="D4550" s="84"/>
    </row>
    <row r="4551" spans="4:4" x14ac:dyDescent="0.2">
      <c r="D4551" s="84"/>
    </row>
    <row r="4552" spans="4:4" x14ac:dyDescent="0.2">
      <c r="D4552" s="84"/>
    </row>
    <row r="4553" spans="4:4" x14ac:dyDescent="0.2">
      <c r="D4553" s="84"/>
    </row>
    <row r="4554" spans="4:4" x14ac:dyDescent="0.2">
      <c r="D4554" s="84"/>
    </row>
    <row r="4555" spans="4:4" x14ac:dyDescent="0.2">
      <c r="D4555" s="84"/>
    </row>
    <row r="4556" spans="4:4" x14ac:dyDescent="0.2">
      <c r="D4556" s="84"/>
    </row>
    <row r="4557" spans="4:4" x14ac:dyDescent="0.2">
      <c r="D4557" s="84"/>
    </row>
    <row r="4558" spans="4:4" x14ac:dyDescent="0.2">
      <c r="D4558" s="84"/>
    </row>
    <row r="4559" spans="4:4" x14ac:dyDescent="0.2">
      <c r="D4559" s="84"/>
    </row>
    <row r="4560" spans="4:4" x14ac:dyDescent="0.2">
      <c r="D4560" s="84"/>
    </row>
    <row r="4561" spans="4:4" x14ac:dyDescent="0.2">
      <c r="D4561" s="84"/>
    </row>
    <row r="4562" spans="4:4" x14ac:dyDescent="0.2">
      <c r="D4562" s="84"/>
    </row>
    <row r="4563" spans="4:4" x14ac:dyDescent="0.2">
      <c r="D4563" s="84"/>
    </row>
    <row r="4564" spans="4:4" x14ac:dyDescent="0.2">
      <c r="D4564" s="84"/>
    </row>
    <row r="4565" spans="4:4" x14ac:dyDescent="0.2">
      <c r="D4565" s="84"/>
    </row>
    <row r="4566" spans="4:4" x14ac:dyDescent="0.2">
      <c r="D4566" s="84"/>
    </row>
    <row r="4567" spans="4:4" x14ac:dyDescent="0.2">
      <c r="D4567" s="84"/>
    </row>
    <row r="4568" spans="4:4" x14ac:dyDescent="0.2">
      <c r="D4568" s="84"/>
    </row>
    <row r="4569" spans="4:4" x14ac:dyDescent="0.2">
      <c r="D4569" s="84"/>
    </row>
    <row r="4570" spans="4:4" x14ac:dyDescent="0.2">
      <c r="D4570" s="84"/>
    </row>
    <row r="4571" spans="4:4" x14ac:dyDescent="0.2">
      <c r="D4571" s="84"/>
    </row>
    <row r="4572" spans="4:4" x14ac:dyDescent="0.2">
      <c r="D4572" s="84"/>
    </row>
    <row r="4573" spans="4:4" x14ac:dyDescent="0.2">
      <c r="D4573" s="84"/>
    </row>
    <row r="4574" spans="4:4" x14ac:dyDescent="0.2">
      <c r="D4574" s="84"/>
    </row>
    <row r="4575" spans="4:4" x14ac:dyDescent="0.2">
      <c r="D4575" s="84"/>
    </row>
    <row r="4576" spans="4:4" x14ac:dyDescent="0.2">
      <c r="D4576" s="84"/>
    </row>
    <row r="4577" spans="4:4" x14ac:dyDescent="0.2">
      <c r="D4577" s="84"/>
    </row>
    <row r="4578" spans="4:4" x14ac:dyDescent="0.2">
      <c r="D4578" s="84"/>
    </row>
    <row r="4579" spans="4:4" x14ac:dyDescent="0.2">
      <c r="D4579" s="84"/>
    </row>
    <row r="4580" spans="4:4" x14ac:dyDescent="0.2">
      <c r="D4580" s="84"/>
    </row>
    <row r="4581" spans="4:4" x14ac:dyDescent="0.2">
      <c r="D4581" s="84"/>
    </row>
    <row r="4582" spans="4:4" x14ac:dyDescent="0.2">
      <c r="D4582" s="84"/>
    </row>
    <row r="4583" spans="4:4" x14ac:dyDescent="0.2">
      <c r="D4583" s="84"/>
    </row>
    <row r="4584" spans="4:4" x14ac:dyDescent="0.2">
      <c r="D4584" s="84"/>
    </row>
    <row r="4585" spans="4:4" x14ac:dyDescent="0.2">
      <c r="D4585" s="84"/>
    </row>
    <row r="4586" spans="4:4" x14ac:dyDescent="0.2">
      <c r="D4586" s="84"/>
    </row>
    <row r="4587" spans="4:4" x14ac:dyDescent="0.2">
      <c r="D4587" s="84"/>
    </row>
    <row r="4588" spans="4:4" x14ac:dyDescent="0.2">
      <c r="D4588" s="84"/>
    </row>
    <row r="4589" spans="4:4" x14ac:dyDescent="0.2">
      <c r="D4589" s="84"/>
    </row>
    <row r="4590" spans="4:4" x14ac:dyDescent="0.2">
      <c r="D4590" s="84"/>
    </row>
    <row r="4591" spans="4:4" x14ac:dyDescent="0.2">
      <c r="D4591" s="84"/>
    </row>
    <row r="4592" spans="4:4" x14ac:dyDescent="0.2">
      <c r="D4592" s="84"/>
    </row>
    <row r="4593" spans="4:4" x14ac:dyDescent="0.2">
      <c r="D4593" s="84"/>
    </row>
    <row r="4594" spans="4:4" x14ac:dyDescent="0.2">
      <c r="D4594" s="84"/>
    </row>
    <row r="4595" spans="4:4" x14ac:dyDescent="0.2">
      <c r="D4595" s="84"/>
    </row>
    <row r="4596" spans="4:4" x14ac:dyDescent="0.2">
      <c r="D4596" s="84"/>
    </row>
    <row r="4597" spans="4:4" x14ac:dyDescent="0.2">
      <c r="D4597" s="84"/>
    </row>
    <row r="4598" spans="4:4" x14ac:dyDescent="0.2">
      <c r="D4598" s="84"/>
    </row>
    <row r="4599" spans="4:4" x14ac:dyDescent="0.2">
      <c r="D4599" s="84"/>
    </row>
    <row r="4600" spans="4:4" x14ac:dyDescent="0.2">
      <c r="D4600" s="84"/>
    </row>
    <row r="4601" spans="4:4" x14ac:dyDescent="0.2">
      <c r="D4601" s="84"/>
    </row>
    <row r="4602" spans="4:4" x14ac:dyDescent="0.2">
      <c r="D4602" s="84"/>
    </row>
    <row r="4603" spans="4:4" x14ac:dyDescent="0.2">
      <c r="D4603" s="84"/>
    </row>
    <row r="4604" spans="4:4" x14ac:dyDescent="0.2">
      <c r="D4604" s="84"/>
    </row>
    <row r="4605" spans="4:4" x14ac:dyDescent="0.2">
      <c r="D4605" s="84"/>
    </row>
    <row r="4606" spans="4:4" x14ac:dyDescent="0.2">
      <c r="D4606" s="84"/>
    </row>
    <row r="4607" spans="4:4" x14ac:dyDescent="0.2">
      <c r="D4607" s="84"/>
    </row>
    <row r="4608" spans="4:4" x14ac:dyDescent="0.2">
      <c r="D4608" s="84"/>
    </row>
    <row r="4609" spans="4:4" x14ac:dyDescent="0.2">
      <c r="D4609" s="84"/>
    </row>
    <row r="4610" spans="4:4" x14ac:dyDescent="0.2">
      <c r="D4610" s="84"/>
    </row>
    <row r="4611" spans="4:4" x14ac:dyDescent="0.2">
      <c r="D4611" s="84"/>
    </row>
    <row r="4612" spans="4:4" x14ac:dyDescent="0.2">
      <c r="D4612" s="84"/>
    </row>
    <row r="4613" spans="4:4" x14ac:dyDescent="0.2">
      <c r="D4613" s="84"/>
    </row>
    <row r="4614" spans="4:4" x14ac:dyDescent="0.2">
      <c r="D4614" s="84"/>
    </row>
    <row r="4615" spans="4:4" x14ac:dyDescent="0.2">
      <c r="D4615" s="84"/>
    </row>
    <row r="4616" spans="4:4" x14ac:dyDescent="0.2">
      <c r="D4616" s="84"/>
    </row>
    <row r="4617" spans="4:4" x14ac:dyDescent="0.2">
      <c r="D4617" s="84"/>
    </row>
    <row r="4618" spans="4:4" x14ac:dyDescent="0.2">
      <c r="D4618" s="84"/>
    </row>
    <row r="4619" spans="4:4" x14ac:dyDescent="0.2">
      <c r="D4619" s="84"/>
    </row>
    <row r="4620" spans="4:4" x14ac:dyDescent="0.2">
      <c r="D4620" s="84"/>
    </row>
    <row r="4621" spans="4:4" x14ac:dyDescent="0.2">
      <c r="D4621" s="84"/>
    </row>
    <row r="4622" spans="4:4" x14ac:dyDescent="0.2">
      <c r="D4622" s="84"/>
    </row>
    <row r="4623" spans="4:4" x14ac:dyDescent="0.2">
      <c r="D4623" s="84"/>
    </row>
    <row r="4624" spans="4:4" x14ac:dyDescent="0.2">
      <c r="D4624" s="84"/>
    </row>
    <row r="4625" spans="4:4" x14ac:dyDescent="0.2">
      <c r="D4625" s="84"/>
    </row>
    <row r="4626" spans="4:4" x14ac:dyDescent="0.2">
      <c r="D4626" s="84"/>
    </row>
    <row r="4627" spans="4:4" x14ac:dyDescent="0.2">
      <c r="D4627" s="84"/>
    </row>
    <row r="4628" spans="4:4" x14ac:dyDescent="0.2">
      <c r="D4628" s="84"/>
    </row>
    <row r="4629" spans="4:4" x14ac:dyDescent="0.2">
      <c r="D4629" s="84"/>
    </row>
    <row r="4630" spans="4:4" x14ac:dyDescent="0.2">
      <c r="D4630" s="84"/>
    </row>
    <row r="4631" spans="4:4" x14ac:dyDescent="0.2">
      <c r="D4631" s="84"/>
    </row>
    <row r="4632" spans="4:4" x14ac:dyDescent="0.2">
      <c r="D4632" s="84"/>
    </row>
    <row r="4633" spans="4:4" x14ac:dyDescent="0.2">
      <c r="D4633" s="84"/>
    </row>
    <row r="4634" spans="4:4" x14ac:dyDescent="0.2">
      <c r="D4634" s="84"/>
    </row>
    <row r="4635" spans="4:4" x14ac:dyDescent="0.2">
      <c r="D4635" s="84"/>
    </row>
    <row r="4636" spans="4:4" x14ac:dyDescent="0.2">
      <c r="D4636" s="84"/>
    </row>
    <row r="4637" spans="4:4" x14ac:dyDescent="0.2">
      <c r="D4637" s="84"/>
    </row>
    <row r="4638" spans="4:4" x14ac:dyDescent="0.2">
      <c r="D4638" s="84"/>
    </row>
    <row r="4639" spans="4:4" x14ac:dyDescent="0.2">
      <c r="D4639" s="84"/>
    </row>
    <row r="4640" spans="4:4" x14ac:dyDescent="0.2">
      <c r="D4640" s="84"/>
    </row>
    <row r="4641" spans="4:4" x14ac:dyDescent="0.2">
      <c r="D4641" s="84"/>
    </row>
    <row r="4642" spans="4:4" x14ac:dyDescent="0.2">
      <c r="D4642" s="84"/>
    </row>
    <row r="4643" spans="4:4" x14ac:dyDescent="0.2">
      <c r="D4643" s="84"/>
    </row>
    <row r="4644" spans="4:4" x14ac:dyDescent="0.2">
      <c r="D4644" s="84"/>
    </row>
    <row r="4645" spans="4:4" x14ac:dyDescent="0.2">
      <c r="D4645" s="84"/>
    </row>
    <row r="4646" spans="4:4" x14ac:dyDescent="0.2">
      <c r="D4646" s="84"/>
    </row>
    <row r="4647" spans="4:4" x14ac:dyDescent="0.2">
      <c r="D4647" s="84"/>
    </row>
    <row r="4648" spans="4:4" x14ac:dyDescent="0.2">
      <c r="D4648" s="84"/>
    </row>
    <row r="4649" spans="4:4" x14ac:dyDescent="0.2">
      <c r="D4649" s="84"/>
    </row>
    <row r="4650" spans="4:4" x14ac:dyDescent="0.2">
      <c r="D4650" s="84"/>
    </row>
    <row r="4651" spans="4:4" x14ac:dyDescent="0.2">
      <c r="D4651" s="84"/>
    </row>
    <row r="4652" spans="4:4" x14ac:dyDescent="0.2">
      <c r="D4652" s="84"/>
    </row>
    <row r="4653" spans="4:4" x14ac:dyDescent="0.2">
      <c r="D4653" s="84"/>
    </row>
    <row r="4654" spans="4:4" x14ac:dyDescent="0.2">
      <c r="D4654" s="84"/>
    </row>
    <row r="4655" spans="4:4" x14ac:dyDescent="0.2">
      <c r="D4655" s="84"/>
    </row>
    <row r="4656" spans="4:4" x14ac:dyDescent="0.2">
      <c r="D4656" s="84"/>
    </row>
    <row r="4657" spans="4:4" x14ac:dyDescent="0.2">
      <c r="D4657" s="84"/>
    </row>
    <row r="4658" spans="4:4" x14ac:dyDescent="0.2">
      <c r="D4658" s="84"/>
    </row>
    <row r="4659" spans="4:4" x14ac:dyDescent="0.2">
      <c r="D4659" s="84"/>
    </row>
    <row r="4660" spans="4:4" x14ac:dyDescent="0.2">
      <c r="D4660" s="84"/>
    </row>
    <row r="4661" spans="4:4" x14ac:dyDescent="0.2">
      <c r="D4661" s="84"/>
    </row>
    <row r="4662" spans="4:4" x14ac:dyDescent="0.2">
      <c r="D4662" s="84"/>
    </row>
    <row r="4663" spans="4:4" x14ac:dyDescent="0.2">
      <c r="D4663" s="84"/>
    </row>
    <row r="4664" spans="4:4" x14ac:dyDescent="0.2">
      <c r="D4664" s="84"/>
    </row>
    <row r="4665" spans="4:4" x14ac:dyDescent="0.2">
      <c r="D4665" s="84"/>
    </row>
    <row r="4666" spans="4:4" x14ac:dyDescent="0.2">
      <c r="D4666" s="84"/>
    </row>
    <row r="4667" spans="4:4" x14ac:dyDescent="0.2">
      <c r="D4667" s="84"/>
    </row>
    <row r="4668" spans="4:4" x14ac:dyDescent="0.2">
      <c r="D4668" s="84"/>
    </row>
    <row r="4669" spans="4:4" x14ac:dyDescent="0.2">
      <c r="D4669" s="84"/>
    </row>
    <row r="4670" spans="4:4" x14ac:dyDescent="0.2">
      <c r="D4670" s="84"/>
    </row>
    <row r="4671" spans="4:4" x14ac:dyDescent="0.2">
      <c r="D4671" s="84"/>
    </row>
    <row r="4672" spans="4:4" x14ac:dyDescent="0.2">
      <c r="D4672" s="84"/>
    </row>
    <row r="4673" spans="4:4" x14ac:dyDescent="0.2">
      <c r="D4673" s="84"/>
    </row>
    <row r="4674" spans="4:4" x14ac:dyDescent="0.2">
      <c r="D4674" s="84"/>
    </row>
    <row r="4675" spans="4:4" x14ac:dyDescent="0.2">
      <c r="D4675" s="84"/>
    </row>
    <row r="4676" spans="4:4" x14ac:dyDescent="0.2">
      <c r="D4676" s="84"/>
    </row>
    <row r="4677" spans="4:4" x14ac:dyDescent="0.2">
      <c r="D4677" s="84"/>
    </row>
    <row r="4678" spans="4:4" x14ac:dyDescent="0.2">
      <c r="D4678" s="84"/>
    </row>
    <row r="4679" spans="4:4" x14ac:dyDescent="0.2">
      <c r="D4679" s="84"/>
    </row>
    <row r="4680" spans="4:4" x14ac:dyDescent="0.2">
      <c r="D4680" s="84"/>
    </row>
    <row r="4681" spans="4:4" x14ac:dyDescent="0.2">
      <c r="D4681" s="84"/>
    </row>
    <row r="4682" spans="4:4" x14ac:dyDescent="0.2">
      <c r="D4682" s="84"/>
    </row>
    <row r="4683" spans="4:4" x14ac:dyDescent="0.2">
      <c r="D4683" s="84"/>
    </row>
    <row r="4684" spans="4:4" x14ac:dyDescent="0.2">
      <c r="D4684" s="84"/>
    </row>
    <row r="4685" spans="4:4" x14ac:dyDescent="0.2">
      <c r="D4685" s="84"/>
    </row>
    <row r="4686" spans="4:4" x14ac:dyDescent="0.2">
      <c r="D4686" s="84"/>
    </row>
    <row r="4687" spans="4:4" x14ac:dyDescent="0.2">
      <c r="D4687" s="84"/>
    </row>
    <row r="4688" spans="4:4" x14ac:dyDescent="0.2">
      <c r="D4688" s="84"/>
    </row>
    <row r="4689" spans="4:4" x14ac:dyDescent="0.2">
      <c r="D4689" s="84"/>
    </row>
    <row r="4690" spans="4:4" x14ac:dyDescent="0.2">
      <c r="D4690" s="84"/>
    </row>
    <row r="4691" spans="4:4" x14ac:dyDescent="0.2">
      <c r="D4691" s="84"/>
    </row>
    <row r="4692" spans="4:4" x14ac:dyDescent="0.2">
      <c r="D4692" s="84"/>
    </row>
    <row r="4693" spans="4:4" x14ac:dyDescent="0.2">
      <c r="D4693" s="84"/>
    </row>
    <row r="4694" spans="4:4" x14ac:dyDescent="0.2">
      <c r="D4694" s="84"/>
    </row>
    <row r="4695" spans="4:4" x14ac:dyDescent="0.2">
      <c r="D4695" s="84"/>
    </row>
    <row r="4696" spans="4:4" x14ac:dyDescent="0.2">
      <c r="D4696" s="84"/>
    </row>
    <row r="4697" spans="4:4" x14ac:dyDescent="0.2">
      <c r="D4697" s="84"/>
    </row>
    <row r="4698" spans="4:4" x14ac:dyDescent="0.2">
      <c r="D4698" s="84"/>
    </row>
    <row r="4699" spans="4:4" x14ac:dyDescent="0.2">
      <c r="D4699" s="84"/>
    </row>
    <row r="4700" spans="4:4" x14ac:dyDescent="0.2">
      <c r="D4700" s="84"/>
    </row>
    <row r="4701" spans="4:4" x14ac:dyDescent="0.2">
      <c r="D4701" s="84"/>
    </row>
    <row r="4702" spans="4:4" x14ac:dyDescent="0.2">
      <c r="D4702" s="84"/>
    </row>
    <row r="4703" spans="4:4" x14ac:dyDescent="0.2">
      <c r="D4703" s="84"/>
    </row>
    <row r="4704" spans="4:4" x14ac:dyDescent="0.2">
      <c r="D4704" s="84"/>
    </row>
    <row r="4705" spans="4:4" x14ac:dyDescent="0.2">
      <c r="D4705" s="84"/>
    </row>
    <row r="4706" spans="4:4" x14ac:dyDescent="0.2">
      <c r="D4706" s="84"/>
    </row>
    <row r="4707" spans="4:4" x14ac:dyDescent="0.2">
      <c r="D4707" s="84"/>
    </row>
    <row r="4708" spans="4:4" x14ac:dyDescent="0.2">
      <c r="D4708" s="84"/>
    </row>
    <row r="4709" spans="4:4" x14ac:dyDescent="0.2">
      <c r="D4709" s="84"/>
    </row>
    <row r="4710" spans="4:4" x14ac:dyDescent="0.2">
      <c r="D4710" s="84"/>
    </row>
    <row r="4711" spans="4:4" x14ac:dyDescent="0.2">
      <c r="D4711" s="84"/>
    </row>
    <row r="4712" spans="4:4" x14ac:dyDescent="0.2">
      <c r="D4712" s="84"/>
    </row>
    <row r="4713" spans="4:4" x14ac:dyDescent="0.2">
      <c r="D4713" s="84"/>
    </row>
    <row r="4714" spans="4:4" x14ac:dyDescent="0.2">
      <c r="D4714" s="84"/>
    </row>
    <row r="4715" spans="4:4" x14ac:dyDescent="0.2">
      <c r="D4715" s="84"/>
    </row>
    <row r="4716" spans="4:4" x14ac:dyDescent="0.2">
      <c r="D4716" s="84"/>
    </row>
    <row r="4717" spans="4:4" x14ac:dyDescent="0.2">
      <c r="D4717" s="84"/>
    </row>
    <row r="4718" spans="4:4" x14ac:dyDescent="0.2">
      <c r="D4718" s="84"/>
    </row>
    <row r="4719" spans="4:4" x14ac:dyDescent="0.2">
      <c r="D4719" s="84"/>
    </row>
    <row r="4720" spans="4:4" x14ac:dyDescent="0.2">
      <c r="D4720" s="84"/>
    </row>
    <row r="4721" spans="4:4" x14ac:dyDescent="0.2">
      <c r="D4721" s="84"/>
    </row>
    <row r="4722" spans="4:4" x14ac:dyDescent="0.2">
      <c r="D4722" s="84"/>
    </row>
    <row r="4723" spans="4:4" x14ac:dyDescent="0.2">
      <c r="D4723" s="84"/>
    </row>
    <row r="4724" spans="4:4" x14ac:dyDescent="0.2">
      <c r="D4724" s="84"/>
    </row>
    <row r="4725" spans="4:4" x14ac:dyDescent="0.2">
      <c r="D4725" s="84"/>
    </row>
    <row r="4726" spans="4:4" x14ac:dyDescent="0.2">
      <c r="D4726" s="84"/>
    </row>
    <row r="4727" spans="4:4" x14ac:dyDescent="0.2">
      <c r="D4727" s="84"/>
    </row>
    <row r="4728" spans="4:4" x14ac:dyDescent="0.2">
      <c r="D4728" s="84"/>
    </row>
    <row r="4729" spans="4:4" x14ac:dyDescent="0.2">
      <c r="D4729" s="84"/>
    </row>
    <row r="4730" spans="4:4" x14ac:dyDescent="0.2">
      <c r="D4730" s="84"/>
    </row>
    <row r="4731" spans="4:4" x14ac:dyDescent="0.2">
      <c r="D4731" s="84"/>
    </row>
    <row r="4732" spans="4:4" x14ac:dyDescent="0.2">
      <c r="D4732" s="84"/>
    </row>
    <row r="4733" spans="4:4" x14ac:dyDescent="0.2">
      <c r="D4733" s="84"/>
    </row>
    <row r="4734" spans="4:4" x14ac:dyDescent="0.2">
      <c r="D4734" s="84"/>
    </row>
    <row r="4735" spans="4:4" x14ac:dyDescent="0.2">
      <c r="D4735" s="84"/>
    </row>
    <row r="4736" spans="4:4" x14ac:dyDescent="0.2">
      <c r="D4736" s="84"/>
    </row>
    <row r="4737" spans="4:4" x14ac:dyDescent="0.2">
      <c r="D4737" s="84"/>
    </row>
    <row r="4738" spans="4:4" x14ac:dyDescent="0.2">
      <c r="D4738" s="84"/>
    </row>
    <row r="4739" spans="4:4" x14ac:dyDescent="0.2">
      <c r="D4739" s="84"/>
    </row>
    <row r="4740" spans="4:4" x14ac:dyDescent="0.2">
      <c r="D4740" s="84"/>
    </row>
    <row r="4741" spans="4:4" x14ac:dyDescent="0.2">
      <c r="D4741" s="84"/>
    </row>
    <row r="4742" spans="4:4" x14ac:dyDescent="0.2">
      <c r="D4742" s="84"/>
    </row>
    <row r="4743" spans="4:4" x14ac:dyDescent="0.2">
      <c r="D4743" s="84"/>
    </row>
    <row r="4744" spans="4:4" x14ac:dyDescent="0.2">
      <c r="D4744" s="84"/>
    </row>
    <row r="4745" spans="4:4" x14ac:dyDescent="0.2">
      <c r="D4745" s="84"/>
    </row>
    <row r="4746" spans="4:4" x14ac:dyDescent="0.2">
      <c r="D4746" s="84"/>
    </row>
    <row r="4747" spans="4:4" x14ac:dyDescent="0.2">
      <c r="D4747" s="84"/>
    </row>
    <row r="4748" spans="4:4" x14ac:dyDescent="0.2">
      <c r="D4748" s="84"/>
    </row>
    <row r="4749" spans="4:4" x14ac:dyDescent="0.2">
      <c r="D4749" s="84"/>
    </row>
    <row r="4750" spans="4:4" x14ac:dyDescent="0.2">
      <c r="D4750" s="84"/>
    </row>
    <row r="4751" spans="4:4" x14ac:dyDescent="0.2">
      <c r="D4751" s="84"/>
    </row>
    <row r="4752" spans="4:4" x14ac:dyDescent="0.2">
      <c r="D4752" s="84"/>
    </row>
    <row r="4753" spans="4:4" x14ac:dyDescent="0.2">
      <c r="D4753" s="84"/>
    </row>
    <row r="4754" spans="4:4" x14ac:dyDescent="0.2">
      <c r="D4754" s="84"/>
    </row>
    <row r="4755" spans="4:4" x14ac:dyDescent="0.2">
      <c r="D4755" s="84"/>
    </row>
    <row r="4756" spans="4:4" x14ac:dyDescent="0.2">
      <c r="D4756" s="84"/>
    </row>
    <row r="4757" spans="4:4" x14ac:dyDescent="0.2">
      <c r="D4757" s="84"/>
    </row>
    <row r="4758" spans="4:4" x14ac:dyDescent="0.2">
      <c r="D4758" s="84"/>
    </row>
    <row r="4759" spans="4:4" x14ac:dyDescent="0.2">
      <c r="D4759" s="84"/>
    </row>
    <row r="4760" spans="4:4" x14ac:dyDescent="0.2">
      <c r="D4760" s="84"/>
    </row>
    <row r="4761" spans="4:4" x14ac:dyDescent="0.2">
      <c r="D4761" s="84"/>
    </row>
    <row r="4762" spans="4:4" x14ac:dyDescent="0.2">
      <c r="D4762" s="84"/>
    </row>
    <row r="4763" spans="4:4" x14ac:dyDescent="0.2">
      <c r="D4763" s="84"/>
    </row>
    <row r="4764" spans="4:4" x14ac:dyDescent="0.2">
      <c r="D4764" s="84"/>
    </row>
    <row r="4765" spans="4:4" x14ac:dyDescent="0.2">
      <c r="D4765" s="84"/>
    </row>
    <row r="4766" spans="4:4" x14ac:dyDescent="0.2">
      <c r="D4766" s="84"/>
    </row>
    <row r="4767" spans="4:4" x14ac:dyDescent="0.2">
      <c r="D4767" s="84"/>
    </row>
    <row r="4768" spans="4:4" x14ac:dyDescent="0.2">
      <c r="D4768" s="84"/>
    </row>
    <row r="4769" spans="4:4" x14ac:dyDescent="0.2">
      <c r="D4769" s="84"/>
    </row>
    <row r="4770" spans="4:4" x14ac:dyDescent="0.2">
      <c r="D4770" s="84"/>
    </row>
    <row r="4771" spans="4:4" x14ac:dyDescent="0.2">
      <c r="D4771" s="84"/>
    </row>
    <row r="4772" spans="4:4" x14ac:dyDescent="0.2">
      <c r="D4772" s="84"/>
    </row>
    <row r="4773" spans="4:4" x14ac:dyDescent="0.2">
      <c r="D4773" s="84"/>
    </row>
    <row r="4774" spans="4:4" x14ac:dyDescent="0.2">
      <c r="D4774" s="84"/>
    </row>
    <row r="4775" spans="4:4" x14ac:dyDescent="0.2">
      <c r="D4775" s="84"/>
    </row>
    <row r="4776" spans="4:4" x14ac:dyDescent="0.2">
      <c r="D4776" s="84"/>
    </row>
    <row r="4777" spans="4:4" x14ac:dyDescent="0.2">
      <c r="D4777" s="84"/>
    </row>
    <row r="4778" spans="4:4" x14ac:dyDescent="0.2">
      <c r="D4778" s="84"/>
    </row>
    <row r="4779" spans="4:4" x14ac:dyDescent="0.2">
      <c r="D4779" s="84"/>
    </row>
    <row r="4780" spans="4:4" x14ac:dyDescent="0.2">
      <c r="D4780" s="84"/>
    </row>
    <row r="4781" spans="4:4" x14ac:dyDescent="0.2">
      <c r="D4781" s="84"/>
    </row>
    <row r="4782" spans="4:4" x14ac:dyDescent="0.2">
      <c r="D4782" s="84"/>
    </row>
    <row r="4783" spans="4:4" x14ac:dyDescent="0.2">
      <c r="D4783" s="84"/>
    </row>
    <row r="4784" spans="4:4" x14ac:dyDescent="0.2">
      <c r="D4784" s="84"/>
    </row>
    <row r="4785" spans="4:4" x14ac:dyDescent="0.2">
      <c r="D4785" s="84"/>
    </row>
    <row r="4786" spans="4:4" x14ac:dyDescent="0.2">
      <c r="D4786" s="84"/>
    </row>
    <row r="4787" spans="4:4" x14ac:dyDescent="0.2">
      <c r="D4787" s="84"/>
    </row>
    <row r="4788" spans="4:4" x14ac:dyDescent="0.2">
      <c r="D4788" s="84"/>
    </row>
    <row r="4789" spans="4:4" x14ac:dyDescent="0.2">
      <c r="D4789" s="84"/>
    </row>
    <row r="4790" spans="4:4" x14ac:dyDescent="0.2">
      <c r="D4790" s="84"/>
    </row>
    <row r="4791" spans="4:4" x14ac:dyDescent="0.2">
      <c r="D4791" s="84"/>
    </row>
    <row r="4792" spans="4:4" x14ac:dyDescent="0.2">
      <c r="D4792" s="84"/>
    </row>
    <row r="4793" spans="4:4" x14ac:dyDescent="0.2">
      <c r="D4793" s="84"/>
    </row>
    <row r="4794" spans="4:4" x14ac:dyDescent="0.2">
      <c r="D4794" s="84"/>
    </row>
    <row r="4795" spans="4:4" x14ac:dyDescent="0.2">
      <c r="D4795" s="84"/>
    </row>
    <row r="4796" spans="4:4" x14ac:dyDescent="0.2">
      <c r="D4796" s="84"/>
    </row>
    <row r="4797" spans="4:4" x14ac:dyDescent="0.2">
      <c r="D4797" s="84"/>
    </row>
    <row r="4798" spans="4:4" x14ac:dyDescent="0.2">
      <c r="D4798" s="84"/>
    </row>
    <row r="4799" spans="4:4" x14ac:dyDescent="0.2">
      <c r="D4799" s="84"/>
    </row>
    <row r="4800" spans="4:4" x14ac:dyDescent="0.2">
      <c r="D4800" s="84"/>
    </row>
    <row r="4801" spans="4:4" x14ac:dyDescent="0.2">
      <c r="D4801" s="84"/>
    </row>
    <row r="4802" spans="4:4" x14ac:dyDescent="0.2">
      <c r="D4802" s="84"/>
    </row>
    <row r="4803" spans="4:4" x14ac:dyDescent="0.2">
      <c r="D4803" s="84"/>
    </row>
    <row r="4804" spans="4:4" x14ac:dyDescent="0.2">
      <c r="D4804" s="84"/>
    </row>
    <row r="4805" spans="4:4" x14ac:dyDescent="0.2">
      <c r="D4805" s="84"/>
    </row>
    <row r="4806" spans="4:4" x14ac:dyDescent="0.2">
      <c r="D4806" s="84"/>
    </row>
    <row r="4807" spans="4:4" x14ac:dyDescent="0.2">
      <c r="D4807" s="84"/>
    </row>
    <row r="4808" spans="4:4" x14ac:dyDescent="0.2">
      <c r="D4808" s="84"/>
    </row>
    <row r="4809" spans="4:4" x14ac:dyDescent="0.2">
      <c r="D4809" s="84"/>
    </row>
    <row r="4810" spans="4:4" x14ac:dyDescent="0.2">
      <c r="D4810" s="84"/>
    </row>
    <row r="4811" spans="4:4" x14ac:dyDescent="0.2">
      <c r="D4811" s="84"/>
    </row>
    <row r="4812" spans="4:4" x14ac:dyDescent="0.2">
      <c r="D4812" s="84"/>
    </row>
    <row r="4813" spans="4:4" x14ac:dyDescent="0.2">
      <c r="D4813" s="84"/>
    </row>
    <row r="4814" spans="4:4" x14ac:dyDescent="0.2">
      <c r="D4814" s="84"/>
    </row>
    <row r="4815" spans="4:4" x14ac:dyDescent="0.2">
      <c r="D4815" s="84"/>
    </row>
    <row r="4816" spans="4:4" x14ac:dyDescent="0.2">
      <c r="D4816" s="84"/>
    </row>
    <row r="4817" spans="4:4" x14ac:dyDescent="0.2">
      <c r="D4817" s="84"/>
    </row>
    <row r="4818" spans="4:4" x14ac:dyDescent="0.2">
      <c r="D4818" s="84"/>
    </row>
    <row r="4819" spans="4:4" x14ac:dyDescent="0.2">
      <c r="D4819" s="84"/>
    </row>
    <row r="4820" spans="4:4" x14ac:dyDescent="0.2">
      <c r="D4820" s="84"/>
    </row>
    <row r="4821" spans="4:4" x14ac:dyDescent="0.2">
      <c r="D4821" s="84"/>
    </row>
    <row r="4822" spans="4:4" x14ac:dyDescent="0.2">
      <c r="D4822" s="84"/>
    </row>
    <row r="4823" spans="4:4" x14ac:dyDescent="0.2">
      <c r="D4823" s="84"/>
    </row>
    <row r="4824" spans="4:4" x14ac:dyDescent="0.2">
      <c r="D4824" s="84"/>
    </row>
    <row r="4825" spans="4:4" x14ac:dyDescent="0.2">
      <c r="D4825" s="84"/>
    </row>
    <row r="4826" spans="4:4" x14ac:dyDescent="0.2">
      <c r="D4826" s="84"/>
    </row>
    <row r="4827" spans="4:4" x14ac:dyDescent="0.2">
      <c r="D4827" s="84"/>
    </row>
    <row r="4828" spans="4:4" x14ac:dyDescent="0.2">
      <c r="D4828" s="84"/>
    </row>
    <row r="4829" spans="4:4" x14ac:dyDescent="0.2">
      <c r="D4829" s="84"/>
    </row>
    <row r="4830" spans="4:4" x14ac:dyDescent="0.2">
      <c r="D4830" s="84"/>
    </row>
    <row r="4831" spans="4:4" x14ac:dyDescent="0.2">
      <c r="D4831" s="84"/>
    </row>
    <row r="4832" spans="4:4" x14ac:dyDescent="0.2">
      <c r="D4832" s="84"/>
    </row>
    <row r="4833" spans="4:4" x14ac:dyDescent="0.2">
      <c r="D4833" s="84"/>
    </row>
    <row r="4834" spans="4:4" x14ac:dyDescent="0.2">
      <c r="D4834" s="84"/>
    </row>
    <row r="4835" spans="4:4" x14ac:dyDescent="0.2">
      <c r="D4835" s="84"/>
    </row>
    <row r="4836" spans="4:4" x14ac:dyDescent="0.2">
      <c r="D4836" s="84"/>
    </row>
    <row r="4837" spans="4:4" x14ac:dyDescent="0.2">
      <c r="D4837" s="84"/>
    </row>
    <row r="4838" spans="4:4" x14ac:dyDescent="0.2">
      <c r="D4838" s="84"/>
    </row>
    <row r="4839" spans="4:4" x14ac:dyDescent="0.2">
      <c r="D4839" s="84"/>
    </row>
    <row r="4840" spans="4:4" x14ac:dyDescent="0.2">
      <c r="D4840" s="84"/>
    </row>
    <row r="4841" spans="4:4" x14ac:dyDescent="0.2">
      <c r="D4841" s="84"/>
    </row>
    <row r="4842" spans="4:4" x14ac:dyDescent="0.2">
      <c r="D4842" s="84"/>
    </row>
    <row r="4843" spans="4:4" x14ac:dyDescent="0.2">
      <c r="D4843" s="84"/>
    </row>
    <row r="4844" spans="4:4" x14ac:dyDescent="0.2">
      <c r="D4844" s="84"/>
    </row>
    <row r="4845" spans="4:4" x14ac:dyDescent="0.2">
      <c r="D4845" s="84"/>
    </row>
    <row r="4846" spans="4:4" x14ac:dyDescent="0.2">
      <c r="D4846" s="84"/>
    </row>
    <row r="4847" spans="4:4" x14ac:dyDescent="0.2">
      <c r="D4847" s="84"/>
    </row>
    <row r="4848" spans="4:4" x14ac:dyDescent="0.2">
      <c r="D4848" s="84"/>
    </row>
    <row r="4849" spans="4:4" x14ac:dyDescent="0.2">
      <c r="D4849" s="84"/>
    </row>
    <row r="4850" spans="4:4" x14ac:dyDescent="0.2">
      <c r="D4850" s="84"/>
    </row>
    <row r="4851" spans="4:4" x14ac:dyDescent="0.2">
      <c r="D4851" s="84"/>
    </row>
    <row r="4852" spans="4:4" x14ac:dyDescent="0.2">
      <c r="D4852" s="84"/>
    </row>
    <row r="4853" spans="4:4" x14ac:dyDescent="0.2">
      <c r="D4853" s="84"/>
    </row>
    <row r="4854" spans="4:4" x14ac:dyDescent="0.2">
      <c r="D4854" s="84"/>
    </row>
    <row r="4855" spans="4:4" x14ac:dyDescent="0.2">
      <c r="D4855" s="84"/>
    </row>
    <row r="4856" spans="4:4" x14ac:dyDescent="0.2">
      <c r="D4856" s="84"/>
    </row>
    <row r="4857" spans="4:4" x14ac:dyDescent="0.2">
      <c r="D4857" s="84"/>
    </row>
    <row r="4858" spans="4:4" x14ac:dyDescent="0.2">
      <c r="D4858" s="84"/>
    </row>
    <row r="4859" spans="4:4" x14ac:dyDescent="0.2">
      <c r="D4859" s="84"/>
    </row>
    <row r="4860" spans="4:4" x14ac:dyDescent="0.2">
      <c r="D4860" s="84"/>
    </row>
    <row r="4861" spans="4:4" x14ac:dyDescent="0.2">
      <c r="D4861" s="84"/>
    </row>
    <row r="4862" spans="4:4" x14ac:dyDescent="0.2">
      <c r="D4862" s="84"/>
    </row>
    <row r="4863" spans="4:4" x14ac:dyDescent="0.2">
      <c r="D4863" s="84"/>
    </row>
    <row r="4864" spans="4:4" x14ac:dyDescent="0.2">
      <c r="D4864" s="84"/>
    </row>
    <row r="4865" spans="4:4" x14ac:dyDescent="0.2">
      <c r="D4865" s="84"/>
    </row>
    <row r="4866" spans="4:4" x14ac:dyDescent="0.2">
      <c r="D4866" s="84"/>
    </row>
    <row r="4867" spans="4:4" x14ac:dyDescent="0.2">
      <c r="D4867" s="84"/>
    </row>
    <row r="4868" spans="4:4" x14ac:dyDescent="0.2">
      <c r="D4868" s="84"/>
    </row>
    <row r="4869" spans="4:4" x14ac:dyDescent="0.2">
      <c r="D4869" s="84"/>
    </row>
    <row r="4870" spans="4:4" x14ac:dyDescent="0.2">
      <c r="D4870" s="84"/>
    </row>
    <row r="4871" spans="4:4" x14ac:dyDescent="0.2">
      <c r="D4871" s="84"/>
    </row>
    <row r="4872" spans="4:4" x14ac:dyDescent="0.2">
      <c r="D4872" s="84"/>
    </row>
    <row r="4873" spans="4:4" x14ac:dyDescent="0.2">
      <c r="D4873" s="84"/>
    </row>
    <row r="4874" spans="4:4" x14ac:dyDescent="0.2">
      <c r="D4874" s="84"/>
    </row>
    <row r="4875" spans="4:4" x14ac:dyDescent="0.2">
      <c r="D4875" s="84"/>
    </row>
    <row r="4876" spans="4:4" x14ac:dyDescent="0.2">
      <c r="D4876" s="84"/>
    </row>
    <row r="4877" spans="4:4" x14ac:dyDescent="0.2">
      <c r="D4877" s="84"/>
    </row>
    <row r="4878" spans="4:4" x14ac:dyDescent="0.2">
      <c r="D4878" s="84"/>
    </row>
    <row r="4879" spans="4:4" x14ac:dyDescent="0.2">
      <c r="D4879" s="84"/>
    </row>
    <row r="4880" spans="4:4" x14ac:dyDescent="0.2">
      <c r="D4880" s="84"/>
    </row>
    <row r="4881" spans="4:4" x14ac:dyDescent="0.2">
      <c r="D4881" s="84"/>
    </row>
    <row r="4882" spans="4:4" x14ac:dyDescent="0.2">
      <c r="D4882" s="84"/>
    </row>
    <row r="4883" spans="4:4" x14ac:dyDescent="0.2">
      <c r="D4883" s="84"/>
    </row>
    <row r="4884" spans="4:4" x14ac:dyDescent="0.2">
      <c r="D4884" s="84"/>
    </row>
    <row r="4885" spans="4:4" x14ac:dyDescent="0.2">
      <c r="D4885" s="84"/>
    </row>
    <row r="4886" spans="4:4" x14ac:dyDescent="0.2">
      <c r="D4886" s="84"/>
    </row>
    <row r="4887" spans="4:4" x14ac:dyDescent="0.2">
      <c r="D4887" s="84"/>
    </row>
    <row r="4888" spans="4:4" x14ac:dyDescent="0.2">
      <c r="D4888" s="84"/>
    </row>
    <row r="4889" spans="4:4" x14ac:dyDescent="0.2">
      <c r="D4889" s="84"/>
    </row>
    <row r="4890" spans="4:4" x14ac:dyDescent="0.2">
      <c r="D4890" s="84"/>
    </row>
    <row r="4891" spans="4:4" x14ac:dyDescent="0.2">
      <c r="D4891" s="84"/>
    </row>
    <row r="4892" spans="4:4" x14ac:dyDescent="0.2">
      <c r="D4892" s="84"/>
    </row>
    <row r="4893" spans="4:4" x14ac:dyDescent="0.2">
      <c r="D4893" s="84"/>
    </row>
    <row r="4894" spans="4:4" x14ac:dyDescent="0.2">
      <c r="D4894" s="84"/>
    </row>
    <row r="4895" spans="4:4" x14ac:dyDescent="0.2">
      <c r="D4895" s="84"/>
    </row>
    <row r="4896" spans="4:4" x14ac:dyDescent="0.2">
      <c r="D4896" s="84"/>
    </row>
    <row r="4897" spans="4:4" x14ac:dyDescent="0.2">
      <c r="D4897" s="84"/>
    </row>
    <row r="4898" spans="4:4" x14ac:dyDescent="0.2">
      <c r="D4898" s="84"/>
    </row>
    <row r="4899" spans="4:4" x14ac:dyDescent="0.2">
      <c r="D4899" s="84"/>
    </row>
    <row r="4900" spans="4:4" x14ac:dyDescent="0.2">
      <c r="D4900" s="84"/>
    </row>
    <row r="4901" spans="4:4" x14ac:dyDescent="0.2">
      <c r="D4901" s="84"/>
    </row>
    <row r="4902" spans="4:4" x14ac:dyDescent="0.2">
      <c r="D4902" s="84"/>
    </row>
    <row r="4903" spans="4:4" x14ac:dyDescent="0.2">
      <c r="D4903" s="84"/>
    </row>
    <row r="4904" spans="4:4" x14ac:dyDescent="0.2">
      <c r="D4904" s="84"/>
    </row>
    <row r="4905" spans="4:4" x14ac:dyDescent="0.2">
      <c r="D4905" s="84"/>
    </row>
    <row r="4906" spans="4:4" x14ac:dyDescent="0.2">
      <c r="D4906" s="84"/>
    </row>
    <row r="4907" spans="4:4" x14ac:dyDescent="0.2">
      <c r="D4907" s="84"/>
    </row>
    <row r="4908" spans="4:4" x14ac:dyDescent="0.2">
      <c r="D4908" s="84"/>
    </row>
    <row r="4909" spans="4:4" x14ac:dyDescent="0.2">
      <c r="D4909" s="84"/>
    </row>
    <row r="4910" spans="4:4" x14ac:dyDescent="0.2">
      <c r="D4910" s="84"/>
    </row>
    <row r="4911" spans="4:4" x14ac:dyDescent="0.2">
      <c r="D4911" s="84"/>
    </row>
    <row r="4912" spans="4:4" x14ac:dyDescent="0.2">
      <c r="D4912" s="84"/>
    </row>
    <row r="4913" spans="4:4" x14ac:dyDescent="0.2">
      <c r="D4913" s="84"/>
    </row>
    <row r="4914" spans="4:4" x14ac:dyDescent="0.2">
      <c r="D4914" s="84"/>
    </row>
    <row r="4915" spans="4:4" x14ac:dyDescent="0.2">
      <c r="D4915" s="84"/>
    </row>
    <row r="4916" spans="4:4" x14ac:dyDescent="0.2">
      <c r="D4916" s="84"/>
    </row>
    <row r="4917" spans="4:4" x14ac:dyDescent="0.2">
      <c r="D4917" s="84"/>
    </row>
    <row r="4918" spans="4:4" x14ac:dyDescent="0.2">
      <c r="D4918" s="84"/>
    </row>
    <row r="4919" spans="4:4" x14ac:dyDescent="0.2">
      <c r="D4919" s="84"/>
    </row>
    <row r="4920" spans="4:4" x14ac:dyDescent="0.2">
      <c r="D4920" s="84"/>
    </row>
    <row r="4921" spans="4:4" x14ac:dyDescent="0.2">
      <c r="D4921" s="84"/>
    </row>
    <row r="4922" spans="4:4" x14ac:dyDescent="0.2">
      <c r="D4922" s="84"/>
    </row>
    <row r="4923" spans="4:4" x14ac:dyDescent="0.2">
      <c r="D4923" s="84"/>
    </row>
    <row r="4924" spans="4:4" x14ac:dyDescent="0.2">
      <c r="D4924" s="84"/>
    </row>
    <row r="4925" spans="4:4" x14ac:dyDescent="0.2">
      <c r="D4925" s="84"/>
    </row>
    <row r="4926" spans="4:4" x14ac:dyDescent="0.2">
      <c r="D4926" s="84"/>
    </row>
    <row r="4927" spans="4:4" x14ac:dyDescent="0.2">
      <c r="D4927" s="84"/>
    </row>
    <row r="4928" spans="4:4" x14ac:dyDescent="0.2">
      <c r="D4928" s="84"/>
    </row>
    <row r="4929" spans="4:4" x14ac:dyDescent="0.2">
      <c r="D4929" s="84"/>
    </row>
    <row r="4930" spans="4:4" x14ac:dyDescent="0.2">
      <c r="D4930" s="84"/>
    </row>
    <row r="4931" spans="4:4" x14ac:dyDescent="0.2">
      <c r="D4931" s="84"/>
    </row>
    <row r="4932" spans="4:4" x14ac:dyDescent="0.2">
      <c r="D4932" s="84"/>
    </row>
    <row r="4933" spans="4:4" x14ac:dyDescent="0.2">
      <c r="D4933" s="84"/>
    </row>
    <row r="4934" spans="4:4" x14ac:dyDescent="0.2">
      <c r="D4934" s="84"/>
    </row>
    <row r="4935" spans="4:4" x14ac:dyDescent="0.2">
      <c r="D4935" s="84"/>
    </row>
    <row r="4936" spans="4:4" x14ac:dyDescent="0.2">
      <c r="D4936" s="84"/>
    </row>
    <row r="4937" spans="4:4" x14ac:dyDescent="0.2">
      <c r="D4937" s="84"/>
    </row>
    <row r="4938" spans="4:4" x14ac:dyDescent="0.2">
      <c r="D4938" s="84"/>
    </row>
    <row r="4939" spans="4:4" x14ac:dyDescent="0.2">
      <c r="D4939" s="84"/>
    </row>
    <row r="4940" spans="4:4" x14ac:dyDescent="0.2">
      <c r="D4940" s="84"/>
    </row>
    <row r="4941" spans="4:4" x14ac:dyDescent="0.2">
      <c r="D4941" s="84"/>
    </row>
    <row r="4942" spans="4:4" x14ac:dyDescent="0.2">
      <c r="D4942" s="84"/>
    </row>
    <row r="4943" spans="4:4" x14ac:dyDescent="0.2">
      <c r="D4943" s="84"/>
    </row>
    <row r="4944" spans="4:4" x14ac:dyDescent="0.2">
      <c r="D4944" s="84"/>
    </row>
    <row r="4945" spans="4:4" x14ac:dyDescent="0.2">
      <c r="D4945" s="84"/>
    </row>
    <row r="4946" spans="4:4" x14ac:dyDescent="0.2">
      <c r="D4946" s="84"/>
    </row>
    <row r="4947" spans="4:4" x14ac:dyDescent="0.2">
      <c r="D4947" s="84"/>
    </row>
    <row r="4948" spans="4:4" x14ac:dyDescent="0.2">
      <c r="D4948" s="84"/>
    </row>
    <row r="4949" spans="4:4" x14ac:dyDescent="0.2">
      <c r="D4949" s="84"/>
    </row>
    <row r="4950" spans="4:4" x14ac:dyDescent="0.2">
      <c r="D4950" s="84"/>
    </row>
    <row r="4951" spans="4:4" x14ac:dyDescent="0.2">
      <c r="D4951" s="84"/>
    </row>
    <row r="4952" spans="4:4" x14ac:dyDescent="0.2">
      <c r="D4952" s="84"/>
    </row>
    <row r="4953" spans="4:4" x14ac:dyDescent="0.2">
      <c r="D4953" s="84"/>
    </row>
    <row r="4954" spans="4:4" x14ac:dyDescent="0.2">
      <c r="D4954" s="84"/>
    </row>
    <row r="4955" spans="4:4" x14ac:dyDescent="0.2">
      <c r="D4955" s="84"/>
    </row>
    <row r="4956" spans="4:4" x14ac:dyDescent="0.2">
      <c r="D4956" s="84"/>
    </row>
    <row r="4957" spans="4:4" x14ac:dyDescent="0.2">
      <c r="D4957" s="84"/>
    </row>
    <row r="4958" spans="4:4" x14ac:dyDescent="0.2">
      <c r="D4958" s="84"/>
    </row>
    <row r="4959" spans="4:4" x14ac:dyDescent="0.2">
      <c r="D4959" s="84"/>
    </row>
    <row r="4960" spans="4:4" x14ac:dyDescent="0.2">
      <c r="D4960" s="84"/>
    </row>
    <row r="4961" spans="4:4" x14ac:dyDescent="0.2">
      <c r="D4961" s="84"/>
    </row>
    <row r="4962" spans="4:4" x14ac:dyDescent="0.2">
      <c r="D4962" s="84"/>
    </row>
    <row r="4963" spans="4:4" x14ac:dyDescent="0.2">
      <c r="D4963" s="84"/>
    </row>
    <row r="4964" spans="4:4" x14ac:dyDescent="0.2">
      <c r="D4964" s="84"/>
    </row>
    <row r="4965" spans="4:4" x14ac:dyDescent="0.2">
      <c r="D4965" s="84"/>
    </row>
    <row r="4966" spans="4:4" x14ac:dyDescent="0.2">
      <c r="D4966" s="84"/>
    </row>
    <row r="4967" spans="4:4" x14ac:dyDescent="0.2">
      <c r="D4967" s="84"/>
    </row>
    <row r="4968" spans="4:4" x14ac:dyDescent="0.2">
      <c r="D4968" s="84"/>
    </row>
    <row r="4969" spans="4:4" x14ac:dyDescent="0.2">
      <c r="D4969" s="84"/>
    </row>
    <row r="4970" spans="4:4" x14ac:dyDescent="0.2">
      <c r="D4970" s="84"/>
    </row>
    <row r="4971" spans="4:4" x14ac:dyDescent="0.2">
      <c r="D4971" s="84"/>
    </row>
    <row r="4972" spans="4:4" x14ac:dyDescent="0.2">
      <c r="D4972" s="84"/>
    </row>
    <row r="4973" spans="4:4" x14ac:dyDescent="0.2">
      <c r="D4973" s="84"/>
    </row>
    <row r="4974" spans="4:4" x14ac:dyDescent="0.2">
      <c r="D4974" s="84"/>
    </row>
    <row r="4975" spans="4:4" x14ac:dyDescent="0.2">
      <c r="D4975" s="84"/>
    </row>
    <row r="4976" spans="4:4" x14ac:dyDescent="0.2">
      <c r="D4976" s="84"/>
    </row>
    <row r="4977" spans="4:4" x14ac:dyDescent="0.2">
      <c r="D4977" s="84"/>
    </row>
    <row r="4978" spans="4:4" x14ac:dyDescent="0.2">
      <c r="D4978" s="84"/>
    </row>
    <row r="4979" spans="4:4" x14ac:dyDescent="0.2">
      <c r="D4979" s="84"/>
    </row>
    <row r="4980" spans="4:4" x14ac:dyDescent="0.2">
      <c r="D4980" s="84"/>
    </row>
    <row r="4981" spans="4:4" x14ac:dyDescent="0.2">
      <c r="D4981" s="84"/>
    </row>
    <row r="4982" spans="4:4" x14ac:dyDescent="0.2">
      <c r="D4982" s="84"/>
    </row>
    <row r="4983" spans="4:4" x14ac:dyDescent="0.2">
      <c r="D4983" s="84"/>
    </row>
    <row r="4984" spans="4:4" x14ac:dyDescent="0.2">
      <c r="D4984" s="84"/>
    </row>
    <row r="4985" spans="4:4" x14ac:dyDescent="0.2">
      <c r="D4985" s="84"/>
    </row>
    <row r="4986" spans="4:4" x14ac:dyDescent="0.2">
      <c r="D4986" s="84"/>
    </row>
    <row r="4987" spans="4:4" x14ac:dyDescent="0.2">
      <c r="D4987" s="84"/>
    </row>
    <row r="4988" spans="4:4" x14ac:dyDescent="0.2">
      <c r="D4988" s="84"/>
    </row>
    <row r="4989" spans="4:4" x14ac:dyDescent="0.2">
      <c r="D4989" s="84"/>
    </row>
    <row r="4990" spans="4:4" x14ac:dyDescent="0.2">
      <c r="D4990" s="84"/>
    </row>
    <row r="4991" spans="4:4" x14ac:dyDescent="0.2">
      <c r="D4991" s="84"/>
    </row>
    <row r="4992" spans="4:4" x14ac:dyDescent="0.2">
      <c r="D4992" s="84"/>
    </row>
    <row r="4993" spans="4:4" x14ac:dyDescent="0.2">
      <c r="D4993" s="84"/>
    </row>
    <row r="4994" spans="4:4" x14ac:dyDescent="0.2">
      <c r="D4994" s="84"/>
    </row>
    <row r="4995" spans="4:4" x14ac:dyDescent="0.2">
      <c r="D4995" s="84"/>
    </row>
    <row r="4996" spans="4:4" x14ac:dyDescent="0.2">
      <c r="D4996" s="84"/>
    </row>
    <row r="4997" spans="4:4" x14ac:dyDescent="0.2">
      <c r="D4997" s="84"/>
    </row>
    <row r="4998" spans="4:4" x14ac:dyDescent="0.2">
      <c r="D4998" s="84"/>
    </row>
    <row r="4999" spans="4:4" x14ac:dyDescent="0.2">
      <c r="D4999" s="84"/>
    </row>
    <row r="5000" spans="4:4" x14ac:dyDescent="0.2">
      <c r="D5000" s="84"/>
    </row>
    <row r="5001" spans="4:4" x14ac:dyDescent="0.2">
      <c r="D5001" s="84"/>
    </row>
    <row r="5002" spans="4:4" x14ac:dyDescent="0.2">
      <c r="D5002" s="84"/>
    </row>
    <row r="5003" spans="4:4" x14ac:dyDescent="0.2">
      <c r="D5003" s="84"/>
    </row>
    <row r="5004" spans="4:4" x14ac:dyDescent="0.2">
      <c r="D5004" s="84"/>
    </row>
    <row r="5005" spans="4:4" x14ac:dyDescent="0.2">
      <c r="D5005" s="84"/>
    </row>
    <row r="5006" spans="4:4" x14ac:dyDescent="0.2">
      <c r="D5006" s="84"/>
    </row>
    <row r="5007" spans="4:4" x14ac:dyDescent="0.2">
      <c r="D5007" s="84"/>
    </row>
    <row r="5008" spans="4:4" x14ac:dyDescent="0.2">
      <c r="D5008" s="84"/>
    </row>
    <row r="5009" spans="4:4" x14ac:dyDescent="0.2">
      <c r="D5009" s="84"/>
    </row>
    <row r="5010" spans="4:4" x14ac:dyDescent="0.2">
      <c r="D5010" s="84"/>
    </row>
    <row r="5011" spans="4:4" x14ac:dyDescent="0.2">
      <c r="D5011" s="84"/>
    </row>
    <row r="5012" spans="4:4" x14ac:dyDescent="0.2">
      <c r="D5012" s="84"/>
    </row>
    <row r="5013" spans="4:4" x14ac:dyDescent="0.2">
      <c r="D5013" s="84"/>
    </row>
    <row r="5014" spans="4:4" x14ac:dyDescent="0.2">
      <c r="D5014" s="84"/>
    </row>
    <row r="5015" spans="4:4" x14ac:dyDescent="0.2">
      <c r="D5015" s="84"/>
    </row>
    <row r="5016" spans="4:4" x14ac:dyDescent="0.2">
      <c r="D5016" s="84"/>
    </row>
    <row r="5017" spans="4:4" x14ac:dyDescent="0.2">
      <c r="D5017" s="84"/>
    </row>
    <row r="5018" spans="4:4" x14ac:dyDescent="0.2">
      <c r="D5018" s="84"/>
    </row>
    <row r="5019" spans="4:4" x14ac:dyDescent="0.2">
      <c r="D5019" s="84"/>
    </row>
    <row r="5020" spans="4:4" x14ac:dyDescent="0.2">
      <c r="D5020" s="84"/>
    </row>
    <row r="5021" spans="4:4" x14ac:dyDescent="0.2">
      <c r="D5021" s="84"/>
    </row>
    <row r="5022" spans="4:4" x14ac:dyDescent="0.2">
      <c r="D5022" s="84"/>
    </row>
    <row r="5023" spans="4:4" x14ac:dyDescent="0.2">
      <c r="D5023" s="84"/>
    </row>
    <row r="5024" spans="4:4" x14ac:dyDescent="0.2">
      <c r="D5024" s="84"/>
    </row>
    <row r="5025" spans="4:4" x14ac:dyDescent="0.2">
      <c r="D5025" s="84"/>
    </row>
    <row r="5026" spans="4:4" x14ac:dyDescent="0.2">
      <c r="D5026" s="84"/>
    </row>
    <row r="5027" spans="4:4" x14ac:dyDescent="0.2">
      <c r="D5027" s="84"/>
    </row>
    <row r="5028" spans="4:4" x14ac:dyDescent="0.2">
      <c r="D5028" s="84"/>
    </row>
    <row r="5029" spans="4:4" x14ac:dyDescent="0.2">
      <c r="D5029" s="84"/>
    </row>
    <row r="5030" spans="4:4" x14ac:dyDescent="0.2">
      <c r="D5030" s="84"/>
    </row>
    <row r="5031" spans="4:4" x14ac:dyDescent="0.2">
      <c r="D5031" s="84"/>
    </row>
    <row r="5032" spans="4:4" x14ac:dyDescent="0.2">
      <c r="D5032" s="84"/>
    </row>
    <row r="5033" spans="4:4" x14ac:dyDescent="0.2">
      <c r="D5033" s="84"/>
    </row>
    <row r="5034" spans="4:4" x14ac:dyDescent="0.2">
      <c r="D5034" s="84"/>
    </row>
    <row r="5035" spans="4:4" x14ac:dyDescent="0.2">
      <c r="D5035" s="84"/>
    </row>
    <row r="5036" spans="4:4" x14ac:dyDescent="0.2">
      <c r="D5036" s="84"/>
    </row>
    <row r="5037" spans="4:4" x14ac:dyDescent="0.2">
      <c r="D5037" s="84"/>
    </row>
    <row r="5038" spans="4:4" x14ac:dyDescent="0.2">
      <c r="D5038" s="84"/>
    </row>
    <row r="5039" spans="4:4" x14ac:dyDescent="0.2">
      <c r="D5039" s="84"/>
    </row>
    <row r="5040" spans="4:4" x14ac:dyDescent="0.2">
      <c r="D5040" s="84"/>
    </row>
    <row r="5041" spans="4:4" x14ac:dyDescent="0.2">
      <c r="D5041" s="84"/>
    </row>
    <row r="5042" spans="4:4" x14ac:dyDescent="0.2">
      <c r="D5042" s="84"/>
    </row>
    <row r="5043" spans="4:4" x14ac:dyDescent="0.2">
      <c r="D5043" s="84"/>
    </row>
    <row r="5044" spans="4:4" x14ac:dyDescent="0.2">
      <c r="D5044" s="84"/>
    </row>
    <row r="5045" spans="4:4" x14ac:dyDescent="0.2">
      <c r="D5045" s="84"/>
    </row>
    <row r="5046" spans="4:4" x14ac:dyDescent="0.2">
      <c r="D5046" s="84"/>
    </row>
    <row r="5047" spans="4:4" x14ac:dyDescent="0.2">
      <c r="D5047" s="84"/>
    </row>
    <row r="5048" spans="4:4" x14ac:dyDescent="0.2">
      <c r="D5048" s="84"/>
    </row>
    <row r="5049" spans="4:4" x14ac:dyDescent="0.2">
      <c r="D5049" s="84"/>
    </row>
    <row r="5050" spans="4:4" x14ac:dyDescent="0.2">
      <c r="D5050" s="84"/>
    </row>
    <row r="5051" spans="4:4" x14ac:dyDescent="0.2">
      <c r="D5051" s="84"/>
    </row>
    <row r="5052" spans="4:4" x14ac:dyDescent="0.2">
      <c r="D5052" s="84"/>
    </row>
    <row r="5053" spans="4:4" x14ac:dyDescent="0.2">
      <c r="D5053" s="84"/>
    </row>
    <row r="5054" spans="4:4" x14ac:dyDescent="0.2">
      <c r="D5054" s="84"/>
    </row>
    <row r="5055" spans="4:4" x14ac:dyDescent="0.2">
      <c r="D5055" s="84"/>
    </row>
    <row r="5056" spans="4:4" x14ac:dyDescent="0.2">
      <c r="D5056" s="84"/>
    </row>
    <row r="5057" spans="4:4" x14ac:dyDescent="0.2">
      <c r="D5057" s="84"/>
    </row>
    <row r="5058" spans="4:4" x14ac:dyDescent="0.2">
      <c r="D5058" s="84"/>
    </row>
    <row r="5059" spans="4:4" x14ac:dyDescent="0.2">
      <c r="D5059" s="84"/>
    </row>
    <row r="5060" spans="4:4" x14ac:dyDescent="0.2">
      <c r="D5060" s="84"/>
    </row>
    <row r="5061" spans="4:4" x14ac:dyDescent="0.2">
      <c r="D5061" s="84"/>
    </row>
    <row r="5062" spans="4:4" x14ac:dyDescent="0.2">
      <c r="D5062" s="84"/>
    </row>
    <row r="5063" spans="4:4" x14ac:dyDescent="0.2">
      <c r="D5063" s="84"/>
    </row>
    <row r="5064" spans="4:4" x14ac:dyDescent="0.2">
      <c r="D5064" s="84"/>
    </row>
    <row r="5065" spans="4:4" x14ac:dyDescent="0.2">
      <c r="D5065" s="84"/>
    </row>
    <row r="5066" spans="4:4" x14ac:dyDescent="0.2">
      <c r="D5066" s="84"/>
    </row>
    <row r="5067" spans="4:4" x14ac:dyDescent="0.2">
      <c r="D5067" s="84"/>
    </row>
    <row r="5068" spans="4:4" x14ac:dyDescent="0.2">
      <c r="D5068" s="84"/>
    </row>
    <row r="5069" spans="4:4" x14ac:dyDescent="0.2">
      <c r="D5069" s="84"/>
    </row>
    <row r="5070" spans="4:4" x14ac:dyDescent="0.2">
      <c r="D5070" s="84"/>
    </row>
    <row r="5071" spans="4:4" x14ac:dyDescent="0.2">
      <c r="D5071" s="84"/>
    </row>
    <row r="5072" spans="4:4" x14ac:dyDescent="0.2">
      <c r="D5072" s="84"/>
    </row>
    <row r="5073" spans="4:4" x14ac:dyDescent="0.2">
      <c r="D5073" s="84"/>
    </row>
    <row r="5074" spans="4:4" x14ac:dyDescent="0.2">
      <c r="D5074" s="84"/>
    </row>
    <row r="5075" spans="4:4" x14ac:dyDescent="0.2">
      <c r="D5075" s="84"/>
    </row>
    <row r="5076" spans="4:4" x14ac:dyDescent="0.2">
      <c r="D5076" s="84"/>
    </row>
    <row r="5077" spans="4:4" x14ac:dyDescent="0.2">
      <c r="D5077" s="84"/>
    </row>
    <row r="5078" spans="4:4" x14ac:dyDescent="0.2">
      <c r="D5078" s="84"/>
    </row>
    <row r="5079" spans="4:4" x14ac:dyDescent="0.2">
      <c r="D5079" s="84"/>
    </row>
    <row r="5080" spans="4:4" x14ac:dyDescent="0.2">
      <c r="D5080" s="84"/>
    </row>
    <row r="5081" spans="4:4" x14ac:dyDescent="0.2">
      <c r="D5081" s="84"/>
    </row>
    <row r="5082" spans="4:4" x14ac:dyDescent="0.2">
      <c r="D5082" s="84"/>
    </row>
    <row r="5083" spans="4:4" x14ac:dyDescent="0.2">
      <c r="D5083" s="84"/>
    </row>
    <row r="5084" spans="4:4" x14ac:dyDescent="0.2">
      <c r="D5084" s="84"/>
    </row>
    <row r="5085" spans="4:4" x14ac:dyDescent="0.2">
      <c r="D5085" s="84"/>
    </row>
    <row r="5086" spans="4:4" x14ac:dyDescent="0.2">
      <c r="D5086" s="84"/>
    </row>
    <row r="5087" spans="4:4" x14ac:dyDescent="0.2">
      <c r="D5087" s="84"/>
    </row>
    <row r="5088" spans="4:4" x14ac:dyDescent="0.2">
      <c r="D5088" s="84"/>
    </row>
    <row r="5089" spans="4:4" x14ac:dyDescent="0.2">
      <c r="D5089" s="84"/>
    </row>
    <row r="5090" spans="4:4" x14ac:dyDescent="0.2">
      <c r="D5090" s="84"/>
    </row>
    <row r="5091" spans="4:4" x14ac:dyDescent="0.2">
      <c r="D5091" s="84"/>
    </row>
    <row r="5092" spans="4:4" x14ac:dyDescent="0.2">
      <c r="D5092" s="84"/>
    </row>
    <row r="5093" spans="4:4" x14ac:dyDescent="0.2">
      <c r="D5093" s="84"/>
    </row>
    <row r="5094" spans="4:4" x14ac:dyDescent="0.2">
      <c r="D5094" s="84"/>
    </row>
    <row r="5095" spans="4:4" x14ac:dyDescent="0.2">
      <c r="D5095" s="84"/>
    </row>
    <row r="5096" spans="4:4" x14ac:dyDescent="0.2">
      <c r="D5096" s="84"/>
    </row>
    <row r="5097" spans="4:4" x14ac:dyDescent="0.2">
      <c r="D5097" s="84"/>
    </row>
    <row r="5098" spans="4:4" x14ac:dyDescent="0.2">
      <c r="D5098" s="84"/>
    </row>
    <row r="5099" spans="4:4" x14ac:dyDescent="0.2">
      <c r="D5099" s="84"/>
    </row>
    <row r="5100" spans="4:4" x14ac:dyDescent="0.2">
      <c r="D5100" s="84"/>
    </row>
    <row r="5101" spans="4:4" x14ac:dyDescent="0.2">
      <c r="D5101" s="84"/>
    </row>
    <row r="5102" spans="4:4" x14ac:dyDescent="0.2">
      <c r="D5102" s="84"/>
    </row>
    <row r="5103" spans="4:4" x14ac:dyDescent="0.2">
      <c r="D5103" s="84"/>
    </row>
    <row r="5104" spans="4:4" x14ac:dyDescent="0.2">
      <c r="D5104" s="84"/>
    </row>
    <row r="5105" spans="4:4" x14ac:dyDescent="0.2">
      <c r="D5105" s="84"/>
    </row>
    <row r="5106" spans="4:4" x14ac:dyDescent="0.2">
      <c r="D5106" s="84"/>
    </row>
    <row r="5107" spans="4:4" x14ac:dyDescent="0.2">
      <c r="D5107" s="84"/>
    </row>
    <row r="5108" spans="4:4" x14ac:dyDescent="0.2">
      <c r="D5108" s="84"/>
    </row>
    <row r="5109" spans="4:4" x14ac:dyDescent="0.2">
      <c r="D5109" s="84"/>
    </row>
    <row r="5110" spans="4:4" x14ac:dyDescent="0.2">
      <c r="D5110" s="84"/>
    </row>
    <row r="5111" spans="4:4" x14ac:dyDescent="0.2">
      <c r="D5111" s="84"/>
    </row>
    <row r="5112" spans="4:4" x14ac:dyDescent="0.2">
      <c r="D5112" s="84"/>
    </row>
    <row r="5113" spans="4:4" x14ac:dyDescent="0.2">
      <c r="D5113" s="84"/>
    </row>
    <row r="5114" spans="4:4" x14ac:dyDescent="0.2">
      <c r="D5114" s="84"/>
    </row>
    <row r="5115" spans="4:4" x14ac:dyDescent="0.2">
      <c r="D5115" s="84"/>
    </row>
    <row r="5116" spans="4:4" x14ac:dyDescent="0.2">
      <c r="D5116" s="84"/>
    </row>
    <row r="5117" spans="4:4" x14ac:dyDescent="0.2">
      <c r="D5117" s="84"/>
    </row>
    <row r="5118" spans="4:4" x14ac:dyDescent="0.2">
      <c r="D5118" s="84"/>
    </row>
    <row r="5119" spans="4:4" x14ac:dyDescent="0.2">
      <c r="D5119" s="84"/>
    </row>
    <row r="5120" spans="4:4" x14ac:dyDescent="0.2">
      <c r="D5120" s="84"/>
    </row>
    <row r="5121" spans="4:4" x14ac:dyDescent="0.2">
      <c r="D5121" s="84"/>
    </row>
    <row r="5122" spans="4:4" x14ac:dyDescent="0.2">
      <c r="D5122" s="84"/>
    </row>
    <row r="5123" spans="4:4" x14ac:dyDescent="0.2">
      <c r="D5123" s="84"/>
    </row>
    <row r="5124" spans="4:4" x14ac:dyDescent="0.2">
      <c r="D5124" s="84"/>
    </row>
    <row r="5125" spans="4:4" x14ac:dyDescent="0.2">
      <c r="D5125" s="84"/>
    </row>
    <row r="5126" spans="4:4" x14ac:dyDescent="0.2">
      <c r="D5126" s="84"/>
    </row>
    <row r="5127" spans="4:4" x14ac:dyDescent="0.2">
      <c r="D5127" s="84"/>
    </row>
    <row r="5128" spans="4:4" x14ac:dyDescent="0.2">
      <c r="D5128" s="84"/>
    </row>
    <row r="5129" spans="4:4" x14ac:dyDescent="0.2">
      <c r="D5129" s="84"/>
    </row>
    <row r="5130" spans="4:4" x14ac:dyDescent="0.2">
      <c r="D5130" s="84"/>
    </row>
    <row r="5131" spans="4:4" x14ac:dyDescent="0.2">
      <c r="D5131" s="84"/>
    </row>
    <row r="5132" spans="4:4" x14ac:dyDescent="0.2">
      <c r="D5132" s="84"/>
    </row>
    <row r="5133" spans="4:4" x14ac:dyDescent="0.2">
      <c r="D5133" s="84"/>
    </row>
    <row r="5134" spans="4:4" x14ac:dyDescent="0.2">
      <c r="D5134" s="84"/>
    </row>
    <row r="5135" spans="4:4" x14ac:dyDescent="0.2">
      <c r="D5135" s="84"/>
    </row>
    <row r="5136" spans="4:4" x14ac:dyDescent="0.2">
      <c r="D5136" s="84"/>
    </row>
    <row r="5137" spans="4:4" x14ac:dyDescent="0.2">
      <c r="D5137" s="84"/>
    </row>
    <row r="5138" spans="4:4" x14ac:dyDescent="0.2">
      <c r="D5138" s="84"/>
    </row>
    <row r="5139" spans="4:4" x14ac:dyDescent="0.2">
      <c r="D5139" s="84"/>
    </row>
    <row r="5140" spans="4:4" x14ac:dyDescent="0.2">
      <c r="D5140" s="84"/>
    </row>
    <row r="5141" spans="4:4" x14ac:dyDescent="0.2">
      <c r="D5141" s="84"/>
    </row>
    <row r="5142" spans="4:4" x14ac:dyDescent="0.2">
      <c r="D5142" s="84"/>
    </row>
    <row r="5143" spans="4:4" x14ac:dyDescent="0.2">
      <c r="D5143" s="84"/>
    </row>
    <row r="5144" spans="4:4" x14ac:dyDescent="0.2">
      <c r="D5144" s="84"/>
    </row>
    <row r="5145" spans="4:4" x14ac:dyDescent="0.2">
      <c r="D5145" s="84"/>
    </row>
    <row r="5146" spans="4:4" x14ac:dyDescent="0.2">
      <c r="D5146" s="84"/>
    </row>
    <row r="5147" spans="4:4" x14ac:dyDescent="0.2">
      <c r="D5147" s="84"/>
    </row>
    <row r="5148" spans="4:4" x14ac:dyDescent="0.2">
      <c r="D5148" s="84"/>
    </row>
    <row r="5149" spans="4:4" x14ac:dyDescent="0.2">
      <c r="D5149" s="84"/>
    </row>
    <row r="5150" spans="4:4" x14ac:dyDescent="0.2">
      <c r="D5150" s="84"/>
    </row>
    <row r="5151" spans="4:4" x14ac:dyDescent="0.2">
      <c r="D5151" s="84"/>
    </row>
    <row r="5152" spans="4:4" x14ac:dyDescent="0.2">
      <c r="D5152" s="84"/>
    </row>
    <row r="5153" spans="4:4" x14ac:dyDescent="0.2">
      <c r="D5153" s="84"/>
    </row>
    <row r="5154" spans="4:4" x14ac:dyDescent="0.2">
      <c r="D5154" s="84"/>
    </row>
    <row r="5155" spans="4:4" x14ac:dyDescent="0.2">
      <c r="D5155" s="84"/>
    </row>
    <row r="5156" spans="4:4" x14ac:dyDescent="0.2">
      <c r="D5156" s="84"/>
    </row>
    <row r="5157" spans="4:4" x14ac:dyDescent="0.2">
      <c r="D5157" s="84"/>
    </row>
    <row r="5158" spans="4:4" x14ac:dyDescent="0.2">
      <c r="D5158" s="84"/>
    </row>
    <row r="5159" spans="4:4" x14ac:dyDescent="0.2">
      <c r="D5159" s="84"/>
    </row>
    <row r="5160" spans="4:4" x14ac:dyDescent="0.2">
      <c r="D5160" s="84"/>
    </row>
    <row r="5161" spans="4:4" x14ac:dyDescent="0.2">
      <c r="D5161" s="84"/>
    </row>
    <row r="5162" spans="4:4" x14ac:dyDescent="0.2">
      <c r="D5162" s="84"/>
    </row>
    <row r="5163" spans="4:4" x14ac:dyDescent="0.2">
      <c r="D5163" s="84"/>
    </row>
    <row r="5164" spans="4:4" x14ac:dyDescent="0.2">
      <c r="D5164" s="84"/>
    </row>
    <row r="5165" spans="4:4" x14ac:dyDescent="0.2">
      <c r="D5165" s="84"/>
    </row>
    <row r="5166" spans="4:4" x14ac:dyDescent="0.2">
      <c r="D5166" s="84"/>
    </row>
    <row r="5167" spans="4:4" x14ac:dyDescent="0.2">
      <c r="D5167" s="84"/>
    </row>
    <row r="5168" spans="4:4" x14ac:dyDescent="0.2">
      <c r="D5168" s="84"/>
    </row>
    <row r="5169" spans="4:4" x14ac:dyDescent="0.2">
      <c r="D5169" s="84"/>
    </row>
    <row r="5170" spans="4:4" x14ac:dyDescent="0.2">
      <c r="D5170" s="84"/>
    </row>
    <row r="5171" spans="4:4" x14ac:dyDescent="0.2">
      <c r="D5171" s="84"/>
    </row>
    <row r="5172" spans="4:4" x14ac:dyDescent="0.2">
      <c r="D5172" s="84"/>
    </row>
    <row r="5173" spans="4:4" x14ac:dyDescent="0.2">
      <c r="D5173" s="84"/>
    </row>
    <row r="5174" spans="4:4" x14ac:dyDescent="0.2">
      <c r="D5174" s="84"/>
    </row>
    <row r="5175" spans="4:4" x14ac:dyDescent="0.2">
      <c r="D5175" s="84"/>
    </row>
    <row r="5176" spans="4:4" x14ac:dyDescent="0.2">
      <c r="D5176" s="84"/>
    </row>
    <row r="5177" spans="4:4" x14ac:dyDescent="0.2">
      <c r="D5177" s="84"/>
    </row>
    <row r="5178" spans="4:4" x14ac:dyDescent="0.2">
      <c r="D5178" s="84"/>
    </row>
    <row r="5179" spans="4:4" x14ac:dyDescent="0.2">
      <c r="D5179" s="84"/>
    </row>
    <row r="5180" spans="4:4" x14ac:dyDescent="0.2">
      <c r="D5180" s="84"/>
    </row>
    <row r="5181" spans="4:4" x14ac:dyDescent="0.2">
      <c r="D5181" s="84"/>
    </row>
    <row r="5182" spans="4:4" x14ac:dyDescent="0.2">
      <c r="D5182" s="84"/>
    </row>
    <row r="5183" spans="4:4" x14ac:dyDescent="0.2">
      <c r="D5183" s="84"/>
    </row>
    <row r="5184" spans="4:4" x14ac:dyDescent="0.2">
      <c r="D5184" s="84"/>
    </row>
    <row r="5185" spans="4:4" x14ac:dyDescent="0.2">
      <c r="D5185" s="84"/>
    </row>
    <row r="5186" spans="4:4" x14ac:dyDescent="0.2">
      <c r="D5186" s="84"/>
    </row>
    <row r="5187" spans="4:4" x14ac:dyDescent="0.2">
      <c r="D5187" s="84"/>
    </row>
    <row r="5188" spans="4:4" x14ac:dyDescent="0.2">
      <c r="D5188" s="84"/>
    </row>
    <row r="5189" spans="4:4" x14ac:dyDescent="0.2">
      <c r="D5189" s="84"/>
    </row>
    <row r="5190" spans="4:4" x14ac:dyDescent="0.2">
      <c r="D5190" s="84"/>
    </row>
    <row r="5191" spans="4:4" x14ac:dyDescent="0.2">
      <c r="D5191" s="84"/>
    </row>
    <row r="5192" spans="4:4" x14ac:dyDescent="0.2">
      <c r="D5192" s="84"/>
    </row>
    <row r="5193" spans="4:4" x14ac:dyDescent="0.2">
      <c r="D5193" s="84"/>
    </row>
    <row r="5194" spans="4:4" x14ac:dyDescent="0.2">
      <c r="D5194" s="84"/>
    </row>
    <row r="5195" spans="4:4" x14ac:dyDescent="0.2">
      <c r="D5195" s="84"/>
    </row>
    <row r="5196" spans="4:4" x14ac:dyDescent="0.2">
      <c r="D5196" s="84"/>
    </row>
    <row r="5197" spans="4:4" x14ac:dyDescent="0.2">
      <c r="D5197" s="84"/>
    </row>
    <row r="5198" spans="4:4" x14ac:dyDescent="0.2">
      <c r="D5198" s="84"/>
    </row>
    <row r="5199" spans="4:4" x14ac:dyDescent="0.2">
      <c r="D5199" s="84"/>
    </row>
    <row r="5200" spans="4:4" x14ac:dyDescent="0.2">
      <c r="D5200" s="84"/>
    </row>
    <row r="5201" spans="4:4" x14ac:dyDescent="0.2">
      <c r="D5201" s="84"/>
    </row>
    <row r="5202" spans="4:4" x14ac:dyDescent="0.2">
      <c r="D5202" s="84"/>
    </row>
    <row r="5203" spans="4:4" x14ac:dyDescent="0.2">
      <c r="D5203" s="84"/>
    </row>
    <row r="5204" spans="4:4" x14ac:dyDescent="0.2">
      <c r="D5204" s="84"/>
    </row>
    <row r="5205" spans="4:4" x14ac:dyDescent="0.2">
      <c r="D5205" s="84"/>
    </row>
    <row r="5206" spans="4:4" x14ac:dyDescent="0.2">
      <c r="D5206" s="84"/>
    </row>
    <row r="5207" spans="4:4" x14ac:dyDescent="0.2">
      <c r="D5207" s="84"/>
    </row>
    <row r="5208" spans="4:4" x14ac:dyDescent="0.2">
      <c r="D5208" s="84"/>
    </row>
    <row r="5209" spans="4:4" x14ac:dyDescent="0.2">
      <c r="D5209" s="84"/>
    </row>
    <row r="5210" spans="4:4" x14ac:dyDescent="0.2">
      <c r="D5210" s="84"/>
    </row>
    <row r="5211" spans="4:4" x14ac:dyDescent="0.2">
      <c r="D5211" s="84"/>
    </row>
    <row r="5212" spans="4:4" x14ac:dyDescent="0.2">
      <c r="D5212" s="84"/>
    </row>
    <row r="5213" spans="4:4" x14ac:dyDescent="0.2">
      <c r="D5213" s="84"/>
    </row>
    <row r="5214" spans="4:4" x14ac:dyDescent="0.2">
      <c r="D5214" s="84"/>
    </row>
    <row r="5215" spans="4:4" x14ac:dyDescent="0.2">
      <c r="D5215" s="84"/>
    </row>
    <row r="5216" spans="4:4" x14ac:dyDescent="0.2">
      <c r="D5216" s="84"/>
    </row>
    <row r="5217" spans="4:4" x14ac:dyDescent="0.2">
      <c r="D5217" s="84"/>
    </row>
    <row r="5218" spans="4:4" x14ac:dyDescent="0.2">
      <c r="D5218" s="84"/>
    </row>
    <row r="5219" spans="4:4" x14ac:dyDescent="0.2">
      <c r="D5219" s="84"/>
    </row>
    <row r="5220" spans="4:4" x14ac:dyDescent="0.2">
      <c r="D5220" s="84"/>
    </row>
    <row r="5221" spans="4:4" x14ac:dyDescent="0.2">
      <c r="D5221" s="84"/>
    </row>
    <row r="5222" spans="4:4" x14ac:dyDescent="0.2">
      <c r="D5222" s="84"/>
    </row>
    <row r="5223" spans="4:4" x14ac:dyDescent="0.2">
      <c r="D5223" s="84"/>
    </row>
    <row r="5224" spans="4:4" x14ac:dyDescent="0.2">
      <c r="D5224" s="84"/>
    </row>
    <row r="5225" spans="4:4" x14ac:dyDescent="0.2">
      <c r="D5225" s="84"/>
    </row>
    <row r="5226" spans="4:4" x14ac:dyDescent="0.2">
      <c r="D5226" s="84"/>
    </row>
    <row r="5227" spans="4:4" x14ac:dyDescent="0.2">
      <c r="D5227" s="84"/>
    </row>
    <row r="5228" spans="4:4" x14ac:dyDescent="0.2">
      <c r="D5228" s="84"/>
    </row>
    <row r="5229" spans="4:4" x14ac:dyDescent="0.2">
      <c r="D5229" s="84"/>
    </row>
    <row r="5230" spans="4:4" x14ac:dyDescent="0.2">
      <c r="D5230" s="84"/>
    </row>
    <row r="5231" spans="4:4" x14ac:dyDescent="0.2">
      <c r="D5231" s="84"/>
    </row>
    <row r="5232" spans="4:4" x14ac:dyDescent="0.2">
      <c r="D5232" s="84"/>
    </row>
    <row r="5233" spans="4:4" x14ac:dyDescent="0.2">
      <c r="D5233" s="84"/>
    </row>
    <row r="5234" spans="4:4" x14ac:dyDescent="0.2">
      <c r="D5234" s="84"/>
    </row>
    <row r="5235" spans="4:4" x14ac:dyDescent="0.2">
      <c r="D5235" s="84"/>
    </row>
    <row r="5236" spans="4:4" x14ac:dyDescent="0.2">
      <c r="D5236" s="84"/>
    </row>
    <row r="5237" spans="4:4" x14ac:dyDescent="0.2">
      <c r="D5237" s="84"/>
    </row>
    <row r="5238" spans="4:4" x14ac:dyDescent="0.2">
      <c r="D5238" s="84"/>
    </row>
    <row r="5239" spans="4:4" x14ac:dyDescent="0.2">
      <c r="D5239" s="84"/>
    </row>
    <row r="5240" spans="4:4" x14ac:dyDescent="0.2">
      <c r="D5240" s="84"/>
    </row>
    <row r="5241" spans="4:4" x14ac:dyDescent="0.2">
      <c r="D5241" s="84"/>
    </row>
    <row r="5242" spans="4:4" x14ac:dyDescent="0.2">
      <c r="D5242" s="84"/>
    </row>
    <row r="5243" spans="4:4" x14ac:dyDescent="0.2">
      <c r="D5243" s="84"/>
    </row>
    <row r="5244" spans="4:4" x14ac:dyDescent="0.2">
      <c r="D5244" s="84"/>
    </row>
    <row r="5245" spans="4:4" x14ac:dyDescent="0.2">
      <c r="D5245" s="84"/>
    </row>
    <row r="5246" spans="4:4" x14ac:dyDescent="0.2">
      <c r="D5246" s="84"/>
    </row>
    <row r="5247" spans="4:4" x14ac:dyDescent="0.2">
      <c r="D5247" s="84"/>
    </row>
    <row r="5248" spans="4:4" x14ac:dyDescent="0.2">
      <c r="D5248" s="84"/>
    </row>
    <row r="5249" spans="4:4" x14ac:dyDescent="0.2">
      <c r="D5249" s="84"/>
    </row>
    <row r="5250" spans="4:4" x14ac:dyDescent="0.2">
      <c r="D5250" s="84"/>
    </row>
    <row r="5251" spans="4:4" x14ac:dyDescent="0.2">
      <c r="D5251" s="84"/>
    </row>
    <row r="5252" spans="4:4" x14ac:dyDescent="0.2">
      <c r="D5252" s="84"/>
    </row>
    <row r="5253" spans="4:4" x14ac:dyDescent="0.2">
      <c r="D5253" s="84"/>
    </row>
    <row r="5254" spans="4:4" x14ac:dyDescent="0.2">
      <c r="D5254" s="84"/>
    </row>
    <row r="5255" spans="4:4" x14ac:dyDescent="0.2">
      <c r="D5255" s="84"/>
    </row>
    <row r="5256" spans="4:4" x14ac:dyDescent="0.2">
      <c r="D5256" s="84"/>
    </row>
    <row r="5257" spans="4:4" x14ac:dyDescent="0.2">
      <c r="D5257" s="84"/>
    </row>
    <row r="5258" spans="4:4" x14ac:dyDescent="0.2">
      <c r="D5258" s="84"/>
    </row>
    <row r="5259" spans="4:4" x14ac:dyDescent="0.2">
      <c r="D5259" s="84"/>
    </row>
    <row r="5260" spans="4:4" x14ac:dyDescent="0.2">
      <c r="D5260" s="84"/>
    </row>
    <row r="5261" spans="4:4" x14ac:dyDescent="0.2">
      <c r="D5261" s="84"/>
    </row>
    <row r="5262" spans="4:4" x14ac:dyDescent="0.2">
      <c r="D5262" s="84"/>
    </row>
    <row r="5263" spans="4:4" x14ac:dyDescent="0.2">
      <c r="D5263" s="84"/>
    </row>
    <row r="5264" spans="4:4" x14ac:dyDescent="0.2">
      <c r="D5264" s="84"/>
    </row>
    <row r="5265" spans="4:4" x14ac:dyDescent="0.2">
      <c r="D5265" s="84"/>
    </row>
    <row r="5266" spans="4:4" x14ac:dyDescent="0.2">
      <c r="D5266" s="84"/>
    </row>
    <row r="5267" spans="4:4" x14ac:dyDescent="0.2">
      <c r="D5267" s="84"/>
    </row>
    <row r="5268" spans="4:4" x14ac:dyDescent="0.2">
      <c r="D5268" s="84"/>
    </row>
    <row r="5269" spans="4:4" x14ac:dyDescent="0.2">
      <c r="D5269" s="84"/>
    </row>
    <row r="5270" spans="4:4" x14ac:dyDescent="0.2">
      <c r="D5270" s="84"/>
    </row>
    <row r="5271" spans="4:4" x14ac:dyDescent="0.2">
      <c r="D5271" s="84"/>
    </row>
    <row r="5272" spans="4:4" x14ac:dyDescent="0.2">
      <c r="D5272" s="84"/>
    </row>
    <row r="5273" spans="4:4" x14ac:dyDescent="0.2">
      <c r="D5273" s="84"/>
    </row>
    <row r="5274" spans="4:4" x14ac:dyDescent="0.2">
      <c r="D5274" s="84"/>
    </row>
    <row r="5275" spans="4:4" x14ac:dyDescent="0.2">
      <c r="D5275" s="84"/>
    </row>
    <row r="5276" spans="4:4" x14ac:dyDescent="0.2">
      <c r="D5276" s="84"/>
    </row>
    <row r="5277" spans="4:4" x14ac:dyDescent="0.2">
      <c r="D5277" s="84"/>
    </row>
    <row r="5278" spans="4:4" x14ac:dyDescent="0.2">
      <c r="D5278" s="84"/>
    </row>
    <row r="5279" spans="4:4" x14ac:dyDescent="0.2">
      <c r="D5279" s="84"/>
    </row>
    <row r="5280" spans="4:4" x14ac:dyDescent="0.2">
      <c r="D5280" s="84"/>
    </row>
    <row r="5281" spans="4:4" x14ac:dyDescent="0.2">
      <c r="D5281" s="84"/>
    </row>
    <row r="5282" spans="4:4" x14ac:dyDescent="0.2">
      <c r="D5282" s="84"/>
    </row>
    <row r="5283" spans="4:4" x14ac:dyDescent="0.2">
      <c r="D5283" s="84"/>
    </row>
    <row r="5284" spans="4:4" x14ac:dyDescent="0.2">
      <c r="D5284" s="84"/>
    </row>
    <row r="5285" spans="4:4" x14ac:dyDescent="0.2">
      <c r="D5285" s="84"/>
    </row>
    <row r="5286" spans="4:4" x14ac:dyDescent="0.2">
      <c r="D5286" s="84"/>
    </row>
    <row r="5287" spans="4:4" x14ac:dyDescent="0.2">
      <c r="D5287" s="84"/>
    </row>
    <row r="5288" spans="4:4" x14ac:dyDescent="0.2">
      <c r="D5288" s="84"/>
    </row>
    <row r="5289" spans="4:4" x14ac:dyDescent="0.2">
      <c r="D5289" s="84"/>
    </row>
    <row r="5290" spans="4:4" x14ac:dyDescent="0.2">
      <c r="D5290" s="84"/>
    </row>
    <row r="5291" spans="4:4" x14ac:dyDescent="0.2">
      <c r="D5291" s="84"/>
    </row>
    <row r="5292" spans="4:4" x14ac:dyDescent="0.2">
      <c r="D5292" s="84"/>
    </row>
    <row r="5293" spans="4:4" x14ac:dyDescent="0.2">
      <c r="D5293" s="84"/>
    </row>
    <row r="5294" spans="4:4" x14ac:dyDescent="0.2">
      <c r="D5294" s="84"/>
    </row>
    <row r="5295" spans="4:4" x14ac:dyDescent="0.2">
      <c r="D5295" s="84"/>
    </row>
    <row r="5296" spans="4:4" x14ac:dyDescent="0.2">
      <c r="D5296" s="84"/>
    </row>
    <row r="5297" spans="4:4" x14ac:dyDescent="0.2">
      <c r="D5297" s="84"/>
    </row>
    <row r="5298" spans="4:4" x14ac:dyDescent="0.2">
      <c r="D5298" s="84"/>
    </row>
    <row r="5299" spans="4:4" x14ac:dyDescent="0.2">
      <c r="D5299" s="84"/>
    </row>
    <row r="5300" spans="4:4" x14ac:dyDescent="0.2">
      <c r="D5300" s="84"/>
    </row>
    <row r="5301" spans="4:4" x14ac:dyDescent="0.2">
      <c r="D5301" s="84"/>
    </row>
    <row r="5302" spans="4:4" x14ac:dyDescent="0.2">
      <c r="D5302" s="84"/>
    </row>
    <row r="5303" spans="4:4" x14ac:dyDescent="0.2">
      <c r="D5303" s="84"/>
    </row>
    <row r="5304" spans="4:4" x14ac:dyDescent="0.2">
      <c r="D5304" s="84"/>
    </row>
    <row r="5305" spans="4:4" x14ac:dyDescent="0.2">
      <c r="D5305" s="84"/>
    </row>
    <row r="5306" spans="4:4" x14ac:dyDescent="0.2">
      <c r="D5306" s="84"/>
    </row>
    <row r="5307" spans="4:4" x14ac:dyDescent="0.2">
      <c r="D5307" s="84"/>
    </row>
    <row r="5308" spans="4:4" x14ac:dyDescent="0.2">
      <c r="D5308" s="84"/>
    </row>
    <row r="5309" spans="4:4" x14ac:dyDescent="0.2">
      <c r="D5309" s="84"/>
    </row>
    <row r="5310" spans="4:4" x14ac:dyDescent="0.2">
      <c r="D5310" s="84"/>
    </row>
    <row r="5311" spans="4:4" x14ac:dyDescent="0.2">
      <c r="D5311" s="84"/>
    </row>
    <row r="5312" spans="4:4" x14ac:dyDescent="0.2">
      <c r="D5312" s="84"/>
    </row>
    <row r="5313" spans="4:4" x14ac:dyDescent="0.2">
      <c r="D5313" s="84"/>
    </row>
    <row r="5314" spans="4:4" x14ac:dyDescent="0.2">
      <c r="D5314" s="84"/>
    </row>
    <row r="5315" spans="4:4" x14ac:dyDescent="0.2">
      <c r="D5315" s="84"/>
    </row>
    <row r="5316" spans="4:4" x14ac:dyDescent="0.2">
      <c r="D5316" s="84"/>
    </row>
    <row r="5317" spans="4:4" x14ac:dyDescent="0.2">
      <c r="D5317" s="84"/>
    </row>
    <row r="5318" spans="4:4" x14ac:dyDescent="0.2">
      <c r="D5318" s="84"/>
    </row>
    <row r="5319" spans="4:4" x14ac:dyDescent="0.2">
      <c r="D5319" s="84"/>
    </row>
    <row r="5320" spans="4:4" x14ac:dyDescent="0.2">
      <c r="D5320" s="84"/>
    </row>
    <row r="5321" spans="4:4" x14ac:dyDescent="0.2">
      <c r="D5321" s="84"/>
    </row>
    <row r="5322" spans="4:4" x14ac:dyDescent="0.2">
      <c r="D5322" s="84"/>
    </row>
    <row r="5323" spans="4:4" x14ac:dyDescent="0.2">
      <c r="D5323" s="84"/>
    </row>
    <row r="5324" spans="4:4" x14ac:dyDescent="0.2">
      <c r="D5324" s="84"/>
    </row>
    <row r="5325" spans="4:4" x14ac:dyDescent="0.2">
      <c r="D5325" s="84"/>
    </row>
    <row r="5326" spans="4:4" x14ac:dyDescent="0.2">
      <c r="D5326" s="84"/>
    </row>
    <row r="5327" spans="4:4" x14ac:dyDescent="0.2">
      <c r="D5327" s="84"/>
    </row>
    <row r="5328" spans="4:4" x14ac:dyDescent="0.2">
      <c r="D5328" s="84"/>
    </row>
    <row r="5329" spans="4:4" x14ac:dyDescent="0.2">
      <c r="D5329" s="84"/>
    </row>
    <row r="5330" spans="4:4" x14ac:dyDescent="0.2">
      <c r="D5330" s="84"/>
    </row>
    <row r="5331" spans="4:4" x14ac:dyDescent="0.2">
      <c r="D5331" s="84"/>
    </row>
    <row r="5332" spans="4:4" x14ac:dyDescent="0.2">
      <c r="D5332" s="84"/>
    </row>
    <row r="5333" spans="4:4" x14ac:dyDescent="0.2">
      <c r="D5333" s="84"/>
    </row>
    <row r="5334" spans="4:4" x14ac:dyDescent="0.2">
      <c r="D5334" s="84"/>
    </row>
    <row r="5335" spans="4:4" x14ac:dyDescent="0.2">
      <c r="D5335" s="84"/>
    </row>
    <row r="5336" spans="4:4" x14ac:dyDescent="0.2">
      <c r="D5336" s="84"/>
    </row>
    <row r="5337" spans="4:4" x14ac:dyDescent="0.2">
      <c r="D5337" s="84"/>
    </row>
    <row r="5338" spans="4:4" x14ac:dyDescent="0.2">
      <c r="D5338" s="84"/>
    </row>
    <row r="5339" spans="4:4" x14ac:dyDescent="0.2">
      <c r="D5339" s="84"/>
    </row>
    <row r="5340" spans="4:4" x14ac:dyDescent="0.2">
      <c r="D5340" s="84"/>
    </row>
    <row r="5341" spans="4:4" x14ac:dyDescent="0.2">
      <c r="D5341" s="84"/>
    </row>
    <row r="5342" spans="4:4" x14ac:dyDescent="0.2">
      <c r="D5342" s="84"/>
    </row>
    <row r="5343" spans="4:4" x14ac:dyDescent="0.2">
      <c r="D5343" s="84"/>
    </row>
    <row r="5344" spans="4:4" x14ac:dyDescent="0.2">
      <c r="D5344" s="84"/>
    </row>
    <row r="5345" spans="4:4" x14ac:dyDescent="0.2">
      <c r="D5345" s="84"/>
    </row>
    <row r="5346" spans="4:4" x14ac:dyDescent="0.2">
      <c r="D5346" s="84"/>
    </row>
    <row r="5347" spans="4:4" x14ac:dyDescent="0.2">
      <c r="D5347" s="84"/>
    </row>
    <row r="5348" spans="4:4" x14ac:dyDescent="0.2">
      <c r="D5348" s="84"/>
    </row>
    <row r="5349" spans="4:4" x14ac:dyDescent="0.2">
      <c r="D5349" s="84"/>
    </row>
    <row r="5350" spans="4:4" x14ac:dyDescent="0.2">
      <c r="D5350" s="84"/>
    </row>
    <row r="5351" spans="4:4" x14ac:dyDescent="0.2">
      <c r="D5351" s="84"/>
    </row>
    <row r="5352" spans="4:4" x14ac:dyDescent="0.2">
      <c r="D5352" s="84"/>
    </row>
    <row r="5353" spans="4:4" x14ac:dyDescent="0.2">
      <c r="D5353" s="84"/>
    </row>
    <row r="5354" spans="4:4" x14ac:dyDescent="0.2">
      <c r="D5354" s="84"/>
    </row>
    <row r="5355" spans="4:4" x14ac:dyDescent="0.2">
      <c r="D5355" s="84"/>
    </row>
    <row r="5356" spans="4:4" x14ac:dyDescent="0.2">
      <c r="D5356" s="84"/>
    </row>
    <row r="5357" spans="4:4" x14ac:dyDescent="0.2">
      <c r="D5357" s="84"/>
    </row>
    <row r="5358" spans="4:4" x14ac:dyDescent="0.2">
      <c r="D5358" s="84"/>
    </row>
    <row r="5359" spans="4:4" x14ac:dyDescent="0.2">
      <c r="D5359" s="84"/>
    </row>
    <row r="5360" spans="4:4" x14ac:dyDescent="0.2">
      <c r="D5360" s="84"/>
    </row>
    <row r="5361" spans="4:4" x14ac:dyDescent="0.2">
      <c r="D5361" s="84"/>
    </row>
    <row r="5362" spans="4:4" x14ac:dyDescent="0.2">
      <c r="D5362" s="84"/>
    </row>
    <row r="5363" spans="4:4" x14ac:dyDescent="0.2">
      <c r="D5363" s="84"/>
    </row>
    <row r="5364" spans="4:4" x14ac:dyDescent="0.2">
      <c r="D5364" s="84"/>
    </row>
    <row r="5365" spans="4:4" x14ac:dyDescent="0.2">
      <c r="D5365" s="84"/>
    </row>
    <row r="5366" spans="4:4" x14ac:dyDescent="0.2">
      <c r="D5366" s="84"/>
    </row>
    <row r="5367" spans="4:4" x14ac:dyDescent="0.2">
      <c r="D5367" s="84"/>
    </row>
    <row r="5368" spans="4:4" x14ac:dyDescent="0.2">
      <c r="D5368" s="84"/>
    </row>
    <row r="5369" spans="4:4" x14ac:dyDescent="0.2">
      <c r="D5369" s="84"/>
    </row>
    <row r="5370" spans="4:4" x14ac:dyDescent="0.2">
      <c r="D5370" s="84"/>
    </row>
    <row r="5371" spans="4:4" x14ac:dyDescent="0.2">
      <c r="D5371" s="84"/>
    </row>
    <row r="5372" spans="4:4" x14ac:dyDescent="0.2">
      <c r="D5372" s="84"/>
    </row>
    <row r="5373" spans="4:4" x14ac:dyDescent="0.2">
      <c r="D5373" s="84"/>
    </row>
    <row r="5374" spans="4:4" x14ac:dyDescent="0.2">
      <c r="D5374" s="84"/>
    </row>
    <row r="5375" spans="4:4" x14ac:dyDescent="0.2">
      <c r="D5375" s="84"/>
    </row>
    <row r="5376" spans="4:4" x14ac:dyDescent="0.2">
      <c r="D5376" s="84"/>
    </row>
    <row r="5377" spans="4:4" x14ac:dyDescent="0.2">
      <c r="D5377" s="84"/>
    </row>
    <row r="5378" spans="4:4" x14ac:dyDescent="0.2">
      <c r="D5378" s="84"/>
    </row>
    <row r="5379" spans="4:4" x14ac:dyDescent="0.2">
      <c r="D5379" s="84"/>
    </row>
    <row r="5380" spans="4:4" x14ac:dyDescent="0.2">
      <c r="D5380" s="84"/>
    </row>
    <row r="5381" spans="4:4" x14ac:dyDescent="0.2">
      <c r="D5381" s="84"/>
    </row>
    <row r="5382" spans="4:4" x14ac:dyDescent="0.2">
      <c r="D5382" s="84"/>
    </row>
    <row r="5383" spans="4:4" x14ac:dyDescent="0.2">
      <c r="D5383" s="84"/>
    </row>
    <row r="5384" spans="4:4" x14ac:dyDescent="0.2">
      <c r="D5384" s="84"/>
    </row>
    <row r="5385" spans="4:4" x14ac:dyDescent="0.2">
      <c r="D5385" s="84"/>
    </row>
    <row r="5386" spans="4:4" x14ac:dyDescent="0.2">
      <c r="D5386" s="84"/>
    </row>
    <row r="5387" spans="4:4" x14ac:dyDescent="0.2">
      <c r="D5387" s="84"/>
    </row>
    <row r="5388" spans="4:4" x14ac:dyDescent="0.2">
      <c r="D5388" s="84"/>
    </row>
    <row r="5389" spans="4:4" x14ac:dyDescent="0.2">
      <c r="D5389" s="84"/>
    </row>
    <row r="5390" spans="4:4" x14ac:dyDescent="0.2">
      <c r="D5390" s="84"/>
    </row>
    <row r="5391" spans="4:4" x14ac:dyDescent="0.2">
      <c r="D5391" s="84"/>
    </row>
    <row r="5392" spans="4:4" x14ac:dyDescent="0.2">
      <c r="D5392" s="84"/>
    </row>
    <row r="5393" spans="4:4" x14ac:dyDescent="0.2">
      <c r="D5393" s="84"/>
    </row>
    <row r="5394" spans="4:4" x14ac:dyDescent="0.2">
      <c r="D5394" s="84"/>
    </row>
    <row r="5395" spans="4:4" x14ac:dyDescent="0.2">
      <c r="D5395" s="84"/>
    </row>
    <row r="5396" spans="4:4" x14ac:dyDescent="0.2">
      <c r="D5396" s="84"/>
    </row>
    <row r="5397" spans="4:4" x14ac:dyDescent="0.2">
      <c r="D5397" s="84"/>
    </row>
    <row r="5398" spans="4:4" x14ac:dyDescent="0.2">
      <c r="D5398" s="84"/>
    </row>
    <row r="5399" spans="4:4" x14ac:dyDescent="0.2">
      <c r="D5399" s="84"/>
    </row>
    <row r="5400" spans="4:4" x14ac:dyDescent="0.2">
      <c r="D5400" s="84"/>
    </row>
    <row r="5401" spans="4:4" x14ac:dyDescent="0.2">
      <c r="D5401" s="84"/>
    </row>
    <row r="5402" spans="4:4" x14ac:dyDescent="0.2">
      <c r="D5402" s="84"/>
    </row>
    <row r="5403" spans="4:4" x14ac:dyDescent="0.2">
      <c r="D5403" s="84"/>
    </row>
    <row r="5404" spans="4:4" x14ac:dyDescent="0.2">
      <c r="D5404" s="84"/>
    </row>
    <row r="5405" spans="4:4" x14ac:dyDescent="0.2">
      <c r="D5405" s="84"/>
    </row>
    <row r="5406" spans="4:4" x14ac:dyDescent="0.2">
      <c r="D5406" s="84"/>
    </row>
    <row r="5407" spans="4:4" x14ac:dyDescent="0.2">
      <c r="D5407" s="84"/>
    </row>
    <row r="5408" spans="4:4" x14ac:dyDescent="0.2">
      <c r="D5408" s="84"/>
    </row>
    <row r="5409" spans="4:4" x14ac:dyDescent="0.2">
      <c r="D5409" s="84"/>
    </row>
    <row r="5410" spans="4:4" x14ac:dyDescent="0.2">
      <c r="D5410" s="84"/>
    </row>
    <row r="5411" spans="4:4" x14ac:dyDescent="0.2">
      <c r="D5411" s="84"/>
    </row>
    <row r="5412" spans="4:4" x14ac:dyDescent="0.2">
      <c r="D5412" s="84"/>
    </row>
    <row r="5413" spans="4:4" x14ac:dyDescent="0.2">
      <c r="D5413" s="84"/>
    </row>
    <row r="5414" spans="4:4" x14ac:dyDescent="0.2">
      <c r="D5414" s="84"/>
    </row>
    <row r="5415" spans="4:4" x14ac:dyDescent="0.2">
      <c r="D5415" s="84"/>
    </row>
    <row r="5416" spans="4:4" x14ac:dyDescent="0.2">
      <c r="D5416" s="84"/>
    </row>
    <row r="5417" spans="4:4" x14ac:dyDescent="0.2">
      <c r="D5417" s="84"/>
    </row>
    <row r="5418" spans="4:4" x14ac:dyDescent="0.2">
      <c r="D5418" s="84"/>
    </row>
    <row r="5419" spans="4:4" x14ac:dyDescent="0.2">
      <c r="D5419" s="84"/>
    </row>
    <row r="5420" spans="4:4" x14ac:dyDescent="0.2">
      <c r="D5420" s="84"/>
    </row>
    <row r="5421" spans="4:4" x14ac:dyDescent="0.2">
      <c r="D5421" s="84"/>
    </row>
    <row r="5422" spans="4:4" x14ac:dyDescent="0.2">
      <c r="D5422" s="84"/>
    </row>
    <row r="5423" spans="4:4" x14ac:dyDescent="0.2">
      <c r="D5423" s="84"/>
    </row>
    <row r="5424" spans="4:4" x14ac:dyDescent="0.2">
      <c r="D5424" s="84"/>
    </row>
    <row r="5425" spans="4:4" x14ac:dyDescent="0.2">
      <c r="D5425" s="84"/>
    </row>
    <row r="5426" spans="4:4" x14ac:dyDescent="0.2">
      <c r="D5426" s="84"/>
    </row>
    <row r="5427" spans="4:4" x14ac:dyDescent="0.2">
      <c r="D5427" s="84"/>
    </row>
    <row r="5428" spans="4:4" x14ac:dyDescent="0.2">
      <c r="D5428" s="84"/>
    </row>
    <row r="5429" spans="4:4" x14ac:dyDescent="0.2">
      <c r="D5429" s="84"/>
    </row>
    <row r="5430" spans="4:4" x14ac:dyDescent="0.2">
      <c r="D5430" s="84"/>
    </row>
    <row r="5431" spans="4:4" x14ac:dyDescent="0.2">
      <c r="D5431" s="84"/>
    </row>
    <row r="5432" spans="4:4" x14ac:dyDescent="0.2">
      <c r="D5432" s="84"/>
    </row>
    <row r="5433" spans="4:4" x14ac:dyDescent="0.2">
      <c r="D5433" s="84"/>
    </row>
    <row r="5434" spans="4:4" x14ac:dyDescent="0.2">
      <c r="D5434" s="84"/>
    </row>
    <row r="5435" spans="4:4" x14ac:dyDescent="0.2">
      <c r="D5435" s="84"/>
    </row>
    <row r="5436" spans="4:4" x14ac:dyDescent="0.2">
      <c r="D5436" s="84"/>
    </row>
    <row r="5437" spans="4:4" x14ac:dyDescent="0.2">
      <c r="D5437" s="84"/>
    </row>
    <row r="5438" spans="4:4" x14ac:dyDescent="0.2">
      <c r="D5438" s="84"/>
    </row>
    <row r="5439" spans="4:4" x14ac:dyDescent="0.2">
      <c r="D5439" s="84"/>
    </row>
    <row r="5440" spans="4:4" x14ac:dyDescent="0.2">
      <c r="D5440" s="84"/>
    </row>
    <row r="5441" spans="4:4" x14ac:dyDescent="0.2">
      <c r="D5441" s="84"/>
    </row>
    <row r="5442" spans="4:4" x14ac:dyDescent="0.2">
      <c r="D5442" s="84"/>
    </row>
    <row r="5443" spans="4:4" x14ac:dyDescent="0.2">
      <c r="D5443" s="84"/>
    </row>
    <row r="5444" spans="4:4" x14ac:dyDescent="0.2">
      <c r="D5444" s="84"/>
    </row>
    <row r="5445" spans="4:4" x14ac:dyDescent="0.2">
      <c r="D5445" s="84"/>
    </row>
    <row r="5446" spans="4:4" x14ac:dyDescent="0.2">
      <c r="D5446" s="84"/>
    </row>
    <row r="5447" spans="4:4" x14ac:dyDescent="0.2">
      <c r="D5447" s="84"/>
    </row>
    <row r="5448" spans="4:4" x14ac:dyDescent="0.2">
      <c r="D5448" s="84"/>
    </row>
    <row r="5449" spans="4:4" x14ac:dyDescent="0.2">
      <c r="D5449" s="84"/>
    </row>
    <row r="5450" spans="4:4" x14ac:dyDescent="0.2">
      <c r="D5450" s="84"/>
    </row>
    <row r="5451" spans="4:4" x14ac:dyDescent="0.2">
      <c r="D5451" s="84"/>
    </row>
    <row r="5452" spans="4:4" x14ac:dyDescent="0.2">
      <c r="D5452" s="84"/>
    </row>
    <row r="5453" spans="4:4" x14ac:dyDescent="0.2">
      <c r="D5453" s="84"/>
    </row>
    <row r="5454" spans="4:4" x14ac:dyDescent="0.2">
      <c r="D5454" s="84"/>
    </row>
    <row r="5455" spans="4:4" x14ac:dyDescent="0.2">
      <c r="D5455" s="84"/>
    </row>
    <row r="5456" spans="4:4" x14ac:dyDescent="0.2">
      <c r="D5456" s="84"/>
    </row>
    <row r="5457" spans="4:4" x14ac:dyDescent="0.2">
      <c r="D5457" s="84"/>
    </row>
    <row r="5458" spans="4:4" x14ac:dyDescent="0.2">
      <c r="D5458" s="84"/>
    </row>
    <row r="5459" spans="4:4" x14ac:dyDescent="0.2">
      <c r="D5459" s="84"/>
    </row>
    <row r="5460" spans="4:4" x14ac:dyDescent="0.2">
      <c r="D5460" s="84"/>
    </row>
    <row r="5461" spans="4:4" x14ac:dyDescent="0.2">
      <c r="D5461" s="84"/>
    </row>
    <row r="5462" spans="4:4" x14ac:dyDescent="0.2">
      <c r="D5462" s="84"/>
    </row>
    <row r="5463" spans="4:4" x14ac:dyDescent="0.2">
      <c r="D5463" s="84"/>
    </row>
    <row r="5464" spans="4:4" x14ac:dyDescent="0.2">
      <c r="D5464" s="84"/>
    </row>
    <row r="5465" spans="4:4" x14ac:dyDescent="0.2">
      <c r="D5465" s="84"/>
    </row>
    <row r="5466" spans="4:4" x14ac:dyDescent="0.2">
      <c r="D5466" s="84"/>
    </row>
    <row r="5467" spans="4:4" x14ac:dyDescent="0.2">
      <c r="D5467" s="84"/>
    </row>
    <row r="5468" spans="4:4" x14ac:dyDescent="0.2">
      <c r="D5468" s="84"/>
    </row>
    <row r="5469" spans="4:4" x14ac:dyDescent="0.2">
      <c r="D5469" s="84"/>
    </row>
    <row r="5470" spans="4:4" x14ac:dyDescent="0.2">
      <c r="D5470" s="84"/>
    </row>
    <row r="5471" spans="4:4" x14ac:dyDescent="0.2">
      <c r="D5471" s="84"/>
    </row>
    <row r="5472" spans="4:4" x14ac:dyDescent="0.2">
      <c r="D5472" s="84"/>
    </row>
    <row r="5473" spans="4:4" x14ac:dyDescent="0.2">
      <c r="D5473" s="84"/>
    </row>
    <row r="5474" spans="4:4" x14ac:dyDescent="0.2">
      <c r="D5474" s="84"/>
    </row>
    <row r="5475" spans="4:4" x14ac:dyDescent="0.2">
      <c r="D5475" s="84"/>
    </row>
    <row r="5476" spans="4:4" x14ac:dyDescent="0.2">
      <c r="D5476" s="84"/>
    </row>
    <row r="5477" spans="4:4" x14ac:dyDescent="0.2">
      <c r="D5477" s="84"/>
    </row>
    <row r="5478" spans="4:4" x14ac:dyDescent="0.2">
      <c r="D5478" s="84"/>
    </row>
    <row r="5479" spans="4:4" x14ac:dyDescent="0.2">
      <c r="D5479" s="84"/>
    </row>
    <row r="5480" spans="4:4" x14ac:dyDescent="0.2">
      <c r="D5480" s="84"/>
    </row>
    <row r="5481" spans="4:4" x14ac:dyDescent="0.2">
      <c r="D5481" s="84"/>
    </row>
    <row r="5482" spans="4:4" x14ac:dyDescent="0.2">
      <c r="D5482" s="84"/>
    </row>
    <row r="5483" spans="4:4" x14ac:dyDescent="0.2">
      <c r="D5483" s="84"/>
    </row>
    <row r="5484" spans="4:4" x14ac:dyDescent="0.2">
      <c r="D5484" s="84"/>
    </row>
    <row r="5485" spans="4:4" x14ac:dyDescent="0.2">
      <c r="D5485" s="84"/>
    </row>
    <row r="5486" spans="4:4" x14ac:dyDescent="0.2">
      <c r="D5486" s="84"/>
    </row>
    <row r="5487" spans="4:4" x14ac:dyDescent="0.2">
      <c r="D5487" s="84"/>
    </row>
    <row r="5488" spans="4:4" x14ac:dyDescent="0.2">
      <c r="D5488" s="84"/>
    </row>
    <row r="5489" spans="4:4" x14ac:dyDescent="0.2">
      <c r="D5489" s="84"/>
    </row>
    <row r="5490" spans="4:4" x14ac:dyDescent="0.2">
      <c r="D5490" s="84"/>
    </row>
    <row r="5491" spans="4:4" x14ac:dyDescent="0.2">
      <c r="D5491" s="84"/>
    </row>
    <row r="5492" spans="4:4" x14ac:dyDescent="0.2">
      <c r="D5492" s="84"/>
    </row>
    <row r="5493" spans="4:4" x14ac:dyDescent="0.2">
      <c r="D5493" s="84"/>
    </row>
    <row r="5494" spans="4:4" x14ac:dyDescent="0.2">
      <c r="D5494" s="84"/>
    </row>
    <row r="5495" spans="4:4" x14ac:dyDescent="0.2">
      <c r="D5495" s="84"/>
    </row>
    <row r="5496" spans="4:4" x14ac:dyDescent="0.2">
      <c r="D5496" s="84"/>
    </row>
    <row r="5497" spans="4:4" x14ac:dyDescent="0.2">
      <c r="D5497" s="84"/>
    </row>
    <row r="5498" spans="4:4" x14ac:dyDescent="0.2">
      <c r="D5498" s="84"/>
    </row>
    <row r="5499" spans="4:4" x14ac:dyDescent="0.2">
      <c r="D5499" s="84"/>
    </row>
    <row r="5500" spans="4:4" x14ac:dyDescent="0.2">
      <c r="D5500" s="84"/>
    </row>
    <row r="5501" spans="4:4" x14ac:dyDescent="0.2">
      <c r="D5501" s="84"/>
    </row>
    <row r="5502" spans="4:4" x14ac:dyDescent="0.2">
      <c r="D5502" s="84"/>
    </row>
    <row r="5503" spans="4:4" x14ac:dyDescent="0.2">
      <c r="D5503" s="84"/>
    </row>
    <row r="5504" spans="4:4" x14ac:dyDescent="0.2">
      <c r="D5504" s="84"/>
    </row>
    <row r="5505" spans="4:4" x14ac:dyDescent="0.2">
      <c r="D5505" s="84"/>
    </row>
    <row r="5506" spans="4:4" x14ac:dyDescent="0.2">
      <c r="D5506" s="84"/>
    </row>
    <row r="5507" spans="4:4" x14ac:dyDescent="0.2">
      <c r="D5507" s="84"/>
    </row>
    <row r="5508" spans="4:4" x14ac:dyDescent="0.2">
      <c r="D5508" s="84"/>
    </row>
    <row r="5509" spans="4:4" x14ac:dyDescent="0.2">
      <c r="D5509" s="84"/>
    </row>
    <row r="5510" spans="4:4" x14ac:dyDescent="0.2">
      <c r="D5510" s="84"/>
    </row>
    <row r="5511" spans="4:4" x14ac:dyDescent="0.2">
      <c r="D5511" s="84"/>
    </row>
    <row r="5512" spans="4:4" x14ac:dyDescent="0.2">
      <c r="D5512" s="84"/>
    </row>
    <row r="5513" spans="4:4" x14ac:dyDescent="0.2">
      <c r="D5513" s="84"/>
    </row>
    <row r="5514" spans="4:4" x14ac:dyDescent="0.2">
      <c r="D5514" s="84"/>
    </row>
    <row r="5515" spans="4:4" x14ac:dyDescent="0.2">
      <c r="D5515" s="84"/>
    </row>
    <row r="5516" spans="4:4" x14ac:dyDescent="0.2">
      <c r="D5516" s="84"/>
    </row>
    <row r="5517" spans="4:4" x14ac:dyDescent="0.2">
      <c r="D5517" s="84"/>
    </row>
    <row r="5518" spans="4:4" x14ac:dyDescent="0.2">
      <c r="D5518" s="84"/>
    </row>
    <row r="5519" spans="4:4" x14ac:dyDescent="0.2">
      <c r="D5519" s="84"/>
    </row>
    <row r="5520" spans="4:4" x14ac:dyDescent="0.2">
      <c r="D5520" s="84"/>
    </row>
    <row r="5521" spans="4:4" x14ac:dyDescent="0.2">
      <c r="D5521" s="84"/>
    </row>
    <row r="5522" spans="4:4" x14ac:dyDescent="0.2">
      <c r="D5522" s="84"/>
    </row>
    <row r="5523" spans="4:4" x14ac:dyDescent="0.2">
      <c r="D5523" s="84"/>
    </row>
    <row r="5524" spans="4:4" x14ac:dyDescent="0.2">
      <c r="D5524" s="84"/>
    </row>
    <row r="5525" spans="4:4" x14ac:dyDescent="0.2">
      <c r="D5525" s="84"/>
    </row>
    <row r="5526" spans="4:4" x14ac:dyDescent="0.2">
      <c r="D5526" s="84"/>
    </row>
    <row r="5527" spans="4:4" x14ac:dyDescent="0.2">
      <c r="D5527" s="84"/>
    </row>
    <row r="5528" spans="4:4" x14ac:dyDescent="0.2">
      <c r="D5528" s="84"/>
    </row>
    <row r="5529" spans="4:4" x14ac:dyDescent="0.2">
      <c r="D5529" s="84"/>
    </row>
    <row r="5530" spans="4:4" x14ac:dyDescent="0.2">
      <c r="D5530" s="84"/>
    </row>
    <row r="5531" spans="4:4" x14ac:dyDescent="0.2">
      <c r="D5531" s="84"/>
    </row>
    <row r="5532" spans="4:4" x14ac:dyDescent="0.2">
      <c r="D5532" s="84"/>
    </row>
    <row r="5533" spans="4:4" x14ac:dyDescent="0.2">
      <c r="D5533" s="84"/>
    </row>
    <row r="5534" spans="4:4" x14ac:dyDescent="0.2">
      <c r="D5534" s="84"/>
    </row>
    <row r="5535" spans="4:4" x14ac:dyDescent="0.2">
      <c r="D5535" s="84"/>
    </row>
    <row r="5536" spans="4:4" x14ac:dyDescent="0.2">
      <c r="D5536" s="84"/>
    </row>
    <row r="5537" spans="4:4" x14ac:dyDescent="0.2">
      <c r="D5537" s="84"/>
    </row>
    <row r="5538" spans="4:4" x14ac:dyDescent="0.2">
      <c r="D5538" s="84"/>
    </row>
    <row r="5539" spans="4:4" x14ac:dyDescent="0.2">
      <c r="D5539" s="84"/>
    </row>
    <row r="5540" spans="4:4" x14ac:dyDescent="0.2">
      <c r="D5540" s="84"/>
    </row>
    <row r="5541" spans="4:4" x14ac:dyDescent="0.2">
      <c r="D5541" s="84"/>
    </row>
    <row r="5542" spans="4:4" x14ac:dyDescent="0.2">
      <c r="D5542" s="84"/>
    </row>
    <row r="5543" spans="4:4" x14ac:dyDescent="0.2">
      <c r="D5543" s="84"/>
    </row>
    <row r="5544" spans="4:4" x14ac:dyDescent="0.2">
      <c r="D5544" s="84"/>
    </row>
    <row r="5545" spans="4:4" x14ac:dyDescent="0.2">
      <c r="D5545" s="84"/>
    </row>
    <row r="5546" spans="4:4" x14ac:dyDescent="0.2">
      <c r="D5546" s="84"/>
    </row>
    <row r="5547" spans="4:4" x14ac:dyDescent="0.2">
      <c r="D5547" s="84"/>
    </row>
    <row r="5548" spans="4:4" x14ac:dyDescent="0.2">
      <c r="D5548" s="84"/>
    </row>
    <row r="5549" spans="4:4" x14ac:dyDescent="0.2">
      <c r="D5549" s="84"/>
    </row>
    <row r="5550" spans="4:4" x14ac:dyDescent="0.2">
      <c r="D5550" s="84"/>
    </row>
    <row r="5551" spans="4:4" x14ac:dyDescent="0.2">
      <c r="D5551" s="84"/>
    </row>
    <row r="5552" spans="4:4" x14ac:dyDescent="0.2">
      <c r="D5552" s="84"/>
    </row>
    <row r="5553" spans="4:4" x14ac:dyDescent="0.2">
      <c r="D5553" s="84"/>
    </row>
    <row r="5554" spans="4:4" x14ac:dyDescent="0.2">
      <c r="D5554" s="84"/>
    </row>
    <row r="5555" spans="4:4" x14ac:dyDescent="0.2">
      <c r="D5555" s="84"/>
    </row>
    <row r="5556" spans="4:4" x14ac:dyDescent="0.2">
      <c r="D5556" s="84"/>
    </row>
    <row r="5557" spans="4:4" x14ac:dyDescent="0.2">
      <c r="D5557" s="84"/>
    </row>
    <row r="5558" spans="4:4" x14ac:dyDescent="0.2">
      <c r="D5558" s="84"/>
    </row>
    <row r="5559" spans="4:4" x14ac:dyDescent="0.2">
      <c r="D5559" s="84"/>
    </row>
    <row r="5560" spans="4:4" x14ac:dyDescent="0.2">
      <c r="D5560" s="84"/>
    </row>
    <row r="5561" spans="4:4" x14ac:dyDescent="0.2">
      <c r="D5561" s="84"/>
    </row>
    <row r="5562" spans="4:4" x14ac:dyDescent="0.2">
      <c r="D5562" s="84"/>
    </row>
    <row r="5563" spans="4:4" x14ac:dyDescent="0.2">
      <c r="D5563" s="84"/>
    </row>
    <row r="5564" spans="4:4" x14ac:dyDescent="0.2">
      <c r="D5564" s="84"/>
    </row>
    <row r="5565" spans="4:4" x14ac:dyDescent="0.2">
      <c r="D5565" s="84"/>
    </row>
    <row r="5566" spans="4:4" x14ac:dyDescent="0.2">
      <c r="D5566" s="84"/>
    </row>
    <row r="5567" spans="4:4" x14ac:dyDescent="0.2">
      <c r="D5567" s="84"/>
    </row>
    <row r="5568" spans="4:4" x14ac:dyDescent="0.2">
      <c r="D5568" s="84"/>
    </row>
    <row r="5569" spans="4:4" x14ac:dyDescent="0.2">
      <c r="D5569" s="84"/>
    </row>
    <row r="5570" spans="4:4" x14ac:dyDescent="0.2">
      <c r="D5570" s="84"/>
    </row>
    <row r="5571" spans="4:4" x14ac:dyDescent="0.2">
      <c r="D5571" s="84"/>
    </row>
    <row r="5572" spans="4:4" x14ac:dyDescent="0.2">
      <c r="D5572" s="84"/>
    </row>
    <row r="5573" spans="4:4" x14ac:dyDescent="0.2">
      <c r="D5573" s="84"/>
    </row>
    <row r="5574" spans="4:4" x14ac:dyDescent="0.2">
      <c r="D5574" s="84"/>
    </row>
    <row r="5575" spans="4:4" x14ac:dyDescent="0.2">
      <c r="D5575" s="84"/>
    </row>
    <row r="5576" spans="4:4" x14ac:dyDescent="0.2">
      <c r="D5576" s="84"/>
    </row>
    <row r="5577" spans="4:4" x14ac:dyDescent="0.2">
      <c r="D5577" s="84"/>
    </row>
    <row r="5578" spans="4:4" x14ac:dyDescent="0.2">
      <c r="D5578" s="84"/>
    </row>
    <row r="5579" spans="4:4" x14ac:dyDescent="0.2">
      <c r="D5579" s="84"/>
    </row>
    <row r="5580" spans="4:4" x14ac:dyDescent="0.2">
      <c r="D5580" s="84"/>
    </row>
    <row r="5581" spans="4:4" x14ac:dyDescent="0.2">
      <c r="D5581" s="84"/>
    </row>
    <row r="5582" spans="4:4" x14ac:dyDescent="0.2">
      <c r="D5582" s="84"/>
    </row>
    <row r="5583" spans="4:4" x14ac:dyDescent="0.2">
      <c r="D5583" s="84"/>
    </row>
    <row r="5584" spans="4:4" x14ac:dyDescent="0.2">
      <c r="D5584" s="84"/>
    </row>
    <row r="5585" spans="4:4" x14ac:dyDescent="0.2">
      <c r="D5585" s="84"/>
    </row>
    <row r="5586" spans="4:4" x14ac:dyDescent="0.2">
      <c r="D5586" s="84"/>
    </row>
    <row r="5587" spans="4:4" x14ac:dyDescent="0.2">
      <c r="D5587" s="84"/>
    </row>
    <row r="5588" spans="4:4" x14ac:dyDescent="0.2">
      <c r="D5588" s="84"/>
    </row>
    <row r="5589" spans="4:4" x14ac:dyDescent="0.2">
      <c r="D5589" s="84"/>
    </row>
    <row r="5590" spans="4:4" x14ac:dyDescent="0.2">
      <c r="D5590" s="84"/>
    </row>
    <row r="5591" spans="4:4" x14ac:dyDescent="0.2">
      <c r="D5591" s="84"/>
    </row>
    <row r="5592" spans="4:4" x14ac:dyDescent="0.2">
      <c r="D5592" s="84"/>
    </row>
    <row r="5593" spans="4:4" x14ac:dyDescent="0.2">
      <c r="D5593" s="84"/>
    </row>
    <row r="5594" spans="4:4" x14ac:dyDescent="0.2">
      <c r="D5594" s="84"/>
    </row>
    <row r="5595" spans="4:4" x14ac:dyDescent="0.2">
      <c r="D5595" s="84"/>
    </row>
    <row r="5596" spans="4:4" x14ac:dyDescent="0.2">
      <c r="D5596" s="84"/>
    </row>
    <row r="5597" spans="4:4" x14ac:dyDescent="0.2">
      <c r="D5597" s="84"/>
    </row>
    <row r="5598" spans="4:4" x14ac:dyDescent="0.2">
      <c r="D5598" s="84"/>
    </row>
    <row r="5599" spans="4:4" x14ac:dyDescent="0.2">
      <c r="D5599" s="84"/>
    </row>
    <row r="5600" spans="4:4" x14ac:dyDescent="0.2">
      <c r="D5600" s="84"/>
    </row>
    <row r="5601" spans="4:4" x14ac:dyDescent="0.2">
      <c r="D5601" s="84"/>
    </row>
    <row r="5602" spans="4:4" x14ac:dyDescent="0.2">
      <c r="D5602" s="84"/>
    </row>
    <row r="5603" spans="4:4" x14ac:dyDescent="0.2">
      <c r="D5603" s="84"/>
    </row>
    <row r="5604" spans="4:4" x14ac:dyDescent="0.2">
      <c r="D5604" s="84"/>
    </row>
    <row r="5605" spans="4:4" x14ac:dyDescent="0.2">
      <c r="D5605" s="84"/>
    </row>
    <row r="5606" spans="4:4" x14ac:dyDescent="0.2">
      <c r="D5606" s="84"/>
    </row>
    <row r="5607" spans="4:4" x14ac:dyDescent="0.2">
      <c r="D5607" s="84"/>
    </row>
    <row r="5608" spans="4:4" x14ac:dyDescent="0.2">
      <c r="D5608" s="84"/>
    </row>
    <row r="5609" spans="4:4" x14ac:dyDescent="0.2">
      <c r="D5609" s="84"/>
    </row>
    <row r="5610" spans="4:4" x14ac:dyDescent="0.2">
      <c r="D5610" s="84"/>
    </row>
    <row r="5611" spans="4:4" x14ac:dyDescent="0.2">
      <c r="D5611" s="84"/>
    </row>
    <row r="5612" spans="4:4" x14ac:dyDescent="0.2">
      <c r="D5612" s="84"/>
    </row>
    <row r="5613" spans="4:4" x14ac:dyDescent="0.2">
      <c r="D5613" s="84"/>
    </row>
    <row r="5614" spans="4:4" x14ac:dyDescent="0.2">
      <c r="D5614" s="84"/>
    </row>
    <row r="5615" spans="4:4" x14ac:dyDescent="0.2">
      <c r="D5615" s="84"/>
    </row>
    <row r="5616" spans="4:4" x14ac:dyDescent="0.2">
      <c r="D5616" s="84"/>
    </row>
    <row r="5617" spans="4:4" x14ac:dyDescent="0.2">
      <c r="D5617" s="84"/>
    </row>
    <row r="5618" spans="4:4" x14ac:dyDescent="0.2">
      <c r="D5618" s="84"/>
    </row>
    <row r="5619" spans="4:4" x14ac:dyDescent="0.2">
      <c r="D5619" s="84"/>
    </row>
    <row r="5620" spans="4:4" x14ac:dyDescent="0.2">
      <c r="D5620" s="84"/>
    </row>
    <row r="5621" spans="4:4" x14ac:dyDescent="0.2">
      <c r="D5621" s="84"/>
    </row>
    <row r="5622" spans="4:4" x14ac:dyDescent="0.2">
      <c r="D5622" s="84"/>
    </row>
    <row r="5623" spans="4:4" x14ac:dyDescent="0.2">
      <c r="D5623" s="84"/>
    </row>
    <row r="5624" spans="4:4" x14ac:dyDescent="0.2">
      <c r="D5624" s="84"/>
    </row>
    <row r="5625" spans="4:4" x14ac:dyDescent="0.2">
      <c r="D5625" s="84"/>
    </row>
    <row r="5626" spans="4:4" x14ac:dyDescent="0.2">
      <c r="D5626" s="84"/>
    </row>
    <row r="5627" spans="4:4" x14ac:dyDescent="0.2">
      <c r="D5627" s="84"/>
    </row>
    <row r="5628" spans="4:4" x14ac:dyDescent="0.2">
      <c r="D5628" s="84"/>
    </row>
    <row r="5629" spans="4:4" x14ac:dyDescent="0.2">
      <c r="D5629" s="84"/>
    </row>
    <row r="5630" spans="4:4" x14ac:dyDescent="0.2">
      <c r="D5630" s="84"/>
    </row>
    <row r="5631" spans="4:4" x14ac:dyDescent="0.2">
      <c r="D5631" s="84"/>
    </row>
    <row r="5632" spans="4:4" x14ac:dyDescent="0.2">
      <c r="D5632" s="84"/>
    </row>
    <row r="5633" spans="4:4" x14ac:dyDescent="0.2">
      <c r="D5633" s="84"/>
    </row>
    <row r="5634" spans="4:4" x14ac:dyDescent="0.2">
      <c r="D5634" s="84"/>
    </row>
    <row r="5635" spans="4:4" x14ac:dyDescent="0.2">
      <c r="D5635" s="84"/>
    </row>
    <row r="5636" spans="4:4" x14ac:dyDescent="0.2">
      <c r="D5636" s="84"/>
    </row>
    <row r="5637" spans="4:4" x14ac:dyDescent="0.2">
      <c r="D5637" s="84"/>
    </row>
    <row r="5638" spans="4:4" x14ac:dyDescent="0.2">
      <c r="D5638" s="84"/>
    </row>
    <row r="5639" spans="4:4" x14ac:dyDescent="0.2">
      <c r="D5639" s="84"/>
    </row>
    <row r="5640" spans="4:4" x14ac:dyDescent="0.2">
      <c r="D5640" s="84"/>
    </row>
    <row r="5641" spans="4:4" x14ac:dyDescent="0.2">
      <c r="D5641" s="84"/>
    </row>
    <row r="5642" spans="4:4" x14ac:dyDescent="0.2">
      <c r="D5642" s="84"/>
    </row>
    <row r="5643" spans="4:4" x14ac:dyDescent="0.2">
      <c r="D5643" s="84"/>
    </row>
    <row r="5644" spans="4:4" x14ac:dyDescent="0.2">
      <c r="D5644" s="84"/>
    </row>
    <row r="5645" spans="4:4" x14ac:dyDescent="0.2">
      <c r="D5645" s="84"/>
    </row>
    <row r="5646" spans="4:4" x14ac:dyDescent="0.2">
      <c r="D5646" s="84"/>
    </row>
    <row r="5647" spans="4:4" x14ac:dyDescent="0.2">
      <c r="D5647" s="84"/>
    </row>
    <row r="5648" spans="4:4" x14ac:dyDescent="0.2">
      <c r="D5648" s="84"/>
    </row>
    <row r="5649" spans="4:4" x14ac:dyDescent="0.2">
      <c r="D5649" s="84"/>
    </row>
    <row r="5650" spans="4:4" x14ac:dyDescent="0.2">
      <c r="D5650" s="84"/>
    </row>
    <row r="5651" spans="4:4" x14ac:dyDescent="0.2">
      <c r="D5651" s="84"/>
    </row>
    <row r="5652" spans="4:4" x14ac:dyDescent="0.2">
      <c r="D5652" s="84"/>
    </row>
    <row r="5653" spans="4:4" x14ac:dyDescent="0.2">
      <c r="D5653" s="84"/>
    </row>
    <row r="5654" spans="4:4" x14ac:dyDescent="0.2">
      <c r="D5654" s="84"/>
    </row>
    <row r="5655" spans="4:4" x14ac:dyDescent="0.2">
      <c r="D5655" s="84"/>
    </row>
    <row r="5656" spans="4:4" x14ac:dyDescent="0.2">
      <c r="D5656" s="84"/>
    </row>
    <row r="5657" spans="4:4" x14ac:dyDescent="0.2">
      <c r="D5657" s="84"/>
    </row>
    <row r="5658" spans="4:4" x14ac:dyDescent="0.2">
      <c r="D5658" s="84"/>
    </row>
    <row r="5659" spans="4:4" x14ac:dyDescent="0.2">
      <c r="D5659" s="84"/>
    </row>
    <row r="5660" spans="4:4" x14ac:dyDescent="0.2">
      <c r="D5660" s="84"/>
    </row>
    <row r="5661" spans="4:4" x14ac:dyDescent="0.2">
      <c r="D5661" s="84"/>
    </row>
    <row r="5662" spans="4:4" x14ac:dyDescent="0.2">
      <c r="D5662" s="84"/>
    </row>
    <row r="5663" spans="4:4" x14ac:dyDescent="0.2">
      <c r="D5663" s="84"/>
    </row>
    <row r="5664" spans="4:4" x14ac:dyDescent="0.2">
      <c r="D5664" s="84"/>
    </row>
    <row r="5665" spans="4:4" x14ac:dyDescent="0.2">
      <c r="D5665" s="84"/>
    </row>
    <row r="5666" spans="4:4" x14ac:dyDescent="0.2">
      <c r="D5666" s="84"/>
    </row>
    <row r="5667" spans="4:4" x14ac:dyDescent="0.2">
      <c r="D5667" s="84"/>
    </row>
    <row r="5668" spans="4:4" x14ac:dyDescent="0.2">
      <c r="D5668" s="84"/>
    </row>
    <row r="5669" spans="4:4" x14ac:dyDescent="0.2">
      <c r="D5669" s="84"/>
    </row>
    <row r="5670" spans="4:4" x14ac:dyDescent="0.2">
      <c r="D5670" s="84"/>
    </row>
    <row r="5671" spans="4:4" x14ac:dyDescent="0.2">
      <c r="D5671" s="84"/>
    </row>
    <row r="5672" spans="4:4" x14ac:dyDescent="0.2">
      <c r="D5672" s="84"/>
    </row>
    <row r="5673" spans="4:4" x14ac:dyDescent="0.2">
      <c r="D5673" s="84"/>
    </row>
    <row r="5674" spans="4:4" x14ac:dyDescent="0.2">
      <c r="D5674" s="84"/>
    </row>
    <row r="5675" spans="4:4" x14ac:dyDescent="0.2">
      <c r="D5675" s="84"/>
    </row>
    <row r="5676" spans="4:4" x14ac:dyDescent="0.2">
      <c r="D5676" s="84"/>
    </row>
    <row r="5677" spans="4:4" x14ac:dyDescent="0.2">
      <c r="D5677" s="84"/>
    </row>
    <row r="5678" spans="4:4" x14ac:dyDescent="0.2">
      <c r="D5678" s="84"/>
    </row>
    <row r="5679" spans="4:4" x14ac:dyDescent="0.2">
      <c r="D5679" s="84"/>
    </row>
    <row r="5680" spans="4:4" x14ac:dyDescent="0.2">
      <c r="D5680" s="84"/>
    </row>
    <row r="5681" spans="4:4" x14ac:dyDescent="0.2">
      <c r="D5681" s="84"/>
    </row>
    <row r="5682" spans="4:4" x14ac:dyDescent="0.2">
      <c r="D5682" s="84"/>
    </row>
    <row r="5683" spans="4:4" x14ac:dyDescent="0.2">
      <c r="D5683" s="84"/>
    </row>
    <row r="5684" spans="4:4" x14ac:dyDescent="0.2">
      <c r="D5684" s="84"/>
    </row>
    <row r="5685" spans="4:4" x14ac:dyDescent="0.2">
      <c r="D5685" s="84"/>
    </row>
    <row r="5686" spans="4:4" x14ac:dyDescent="0.2">
      <c r="D5686" s="84"/>
    </row>
    <row r="5687" spans="4:4" x14ac:dyDescent="0.2">
      <c r="D5687" s="84"/>
    </row>
    <row r="5688" spans="4:4" x14ac:dyDescent="0.2">
      <c r="D5688" s="84"/>
    </row>
    <row r="5689" spans="4:4" x14ac:dyDescent="0.2">
      <c r="D5689" s="84"/>
    </row>
    <row r="5690" spans="4:4" x14ac:dyDescent="0.2">
      <c r="D5690" s="84"/>
    </row>
    <row r="5691" spans="4:4" x14ac:dyDescent="0.2">
      <c r="D5691" s="84"/>
    </row>
    <row r="5692" spans="4:4" x14ac:dyDescent="0.2">
      <c r="D5692" s="84"/>
    </row>
    <row r="5693" spans="4:4" x14ac:dyDescent="0.2">
      <c r="D5693" s="84"/>
    </row>
    <row r="5694" spans="4:4" x14ac:dyDescent="0.2">
      <c r="D5694" s="84"/>
    </row>
    <row r="5695" spans="4:4" x14ac:dyDescent="0.2">
      <c r="D5695" s="84"/>
    </row>
    <row r="5696" spans="4:4" x14ac:dyDescent="0.2">
      <c r="D5696" s="84"/>
    </row>
    <row r="5697" spans="4:4" x14ac:dyDescent="0.2">
      <c r="D5697" s="84"/>
    </row>
    <row r="5698" spans="4:4" x14ac:dyDescent="0.2">
      <c r="D5698" s="84"/>
    </row>
    <row r="5699" spans="4:4" x14ac:dyDescent="0.2">
      <c r="D5699" s="84"/>
    </row>
    <row r="5700" spans="4:4" x14ac:dyDescent="0.2">
      <c r="D5700" s="84"/>
    </row>
    <row r="5701" spans="4:4" x14ac:dyDescent="0.2">
      <c r="D5701" s="84"/>
    </row>
    <row r="5702" spans="4:4" x14ac:dyDescent="0.2">
      <c r="D5702" s="84"/>
    </row>
    <row r="5703" spans="4:4" x14ac:dyDescent="0.2">
      <c r="D5703" s="84"/>
    </row>
    <row r="5704" spans="4:4" x14ac:dyDescent="0.2">
      <c r="D5704" s="84"/>
    </row>
    <row r="5705" spans="4:4" x14ac:dyDescent="0.2">
      <c r="D5705" s="84"/>
    </row>
    <row r="5706" spans="4:4" x14ac:dyDescent="0.2">
      <c r="D5706" s="84"/>
    </row>
    <row r="5707" spans="4:4" x14ac:dyDescent="0.2">
      <c r="D5707" s="84"/>
    </row>
    <row r="5708" spans="4:4" x14ac:dyDescent="0.2">
      <c r="D5708" s="84"/>
    </row>
    <row r="5709" spans="4:4" x14ac:dyDescent="0.2">
      <c r="D5709" s="84"/>
    </row>
    <row r="5710" spans="4:4" x14ac:dyDescent="0.2">
      <c r="D5710" s="84"/>
    </row>
    <row r="5711" spans="4:4" x14ac:dyDescent="0.2">
      <c r="D5711" s="84"/>
    </row>
    <row r="5712" spans="4:4" x14ac:dyDescent="0.2">
      <c r="D5712" s="84"/>
    </row>
    <row r="5713" spans="4:4" x14ac:dyDescent="0.2">
      <c r="D5713" s="84"/>
    </row>
    <row r="5714" spans="4:4" x14ac:dyDescent="0.2">
      <c r="D5714" s="84"/>
    </row>
    <row r="5715" spans="4:4" x14ac:dyDescent="0.2">
      <c r="D5715" s="84"/>
    </row>
    <row r="5716" spans="4:4" x14ac:dyDescent="0.2">
      <c r="D5716" s="84"/>
    </row>
    <row r="5717" spans="4:4" x14ac:dyDescent="0.2">
      <c r="D5717" s="84"/>
    </row>
    <row r="5718" spans="4:4" x14ac:dyDescent="0.2">
      <c r="D5718" s="84"/>
    </row>
    <row r="5719" spans="4:4" x14ac:dyDescent="0.2">
      <c r="D5719" s="84"/>
    </row>
    <row r="5720" spans="4:4" x14ac:dyDescent="0.2">
      <c r="D5720" s="84"/>
    </row>
    <row r="5721" spans="4:4" x14ac:dyDescent="0.2">
      <c r="D5721" s="84"/>
    </row>
    <row r="5722" spans="4:4" x14ac:dyDescent="0.2">
      <c r="D5722" s="84"/>
    </row>
    <row r="5723" spans="4:4" x14ac:dyDescent="0.2">
      <c r="D5723" s="84"/>
    </row>
    <row r="5724" spans="4:4" x14ac:dyDescent="0.2">
      <c r="D5724" s="84"/>
    </row>
    <row r="5725" spans="4:4" x14ac:dyDescent="0.2">
      <c r="D5725" s="84"/>
    </row>
    <row r="5726" spans="4:4" x14ac:dyDescent="0.2">
      <c r="D5726" s="84"/>
    </row>
    <row r="5727" spans="4:4" x14ac:dyDescent="0.2">
      <c r="D5727" s="84"/>
    </row>
    <row r="5728" spans="4:4" x14ac:dyDescent="0.2">
      <c r="D5728" s="84"/>
    </row>
    <row r="5729" spans="4:4" x14ac:dyDescent="0.2">
      <c r="D5729" s="84"/>
    </row>
    <row r="5730" spans="4:4" x14ac:dyDescent="0.2">
      <c r="D5730" s="84"/>
    </row>
    <row r="5731" spans="4:4" x14ac:dyDescent="0.2">
      <c r="D5731" s="84"/>
    </row>
    <row r="5732" spans="4:4" x14ac:dyDescent="0.2">
      <c r="D5732" s="84"/>
    </row>
    <row r="5733" spans="4:4" x14ac:dyDescent="0.2">
      <c r="D5733" s="84"/>
    </row>
    <row r="5734" spans="4:4" x14ac:dyDescent="0.2">
      <c r="D5734" s="84"/>
    </row>
    <row r="5735" spans="4:4" x14ac:dyDescent="0.2">
      <c r="D5735" s="84"/>
    </row>
    <row r="5736" spans="4:4" x14ac:dyDescent="0.2">
      <c r="D5736" s="84"/>
    </row>
    <row r="5737" spans="4:4" x14ac:dyDescent="0.2">
      <c r="D5737" s="84"/>
    </row>
    <row r="5738" spans="4:4" x14ac:dyDescent="0.2">
      <c r="D5738" s="84"/>
    </row>
    <row r="5739" spans="4:4" x14ac:dyDescent="0.2">
      <c r="D5739" s="84"/>
    </row>
    <row r="5740" spans="4:4" x14ac:dyDescent="0.2">
      <c r="D5740" s="84"/>
    </row>
    <row r="5741" spans="4:4" x14ac:dyDescent="0.2">
      <c r="D5741" s="84"/>
    </row>
    <row r="5742" spans="4:4" x14ac:dyDescent="0.2">
      <c r="D5742" s="84"/>
    </row>
    <row r="5743" spans="4:4" x14ac:dyDescent="0.2">
      <c r="D5743" s="84"/>
    </row>
    <row r="5744" spans="4:4" x14ac:dyDescent="0.2">
      <c r="D5744" s="84"/>
    </row>
    <row r="5745" spans="4:4" x14ac:dyDescent="0.2">
      <c r="D5745" s="84"/>
    </row>
    <row r="5746" spans="4:4" x14ac:dyDescent="0.2">
      <c r="D5746" s="84"/>
    </row>
    <row r="5747" spans="4:4" x14ac:dyDescent="0.2">
      <c r="D5747" s="84"/>
    </row>
    <row r="5748" spans="4:4" x14ac:dyDescent="0.2">
      <c r="D5748" s="84"/>
    </row>
    <row r="5749" spans="4:4" x14ac:dyDescent="0.2">
      <c r="D5749" s="84"/>
    </row>
    <row r="5750" spans="4:4" x14ac:dyDescent="0.2">
      <c r="D5750" s="84"/>
    </row>
    <row r="5751" spans="4:4" x14ac:dyDescent="0.2">
      <c r="D5751" s="84"/>
    </row>
    <row r="5752" spans="4:4" x14ac:dyDescent="0.2">
      <c r="D5752" s="84"/>
    </row>
    <row r="5753" spans="4:4" x14ac:dyDescent="0.2">
      <c r="D5753" s="84"/>
    </row>
    <row r="5754" spans="4:4" x14ac:dyDescent="0.2">
      <c r="D5754" s="84"/>
    </row>
    <row r="5755" spans="4:4" x14ac:dyDescent="0.2">
      <c r="D5755" s="84"/>
    </row>
    <row r="5756" spans="4:4" x14ac:dyDescent="0.2">
      <c r="D5756" s="84"/>
    </row>
    <row r="5757" spans="4:4" x14ac:dyDescent="0.2">
      <c r="D5757" s="84"/>
    </row>
    <row r="5758" spans="4:4" x14ac:dyDescent="0.2">
      <c r="D5758" s="84"/>
    </row>
    <row r="5759" spans="4:4" x14ac:dyDescent="0.2">
      <c r="D5759" s="84"/>
    </row>
    <row r="5760" spans="4:4" x14ac:dyDescent="0.2">
      <c r="D5760" s="84"/>
    </row>
    <row r="5761" spans="4:4" x14ac:dyDescent="0.2">
      <c r="D5761" s="84"/>
    </row>
    <row r="5762" spans="4:4" x14ac:dyDescent="0.2">
      <c r="D5762" s="84"/>
    </row>
    <row r="5763" spans="4:4" x14ac:dyDescent="0.2">
      <c r="D5763" s="84"/>
    </row>
    <row r="5764" spans="4:4" x14ac:dyDescent="0.2">
      <c r="D5764" s="84"/>
    </row>
    <row r="5765" spans="4:4" x14ac:dyDescent="0.2">
      <c r="D5765" s="84"/>
    </row>
    <row r="5766" spans="4:4" x14ac:dyDescent="0.2">
      <c r="D5766" s="84"/>
    </row>
    <row r="5767" spans="4:4" x14ac:dyDescent="0.2">
      <c r="D5767" s="84"/>
    </row>
    <row r="5768" spans="4:4" x14ac:dyDescent="0.2">
      <c r="D5768" s="84"/>
    </row>
    <row r="5769" spans="4:4" x14ac:dyDescent="0.2">
      <c r="D5769" s="84"/>
    </row>
    <row r="5770" spans="4:4" x14ac:dyDescent="0.2">
      <c r="D5770" s="84"/>
    </row>
    <row r="5771" spans="4:4" x14ac:dyDescent="0.2">
      <c r="D5771" s="84"/>
    </row>
    <row r="5772" spans="4:4" x14ac:dyDescent="0.2">
      <c r="D5772" s="84"/>
    </row>
    <row r="5773" spans="4:4" x14ac:dyDescent="0.2">
      <c r="D5773" s="84"/>
    </row>
    <row r="5774" spans="4:4" x14ac:dyDescent="0.2">
      <c r="D5774" s="84"/>
    </row>
    <row r="5775" spans="4:4" x14ac:dyDescent="0.2">
      <c r="D5775" s="84"/>
    </row>
    <row r="5776" spans="4:4" x14ac:dyDescent="0.2">
      <c r="D5776" s="84"/>
    </row>
    <row r="5777" spans="4:4" x14ac:dyDescent="0.2">
      <c r="D5777" s="84"/>
    </row>
    <row r="5778" spans="4:4" x14ac:dyDescent="0.2">
      <c r="D5778" s="84"/>
    </row>
    <row r="5779" spans="4:4" x14ac:dyDescent="0.2">
      <c r="D5779" s="84"/>
    </row>
    <row r="5780" spans="4:4" x14ac:dyDescent="0.2">
      <c r="D5780" s="84"/>
    </row>
    <row r="5781" spans="4:4" x14ac:dyDescent="0.2">
      <c r="D5781" s="84"/>
    </row>
    <row r="5782" spans="4:4" x14ac:dyDescent="0.2">
      <c r="D5782" s="84"/>
    </row>
    <row r="5783" spans="4:4" x14ac:dyDescent="0.2">
      <c r="D5783" s="84"/>
    </row>
    <row r="5784" spans="4:4" x14ac:dyDescent="0.2">
      <c r="D5784" s="84"/>
    </row>
    <row r="5785" spans="4:4" x14ac:dyDescent="0.2">
      <c r="D5785" s="84"/>
    </row>
    <row r="5786" spans="4:4" x14ac:dyDescent="0.2">
      <c r="D5786" s="84"/>
    </row>
    <row r="5787" spans="4:4" x14ac:dyDescent="0.2">
      <c r="D5787" s="84"/>
    </row>
    <row r="5788" spans="4:4" x14ac:dyDescent="0.2">
      <c r="D5788" s="84"/>
    </row>
    <row r="5789" spans="4:4" x14ac:dyDescent="0.2">
      <c r="D5789" s="84"/>
    </row>
    <row r="5790" spans="4:4" x14ac:dyDescent="0.2">
      <c r="D5790" s="84"/>
    </row>
    <row r="5791" spans="4:4" x14ac:dyDescent="0.2">
      <c r="D5791" s="84"/>
    </row>
    <row r="5792" spans="4:4" x14ac:dyDescent="0.2">
      <c r="D5792" s="84"/>
    </row>
    <row r="5793" spans="4:4" x14ac:dyDescent="0.2">
      <c r="D5793" s="84"/>
    </row>
    <row r="5794" spans="4:4" x14ac:dyDescent="0.2">
      <c r="D5794" s="84"/>
    </row>
    <row r="5795" spans="4:4" x14ac:dyDescent="0.2">
      <c r="D5795" s="84"/>
    </row>
    <row r="5796" spans="4:4" x14ac:dyDescent="0.2">
      <c r="D5796" s="84"/>
    </row>
    <row r="5797" spans="4:4" x14ac:dyDescent="0.2">
      <c r="D5797" s="84"/>
    </row>
    <row r="5798" spans="4:4" x14ac:dyDescent="0.2">
      <c r="D5798" s="84"/>
    </row>
    <row r="5799" spans="4:4" x14ac:dyDescent="0.2">
      <c r="D5799" s="84"/>
    </row>
    <row r="5800" spans="4:4" x14ac:dyDescent="0.2">
      <c r="D5800" s="84"/>
    </row>
    <row r="5801" spans="4:4" x14ac:dyDescent="0.2">
      <c r="D5801" s="84"/>
    </row>
    <row r="5802" spans="4:4" x14ac:dyDescent="0.2">
      <c r="D5802" s="84"/>
    </row>
    <row r="5803" spans="4:4" x14ac:dyDescent="0.2">
      <c r="D5803" s="84"/>
    </row>
    <row r="5804" spans="4:4" x14ac:dyDescent="0.2">
      <c r="D5804" s="84"/>
    </row>
    <row r="5805" spans="4:4" x14ac:dyDescent="0.2">
      <c r="D5805" s="84"/>
    </row>
    <row r="5806" spans="4:4" x14ac:dyDescent="0.2">
      <c r="D5806" s="84"/>
    </row>
    <row r="5807" spans="4:4" x14ac:dyDescent="0.2">
      <c r="D5807" s="84"/>
    </row>
    <row r="5808" spans="4:4" x14ac:dyDescent="0.2">
      <c r="D5808" s="84"/>
    </row>
    <row r="5809" spans="4:4" x14ac:dyDescent="0.2">
      <c r="D5809" s="84"/>
    </row>
    <row r="5810" spans="4:4" x14ac:dyDescent="0.2">
      <c r="D5810" s="84"/>
    </row>
    <row r="5811" spans="4:4" x14ac:dyDescent="0.2">
      <c r="D5811" s="84"/>
    </row>
    <row r="5812" spans="4:4" x14ac:dyDescent="0.2">
      <c r="D5812" s="84"/>
    </row>
    <row r="5813" spans="4:4" x14ac:dyDescent="0.2">
      <c r="D5813" s="84"/>
    </row>
    <row r="5814" spans="4:4" x14ac:dyDescent="0.2">
      <c r="D5814" s="84"/>
    </row>
    <row r="5815" spans="4:4" x14ac:dyDescent="0.2">
      <c r="D5815" s="84"/>
    </row>
    <row r="5816" spans="4:4" x14ac:dyDescent="0.2">
      <c r="D5816" s="84"/>
    </row>
    <row r="5817" spans="4:4" x14ac:dyDescent="0.2">
      <c r="D5817" s="84"/>
    </row>
    <row r="5818" spans="4:4" x14ac:dyDescent="0.2">
      <c r="D5818" s="84"/>
    </row>
    <row r="5819" spans="4:4" x14ac:dyDescent="0.2">
      <c r="D5819" s="84"/>
    </row>
    <row r="5820" spans="4:4" x14ac:dyDescent="0.2">
      <c r="D5820" s="84"/>
    </row>
    <row r="5821" spans="4:4" x14ac:dyDescent="0.2">
      <c r="D5821" s="84"/>
    </row>
    <row r="5822" spans="4:4" x14ac:dyDescent="0.2">
      <c r="D5822" s="84"/>
    </row>
    <row r="5823" spans="4:4" x14ac:dyDescent="0.2">
      <c r="D5823" s="84"/>
    </row>
    <row r="5824" spans="4:4" x14ac:dyDescent="0.2">
      <c r="D5824" s="84"/>
    </row>
    <row r="5825" spans="4:4" x14ac:dyDescent="0.2">
      <c r="D5825" s="84"/>
    </row>
    <row r="5826" spans="4:4" x14ac:dyDescent="0.2">
      <c r="D5826" s="84"/>
    </row>
    <row r="5827" spans="4:4" x14ac:dyDescent="0.2">
      <c r="D5827" s="84"/>
    </row>
    <row r="5828" spans="4:4" x14ac:dyDescent="0.2">
      <c r="D5828" s="84"/>
    </row>
    <row r="5829" spans="4:4" x14ac:dyDescent="0.2">
      <c r="D5829" s="84"/>
    </row>
    <row r="5830" spans="4:4" x14ac:dyDescent="0.2">
      <c r="D5830" s="84"/>
    </row>
    <row r="5831" spans="4:4" x14ac:dyDescent="0.2">
      <c r="D5831" s="84"/>
    </row>
    <row r="5832" spans="4:4" x14ac:dyDescent="0.2">
      <c r="D5832" s="84"/>
    </row>
    <row r="5833" spans="4:4" x14ac:dyDescent="0.2">
      <c r="D5833" s="84"/>
    </row>
    <row r="5834" spans="4:4" x14ac:dyDescent="0.2">
      <c r="D5834" s="84"/>
    </row>
    <row r="5835" spans="4:4" x14ac:dyDescent="0.2">
      <c r="D5835" s="84"/>
    </row>
    <row r="5836" spans="4:4" x14ac:dyDescent="0.2">
      <c r="D5836" s="84"/>
    </row>
    <row r="5837" spans="4:4" x14ac:dyDescent="0.2">
      <c r="D5837" s="84"/>
    </row>
    <row r="5838" spans="4:4" x14ac:dyDescent="0.2">
      <c r="D5838" s="84"/>
    </row>
    <row r="5839" spans="4:4" x14ac:dyDescent="0.2">
      <c r="D5839" s="84"/>
    </row>
    <row r="5840" spans="4:4" x14ac:dyDescent="0.2">
      <c r="D5840" s="84"/>
    </row>
    <row r="5841" spans="4:4" x14ac:dyDescent="0.2">
      <c r="D5841" s="84"/>
    </row>
    <row r="5842" spans="4:4" x14ac:dyDescent="0.2">
      <c r="D5842" s="84"/>
    </row>
    <row r="5843" spans="4:4" x14ac:dyDescent="0.2">
      <c r="D5843" s="84"/>
    </row>
    <row r="5844" spans="4:4" x14ac:dyDescent="0.2">
      <c r="D5844" s="84"/>
    </row>
    <row r="5845" spans="4:4" x14ac:dyDescent="0.2">
      <c r="D5845" s="84"/>
    </row>
    <row r="5846" spans="4:4" x14ac:dyDescent="0.2">
      <c r="D5846" s="84"/>
    </row>
    <row r="5847" spans="4:4" x14ac:dyDescent="0.2">
      <c r="D5847" s="84"/>
    </row>
    <row r="5848" spans="4:4" x14ac:dyDescent="0.2">
      <c r="D5848" s="84"/>
    </row>
    <row r="5849" spans="4:4" x14ac:dyDescent="0.2">
      <c r="D5849" s="84"/>
    </row>
    <row r="5850" spans="4:4" x14ac:dyDescent="0.2">
      <c r="D5850" s="84"/>
    </row>
    <row r="5851" spans="4:4" x14ac:dyDescent="0.2">
      <c r="D5851" s="84"/>
    </row>
    <row r="5852" spans="4:4" x14ac:dyDescent="0.2">
      <c r="D5852" s="84"/>
    </row>
    <row r="5853" spans="4:4" x14ac:dyDescent="0.2">
      <c r="D5853" s="84"/>
    </row>
    <row r="5854" spans="4:4" x14ac:dyDescent="0.2">
      <c r="D5854" s="84"/>
    </row>
    <row r="5855" spans="4:4" x14ac:dyDescent="0.2">
      <c r="D5855" s="84"/>
    </row>
    <row r="5856" spans="4:4" x14ac:dyDescent="0.2">
      <c r="D5856" s="84"/>
    </row>
    <row r="5857" spans="4:4" x14ac:dyDescent="0.2">
      <c r="D5857" s="84"/>
    </row>
    <row r="5858" spans="4:4" x14ac:dyDescent="0.2">
      <c r="D5858" s="84"/>
    </row>
    <row r="5859" spans="4:4" x14ac:dyDescent="0.2">
      <c r="D5859" s="84"/>
    </row>
    <row r="5860" spans="4:4" x14ac:dyDescent="0.2">
      <c r="D5860" s="84"/>
    </row>
    <row r="5861" spans="4:4" x14ac:dyDescent="0.2">
      <c r="D5861" s="84"/>
    </row>
    <row r="5862" spans="4:4" x14ac:dyDescent="0.2">
      <c r="D5862" s="84"/>
    </row>
    <row r="5863" spans="4:4" x14ac:dyDescent="0.2">
      <c r="D5863" s="84"/>
    </row>
    <row r="5864" spans="4:4" x14ac:dyDescent="0.2">
      <c r="D5864" s="84"/>
    </row>
    <row r="5865" spans="4:4" x14ac:dyDescent="0.2">
      <c r="D5865" s="84"/>
    </row>
    <row r="5866" spans="4:4" x14ac:dyDescent="0.2">
      <c r="D5866" s="84"/>
    </row>
    <row r="5867" spans="4:4" x14ac:dyDescent="0.2">
      <c r="D5867" s="84"/>
    </row>
    <row r="5868" spans="4:4" x14ac:dyDescent="0.2">
      <c r="D5868" s="84"/>
    </row>
    <row r="5869" spans="4:4" x14ac:dyDescent="0.2">
      <c r="D5869" s="84"/>
    </row>
    <row r="5870" spans="4:4" x14ac:dyDescent="0.2">
      <c r="D5870" s="84"/>
    </row>
    <row r="5871" spans="4:4" x14ac:dyDescent="0.2">
      <c r="D5871" s="84"/>
    </row>
    <row r="5872" spans="4:4" x14ac:dyDescent="0.2">
      <c r="D5872" s="84"/>
    </row>
    <row r="5873" spans="4:4" x14ac:dyDescent="0.2">
      <c r="D5873" s="84"/>
    </row>
    <row r="5874" spans="4:4" x14ac:dyDescent="0.2">
      <c r="D5874" s="84"/>
    </row>
    <row r="5875" spans="4:4" x14ac:dyDescent="0.2">
      <c r="D5875" s="84"/>
    </row>
    <row r="5876" spans="4:4" x14ac:dyDescent="0.2">
      <c r="D5876" s="84"/>
    </row>
    <row r="5877" spans="4:4" x14ac:dyDescent="0.2">
      <c r="D5877" s="84"/>
    </row>
    <row r="5878" spans="4:4" x14ac:dyDescent="0.2">
      <c r="D5878" s="84"/>
    </row>
    <row r="5879" spans="4:4" x14ac:dyDescent="0.2">
      <c r="D5879" s="84"/>
    </row>
    <row r="5880" spans="4:4" x14ac:dyDescent="0.2">
      <c r="D5880" s="84"/>
    </row>
    <row r="5881" spans="4:4" x14ac:dyDescent="0.2">
      <c r="D5881" s="84"/>
    </row>
    <row r="5882" spans="4:4" x14ac:dyDescent="0.2">
      <c r="D5882" s="84"/>
    </row>
    <row r="5883" spans="4:4" x14ac:dyDescent="0.2">
      <c r="D5883" s="84"/>
    </row>
    <row r="5884" spans="4:4" x14ac:dyDescent="0.2">
      <c r="D5884" s="84"/>
    </row>
    <row r="5885" spans="4:4" x14ac:dyDescent="0.2">
      <c r="D5885" s="84"/>
    </row>
    <row r="5886" spans="4:4" x14ac:dyDescent="0.2">
      <c r="D5886" s="84"/>
    </row>
    <row r="5887" spans="4:4" x14ac:dyDescent="0.2">
      <c r="D5887" s="84"/>
    </row>
    <row r="5888" spans="4:4" x14ac:dyDescent="0.2">
      <c r="D5888" s="84"/>
    </row>
    <row r="5889" spans="4:4" x14ac:dyDescent="0.2">
      <c r="D5889" s="84"/>
    </row>
    <row r="5890" spans="4:4" x14ac:dyDescent="0.2">
      <c r="D5890" s="84"/>
    </row>
    <row r="5891" spans="4:4" x14ac:dyDescent="0.2">
      <c r="D5891" s="84"/>
    </row>
    <row r="5892" spans="4:4" x14ac:dyDescent="0.2">
      <c r="D5892" s="84"/>
    </row>
    <row r="5893" spans="4:4" x14ac:dyDescent="0.2">
      <c r="D5893" s="84"/>
    </row>
    <row r="5894" spans="4:4" x14ac:dyDescent="0.2">
      <c r="D5894" s="84"/>
    </row>
    <row r="5895" spans="4:4" x14ac:dyDescent="0.2">
      <c r="D5895" s="84"/>
    </row>
    <row r="5896" spans="4:4" x14ac:dyDescent="0.2">
      <c r="D5896" s="84"/>
    </row>
    <row r="5897" spans="4:4" x14ac:dyDescent="0.2">
      <c r="D5897" s="84"/>
    </row>
    <row r="5898" spans="4:4" x14ac:dyDescent="0.2">
      <c r="D5898" s="84"/>
    </row>
    <row r="5899" spans="4:4" x14ac:dyDescent="0.2">
      <c r="D5899" s="84"/>
    </row>
    <row r="5900" spans="4:4" x14ac:dyDescent="0.2">
      <c r="D5900" s="84"/>
    </row>
    <row r="5901" spans="4:4" x14ac:dyDescent="0.2">
      <c r="D5901" s="84"/>
    </row>
    <row r="5902" spans="4:4" x14ac:dyDescent="0.2">
      <c r="D5902" s="84"/>
    </row>
    <row r="5903" spans="4:4" x14ac:dyDescent="0.2">
      <c r="D5903" s="84"/>
    </row>
    <row r="5904" spans="4:4" x14ac:dyDescent="0.2">
      <c r="D5904" s="84"/>
    </row>
    <row r="5905" spans="4:4" x14ac:dyDescent="0.2">
      <c r="D5905" s="84"/>
    </row>
    <row r="5906" spans="4:4" x14ac:dyDescent="0.2">
      <c r="D5906" s="84"/>
    </row>
    <row r="5907" spans="4:4" x14ac:dyDescent="0.2">
      <c r="D5907" s="84"/>
    </row>
    <row r="5908" spans="4:4" x14ac:dyDescent="0.2">
      <c r="D5908" s="84"/>
    </row>
    <row r="5909" spans="4:4" x14ac:dyDescent="0.2">
      <c r="D5909" s="84"/>
    </row>
    <row r="5910" spans="4:4" x14ac:dyDescent="0.2">
      <c r="D5910" s="84"/>
    </row>
    <row r="5911" spans="4:4" x14ac:dyDescent="0.2">
      <c r="D5911" s="84"/>
    </row>
    <row r="5912" spans="4:4" x14ac:dyDescent="0.2">
      <c r="D5912" s="84"/>
    </row>
    <row r="5913" spans="4:4" x14ac:dyDescent="0.2">
      <c r="D5913" s="84"/>
    </row>
    <row r="5914" spans="4:4" x14ac:dyDescent="0.2">
      <c r="D5914" s="84"/>
    </row>
    <row r="5915" spans="4:4" x14ac:dyDescent="0.2">
      <c r="D5915" s="84"/>
    </row>
    <row r="5916" spans="4:4" x14ac:dyDescent="0.2">
      <c r="D5916" s="84"/>
    </row>
    <row r="5917" spans="4:4" x14ac:dyDescent="0.2">
      <c r="D5917" s="84"/>
    </row>
    <row r="5918" spans="4:4" x14ac:dyDescent="0.2">
      <c r="D5918" s="84"/>
    </row>
    <row r="5919" spans="4:4" x14ac:dyDescent="0.2">
      <c r="D5919" s="84"/>
    </row>
    <row r="5920" spans="4:4" x14ac:dyDescent="0.2">
      <c r="D5920" s="84"/>
    </row>
    <row r="5921" spans="4:4" x14ac:dyDescent="0.2">
      <c r="D5921" s="84"/>
    </row>
    <row r="5922" spans="4:4" x14ac:dyDescent="0.2">
      <c r="D5922" s="84"/>
    </row>
    <row r="5923" spans="4:4" x14ac:dyDescent="0.2">
      <c r="D5923" s="84"/>
    </row>
    <row r="5924" spans="4:4" x14ac:dyDescent="0.2">
      <c r="D5924" s="84"/>
    </row>
    <row r="5925" spans="4:4" x14ac:dyDescent="0.2">
      <c r="D5925" s="84"/>
    </row>
    <row r="5926" spans="4:4" x14ac:dyDescent="0.2">
      <c r="D5926" s="84"/>
    </row>
    <row r="5927" spans="4:4" x14ac:dyDescent="0.2">
      <c r="D5927" s="84"/>
    </row>
    <row r="5928" spans="4:4" x14ac:dyDescent="0.2">
      <c r="D5928" s="84"/>
    </row>
    <row r="5929" spans="4:4" x14ac:dyDescent="0.2">
      <c r="D5929" s="84"/>
    </row>
    <row r="5930" spans="4:4" x14ac:dyDescent="0.2">
      <c r="D5930" s="84"/>
    </row>
    <row r="5931" spans="4:4" x14ac:dyDescent="0.2">
      <c r="D5931" s="84"/>
    </row>
    <row r="5932" spans="4:4" x14ac:dyDescent="0.2">
      <c r="D5932" s="84"/>
    </row>
    <row r="5933" spans="4:4" x14ac:dyDescent="0.2">
      <c r="D5933" s="84"/>
    </row>
    <row r="5934" spans="4:4" x14ac:dyDescent="0.2">
      <c r="D5934" s="84"/>
    </row>
    <row r="5935" spans="4:4" x14ac:dyDescent="0.2">
      <c r="D5935" s="84"/>
    </row>
    <row r="5936" spans="4:4" x14ac:dyDescent="0.2">
      <c r="D5936" s="84"/>
    </row>
    <row r="5937" spans="4:4" x14ac:dyDescent="0.2">
      <c r="D5937" s="84"/>
    </row>
    <row r="5938" spans="4:4" x14ac:dyDescent="0.2">
      <c r="D5938" s="84"/>
    </row>
    <row r="5939" spans="4:4" x14ac:dyDescent="0.2">
      <c r="D5939" s="84"/>
    </row>
    <row r="5940" spans="4:4" x14ac:dyDescent="0.2">
      <c r="D5940" s="84"/>
    </row>
    <row r="5941" spans="4:4" x14ac:dyDescent="0.2">
      <c r="D5941" s="84"/>
    </row>
    <row r="5942" spans="4:4" x14ac:dyDescent="0.2">
      <c r="D5942" s="84"/>
    </row>
    <row r="5943" spans="4:4" x14ac:dyDescent="0.2">
      <c r="D5943" s="84"/>
    </row>
    <row r="5944" spans="4:4" x14ac:dyDescent="0.2">
      <c r="D5944" s="84"/>
    </row>
    <row r="5945" spans="4:4" x14ac:dyDescent="0.2">
      <c r="D5945" s="84"/>
    </row>
    <row r="5946" spans="4:4" x14ac:dyDescent="0.2">
      <c r="D5946" s="84"/>
    </row>
    <row r="5947" spans="4:4" x14ac:dyDescent="0.2">
      <c r="D5947" s="84"/>
    </row>
    <row r="5948" spans="4:4" x14ac:dyDescent="0.2">
      <c r="D5948" s="84"/>
    </row>
    <row r="5949" spans="4:4" x14ac:dyDescent="0.2">
      <c r="D5949" s="84"/>
    </row>
    <row r="5950" spans="4:4" x14ac:dyDescent="0.2">
      <c r="D5950" s="84"/>
    </row>
    <row r="5951" spans="4:4" x14ac:dyDescent="0.2">
      <c r="D5951" s="84"/>
    </row>
    <row r="5952" spans="4:4" x14ac:dyDescent="0.2">
      <c r="D5952" s="84"/>
    </row>
    <row r="5953" spans="4:4" x14ac:dyDescent="0.2">
      <c r="D5953" s="84"/>
    </row>
    <row r="5954" spans="4:4" x14ac:dyDescent="0.2">
      <c r="D5954" s="84"/>
    </row>
    <row r="5955" spans="4:4" x14ac:dyDescent="0.2">
      <c r="D5955" s="84"/>
    </row>
    <row r="5956" spans="4:4" x14ac:dyDescent="0.2">
      <c r="D5956" s="84"/>
    </row>
    <row r="5957" spans="4:4" x14ac:dyDescent="0.2">
      <c r="D5957" s="84"/>
    </row>
    <row r="5958" spans="4:4" x14ac:dyDescent="0.2">
      <c r="D5958" s="84"/>
    </row>
    <row r="5959" spans="4:4" x14ac:dyDescent="0.2">
      <c r="D5959" s="84"/>
    </row>
    <row r="5960" spans="4:4" x14ac:dyDescent="0.2">
      <c r="D5960" s="84"/>
    </row>
    <row r="5961" spans="4:4" x14ac:dyDescent="0.2">
      <c r="D5961" s="84"/>
    </row>
    <row r="5962" spans="4:4" x14ac:dyDescent="0.2">
      <c r="D5962" s="84"/>
    </row>
    <row r="5963" spans="4:4" x14ac:dyDescent="0.2">
      <c r="D5963" s="84"/>
    </row>
    <row r="5964" spans="4:4" x14ac:dyDescent="0.2">
      <c r="D5964" s="84"/>
    </row>
    <row r="5965" spans="4:4" x14ac:dyDescent="0.2">
      <c r="D5965" s="84"/>
    </row>
    <row r="5966" spans="4:4" x14ac:dyDescent="0.2">
      <c r="D5966" s="84"/>
    </row>
    <row r="5967" spans="4:4" x14ac:dyDescent="0.2">
      <c r="D5967" s="84"/>
    </row>
    <row r="5968" spans="4:4" x14ac:dyDescent="0.2">
      <c r="D5968" s="84"/>
    </row>
    <row r="5969" spans="4:4" x14ac:dyDescent="0.2">
      <c r="D5969" s="84"/>
    </row>
    <row r="5970" spans="4:4" x14ac:dyDescent="0.2">
      <c r="D5970" s="84"/>
    </row>
    <row r="5971" spans="4:4" x14ac:dyDescent="0.2">
      <c r="D5971" s="84"/>
    </row>
    <row r="5972" spans="4:4" x14ac:dyDescent="0.2">
      <c r="D5972" s="84"/>
    </row>
    <row r="5973" spans="4:4" x14ac:dyDescent="0.2">
      <c r="D5973" s="84"/>
    </row>
    <row r="5974" spans="4:4" x14ac:dyDescent="0.2">
      <c r="D5974" s="84"/>
    </row>
    <row r="5975" spans="4:4" x14ac:dyDescent="0.2">
      <c r="D5975" s="84"/>
    </row>
    <row r="5976" spans="4:4" x14ac:dyDescent="0.2">
      <c r="D5976" s="84"/>
    </row>
    <row r="5977" spans="4:4" x14ac:dyDescent="0.2">
      <c r="D5977" s="84"/>
    </row>
    <row r="5978" spans="4:4" x14ac:dyDescent="0.2">
      <c r="D5978" s="84"/>
    </row>
    <row r="5979" spans="4:4" x14ac:dyDescent="0.2">
      <c r="D5979" s="84"/>
    </row>
    <row r="5980" spans="4:4" x14ac:dyDescent="0.2">
      <c r="D5980" s="84"/>
    </row>
    <row r="5981" spans="4:4" x14ac:dyDescent="0.2">
      <c r="D5981" s="84"/>
    </row>
    <row r="5982" spans="4:4" x14ac:dyDescent="0.2">
      <c r="D5982" s="84"/>
    </row>
    <row r="5983" spans="4:4" x14ac:dyDescent="0.2">
      <c r="D5983" s="84"/>
    </row>
    <row r="5984" spans="4:4" x14ac:dyDescent="0.2">
      <c r="D5984" s="84"/>
    </row>
    <row r="5985" spans="4:4" x14ac:dyDescent="0.2">
      <c r="D5985" s="84"/>
    </row>
    <row r="5986" spans="4:4" x14ac:dyDescent="0.2">
      <c r="D5986" s="84"/>
    </row>
    <row r="5987" spans="4:4" x14ac:dyDescent="0.2">
      <c r="D5987" s="84"/>
    </row>
    <row r="5988" spans="4:4" x14ac:dyDescent="0.2">
      <c r="D5988" s="84"/>
    </row>
    <row r="5989" spans="4:4" x14ac:dyDescent="0.2">
      <c r="D5989" s="84"/>
    </row>
    <row r="5990" spans="4:4" x14ac:dyDescent="0.2">
      <c r="D5990" s="84"/>
    </row>
    <row r="5991" spans="4:4" x14ac:dyDescent="0.2">
      <c r="D5991" s="84"/>
    </row>
    <row r="5992" spans="4:4" x14ac:dyDescent="0.2">
      <c r="D5992" s="84"/>
    </row>
    <row r="5993" spans="4:4" x14ac:dyDescent="0.2">
      <c r="D5993" s="84"/>
    </row>
    <row r="5994" spans="4:4" x14ac:dyDescent="0.2">
      <c r="D5994" s="84"/>
    </row>
    <row r="5995" spans="4:4" x14ac:dyDescent="0.2">
      <c r="D5995" s="84"/>
    </row>
    <row r="5996" spans="4:4" x14ac:dyDescent="0.2">
      <c r="D5996" s="84"/>
    </row>
    <row r="5997" spans="4:4" x14ac:dyDescent="0.2">
      <c r="D5997" s="84"/>
    </row>
    <row r="5998" spans="4:4" x14ac:dyDescent="0.2">
      <c r="D5998" s="84"/>
    </row>
    <row r="5999" spans="4:4" x14ac:dyDescent="0.2">
      <c r="D5999" s="84"/>
    </row>
    <row r="6000" spans="4:4" x14ac:dyDescent="0.2">
      <c r="D6000" s="84"/>
    </row>
    <row r="6001" spans="4:4" x14ac:dyDescent="0.2">
      <c r="D6001" s="84"/>
    </row>
    <row r="6002" spans="4:4" x14ac:dyDescent="0.2">
      <c r="D6002" s="84"/>
    </row>
    <row r="6003" spans="4:4" x14ac:dyDescent="0.2">
      <c r="D6003" s="84"/>
    </row>
    <row r="6004" spans="4:4" x14ac:dyDescent="0.2">
      <c r="D6004" s="84"/>
    </row>
    <row r="6005" spans="4:4" x14ac:dyDescent="0.2">
      <c r="D6005" s="84"/>
    </row>
    <row r="6006" spans="4:4" x14ac:dyDescent="0.2">
      <c r="D6006" s="84"/>
    </row>
    <row r="6007" spans="4:4" x14ac:dyDescent="0.2">
      <c r="D6007" s="84"/>
    </row>
    <row r="6008" spans="4:4" x14ac:dyDescent="0.2">
      <c r="D6008" s="84"/>
    </row>
    <row r="6009" spans="4:4" x14ac:dyDescent="0.2">
      <c r="D6009" s="84"/>
    </row>
    <row r="6010" spans="4:4" x14ac:dyDescent="0.2">
      <c r="D6010" s="84"/>
    </row>
    <row r="6011" spans="4:4" x14ac:dyDescent="0.2">
      <c r="D6011" s="84"/>
    </row>
    <row r="6012" spans="4:4" x14ac:dyDescent="0.2">
      <c r="D6012" s="84"/>
    </row>
    <row r="6013" spans="4:4" x14ac:dyDescent="0.2">
      <c r="D6013" s="84"/>
    </row>
    <row r="6014" spans="4:4" x14ac:dyDescent="0.2">
      <c r="D6014" s="84"/>
    </row>
    <row r="6015" spans="4:4" x14ac:dyDescent="0.2">
      <c r="D6015" s="84"/>
    </row>
    <row r="6016" spans="4:4" x14ac:dyDescent="0.2">
      <c r="D6016" s="84"/>
    </row>
    <row r="6017" spans="4:4" x14ac:dyDescent="0.2">
      <c r="D6017" s="84"/>
    </row>
    <row r="6018" spans="4:4" x14ac:dyDescent="0.2">
      <c r="D6018" s="84"/>
    </row>
    <row r="6019" spans="4:4" x14ac:dyDescent="0.2">
      <c r="D6019" s="84"/>
    </row>
    <row r="6020" spans="4:4" x14ac:dyDescent="0.2">
      <c r="D6020" s="84"/>
    </row>
    <row r="6021" spans="4:4" x14ac:dyDescent="0.2">
      <c r="D6021" s="84"/>
    </row>
    <row r="6022" spans="4:4" x14ac:dyDescent="0.2">
      <c r="D6022" s="84"/>
    </row>
    <row r="6023" spans="4:4" x14ac:dyDescent="0.2">
      <c r="D6023" s="84"/>
    </row>
    <row r="6024" spans="4:4" x14ac:dyDescent="0.2">
      <c r="D6024" s="84"/>
    </row>
    <row r="6025" spans="4:4" x14ac:dyDescent="0.2">
      <c r="D6025" s="84"/>
    </row>
    <row r="6026" spans="4:4" x14ac:dyDescent="0.2">
      <c r="D6026" s="84"/>
    </row>
    <row r="6027" spans="4:4" x14ac:dyDescent="0.2">
      <c r="D6027" s="84"/>
    </row>
    <row r="6028" spans="4:4" x14ac:dyDescent="0.2">
      <c r="D6028" s="84"/>
    </row>
    <row r="6029" spans="4:4" x14ac:dyDescent="0.2">
      <c r="D6029" s="84"/>
    </row>
    <row r="6030" spans="4:4" x14ac:dyDescent="0.2">
      <c r="D6030" s="84"/>
    </row>
    <row r="6031" spans="4:4" x14ac:dyDescent="0.2">
      <c r="D6031" s="84"/>
    </row>
    <row r="6032" spans="4:4" x14ac:dyDescent="0.2">
      <c r="D6032" s="84"/>
    </row>
    <row r="6033" spans="4:4" x14ac:dyDescent="0.2">
      <c r="D6033" s="84"/>
    </row>
    <row r="6034" spans="4:4" x14ac:dyDescent="0.2">
      <c r="D6034" s="84"/>
    </row>
    <row r="6035" spans="4:4" x14ac:dyDescent="0.2">
      <c r="D6035" s="84"/>
    </row>
    <row r="6036" spans="4:4" x14ac:dyDescent="0.2">
      <c r="D6036" s="84"/>
    </row>
    <row r="6037" spans="4:4" x14ac:dyDescent="0.2">
      <c r="D6037" s="84"/>
    </row>
    <row r="6038" spans="4:4" x14ac:dyDescent="0.2">
      <c r="D6038" s="84"/>
    </row>
    <row r="6039" spans="4:4" x14ac:dyDescent="0.2">
      <c r="D6039" s="84"/>
    </row>
    <row r="6040" spans="4:4" x14ac:dyDescent="0.2">
      <c r="D6040" s="84"/>
    </row>
    <row r="6041" spans="4:4" x14ac:dyDescent="0.2">
      <c r="D6041" s="84"/>
    </row>
    <row r="6042" spans="4:4" x14ac:dyDescent="0.2">
      <c r="D6042" s="84"/>
    </row>
    <row r="6043" spans="4:4" x14ac:dyDescent="0.2">
      <c r="D6043" s="84"/>
    </row>
    <row r="6044" spans="4:4" x14ac:dyDescent="0.2">
      <c r="D6044" s="84"/>
    </row>
    <row r="6045" spans="4:4" x14ac:dyDescent="0.2">
      <c r="D6045" s="84"/>
    </row>
    <row r="6046" spans="4:4" x14ac:dyDescent="0.2">
      <c r="D6046" s="84"/>
    </row>
    <row r="6047" spans="4:4" x14ac:dyDescent="0.2">
      <c r="D6047" s="84"/>
    </row>
    <row r="6048" spans="4:4" x14ac:dyDescent="0.2">
      <c r="D6048" s="84"/>
    </row>
    <row r="6049" spans="4:4" x14ac:dyDescent="0.2">
      <c r="D6049" s="84"/>
    </row>
    <row r="6050" spans="4:4" x14ac:dyDescent="0.2">
      <c r="D6050" s="84"/>
    </row>
    <row r="6051" spans="4:4" x14ac:dyDescent="0.2">
      <c r="D6051" s="84"/>
    </row>
    <row r="6052" spans="4:4" x14ac:dyDescent="0.2">
      <c r="D6052" s="84"/>
    </row>
    <row r="6053" spans="4:4" x14ac:dyDescent="0.2">
      <c r="D6053" s="84"/>
    </row>
    <row r="6054" spans="4:4" x14ac:dyDescent="0.2">
      <c r="D6054" s="84"/>
    </row>
    <row r="6055" spans="4:4" x14ac:dyDescent="0.2">
      <c r="D6055" s="84"/>
    </row>
    <row r="6056" spans="4:4" x14ac:dyDescent="0.2">
      <c r="D6056" s="84"/>
    </row>
    <row r="6057" spans="4:4" x14ac:dyDescent="0.2">
      <c r="D6057" s="84"/>
    </row>
    <row r="6058" spans="4:4" x14ac:dyDescent="0.2">
      <c r="D6058" s="84"/>
    </row>
    <row r="6059" spans="4:4" x14ac:dyDescent="0.2">
      <c r="D6059" s="84"/>
    </row>
    <row r="6060" spans="4:4" x14ac:dyDescent="0.2">
      <c r="D6060" s="84"/>
    </row>
    <row r="6061" spans="4:4" x14ac:dyDescent="0.2">
      <c r="D6061" s="84"/>
    </row>
    <row r="6062" spans="4:4" x14ac:dyDescent="0.2">
      <c r="D6062" s="84"/>
    </row>
    <row r="6063" spans="4:4" x14ac:dyDescent="0.2">
      <c r="D6063" s="84"/>
    </row>
    <row r="6064" spans="4:4" x14ac:dyDescent="0.2">
      <c r="D6064" s="84"/>
    </row>
    <row r="6065" spans="4:4" x14ac:dyDescent="0.2">
      <c r="D6065" s="84"/>
    </row>
    <row r="6066" spans="4:4" x14ac:dyDescent="0.2">
      <c r="D6066" s="84"/>
    </row>
    <row r="6067" spans="4:4" x14ac:dyDescent="0.2">
      <c r="D6067" s="84"/>
    </row>
    <row r="6068" spans="4:4" x14ac:dyDescent="0.2">
      <c r="D6068" s="84"/>
    </row>
    <row r="6069" spans="4:4" x14ac:dyDescent="0.2">
      <c r="D6069" s="84"/>
    </row>
    <row r="6070" spans="4:4" x14ac:dyDescent="0.2">
      <c r="D6070" s="84"/>
    </row>
    <row r="6071" spans="4:4" x14ac:dyDescent="0.2">
      <c r="D6071" s="84"/>
    </row>
    <row r="6072" spans="4:4" x14ac:dyDescent="0.2">
      <c r="D6072" s="84"/>
    </row>
    <row r="6073" spans="4:4" x14ac:dyDescent="0.2">
      <c r="D6073" s="84"/>
    </row>
    <row r="6074" spans="4:4" x14ac:dyDescent="0.2">
      <c r="D6074" s="84"/>
    </row>
    <row r="6075" spans="4:4" x14ac:dyDescent="0.2">
      <c r="D6075" s="84"/>
    </row>
    <row r="6076" spans="4:4" x14ac:dyDescent="0.2">
      <c r="D6076" s="84"/>
    </row>
    <row r="6077" spans="4:4" x14ac:dyDescent="0.2">
      <c r="D6077" s="84"/>
    </row>
    <row r="6078" spans="4:4" x14ac:dyDescent="0.2">
      <c r="D6078" s="84"/>
    </row>
    <row r="6079" spans="4:4" x14ac:dyDescent="0.2">
      <c r="D6079" s="84"/>
    </row>
    <row r="6080" spans="4:4" x14ac:dyDescent="0.2">
      <c r="D6080" s="84"/>
    </row>
    <row r="6081" spans="4:4" x14ac:dyDescent="0.2">
      <c r="D6081" s="84"/>
    </row>
    <row r="6082" spans="4:4" x14ac:dyDescent="0.2">
      <c r="D6082" s="84"/>
    </row>
    <row r="6083" spans="4:4" x14ac:dyDescent="0.2">
      <c r="D6083" s="84"/>
    </row>
    <row r="6084" spans="4:4" x14ac:dyDescent="0.2">
      <c r="D6084" s="84"/>
    </row>
    <row r="6085" spans="4:4" x14ac:dyDescent="0.2">
      <c r="D6085" s="84"/>
    </row>
    <row r="6086" spans="4:4" x14ac:dyDescent="0.2">
      <c r="D6086" s="84"/>
    </row>
    <row r="6087" spans="4:4" x14ac:dyDescent="0.2">
      <c r="D6087" s="84"/>
    </row>
    <row r="6088" spans="4:4" x14ac:dyDescent="0.2">
      <c r="D6088" s="84"/>
    </row>
    <row r="6089" spans="4:4" x14ac:dyDescent="0.2">
      <c r="D6089" s="84"/>
    </row>
    <row r="6090" spans="4:4" x14ac:dyDescent="0.2">
      <c r="D6090" s="84"/>
    </row>
    <row r="6091" spans="4:4" x14ac:dyDescent="0.2">
      <c r="D6091" s="84"/>
    </row>
    <row r="6092" spans="4:4" x14ac:dyDescent="0.2">
      <c r="D6092" s="84"/>
    </row>
    <row r="6093" spans="4:4" x14ac:dyDescent="0.2">
      <c r="D6093" s="84"/>
    </row>
    <row r="6094" spans="4:4" x14ac:dyDescent="0.2">
      <c r="D6094" s="84"/>
    </row>
    <row r="6095" spans="4:4" x14ac:dyDescent="0.2">
      <c r="D6095" s="84"/>
    </row>
    <row r="6096" spans="4:4" x14ac:dyDescent="0.2">
      <c r="D6096" s="84"/>
    </row>
    <row r="6097" spans="4:4" x14ac:dyDescent="0.2">
      <c r="D6097" s="84"/>
    </row>
    <row r="6098" spans="4:4" x14ac:dyDescent="0.2">
      <c r="D6098" s="84"/>
    </row>
    <row r="6099" spans="4:4" x14ac:dyDescent="0.2">
      <c r="D6099" s="84"/>
    </row>
    <row r="6100" spans="4:4" x14ac:dyDescent="0.2">
      <c r="D6100" s="84"/>
    </row>
    <row r="6101" spans="4:4" x14ac:dyDescent="0.2">
      <c r="D6101" s="84"/>
    </row>
    <row r="6102" spans="4:4" x14ac:dyDescent="0.2">
      <c r="D6102" s="84"/>
    </row>
    <row r="6103" spans="4:4" x14ac:dyDescent="0.2">
      <c r="D6103" s="84"/>
    </row>
    <row r="6104" spans="4:4" x14ac:dyDescent="0.2">
      <c r="D6104" s="84"/>
    </row>
    <row r="6105" spans="4:4" x14ac:dyDescent="0.2">
      <c r="D6105" s="84"/>
    </row>
    <row r="6106" spans="4:4" x14ac:dyDescent="0.2">
      <c r="D6106" s="84"/>
    </row>
    <row r="6107" spans="4:4" x14ac:dyDescent="0.2">
      <c r="D6107" s="84"/>
    </row>
    <row r="6108" spans="4:4" x14ac:dyDescent="0.2">
      <c r="D6108" s="84"/>
    </row>
    <row r="6109" spans="4:4" x14ac:dyDescent="0.2">
      <c r="D6109" s="84"/>
    </row>
    <row r="6110" spans="4:4" x14ac:dyDescent="0.2">
      <c r="D6110" s="84"/>
    </row>
    <row r="6111" spans="4:4" x14ac:dyDescent="0.2">
      <c r="D6111" s="84"/>
    </row>
    <row r="6112" spans="4:4" x14ac:dyDescent="0.2">
      <c r="D6112" s="84"/>
    </row>
    <row r="6113" spans="4:4" x14ac:dyDescent="0.2">
      <c r="D6113" s="84"/>
    </row>
    <row r="6114" spans="4:4" x14ac:dyDescent="0.2">
      <c r="D6114" s="84"/>
    </row>
    <row r="6115" spans="4:4" x14ac:dyDescent="0.2">
      <c r="D6115" s="84"/>
    </row>
    <row r="6116" spans="4:4" x14ac:dyDescent="0.2">
      <c r="D6116" s="84"/>
    </row>
    <row r="6117" spans="4:4" x14ac:dyDescent="0.2">
      <c r="D6117" s="84"/>
    </row>
    <row r="6118" spans="4:4" x14ac:dyDescent="0.2">
      <c r="D6118" s="84"/>
    </row>
    <row r="6119" spans="4:4" x14ac:dyDescent="0.2">
      <c r="D6119" s="84"/>
    </row>
    <row r="6120" spans="4:4" x14ac:dyDescent="0.2">
      <c r="D6120" s="84"/>
    </row>
    <row r="6121" spans="4:4" x14ac:dyDescent="0.2">
      <c r="D6121" s="84"/>
    </row>
    <row r="6122" spans="4:4" x14ac:dyDescent="0.2">
      <c r="D6122" s="84"/>
    </row>
    <row r="6123" spans="4:4" x14ac:dyDescent="0.2">
      <c r="D6123" s="84"/>
    </row>
    <row r="6124" spans="4:4" x14ac:dyDescent="0.2">
      <c r="D6124" s="84"/>
    </row>
    <row r="6125" spans="4:4" x14ac:dyDescent="0.2">
      <c r="D6125" s="84"/>
    </row>
    <row r="6126" spans="4:4" x14ac:dyDescent="0.2">
      <c r="D6126" s="84"/>
    </row>
    <row r="6127" spans="4:4" x14ac:dyDescent="0.2">
      <c r="D6127" s="84"/>
    </row>
    <row r="6128" spans="4:4" x14ac:dyDescent="0.2">
      <c r="D6128" s="84"/>
    </row>
    <row r="6129" spans="4:4" x14ac:dyDescent="0.2">
      <c r="D6129" s="84"/>
    </row>
    <row r="6130" spans="4:4" x14ac:dyDescent="0.2">
      <c r="D6130" s="84"/>
    </row>
    <row r="6131" spans="4:4" x14ac:dyDescent="0.2">
      <c r="D6131" s="84"/>
    </row>
    <row r="6132" spans="4:4" x14ac:dyDescent="0.2">
      <c r="D6132" s="84"/>
    </row>
    <row r="6133" spans="4:4" x14ac:dyDescent="0.2">
      <c r="D6133" s="84"/>
    </row>
    <row r="6134" spans="4:4" x14ac:dyDescent="0.2">
      <c r="D6134" s="84"/>
    </row>
    <row r="6135" spans="4:4" x14ac:dyDescent="0.2">
      <c r="D6135" s="84"/>
    </row>
    <row r="6136" spans="4:4" x14ac:dyDescent="0.2">
      <c r="D6136" s="84"/>
    </row>
    <row r="6137" spans="4:4" x14ac:dyDescent="0.2">
      <c r="D6137" s="84"/>
    </row>
    <row r="6138" spans="4:4" x14ac:dyDescent="0.2">
      <c r="D6138" s="84"/>
    </row>
    <row r="6139" spans="4:4" x14ac:dyDescent="0.2">
      <c r="D6139" s="84"/>
    </row>
    <row r="6140" spans="4:4" x14ac:dyDescent="0.2">
      <c r="D6140" s="84"/>
    </row>
    <row r="6141" spans="4:4" x14ac:dyDescent="0.2">
      <c r="D6141" s="84"/>
    </row>
    <row r="6142" spans="4:4" x14ac:dyDescent="0.2">
      <c r="D6142" s="84"/>
    </row>
    <row r="6143" spans="4:4" x14ac:dyDescent="0.2">
      <c r="D6143" s="84"/>
    </row>
    <row r="6144" spans="4:4" x14ac:dyDescent="0.2">
      <c r="D6144" s="84"/>
    </row>
    <row r="6145" spans="4:4" x14ac:dyDescent="0.2">
      <c r="D6145" s="84"/>
    </row>
    <row r="6146" spans="4:4" x14ac:dyDescent="0.2">
      <c r="D6146" s="84"/>
    </row>
    <row r="6147" spans="4:4" x14ac:dyDescent="0.2">
      <c r="D6147" s="84"/>
    </row>
    <row r="6148" spans="4:4" x14ac:dyDescent="0.2">
      <c r="D6148" s="84"/>
    </row>
    <row r="6149" spans="4:4" x14ac:dyDescent="0.2">
      <c r="D6149" s="84"/>
    </row>
    <row r="6150" spans="4:4" x14ac:dyDescent="0.2">
      <c r="D6150" s="84"/>
    </row>
    <row r="6151" spans="4:4" x14ac:dyDescent="0.2">
      <c r="D6151" s="84"/>
    </row>
    <row r="6152" spans="4:4" x14ac:dyDescent="0.2">
      <c r="D6152" s="84"/>
    </row>
    <row r="6153" spans="4:4" x14ac:dyDescent="0.2">
      <c r="D6153" s="84"/>
    </row>
    <row r="6154" spans="4:4" x14ac:dyDescent="0.2">
      <c r="D6154" s="84"/>
    </row>
    <row r="6155" spans="4:4" x14ac:dyDescent="0.2">
      <c r="D6155" s="84"/>
    </row>
    <row r="6156" spans="4:4" x14ac:dyDescent="0.2">
      <c r="D6156" s="84"/>
    </row>
    <row r="6157" spans="4:4" x14ac:dyDescent="0.2">
      <c r="D6157" s="84"/>
    </row>
    <row r="6158" spans="4:4" x14ac:dyDescent="0.2">
      <c r="D6158" s="84"/>
    </row>
    <row r="6159" spans="4:4" x14ac:dyDescent="0.2">
      <c r="D6159" s="84"/>
    </row>
    <row r="6160" spans="4:4" x14ac:dyDescent="0.2">
      <c r="D6160" s="84"/>
    </row>
    <row r="6161" spans="4:4" x14ac:dyDescent="0.2">
      <c r="D6161" s="84"/>
    </row>
    <row r="6162" spans="4:4" x14ac:dyDescent="0.2">
      <c r="D6162" s="84"/>
    </row>
    <row r="6163" spans="4:4" x14ac:dyDescent="0.2">
      <c r="D6163" s="84"/>
    </row>
    <row r="6164" spans="4:4" x14ac:dyDescent="0.2">
      <c r="D6164" s="84"/>
    </row>
    <row r="6165" spans="4:4" x14ac:dyDescent="0.2">
      <c r="D6165" s="84"/>
    </row>
    <row r="6166" spans="4:4" x14ac:dyDescent="0.2">
      <c r="D6166" s="84"/>
    </row>
    <row r="6167" spans="4:4" x14ac:dyDescent="0.2">
      <c r="D6167" s="84"/>
    </row>
    <row r="6168" spans="4:4" x14ac:dyDescent="0.2">
      <c r="D6168" s="84"/>
    </row>
    <row r="6169" spans="4:4" x14ac:dyDescent="0.2">
      <c r="D6169" s="84"/>
    </row>
    <row r="6170" spans="4:4" x14ac:dyDescent="0.2">
      <c r="D6170" s="84"/>
    </row>
    <row r="6171" spans="4:4" x14ac:dyDescent="0.2">
      <c r="D6171" s="84"/>
    </row>
    <row r="6172" spans="4:4" x14ac:dyDescent="0.2">
      <c r="D6172" s="84"/>
    </row>
    <row r="6173" spans="4:4" x14ac:dyDescent="0.2">
      <c r="D6173" s="84"/>
    </row>
    <row r="6174" spans="4:4" x14ac:dyDescent="0.2">
      <c r="D6174" s="84"/>
    </row>
    <row r="6175" spans="4:4" x14ac:dyDescent="0.2">
      <c r="D6175" s="84"/>
    </row>
    <row r="6176" spans="4:4" x14ac:dyDescent="0.2">
      <c r="D6176" s="84"/>
    </row>
    <row r="6177" spans="4:4" x14ac:dyDescent="0.2">
      <c r="D6177" s="84"/>
    </row>
    <row r="6178" spans="4:4" x14ac:dyDescent="0.2">
      <c r="D6178" s="84"/>
    </row>
    <row r="6179" spans="4:4" x14ac:dyDescent="0.2">
      <c r="D6179" s="84"/>
    </row>
    <row r="6180" spans="4:4" x14ac:dyDescent="0.2">
      <c r="D6180" s="84"/>
    </row>
    <row r="6181" spans="4:4" x14ac:dyDescent="0.2">
      <c r="D6181" s="84"/>
    </row>
    <row r="6182" spans="4:4" x14ac:dyDescent="0.2">
      <c r="D6182" s="84"/>
    </row>
    <row r="6183" spans="4:4" x14ac:dyDescent="0.2">
      <c r="D6183" s="84"/>
    </row>
    <row r="6184" spans="4:4" x14ac:dyDescent="0.2">
      <c r="D6184" s="84"/>
    </row>
    <row r="6185" spans="4:4" x14ac:dyDescent="0.2">
      <c r="D6185" s="84"/>
    </row>
    <row r="6186" spans="4:4" x14ac:dyDescent="0.2">
      <c r="D6186" s="84"/>
    </row>
    <row r="6187" spans="4:4" x14ac:dyDescent="0.2">
      <c r="D6187" s="84"/>
    </row>
    <row r="6188" spans="4:4" x14ac:dyDescent="0.2">
      <c r="D6188" s="84"/>
    </row>
    <row r="6189" spans="4:4" x14ac:dyDescent="0.2">
      <c r="D6189" s="84"/>
    </row>
    <row r="6190" spans="4:4" x14ac:dyDescent="0.2">
      <c r="D6190" s="84"/>
    </row>
    <row r="6191" spans="4:4" x14ac:dyDescent="0.2">
      <c r="D6191" s="84"/>
    </row>
    <row r="6192" spans="4:4" x14ac:dyDescent="0.2">
      <c r="D6192" s="84"/>
    </row>
    <row r="6193" spans="4:4" x14ac:dyDescent="0.2">
      <c r="D6193" s="84"/>
    </row>
    <row r="6194" spans="4:4" x14ac:dyDescent="0.2">
      <c r="D6194" s="84"/>
    </row>
    <row r="6195" spans="4:4" x14ac:dyDescent="0.2">
      <c r="D6195" s="84"/>
    </row>
    <row r="6196" spans="4:4" x14ac:dyDescent="0.2">
      <c r="D6196" s="84"/>
    </row>
    <row r="6197" spans="4:4" x14ac:dyDescent="0.2">
      <c r="D6197" s="84"/>
    </row>
    <row r="6198" spans="4:4" x14ac:dyDescent="0.2">
      <c r="D6198" s="84"/>
    </row>
    <row r="6199" spans="4:4" x14ac:dyDescent="0.2">
      <c r="D6199" s="84"/>
    </row>
    <row r="6200" spans="4:4" x14ac:dyDescent="0.2">
      <c r="D6200" s="84"/>
    </row>
    <row r="6201" spans="4:4" x14ac:dyDescent="0.2">
      <c r="D6201" s="84"/>
    </row>
    <row r="6202" spans="4:4" x14ac:dyDescent="0.2">
      <c r="D6202" s="84"/>
    </row>
    <row r="6203" spans="4:4" x14ac:dyDescent="0.2">
      <c r="D6203" s="84"/>
    </row>
    <row r="6204" spans="4:4" x14ac:dyDescent="0.2">
      <c r="D6204" s="84"/>
    </row>
    <row r="6205" spans="4:4" x14ac:dyDescent="0.2">
      <c r="D6205" s="84"/>
    </row>
    <row r="6206" spans="4:4" x14ac:dyDescent="0.2">
      <c r="D6206" s="84"/>
    </row>
    <row r="6207" spans="4:4" x14ac:dyDescent="0.2">
      <c r="D6207" s="84"/>
    </row>
    <row r="6208" spans="4:4" x14ac:dyDescent="0.2">
      <c r="D6208" s="84"/>
    </row>
    <row r="6209" spans="4:4" x14ac:dyDescent="0.2">
      <c r="D6209" s="84"/>
    </row>
    <row r="6210" spans="4:4" x14ac:dyDescent="0.2">
      <c r="D6210" s="84"/>
    </row>
    <row r="6211" spans="4:4" x14ac:dyDescent="0.2">
      <c r="D6211" s="84"/>
    </row>
    <row r="6212" spans="4:4" x14ac:dyDescent="0.2">
      <c r="D6212" s="84"/>
    </row>
    <row r="6213" spans="4:4" x14ac:dyDescent="0.2">
      <c r="D6213" s="84"/>
    </row>
    <row r="6214" spans="4:4" x14ac:dyDescent="0.2">
      <c r="D6214" s="84"/>
    </row>
    <row r="6215" spans="4:4" x14ac:dyDescent="0.2">
      <c r="D6215" s="84"/>
    </row>
    <row r="6216" spans="4:4" x14ac:dyDescent="0.2">
      <c r="D6216" s="84"/>
    </row>
    <row r="6217" spans="4:4" x14ac:dyDescent="0.2">
      <c r="D6217" s="84"/>
    </row>
    <row r="6218" spans="4:4" x14ac:dyDescent="0.2">
      <c r="D6218" s="84"/>
    </row>
    <row r="6219" spans="4:4" x14ac:dyDescent="0.2">
      <c r="D6219" s="84"/>
    </row>
    <row r="6220" spans="4:4" x14ac:dyDescent="0.2">
      <c r="D6220" s="84"/>
    </row>
    <row r="6221" spans="4:4" x14ac:dyDescent="0.2">
      <c r="D6221" s="84"/>
    </row>
    <row r="6222" spans="4:4" x14ac:dyDescent="0.2">
      <c r="D6222" s="84"/>
    </row>
    <row r="6223" spans="4:4" x14ac:dyDescent="0.2">
      <c r="D6223" s="84"/>
    </row>
    <row r="6224" spans="4:4" x14ac:dyDescent="0.2">
      <c r="D6224" s="84"/>
    </row>
    <row r="6225" spans="4:4" x14ac:dyDescent="0.2">
      <c r="D6225" s="84"/>
    </row>
    <row r="6226" spans="4:4" x14ac:dyDescent="0.2">
      <c r="D6226" s="84"/>
    </row>
    <row r="6227" spans="4:4" x14ac:dyDescent="0.2">
      <c r="D6227" s="84"/>
    </row>
    <row r="6228" spans="4:4" x14ac:dyDescent="0.2">
      <c r="D6228" s="84"/>
    </row>
    <row r="6229" spans="4:4" x14ac:dyDescent="0.2">
      <c r="D6229" s="84"/>
    </row>
    <row r="6230" spans="4:4" x14ac:dyDescent="0.2">
      <c r="D6230" s="84"/>
    </row>
    <row r="6231" spans="4:4" x14ac:dyDescent="0.2">
      <c r="D6231" s="84"/>
    </row>
    <row r="6232" spans="4:4" x14ac:dyDescent="0.2">
      <c r="D6232" s="84"/>
    </row>
    <row r="6233" spans="4:4" x14ac:dyDescent="0.2">
      <c r="D6233" s="84"/>
    </row>
    <row r="6234" spans="4:4" x14ac:dyDescent="0.2">
      <c r="D6234" s="84"/>
    </row>
    <row r="6235" spans="4:4" x14ac:dyDescent="0.2">
      <c r="D6235" s="84"/>
    </row>
    <row r="6236" spans="4:4" x14ac:dyDescent="0.2">
      <c r="D6236" s="84"/>
    </row>
    <row r="6237" spans="4:4" x14ac:dyDescent="0.2">
      <c r="D6237" s="84"/>
    </row>
    <row r="6238" spans="4:4" x14ac:dyDescent="0.2">
      <c r="D6238" s="84"/>
    </row>
    <row r="6239" spans="4:4" x14ac:dyDescent="0.2">
      <c r="D6239" s="84"/>
    </row>
    <row r="6240" spans="4:4" x14ac:dyDescent="0.2">
      <c r="D6240" s="84"/>
    </row>
    <row r="6241" spans="4:4" x14ac:dyDescent="0.2">
      <c r="D6241" s="84"/>
    </row>
    <row r="6242" spans="4:4" x14ac:dyDescent="0.2">
      <c r="D6242" s="84"/>
    </row>
    <row r="6243" spans="4:4" x14ac:dyDescent="0.2">
      <c r="D6243" s="84"/>
    </row>
    <row r="6244" spans="4:4" x14ac:dyDescent="0.2">
      <c r="D6244" s="84"/>
    </row>
    <row r="6245" spans="4:4" x14ac:dyDescent="0.2">
      <c r="D6245" s="84"/>
    </row>
    <row r="6246" spans="4:4" x14ac:dyDescent="0.2">
      <c r="D6246" s="84"/>
    </row>
    <row r="6247" spans="4:4" x14ac:dyDescent="0.2">
      <c r="D6247" s="84"/>
    </row>
    <row r="6248" spans="4:4" x14ac:dyDescent="0.2">
      <c r="D6248" s="84"/>
    </row>
    <row r="6249" spans="4:4" x14ac:dyDescent="0.2">
      <c r="D6249" s="84"/>
    </row>
    <row r="6250" spans="4:4" x14ac:dyDescent="0.2">
      <c r="D6250" s="84"/>
    </row>
    <row r="6251" spans="4:4" x14ac:dyDescent="0.2">
      <c r="D6251" s="84"/>
    </row>
    <row r="6252" spans="4:4" x14ac:dyDescent="0.2">
      <c r="D6252" s="84"/>
    </row>
    <row r="6253" spans="4:4" x14ac:dyDescent="0.2">
      <c r="D6253" s="84"/>
    </row>
    <row r="6254" spans="4:4" x14ac:dyDescent="0.2">
      <c r="D6254" s="84"/>
    </row>
    <row r="6255" spans="4:4" x14ac:dyDescent="0.2">
      <c r="D6255" s="84"/>
    </row>
    <row r="6256" spans="4:4" x14ac:dyDescent="0.2">
      <c r="D6256" s="84"/>
    </row>
    <row r="6257" spans="4:4" x14ac:dyDescent="0.2">
      <c r="D6257" s="84"/>
    </row>
    <row r="6258" spans="4:4" x14ac:dyDescent="0.2">
      <c r="D6258" s="84"/>
    </row>
    <row r="6259" spans="4:4" x14ac:dyDescent="0.2">
      <c r="D6259" s="84"/>
    </row>
    <row r="6260" spans="4:4" x14ac:dyDescent="0.2">
      <c r="D6260" s="84"/>
    </row>
    <row r="6261" spans="4:4" x14ac:dyDescent="0.2">
      <c r="D6261" s="84"/>
    </row>
    <row r="6262" spans="4:4" x14ac:dyDescent="0.2">
      <c r="D6262" s="84"/>
    </row>
    <row r="6263" spans="4:4" x14ac:dyDescent="0.2">
      <c r="D6263" s="84"/>
    </row>
    <row r="6264" spans="4:4" x14ac:dyDescent="0.2">
      <c r="D6264" s="84"/>
    </row>
    <row r="6265" spans="4:4" x14ac:dyDescent="0.2">
      <c r="D6265" s="84"/>
    </row>
    <row r="6266" spans="4:4" x14ac:dyDescent="0.2">
      <c r="D6266" s="84"/>
    </row>
    <row r="6267" spans="4:4" x14ac:dyDescent="0.2">
      <c r="D6267" s="84"/>
    </row>
    <row r="6268" spans="4:4" x14ac:dyDescent="0.2">
      <c r="D6268" s="84"/>
    </row>
    <row r="6269" spans="4:4" x14ac:dyDescent="0.2">
      <c r="D6269" s="84"/>
    </row>
    <row r="6270" spans="4:4" x14ac:dyDescent="0.2">
      <c r="D6270" s="84"/>
    </row>
    <row r="6271" spans="4:4" x14ac:dyDescent="0.2">
      <c r="D6271" s="84"/>
    </row>
    <row r="6272" spans="4:4" x14ac:dyDescent="0.2">
      <c r="D6272" s="84"/>
    </row>
    <row r="6273" spans="4:4" x14ac:dyDescent="0.2">
      <c r="D6273" s="84"/>
    </row>
    <row r="6274" spans="4:4" x14ac:dyDescent="0.2">
      <c r="D6274" s="84"/>
    </row>
    <row r="6275" spans="4:4" x14ac:dyDescent="0.2">
      <c r="D6275" s="84"/>
    </row>
    <row r="6276" spans="4:4" x14ac:dyDescent="0.2">
      <c r="D6276" s="84"/>
    </row>
    <row r="6277" spans="4:4" x14ac:dyDescent="0.2">
      <c r="D6277" s="84"/>
    </row>
    <row r="6278" spans="4:4" x14ac:dyDescent="0.2">
      <c r="D6278" s="84"/>
    </row>
    <row r="6279" spans="4:4" x14ac:dyDescent="0.2">
      <c r="D6279" s="84"/>
    </row>
    <row r="6280" spans="4:4" x14ac:dyDescent="0.2">
      <c r="D6280" s="84"/>
    </row>
    <row r="6281" spans="4:4" x14ac:dyDescent="0.2">
      <c r="D6281" s="84"/>
    </row>
    <row r="6282" spans="4:4" x14ac:dyDescent="0.2">
      <c r="D6282" s="84"/>
    </row>
    <row r="6283" spans="4:4" x14ac:dyDescent="0.2">
      <c r="D6283" s="84"/>
    </row>
    <row r="6284" spans="4:4" x14ac:dyDescent="0.2">
      <c r="D6284" s="84"/>
    </row>
    <row r="6285" spans="4:4" x14ac:dyDescent="0.2">
      <c r="D6285" s="84"/>
    </row>
    <row r="6286" spans="4:4" x14ac:dyDescent="0.2">
      <c r="D6286" s="84"/>
    </row>
    <row r="6287" spans="4:4" x14ac:dyDescent="0.2">
      <c r="D6287" s="84"/>
    </row>
    <row r="6288" spans="4:4" x14ac:dyDescent="0.2">
      <c r="D6288" s="84"/>
    </row>
    <row r="6289" spans="4:4" x14ac:dyDescent="0.2">
      <c r="D6289" s="84"/>
    </row>
    <row r="6290" spans="4:4" x14ac:dyDescent="0.2">
      <c r="D6290" s="84"/>
    </row>
    <row r="6291" spans="4:4" x14ac:dyDescent="0.2">
      <c r="D6291" s="84"/>
    </row>
    <row r="6292" spans="4:4" x14ac:dyDescent="0.2">
      <c r="D6292" s="84"/>
    </row>
    <row r="6293" spans="4:4" x14ac:dyDescent="0.2">
      <c r="D6293" s="84"/>
    </row>
    <row r="6294" spans="4:4" x14ac:dyDescent="0.2">
      <c r="D6294" s="84"/>
    </row>
    <row r="6295" spans="4:4" x14ac:dyDescent="0.2">
      <c r="D6295" s="84"/>
    </row>
    <row r="6296" spans="4:4" x14ac:dyDescent="0.2">
      <c r="D6296" s="84"/>
    </row>
    <row r="6297" spans="4:4" x14ac:dyDescent="0.2">
      <c r="D6297" s="84"/>
    </row>
    <row r="6298" spans="4:4" x14ac:dyDescent="0.2">
      <c r="D6298" s="84"/>
    </row>
    <row r="6299" spans="4:4" x14ac:dyDescent="0.2">
      <c r="D6299" s="84"/>
    </row>
    <row r="6300" spans="4:4" x14ac:dyDescent="0.2">
      <c r="D6300" s="84"/>
    </row>
    <row r="6301" spans="4:4" x14ac:dyDescent="0.2">
      <c r="D6301" s="84"/>
    </row>
    <row r="6302" spans="4:4" x14ac:dyDescent="0.2">
      <c r="D6302" s="84"/>
    </row>
    <row r="6303" spans="4:4" x14ac:dyDescent="0.2">
      <c r="D6303" s="84"/>
    </row>
    <row r="6304" spans="4:4" x14ac:dyDescent="0.2">
      <c r="D6304" s="84"/>
    </row>
    <row r="6305" spans="4:4" x14ac:dyDescent="0.2">
      <c r="D6305" s="84"/>
    </row>
    <row r="6306" spans="4:4" x14ac:dyDescent="0.2">
      <c r="D6306" s="84"/>
    </row>
    <row r="6307" spans="4:4" x14ac:dyDescent="0.2">
      <c r="D6307" s="84"/>
    </row>
    <row r="6308" spans="4:4" x14ac:dyDescent="0.2">
      <c r="D6308" s="84"/>
    </row>
    <row r="6309" spans="4:4" x14ac:dyDescent="0.2">
      <c r="D6309" s="84"/>
    </row>
    <row r="6310" spans="4:4" x14ac:dyDescent="0.2">
      <c r="D6310" s="84"/>
    </row>
    <row r="6311" spans="4:4" x14ac:dyDescent="0.2">
      <c r="D6311" s="84"/>
    </row>
    <row r="6312" spans="4:4" x14ac:dyDescent="0.2">
      <c r="D6312" s="84"/>
    </row>
    <row r="6313" spans="4:4" x14ac:dyDescent="0.2">
      <c r="D6313" s="84"/>
    </row>
    <row r="6314" spans="4:4" x14ac:dyDescent="0.2">
      <c r="D6314" s="84"/>
    </row>
    <row r="6315" spans="4:4" x14ac:dyDescent="0.2">
      <c r="D6315" s="84"/>
    </row>
    <row r="6316" spans="4:4" x14ac:dyDescent="0.2">
      <c r="D6316" s="84"/>
    </row>
    <row r="6317" spans="4:4" x14ac:dyDescent="0.2">
      <c r="D6317" s="84"/>
    </row>
    <row r="6318" spans="4:4" x14ac:dyDescent="0.2">
      <c r="D6318" s="84"/>
    </row>
    <row r="6319" spans="4:4" x14ac:dyDescent="0.2">
      <c r="D6319" s="84"/>
    </row>
    <row r="6320" spans="4:4" x14ac:dyDescent="0.2">
      <c r="D6320" s="84"/>
    </row>
    <row r="6321" spans="4:4" x14ac:dyDescent="0.2">
      <c r="D6321" s="84"/>
    </row>
    <row r="6322" spans="4:4" x14ac:dyDescent="0.2">
      <c r="D6322" s="84"/>
    </row>
    <row r="6323" spans="4:4" x14ac:dyDescent="0.2">
      <c r="D6323" s="84"/>
    </row>
    <row r="6324" spans="4:4" x14ac:dyDescent="0.2">
      <c r="D6324" s="84"/>
    </row>
    <row r="6325" spans="4:4" x14ac:dyDescent="0.2">
      <c r="D6325" s="84"/>
    </row>
    <row r="6326" spans="4:4" x14ac:dyDescent="0.2">
      <c r="D6326" s="84"/>
    </row>
    <row r="6327" spans="4:4" x14ac:dyDescent="0.2">
      <c r="D6327" s="84"/>
    </row>
    <row r="6328" spans="4:4" x14ac:dyDescent="0.2">
      <c r="D6328" s="84"/>
    </row>
    <row r="6329" spans="4:4" x14ac:dyDescent="0.2">
      <c r="D6329" s="84"/>
    </row>
    <row r="6330" spans="4:4" x14ac:dyDescent="0.2">
      <c r="D6330" s="84"/>
    </row>
    <row r="6331" spans="4:4" x14ac:dyDescent="0.2">
      <c r="D6331" s="84"/>
    </row>
    <row r="6332" spans="4:4" x14ac:dyDescent="0.2">
      <c r="D6332" s="84"/>
    </row>
    <row r="6333" spans="4:4" x14ac:dyDescent="0.2">
      <c r="D6333" s="84"/>
    </row>
    <row r="6334" spans="4:4" x14ac:dyDescent="0.2">
      <c r="D6334" s="84"/>
    </row>
    <row r="6335" spans="4:4" x14ac:dyDescent="0.2">
      <c r="D6335" s="84"/>
    </row>
    <row r="6336" spans="4:4" x14ac:dyDescent="0.2">
      <c r="D6336" s="84"/>
    </row>
    <row r="6337" spans="4:4" x14ac:dyDescent="0.2">
      <c r="D6337" s="84"/>
    </row>
    <row r="6338" spans="4:4" x14ac:dyDescent="0.2">
      <c r="D6338" s="84"/>
    </row>
    <row r="6339" spans="4:4" x14ac:dyDescent="0.2">
      <c r="D6339" s="84"/>
    </row>
    <row r="6340" spans="4:4" x14ac:dyDescent="0.2">
      <c r="D6340" s="84"/>
    </row>
    <row r="6341" spans="4:4" x14ac:dyDescent="0.2">
      <c r="D6341" s="84"/>
    </row>
    <row r="6342" spans="4:4" x14ac:dyDescent="0.2">
      <c r="D6342" s="84"/>
    </row>
    <row r="6343" spans="4:4" x14ac:dyDescent="0.2">
      <c r="D6343" s="84"/>
    </row>
    <row r="6344" spans="4:4" x14ac:dyDescent="0.2">
      <c r="D6344" s="84"/>
    </row>
    <row r="6345" spans="4:4" x14ac:dyDescent="0.2">
      <c r="D6345" s="84"/>
    </row>
    <row r="6346" spans="4:4" x14ac:dyDescent="0.2">
      <c r="D6346" s="84"/>
    </row>
    <row r="6347" spans="4:4" x14ac:dyDescent="0.2">
      <c r="D6347" s="84"/>
    </row>
    <row r="6348" spans="4:4" x14ac:dyDescent="0.2">
      <c r="D6348" s="84"/>
    </row>
    <row r="6349" spans="4:4" x14ac:dyDescent="0.2">
      <c r="D6349" s="84"/>
    </row>
    <row r="6350" spans="4:4" x14ac:dyDescent="0.2">
      <c r="D6350" s="84"/>
    </row>
    <row r="6351" spans="4:4" x14ac:dyDescent="0.2">
      <c r="D6351" s="84"/>
    </row>
    <row r="6352" spans="4:4" x14ac:dyDescent="0.2">
      <c r="D6352" s="84"/>
    </row>
    <row r="6353" spans="4:4" x14ac:dyDescent="0.2">
      <c r="D6353" s="84"/>
    </row>
    <row r="6354" spans="4:4" x14ac:dyDescent="0.2">
      <c r="D6354" s="84"/>
    </row>
    <row r="6355" spans="4:4" x14ac:dyDescent="0.2">
      <c r="D6355" s="84"/>
    </row>
    <row r="6356" spans="4:4" x14ac:dyDescent="0.2">
      <c r="D6356" s="84"/>
    </row>
    <row r="6357" spans="4:4" x14ac:dyDescent="0.2">
      <c r="D6357" s="84"/>
    </row>
    <row r="6358" spans="4:4" x14ac:dyDescent="0.2">
      <c r="D6358" s="84"/>
    </row>
    <row r="6359" spans="4:4" x14ac:dyDescent="0.2">
      <c r="D6359" s="84"/>
    </row>
    <row r="6360" spans="4:4" x14ac:dyDescent="0.2">
      <c r="D6360" s="84"/>
    </row>
    <row r="6361" spans="4:4" x14ac:dyDescent="0.2">
      <c r="D6361" s="84"/>
    </row>
    <row r="6362" spans="4:4" x14ac:dyDescent="0.2">
      <c r="D6362" s="84"/>
    </row>
    <row r="6363" spans="4:4" x14ac:dyDescent="0.2">
      <c r="D6363" s="84"/>
    </row>
    <row r="6364" spans="4:4" x14ac:dyDescent="0.2">
      <c r="D6364" s="84"/>
    </row>
    <row r="6365" spans="4:4" x14ac:dyDescent="0.2">
      <c r="D6365" s="84"/>
    </row>
    <row r="6366" spans="4:4" x14ac:dyDescent="0.2">
      <c r="D6366" s="84"/>
    </row>
    <row r="6367" spans="4:4" x14ac:dyDescent="0.2">
      <c r="D6367" s="84"/>
    </row>
    <row r="6368" spans="4:4" x14ac:dyDescent="0.2">
      <c r="D6368" s="84"/>
    </row>
    <row r="6369" spans="4:4" x14ac:dyDescent="0.2">
      <c r="D6369" s="84"/>
    </row>
    <row r="6370" spans="4:4" x14ac:dyDescent="0.2">
      <c r="D6370" s="84"/>
    </row>
    <row r="6371" spans="4:4" x14ac:dyDescent="0.2">
      <c r="D6371" s="84"/>
    </row>
    <row r="6372" spans="4:4" x14ac:dyDescent="0.2">
      <c r="D6372" s="84"/>
    </row>
    <row r="6373" spans="4:4" x14ac:dyDescent="0.2">
      <c r="D6373" s="84"/>
    </row>
    <row r="6374" spans="4:4" x14ac:dyDescent="0.2">
      <c r="D6374" s="84"/>
    </row>
    <row r="6375" spans="4:4" x14ac:dyDescent="0.2">
      <c r="D6375" s="84"/>
    </row>
    <row r="6376" spans="4:4" x14ac:dyDescent="0.2">
      <c r="D6376" s="84"/>
    </row>
    <row r="6377" spans="4:4" x14ac:dyDescent="0.2">
      <c r="D6377" s="84"/>
    </row>
    <row r="6378" spans="4:4" x14ac:dyDescent="0.2">
      <c r="D6378" s="84"/>
    </row>
    <row r="6379" spans="4:4" x14ac:dyDescent="0.2">
      <c r="D6379" s="84"/>
    </row>
    <row r="6380" spans="4:4" x14ac:dyDescent="0.2">
      <c r="D6380" s="84"/>
    </row>
    <row r="6381" spans="4:4" x14ac:dyDescent="0.2">
      <c r="D6381" s="84"/>
    </row>
    <row r="6382" spans="4:4" x14ac:dyDescent="0.2">
      <c r="D6382" s="84"/>
    </row>
    <row r="6383" spans="4:4" x14ac:dyDescent="0.2">
      <c r="D6383" s="84"/>
    </row>
    <row r="6384" spans="4:4" x14ac:dyDescent="0.2">
      <c r="D6384" s="84"/>
    </row>
    <row r="6385" spans="4:4" x14ac:dyDescent="0.2">
      <c r="D6385" s="84"/>
    </row>
    <row r="6386" spans="4:4" x14ac:dyDescent="0.2">
      <c r="D6386" s="84"/>
    </row>
    <row r="6387" spans="4:4" x14ac:dyDescent="0.2">
      <c r="D6387" s="84"/>
    </row>
    <row r="6388" spans="4:4" x14ac:dyDescent="0.2">
      <c r="D6388" s="84"/>
    </row>
    <row r="6389" spans="4:4" x14ac:dyDescent="0.2">
      <c r="D6389" s="84"/>
    </row>
    <row r="6390" spans="4:4" x14ac:dyDescent="0.2">
      <c r="D6390" s="84"/>
    </row>
    <row r="6391" spans="4:4" x14ac:dyDescent="0.2">
      <c r="D6391" s="84"/>
    </row>
    <row r="6392" spans="4:4" x14ac:dyDescent="0.2">
      <c r="D6392" s="84"/>
    </row>
    <row r="6393" spans="4:4" x14ac:dyDescent="0.2">
      <c r="D6393" s="84"/>
    </row>
    <row r="6394" spans="4:4" x14ac:dyDescent="0.2">
      <c r="D6394" s="84"/>
    </row>
    <row r="6395" spans="4:4" x14ac:dyDescent="0.2">
      <c r="D6395" s="84"/>
    </row>
    <row r="6396" spans="4:4" x14ac:dyDescent="0.2">
      <c r="D6396" s="84"/>
    </row>
    <row r="6397" spans="4:4" x14ac:dyDescent="0.2">
      <c r="D6397" s="84"/>
    </row>
    <row r="6398" spans="4:4" x14ac:dyDescent="0.2">
      <c r="D6398" s="84"/>
    </row>
    <row r="6399" spans="4:4" x14ac:dyDescent="0.2">
      <c r="D6399" s="84"/>
    </row>
    <row r="6400" spans="4:4" x14ac:dyDescent="0.2">
      <c r="D6400" s="84"/>
    </row>
    <row r="6401" spans="4:4" x14ac:dyDescent="0.2">
      <c r="D6401" s="84"/>
    </row>
    <row r="6402" spans="4:4" x14ac:dyDescent="0.2">
      <c r="D6402" s="84"/>
    </row>
    <row r="6403" spans="4:4" x14ac:dyDescent="0.2">
      <c r="D6403" s="84"/>
    </row>
    <row r="6404" spans="4:4" x14ac:dyDescent="0.2">
      <c r="D6404" s="84"/>
    </row>
    <row r="6405" spans="4:4" x14ac:dyDescent="0.2">
      <c r="D6405" s="84"/>
    </row>
    <row r="6406" spans="4:4" x14ac:dyDescent="0.2">
      <c r="D6406" s="84"/>
    </row>
    <row r="6407" spans="4:4" x14ac:dyDescent="0.2">
      <c r="D6407" s="84"/>
    </row>
    <row r="6408" spans="4:4" x14ac:dyDescent="0.2">
      <c r="D6408" s="84"/>
    </row>
    <row r="6409" spans="4:4" x14ac:dyDescent="0.2">
      <c r="D6409" s="84"/>
    </row>
    <row r="6410" spans="4:4" x14ac:dyDescent="0.2">
      <c r="D6410" s="84"/>
    </row>
    <row r="6411" spans="4:4" x14ac:dyDescent="0.2">
      <c r="D6411" s="84"/>
    </row>
    <row r="6412" spans="4:4" x14ac:dyDescent="0.2">
      <c r="D6412" s="84"/>
    </row>
    <row r="6413" spans="4:4" x14ac:dyDescent="0.2">
      <c r="D6413" s="84"/>
    </row>
    <row r="6414" spans="4:4" x14ac:dyDescent="0.2">
      <c r="D6414" s="84"/>
    </row>
    <row r="6415" spans="4:4" x14ac:dyDescent="0.2">
      <c r="D6415" s="84"/>
    </row>
    <row r="6416" spans="4:4" x14ac:dyDescent="0.2">
      <c r="D6416" s="84"/>
    </row>
    <row r="6417" spans="4:4" x14ac:dyDescent="0.2">
      <c r="D6417" s="84"/>
    </row>
    <row r="6418" spans="4:4" x14ac:dyDescent="0.2">
      <c r="D6418" s="84"/>
    </row>
    <row r="6419" spans="4:4" x14ac:dyDescent="0.2">
      <c r="D6419" s="84"/>
    </row>
    <row r="6420" spans="4:4" x14ac:dyDescent="0.2">
      <c r="D6420" s="84"/>
    </row>
    <row r="6421" spans="4:4" x14ac:dyDescent="0.2">
      <c r="D6421" s="84"/>
    </row>
    <row r="6422" spans="4:4" x14ac:dyDescent="0.2">
      <c r="D6422" s="84"/>
    </row>
    <row r="6423" spans="4:4" x14ac:dyDescent="0.2">
      <c r="D6423" s="84"/>
    </row>
    <row r="6424" spans="4:4" x14ac:dyDescent="0.2">
      <c r="D6424" s="84"/>
    </row>
    <row r="6425" spans="4:4" x14ac:dyDescent="0.2">
      <c r="D6425" s="84"/>
    </row>
    <row r="6426" spans="4:4" x14ac:dyDescent="0.2">
      <c r="D6426" s="84"/>
    </row>
    <row r="6427" spans="4:4" x14ac:dyDescent="0.2">
      <c r="D6427" s="84"/>
    </row>
    <row r="6428" spans="4:4" x14ac:dyDescent="0.2">
      <c r="D6428" s="84"/>
    </row>
    <row r="6429" spans="4:4" x14ac:dyDescent="0.2">
      <c r="D6429" s="84"/>
    </row>
    <row r="6430" spans="4:4" x14ac:dyDescent="0.2">
      <c r="D6430" s="84"/>
    </row>
    <row r="6431" spans="4:4" x14ac:dyDescent="0.2">
      <c r="D6431" s="84"/>
    </row>
    <row r="6432" spans="4:4" x14ac:dyDescent="0.2">
      <c r="D6432" s="84"/>
    </row>
    <row r="6433" spans="4:4" x14ac:dyDescent="0.2">
      <c r="D6433" s="84"/>
    </row>
    <row r="6434" spans="4:4" x14ac:dyDescent="0.2">
      <c r="D6434" s="84"/>
    </row>
    <row r="6435" spans="4:4" x14ac:dyDescent="0.2">
      <c r="D6435" s="84"/>
    </row>
    <row r="6436" spans="4:4" x14ac:dyDescent="0.2">
      <c r="D6436" s="84"/>
    </row>
    <row r="6437" spans="4:4" x14ac:dyDescent="0.2">
      <c r="D6437" s="84"/>
    </row>
    <row r="6438" spans="4:4" x14ac:dyDescent="0.2">
      <c r="D6438" s="84"/>
    </row>
    <row r="6439" spans="4:4" x14ac:dyDescent="0.2">
      <c r="D6439" s="84"/>
    </row>
    <row r="6440" spans="4:4" x14ac:dyDescent="0.2">
      <c r="D6440" s="84"/>
    </row>
    <row r="6441" spans="4:4" x14ac:dyDescent="0.2">
      <c r="D6441" s="84"/>
    </row>
    <row r="6442" spans="4:4" x14ac:dyDescent="0.2">
      <c r="D6442" s="84"/>
    </row>
    <row r="6443" spans="4:4" x14ac:dyDescent="0.2">
      <c r="D6443" s="84"/>
    </row>
    <row r="6444" spans="4:4" x14ac:dyDescent="0.2">
      <c r="D6444" s="84"/>
    </row>
    <row r="6445" spans="4:4" x14ac:dyDescent="0.2">
      <c r="D6445" s="84"/>
    </row>
    <row r="6446" spans="4:4" x14ac:dyDescent="0.2">
      <c r="D6446" s="84"/>
    </row>
    <row r="6447" spans="4:4" x14ac:dyDescent="0.2">
      <c r="D6447" s="84"/>
    </row>
    <row r="6448" spans="4:4" x14ac:dyDescent="0.2">
      <c r="D6448" s="84"/>
    </row>
    <row r="6449" spans="4:4" x14ac:dyDescent="0.2">
      <c r="D6449" s="84"/>
    </row>
    <row r="6450" spans="4:4" x14ac:dyDescent="0.2">
      <c r="D6450" s="84"/>
    </row>
    <row r="6451" spans="4:4" x14ac:dyDescent="0.2">
      <c r="D6451" s="84"/>
    </row>
    <row r="6452" spans="4:4" x14ac:dyDescent="0.2">
      <c r="D6452" s="84"/>
    </row>
    <row r="6453" spans="4:4" x14ac:dyDescent="0.2">
      <c r="D6453" s="84"/>
    </row>
    <row r="6454" spans="4:4" x14ac:dyDescent="0.2">
      <c r="D6454" s="84"/>
    </row>
    <row r="6455" spans="4:4" x14ac:dyDescent="0.2">
      <c r="D6455" s="84"/>
    </row>
    <row r="6456" spans="4:4" x14ac:dyDescent="0.2">
      <c r="D6456" s="84"/>
    </row>
    <row r="6457" spans="4:4" x14ac:dyDescent="0.2">
      <c r="D6457" s="84"/>
    </row>
    <row r="6458" spans="4:4" x14ac:dyDescent="0.2">
      <c r="D6458" s="84"/>
    </row>
    <row r="6459" spans="4:4" x14ac:dyDescent="0.2">
      <c r="D6459" s="84"/>
    </row>
    <row r="6460" spans="4:4" x14ac:dyDescent="0.2">
      <c r="D6460" s="84"/>
    </row>
    <row r="6461" spans="4:4" x14ac:dyDescent="0.2">
      <c r="D6461" s="84"/>
    </row>
    <row r="6462" spans="4:4" x14ac:dyDescent="0.2">
      <c r="D6462" s="84"/>
    </row>
    <row r="6463" spans="4:4" x14ac:dyDescent="0.2">
      <c r="D6463" s="84"/>
    </row>
    <row r="6464" spans="4:4" x14ac:dyDescent="0.2">
      <c r="D6464" s="84"/>
    </row>
    <row r="6465" spans="4:4" x14ac:dyDescent="0.2">
      <c r="D6465" s="84"/>
    </row>
    <row r="6466" spans="4:4" x14ac:dyDescent="0.2">
      <c r="D6466" s="84"/>
    </row>
    <row r="6467" spans="4:4" x14ac:dyDescent="0.2">
      <c r="D6467" s="84"/>
    </row>
    <row r="6468" spans="4:4" x14ac:dyDescent="0.2">
      <c r="D6468" s="84"/>
    </row>
    <row r="6469" spans="4:4" x14ac:dyDescent="0.2">
      <c r="D6469" s="84"/>
    </row>
    <row r="6470" spans="4:4" x14ac:dyDescent="0.2">
      <c r="D6470" s="84"/>
    </row>
    <row r="6471" spans="4:4" x14ac:dyDescent="0.2">
      <c r="D6471" s="84"/>
    </row>
    <row r="6472" spans="4:4" x14ac:dyDescent="0.2">
      <c r="D6472" s="84"/>
    </row>
    <row r="6473" spans="4:4" x14ac:dyDescent="0.2">
      <c r="D6473" s="84"/>
    </row>
    <row r="6474" spans="4:4" x14ac:dyDescent="0.2">
      <c r="D6474" s="84"/>
    </row>
    <row r="6475" spans="4:4" x14ac:dyDescent="0.2">
      <c r="D6475" s="84"/>
    </row>
    <row r="6476" spans="4:4" x14ac:dyDescent="0.2">
      <c r="D6476" s="84"/>
    </row>
    <row r="6477" spans="4:4" x14ac:dyDescent="0.2">
      <c r="D6477" s="84"/>
    </row>
    <row r="6478" spans="4:4" x14ac:dyDescent="0.2">
      <c r="D6478" s="84"/>
    </row>
    <row r="6479" spans="4:4" x14ac:dyDescent="0.2">
      <c r="D6479" s="84"/>
    </row>
    <row r="6480" spans="4:4" x14ac:dyDescent="0.2">
      <c r="D6480" s="84"/>
    </row>
    <row r="6481" spans="4:4" x14ac:dyDescent="0.2">
      <c r="D6481" s="84"/>
    </row>
    <row r="6482" spans="4:4" x14ac:dyDescent="0.2">
      <c r="D6482" s="84"/>
    </row>
    <row r="6483" spans="4:4" x14ac:dyDescent="0.2">
      <c r="D6483" s="84"/>
    </row>
    <row r="6484" spans="4:4" x14ac:dyDescent="0.2">
      <c r="D6484" s="84"/>
    </row>
    <row r="6485" spans="4:4" x14ac:dyDescent="0.2">
      <c r="D6485" s="84"/>
    </row>
    <row r="6486" spans="4:4" x14ac:dyDescent="0.2">
      <c r="D6486" s="84"/>
    </row>
    <row r="6487" spans="4:4" x14ac:dyDescent="0.2">
      <c r="D6487" s="84"/>
    </row>
    <row r="6488" spans="4:4" x14ac:dyDescent="0.2">
      <c r="D6488" s="84"/>
    </row>
    <row r="6489" spans="4:4" x14ac:dyDescent="0.2">
      <c r="D6489" s="84"/>
    </row>
    <row r="6490" spans="4:4" x14ac:dyDescent="0.2">
      <c r="D6490" s="84"/>
    </row>
    <row r="6491" spans="4:4" x14ac:dyDescent="0.2">
      <c r="D6491" s="84"/>
    </row>
    <row r="6492" spans="4:4" x14ac:dyDescent="0.2">
      <c r="D6492" s="84"/>
    </row>
    <row r="6493" spans="4:4" x14ac:dyDescent="0.2">
      <c r="D6493" s="84"/>
    </row>
    <row r="6494" spans="4:4" x14ac:dyDescent="0.2">
      <c r="D6494" s="84"/>
    </row>
    <row r="6495" spans="4:4" x14ac:dyDescent="0.2">
      <c r="D6495" s="84"/>
    </row>
    <row r="6496" spans="4:4" x14ac:dyDescent="0.2">
      <c r="D6496" s="84"/>
    </row>
    <row r="6497" spans="4:4" x14ac:dyDescent="0.2">
      <c r="D6497" s="84"/>
    </row>
    <row r="6498" spans="4:4" x14ac:dyDescent="0.2">
      <c r="D6498" s="84"/>
    </row>
    <row r="6499" spans="4:4" x14ac:dyDescent="0.2">
      <c r="D6499" s="84"/>
    </row>
    <row r="6500" spans="4:4" x14ac:dyDescent="0.2">
      <c r="D6500" s="84"/>
    </row>
    <row r="6501" spans="4:4" x14ac:dyDescent="0.2">
      <c r="D6501" s="84"/>
    </row>
    <row r="6502" spans="4:4" x14ac:dyDescent="0.2">
      <c r="D6502" s="84"/>
    </row>
    <row r="6503" spans="4:4" x14ac:dyDescent="0.2">
      <c r="D6503" s="84"/>
    </row>
    <row r="6504" spans="4:4" x14ac:dyDescent="0.2">
      <c r="D6504" s="84"/>
    </row>
    <row r="6505" spans="4:4" x14ac:dyDescent="0.2">
      <c r="D6505" s="84"/>
    </row>
    <row r="6506" spans="4:4" x14ac:dyDescent="0.2">
      <c r="D6506" s="84"/>
    </row>
    <row r="6507" spans="4:4" x14ac:dyDescent="0.2">
      <c r="D6507" s="84"/>
    </row>
    <row r="6508" spans="4:4" x14ac:dyDescent="0.2">
      <c r="D6508" s="84"/>
    </row>
    <row r="6509" spans="4:4" x14ac:dyDescent="0.2">
      <c r="D6509" s="84"/>
    </row>
    <row r="6510" spans="4:4" x14ac:dyDescent="0.2">
      <c r="D6510" s="84"/>
    </row>
    <row r="6511" spans="4:4" x14ac:dyDescent="0.2">
      <c r="D6511" s="84"/>
    </row>
    <row r="6512" spans="4:4" x14ac:dyDescent="0.2">
      <c r="D6512" s="84"/>
    </row>
    <row r="6513" spans="4:4" x14ac:dyDescent="0.2">
      <c r="D6513" s="84"/>
    </row>
    <row r="6514" spans="4:4" x14ac:dyDescent="0.2">
      <c r="D6514" s="84"/>
    </row>
    <row r="6515" spans="4:4" x14ac:dyDescent="0.2">
      <c r="D6515" s="84"/>
    </row>
    <row r="6516" spans="4:4" x14ac:dyDescent="0.2">
      <c r="D6516" s="84"/>
    </row>
    <row r="6517" spans="4:4" x14ac:dyDescent="0.2">
      <c r="D6517" s="84"/>
    </row>
    <row r="6518" spans="4:4" x14ac:dyDescent="0.2">
      <c r="D6518" s="84"/>
    </row>
    <row r="6519" spans="4:4" x14ac:dyDescent="0.2">
      <c r="D6519" s="84"/>
    </row>
    <row r="6520" spans="4:4" x14ac:dyDescent="0.2">
      <c r="D6520" s="84"/>
    </row>
    <row r="6521" spans="4:4" x14ac:dyDescent="0.2">
      <c r="D6521" s="84"/>
    </row>
    <row r="6522" spans="4:4" x14ac:dyDescent="0.2">
      <c r="D6522" s="84"/>
    </row>
    <row r="6523" spans="4:4" x14ac:dyDescent="0.2">
      <c r="D6523" s="84"/>
    </row>
    <row r="6524" spans="4:4" x14ac:dyDescent="0.2">
      <c r="D6524" s="84"/>
    </row>
    <row r="6525" spans="4:4" x14ac:dyDescent="0.2">
      <c r="D6525" s="84"/>
    </row>
    <row r="6526" spans="4:4" x14ac:dyDescent="0.2">
      <c r="D6526" s="84"/>
    </row>
    <row r="6527" spans="4:4" x14ac:dyDescent="0.2">
      <c r="D6527" s="84"/>
    </row>
    <row r="6528" spans="4:4" x14ac:dyDescent="0.2">
      <c r="D6528" s="84"/>
    </row>
    <row r="6529" spans="4:4" x14ac:dyDescent="0.2">
      <c r="D6529" s="84"/>
    </row>
    <row r="6530" spans="4:4" x14ac:dyDescent="0.2">
      <c r="D6530" s="84"/>
    </row>
    <row r="6531" spans="4:4" x14ac:dyDescent="0.2">
      <c r="D6531" s="84"/>
    </row>
    <row r="6532" spans="4:4" x14ac:dyDescent="0.2">
      <c r="D6532" s="84"/>
    </row>
    <row r="6533" spans="4:4" x14ac:dyDescent="0.2">
      <c r="D6533" s="84"/>
    </row>
    <row r="6534" spans="4:4" x14ac:dyDescent="0.2">
      <c r="D6534" s="84"/>
    </row>
    <row r="6535" spans="4:4" x14ac:dyDescent="0.2">
      <c r="D6535" s="84"/>
    </row>
    <row r="6536" spans="4:4" x14ac:dyDescent="0.2">
      <c r="D6536" s="84"/>
    </row>
    <row r="6537" spans="4:4" x14ac:dyDescent="0.2">
      <c r="D6537" s="84"/>
    </row>
    <row r="6538" spans="4:4" x14ac:dyDescent="0.2">
      <c r="D6538" s="84"/>
    </row>
    <row r="6539" spans="4:4" x14ac:dyDescent="0.2">
      <c r="D6539" s="84"/>
    </row>
    <row r="6540" spans="4:4" x14ac:dyDescent="0.2">
      <c r="D6540" s="84"/>
    </row>
    <row r="6541" spans="4:4" x14ac:dyDescent="0.2">
      <c r="D6541" s="84"/>
    </row>
    <row r="6542" spans="4:4" x14ac:dyDescent="0.2">
      <c r="D6542" s="84"/>
    </row>
    <row r="6543" spans="4:4" x14ac:dyDescent="0.2">
      <c r="D6543" s="84"/>
    </row>
    <row r="6544" spans="4:4" x14ac:dyDescent="0.2">
      <c r="D6544" s="84"/>
    </row>
    <row r="6545" spans="4:4" x14ac:dyDescent="0.2">
      <c r="D6545" s="84"/>
    </row>
    <row r="6546" spans="4:4" x14ac:dyDescent="0.2">
      <c r="D6546" s="84"/>
    </row>
    <row r="6547" spans="4:4" x14ac:dyDescent="0.2">
      <c r="D6547" s="84"/>
    </row>
    <row r="6548" spans="4:4" x14ac:dyDescent="0.2">
      <c r="D6548" s="84"/>
    </row>
    <row r="6549" spans="4:4" x14ac:dyDescent="0.2">
      <c r="D6549" s="84"/>
    </row>
    <row r="6550" spans="4:4" x14ac:dyDescent="0.2">
      <c r="D6550" s="84"/>
    </row>
    <row r="6551" spans="4:4" x14ac:dyDescent="0.2">
      <c r="D6551" s="84"/>
    </row>
    <row r="6552" spans="4:4" x14ac:dyDescent="0.2">
      <c r="D6552" s="84"/>
    </row>
    <row r="6553" spans="4:4" x14ac:dyDescent="0.2">
      <c r="D6553" s="84"/>
    </row>
    <row r="6554" spans="4:4" x14ac:dyDescent="0.2">
      <c r="D6554" s="84"/>
    </row>
    <row r="6555" spans="4:4" x14ac:dyDescent="0.2">
      <c r="D6555" s="84"/>
    </row>
    <row r="6556" spans="4:4" x14ac:dyDescent="0.2">
      <c r="D6556" s="84"/>
    </row>
    <row r="6557" spans="4:4" x14ac:dyDescent="0.2">
      <c r="D6557" s="84"/>
    </row>
    <row r="6558" spans="4:4" x14ac:dyDescent="0.2">
      <c r="D6558" s="84"/>
    </row>
    <row r="6559" spans="4:4" x14ac:dyDescent="0.2">
      <c r="D6559" s="84"/>
    </row>
    <row r="6560" spans="4:4" x14ac:dyDescent="0.2">
      <c r="D6560" s="84"/>
    </row>
    <row r="6561" spans="4:4" x14ac:dyDescent="0.2">
      <c r="D6561" s="84"/>
    </row>
    <row r="6562" spans="4:4" x14ac:dyDescent="0.2">
      <c r="D6562" s="84"/>
    </row>
    <row r="6563" spans="4:4" x14ac:dyDescent="0.2">
      <c r="D6563" s="84"/>
    </row>
    <row r="6564" spans="4:4" x14ac:dyDescent="0.2">
      <c r="D6564" s="84"/>
    </row>
    <row r="6565" spans="4:4" x14ac:dyDescent="0.2">
      <c r="D6565" s="84"/>
    </row>
    <row r="6566" spans="4:4" x14ac:dyDescent="0.2">
      <c r="D6566" s="84"/>
    </row>
    <row r="6567" spans="4:4" x14ac:dyDescent="0.2">
      <c r="D6567" s="84"/>
    </row>
    <row r="6568" spans="4:4" x14ac:dyDescent="0.2">
      <c r="D6568" s="84"/>
    </row>
    <row r="6569" spans="4:4" x14ac:dyDescent="0.2">
      <c r="D6569" s="84"/>
    </row>
    <row r="6570" spans="4:4" x14ac:dyDescent="0.2">
      <c r="D6570" s="84"/>
    </row>
    <row r="6571" spans="4:4" x14ac:dyDescent="0.2">
      <c r="D6571" s="84"/>
    </row>
    <row r="6572" spans="4:4" x14ac:dyDescent="0.2">
      <c r="D6572" s="84"/>
    </row>
    <row r="6573" spans="4:4" x14ac:dyDescent="0.2">
      <c r="D6573" s="84"/>
    </row>
    <row r="6574" spans="4:4" x14ac:dyDescent="0.2">
      <c r="D6574" s="84"/>
    </row>
    <row r="6575" spans="4:4" x14ac:dyDescent="0.2">
      <c r="D6575" s="84"/>
    </row>
    <row r="6576" spans="4:4" x14ac:dyDescent="0.2">
      <c r="D6576" s="84"/>
    </row>
    <row r="6577" spans="4:4" x14ac:dyDescent="0.2">
      <c r="D6577" s="84"/>
    </row>
    <row r="6578" spans="4:4" x14ac:dyDescent="0.2">
      <c r="D6578" s="84"/>
    </row>
    <row r="6579" spans="4:4" x14ac:dyDescent="0.2">
      <c r="D6579" s="84"/>
    </row>
    <row r="6580" spans="4:4" x14ac:dyDescent="0.2">
      <c r="D6580" s="84"/>
    </row>
    <row r="6581" spans="4:4" x14ac:dyDescent="0.2">
      <c r="D6581" s="84"/>
    </row>
    <row r="6582" spans="4:4" x14ac:dyDescent="0.2">
      <c r="D6582" s="84"/>
    </row>
    <row r="6583" spans="4:4" x14ac:dyDescent="0.2">
      <c r="D6583" s="84"/>
    </row>
    <row r="6584" spans="4:4" x14ac:dyDescent="0.2">
      <c r="D6584" s="84"/>
    </row>
    <row r="6585" spans="4:4" x14ac:dyDescent="0.2">
      <c r="D6585" s="84"/>
    </row>
    <row r="6586" spans="4:4" x14ac:dyDescent="0.2">
      <c r="D6586" s="84"/>
    </row>
    <row r="6587" spans="4:4" x14ac:dyDescent="0.2">
      <c r="D6587" s="84"/>
    </row>
    <row r="6588" spans="4:4" x14ac:dyDescent="0.2">
      <c r="D6588" s="84"/>
    </row>
    <row r="6589" spans="4:4" x14ac:dyDescent="0.2">
      <c r="D6589" s="84"/>
    </row>
    <row r="6590" spans="4:4" x14ac:dyDescent="0.2">
      <c r="D6590" s="84"/>
    </row>
    <row r="6591" spans="4:4" x14ac:dyDescent="0.2">
      <c r="D6591" s="84"/>
    </row>
    <row r="6592" spans="4:4" x14ac:dyDescent="0.2">
      <c r="D6592" s="84"/>
    </row>
    <row r="6593" spans="4:4" x14ac:dyDescent="0.2">
      <c r="D6593" s="84"/>
    </row>
    <row r="6594" spans="4:4" x14ac:dyDescent="0.2">
      <c r="D6594" s="84"/>
    </row>
    <row r="6595" spans="4:4" x14ac:dyDescent="0.2">
      <c r="D6595" s="84"/>
    </row>
    <row r="6596" spans="4:4" x14ac:dyDescent="0.2">
      <c r="D6596" s="84"/>
    </row>
    <row r="6597" spans="4:4" x14ac:dyDescent="0.2">
      <c r="D6597" s="84"/>
    </row>
    <row r="6598" spans="4:4" x14ac:dyDescent="0.2">
      <c r="D6598" s="84"/>
    </row>
    <row r="6599" spans="4:4" x14ac:dyDescent="0.2">
      <c r="D6599" s="84"/>
    </row>
    <row r="6600" spans="4:4" x14ac:dyDescent="0.2">
      <c r="D6600" s="84"/>
    </row>
    <row r="6601" spans="4:4" x14ac:dyDescent="0.2">
      <c r="D6601" s="84"/>
    </row>
    <row r="6602" spans="4:4" x14ac:dyDescent="0.2">
      <c r="D6602" s="84"/>
    </row>
    <row r="6603" spans="4:4" x14ac:dyDescent="0.2">
      <c r="D6603" s="84"/>
    </row>
    <row r="6604" spans="4:4" x14ac:dyDescent="0.2">
      <c r="D6604" s="84"/>
    </row>
    <row r="6605" spans="4:4" x14ac:dyDescent="0.2">
      <c r="D6605" s="84"/>
    </row>
    <row r="6606" spans="4:4" x14ac:dyDescent="0.2">
      <c r="D6606" s="84"/>
    </row>
    <row r="6607" spans="4:4" x14ac:dyDescent="0.2">
      <c r="D6607" s="84"/>
    </row>
    <row r="6608" spans="4:4" x14ac:dyDescent="0.2">
      <c r="D6608" s="84"/>
    </row>
    <row r="6609" spans="4:4" x14ac:dyDescent="0.2">
      <c r="D6609" s="84"/>
    </row>
    <row r="6610" spans="4:4" x14ac:dyDescent="0.2">
      <c r="D6610" s="84"/>
    </row>
    <row r="6611" spans="4:4" x14ac:dyDescent="0.2">
      <c r="D6611" s="84"/>
    </row>
    <row r="6612" spans="4:4" x14ac:dyDescent="0.2">
      <c r="D6612" s="84"/>
    </row>
    <row r="6613" spans="4:4" x14ac:dyDescent="0.2">
      <c r="D6613" s="84"/>
    </row>
    <row r="6614" spans="4:4" x14ac:dyDescent="0.2">
      <c r="D6614" s="84"/>
    </row>
    <row r="6615" spans="4:4" x14ac:dyDescent="0.2">
      <c r="D6615" s="84"/>
    </row>
    <row r="6616" spans="4:4" x14ac:dyDescent="0.2">
      <c r="D6616" s="84"/>
    </row>
    <row r="6617" spans="4:4" x14ac:dyDescent="0.2">
      <c r="D6617" s="84"/>
    </row>
    <row r="6618" spans="4:4" x14ac:dyDescent="0.2">
      <c r="D6618" s="84"/>
    </row>
    <row r="6619" spans="4:4" x14ac:dyDescent="0.2">
      <c r="D6619" s="84"/>
    </row>
    <row r="6620" spans="4:4" x14ac:dyDescent="0.2">
      <c r="D6620" s="84"/>
    </row>
    <row r="6621" spans="4:4" x14ac:dyDescent="0.2">
      <c r="D6621" s="84"/>
    </row>
    <row r="6622" spans="4:4" x14ac:dyDescent="0.2">
      <c r="D6622" s="84"/>
    </row>
    <row r="6623" spans="4:4" x14ac:dyDescent="0.2">
      <c r="D6623" s="84"/>
    </row>
    <row r="6624" spans="4:4" x14ac:dyDescent="0.2">
      <c r="D6624" s="84"/>
    </row>
    <row r="6625" spans="4:4" x14ac:dyDescent="0.2">
      <c r="D6625" s="84"/>
    </row>
    <row r="6626" spans="4:4" x14ac:dyDescent="0.2">
      <c r="D6626" s="84"/>
    </row>
    <row r="6627" spans="4:4" x14ac:dyDescent="0.2">
      <c r="D6627" s="84"/>
    </row>
    <row r="6628" spans="4:4" x14ac:dyDescent="0.2">
      <c r="D6628" s="84"/>
    </row>
    <row r="6629" spans="4:4" x14ac:dyDescent="0.2">
      <c r="D6629" s="84"/>
    </row>
    <row r="6630" spans="4:4" x14ac:dyDescent="0.2">
      <c r="D6630" s="84"/>
    </row>
    <row r="6631" spans="4:4" x14ac:dyDescent="0.2">
      <c r="D6631" s="84"/>
    </row>
    <row r="6632" spans="4:4" x14ac:dyDescent="0.2">
      <c r="D6632" s="84"/>
    </row>
    <row r="6633" spans="4:4" x14ac:dyDescent="0.2">
      <c r="D6633" s="84"/>
    </row>
    <row r="6634" spans="4:4" x14ac:dyDescent="0.2">
      <c r="D6634" s="84"/>
    </row>
    <row r="6635" spans="4:4" x14ac:dyDescent="0.2">
      <c r="D6635" s="84"/>
    </row>
    <row r="6636" spans="4:4" x14ac:dyDescent="0.2">
      <c r="D6636" s="84"/>
    </row>
    <row r="6637" spans="4:4" x14ac:dyDescent="0.2">
      <c r="D6637" s="84"/>
    </row>
    <row r="6638" spans="4:4" x14ac:dyDescent="0.2">
      <c r="D6638" s="84"/>
    </row>
    <row r="6639" spans="4:4" x14ac:dyDescent="0.2">
      <c r="D6639" s="84"/>
    </row>
    <row r="6640" spans="4:4" x14ac:dyDescent="0.2">
      <c r="D6640" s="84"/>
    </row>
    <row r="6641" spans="4:4" x14ac:dyDescent="0.2">
      <c r="D6641" s="84"/>
    </row>
    <row r="6642" spans="4:4" x14ac:dyDescent="0.2">
      <c r="D6642" s="84"/>
    </row>
    <row r="6643" spans="4:4" x14ac:dyDescent="0.2">
      <c r="D6643" s="84"/>
    </row>
    <row r="6644" spans="4:4" x14ac:dyDescent="0.2">
      <c r="D6644" s="84"/>
    </row>
    <row r="6645" spans="4:4" x14ac:dyDescent="0.2">
      <c r="D6645" s="84"/>
    </row>
    <row r="6646" spans="4:4" x14ac:dyDescent="0.2">
      <c r="D6646" s="84"/>
    </row>
    <row r="6647" spans="4:4" x14ac:dyDescent="0.2">
      <c r="D6647" s="84"/>
    </row>
    <row r="6648" spans="4:4" x14ac:dyDescent="0.2">
      <c r="D6648" s="84"/>
    </row>
    <row r="6649" spans="4:4" x14ac:dyDescent="0.2">
      <c r="D6649" s="84"/>
    </row>
    <row r="6650" spans="4:4" x14ac:dyDescent="0.2">
      <c r="D6650" s="84"/>
    </row>
    <row r="6651" spans="4:4" x14ac:dyDescent="0.2">
      <c r="D6651" s="84"/>
    </row>
    <row r="6652" spans="4:4" x14ac:dyDescent="0.2">
      <c r="D6652" s="84"/>
    </row>
    <row r="6653" spans="4:4" x14ac:dyDescent="0.2">
      <c r="D6653" s="84"/>
    </row>
    <row r="6654" spans="4:4" x14ac:dyDescent="0.2">
      <c r="D6654" s="84"/>
    </row>
    <row r="6655" spans="4:4" x14ac:dyDescent="0.2">
      <c r="D6655" s="84"/>
    </row>
    <row r="6656" spans="4:4" x14ac:dyDescent="0.2">
      <c r="D6656" s="84"/>
    </row>
    <row r="6657" spans="4:4" x14ac:dyDescent="0.2">
      <c r="D6657" s="84"/>
    </row>
    <row r="6658" spans="4:4" x14ac:dyDescent="0.2">
      <c r="D6658" s="84"/>
    </row>
    <row r="6659" spans="4:4" x14ac:dyDescent="0.2">
      <c r="D6659" s="84"/>
    </row>
    <row r="6660" spans="4:4" x14ac:dyDescent="0.2">
      <c r="D6660" s="84"/>
    </row>
    <row r="6661" spans="4:4" x14ac:dyDescent="0.2">
      <c r="D6661" s="84"/>
    </row>
    <row r="6662" spans="4:4" x14ac:dyDescent="0.2">
      <c r="D6662" s="84"/>
    </row>
    <row r="6663" spans="4:4" x14ac:dyDescent="0.2">
      <c r="D6663" s="84"/>
    </row>
    <row r="6664" spans="4:4" x14ac:dyDescent="0.2">
      <c r="D6664" s="84"/>
    </row>
    <row r="6665" spans="4:4" x14ac:dyDescent="0.2">
      <c r="D6665" s="84"/>
    </row>
    <row r="6666" spans="4:4" x14ac:dyDescent="0.2">
      <c r="D6666" s="84"/>
    </row>
    <row r="6667" spans="4:4" x14ac:dyDescent="0.2">
      <c r="D6667" s="84"/>
    </row>
    <row r="6668" spans="4:4" x14ac:dyDescent="0.2">
      <c r="D6668" s="84"/>
    </row>
    <row r="6669" spans="4:4" x14ac:dyDescent="0.2">
      <c r="D6669" s="84"/>
    </row>
    <row r="6670" spans="4:4" x14ac:dyDescent="0.2">
      <c r="D6670" s="84"/>
    </row>
    <row r="6671" spans="4:4" x14ac:dyDescent="0.2">
      <c r="D6671" s="84"/>
    </row>
    <row r="6672" spans="4:4" x14ac:dyDescent="0.2">
      <c r="D6672" s="84"/>
    </row>
    <row r="6673" spans="4:4" x14ac:dyDescent="0.2">
      <c r="D6673" s="84"/>
    </row>
    <row r="6674" spans="4:4" x14ac:dyDescent="0.2">
      <c r="D6674" s="84"/>
    </row>
    <row r="6675" spans="4:4" x14ac:dyDescent="0.2">
      <c r="D6675" s="84"/>
    </row>
    <row r="6676" spans="4:4" x14ac:dyDescent="0.2">
      <c r="D6676" s="84"/>
    </row>
    <row r="6677" spans="4:4" x14ac:dyDescent="0.2">
      <c r="D6677" s="84"/>
    </row>
    <row r="6678" spans="4:4" x14ac:dyDescent="0.2">
      <c r="D6678" s="84"/>
    </row>
    <row r="6679" spans="4:4" x14ac:dyDescent="0.2">
      <c r="D6679" s="84"/>
    </row>
    <row r="6680" spans="4:4" x14ac:dyDescent="0.2">
      <c r="D6680" s="84"/>
    </row>
    <row r="6681" spans="4:4" x14ac:dyDescent="0.2">
      <c r="D6681" s="84"/>
    </row>
    <row r="6682" spans="4:4" x14ac:dyDescent="0.2">
      <c r="D6682" s="84"/>
    </row>
    <row r="6683" spans="4:4" x14ac:dyDescent="0.2">
      <c r="D6683" s="84"/>
    </row>
    <row r="6684" spans="4:4" x14ac:dyDescent="0.2">
      <c r="D6684" s="84"/>
    </row>
    <row r="6685" spans="4:4" x14ac:dyDescent="0.2">
      <c r="D6685" s="84"/>
    </row>
    <row r="6686" spans="4:4" x14ac:dyDescent="0.2">
      <c r="D6686" s="84"/>
    </row>
    <row r="6687" spans="4:4" x14ac:dyDescent="0.2">
      <c r="D6687" s="84"/>
    </row>
    <row r="6688" spans="4:4" x14ac:dyDescent="0.2">
      <c r="D6688" s="84"/>
    </row>
    <row r="6689" spans="4:4" x14ac:dyDescent="0.2">
      <c r="D6689" s="84"/>
    </row>
    <row r="6690" spans="4:4" x14ac:dyDescent="0.2">
      <c r="D6690" s="84"/>
    </row>
    <row r="6691" spans="4:4" x14ac:dyDescent="0.2">
      <c r="D6691" s="84"/>
    </row>
    <row r="6692" spans="4:4" x14ac:dyDescent="0.2">
      <c r="D6692" s="84"/>
    </row>
    <row r="6693" spans="4:4" x14ac:dyDescent="0.2">
      <c r="D6693" s="84"/>
    </row>
    <row r="6694" spans="4:4" x14ac:dyDescent="0.2">
      <c r="D6694" s="84"/>
    </row>
    <row r="6695" spans="4:4" x14ac:dyDescent="0.2">
      <c r="D6695" s="84"/>
    </row>
    <row r="6696" spans="4:4" x14ac:dyDescent="0.2">
      <c r="D6696" s="84"/>
    </row>
    <row r="6697" spans="4:4" x14ac:dyDescent="0.2">
      <c r="D6697" s="84"/>
    </row>
    <row r="6698" spans="4:4" x14ac:dyDescent="0.2">
      <c r="D6698" s="84"/>
    </row>
    <row r="6699" spans="4:4" x14ac:dyDescent="0.2">
      <c r="D6699" s="84"/>
    </row>
    <row r="6700" spans="4:4" x14ac:dyDescent="0.2">
      <c r="D6700" s="84"/>
    </row>
    <row r="6701" spans="4:4" x14ac:dyDescent="0.2">
      <c r="D6701" s="84"/>
    </row>
    <row r="6702" spans="4:4" x14ac:dyDescent="0.2">
      <c r="D6702" s="84"/>
    </row>
    <row r="6703" spans="4:4" x14ac:dyDescent="0.2">
      <c r="D6703" s="84"/>
    </row>
    <row r="6704" spans="4:4" x14ac:dyDescent="0.2">
      <c r="D6704" s="84"/>
    </row>
    <row r="6705" spans="4:4" x14ac:dyDescent="0.2">
      <c r="D6705" s="84"/>
    </row>
    <row r="6706" spans="4:4" x14ac:dyDescent="0.2">
      <c r="D6706" s="84"/>
    </row>
    <row r="6707" spans="4:4" x14ac:dyDescent="0.2">
      <c r="D6707" s="84"/>
    </row>
    <row r="6708" spans="4:4" x14ac:dyDescent="0.2">
      <c r="D6708" s="84"/>
    </row>
    <row r="6709" spans="4:4" x14ac:dyDescent="0.2">
      <c r="D6709" s="84"/>
    </row>
    <row r="6710" spans="4:4" x14ac:dyDescent="0.2">
      <c r="D6710" s="84"/>
    </row>
    <row r="6711" spans="4:4" x14ac:dyDescent="0.2">
      <c r="D6711" s="84"/>
    </row>
    <row r="6712" spans="4:4" x14ac:dyDescent="0.2">
      <c r="D6712" s="84"/>
    </row>
    <row r="6713" spans="4:4" x14ac:dyDescent="0.2">
      <c r="D6713" s="84"/>
    </row>
    <row r="6714" spans="4:4" x14ac:dyDescent="0.2">
      <c r="D6714" s="84"/>
    </row>
    <row r="6715" spans="4:4" x14ac:dyDescent="0.2">
      <c r="D6715" s="84"/>
    </row>
    <row r="6716" spans="4:4" x14ac:dyDescent="0.2">
      <c r="D6716" s="84"/>
    </row>
    <row r="6717" spans="4:4" x14ac:dyDescent="0.2">
      <c r="D6717" s="84"/>
    </row>
    <row r="6718" spans="4:4" x14ac:dyDescent="0.2">
      <c r="D6718" s="84"/>
    </row>
    <row r="6719" spans="4:4" x14ac:dyDescent="0.2">
      <c r="D6719" s="84"/>
    </row>
    <row r="6720" spans="4:4" x14ac:dyDescent="0.2">
      <c r="D6720" s="84"/>
    </row>
    <row r="6721" spans="4:4" x14ac:dyDescent="0.2">
      <c r="D6721" s="84"/>
    </row>
    <row r="6722" spans="4:4" x14ac:dyDescent="0.2">
      <c r="D6722" s="84"/>
    </row>
    <row r="6723" spans="4:4" x14ac:dyDescent="0.2">
      <c r="D6723" s="84"/>
    </row>
    <row r="6724" spans="4:4" x14ac:dyDescent="0.2">
      <c r="D6724" s="84"/>
    </row>
    <row r="6725" spans="4:4" x14ac:dyDescent="0.2">
      <c r="D6725" s="84"/>
    </row>
    <row r="6726" spans="4:4" x14ac:dyDescent="0.2">
      <c r="D6726" s="84"/>
    </row>
    <row r="6727" spans="4:4" x14ac:dyDescent="0.2">
      <c r="D6727" s="84"/>
    </row>
    <row r="6728" spans="4:4" x14ac:dyDescent="0.2">
      <c r="D6728" s="84"/>
    </row>
    <row r="6729" spans="4:4" x14ac:dyDescent="0.2">
      <c r="D6729" s="84"/>
    </row>
    <row r="6730" spans="4:4" x14ac:dyDescent="0.2">
      <c r="D6730" s="84"/>
    </row>
    <row r="6731" spans="4:4" x14ac:dyDescent="0.2">
      <c r="D6731" s="84"/>
    </row>
    <row r="6732" spans="4:4" x14ac:dyDescent="0.2">
      <c r="D6732" s="84"/>
    </row>
    <row r="6733" spans="4:4" x14ac:dyDescent="0.2">
      <c r="D6733" s="84"/>
    </row>
    <row r="6734" spans="4:4" x14ac:dyDescent="0.2">
      <c r="D6734" s="84"/>
    </row>
    <row r="6735" spans="4:4" x14ac:dyDescent="0.2">
      <c r="D6735" s="84"/>
    </row>
    <row r="6736" spans="4:4" x14ac:dyDescent="0.2">
      <c r="D6736" s="84"/>
    </row>
    <row r="6737" spans="4:4" x14ac:dyDescent="0.2">
      <c r="D6737" s="84"/>
    </row>
    <row r="6738" spans="4:4" x14ac:dyDescent="0.2">
      <c r="D6738" s="84"/>
    </row>
    <row r="6739" spans="4:4" x14ac:dyDescent="0.2">
      <c r="D6739" s="84"/>
    </row>
    <row r="6740" spans="4:4" x14ac:dyDescent="0.2">
      <c r="D6740" s="84"/>
    </row>
    <row r="6741" spans="4:4" x14ac:dyDescent="0.2">
      <c r="D6741" s="84"/>
    </row>
    <row r="6742" spans="4:4" x14ac:dyDescent="0.2">
      <c r="D6742" s="84"/>
    </row>
    <row r="6743" spans="4:4" x14ac:dyDescent="0.2">
      <c r="D6743" s="84"/>
    </row>
    <row r="6744" spans="4:4" x14ac:dyDescent="0.2">
      <c r="D6744" s="84"/>
    </row>
    <row r="6745" spans="4:4" x14ac:dyDescent="0.2">
      <c r="D6745" s="84"/>
    </row>
    <row r="6746" spans="4:4" x14ac:dyDescent="0.2">
      <c r="D6746" s="84"/>
    </row>
    <row r="6747" spans="4:4" x14ac:dyDescent="0.2">
      <c r="D6747" s="84"/>
    </row>
    <row r="6748" spans="4:4" x14ac:dyDescent="0.2">
      <c r="D6748" s="84"/>
    </row>
    <row r="6749" spans="4:4" x14ac:dyDescent="0.2">
      <c r="D6749" s="84"/>
    </row>
    <row r="6750" spans="4:4" x14ac:dyDescent="0.2">
      <c r="D6750" s="84"/>
    </row>
    <row r="6751" spans="4:4" x14ac:dyDescent="0.2">
      <c r="D6751" s="84"/>
    </row>
    <row r="6752" spans="4:4" x14ac:dyDescent="0.2">
      <c r="D6752" s="84"/>
    </row>
    <row r="6753" spans="4:4" x14ac:dyDescent="0.2">
      <c r="D6753" s="84"/>
    </row>
    <row r="6754" spans="4:4" x14ac:dyDescent="0.2">
      <c r="D6754" s="84"/>
    </row>
    <row r="6755" spans="4:4" x14ac:dyDescent="0.2">
      <c r="D6755" s="84"/>
    </row>
    <row r="6756" spans="4:4" x14ac:dyDescent="0.2">
      <c r="D6756" s="84"/>
    </row>
    <row r="6757" spans="4:4" x14ac:dyDescent="0.2">
      <c r="D6757" s="84"/>
    </row>
    <row r="6758" spans="4:4" x14ac:dyDescent="0.2">
      <c r="D6758" s="84"/>
    </row>
    <row r="6759" spans="4:4" x14ac:dyDescent="0.2">
      <c r="D6759" s="84"/>
    </row>
    <row r="6760" spans="4:4" x14ac:dyDescent="0.2">
      <c r="D6760" s="84"/>
    </row>
    <row r="6761" spans="4:4" x14ac:dyDescent="0.2">
      <c r="D6761" s="84"/>
    </row>
    <row r="6762" spans="4:4" x14ac:dyDescent="0.2">
      <c r="D6762" s="84"/>
    </row>
    <row r="6763" spans="4:4" x14ac:dyDescent="0.2">
      <c r="D6763" s="84"/>
    </row>
    <row r="6764" spans="4:4" x14ac:dyDescent="0.2">
      <c r="D6764" s="84"/>
    </row>
    <row r="6765" spans="4:4" x14ac:dyDescent="0.2">
      <c r="D6765" s="84"/>
    </row>
    <row r="6766" spans="4:4" x14ac:dyDescent="0.2">
      <c r="D6766" s="84"/>
    </row>
    <row r="6767" spans="4:4" x14ac:dyDescent="0.2">
      <c r="D6767" s="84"/>
    </row>
    <row r="6768" spans="4:4" x14ac:dyDescent="0.2">
      <c r="D6768" s="84"/>
    </row>
    <row r="6769" spans="4:4" x14ac:dyDescent="0.2">
      <c r="D6769" s="84"/>
    </row>
    <row r="6770" spans="4:4" x14ac:dyDescent="0.2">
      <c r="D6770" s="84"/>
    </row>
    <row r="6771" spans="4:4" x14ac:dyDescent="0.2">
      <c r="D6771" s="84"/>
    </row>
    <row r="6772" spans="4:4" x14ac:dyDescent="0.2">
      <c r="D6772" s="84"/>
    </row>
    <row r="6773" spans="4:4" x14ac:dyDescent="0.2">
      <c r="D6773" s="84"/>
    </row>
    <row r="6774" spans="4:4" x14ac:dyDescent="0.2">
      <c r="D6774" s="84"/>
    </row>
    <row r="6775" spans="4:4" x14ac:dyDescent="0.2">
      <c r="D6775" s="84"/>
    </row>
    <row r="6776" spans="4:4" x14ac:dyDescent="0.2">
      <c r="D6776" s="84"/>
    </row>
    <row r="6777" spans="4:4" x14ac:dyDescent="0.2">
      <c r="D6777" s="84"/>
    </row>
    <row r="6778" spans="4:4" x14ac:dyDescent="0.2">
      <c r="D6778" s="84"/>
    </row>
    <row r="6779" spans="4:4" x14ac:dyDescent="0.2">
      <c r="D6779" s="84"/>
    </row>
    <row r="6780" spans="4:4" x14ac:dyDescent="0.2">
      <c r="D6780" s="84"/>
    </row>
    <row r="6781" spans="4:4" x14ac:dyDescent="0.2">
      <c r="D6781" s="84"/>
    </row>
    <row r="6782" spans="4:4" x14ac:dyDescent="0.2">
      <c r="D6782" s="84"/>
    </row>
    <row r="6783" spans="4:4" x14ac:dyDescent="0.2">
      <c r="D6783" s="84"/>
    </row>
    <row r="6784" spans="4:4" x14ac:dyDescent="0.2">
      <c r="D6784" s="84"/>
    </row>
    <row r="6785" spans="4:4" x14ac:dyDescent="0.2">
      <c r="D6785" s="84"/>
    </row>
    <row r="6786" spans="4:4" x14ac:dyDescent="0.2">
      <c r="D6786" s="84"/>
    </row>
    <row r="6787" spans="4:4" x14ac:dyDescent="0.2">
      <c r="D6787" s="84"/>
    </row>
    <row r="6788" spans="4:4" x14ac:dyDescent="0.2">
      <c r="D6788" s="84"/>
    </row>
    <row r="6789" spans="4:4" x14ac:dyDescent="0.2">
      <c r="D6789" s="84"/>
    </row>
    <row r="6790" spans="4:4" x14ac:dyDescent="0.2">
      <c r="D6790" s="84"/>
    </row>
    <row r="6791" spans="4:4" x14ac:dyDescent="0.2">
      <c r="D6791" s="84"/>
    </row>
    <row r="6792" spans="4:4" x14ac:dyDescent="0.2">
      <c r="D6792" s="84"/>
    </row>
    <row r="6793" spans="4:4" x14ac:dyDescent="0.2">
      <c r="D6793" s="84"/>
    </row>
    <row r="6794" spans="4:4" x14ac:dyDescent="0.2">
      <c r="D6794" s="84"/>
    </row>
    <row r="6795" spans="4:4" x14ac:dyDescent="0.2">
      <c r="D6795" s="84"/>
    </row>
    <row r="6796" spans="4:4" x14ac:dyDescent="0.2">
      <c r="D6796" s="84"/>
    </row>
    <row r="6797" spans="4:4" x14ac:dyDescent="0.2">
      <c r="D6797" s="84"/>
    </row>
    <row r="6798" spans="4:4" x14ac:dyDescent="0.2">
      <c r="D6798" s="84"/>
    </row>
    <row r="6799" spans="4:4" x14ac:dyDescent="0.2">
      <c r="D6799" s="84"/>
    </row>
    <row r="6800" spans="4:4" x14ac:dyDescent="0.2">
      <c r="D6800" s="84"/>
    </row>
    <row r="6801" spans="4:4" x14ac:dyDescent="0.2">
      <c r="D6801" s="84"/>
    </row>
    <row r="6802" spans="4:4" x14ac:dyDescent="0.2">
      <c r="D6802" s="84"/>
    </row>
    <row r="6803" spans="4:4" x14ac:dyDescent="0.2">
      <c r="D6803" s="84"/>
    </row>
    <row r="6804" spans="4:4" x14ac:dyDescent="0.2">
      <c r="D6804" s="84"/>
    </row>
    <row r="6805" spans="4:4" x14ac:dyDescent="0.2">
      <c r="D6805" s="84"/>
    </row>
    <row r="6806" spans="4:4" x14ac:dyDescent="0.2">
      <c r="D6806" s="84"/>
    </row>
    <row r="6807" spans="4:4" x14ac:dyDescent="0.2">
      <c r="D6807" s="84"/>
    </row>
    <row r="6808" spans="4:4" x14ac:dyDescent="0.2">
      <c r="D6808" s="84"/>
    </row>
    <row r="6809" spans="4:4" x14ac:dyDescent="0.2">
      <c r="D6809" s="84"/>
    </row>
    <row r="6810" spans="4:4" x14ac:dyDescent="0.2">
      <c r="D6810" s="84"/>
    </row>
    <row r="6811" spans="4:4" x14ac:dyDescent="0.2">
      <c r="D6811" s="84"/>
    </row>
    <row r="6812" spans="4:4" x14ac:dyDescent="0.2">
      <c r="D6812" s="84"/>
    </row>
    <row r="6813" spans="4:4" x14ac:dyDescent="0.2">
      <c r="D6813" s="84"/>
    </row>
    <row r="6814" spans="4:4" x14ac:dyDescent="0.2">
      <c r="D6814" s="84"/>
    </row>
    <row r="6815" spans="4:4" x14ac:dyDescent="0.2">
      <c r="D6815" s="84"/>
    </row>
    <row r="6816" spans="4:4" x14ac:dyDescent="0.2">
      <c r="D6816" s="84"/>
    </row>
    <row r="6817" spans="4:4" x14ac:dyDescent="0.2">
      <c r="D6817" s="84"/>
    </row>
    <row r="6818" spans="4:4" x14ac:dyDescent="0.2">
      <c r="D6818" s="84"/>
    </row>
    <row r="6819" spans="4:4" x14ac:dyDescent="0.2">
      <c r="D6819" s="84"/>
    </row>
    <row r="6820" spans="4:4" x14ac:dyDescent="0.2">
      <c r="D6820" s="84"/>
    </row>
    <row r="6821" spans="4:4" x14ac:dyDescent="0.2">
      <c r="D6821" s="84"/>
    </row>
    <row r="6822" spans="4:4" x14ac:dyDescent="0.2">
      <c r="D6822" s="84"/>
    </row>
    <row r="6823" spans="4:4" x14ac:dyDescent="0.2">
      <c r="D6823" s="84"/>
    </row>
    <row r="6824" spans="4:4" x14ac:dyDescent="0.2">
      <c r="D6824" s="84"/>
    </row>
    <row r="6825" spans="4:4" x14ac:dyDescent="0.2">
      <c r="D6825" s="84"/>
    </row>
    <row r="6826" spans="4:4" x14ac:dyDescent="0.2">
      <c r="D6826" s="84"/>
    </row>
    <row r="6827" spans="4:4" x14ac:dyDescent="0.2">
      <c r="D6827" s="84"/>
    </row>
    <row r="6828" spans="4:4" x14ac:dyDescent="0.2">
      <c r="D6828" s="84"/>
    </row>
    <row r="6829" spans="4:4" x14ac:dyDescent="0.2">
      <c r="D6829" s="84"/>
    </row>
    <row r="6830" spans="4:4" x14ac:dyDescent="0.2">
      <c r="D6830" s="84"/>
    </row>
    <row r="6831" spans="4:4" x14ac:dyDescent="0.2">
      <c r="D6831" s="84"/>
    </row>
    <row r="6832" spans="4:4" x14ac:dyDescent="0.2">
      <c r="D6832" s="84"/>
    </row>
    <row r="6833" spans="4:4" x14ac:dyDescent="0.2">
      <c r="D6833" s="84"/>
    </row>
    <row r="6834" spans="4:4" x14ac:dyDescent="0.2">
      <c r="D6834" s="84"/>
    </row>
    <row r="6835" spans="4:4" x14ac:dyDescent="0.2">
      <c r="D6835" s="84"/>
    </row>
    <row r="6836" spans="4:4" x14ac:dyDescent="0.2">
      <c r="D6836" s="84"/>
    </row>
    <row r="6837" spans="4:4" x14ac:dyDescent="0.2">
      <c r="D6837" s="84"/>
    </row>
    <row r="6838" spans="4:4" x14ac:dyDescent="0.2">
      <c r="D6838" s="84"/>
    </row>
    <row r="6839" spans="4:4" x14ac:dyDescent="0.2">
      <c r="D6839" s="84"/>
    </row>
    <row r="6840" spans="4:4" x14ac:dyDescent="0.2">
      <c r="D6840" s="84"/>
    </row>
    <row r="6841" spans="4:4" x14ac:dyDescent="0.2">
      <c r="D6841" s="84"/>
    </row>
    <row r="6842" spans="4:4" x14ac:dyDescent="0.2">
      <c r="D6842" s="84"/>
    </row>
    <row r="6843" spans="4:4" x14ac:dyDescent="0.2">
      <c r="D6843" s="84"/>
    </row>
    <row r="6844" spans="4:4" x14ac:dyDescent="0.2">
      <c r="D6844" s="84"/>
    </row>
    <row r="6845" spans="4:4" x14ac:dyDescent="0.2">
      <c r="D6845" s="84"/>
    </row>
    <row r="6846" spans="4:4" x14ac:dyDescent="0.2">
      <c r="D6846" s="84"/>
    </row>
    <row r="6847" spans="4:4" x14ac:dyDescent="0.2">
      <c r="D6847" s="84"/>
    </row>
    <row r="6848" spans="4:4" x14ac:dyDescent="0.2">
      <c r="D6848" s="84"/>
    </row>
    <row r="6849" spans="4:4" x14ac:dyDescent="0.2">
      <c r="D6849" s="84"/>
    </row>
    <row r="6850" spans="4:4" x14ac:dyDescent="0.2">
      <c r="D6850" s="84"/>
    </row>
    <row r="6851" spans="4:4" x14ac:dyDescent="0.2">
      <c r="D6851" s="84"/>
    </row>
    <row r="6852" spans="4:4" x14ac:dyDescent="0.2">
      <c r="D6852" s="84"/>
    </row>
    <row r="6853" spans="4:4" x14ac:dyDescent="0.2">
      <c r="D6853" s="84"/>
    </row>
    <row r="6854" spans="4:4" x14ac:dyDescent="0.2">
      <c r="D6854" s="84"/>
    </row>
    <row r="6855" spans="4:4" x14ac:dyDescent="0.2">
      <c r="D6855" s="84"/>
    </row>
    <row r="6856" spans="4:4" x14ac:dyDescent="0.2">
      <c r="D6856" s="84"/>
    </row>
    <row r="6857" spans="4:4" x14ac:dyDescent="0.2">
      <c r="D6857" s="84"/>
    </row>
    <row r="6858" spans="4:4" x14ac:dyDescent="0.2">
      <c r="D6858" s="84"/>
    </row>
    <row r="6859" spans="4:4" x14ac:dyDescent="0.2">
      <c r="D6859" s="84"/>
    </row>
    <row r="6860" spans="4:4" x14ac:dyDescent="0.2">
      <c r="D6860" s="84"/>
    </row>
    <row r="6861" spans="4:4" x14ac:dyDescent="0.2">
      <c r="D6861" s="84"/>
    </row>
    <row r="6862" spans="4:4" x14ac:dyDescent="0.2">
      <c r="D6862" s="84"/>
    </row>
    <row r="6863" spans="4:4" x14ac:dyDescent="0.2">
      <c r="D6863" s="84"/>
    </row>
    <row r="6864" spans="4:4" x14ac:dyDescent="0.2">
      <c r="D6864" s="84"/>
    </row>
    <row r="6865" spans="4:4" x14ac:dyDescent="0.2">
      <c r="D6865" s="84"/>
    </row>
    <row r="6866" spans="4:4" x14ac:dyDescent="0.2">
      <c r="D6866" s="84"/>
    </row>
    <row r="6867" spans="4:4" x14ac:dyDescent="0.2">
      <c r="D6867" s="84"/>
    </row>
    <row r="6868" spans="4:4" x14ac:dyDescent="0.2">
      <c r="D6868" s="84"/>
    </row>
    <row r="6869" spans="4:4" x14ac:dyDescent="0.2">
      <c r="D6869" s="84"/>
    </row>
    <row r="6870" spans="4:4" x14ac:dyDescent="0.2">
      <c r="D6870" s="84"/>
    </row>
    <row r="6871" spans="4:4" x14ac:dyDescent="0.2">
      <c r="D6871" s="84"/>
    </row>
    <row r="6872" spans="4:4" x14ac:dyDescent="0.2">
      <c r="D6872" s="84"/>
    </row>
    <row r="6873" spans="4:4" x14ac:dyDescent="0.2">
      <c r="D6873" s="84"/>
    </row>
    <row r="6874" spans="4:4" x14ac:dyDescent="0.2">
      <c r="D6874" s="84"/>
    </row>
    <row r="6875" spans="4:4" x14ac:dyDescent="0.2">
      <c r="D6875" s="84"/>
    </row>
    <row r="6876" spans="4:4" x14ac:dyDescent="0.2">
      <c r="D6876" s="84"/>
    </row>
    <row r="6877" spans="4:4" x14ac:dyDescent="0.2">
      <c r="D6877" s="84"/>
    </row>
    <row r="6878" spans="4:4" x14ac:dyDescent="0.2">
      <c r="D6878" s="84"/>
    </row>
    <row r="6879" spans="4:4" x14ac:dyDescent="0.2">
      <c r="D6879" s="84"/>
    </row>
    <row r="6880" spans="4:4" x14ac:dyDescent="0.2">
      <c r="D6880" s="84"/>
    </row>
    <row r="6881" spans="4:4" x14ac:dyDescent="0.2">
      <c r="D6881" s="84"/>
    </row>
    <row r="6882" spans="4:4" x14ac:dyDescent="0.2">
      <c r="D6882" s="84"/>
    </row>
    <row r="6883" spans="4:4" x14ac:dyDescent="0.2">
      <c r="D6883" s="84"/>
    </row>
    <row r="6884" spans="4:4" x14ac:dyDescent="0.2">
      <c r="D6884" s="84"/>
    </row>
    <row r="6885" spans="4:4" x14ac:dyDescent="0.2">
      <c r="D6885" s="84"/>
    </row>
    <row r="6886" spans="4:4" x14ac:dyDescent="0.2">
      <c r="D6886" s="84"/>
    </row>
    <row r="6887" spans="4:4" x14ac:dyDescent="0.2">
      <c r="D6887" s="84"/>
    </row>
    <row r="6888" spans="4:4" x14ac:dyDescent="0.2">
      <c r="D6888" s="84"/>
    </row>
    <row r="6889" spans="4:4" x14ac:dyDescent="0.2">
      <c r="D6889" s="84"/>
    </row>
    <row r="6890" spans="4:4" x14ac:dyDescent="0.2">
      <c r="D6890" s="84"/>
    </row>
    <row r="6891" spans="4:4" x14ac:dyDescent="0.2">
      <c r="D6891" s="84"/>
    </row>
    <row r="6892" spans="4:4" x14ac:dyDescent="0.2">
      <c r="D6892" s="84"/>
    </row>
    <row r="6893" spans="4:4" x14ac:dyDescent="0.2">
      <c r="D6893" s="84"/>
    </row>
    <row r="6894" spans="4:4" x14ac:dyDescent="0.2">
      <c r="D6894" s="84"/>
    </row>
    <row r="6895" spans="4:4" x14ac:dyDescent="0.2">
      <c r="D6895" s="84"/>
    </row>
    <row r="6896" spans="4:4" x14ac:dyDescent="0.2">
      <c r="D6896" s="84"/>
    </row>
    <row r="6897" spans="4:4" x14ac:dyDescent="0.2">
      <c r="D6897" s="84"/>
    </row>
    <row r="6898" spans="4:4" x14ac:dyDescent="0.2">
      <c r="D6898" s="84"/>
    </row>
    <row r="6899" spans="4:4" x14ac:dyDescent="0.2">
      <c r="D6899" s="84"/>
    </row>
    <row r="6900" spans="4:4" x14ac:dyDescent="0.2">
      <c r="D6900" s="84"/>
    </row>
    <row r="6901" spans="4:4" x14ac:dyDescent="0.2">
      <c r="D6901" s="84"/>
    </row>
    <row r="6902" spans="4:4" x14ac:dyDescent="0.2">
      <c r="D6902" s="84"/>
    </row>
    <row r="6903" spans="4:4" x14ac:dyDescent="0.2">
      <c r="D6903" s="84"/>
    </row>
    <row r="6904" spans="4:4" x14ac:dyDescent="0.2">
      <c r="D6904" s="84"/>
    </row>
    <row r="6905" spans="4:4" x14ac:dyDescent="0.2">
      <c r="D6905" s="84"/>
    </row>
    <row r="6906" spans="4:4" x14ac:dyDescent="0.2">
      <c r="D6906" s="84"/>
    </row>
    <row r="6907" spans="4:4" x14ac:dyDescent="0.2">
      <c r="D6907" s="84"/>
    </row>
    <row r="6908" spans="4:4" x14ac:dyDescent="0.2">
      <c r="D6908" s="84"/>
    </row>
    <row r="6909" spans="4:4" x14ac:dyDescent="0.2">
      <c r="D6909" s="84"/>
    </row>
    <row r="6910" spans="4:4" x14ac:dyDescent="0.2">
      <c r="D6910" s="84"/>
    </row>
    <row r="6911" spans="4:4" x14ac:dyDescent="0.2">
      <c r="D6911" s="84"/>
    </row>
    <row r="6912" spans="4:4" x14ac:dyDescent="0.2">
      <c r="D6912" s="84"/>
    </row>
    <row r="6913" spans="4:4" x14ac:dyDescent="0.2">
      <c r="D6913" s="84"/>
    </row>
    <row r="6914" spans="4:4" x14ac:dyDescent="0.2">
      <c r="D6914" s="84"/>
    </row>
    <row r="6915" spans="4:4" x14ac:dyDescent="0.2">
      <c r="D6915" s="84"/>
    </row>
    <row r="6916" spans="4:4" x14ac:dyDescent="0.2">
      <c r="D6916" s="84"/>
    </row>
    <row r="6917" spans="4:4" x14ac:dyDescent="0.2">
      <c r="D6917" s="84"/>
    </row>
    <row r="6918" spans="4:4" x14ac:dyDescent="0.2">
      <c r="D6918" s="84"/>
    </row>
    <row r="6919" spans="4:4" x14ac:dyDescent="0.2">
      <c r="D6919" s="84"/>
    </row>
    <row r="6920" spans="4:4" x14ac:dyDescent="0.2">
      <c r="D6920" s="84"/>
    </row>
    <row r="6921" spans="4:4" x14ac:dyDescent="0.2">
      <c r="D6921" s="84"/>
    </row>
    <row r="6922" spans="4:4" x14ac:dyDescent="0.2">
      <c r="D6922" s="84"/>
    </row>
    <row r="6923" spans="4:4" x14ac:dyDescent="0.2">
      <c r="D6923" s="84"/>
    </row>
    <row r="6924" spans="4:4" x14ac:dyDescent="0.2">
      <c r="D6924" s="84"/>
    </row>
    <row r="6925" spans="4:4" x14ac:dyDescent="0.2">
      <c r="D6925" s="84"/>
    </row>
    <row r="6926" spans="4:4" x14ac:dyDescent="0.2">
      <c r="D6926" s="84"/>
    </row>
    <row r="6927" spans="4:4" x14ac:dyDescent="0.2">
      <c r="D6927" s="84"/>
    </row>
    <row r="6928" spans="4:4" x14ac:dyDescent="0.2">
      <c r="D6928" s="84"/>
    </row>
    <row r="6929" spans="4:4" x14ac:dyDescent="0.2">
      <c r="D6929" s="84"/>
    </row>
    <row r="6930" spans="4:4" x14ac:dyDescent="0.2">
      <c r="D6930" s="84"/>
    </row>
    <row r="6931" spans="4:4" x14ac:dyDescent="0.2">
      <c r="D6931" s="84"/>
    </row>
    <row r="6932" spans="4:4" x14ac:dyDescent="0.2">
      <c r="D6932" s="84"/>
    </row>
    <row r="6933" spans="4:4" x14ac:dyDescent="0.2">
      <c r="D6933" s="84"/>
    </row>
    <row r="6934" spans="4:4" x14ac:dyDescent="0.2">
      <c r="D6934" s="84"/>
    </row>
    <row r="6935" spans="4:4" x14ac:dyDescent="0.2">
      <c r="D6935" s="84"/>
    </row>
    <row r="6936" spans="4:4" x14ac:dyDescent="0.2">
      <c r="D6936" s="84"/>
    </row>
    <row r="6937" spans="4:4" x14ac:dyDescent="0.2">
      <c r="D6937" s="84"/>
    </row>
    <row r="6938" spans="4:4" x14ac:dyDescent="0.2">
      <c r="D6938" s="84"/>
    </row>
    <row r="6939" spans="4:4" x14ac:dyDescent="0.2">
      <c r="D6939" s="84"/>
    </row>
    <row r="6940" spans="4:4" x14ac:dyDescent="0.2">
      <c r="D6940" s="84"/>
    </row>
    <row r="6941" spans="4:4" x14ac:dyDescent="0.2">
      <c r="D6941" s="84"/>
    </row>
    <row r="6942" spans="4:4" x14ac:dyDescent="0.2">
      <c r="D6942" s="84"/>
    </row>
    <row r="6943" spans="4:4" x14ac:dyDescent="0.2">
      <c r="D6943" s="84"/>
    </row>
    <row r="6944" spans="4:4" x14ac:dyDescent="0.2">
      <c r="D6944" s="84"/>
    </row>
    <row r="6945" spans="4:4" x14ac:dyDescent="0.2">
      <c r="D6945" s="84"/>
    </row>
    <row r="6946" spans="4:4" x14ac:dyDescent="0.2">
      <c r="D6946" s="84"/>
    </row>
    <row r="6947" spans="4:4" x14ac:dyDescent="0.2">
      <c r="D6947" s="84"/>
    </row>
    <row r="6948" spans="4:4" x14ac:dyDescent="0.2">
      <c r="D6948" s="84"/>
    </row>
    <row r="6949" spans="4:4" x14ac:dyDescent="0.2">
      <c r="D6949" s="84"/>
    </row>
    <row r="6950" spans="4:4" x14ac:dyDescent="0.2">
      <c r="D6950" s="84"/>
    </row>
    <row r="6951" spans="4:4" x14ac:dyDescent="0.2">
      <c r="D6951" s="84"/>
    </row>
    <row r="6952" spans="4:4" x14ac:dyDescent="0.2">
      <c r="D6952" s="84"/>
    </row>
    <row r="6953" spans="4:4" x14ac:dyDescent="0.2">
      <c r="D6953" s="84"/>
    </row>
    <row r="6954" spans="4:4" x14ac:dyDescent="0.2">
      <c r="D6954" s="84"/>
    </row>
    <row r="6955" spans="4:4" x14ac:dyDescent="0.2">
      <c r="D6955" s="84"/>
    </row>
    <row r="6956" spans="4:4" x14ac:dyDescent="0.2">
      <c r="D6956" s="84"/>
    </row>
    <row r="6957" spans="4:4" x14ac:dyDescent="0.2">
      <c r="D6957" s="84"/>
    </row>
    <row r="6958" spans="4:4" x14ac:dyDescent="0.2">
      <c r="D6958" s="84"/>
    </row>
    <row r="6959" spans="4:4" x14ac:dyDescent="0.2">
      <c r="D6959" s="84"/>
    </row>
    <row r="6960" spans="4:4" x14ac:dyDescent="0.2">
      <c r="D6960" s="84"/>
    </row>
    <row r="6961" spans="4:4" x14ac:dyDescent="0.2">
      <c r="D6961" s="84"/>
    </row>
    <row r="6962" spans="4:4" x14ac:dyDescent="0.2">
      <c r="D6962" s="84"/>
    </row>
    <row r="6963" spans="4:4" x14ac:dyDescent="0.2">
      <c r="D6963" s="84"/>
    </row>
    <row r="6964" spans="4:4" x14ac:dyDescent="0.2">
      <c r="D6964" s="84"/>
    </row>
    <row r="6965" spans="4:4" x14ac:dyDescent="0.2">
      <c r="D6965" s="84"/>
    </row>
    <row r="6966" spans="4:4" x14ac:dyDescent="0.2">
      <c r="D6966" s="84"/>
    </row>
    <row r="6967" spans="4:4" x14ac:dyDescent="0.2">
      <c r="D6967" s="84"/>
    </row>
    <row r="6968" spans="4:4" x14ac:dyDescent="0.2">
      <c r="D6968" s="84"/>
    </row>
    <row r="6969" spans="4:4" x14ac:dyDescent="0.2">
      <c r="D6969" s="84"/>
    </row>
    <row r="6970" spans="4:4" x14ac:dyDescent="0.2">
      <c r="D6970" s="84"/>
    </row>
    <row r="6971" spans="4:4" x14ac:dyDescent="0.2">
      <c r="D6971" s="84"/>
    </row>
    <row r="6972" spans="4:4" x14ac:dyDescent="0.2">
      <c r="D6972" s="84"/>
    </row>
    <row r="6973" spans="4:4" x14ac:dyDescent="0.2">
      <c r="D6973" s="84"/>
    </row>
    <row r="6974" spans="4:4" x14ac:dyDescent="0.2">
      <c r="D6974" s="84"/>
    </row>
    <row r="6975" spans="4:4" x14ac:dyDescent="0.2">
      <c r="D6975" s="84"/>
    </row>
    <row r="6976" spans="4:4" x14ac:dyDescent="0.2">
      <c r="D6976" s="84"/>
    </row>
    <row r="6977" spans="4:4" x14ac:dyDescent="0.2">
      <c r="D6977" s="84"/>
    </row>
    <row r="6978" spans="4:4" x14ac:dyDescent="0.2">
      <c r="D6978" s="84"/>
    </row>
    <row r="6979" spans="4:4" x14ac:dyDescent="0.2">
      <c r="D6979" s="84"/>
    </row>
    <row r="6980" spans="4:4" x14ac:dyDescent="0.2">
      <c r="D6980" s="84"/>
    </row>
    <row r="6981" spans="4:4" x14ac:dyDescent="0.2">
      <c r="D6981" s="84"/>
    </row>
    <row r="6982" spans="4:4" x14ac:dyDescent="0.2">
      <c r="D6982" s="84"/>
    </row>
    <row r="6983" spans="4:4" x14ac:dyDescent="0.2">
      <c r="D6983" s="84"/>
    </row>
    <row r="6984" spans="4:4" x14ac:dyDescent="0.2">
      <c r="D6984" s="84"/>
    </row>
    <row r="6985" spans="4:4" x14ac:dyDescent="0.2">
      <c r="D6985" s="84"/>
    </row>
    <row r="6986" spans="4:4" x14ac:dyDescent="0.2">
      <c r="D6986" s="84"/>
    </row>
    <row r="6987" spans="4:4" x14ac:dyDescent="0.2">
      <c r="D6987" s="84"/>
    </row>
    <row r="6988" spans="4:4" x14ac:dyDescent="0.2">
      <c r="D6988" s="84"/>
    </row>
    <row r="6989" spans="4:4" x14ac:dyDescent="0.2">
      <c r="D6989" s="84"/>
    </row>
    <row r="6990" spans="4:4" x14ac:dyDescent="0.2">
      <c r="D6990" s="84"/>
    </row>
    <row r="6991" spans="4:4" x14ac:dyDescent="0.2">
      <c r="D6991" s="84"/>
    </row>
    <row r="6992" spans="4:4" x14ac:dyDescent="0.2">
      <c r="D6992" s="84"/>
    </row>
    <row r="6993" spans="4:4" x14ac:dyDescent="0.2">
      <c r="D6993" s="84"/>
    </row>
    <row r="6994" spans="4:4" x14ac:dyDescent="0.2">
      <c r="D6994" s="84"/>
    </row>
    <row r="6995" spans="4:4" x14ac:dyDescent="0.2">
      <c r="D6995" s="84"/>
    </row>
    <row r="6996" spans="4:4" x14ac:dyDescent="0.2">
      <c r="D6996" s="84"/>
    </row>
    <row r="6997" spans="4:4" x14ac:dyDescent="0.2">
      <c r="D6997" s="84"/>
    </row>
    <row r="6998" spans="4:4" x14ac:dyDescent="0.2">
      <c r="D6998" s="84"/>
    </row>
    <row r="6999" spans="4:4" x14ac:dyDescent="0.2">
      <c r="D6999" s="84"/>
    </row>
    <row r="7000" spans="4:4" x14ac:dyDescent="0.2">
      <c r="D7000" s="84"/>
    </row>
    <row r="7001" spans="4:4" x14ac:dyDescent="0.2">
      <c r="D7001" s="84"/>
    </row>
    <row r="7002" spans="4:4" x14ac:dyDescent="0.2">
      <c r="D7002" s="84"/>
    </row>
    <row r="7003" spans="4:4" x14ac:dyDescent="0.2">
      <c r="D7003" s="84"/>
    </row>
    <row r="7004" spans="4:4" x14ac:dyDescent="0.2">
      <c r="D7004" s="84"/>
    </row>
    <row r="7005" spans="4:4" x14ac:dyDescent="0.2">
      <c r="D7005" s="84"/>
    </row>
    <row r="7006" spans="4:4" x14ac:dyDescent="0.2">
      <c r="D7006" s="84"/>
    </row>
    <row r="7007" spans="4:4" x14ac:dyDescent="0.2">
      <c r="D7007" s="84"/>
    </row>
    <row r="7008" spans="4:4" x14ac:dyDescent="0.2">
      <c r="D7008" s="84"/>
    </row>
    <row r="7009" spans="4:4" x14ac:dyDescent="0.2">
      <c r="D7009" s="84"/>
    </row>
    <row r="7010" spans="4:4" x14ac:dyDescent="0.2">
      <c r="D7010" s="84"/>
    </row>
    <row r="7011" spans="4:4" x14ac:dyDescent="0.2">
      <c r="D7011" s="84"/>
    </row>
    <row r="7012" spans="4:4" x14ac:dyDescent="0.2">
      <c r="D7012" s="84"/>
    </row>
    <row r="7013" spans="4:4" x14ac:dyDescent="0.2">
      <c r="D7013" s="84"/>
    </row>
    <row r="7014" spans="4:4" x14ac:dyDescent="0.2">
      <c r="D7014" s="84"/>
    </row>
    <row r="7015" spans="4:4" x14ac:dyDescent="0.2">
      <c r="D7015" s="84"/>
    </row>
    <row r="7016" spans="4:4" x14ac:dyDescent="0.2">
      <c r="D7016" s="84"/>
    </row>
    <row r="7017" spans="4:4" x14ac:dyDescent="0.2">
      <c r="D7017" s="84"/>
    </row>
    <row r="7018" spans="4:4" x14ac:dyDescent="0.2">
      <c r="D7018" s="84"/>
    </row>
    <row r="7019" spans="4:4" x14ac:dyDescent="0.2">
      <c r="D7019" s="84"/>
    </row>
    <row r="7020" spans="4:4" x14ac:dyDescent="0.2">
      <c r="D7020" s="84"/>
    </row>
    <row r="7021" spans="4:4" x14ac:dyDescent="0.2">
      <c r="D7021" s="84"/>
    </row>
    <row r="7022" spans="4:4" x14ac:dyDescent="0.2">
      <c r="D7022" s="84"/>
    </row>
    <row r="7023" spans="4:4" x14ac:dyDescent="0.2">
      <c r="D7023" s="84"/>
    </row>
    <row r="7024" spans="4:4" x14ac:dyDescent="0.2">
      <c r="D7024" s="84"/>
    </row>
    <row r="7025" spans="4:4" x14ac:dyDescent="0.2">
      <c r="D7025" s="84"/>
    </row>
    <row r="7026" spans="4:4" x14ac:dyDescent="0.2">
      <c r="D7026" s="84"/>
    </row>
    <row r="7027" spans="4:4" x14ac:dyDescent="0.2">
      <c r="D7027" s="84"/>
    </row>
    <row r="7028" spans="4:4" x14ac:dyDescent="0.2">
      <c r="D7028" s="84"/>
    </row>
    <row r="7029" spans="4:4" x14ac:dyDescent="0.2">
      <c r="D7029" s="84"/>
    </row>
    <row r="7030" spans="4:4" x14ac:dyDescent="0.2">
      <c r="D7030" s="84"/>
    </row>
    <row r="7031" spans="4:4" x14ac:dyDescent="0.2">
      <c r="D7031" s="84"/>
    </row>
    <row r="7032" spans="4:4" x14ac:dyDescent="0.2">
      <c r="D7032" s="84"/>
    </row>
    <row r="7033" spans="4:4" x14ac:dyDescent="0.2">
      <c r="D7033" s="84"/>
    </row>
    <row r="7034" spans="4:4" x14ac:dyDescent="0.2">
      <c r="D7034" s="84"/>
    </row>
    <row r="7035" spans="4:4" x14ac:dyDescent="0.2">
      <c r="D7035" s="84"/>
    </row>
    <row r="7036" spans="4:4" x14ac:dyDescent="0.2">
      <c r="D7036" s="84"/>
    </row>
    <row r="7037" spans="4:4" x14ac:dyDescent="0.2">
      <c r="D7037" s="84"/>
    </row>
    <row r="7038" spans="4:4" x14ac:dyDescent="0.2">
      <c r="D7038" s="84"/>
    </row>
    <row r="7039" spans="4:4" x14ac:dyDescent="0.2">
      <c r="D7039" s="84"/>
    </row>
    <row r="7040" spans="4:4" x14ac:dyDescent="0.2">
      <c r="D7040" s="84"/>
    </row>
    <row r="7041" spans="4:4" x14ac:dyDescent="0.2">
      <c r="D7041" s="84"/>
    </row>
    <row r="7042" spans="4:4" x14ac:dyDescent="0.2">
      <c r="D7042" s="84"/>
    </row>
    <row r="7043" spans="4:4" x14ac:dyDescent="0.2">
      <c r="D7043" s="84"/>
    </row>
    <row r="7044" spans="4:4" x14ac:dyDescent="0.2">
      <c r="D7044" s="84"/>
    </row>
    <row r="7045" spans="4:4" x14ac:dyDescent="0.2">
      <c r="D7045" s="84"/>
    </row>
    <row r="7046" spans="4:4" x14ac:dyDescent="0.2">
      <c r="D7046" s="84"/>
    </row>
    <row r="7047" spans="4:4" x14ac:dyDescent="0.2">
      <c r="D7047" s="84"/>
    </row>
    <row r="7048" spans="4:4" x14ac:dyDescent="0.2">
      <c r="D7048" s="84"/>
    </row>
    <row r="7049" spans="4:4" x14ac:dyDescent="0.2">
      <c r="D7049" s="84"/>
    </row>
    <row r="7050" spans="4:4" x14ac:dyDescent="0.2">
      <c r="D7050" s="84"/>
    </row>
    <row r="7051" spans="4:4" x14ac:dyDescent="0.2">
      <c r="D7051" s="84"/>
    </row>
    <row r="7052" spans="4:4" x14ac:dyDescent="0.2">
      <c r="D7052" s="84"/>
    </row>
    <row r="7053" spans="4:4" x14ac:dyDescent="0.2">
      <c r="D7053" s="84"/>
    </row>
    <row r="7054" spans="4:4" x14ac:dyDescent="0.2">
      <c r="D7054" s="84"/>
    </row>
    <row r="7055" spans="4:4" x14ac:dyDescent="0.2">
      <c r="D7055" s="84"/>
    </row>
    <row r="7056" spans="4:4" x14ac:dyDescent="0.2">
      <c r="D7056" s="84"/>
    </row>
    <row r="7057" spans="4:4" x14ac:dyDescent="0.2">
      <c r="D7057" s="84"/>
    </row>
    <row r="7058" spans="4:4" x14ac:dyDescent="0.2">
      <c r="D7058" s="84"/>
    </row>
    <row r="7059" spans="4:4" x14ac:dyDescent="0.2">
      <c r="D7059" s="84"/>
    </row>
    <row r="7060" spans="4:4" x14ac:dyDescent="0.2">
      <c r="D7060" s="84"/>
    </row>
    <row r="7061" spans="4:4" x14ac:dyDescent="0.2">
      <c r="D7061" s="84"/>
    </row>
    <row r="7062" spans="4:4" x14ac:dyDescent="0.2">
      <c r="D7062" s="84"/>
    </row>
    <row r="7063" spans="4:4" x14ac:dyDescent="0.2">
      <c r="D7063" s="84"/>
    </row>
    <row r="7064" spans="4:4" x14ac:dyDescent="0.2">
      <c r="D7064" s="84"/>
    </row>
    <row r="7065" spans="4:4" x14ac:dyDescent="0.2">
      <c r="D7065" s="84"/>
    </row>
    <row r="7066" spans="4:4" x14ac:dyDescent="0.2">
      <c r="D7066" s="84"/>
    </row>
    <row r="7067" spans="4:4" x14ac:dyDescent="0.2">
      <c r="D7067" s="84"/>
    </row>
    <row r="7068" spans="4:4" x14ac:dyDescent="0.2">
      <c r="D7068" s="84"/>
    </row>
    <row r="7069" spans="4:4" x14ac:dyDescent="0.2">
      <c r="D7069" s="84"/>
    </row>
    <row r="7070" spans="4:4" x14ac:dyDescent="0.2">
      <c r="D7070" s="84"/>
    </row>
    <row r="7071" spans="4:4" x14ac:dyDescent="0.2">
      <c r="D7071" s="84"/>
    </row>
    <row r="7072" spans="4:4" x14ac:dyDescent="0.2">
      <c r="D7072" s="84"/>
    </row>
    <row r="7073" spans="4:4" x14ac:dyDescent="0.2">
      <c r="D7073" s="84"/>
    </row>
    <row r="7074" spans="4:4" x14ac:dyDescent="0.2">
      <c r="D7074" s="84"/>
    </row>
    <row r="7075" spans="4:4" x14ac:dyDescent="0.2">
      <c r="D7075" s="84"/>
    </row>
    <row r="7076" spans="4:4" x14ac:dyDescent="0.2">
      <c r="D7076" s="84"/>
    </row>
    <row r="7077" spans="4:4" x14ac:dyDescent="0.2">
      <c r="D7077" s="84"/>
    </row>
    <row r="7078" spans="4:4" x14ac:dyDescent="0.2">
      <c r="D7078" s="84"/>
    </row>
    <row r="7079" spans="4:4" x14ac:dyDescent="0.2">
      <c r="D7079" s="84"/>
    </row>
    <row r="7080" spans="4:4" x14ac:dyDescent="0.2">
      <c r="D7080" s="84"/>
    </row>
    <row r="7081" spans="4:4" x14ac:dyDescent="0.2">
      <c r="D7081" s="84"/>
    </row>
    <row r="7082" spans="4:4" x14ac:dyDescent="0.2">
      <c r="D7082" s="84"/>
    </row>
    <row r="7083" spans="4:4" x14ac:dyDescent="0.2">
      <c r="D7083" s="84"/>
    </row>
    <row r="7084" spans="4:4" x14ac:dyDescent="0.2">
      <c r="D7084" s="84"/>
    </row>
    <row r="7085" spans="4:4" x14ac:dyDescent="0.2">
      <c r="D7085" s="84"/>
    </row>
    <row r="7086" spans="4:4" x14ac:dyDescent="0.2">
      <c r="D7086" s="84"/>
    </row>
    <row r="7087" spans="4:4" x14ac:dyDescent="0.2">
      <c r="D7087" s="84"/>
    </row>
    <row r="7088" spans="4:4" x14ac:dyDescent="0.2">
      <c r="D7088" s="84"/>
    </row>
    <row r="7089" spans="4:4" x14ac:dyDescent="0.2">
      <c r="D7089" s="84"/>
    </row>
    <row r="7090" spans="4:4" x14ac:dyDescent="0.2">
      <c r="D7090" s="84"/>
    </row>
    <row r="7091" spans="4:4" x14ac:dyDescent="0.2">
      <c r="D7091" s="84"/>
    </row>
    <row r="7092" spans="4:4" x14ac:dyDescent="0.2">
      <c r="D7092" s="84"/>
    </row>
    <row r="7093" spans="4:4" x14ac:dyDescent="0.2">
      <c r="D7093" s="84"/>
    </row>
    <row r="7094" spans="4:4" x14ac:dyDescent="0.2">
      <c r="D7094" s="84"/>
    </row>
    <row r="7095" spans="4:4" x14ac:dyDescent="0.2">
      <c r="D7095" s="84"/>
    </row>
    <row r="7096" spans="4:4" x14ac:dyDescent="0.2">
      <c r="D7096" s="84"/>
    </row>
    <row r="7097" spans="4:4" x14ac:dyDescent="0.2">
      <c r="D7097" s="84"/>
    </row>
    <row r="7098" spans="4:4" x14ac:dyDescent="0.2">
      <c r="D7098" s="84"/>
    </row>
    <row r="7099" spans="4:4" x14ac:dyDescent="0.2">
      <c r="D7099" s="84"/>
    </row>
    <row r="7100" spans="4:4" x14ac:dyDescent="0.2">
      <c r="D7100" s="84"/>
    </row>
    <row r="7101" spans="4:4" x14ac:dyDescent="0.2">
      <c r="D7101" s="84"/>
    </row>
    <row r="7102" spans="4:4" x14ac:dyDescent="0.2">
      <c r="D7102" s="84"/>
    </row>
    <row r="7103" spans="4:4" x14ac:dyDescent="0.2">
      <c r="D7103" s="84"/>
    </row>
    <row r="7104" spans="4:4" x14ac:dyDescent="0.2">
      <c r="D7104" s="84"/>
    </row>
    <row r="7105" spans="4:4" x14ac:dyDescent="0.2">
      <c r="D7105" s="84"/>
    </row>
    <row r="7106" spans="4:4" x14ac:dyDescent="0.2">
      <c r="D7106" s="84"/>
    </row>
    <row r="7107" spans="4:4" x14ac:dyDescent="0.2">
      <c r="D7107" s="84"/>
    </row>
    <row r="7108" spans="4:4" x14ac:dyDescent="0.2">
      <c r="D7108" s="84"/>
    </row>
    <row r="7109" spans="4:4" x14ac:dyDescent="0.2">
      <c r="D7109" s="84"/>
    </row>
    <row r="7110" spans="4:4" x14ac:dyDescent="0.2">
      <c r="D7110" s="84"/>
    </row>
    <row r="7111" spans="4:4" x14ac:dyDescent="0.2">
      <c r="D7111" s="84"/>
    </row>
    <row r="7112" spans="4:4" x14ac:dyDescent="0.2">
      <c r="D7112" s="84"/>
    </row>
    <row r="7113" spans="4:4" x14ac:dyDescent="0.2">
      <c r="D7113" s="84"/>
    </row>
    <row r="7114" spans="4:4" x14ac:dyDescent="0.2">
      <c r="D7114" s="84"/>
    </row>
    <row r="7115" spans="4:4" x14ac:dyDescent="0.2">
      <c r="D7115" s="84"/>
    </row>
    <row r="7116" spans="4:4" x14ac:dyDescent="0.2">
      <c r="D7116" s="84"/>
    </row>
    <row r="7117" spans="4:4" x14ac:dyDescent="0.2">
      <c r="D7117" s="84"/>
    </row>
    <row r="7118" spans="4:4" x14ac:dyDescent="0.2">
      <c r="D7118" s="84"/>
    </row>
    <row r="7119" spans="4:4" x14ac:dyDescent="0.2">
      <c r="D7119" s="84"/>
    </row>
    <row r="7120" spans="4:4" x14ac:dyDescent="0.2">
      <c r="D7120" s="84"/>
    </row>
    <row r="7121" spans="4:4" x14ac:dyDescent="0.2">
      <c r="D7121" s="84"/>
    </row>
    <row r="7122" spans="4:4" x14ac:dyDescent="0.2">
      <c r="D7122" s="84"/>
    </row>
    <row r="7123" spans="4:4" x14ac:dyDescent="0.2">
      <c r="D7123" s="84"/>
    </row>
    <row r="7124" spans="4:4" x14ac:dyDescent="0.2">
      <c r="D7124" s="84"/>
    </row>
    <row r="7125" spans="4:4" x14ac:dyDescent="0.2">
      <c r="D7125" s="84"/>
    </row>
    <row r="7126" spans="4:4" x14ac:dyDescent="0.2">
      <c r="D7126" s="84"/>
    </row>
    <row r="7127" spans="4:4" x14ac:dyDescent="0.2">
      <c r="D7127" s="84"/>
    </row>
    <row r="7128" spans="4:4" x14ac:dyDescent="0.2">
      <c r="D7128" s="84"/>
    </row>
    <row r="7129" spans="4:4" x14ac:dyDescent="0.2">
      <c r="D7129" s="84"/>
    </row>
    <row r="7130" spans="4:4" x14ac:dyDescent="0.2">
      <c r="D7130" s="84"/>
    </row>
    <row r="7131" spans="4:4" x14ac:dyDescent="0.2">
      <c r="D7131" s="84"/>
    </row>
    <row r="7132" spans="4:4" x14ac:dyDescent="0.2">
      <c r="D7132" s="84"/>
    </row>
    <row r="7133" spans="4:4" x14ac:dyDescent="0.2">
      <c r="D7133" s="84"/>
    </row>
    <row r="7134" spans="4:4" x14ac:dyDescent="0.2">
      <c r="D7134" s="84"/>
    </row>
    <row r="7135" spans="4:4" x14ac:dyDescent="0.2">
      <c r="D7135" s="84"/>
    </row>
    <row r="7136" spans="4:4" x14ac:dyDescent="0.2">
      <c r="D7136" s="84"/>
    </row>
    <row r="7137" spans="4:4" x14ac:dyDescent="0.2">
      <c r="D7137" s="84"/>
    </row>
    <row r="7138" spans="4:4" x14ac:dyDescent="0.2">
      <c r="D7138" s="84"/>
    </row>
    <row r="7139" spans="4:4" x14ac:dyDescent="0.2">
      <c r="D7139" s="84"/>
    </row>
    <row r="7140" spans="4:4" x14ac:dyDescent="0.2">
      <c r="D7140" s="84"/>
    </row>
    <row r="7141" spans="4:4" x14ac:dyDescent="0.2">
      <c r="D7141" s="84"/>
    </row>
    <row r="7142" spans="4:4" x14ac:dyDescent="0.2">
      <c r="D7142" s="84"/>
    </row>
    <row r="7143" spans="4:4" x14ac:dyDescent="0.2">
      <c r="D7143" s="84"/>
    </row>
    <row r="7144" spans="4:4" x14ac:dyDescent="0.2">
      <c r="D7144" s="84"/>
    </row>
    <row r="7145" spans="4:4" x14ac:dyDescent="0.2">
      <c r="D7145" s="84"/>
    </row>
    <row r="7146" spans="4:4" x14ac:dyDescent="0.2">
      <c r="D7146" s="84"/>
    </row>
    <row r="7147" spans="4:4" x14ac:dyDescent="0.2">
      <c r="D7147" s="84"/>
    </row>
    <row r="7148" spans="4:4" x14ac:dyDescent="0.2">
      <c r="D7148" s="84"/>
    </row>
    <row r="7149" spans="4:4" x14ac:dyDescent="0.2">
      <c r="D7149" s="84"/>
    </row>
    <row r="7150" spans="4:4" x14ac:dyDescent="0.2">
      <c r="D7150" s="84"/>
    </row>
    <row r="7151" spans="4:4" x14ac:dyDescent="0.2">
      <c r="D7151" s="84"/>
    </row>
    <row r="7152" spans="4:4" x14ac:dyDescent="0.2">
      <c r="D7152" s="84"/>
    </row>
    <row r="7153" spans="4:4" x14ac:dyDescent="0.2">
      <c r="D7153" s="84"/>
    </row>
    <row r="7154" spans="4:4" x14ac:dyDescent="0.2">
      <c r="D7154" s="84"/>
    </row>
    <row r="7155" spans="4:4" x14ac:dyDescent="0.2">
      <c r="D7155" s="84"/>
    </row>
    <row r="7156" spans="4:4" x14ac:dyDescent="0.2">
      <c r="D7156" s="84"/>
    </row>
    <row r="7157" spans="4:4" x14ac:dyDescent="0.2">
      <c r="D7157" s="84"/>
    </row>
    <row r="7158" spans="4:4" x14ac:dyDescent="0.2">
      <c r="D7158" s="84"/>
    </row>
    <row r="7159" spans="4:4" x14ac:dyDescent="0.2">
      <c r="D7159" s="84"/>
    </row>
    <row r="7160" spans="4:4" x14ac:dyDescent="0.2">
      <c r="D7160" s="84"/>
    </row>
    <row r="7161" spans="4:4" x14ac:dyDescent="0.2">
      <c r="D7161" s="84"/>
    </row>
    <row r="7162" spans="4:4" x14ac:dyDescent="0.2">
      <c r="D7162" s="84"/>
    </row>
    <row r="7163" spans="4:4" x14ac:dyDescent="0.2">
      <c r="D7163" s="84"/>
    </row>
    <row r="7164" spans="4:4" x14ac:dyDescent="0.2">
      <c r="D7164" s="84"/>
    </row>
    <row r="7165" spans="4:4" x14ac:dyDescent="0.2">
      <c r="D7165" s="84"/>
    </row>
    <row r="7166" spans="4:4" x14ac:dyDescent="0.2">
      <c r="D7166" s="84"/>
    </row>
    <row r="7167" spans="4:4" x14ac:dyDescent="0.2">
      <c r="D7167" s="84"/>
    </row>
    <row r="7168" spans="4:4" x14ac:dyDescent="0.2">
      <c r="D7168" s="84"/>
    </row>
    <row r="7169" spans="4:4" x14ac:dyDescent="0.2">
      <c r="D7169" s="84"/>
    </row>
    <row r="7170" spans="4:4" x14ac:dyDescent="0.2">
      <c r="D7170" s="84"/>
    </row>
    <row r="7171" spans="4:4" x14ac:dyDescent="0.2">
      <c r="D7171" s="84"/>
    </row>
    <row r="7172" spans="4:4" x14ac:dyDescent="0.2">
      <c r="D7172" s="84"/>
    </row>
    <row r="7173" spans="4:4" x14ac:dyDescent="0.2">
      <c r="D7173" s="84"/>
    </row>
    <row r="7174" spans="4:4" x14ac:dyDescent="0.2">
      <c r="D7174" s="84"/>
    </row>
    <row r="7175" spans="4:4" x14ac:dyDescent="0.2">
      <c r="D7175" s="84"/>
    </row>
    <row r="7176" spans="4:4" x14ac:dyDescent="0.2">
      <c r="D7176" s="84"/>
    </row>
    <row r="7177" spans="4:4" x14ac:dyDescent="0.2">
      <c r="D7177" s="84"/>
    </row>
    <row r="7178" spans="4:4" x14ac:dyDescent="0.2">
      <c r="D7178" s="84"/>
    </row>
    <row r="7179" spans="4:4" x14ac:dyDescent="0.2">
      <c r="D7179" s="84"/>
    </row>
    <row r="7180" spans="4:4" x14ac:dyDescent="0.2">
      <c r="D7180" s="84"/>
    </row>
    <row r="7181" spans="4:4" x14ac:dyDescent="0.2">
      <c r="D7181" s="84"/>
    </row>
    <row r="7182" spans="4:4" x14ac:dyDescent="0.2">
      <c r="D7182" s="84"/>
    </row>
    <row r="7183" spans="4:4" x14ac:dyDescent="0.2">
      <c r="D7183" s="84"/>
    </row>
    <row r="7184" spans="4:4" x14ac:dyDescent="0.2">
      <c r="D7184" s="84"/>
    </row>
    <row r="7185" spans="4:4" x14ac:dyDescent="0.2">
      <c r="D7185" s="84"/>
    </row>
    <row r="7186" spans="4:4" x14ac:dyDescent="0.2">
      <c r="D7186" s="84"/>
    </row>
    <row r="7187" spans="4:4" x14ac:dyDescent="0.2">
      <c r="D7187" s="84"/>
    </row>
    <row r="7188" spans="4:4" x14ac:dyDescent="0.2">
      <c r="D7188" s="84"/>
    </row>
    <row r="7189" spans="4:4" x14ac:dyDescent="0.2">
      <c r="D7189" s="84"/>
    </row>
    <row r="7190" spans="4:4" x14ac:dyDescent="0.2">
      <c r="D7190" s="84"/>
    </row>
    <row r="7191" spans="4:4" x14ac:dyDescent="0.2">
      <c r="D7191" s="84"/>
    </row>
    <row r="7192" spans="4:4" x14ac:dyDescent="0.2">
      <c r="D7192" s="84"/>
    </row>
    <row r="7193" spans="4:4" x14ac:dyDescent="0.2">
      <c r="D7193" s="84"/>
    </row>
    <row r="7194" spans="4:4" x14ac:dyDescent="0.2">
      <c r="D7194" s="84"/>
    </row>
    <row r="7195" spans="4:4" x14ac:dyDescent="0.2">
      <c r="D7195" s="84"/>
    </row>
    <row r="7196" spans="4:4" x14ac:dyDescent="0.2">
      <c r="D7196" s="84"/>
    </row>
    <row r="7197" spans="4:4" x14ac:dyDescent="0.2">
      <c r="D7197" s="84"/>
    </row>
    <row r="7198" spans="4:4" x14ac:dyDescent="0.2">
      <c r="D7198" s="84"/>
    </row>
    <row r="7199" spans="4:4" x14ac:dyDescent="0.2">
      <c r="D7199" s="84"/>
    </row>
    <row r="7200" spans="4:4" x14ac:dyDescent="0.2">
      <c r="D7200" s="84"/>
    </row>
    <row r="7201" spans="4:4" x14ac:dyDescent="0.2">
      <c r="D7201" s="84"/>
    </row>
    <row r="7202" spans="4:4" x14ac:dyDescent="0.2">
      <c r="D7202" s="84"/>
    </row>
    <row r="7203" spans="4:4" x14ac:dyDescent="0.2">
      <c r="D7203" s="84"/>
    </row>
    <row r="7204" spans="4:4" x14ac:dyDescent="0.2">
      <c r="D7204" s="84"/>
    </row>
    <row r="7205" spans="4:4" x14ac:dyDescent="0.2">
      <c r="D7205" s="84"/>
    </row>
    <row r="7206" spans="4:4" x14ac:dyDescent="0.2">
      <c r="D7206" s="84"/>
    </row>
    <row r="7207" spans="4:4" x14ac:dyDescent="0.2">
      <c r="D7207" s="84"/>
    </row>
    <row r="7208" spans="4:4" x14ac:dyDescent="0.2">
      <c r="D7208" s="84"/>
    </row>
    <row r="7209" spans="4:4" x14ac:dyDescent="0.2">
      <c r="D7209" s="84"/>
    </row>
    <row r="7210" spans="4:4" x14ac:dyDescent="0.2">
      <c r="D7210" s="84"/>
    </row>
    <row r="7211" spans="4:4" x14ac:dyDescent="0.2">
      <c r="D7211" s="84"/>
    </row>
    <row r="7212" spans="4:4" x14ac:dyDescent="0.2">
      <c r="D7212" s="84"/>
    </row>
    <row r="7213" spans="4:4" x14ac:dyDescent="0.2">
      <c r="D7213" s="84"/>
    </row>
    <row r="7214" spans="4:4" x14ac:dyDescent="0.2">
      <c r="D7214" s="84"/>
    </row>
    <row r="7215" spans="4:4" x14ac:dyDescent="0.2">
      <c r="D7215" s="84"/>
    </row>
    <row r="7216" spans="4:4" x14ac:dyDescent="0.2">
      <c r="D7216" s="84"/>
    </row>
    <row r="7217" spans="4:4" x14ac:dyDescent="0.2">
      <c r="D7217" s="84"/>
    </row>
    <row r="7218" spans="4:4" x14ac:dyDescent="0.2">
      <c r="D7218" s="84"/>
    </row>
    <row r="7219" spans="4:4" x14ac:dyDescent="0.2">
      <c r="D7219" s="84"/>
    </row>
    <row r="7220" spans="4:4" x14ac:dyDescent="0.2">
      <c r="D7220" s="84"/>
    </row>
    <row r="7221" spans="4:4" x14ac:dyDescent="0.2">
      <c r="D7221" s="84"/>
    </row>
    <row r="7222" spans="4:4" x14ac:dyDescent="0.2">
      <c r="D7222" s="84"/>
    </row>
    <row r="7223" spans="4:4" x14ac:dyDescent="0.2">
      <c r="D7223" s="84"/>
    </row>
    <row r="7224" spans="4:4" x14ac:dyDescent="0.2">
      <c r="D7224" s="84"/>
    </row>
    <row r="7225" spans="4:4" x14ac:dyDescent="0.2">
      <c r="D7225" s="84"/>
    </row>
    <row r="7226" spans="4:4" x14ac:dyDescent="0.2">
      <c r="D7226" s="84"/>
    </row>
    <row r="7227" spans="4:4" x14ac:dyDescent="0.2">
      <c r="D7227" s="84"/>
    </row>
    <row r="7228" spans="4:4" x14ac:dyDescent="0.2">
      <c r="D7228" s="84"/>
    </row>
    <row r="7229" spans="4:4" x14ac:dyDescent="0.2">
      <c r="D7229" s="84"/>
    </row>
    <row r="7230" spans="4:4" x14ac:dyDescent="0.2">
      <c r="D7230" s="84"/>
    </row>
    <row r="7231" spans="4:4" x14ac:dyDescent="0.2">
      <c r="D7231" s="84"/>
    </row>
    <row r="7232" spans="4:4" x14ac:dyDescent="0.2">
      <c r="D7232" s="84"/>
    </row>
    <row r="7233" spans="4:4" x14ac:dyDescent="0.2">
      <c r="D7233" s="84"/>
    </row>
    <row r="7234" spans="4:4" x14ac:dyDescent="0.2">
      <c r="D7234" s="84"/>
    </row>
    <row r="7235" spans="4:4" x14ac:dyDescent="0.2">
      <c r="D7235" s="84"/>
    </row>
    <row r="7236" spans="4:4" x14ac:dyDescent="0.2">
      <c r="D7236" s="84"/>
    </row>
    <row r="7237" spans="4:4" x14ac:dyDescent="0.2">
      <c r="D7237" s="84"/>
    </row>
    <row r="7238" spans="4:4" x14ac:dyDescent="0.2">
      <c r="D7238" s="84"/>
    </row>
    <row r="7239" spans="4:4" x14ac:dyDescent="0.2">
      <c r="D7239" s="84"/>
    </row>
    <row r="7240" spans="4:4" x14ac:dyDescent="0.2">
      <c r="D7240" s="84"/>
    </row>
    <row r="7241" spans="4:4" x14ac:dyDescent="0.2">
      <c r="D7241" s="84"/>
    </row>
    <row r="7242" spans="4:4" x14ac:dyDescent="0.2">
      <c r="D7242" s="84"/>
    </row>
    <row r="7243" spans="4:4" x14ac:dyDescent="0.2">
      <c r="D7243" s="84"/>
    </row>
    <row r="7244" spans="4:4" x14ac:dyDescent="0.2">
      <c r="D7244" s="84"/>
    </row>
    <row r="7245" spans="4:4" x14ac:dyDescent="0.2">
      <c r="D7245" s="84"/>
    </row>
    <row r="7246" spans="4:4" x14ac:dyDescent="0.2">
      <c r="D7246" s="84"/>
    </row>
    <row r="7247" spans="4:4" x14ac:dyDescent="0.2">
      <c r="D7247" s="84"/>
    </row>
    <row r="7248" spans="4:4" x14ac:dyDescent="0.2">
      <c r="D7248" s="84"/>
    </row>
    <row r="7249" spans="4:4" x14ac:dyDescent="0.2">
      <c r="D7249" s="84"/>
    </row>
    <row r="7250" spans="4:4" x14ac:dyDescent="0.2">
      <c r="D7250" s="84"/>
    </row>
    <row r="7251" spans="4:4" x14ac:dyDescent="0.2">
      <c r="D7251" s="84"/>
    </row>
    <row r="7252" spans="4:4" x14ac:dyDescent="0.2">
      <c r="D7252" s="84"/>
    </row>
    <row r="7253" spans="4:4" x14ac:dyDescent="0.2">
      <c r="D7253" s="84"/>
    </row>
    <row r="7254" spans="4:4" x14ac:dyDescent="0.2">
      <c r="D7254" s="84"/>
    </row>
    <row r="7255" spans="4:4" x14ac:dyDescent="0.2">
      <c r="D7255" s="84"/>
    </row>
    <row r="7256" spans="4:4" x14ac:dyDescent="0.2">
      <c r="D7256" s="84"/>
    </row>
    <row r="7257" spans="4:4" x14ac:dyDescent="0.2">
      <c r="D7257" s="84"/>
    </row>
    <row r="7258" spans="4:4" x14ac:dyDescent="0.2">
      <c r="D7258" s="84"/>
    </row>
    <row r="7259" spans="4:4" x14ac:dyDescent="0.2">
      <c r="D7259" s="84"/>
    </row>
    <row r="7260" spans="4:4" x14ac:dyDescent="0.2">
      <c r="D7260" s="84"/>
    </row>
    <row r="7261" spans="4:4" x14ac:dyDescent="0.2">
      <c r="D7261" s="84"/>
    </row>
    <row r="7262" spans="4:4" x14ac:dyDescent="0.2">
      <c r="D7262" s="84"/>
    </row>
    <row r="7263" spans="4:4" x14ac:dyDescent="0.2">
      <c r="D7263" s="84"/>
    </row>
    <row r="7264" spans="4:4" x14ac:dyDescent="0.2">
      <c r="D7264" s="84"/>
    </row>
    <row r="7265" spans="4:4" x14ac:dyDescent="0.2">
      <c r="D7265" s="84"/>
    </row>
    <row r="7266" spans="4:4" x14ac:dyDescent="0.2">
      <c r="D7266" s="84"/>
    </row>
    <row r="7267" spans="4:4" x14ac:dyDescent="0.2">
      <c r="D7267" s="84"/>
    </row>
    <row r="7268" spans="4:4" x14ac:dyDescent="0.2">
      <c r="D7268" s="84"/>
    </row>
    <row r="7269" spans="4:4" x14ac:dyDescent="0.2">
      <c r="D7269" s="84"/>
    </row>
    <row r="7270" spans="4:4" x14ac:dyDescent="0.2">
      <c r="D7270" s="84"/>
    </row>
    <row r="7271" spans="4:4" x14ac:dyDescent="0.2">
      <c r="D7271" s="84"/>
    </row>
    <row r="7272" spans="4:4" x14ac:dyDescent="0.2">
      <c r="D7272" s="84"/>
    </row>
    <row r="7273" spans="4:4" x14ac:dyDescent="0.2">
      <c r="D7273" s="84"/>
    </row>
    <row r="7274" spans="4:4" x14ac:dyDescent="0.2">
      <c r="D7274" s="84"/>
    </row>
    <row r="7275" spans="4:4" x14ac:dyDescent="0.2">
      <c r="D7275" s="84"/>
    </row>
    <row r="7276" spans="4:4" x14ac:dyDescent="0.2">
      <c r="D7276" s="84"/>
    </row>
    <row r="7277" spans="4:4" x14ac:dyDescent="0.2">
      <c r="D7277" s="84"/>
    </row>
    <row r="7278" spans="4:4" x14ac:dyDescent="0.2">
      <c r="D7278" s="84"/>
    </row>
    <row r="7279" spans="4:4" x14ac:dyDescent="0.2">
      <c r="D7279" s="84"/>
    </row>
    <row r="7280" spans="4:4" x14ac:dyDescent="0.2">
      <c r="D7280" s="84"/>
    </row>
    <row r="7281" spans="4:4" x14ac:dyDescent="0.2">
      <c r="D7281" s="84"/>
    </row>
    <row r="7282" spans="4:4" x14ac:dyDescent="0.2">
      <c r="D7282" s="84"/>
    </row>
    <row r="7283" spans="4:4" x14ac:dyDescent="0.2">
      <c r="D7283" s="84"/>
    </row>
    <row r="7284" spans="4:4" x14ac:dyDescent="0.2">
      <c r="D7284" s="84"/>
    </row>
    <row r="7285" spans="4:4" x14ac:dyDescent="0.2">
      <c r="D7285" s="84"/>
    </row>
    <row r="7286" spans="4:4" x14ac:dyDescent="0.2">
      <c r="D7286" s="84"/>
    </row>
    <row r="7287" spans="4:4" x14ac:dyDescent="0.2">
      <c r="D7287" s="84"/>
    </row>
    <row r="7288" spans="4:4" x14ac:dyDescent="0.2">
      <c r="D7288" s="84"/>
    </row>
    <row r="7289" spans="4:4" x14ac:dyDescent="0.2">
      <c r="D7289" s="84"/>
    </row>
    <row r="7290" spans="4:4" x14ac:dyDescent="0.2">
      <c r="D7290" s="84"/>
    </row>
    <row r="7291" spans="4:4" x14ac:dyDescent="0.2">
      <c r="D7291" s="84"/>
    </row>
    <row r="7292" spans="4:4" x14ac:dyDescent="0.2">
      <c r="D7292" s="84"/>
    </row>
    <row r="7293" spans="4:4" x14ac:dyDescent="0.2">
      <c r="D7293" s="84"/>
    </row>
    <row r="7294" spans="4:4" x14ac:dyDescent="0.2">
      <c r="D7294" s="84"/>
    </row>
    <row r="7295" spans="4:4" x14ac:dyDescent="0.2">
      <c r="D7295" s="84"/>
    </row>
    <row r="7296" spans="4:4" x14ac:dyDescent="0.2">
      <c r="D7296" s="84"/>
    </row>
    <row r="7297" spans="4:4" x14ac:dyDescent="0.2">
      <c r="D7297" s="84"/>
    </row>
    <row r="7298" spans="4:4" x14ac:dyDescent="0.2">
      <c r="D7298" s="84"/>
    </row>
    <row r="7299" spans="4:4" x14ac:dyDescent="0.2">
      <c r="D7299" s="84"/>
    </row>
    <row r="7300" spans="4:4" x14ac:dyDescent="0.2">
      <c r="D7300" s="84"/>
    </row>
    <row r="7301" spans="4:4" x14ac:dyDescent="0.2">
      <c r="D7301" s="84"/>
    </row>
    <row r="7302" spans="4:4" x14ac:dyDescent="0.2">
      <c r="D7302" s="84"/>
    </row>
    <row r="7303" spans="4:4" x14ac:dyDescent="0.2">
      <c r="D7303" s="84"/>
    </row>
    <row r="7304" spans="4:4" x14ac:dyDescent="0.2">
      <c r="D7304" s="84"/>
    </row>
    <row r="7305" spans="4:4" x14ac:dyDescent="0.2">
      <c r="D7305" s="84"/>
    </row>
    <row r="7306" spans="4:4" x14ac:dyDescent="0.2">
      <c r="D7306" s="84"/>
    </row>
    <row r="7307" spans="4:4" x14ac:dyDescent="0.2">
      <c r="D7307" s="84"/>
    </row>
    <row r="7308" spans="4:4" x14ac:dyDescent="0.2">
      <c r="D7308" s="84"/>
    </row>
    <row r="7309" spans="4:4" x14ac:dyDescent="0.2">
      <c r="D7309" s="84"/>
    </row>
    <row r="7310" spans="4:4" x14ac:dyDescent="0.2">
      <c r="D7310" s="84"/>
    </row>
    <row r="7311" spans="4:4" x14ac:dyDescent="0.2">
      <c r="D7311" s="84"/>
    </row>
    <row r="7312" spans="4:4" x14ac:dyDescent="0.2">
      <c r="D7312" s="84"/>
    </row>
    <row r="7313" spans="4:4" x14ac:dyDescent="0.2">
      <c r="D7313" s="84"/>
    </row>
    <row r="7314" spans="4:4" x14ac:dyDescent="0.2">
      <c r="D7314" s="84"/>
    </row>
    <row r="7315" spans="4:4" x14ac:dyDescent="0.2">
      <c r="D7315" s="84"/>
    </row>
    <row r="7316" spans="4:4" x14ac:dyDescent="0.2">
      <c r="D7316" s="84"/>
    </row>
    <row r="7317" spans="4:4" x14ac:dyDescent="0.2">
      <c r="D7317" s="84"/>
    </row>
    <row r="7318" spans="4:4" x14ac:dyDescent="0.2">
      <c r="D7318" s="84"/>
    </row>
    <row r="7319" spans="4:4" x14ac:dyDescent="0.2">
      <c r="D7319" s="84"/>
    </row>
    <row r="7320" spans="4:4" x14ac:dyDescent="0.2">
      <c r="D7320" s="84"/>
    </row>
    <row r="7321" spans="4:4" x14ac:dyDescent="0.2">
      <c r="D7321" s="84"/>
    </row>
    <row r="7322" spans="4:4" x14ac:dyDescent="0.2">
      <c r="D7322" s="84"/>
    </row>
    <row r="7323" spans="4:4" x14ac:dyDescent="0.2">
      <c r="D7323" s="84"/>
    </row>
    <row r="7324" spans="4:4" x14ac:dyDescent="0.2">
      <c r="D7324" s="84"/>
    </row>
    <row r="7325" spans="4:4" x14ac:dyDescent="0.2">
      <c r="D7325" s="84"/>
    </row>
    <row r="7326" spans="4:4" x14ac:dyDescent="0.2">
      <c r="D7326" s="84"/>
    </row>
    <row r="7327" spans="4:4" x14ac:dyDescent="0.2">
      <c r="D7327" s="84"/>
    </row>
    <row r="7328" spans="4:4" x14ac:dyDescent="0.2">
      <c r="D7328" s="84"/>
    </row>
    <row r="7329" spans="4:4" x14ac:dyDescent="0.2">
      <c r="D7329" s="84"/>
    </row>
    <row r="7330" spans="4:4" x14ac:dyDescent="0.2">
      <c r="D7330" s="84"/>
    </row>
    <row r="7331" spans="4:4" x14ac:dyDescent="0.2">
      <c r="D7331" s="84"/>
    </row>
    <row r="7332" spans="4:4" x14ac:dyDescent="0.2">
      <c r="D7332" s="84"/>
    </row>
    <row r="7333" spans="4:4" x14ac:dyDescent="0.2">
      <c r="D7333" s="84"/>
    </row>
    <row r="7334" spans="4:4" x14ac:dyDescent="0.2">
      <c r="D7334" s="84"/>
    </row>
    <row r="7335" spans="4:4" x14ac:dyDescent="0.2">
      <c r="D7335" s="84"/>
    </row>
    <row r="7336" spans="4:4" x14ac:dyDescent="0.2">
      <c r="D7336" s="84"/>
    </row>
    <row r="7337" spans="4:4" x14ac:dyDescent="0.2">
      <c r="D7337" s="84"/>
    </row>
    <row r="7338" spans="4:4" x14ac:dyDescent="0.2">
      <c r="D7338" s="84"/>
    </row>
    <row r="7339" spans="4:4" x14ac:dyDescent="0.2">
      <c r="D7339" s="84"/>
    </row>
    <row r="7340" spans="4:4" x14ac:dyDescent="0.2">
      <c r="D7340" s="84"/>
    </row>
    <row r="7341" spans="4:4" x14ac:dyDescent="0.2">
      <c r="D7341" s="84"/>
    </row>
    <row r="7342" spans="4:4" x14ac:dyDescent="0.2">
      <c r="D7342" s="84"/>
    </row>
    <row r="7343" spans="4:4" x14ac:dyDescent="0.2">
      <c r="D7343" s="84"/>
    </row>
    <row r="7344" spans="4:4" x14ac:dyDescent="0.2">
      <c r="D7344" s="84"/>
    </row>
    <row r="7345" spans="4:4" x14ac:dyDescent="0.2">
      <c r="D7345" s="84"/>
    </row>
    <row r="7346" spans="4:4" x14ac:dyDescent="0.2">
      <c r="D7346" s="84"/>
    </row>
    <row r="7347" spans="4:4" x14ac:dyDescent="0.2">
      <c r="D7347" s="84"/>
    </row>
    <row r="7348" spans="4:4" x14ac:dyDescent="0.2">
      <c r="D7348" s="84"/>
    </row>
    <row r="7349" spans="4:4" x14ac:dyDescent="0.2">
      <c r="D7349" s="84"/>
    </row>
    <row r="7350" spans="4:4" x14ac:dyDescent="0.2">
      <c r="D7350" s="84"/>
    </row>
    <row r="7351" spans="4:4" x14ac:dyDescent="0.2">
      <c r="D7351" s="84"/>
    </row>
    <row r="7352" spans="4:4" x14ac:dyDescent="0.2">
      <c r="D7352" s="84"/>
    </row>
    <row r="7353" spans="4:4" x14ac:dyDescent="0.2">
      <c r="D7353" s="84"/>
    </row>
    <row r="7354" spans="4:4" x14ac:dyDescent="0.2">
      <c r="D7354" s="84"/>
    </row>
    <row r="7355" spans="4:4" x14ac:dyDescent="0.2">
      <c r="D7355" s="84"/>
    </row>
    <row r="7356" spans="4:4" x14ac:dyDescent="0.2">
      <c r="D7356" s="84"/>
    </row>
    <row r="7357" spans="4:4" x14ac:dyDescent="0.2">
      <c r="D7357" s="84"/>
    </row>
    <row r="7358" spans="4:4" x14ac:dyDescent="0.2">
      <c r="D7358" s="84"/>
    </row>
    <row r="7359" spans="4:4" x14ac:dyDescent="0.2">
      <c r="D7359" s="84"/>
    </row>
    <row r="7360" spans="4:4" x14ac:dyDescent="0.2">
      <c r="D7360" s="84"/>
    </row>
    <row r="7361" spans="4:4" x14ac:dyDescent="0.2">
      <c r="D7361" s="84"/>
    </row>
    <row r="7362" spans="4:4" x14ac:dyDescent="0.2">
      <c r="D7362" s="84"/>
    </row>
    <row r="7363" spans="4:4" x14ac:dyDescent="0.2">
      <c r="D7363" s="84"/>
    </row>
    <row r="7364" spans="4:4" x14ac:dyDescent="0.2">
      <c r="D7364" s="84"/>
    </row>
    <row r="7365" spans="4:4" x14ac:dyDescent="0.2">
      <c r="D7365" s="84"/>
    </row>
    <row r="7366" spans="4:4" x14ac:dyDescent="0.2">
      <c r="D7366" s="84"/>
    </row>
    <row r="7367" spans="4:4" x14ac:dyDescent="0.2">
      <c r="D7367" s="84"/>
    </row>
    <row r="7368" spans="4:4" x14ac:dyDescent="0.2">
      <c r="D7368" s="84"/>
    </row>
    <row r="7369" spans="4:4" x14ac:dyDescent="0.2">
      <c r="D7369" s="84"/>
    </row>
    <row r="7370" spans="4:4" x14ac:dyDescent="0.2">
      <c r="D7370" s="84"/>
    </row>
    <row r="7371" spans="4:4" x14ac:dyDescent="0.2">
      <c r="D7371" s="84"/>
    </row>
    <row r="7372" spans="4:4" x14ac:dyDescent="0.2">
      <c r="D7372" s="84"/>
    </row>
    <row r="7373" spans="4:4" x14ac:dyDescent="0.2">
      <c r="D7373" s="84"/>
    </row>
    <row r="7374" spans="4:4" x14ac:dyDescent="0.2">
      <c r="D7374" s="84"/>
    </row>
    <row r="7375" spans="4:4" x14ac:dyDescent="0.2">
      <c r="D7375" s="84"/>
    </row>
    <row r="7376" spans="4:4" x14ac:dyDescent="0.2">
      <c r="D7376" s="84"/>
    </row>
    <row r="7377" spans="4:4" x14ac:dyDescent="0.2">
      <c r="D7377" s="84"/>
    </row>
    <row r="7378" spans="4:4" x14ac:dyDescent="0.2">
      <c r="D7378" s="84"/>
    </row>
    <row r="7379" spans="4:4" x14ac:dyDescent="0.2">
      <c r="D7379" s="84"/>
    </row>
    <row r="7380" spans="4:4" x14ac:dyDescent="0.2">
      <c r="D7380" s="84"/>
    </row>
    <row r="7381" spans="4:4" x14ac:dyDescent="0.2">
      <c r="D7381" s="84"/>
    </row>
    <row r="7382" spans="4:4" x14ac:dyDescent="0.2">
      <c r="D7382" s="84"/>
    </row>
    <row r="7383" spans="4:4" x14ac:dyDescent="0.2">
      <c r="D7383" s="84"/>
    </row>
    <row r="7384" spans="4:4" x14ac:dyDescent="0.2">
      <c r="D7384" s="84"/>
    </row>
    <row r="7385" spans="4:4" x14ac:dyDescent="0.2">
      <c r="D7385" s="84"/>
    </row>
    <row r="7386" spans="4:4" x14ac:dyDescent="0.2">
      <c r="D7386" s="84"/>
    </row>
    <row r="7387" spans="4:4" x14ac:dyDescent="0.2">
      <c r="D7387" s="84"/>
    </row>
    <row r="7388" spans="4:4" x14ac:dyDescent="0.2">
      <c r="D7388" s="84"/>
    </row>
    <row r="7389" spans="4:4" x14ac:dyDescent="0.2">
      <c r="D7389" s="84"/>
    </row>
    <row r="7390" spans="4:4" x14ac:dyDescent="0.2">
      <c r="D7390" s="84"/>
    </row>
    <row r="7391" spans="4:4" x14ac:dyDescent="0.2">
      <c r="D7391" s="84"/>
    </row>
    <row r="7392" spans="4:4" x14ac:dyDescent="0.2">
      <c r="D7392" s="84"/>
    </row>
    <row r="7393" spans="4:4" x14ac:dyDescent="0.2">
      <c r="D7393" s="84"/>
    </row>
    <row r="7394" spans="4:4" x14ac:dyDescent="0.2">
      <c r="D7394" s="84"/>
    </row>
    <row r="7395" spans="4:4" x14ac:dyDescent="0.2">
      <c r="D7395" s="84"/>
    </row>
    <row r="7396" spans="4:4" x14ac:dyDescent="0.2">
      <c r="D7396" s="84"/>
    </row>
    <row r="7397" spans="4:4" x14ac:dyDescent="0.2">
      <c r="D7397" s="84"/>
    </row>
    <row r="7398" spans="4:4" x14ac:dyDescent="0.2">
      <c r="D7398" s="84"/>
    </row>
    <row r="7399" spans="4:4" x14ac:dyDescent="0.2">
      <c r="D7399" s="84"/>
    </row>
    <row r="7400" spans="4:4" x14ac:dyDescent="0.2">
      <c r="D7400" s="84"/>
    </row>
    <row r="7401" spans="4:4" x14ac:dyDescent="0.2">
      <c r="D7401" s="84"/>
    </row>
    <row r="7402" spans="4:4" x14ac:dyDescent="0.2">
      <c r="D7402" s="84"/>
    </row>
    <row r="7403" spans="4:4" x14ac:dyDescent="0.2">
      <c r="D7403" s="84"/>
    </row>
    <row r="7404" spans="4:4" x14ac:dyDescent="0.2">
      <c r="D7404" s="84"/>
    </row>
    <row r="7405" spans="4:4" x14ac:dyDescent="0.2">
      <c r="D7405" s="84"/>
    </row>
    <row r="7406" spans="4:4" x14ac:dyDescent="0.2">
      <c r="D7406" s="84"/>
    </row>
    <row r="7407" spans="4:4" x14ac:dyDescent="0.2">
      <c r="D7407" s="84"/>
    </row>
    <row r="7408" spans="4:4" x14ac:dyDescent="0.2">
      <c r="D7408" s="84"/>
    </row>
    <row r="7409" spans="4:4" x14ac:dyDescent="0.2">
      <c r="D7409" s="84"/>
    </row>
    <row r="7410" spans="4:4" x14ac:dyDescent="0.2">
      <c r="D7410" s="84"/>
    </row>
    <row r="7411" spans="4:4" x14ac:dyDescent="0.2">
      <c r="D7411" s="84"/>
    </row>
    <row r="7412" spans="4:4" x14ac:dyDescent="0.2">
      <c r="D7412" s="84"/>
    </row>
    <row r="7413" spans="4:4" x14ac:dyDescent="0.2">
      <c r="D7413" s="84"/>
    </row>
    <row r="7414" spans="4:4" x14ac:dyDescent="0.2">
      <c r="D7414" s="84"/>
    </row>
    <row r="7415" spans="4:4" x14ac:dyDescent="0.2">
      <c r="D7415" s="84"/>
    </row>
    <row r="7416" spans="4:4" x14ac:dyDescent="0.2">
      <c r="D7416" s="84"/>
    </row>
    <row r="7417" spans="4:4" x14ac:dyDescent="0.2">
      <c r="D7417" s="84"/>
    </row>
    <row r="7418" spans="4:4" x14ac:dyDescent="0.2">
      <c r="D7418" s="84"/>
    </row>
    <row r="7419" spans="4:4" x14ac:dyDescent="0.2">
      <c r="D7419" s="84"/>
    </row>
    <row r="7420" spans="4:4" x14ac:dyDescent="0.2">
      <c r="D7420" s="84"/>
    </row>
    <row r="7421" spans="4:4" x14ac:dyDescent="0.2">
      <c r="D7421" s="84"/>
    </row>
    <row r="7422" spans="4:4" x14ac:dyDescent="0.2">
      <c r="D7422" s="84"/>
    </row>
    <row r="7423" spans="4:4" x14ac:dyDescent="0.2">
      <c r="D7423" s="84"/>
    </row>
    <row r="7424" spans="4:4" x14ac:dyDescent="0.2">
      <c r="D7424" s="84"/>
    </row>
    <row r="7425" spans="4:4" x14ac:dyDescent="0.2">
      <c r="D7425" s="84"/>
    </row>
    <row r="7426" spans="4:4" x14ac:dyDescent="0.2">
      <c r="D7426" s="84"/>
    </row>
    <row r="7427" spans="4:4" x14ac:dyDescent="0.2">
      <c r="D7427" s="84"/>
    </row>
    <row r="7428" spans="4:4" x14ac:dyDescent="0.2">
      <c r="D7428" s="84"/>
    </row>
    <row r="7429" spans="4:4" x14ac:dyDescent="0.2">
      <c r="D7429" s="84"/>
    </row>
    <row r="7430" spans="4:4" x14ac:dyDescent="0.2">
      <c r="D7430" s="84"/>
    </row>
    <row r="7431" spans="4:4" x14ac:dyDescent="0.2">
      <c r="D7431" s="84"/>
    </row>
    <row r="7432" spans="4:4" x14ac:dyDescent="0.2">
      <c r="D7432" s="84"/>
    </row>
    <row r="7433" spans="4:4" x14ac:dyDescent="0.2">
      <c r="D7433" s="84"/>
    </row>
    <row r="7434" spans="4:4" x14ac:dyDescent="0.2">
      <c r="D7434" s="84"/>
    </row>
    <row r="7435" spans="4:4" x14ac:dyDescent="0.2">
      <c r="D7435" s="84"/>
    </row>
    <row r="7436" spans="4:4" x14ac:dyDescent="0.2">
      <c r="D7436" s="84"/>
    </row>
    <row r="7437" spans="4:4" x14ac:dyDescent="0.2">
      <c r="D7437" s="84"/>
    </row>
    <row r="7438" spans="4:4" x14ac:dyDescent="0.2">
      <c r="D7438" s="84"/>
    </row>
    <row r="7439" spans="4:4" x14ac:dyDescent="0.2">
      <c r="D7439" s="84"/>
    </row>
    <row r="7440" spans="4:4" x14ac:dyDescent="0.2">
      <c r="D7440" s="84"/>
    </row>
    <row r="7441" spans="4:4" x14ac:dyDescent="0.2">
      <c r="D7441" s="84"/>
    </row>
    <row r="7442" spans="4:4" x14ac:dyDescent="0.2">
      <c r="D7442" s="84"/>
    </row>
    <row r="7443" spans="4:4" x14ac:dyDescent="0.2">
      <c r="D7443" s="84"/>
    </row>
    <row r="7444" spans="4:4" x14ac:dyDescent="0.2">
      <c r="D7444" s="84"/>
    </row>
    <row r="7445" spans="4:4" x14ac:dyDescent="0.2">
      <c r="D7445" s="84"/>
    </row>
    <row r="7446" spans="4:4" x14ac:dyDescent="0.2">
      <c r="D7446" s="84"/>
    </row>
    <row r="7447" spans="4:4" x14ac:dyDescent="0.2">
      <c r="D7447" s="84"/>
    </row>
    <row r="7448" spans="4:4" x14ac:dyDescent="0.2">
      <c r="D7448" s="84"/>
    </row>
    <row r="7449" spans="4:4" x14ac:dyDescent="0.2">
      <c r="D7449" s="84"/>
    </row>
    <row r="7450" spans="4:4" x14ac:dyDescent="0.2">
      <c r="D7450" s="84"/>
    </row>
    <row r="7451" spans="4:4" x14ac:dyDescent="0.2">
      <c r="D7451" s="84"/>
    </row>
    <row r="7452" spans="4:4" x14ac:dyDescent="0.2">
      <c r="D7452" s="84"/>
    </row>
    <row r="7453" spans="4:4" x14ac:dyDescent="0.2">
      <c r="D7453" s="84"/>
    </row>
    <row r="7454" spans="4:4" x14ac:dyDescent="0.2">
      <c r="D7454" s="84"/>
    </row>
    <row r="7455" spans="4:4" x14ac:dyDescent="0.2">
      <c r="D7455" s="84"/>
    </row>
    <row r="7456" spans="4:4" x14ac:dyDescent="0.2">
      <c r="D7456" s="84"/>
    </row>
    <row r="7457" spans="4:4" x14ac:dyDescent="0.2">
      <c r="D7457" s="84"/>
    </row>
    <row r="7458" spans="4:4" x14ac:dyDescent="0.2">
      <c r="D7458" s="84"/>
    </row>
    <row r="7459" spans="4:4" x14ac:dyDescent="0.2">
      <c r="D7459" s="84"/>
    </row>
    <row r="7460" spans="4:4" x14ac:dyDescent="0.2">
      <c r="D7460" s="84"/>
    </row>
    <row r="7461" spans="4:4" x14ac:dyDescent="0.2">
      <c r="D7461" s="84"/>
    </row>
    <row r="7462" spans="4:4" x14ac:dyDescent="0.2">
      <c r="D7462" s="84"/>
    </row>
    <row r="7463" spans="4:4" x14ac:dyDescent="0.2">
      <c r="D7463" s="84"/>
    </row>
    <row r="7464" spans="4:4" x14ac:dyDescent="0.2">
      <c r="D7464" s="84"/>
    </row>
    <row r="7465" spans="4:4" x14ac:dyDescent="0.2">
      <c r="D7465" s="84"/>
    </row>
    <row r="7466" spans="4:4" x14ac:dyDescent="0.2">
      <c r="D7466" s="84"/>
    </row>
    <row r="7467" spans="4:4" x14ac:dyDescent="0.2">
      <c r="D7467" s="84"/>
    </row>
    <row r="7468" spans="4:4" x14ac:dyDescent="0.2">
      <c r="D7468" s="84"/>
    </row>
    <row r="7469" spans="4:4" x14ac:dyDescent="0.2">
      <c r="D7469" s="84"/>
    </row>
    <row r="7470" spans="4:4" x14ac:dyDescent="0.2">
      <c r="D7470" s="84"/>
    </row>
    <row r="7471" spans="4:4" x14ac:dyDescent="0.2">
      <c r="D7471" s="84"/>
    </row>
    <row r="7472" spans="4:4" x14ac:dyDescent="0.2">
      <c r="D7472" s="84"/>
    </row>
    <row r="7473" spans="4:4" x14ac:dyDescent="0.2">
      <c r="D7473" s="84"/>
    </row>
    <row r="7474" spans="4:4" x14ac:dyDescent="0.2">
      <c r="D7474" s="84"/>
    </row>
    <row r="7475" spans="4:4" x14ac:dyDescent="0.2">
      <c r="D7475" s="84"/>
    </row>
    <row r="7476" spans="4:4" x14ac:dyDescent="0.2">
      <c r="D7476" s="84"/>
    </row>
    <row r="7477" spans="4:4" x14ac:dyDescent="0.2">
      <c r="D7477" s="84"/>
    </row>
    <row r="7478" spans="4:4" x14ac:dyDescent="0.2">
      <c r="D7478" s="84"/>
    </row>
    <row r="7479" spans="4:4" x14ac:dyDescent="0.2">
      <c r="D7479" s="84"/>
    </row>
    <row r="7480" spans="4:4" x14ac:dyDescent="0.2">
      <c r="D7480" s="84"/>
    </row>
    <row r="7481" spans="4:4" x14ac:dyDescent="0.2">
      <c r="D7481" s="84"/>
    </row>
    <row r="7482" spans="4:4" x14ac:dyDescent="0.2">
      <c r="D7482" s="84"/>
    </row>
    <row r="7483" spans="4:4" x14ac:dyDescent="0.2">
      <c r="D7483" s="84"/>
    </row>
    <row r="7484" spans="4:4" x14ac:dyDescent="0.2">
      <c r="D7484" s="84"/>
    </row>
    <row r="7485" spans="4:4" x14ac:dyDescent="0.2">
      <c r="D7485" s="84"/>
    </row>
    <row r="7486" spans="4:4" x14ac:dyDescent="0.2">
      <c r="D7486" s="84"/>
    </row>
    <row r="7487" spans="4:4" x14ac:dyDescent="0.2">
      <c r="D7487" s="84"/>
    </row>
    <row r="7488" spans="4:4" x14ac:dyDescent="0.2">
      <c r="D7488" s="84"/>
    </row>
    <row r="7489" spans="4:4" x14ac:dyDescent="0.2">
      <c r="D7489" s="84"/>
    </row>
    <row r="7490" spans="4:4" x14ac:dyDescent="0.2">
      <c r="D7490" s="84"/>
    </row>
    <row r="7491" spans="4:4" x14ac:dyDescent="0.2">
      <c r="D7491" s="84"/>
    </row>
    <row r="7492" spans="4:4" x14ac:dyDescent="0.2">
      <c r="D7492" s="84"/>
    </row>
    <row r="7493" spans="4:4" x14ac:dyDescent="0.2">
      <c r="D7493" s="84"/>
    </row>
    <row r="7494" spans="4:4" x14ac:dyDescent="0.2">
      <c r="D7494" s="84"/>
    </row>
    <row r="7495" spans="4:4" x14ac:dyDescent="0.2">
      <c r="D7495" s="84"/>
    </row>
    <row r="7496" spans="4:4" x14ac:dyDescent="0.2">
      <c r="D7496" s="84"/>
    </row>
    <row r="7497" spans="4:4" x14ac:dyDescent="0.2">
      <c r="D7497" s="84"/>
    </row>
    <row r="7498" spans="4:4" x14ac:dyDescent="0.2">
      <c r="D7498" s="84"/>
    </row>
    <row r="7499" spans="4:4" x14ac:dyDescent="0.2">
      <c r="D7499" s="84"/>
    </row>
    <row r="7500" spans="4:4" x14ac:dyDescent="0.2">
      <c r="D7500" s="84"/>
    </row>
    <row r="7501" spans="4:4" x14ac:dyDescent="0.2">
      <c r="D7501" s="84"/>
    </row>
    <row r="7502" spans="4:4" x14ac:dyDescent="0.2">
      <c r="D7502" s="84"/>
    </row>
    <row r="7503" spans="4:4" x14ac:dyDescent="0.2">
      <c r="D7503" s="84"/>
    </row>
    <row r="7504" spans="4:4" x14ac:dyDescent="0.2">
      <c r="D7504" s="84"/>
    </row>
    <row r="7505" spans="4:4" x14ac:dyDescent="0.2">
      <c r="D7505" s="84"/>
    </row>
    <row r="7506" spans="4:4" x14ac:dyDescent="0.2">
      <c r="D7506" s="84"/>
    </row>
    <row r="7507" spans="4:4" x14ac:dyDescent="0.2">
      <c r="D7507" s="84"/>
    </row>
    <row r="7508" spans="4:4" x14ac:dyDescent="0.2">
      <c r="D7508" s="84"/>
    </row>
    <row r="7509" spans="4:4" x14ac:dyDescent="0.2">
      <c r="D7509" s="84"/>
    </row>
    <row r="7510" spans="4:4" x14ac:dyDescent="0.2">
      <c r="D7510" s="84"/>
    </row>
    <row r="7511" spans="4:4" x14ac:dyDescent="0.2">
      <c r="D7511" s="84"/>
    </row>
    <row r="7512" spans="4:4" x14ac:dyDescent="0.2">
      <c r="D7512" s="84"/>
    </row>
    <row r="7513" spans="4:4" x14ac:dyDescent="0.2">
      <c r="D7513" s="84"/>
    </row>
    <row r="7514" spans="4:4" x14ac:dyDescent="0.2">
      <c r="D7514" s="84"/>
    </row>
    <row r="7515" spans="4:4" x14ac:dyDescent="0.2">
      <c r="D7515" s="84"/>
    </row>
    <row r="7516" spans="4:4" x14ac:dyDescent="0.2">
      <c r="D7516" s="84"/>
    </row>
    <row r="7517" spans="4:4" x14ac:dyDescent="0.2">
      <c r="D7517" s="84"/>
    </row>
    <row r="7518" spans="4:4" x14ac:dyDescent="0.2">
      <c r="D7518" s="84"/>
    </row>
    <row r="7519" spans="4:4" x14ac:dyDescent="0.2">
      <c r="D7519" s="84"/>
    </row>
    <row r="7520" spans="4:4" x14ac:dyDescent="0.2">
      <c r="D7520" s="84"/>
    </row>
    <row r="7521" spans="4:4" x14ac:dyDescent="0.2">
      <c r="D7521" s="84"/>
    </row>
    <row r="7522" spans="4:4" x14ac:dyDescent="0.2">
      <c r="D7522" s="84"/>
    </row>
    <row r="7523" spans="4:4" x14ac:dyDescent="0.2">
      <c r="D7523" s="84"/>
    </row>
    <row r="7524" spans="4:4" x14ac:dyDescent="0.2">
      <c r="D7524" s="84"/>
    </row>
    <row r="7525" spans="4:4" x14ac:dyDescent="0.2">
      <c r="D7525" s="84"/>
    </row>
    <row r="7526" spans="4:4" x14ac:dyDescent="0.2">
      <c r="D7526" s="84"/>
    </row>
    <row r="7527" spans="4:4" x14ac:dyDescent="0.2">
      <c r="D7527" s="84"/>
    </row>
    <row r="7528" spans="4:4" x14ac:dyDescent="0.2">
      <c r="D7528" s="84"/>
    </row>
    <row r="7529" spans="4:4" x14ac:dyDescent="0.2">
      <c r="D7529" s="84"/>
    </row>
    <row r="7530" spans="4:4" x14ac:dyDescent="0.2">
      <c r="D7530" s="84"/>
    </row>
    <row r="7531" spans="4:4" x14ac:dyDescent="0.2">
      <c r="D7531" s="84"/>
    </row>
    <row r="7532" spans="4:4" x14ac:dyDescent="0.2">
      <c r="D7532" s="84"/>
    </row>
    <row r="7533" spans="4:4" x14ac:dyDescent="0.2">
      <c r="D7533" s="84"/>
    </row>
    <row r="7534" spans="4:4" x14ac:dyDescent="0.2">
      <c r="D7534" s="84"/>
    </row>
    <row r="7535" spans="4:4" x14ac:dyDescent="0.2">
      <c r="D7535" s="84"/>
    </row>
    <row r="7536" spans="4:4" x14ac:dyDescent="0.2">
      <c r="D7536" s="84"/>
    </row>
    <row r="7537" spans="4:4" x14ac:dyDescent="0.2">
      <c r="D7537" s="84"/>
    </row>
    <row r="7538" spans="4:4" x14ac:dyDescent="0.2">
      <c r="D7538" s="84"/>
    </row>
    <row r="7539" spans="4:4" x14ac:dyDescent="0.2">
      <c r="D7539" s="84"/>
    </row>
    <row r="7540" spans="4:4" x14ac:dyDescent="0.2">
      <c r="D7540" s="84"/>
    </row>
    <row r="7541" spans="4:4" x14ac:dyDescent="0.2">
      <c r="D7541" s="84"/>
    </row>
    <row r="7542" spans="4:4" x14ac:dyDescent="0.2">
      <c r="D7542" s="84"/>
    </row>
    <row r="7543" spans="4:4" x14ac:dyDescent="0.2">
      <c r="D7543" s="84"/>
    </row>
    <row r="7544" spans="4:4" x14ac:dyDescent="0.2">
      <c r="D7544" s="84"/>
    </row>
    <row r="7545" spans="4:4" x14ac:dyDescent="0.2">
      <c r="D7545" s="84"/>
    </row>
    <row r="7546" spans="4:4" x14ac:dyDescent="0.2">
      <c r="D7546" s="84"/>
    </row>
    <row r="7547" spans="4:4" x14ac:dyDescent="0.2">
      <c r="D7547" s="84"/>
    </row>
    <row r="7548" spans="4:4" x14ac:dyDescent="0.2">
      <c r="D7548" s="84"/>
    </row>
    <row r="7549" spans="4:4" x14ac:dyDescent="0.2">
      <c r="D7549" s="84"/>
    </row>
    <row r="7550" spans="4:4" x14ac:dyDescent="0.2">
      <c r="D7550" s="84"/>
    </row>
    <row r="7551" spans="4:4" x14ac:dyDescent="0.2">
      <c r="D7551" s="84"/>
    </row>
    <row r="7552" spans="4:4" x14ac:dyDescent="0.2">
      <c r="D7552" s="84"/>
    </row>
    <row r="7553" spans="4:4" x14ac:dyDescent="0.2">
      <c r="D7553" s="84"/>
    </row>
    <row r="7554" spans="4:4" x14ac:dyDescent="0.2">
      <c r="D7554" s="84"/>
    </row>
    <row r="7555" spans="4:4" x14ac:dyDescent="0.2">
      <c r="D7555" s="84"/>
    </row>
    <row r="7556" spans="4:4" x14ac:dyDescent="0.2">
      <c r="D7556" s="84"/>
    </row>
    <row r="7557" spans="4:4" x14ac:dyDescent="0.2">
      <c r="D7557" s="84"/>
    </row>
    <row r="7558" spans="4:4" x14ac:dyDescent="0.2">
      <c r="D7558" s="84"/>
    </row>
    <row r="7559" spans="4:4" x14ac:dyDescent="0.2">
      <c r="D7559" s="84"/>
    </row>
    <row r="7560" spans="4:4" x14ac:dyDescent="0.2">
      <c r="D7560" s="84"/>
    </row>
    <row r="7561" spans="4:4" x14ac:dyDescent="0.2">
      <c r="D7561" s="84"/>
    </row>
    <row r="7562" spans="4:4" x14ac:dyDescent="0.2">
      <c r="D7562" s="84"/>
    </row>
    <row r="7563" spans="4:4" x14ac:dyDescent="0.2">
      <c r="D7563" s="84"/>
    </row>
    <row r="7564" spans="4:4" x14ac:dyDescent="0.2">
      <c r="D7564" s="84"/>
    </row>
    <row r="7565" spans="4:4" x14ac:dyDescent="0.2">
      <c r="D7565" s="84"/>
    </row>
    <row r="7566" spans="4:4" x14ac:dyDescent="0.2">
      <c r="D7566" s="84"/>
    </row>
    <row r="7567" spans="4:4" x14ac:dyDescent="0.2">
      <c r="D7567" s="84"/>
    </row>
    <row r="7568" spans="4:4" x14ac:dyDescent="0.2">
      <c r="D7568" s="84"/>
    </row>
    <row r="7569" spans="4:4" x14ac:dyDescent="0.2">
      <c r="D7569" s="84"/>
    </row>
    <row r="7570" spans="4:4" x14ac:dyDescent="0.2">
      <c r="D7570" s="84"/>
    </row>
    <row r="7571" spans="4:4" x14ac:dyDescent="0.2">
      <c r="D7571" s="84"/>
    </row>
    <row r="7572" spans="4:4" x14ac:dyDescent="0.2">
      <c r="D7572" s="84"/>
    </row>
    <row r="7573" spans="4:4" x14ac:dyDescent="0.2">
      <c r="D7573" s="84"/>
    </row>
    <row r="7574" spans="4:4" x14ac:dyDescent="0.2">
      <c r="D7574" s="84"/>
    </row>
    <row r="7575" spans="4:4" x14ac:dyDescent="0.2">
      <c r="D7575" s="84"/>
    </row>
    <row r="7576" spans="4:4" x14ac:dyDescent="0.2">
      <c r="D7576" s="84"/>
    </row>
    <row r="7577" spans="4:4" x14ac:dyDescent="0.2">
      <c r="D7577" s="84"/>
    </row>
    <row r="7578" spans="4:4" x14ac:dyDescent="0.2">
      <c r="D7578" s="84"/>
    </row>
    <row r="7579" spans="4:4" x14ac:dyDescent="0.2">
      <c r="D7579" s="84"/>
    </row>
    <row r="7580" spans="4:4" x14ac:dyDescent="0.2">
      <c r="D7580" s="84"/>
    </row>
    <row r="7581" spans="4:4" x14ac:dyDescent="0.2">
      <c r="D7581" s="84"/>
    </row>
    <row r="7582" spans="4:4" x14ac:dyDescent="0.2">
      <c r="D7582" s="84"/>
    </row>
    <row r="7583" spans="4:4" x14ac:dyDescent="0.2">
      <c r="D7583" s="84"/>
    </row>
    <row r="7584" spans="4:4" x14ac:dyDescent="0.2">
      <c r="D7584" s="84"/>
    </row>
    <row r="7585" spans="4:4" x14ac:dyDescent="0.2">
      <c r="D7585" s="84"/>
    </row>
    <row r="7586" spans="4:4" x14ac:dyDescent="0.2">
      <c r="D7586" s="84"/>
    </row>
    <row r="7587" spans="4:4" x14ac:dyDescent="0.2">
      <c r="D7587" s="84"/>
    </row>
    <row r="7588" spans="4:4" x14ac:dyDescent="0.2">
      <c r="D7588" s="84"/>
    </row>
    <row r="7589" spans="4:4" x14ac:dyDescent="0.2">
      <c r="D7589" s="84"/>
    </row>
    <row r="7590" spans="4:4" x14ac:dyDescent="0.2">
      <c r="D7590" s="84"/>
    </row>
    <row r="7591" spans="4:4" x14ac:dyDescent="0.2">
      <c r="D7591" s="84"/>
    </row>
    <row r="7592" spans="4:4" x14ac:dyDescent="0.2">
      <c r="D7592" s="84"/>
    </row>
    <row r="7593" spans="4:4" x14ac:dyDescent="0.2">
      <c r="D7593" s="84"/>
    </row>
    <row r="7594" spans="4:4" x14ac:dyDescent="0.2">
      <c r="D7594" s="84"/>
    </row>
    <row r="7595" spans="4:4" x14ac:dyDescent="0.2">
      <c r="D7595" s="84"/>
    </row>
    <row r="7596" spans="4:4" x14ac:dyDescent="0.2">
      <c r="D7596" s="84"/>
    </row>
    <row r="7597" spans="4:4" x14ac:dyDescent="0.2">
      <c r="D7597" s="84"/>
    </row>
    <row r="7598" spans="4:4" x14ac:dyDescent="0.2">
      <c r="D7598" s="84"/>
    </row>
    <row r="7599" spans="4:4" x14ac:dyDescent="0.2">
      <c r="D7599" s="84"/>
    </row>
    <row r="7600" spans="4:4" x14ac:dyDescent="0.2">
      <c r="D7600" s="84"/>
    </row>
    <row r="7601" spans="4:4" x14ac:dyDescent="0.2">
      <c r="D7601" s="84"/>
    </row>
    <row r="7602" spans="4:4" x14ac:dyDescent="0.2">
      <c r="D7602" s="84"/>
    </row>
    <row r="7603" spans="4:4" x14ac:dyDescent="0.2">
      <c r="D7603" s="84"/>
    </row>
    <row r="7604" spans="4:4" x14ac:dyDescent="0.2">
      <c r="D7604" s="84"/>
    </row>
    <row r="7605" spans="4:4" x14ac:dyDescent="0.2">
      <c r="D7605" s="84"/>
    </row>
    <row r="7606" spans="4:4" x14ac:dyDescent="0.2">
      <c r="D7606" s="84"/>
    </row>
    <row r="7607" spans="4:4" x14ac:dyDescent="0.2">
      <c r="D7607" s="84"/>
    </row>
    <row r="7608" spans="4:4" x14ac:dyDescent="0.2">
      <c r="D7608" s="84"/>
    </row>
    <row r="7609" spans="4:4" x14ac:dyDescent="0.2">
      <c r="D7609" s="84"/>
    </row>
    <row r="7610" spans="4:4" x14ac:dyDescent="0.2">
      <c r="D7610" s="84"/>
    </row>
    <row r="7611" spans="4:4" x14ac:dyDescent="0.2">
      <c r="D7611" s="84"/>
    </row>
    <row r="7612" spans="4:4" x14ac:dyDescent="0.2">
      <c r="D7612" s="84"/>
    </row>
    <row r="7613" spans="4:4" x14ac:dyDescent="0.2">
      <c r="D7613" s="84"/>
    </row>
    <row r="7614" spans="4:4" x14ac:dyDescent="0.2">
      <c r="D7614" s="84"/>
    </row>
    <row r="7615" spans="4:4" x14ac:dyDescent="0.2">
      <c r="D7615" s="84"/>
    </row>
    <row r="7616" spans="4:4" x14ac:dyDescent="0.2">
      <c r="D7616" s="84"/>
    </row>
    <row r="7617" spans="4:4" x14ac:dyDescent="0.2">
      <c r="D7617" s="84"/>
    </row>
    <row r="7618" spans="4:4" x14ac:dyDescent="0.2">
      <c r="D7618" s="84"/>
    </row>
    <row r="7619" spans="4:4" x14ac:dyDescent="0.2">
      <c r="D7619" s="84"/>
    </row>
    <row r="7620" spans="4:4" x14ac:dyDescent="0.2">
      <c r="D7620" s="84"/>
    </row>
    <row r="7621" spans="4:4" x14ac:dyDescent="0.2">
      <c r="D7621" s="84"/>
    </row>
    <row r="7622" spans="4:4" x14ac:dyDescent="0.2">
      <c r="D7622" s="84"/>
    </row>
    <row r="7623" spans="4:4" x14ac:dyDescent="0.2">
      <c r="D7623" s="84"/>
    </row>
    <row r="7624" spans="4:4" x14ac:dyDescent="0.2">
      <c r="D7624" s="84"/>
    </row>
    <row r="7625" spans="4:4" x14ac:dyDescent="0.2">
      <c r="D7625" s="84"/>
    </row>
    <row r="7626" spans="4:4" x14ac:dyDescent="0.2">
      <c r="D7626" s="84"/>
    </row>
    <row r="7627" spans="4:4" x14ac:dyDescent="0.2">
      <c r="D7627" s="84"/>
    </row>
    <row r="7628" spans="4:4" x14ac:dyDescent="0.2">
      <c r="D7628" s="84"/>
    </row>
    <row r="7629" spans="4:4" x14ac:dyDescent="0.2">
      <c r="D7629" s="84"/>
    </row>
    <row r="7630" spans="4:4" x14ac:dyDescent="0.2">
      <c r="D7630" s="84"/>
    </row>
    <row r="7631" spans="4:4" x14ac:dyDescent="0.2">
      <c r="D7631" s="84"/>
    </row>
    <row r="7632" spans="4:4" x14ac:dyDescent="0.2">
      <c r="D7632" s="84"/>
    </row>
    <row r="7633" spans="4:4" x14ac:dyDescent="0.2">
      <c r="D7633" s="84"/>
    </row>
    <row r="7634" spans="4:4" x14ac:dyDescent="0.2">
      <c r="D7634" s="84"/>
    </row>
    <row r="7635" spans="4:4" x14ac:dyDescent="0.2">
      <c r="D7635" s="84"/>
    </row>
    <row r="7636" spans="4:4" x14ac:dyDescent="0.2">
      <c r="D7636" s="84"/>
    </row>
    <row r="7637" spans="4:4" x14ac:dyDescent="0.2">
      <c r="D7637" s="84"/>
    </row>
    <row r="7638" spans="4:4" x14ac:dyDescent="0.2">
      <c r="D7638" s="84"/>
    </row>
    <row r="7639" spans="4:4" x14ac:dyDescent="0.2">
      <c r="D7639" s="84"/>
    </row>
    <row r="7640" spans="4:4" x14ac:dyDescent="0.2">
      <c r="D7640" s="84"/>
    </row>
    <row r="7641" spans="4:4" x14ac:dyDescent="0.2">
      <c r="D7641" s="84"/>
    </row>
    <row r="7642" spans="4:4" x14ac:dyDescent="0.2">
      <c r="D7642" s="84"/>
    </row>
    <row r="7643" spans="4:4" x14ac:dyDescent="0.2">
      <c r="D7643" s="84"/>
    </row>
    <row r="7644" spans="4:4" x14ac:dyDescent="0.2">
      <c r="D7644" s="84"/>
    </row>
    <row r="7645" spans="4:4" x14ac:dyDescent="0.2">
      <c r="D7645" s="84"/>
    </row>
    <row r="7646" spans="4:4" x14ac:dyDescent="0.2">
      <c r="D7646" s="84"/>
    </row>
    <row r="7647" spans="4:4" x14ac:dyDescent="0.2">
      <c r="D7647" s="84"/>
    </row>
    <row r="7648" spans="4:4" x14ac:dyDescent="0.2">
      <c r="D7648" s="84"/>
    </row>
    <row r="7649" spans="4:4" x14ac:dyDescent="0.2">
      <c r="D7649" s="84"/>
    </row>
    <row r="7650" spans="4:4" x14ac:dyDescent="0.2">
      <c r="D7650" s="84"/>
    </row>
    <row r="7651" spans="4:4" x14ac:dyDescent="0.2">
      <c r="D7651" s="84"/>
    </row>
    <row r="7652" spans="4:4" x14ac:dyDescent="0.2">
      <c r="D7652" s="84"/>
    </row>
    <row r="7653" spans="4:4" x14ac:dyDescent="0.2">
      <c r="D7653" s="84"/>
    </row>
    <row r="7654" spans="4:4" x14ac:dyDescent="0.2">
      <c r="D7654" s="84"/>
    </row>
    <row r="7655" spans="4:4" x14ac:dyDescent="0.2">
      <c r="D7655" s="84"/>
    </row>
    <row r="7656" spans="4:4" x14ac:dyDescent="0.2">
      <c r="D7656" s="84"/>
    </row>
    <row r="7657" spans="4:4" x14ac:dyDescent="0.2">
      <c r="D7657" s="84"/>
    </row>
    <row r="7658" spans="4:4" x14ac:dyDescent="0.2">
      <c r="D7658" s="84"/>
    </row>
    <row r="7659" spans="4:4" x14ac:dyDescent="0.2">
      <c r="D7659" s="84"/>
    </row>
    <row r="7660" spans="4:4" x14ac:dyDescent="0.2">
      <c r="D7660" s="84"/>
    </row>
    <row r="7661" spans="4:4" x14ac:dyDescent="0.2">
      <c r="D7661" s="84"/>
    </row>
    <row r="7662" spans="4:4" x14ac:dyDescent="0.2">
      <c r="D7662" s="84"/>
    </row>
    <row r="7663" spans="4:4" x14ac:dyDescent="0.2">
      <c r="D7663" s="84"/>
    </row>
    <row r="7664" spans="4:4" x14ac:dyDescent="0.2">
      <c r="D7664" s="84"/>
    </row>
    <row r="7665" spans="4:4" x14ac:dyDescent="0.2">
      <c r="D7665" s="84"/>
    </row>
    <row r="7666" spans="4:4" x14ac:dyDescent="0.2">
      <c r="D7666" s="84"/>
    </row>
    <row r="7667" spans="4:4" x14ac:dyDescent="0.2">
      <c r="D7667" s="84"/>
    </row>
    <row r="7668" spans="4:4" x14ac:dyDescent="0.2">
      <c r="D7668" s="84"/>
    </row>
    <row r="7669" spans="4:4" x14ac:dyDescent="0.2">
      <c r="D7669" s="84"/>
    </row>
    <row r="7670" spans="4:4" x14ac:dyDescent="0.2">
      <c r="D7670" s="84"/>
    </row>
    <row r="7671" spans="4:4" x14ac:dyDescent="0.2">
      <c r="D7671" s="84"/>
    </row>
    <row r="7672" spans="4:4" x14ac:dyDescent="0.2">
      <c r="D7672" s="84"/>
    </row>
    <row r="7673" spans="4:4" x14ac:dyDescent="0.2">
      <c r="D7673" s="84"/>
    </row>
    <row r="7674" spans="4:4" x14ac:dyDescent="0.2">
      <c r="D7674" s="84"/>
    </row>
    <row r="7675" spans="4:4" x14ac:dyDescent="0.2">
      <c r="D7675" s="84"/>
    </row>
    <row r="7676" spans="4:4" x14ac:dyDescent="0.2">
      <c r="D7676" s="84"/>
    </row>
    <row r="7677" spans="4:4" x14ac:dyDescent="0.2">
      <c r="D7677" s="84"/>
    </row>
    <row r="7678" spans="4:4" x14ac:dyDescent="0.2">
      <c r="D7678" s="84"/>
    </row>
    <row r="7679" spans="4:4" x14ac:dyDescent="0.2">
      <c r="D7679" s="84"/>
    </row>
    <row r="7680" spans="4:4" x14ac:dyDescent="0.2">
      <c r="D7680" s="84"/>
    </row>
    <row r="7681" spans="4:4" x14ac:dyDescent="0.2">
      <c r="D7681" s="84"/>
    </row>
    <row r="7682" spans="4:4" x14ac:dyDescent="0.2">
      <c r="D7682" s="84"/>
    </row>
    <row r="7683" spans="4:4" x14ac:dyDescent="0.2">
      <c r="D7683" s="84"/>
    </row>
    <row r="7684" spans="4:4" x14ac:dyDescent="0.2">
      <c r="D7684" s="84"/>
    </row>
    <row r="7685" spans="4:4" x14ac:dyDescent="0.2">
      <c r="D7685" s="84"/>
    </row>
    <row r="7686" spans="4:4" x14ac:dyDescent="0.2">
      <c r="D7686" s="84"/>
    </row>
    <row r="7687" spans="4:4" x14ac:dyDescent="0.2">
      <c r="D7687" s="84"/>
    </row>
    <row r="7688" spans="4:4" x14ac:dyDescent="0.2">
      <c r="D7688" s="84"/>
    </row>
    <row r="7689" spans="4:4" x14ac:dyDescent="0.2">
      <c r="D7689" s="84"/>
    </row>
    <row r="7690" spans="4:4" x14ac:dyDescent="0.2">
      <c r="D7690" s="84"/>
    </row>
    <row r="7691" spans="4:4" x14ac:dyDescent="0.2">
      <c r="D7691" s="84"/>
    </row>
    <row r="7692" spans="4:4" x14ac:dyDescent="0.2">
      <c r="D7692" s="84"/>
    </row>
    <row r="7693" spans="4:4" x14ac:dyDescent="0.2">
      <c r="D7693" s="84"/>
    </row>
    <row r="7694" spans="4:4" x14ac:dyDescent="0.2">
      <c r="D7694" s="84"/>
    </row>
    <row r="7695" spans="4:4" x14ac:dyDescent="0.2">
      <c r="D7695" s="84"/>
    </row>
    <row r="7696" spans="4:4" x14ac:dyDescent="0.2">
      <c r="D7696" s="84"/>
    </row>
    <row r="7697" spans="4:4" x14ac:dyDescent="0.2">
      <c r="D7697" s="84"/>
    </row>
    <row r="7698" spans="4:4" x14ac:dyDescent="0.2">
      <c r="D7698" s="84"/>
    </row>
    <row r="7699" spans="4:4" x14ac:dyDescent="0.2">
      <c r="D7699" s="84"/>
    </row>
    <row r="7700" spans="4:4" x14ac:dyDescent="0.2">
      <c r="D7700" s="84"/>
    </row>
    <row r="7701" spans="4:4" x14ac:dyDescent="0.2">
      <c r="D7701" s="84"/>
    </row>
    <row r="7702" spans="4:4" x14ac:dyDescent="0.2">
      <c r="D7702" s="84"/>
    </row>
    <row r="7703" spans="4:4" x14ac:dyDescent="0.2">
      <c r="D7703" s="84"/>
    </row>
    <row r="7704" spans="4:4" x14ac:dyDescent="0.2">
      <c r="D7704" s="84"/>
    </row>
    <row r="7705" spans="4:4" x14ac:dyDescent="0.2">
      <c r="D7705" s="84"/>
    </row>
    <row r="7706" spans="4:4" x14ac:dyDescent="0.2">
      <c r="D7706" s="84"/>
    </row>
    <row r="7707" spans="4:4" x14ac:dyDescent="0.2">
      <c r="D7707" s="84"/>
    </row>
    <row r="7708" spans="4:4" x14ac:dyDescent="0.2">
      <c r="D7708" s="84"/>
    </row>
    <row r="7709" spans="4:4" x14ac:dyDescent="0.2">
      <c r="D7709" s="84"/>
    </row>
    <row r="7710" spans="4:4" x14ac:dyDescent="0.2">
      <c r="D7710" s="84"/>
    </row>
    <row r="7711" spans="4:4" x14ac:dyDescent="0.2">
      <c r="D7711" s="84"/>
    </row>
    <row r="7712" spans="4:4" x14ac:dyDescent="0.2">
      <c r="D7712" s="84"/>
    </row>
    <row r="7713" spans="4:4" x14ac:dyDescent="0.2">
      <c r="D7713" s="84"/>
    </row>
    <row r="7714" spans="4:4" x14ac:dyDescent="0.2">
      <c r="D7714" s="84"/>
    </row>
    <row r="7715" spans="4:4" x14ac:dyDescent="0.2">
      <c r="D7715" s="84"/>
    </row>
    <row r="7716" spans="4:4" x14ac:dyDescent="0.2">
      <c r="D7716" s="84"/>
    </row>
    <row r="7717" spans="4:4" x14ac:dyDescent="0.2">
      <c r="D7717" s="84"/>
    </row>
    <row r="7718" spans="4:4" x14ac:dyDescent="0.2">
      <c r="D7718" s="84"/>
    </row>
    <row r="7719" spans="4:4" x14ac:dyDescent="0.2">
      <c r="D7719" s="84"/>
    </row>
    <row r="7720" spans="4:4" x14ac:dyDescent="0.2">
      <c r="D7720" s="84"/>
    </row>
    <row r="7721" spans="4:4" x14ac:dyDescent="0.2">
      <c r="D7721" s="84"/>
    </row>
    <row r="7722" spans="4:4" x14ac:dyDescent="0.2">
      <c r="D7722" s="84"/>
    </row>
    <row r="7723" spans="4:4" x14ac:dyDescent="0.2">
      <c r="D7723" s="84"/>
    </row>
    <row r="7724" spans="4:4" x14ac:dyDescent="0.2">
      <c r="D7724" s="84"/>
    </row>
    <row r="7725" spans="4:4" x14ac:dyDescent="0.2">
      <c r="D7725" s="84"/>
    </row>
    <row r="7726" spans="4:4" x14ac:dyDescent="0.2">
      <c r="D7726" s="84"/>
    </row>
    <row r="7727" spans="4:4" x14ac:dyDescent="0.2">
      <c r="D7727" s="84"/>
    </row>
    <row r="7728" spans="4:4" x14ac:dyDescent="0.2">
      <c r="D7728" s="84"/>
    </row>
    <row r="7729" spans="4:4" x14ac:dyDescent="0.2">
      <c r="D7729" s="84"/>
    </row>
    <row r="7730" spans="4:4" x14ac:dyDescent="0.2">
      <c r="D7730" s="84"/>
    </row>
    <row r="7731" spans="4:4" x14ac:dyDescent="0.2">
      <c r="D7731" s="84"/>
    </row>
    <row r="7732" spans="4:4" x14ac:dyDescent="0.2">
      <c r="D7732" s="84"/>
    </row>
    <row r="7733" spans="4:4" x14ac:dyDescent="0.2">
      <c r="D7733" s="84"/>
    </row>
    <row r="7734" spans="4:4" x14ac:dyDescent="0.2">
      <c r="D7734" s="84"/>
    </row>
    <row r="7735" spans="4:4" x14ac:dyDescent="0.2">
      <c r="D7735" s="84"/>
    </row>
    <row r="7736" spans="4:4" x14ac:dyDescent="0.2">
      <c r="D7736" s="84"/>
    </row>
    <row r="7737" spans="4:4" x14ac:dyDescent="0.2">
      <c r="D7737" s="84"/>
    </row>
    <row r="7738" spans="4:4" x14ac:dyDescent="0.2">
      <c r="D7738" s="84"/>
    </row>
    <row r="7739" spans="4:4" x14ac:dyDescent="0.2">
      <c r="D7739" s="84"/>
    </row>
    <row r="7740" spans="4:4" x14ac:dyDescent="0.2">
      <c r="D7740" s="84"/>
    </row>
    <row r="7741" spans="4:4" x14ac:dyDescent="0.2">
      <c r="D7741" s="84"/>
    </row>
    <row r="7742" spans="4:4" x14ac:dyDescent="0.2">
      <c r="D7742" s="84"/>
    </row>
    <row r="7743" spans="4:4" x14ac:dyDescent="0.2">
      <c r="D7743" s="84"/>
    </row>
    <row r="7744" spans="4:4" x14ac:dyDescent="0.2">
      <c r="D7744" s="84"/>
    </row>
    <row r="7745" spans="4:4" x14ac:dyDescent="0.2">
      <c r="D7745" s="84"/>
    </row>
    <row r="7746" spans="4:4" x14ac:dyDescent="0.2">
      <c r="D7746" s="84"/>
    </row>
    <row r="7747" spans="4:4" x14ac:dyDescent="0.2">
      <c r="D7747" s="84"/>
    </row>
    <row r="7748" spans="4:4" x14ac:dyDescent="0.2">
      <c r="D7748" s="84"/>
    </row>
    <row r="7749" spans="4:4" x14ac:dyDescent="0.2">
      <c r="D7749" s="84"/>
    </row>
    <row r="7750" spans="4:4" x14ac:dyDescent="0.2">
      <c r="D7750" s="84"/>
    </row>
    <row r="7751" spans="4:4" x14ac:dyDescent="0.2">
      <c r="D7751" s="84"/>
    </row>
    <row r="7752" spans="4:4" x14ac:dyDescent="0.2">
      <c r="D7752" s="84"/>
    </row>
    <row r="7753" spans="4:4" x14ac:dyDescent="0.2">
      <c r="D7753" s="84"/>
    </row>
    <row r="7754" spans="4:4" x14ac:dyDescent="0.2">
      <c r="D7754" s="84"/>
    </row>
    <row r="7755" spans="4:4" x14ac:dyDescent="0.2">
      <c r="D7755" s="84"/>
    </row>
    <row r="7756" spans="4:4" x14ac:dyDescent="0.2">
      <c r="D7756" s="84"/>
    </row>
    <row r="7757" spans="4:4" x14ac:dyDescent="0.2">
      <c r="D7757" s="84"/>
    </row>
    <row r="7758" spans="4:4" x14ac:dyDescent="0.2">
      <c r="D7758" s="84"/>
    </row>
    <row r="7759" spans="4:4" x14ac:dyDescent="0.2">
      <c r="D7759" s="84"/>
    </row>
    <row r="7760" spans="4:4" x14ac:dyDescent="0.2">
      <c r="D7760" s="84"/>
    </row>
    <row r="7761" spans="4:4" x14ac:dyDescent="0.2">
      <c r="D7761" s="84"/>
    </row>
    <row r="7762" spans="4:4" x14ac:dyDescent="0.2">
      <c r="D7762" s="84"/>
    </row>
    <row r="7763" spans="4:4" x14ac:dyDescent="0.2">
      <c r="D7763" s="84"/>
    </row>
    <row r="7764" spans="4:4" x14ac:dyDescent="0.2">
      <c r="D7764" s="84"/>
    </row>
    <row r="7765" spans="4:4" x14ac:dyDescent="0.2">
      <c r="D7765" s="84"/>
    </row>
    <row r="7766" spans="4:4" x14ac:dyDescent="0.2">
      <c r="D7766" s="84"/>
    </row>
    <row r="7767" spans="4:4" x14ac:dyDescent="0.2">
      <c r="D7767" s="84"/>
    </row>
    <row r="7768" spans="4:4" x14ac:dyDescent="0.2">
      <c r="D7768" s="84"/>
    </row>
    <row r="7769" spans="4:4" x14ac:dyDescent="0.2">
      <c r="D7769" s="84"/>
    </row>
    <row r="7770" spans="4:4" x14ac:dyDescent="0.2">
      <c r="D7770" s="84"/>
    </row>
    <row r="7771" spans="4:4" x14ac:dyDescent="0.2">
      <c r="D7771" s="84"/>
    </row>
    <row r="7772" spans="4:4" x14ac:dyDescent="0.2">
      <c r="D7772" s="84"/>
    </row>
    <row r="7773" spans="4:4" x14ac:dyDescent="0.2">
      <c r="D7773" s="84"/>
    </row>
    <row r="7774" spans="4:4" x14ac:dyDescent="0.2">
      <c r="D7774" s="84"/>
    </row>
    <row r="7775" spans="4:4" x14ac:dyDescent="0.2">
      <c r="D7775" s="84"/>
    </row>
    <row r="7776" spans="4:4" x14ac:dyDescent="0.2">
      <c r="D7776" s="84"/>
    </row>
    <row r="7777" spans="4:4" x14ac:dyDescent="0.2">
      <c r="D7777" s="84"/>
    </row>
    <row r="7778" spans="4:4" x14ac:dyDescent="0.2">
      <c r="D7778" s="84"/>
    </row>
    <row r="7779" spans="4:4" x14ac:dyDescent="0.2">
      <c r="D7779" s="84"/>
    </row>
    <row r="7780" spans="4:4" x14ac:dyDescent="0.2">
      <c r="D7780" s="84"/>
    </row>
    <row r="7781" spans="4:4" x14ac:dyDescent="0.2">
      <c r="D7781" s="84"/>
    </row>
    <row r="7782" spans="4:4" x14ac:dyDescent="0.2">
      <c r="D7782" s="84"/>
    </row>
    <row r="7783" spans="4:4" x14ac:dyDescent="0.2">
      <c r="D7783" s="84"/>
    </row>
    <row r="7784" spans="4:4" x14ac:dyDescent="0.2">
      <c r="D7784" s="84"/>
    </row>
    <row r="7785" spans="4:4" x14ac:dyDescent="0.2">
      <c r="D7785" s="84"/>
    </row>
    <row r="7786" spans="4:4" x14ac:dyDescent="0.2">
      <c r="D7786" s="84"/>
    </row>
    <row r="7787" spans="4:4" x14ac:dyDescent="0.2">
      <c r="D7787" s="84"/>
    </row>
    <row r="7788" spans="4:4" x14ac:dyDescent="0.2">
      <c r="D7788" s="84"/>
    </row>
    <row r="7789" spans="4:4" x14ac:dyDescent="0.2">
      <c r="D7789" s="84"/>
    </row>
    <row r="7790" spans="4:4" x14ac:dyDescent="0.2">
      <c r="D7790" s="84"/>
    </row>
    <row r="7791" spans="4:4" x14ac:dyDescent="0.2">
      <c r="D7791" s="84"/>
    </row>
    <row r="7792" spans="4:4" x14ac:dyDescent="0.2">
      <c r="D7792" s="84"/>
    </row>
    <row r="7793" spans="4:4" x14ac:dyDescent="0.2">
      <c r="D7793" s="84"/>
    </row>
    <row r="7794" spans="4:4" x14ac:dyDescent="0.2">
      <c r="D7794" s="84"/>
    </row>
    <row r="7795" spans="4:4" x14ac:dyDescent="0.2">
      <c r="D7795" s="84"/>
    </row>
    <row r="7796" spans="4:4" x14ac:dyDescent="0.2">
      <c r="D7796" s="84"/>
    </row>
    <row r="7797" spans="4:4" x14ac:dyDescent="0.2">
      <c r="D7797" s="84"/>
    </row>
    <row r="7798" spans="4:4" x14ac:dyDescent="0.2">
      <c r="D7798" s="84"/>
    </row>
    <row r="7799" spans="4:4" x14ac:dyDescent="0.2">
      <c r="D7799" s="84"/>
    </row>
    <row r="7800" spans="4:4" x14ac:dyDescent="0.2">
      <c r="D7800" s="84"/>
    </row>
    <row r="7801" spans="4:4" x14ac:dyDescent="0.2">
      <c r="D7801" s="84"/>
    </row>
    <row r="7802" spans="4:4" x14ac:dyDescent="0.2">
      <c r="D7802" s="84"/>
    </row>
    <row r="7803" spans="4:4" x14ac:dyDescent="0.2">
      <c r="D7803" s="84"/>
    </row>
    <row r="7804" spans="4:4" x14ac:dyDescent="0.2">
      <c r="D7804" s="84"/>
    </row>
    <row r="7805" spans="4:4" x14ac:dyDescent="0.2">
      <c r="D7805" s="84"/>
    </row>
    <row r="7806" spans="4:4" x14ac:dyDescent="0.2">
      <c r="D7806" s="84"/>
    </row>
    <row r="7807" spans="4:4" x14ac:dyDescent="0.2">
      <c r="D7807" s="84"/>
    </row>
    <row r="7808" spans="4:4" x14ac:dyDescent="0.2">
      <c r="D7808" s="84"/>
    </row>
    <row r="7809" spans="4:4" x14ac:dyDescent="0.2">
      <c r="D7809" s="84"/>
    </row>
    <row r="7810" spans="4:4" x14ac:dyDescent="0.2">
      <c r="D7810" s="84"/>
    </row>
    <row r="7811" spans="4:4" x14ac:dyDescent="0.2">
      <c r="D7811" s="84"/>
    </row>
    <row r="7812" spans="4:4" x14ac:dyDescent="0.2">
      <c r="D7812" s="84"/>
    </row>
    <row r="7813" spans="4:4" x14ac:dyDescent="0.2">
      <c r="D7813" s="84"/>
    </row>
    <row r="7814" spans="4:4" x14ac:dyDescent="0.2">
      <c r="D7814" s="84"/>
    </row>
    <row r="7815" spans="4:4" x14ac:dyDescent="0.2">
      <c r="D7815" s="84"/>
    </row>
    <row r="7816" spans="4:4" x14ac:dyDescent="0.2">
      <c r="D7816" s="84"/>
    </row>
    <row r="7817" spans="4:4" x14ac:dyDescent="0.2">
      <c r="D7817" s="84"/>
    </row>
    <row r="7818" spans="4:4" x14ac:dyDescent="0.2">
      <c r="D7818" s="84"/>
    </row>
    <row r="7819" spans="4:4" x14ac:dyDescent="0.2">
      <c r="D7819" s="84"/>
    </row>
    <row r="7820" spans="4:4" x14ac:dyDescent="0.2">
      <c r="D7820" s="84"/>
    </row>
    <row r="7821" spans="4:4" x14ac:dyDescent="0.2">
      <c r="D7821" s="84"/>
    </row>
    <row r="7822" spans="4:4" x14ac:dyDescent="0.2">
      <c r="D7822" s="84"/>
    </row>
    <row r="7823" spans="4:4" x14ac:dyDescent="0.2">
      <c r="D7823" s="84"/>
    </row>
    <row r="7824" spans="4:4" x14ac:dyDescent="0.2">
      <c r="D7824" s="84"/>
    </row>
    <row r="7825" spans="4:4" x14ac:dyDescent="0.2">
      <c r="D7825" s="84"/>
    </row>
    <row r="7826" spans="4:4" x14ac:dyDescent="0.2">
      <c r="D7826" s="84"/>
    </row>
    <row r="7827" spans="4:4" x14ac:dyDescent="0.2">
      <c r="D7827" s="84"/>
    </row>
    <row r="7828" spans="4:4" x14ac:dyDescent="0.2">
      <c r="D7828" s="84"/>
    </row>
    <row r="7829" spans="4:4" x14ac:dyDescent="0.2">
      <c r="D7829" s="84"/>
    </row>
    <row r="7830" spans="4:4" x14ac:dyDescent="0.2">
      <c r="D7830" s="84"/>
    </row>
    <row r="7831" spans="4:4" x14ac:dyDescent="0.2">
      <c r="D7831" s="84"/>
    </row>
    <row r="7832" spans="4:4" x14ac:dyDescent="0.2">
      <c r="D7832" s="84"/>
    </row>
    <row r="7833" spans="4:4" x14ac:dyDescent="0.2">
      <c r="D7833" s="84"/>
    </row>
    <row r="7834" spans="4:4" x14ac:dyDescent="0.2">
      <c r="D7834" s="84"/>
    </row>
    <row r="7835" spans="4:4" x14ac:dyDescent="0.2">
      <c r="D7835" s="84"/>
    </row>
    <row r="7836" spans="4:4" x14ac:dyDescent="0.2">
      <c r="D7836" s="84"/>
    </row>
    <row r="7837" spans="4:4" x14ac:dyDescent="0.2">
      <c r="D7837" s="84"/>
    </row>
    <row r="7838" spans="4:4" x14ac:dyDescent="0.2">
      <c r="D7838" s="84"/>
    </row>
    <row r="7839" spans="4:4" x14ac:dyDescent="0.2">
      <c r="D7839" s="84"/>
    </row>
    <row r="7840" spans="4:4" x14ac:dyDescent="0.2">
      <c r="D7840" s="84"/>
    </row>
    <row r="7841" spans="4:4" x14ac:dyDescent="0.2">
      <c r="D7841" s="84"/>
    </row>
    <row r="7842" spans="4:4" x14ac:dyDescent="0.2">
      <c r="D7842" s="84"/>
    </row>
    <row r="7843" spans="4:4" x14ac:dyDescent="0.2">
      <c r="D7843" s="84"/>
    </row>
    <row r="7844" spans="4:4" x14ac:dyDescent="0.2">
      <c r="D7844" s="84"/>
    </row>
    <row r="7845" spans="4:4" x14ac:dyDescent="0.2">
      <c r="D7845" s="84"/>
    </row>
    <row r="7846" spans="4:4" x14ac:dyDescent="0.2">
      <c r="D7846" s="84"/>
    </row>
    <row r="7847" spans="4:4" x14ac:dyDescent="0.2">
      <c r="D7847" s="84"/>
    </row>
    <row r="7848" spans="4:4" x14ac:dyDescent="0.2">
      <c r="D7848" s="84"/>
    </row>
    <row r="7849" spans="4:4" x14ac:dyDescent="0.2">
      <c r="D7849" s="84"/>
    </row>
    <row r="7850" spans="4:4" x14ac:dyDescent="0.2">
      <c r="D7850" s="84"/>
    </row>
    <row r="7851" spans="4:4" x14ac:dyDescent="0.2">
      <c r="D7851" s="84"/>
    </row>
    <row r="7852" spans="4:4" x14ac:dyDescent="0.2">
      <c r="D7852" s="84"/>
    </row>
    <row r="7853" spans="4:4" x14ac:dyDescent="0.2">
      <c r="D7853" s="84"/>
    </row>
    <row r="7854" spans="4:4" x14ac:dyDescent="0.2">
      <c r="D7854" s="84"/>
    </row>
    <row r="7855" spans="4:4" x14ac:dyDescent="0.2">
      <c r="D7855" s="84"/>
    </row>
    <row r="7856" spans="4:4" x14ac:dyDescent="0.2">
      <c r="D7856" s="84"/>
    </row>
    <row r="7857" spans="4:4" x14ac:dyDescent="0.2">
      <c r="D7857" s="84"/>
    </row>
    <row r="7858" spans="4:4" x14ac:dyDescent="0.2">
      <c r="D7858" s="84"/>
    </row>
    <row r="7859" spans="4:4" x14ac:dyDescent="0.2">
      <c r="D7859" s="84"/>
    </row>
    <row r="7860" spans="4:4" x14ac:dyDescent="0.2">
      <c r="D7860" s="84"/>
    </row>
    <row r="7861" spans="4:4" x14ac:dyDescent="0.2">
      <c r="D7861" s="84"/>
    </row>
    <row r="7862" spans="4:4" x14ac:dyDescent="0.2">
      <c r="D7862" s="84"/>
    </row>
    <row r="7863" spans="4:4" x14ac:dyDescent="0.2">
      <c r="D7863" s="84"/>
    </row>
    <row r="7864" spans="4:4" x14ac:dyDescent="0.2">
      <c r="D7864" s="84"/>
    </row>
    <row r="7865" spans="4:4" x14ac:dyDescent="0.2">
      <c r="D7865" s="84"/>
    </row>
    <row r="7866" spans="4:4" x14ac:dyDescent="0.2">
      <c r="D7866" s="84"/>
    </row>
    <row r="7867" spans="4:4" x14ac:dyDescent="0.2">
      <c r="D7867" s="84"/>
    </row>
    <row r="7868" spans="4:4" x14ac:dyDescent="0.2">
      <c r="D7868" s="84"/>
    </row>
    <row r="7869" spans="4:4" x14ac:dyDescent="0.2">
      <c r="D7869" s="84"/>
    </row>
    <row r="7870" spans="4:4" x14ac:dyDescent="0.2">
      <c r="D7870" s="84"/>
    </row>
    <row r="7871" spans="4:4" x14ac:dyDescent="0.2">
      <c r="D7871" s="84"/>
    </row>
    <row r="7872" spans="4:4" x14ac:dyDescent="0.2">
      <c r="D7872" s="84"/>
    </row>
    <row r="7873" spans="4:4" x14ac:dyDescent="0.2">
      <c r="D7873" s="84"/>
    </row>
    <row r="7874" spans="4:4" x14ac:dyDescent="0.2">
      <c r="D7874" s="84"/>
    </row>
    <row r="7875" spans="4:4" x14ac:dyDescent="0.2">
      <c r="D7875" s="84"/>
    </row>
    <row r="7876" spans="4:4" x14ac:dyDescent="0.2">
      <c r="D7876" s="84"/>
    </row>
    <row r="7877" spans="4:4" x14ac:dyDescent="0.2">
      <c r="D7877" s="84"/>
    </row>
    <row r="7878" spans="4:4" x14ac:dyDescent="0.2">
      <c r="D7878" s="84"/>
    </row>
    <row r="7879" spans="4:4" x14ac:dyDescent="0.2">
      <c r="D7879" s="84"/>
    </row>
    <row r="7880" spans="4:4" x14ac:dyDescent="0.2">
      <c r="D7880" s="84"/>
    </row>
    <row r="7881" spans="4:4" x14ac:dyDescent="0.2">
      <c r="D7881" s="84"/>
    </row>
    <row r="7882" spans="4:4" x14ac:dyDescent="0.2">
      <c r="D7882" s="84"/>
    </row>
    <row r="7883" spans="4:4" x14ac:dyDescent="0.2">
      <c r="D7883" s="84"/>
    </row>
    <row r="7884" spans="4:4" x14ac:dyDescent="0.2">
      <c r="D7884" s="84"/>
    </row>
    <row r="7885" spans="4:4" x14ac:dyDescent="0.2">
      <c r="D7885" s="84"/>
    </row>
    <row r="7886" spans="4:4" x14ac:dyDescent="0.2">
      <c r="D7886" s="84"/>
    </row>
    <row r="7887" spans="4:4" x14ac:dyDescent="0.2">
      <c r="D7887" s="84"/>
    </row>
    <row r="7888" spans="4:4" x14ac:dyDescent="0.2">
      <c r="D7888" s="84"/>
    </row>
    <row r="7889" spans="4:4" x14ac:dyDescent="0.2">
      <c r="D7889" s="84"/>
    </row>
    <row r="7890" spans="4:4" x14ac:dyDescent="0.2">
      <c r="D7890" s="84"/>
    </row>
    <row r="7891" spans="4:4" x14ac:dyDescent="0.2">
      <c r="D7891" s="84"/>
    </row>
    <row r="7892" spans="4:4" x14ac:dyDescent="0.2">
      <c r="D7892" s="84"/>
    </row>
    <row r="7893" spans="4:4" x14ac:dyDescent="0.2">
      <c r="D7893" s="84"/>
    </row>
    <row r="7894" spans="4:4" x14ac:dyDescent="0.2">
      <c r="D7894" s="84"/>
    </row>
    <row r="7895" spans="4:4" x14ac:dyDescent="0.2">
      <c r="D7895" s="84"/>
    </row>
    <row r="7896" spans="4:4" x14ac:dyDescent="0.2">
      <c r="D7896" s="84"/>
    </row>
    <row r="7897" spans="4:4" x14ac:dyDescent="0.2">
      <c r="D7897" s="84"/>
    </row>
    <row r="7898" spans="4:4" x14ac:dyDescent="0.2">
      <c r="D7898" s="84"/>
    </row>
    <row r="7899" spans="4:4" x14ac:dyDescent="0.2">
      <c r="D7899" s="84"/>
    </row>
    <row r="7900" spans="4:4" x14ac:dyDescent="0.2">
      <c r="D7900" s="84"/>
    </row>
    <row r="7901" spans="4:4" x14ac:dyDescent="0.2">
      <c r="D7901" s="84"/>
    </row>
    <row r="7902" spans="4:4" x14ac:dyDescent="0.2">
      <c r="D7902" s="84"/>
    </row>
    <row r="7903" spans="4:4" x14ac:dyDescent="0.2">
      <c r="D7903" s="84"/>
    </row>
    <row r="7904" spans="4:4" x14ac:dyDescent="0.2">
      <c r="D7904" s="84"/>
    </row>
    <row r="7905" spans="4:4" x14ac:dyDescent="0.2">
      <c r="D7905" s="84"/>
    </row>
    <row r="7906" spans="4:4" x14ac:dyDescent="0.2">
      <c r="D7906" s="84"/>
    </row>
    <row r="7907" spans="4:4" x14ac:dyDescent="0.2">
      <c r="D7907" s="84"/>
    </row>
    <row r="7908" spans="4:4" x14ac:dyDescent="0.2">
      <c r="D7908" s="84"/>
    </row>
    <row r="7909" spans="4:4" x14ac:dyDescent="0.2">
      <c r="D7909" s="84"/>
    </row>
    <row r="7910" spans="4:4" x14ac:dyDescent="0.2">
      <c r="D7910" s="84"/>
    </row>
    <row r="7911" spans="4:4" x14ac:dyDescent="0.2">
      <c r="D7911" s="84"/>
    </row>
    <row r="7912" spans="4:4" x14ac:dyDescent="0.2">
      <c r="D7912" s="84"/>
    </row>
    <row r="7913" spans="4:4" x14ac:dyDescent="0.2">
      <c r="D7913" s="84"/>
    </row>
    <row r="7914" spans="4:4" x14ac:dyDescent="0.2">
      <c r="D7914" s="84"/>
    </row>
    <row r="7915" spans="4:4" x14ac:dyDescent="0.2">
      <c r="D7915" s="84"/>
    </row>
    <row r="7916" spans="4:4" x14ac:dyDescent="0.2">
      <c r="D7916" s="84"/>
    </row>
    <row r="7917" spans="4:4" x14ac:dyDescent="0.2">
      <c r="D7917" s="84"/>
    </row>
    <row r="7918" spans="4:4" x14ac:dyDescent="0.2">
      <c r="D7918" s="84"/>
    </row>
    <row r="7919" spans="4:4" x14ac:dyDescent="0.2">
      <c r="D7919" s="84"/>
    </row>
    <row r="7920" spans="4:4" x14ac:dyDescent="0.2">
      <c r="D7920" s="84"/>
    </row>
    <row r="7921" spans="4:4" x14ac:dyDescent="0.2">
      <c r="D7921" s="84"/>
    </row>
    <row r="7922" spans="4:4" x14ac:dyDescent="0.2">
      <c r="D7922" s="84"/>
    </row>
    <row r="7923" spans="4:4" x14ac:dyDescent="0.2">
      <c r="D7923" s="84"/>
    </row>
    <row r="7924" spans="4:4" x14ac:dyDescent="0.2">
      <c r="D7924" s="84"/>
    </row>
    <row r="7925" spans="4:4" x14ac:dyDescent="0.2">
      <c r="D7925" s="84"/>
    </row>
    <row r="7926" spans="4:4" x14ac:dyDescent="0.2">
      <c r="D7926" s="84"/>
    </row>
    <row r="7927" spans="4:4" x14ac:dyDescent="0.2">
      <c r="D7927" s="84"/>
    </row>
    <row r="7928" spans="4:4" x14ac:dyDescent="0.2">
      <c r="D7928" s="84"/>
    </row>
    <row r="7929" spans="4:4" x14ac:dyDescent="0.2">
      <c r="D7929" s="84"/>
    </row>
    <row r="7930" spans="4:4" x14ac:dyDescent="0.2">
      <c r="D7930" s="84"/>
    </row>
    <row r="7931" spans="4:4" x14ac:dyDescent="0.2">
      <c r="D7931" s="84"/>
    </row>
    <row r="7932" spans="4:4" x14ac:dyDescent="0.2">
      <c r="D7932" s="84"/>
    </row>
    <row r="7933" spans="4:4" x14ac:dyDescent="0.2">
      <c r="D7933" s="84"/>
    </row>
    <row r="7934" spans="4:4" x14ac:dyDescent="0.2">
      <c r="D7934" s="84"/>
    </row>
    <row r="7935" spans="4:4" x14ac:dyDescent="0.2">
      <c r="D7935" s="84"/>
    </row>
    <row r="7936" spans="4:4" x14ac:dyDescent="0.2">
      <c r="D7936" s="84"/>
    </row>
    <row r="7937" spans="4:4" x14ac:dyDescent="0.2">
      <c r="D7937" s="84"/>
    </row>
    <row r="7938" spans="4:4" x14ac:dyDescent="0.2">
      <c r="D7938" s="84"/>
    </row>
    <row r="7939" spans="4:4" x14ac:dyDescent="0.2">
      <c r="D7939" s="84"/>
    </row>
    <row r="7940" spans="4:4" x14ac:dyDescent="0.2">
      <c r="D7940" s="84"/>
    </row>
    <row r="7941" spans="4:4" x14ac:dyDescent="0.2">
      <c r="D7941" s="84"/>
    </row>
    <row r="7942" spans="4:4" x14ac:dyDescent="0.2">
      <c r="D7942" s="84"/>
    </row>
    <row r="7943" spans="4:4" x14ac:dyDescent="0.2">
      <c r="D7943" s="84"/>
    </row>
    <row r="7944" spans="4:4" x14ac:dyDescent="0.2">
      <c r="D7944" s="84"/>
    </row>
    <row r="7945" spans="4:4" x14ac:dyDescent="0.2">
      <c r="D7945" s="84"/>
    </row>
    <row r="7946" spans="4:4" x14ac:dyDescent="0.2">
      <c r="D7946" s="84"/>
    </row>
    <row r="7947" spans="4:4" x14ac:dyDescent="0.2">
      <c r="D7947" s="84"/>
    </row>
    <row r="7948" spans="4:4" x14ac:dyDescent="0.2">
      <c r="D7948" s="84"/>
    </row>
    <row r="7949" spans="4:4" x14ac:dyDescent="0.2">
      <c r="D7949" s="84"/>
    </row>
    <row r="7950" spans="4:4" x14ac:dyDescent="0.2">
      <c r="D7950" s="84"/>
    </row>
    <row r="7951" spans="4:4" x14ac:dyDescent="0.2">
      <c r="D7951" s="84"/>
    </row>
    <row r="7952" spans="4:4" x14ac:dyDescent="0.2">
      <c r="D7952" s="84"/>
    </row>
    <row r="7953" spans="4:4" x14ac:dyDescent="0.2">
      <c r="D7953" s="84"/>
    </row>
    <row r="7954" spans="4:4" x14ac:dyDescent="0.2">
      <c r="D7954" s="84"/>
    </row>
    <row r="7955" spans="4:4" x14ac:dyDescent="0.2">
      <c r="D7955" s="84"/>
    </row>
    <row r="7956" spans="4:4" x14ac:dyDescent="0.2">
      <c r="D7956" s="84"/>
    </row>
    <row r="7957" spans="4:4" x14ac:dyDescent="0.2">
      <c r="D7957" s="84"/>
    </row>
    <row r="7958" spans="4:4" x14ac:dyDescent="0.2">
      <c r="D7958" s="84"/>
    </row>
    <row r="7959" spans="4:4" x14ac:dyDescent="0.2">
      <c r="D7959" s="84"/>
    </row>
    <row r="7960" spans="4:4" x14ac:dyDescent="0.2">
      <c r="D7960" s="84"/>
    </row>
    <row r="7961" spans="4:4" x14ac:dyDescent="0.2">
      <c r="D7961" s="84"/>
    </row>
    <row r="7962" spans="4:4" x14ac:dyDescent="0.2">
      <c r="D7962" s="84"/>
    </row>
    <row r="7963" spans="4:4" x14ac:dyDescent="0.2">
      <c r="D7963" s="84"/>
    </row>
    <row r="7964" spans="4:4" x14ac:dyDescent="0.2">
      <c r="D7964" s="84"/>
    </row>
    <row r="7965" spans="4:4" x14ac:dyDescent="0.2">
      <c r="D7965" s="84"/>
    </row>
    <row r="7966" spans="4:4" x14ac:dyDescent="0.2">
      <c r="D7966" s="84"/>
    </row>
    <row r="7967" spans="4:4" x14ac:dyDescent="0.2">
      <c r="D7967" s="84"/>
    </row>
    <row r="7968" spans="4:4" x14ac:dyDescent="0.2">
      <c r="D7968" s="84"/>
    </row>
    <row r="7969" spans="4:4" x14ac:dyDescent="0.2">
      <c r="D7969" s="84"/>
    </row>
    <row r="7970" spans="4:4" x14ac:dyDescent="0.2">
      <c r="D7970" s="84"/>
    </row>
    <row r="7971" spans="4:4" x14ac:dyDescent="0.2">
      <c r="D7971" s="84"/>
    </row>
    <row r="7972" spans="4:4" x14ac:dyDescent="0.2">
      <c r="D7972" s="84"/>
    </row>
    <row r="7973" spans="4:4" x14ac:dyDescent="0.2">
      <c r="D7973" s="84"/>
    </row>
    <row r="7974" spans="4:4" x14ac:dyDescent="0.2">
      <c r="D7974" s="84"/>
    </row>
    <row r="7975" spans="4:4" x14ac:dyDescent="0.2">
      <c r="D7975" s="84"/>
    </row>
    <row r="7976" spans="4:4" x14ac:dyDescent="0.2">
      <c r="D7976" s="84"/>
    </row>
    <row r="7977" spans="4:4" x14ac:dyDescent="0.2">
      <c r="D7977" s="84"/>
    </row>
    <row r="7978" spans="4:4" x14ac:dyDescent="0.2">
      <c r="D7978" s="84"/>
    </row>
    <row r="7979" spans="4:4" x14ac:dyDescent="0.2">
      <c r="D7979" s="84"/>
    </row>
    <row r="7980" spans="4:4" x14ac:dyDescent="0.2">
      <c r="D7980" s="84"/>
    </row>
    <row r="7981" spans="4:4" x14ac:dyDescent="0.2">
      <c r="D7981" s="84"/>
    </row>
    <row r="7982" spans="4:4" x14ac:dyDescent="0.2">
      <c r="D7982" s="84"/>
    </row>
    <row r="7983" spans="4:4" x14ac:dyDescent="0.2">
      <c r="D7983" s="84"/>
    </row>
    <row r="7984" spans="4:4" x14ac:dyDescent="0.2">
      <c r="D7984" s="84"/>
    </row>
    <row r="7985" spans="4:4" x14ac:dyDescent="0.2">
      <c r="D7985" s="84"/>
    </row>
    <row r="7986" spans="4:4" x14ac:dyDescent="0.2">
      <c r="D7986" s="84"/>
    </row>
    <row r="7987" spans="4:4" x14ac:dyDescent="0.2">
      <c r="D7987" s="84"/>
    </row>
    <row r="7988" spans="4:4" x14ac:dyDescent="0.2">
      <c r="D7988" s="84"/>
    </row>
    <row r="7989" spans="4:4" x14ac:dyDescent="0.2">
      <c r="D7989" s="84"/>
    </row>
    <row r="7990" spans="4:4" x14ac:dyDescent="0.2">
      <c r="D7990" s="84"/>
    </row>
    <row r="7991" spans="4:4" x14ac:dyDescent="0.2">
      <c r="D7991" s="84"/>
    </row>
    <row r="7992" spans="4:4" x14ac:dyDescent="0.2">
      <c r="D7992" s="84"/>
    </row>
    <row r="7993" spans="4:4" x14ac:dyDescent="0.2">
      <c r="D7993" s="84"/>
    </row>
    <row r="7994" spans="4:4" x14ac:dyDescent="0.2">
      <c r="D7994" s="84"/>
    </row>
    <row r="7995" spans="4:4" x14ac:dyDescent="0.2">
      <c r="D7995" s="84"/>
    </row>
    <row r="7996" spans="4:4" x14ac:dyDescent="0.2">
      <c r="D7996" s="84"/>
    </row>
    <row r="7997" spans="4:4" x14ac:dyDescent="0.2">
      <c r="D7997" s="84"/>
    </row>
    <row r="7998" spans="4:4" x14ac:dyDescent="0.2">
      <c r="D7998" s="84"/>
    </row>
    <row r="7999" spans="4:4" x14ac:dyDescent="0.2">
      <c r="D7999" s="84"/>
    </row>
    <row r="8000" spans="4:4" x14ac:dyDescent="0.2">
      <c r="D8000" s="84"/>
    </row>
    <row r="8001" spans="4:4" x14ac:dyDescent="0.2">
      <c r="D8001" s="84"/>
    </row>
    <row r="8002" spans="4:4" x14ac:dyDescent="0.2">
      <c r="D8002" s="84"/>
    </row>
    <row r="8003" spans="4:4" x14ac:dyDescent="0.2">
      <c r="D8003" s="84"/>
    </row>
    <row r="8004" spans="4:4" x14ac:dyDescent="0.2">
      <c r="D8004" s="84"/>
    </row>
    <row r="8005" spans="4:4" x14ac:dyDescent="0.2">
      <c r="D8005" s="84"/>
    </row>
    <row r="8006" spans="4:4" x14ac:dyDescent="0.2">
      <c r="D8006" s="84"/>
    </row>
    <row r="8007" spans="4:4" x14ac:dyDescent="0.2">
      <c r="D8007" s="84"/>
    </row>
    <row r="8008" spans="4:4" x14ac:dyDescent="0.2">
      <c r="D8008" s="84"/>
    </row>
    <row r="8009" spans="4:4" x14ac:dyDescent="0.2">
      <c r="D8009" s="84"/>
    </row>
    <row r="8010" spans="4:4" x14ac:dyDescent="0.2">
      <c r="D8010" s="84"/>
    </row>
    <row r="8011" spans="4:4" x14ac:dyDescent="0.2">
      <c r="D8011" s="84"/>
    </row>
    <row r="8012" spans="4:4" x14ac:dyDescent="0.2">
      <c r="D8012" s="84"/>
    </row>
    <row r="8013" spans="4:4" x14ac:dyDescent="0.2">
      <c r="D8013" s="84"/>
    </row>
    <row r="8014" spans="4:4" x14ac:dyDescent="0.2">
      <c r="D8014" s="84"/>
    </row>
    <row r="8015" spans="4:4" x14ac:dyDescent="0.2">
      <c r="D8015" s="84"/>
    </row>
    <row r="8016" spans="4:4" x14ac:dyDescent="0.2">
      <c r="D8016" s="84"/>
    </row>
    <row r="8017" spans="4:4" x14ac:dyDescent="0.2">
      <c r="D8017" s="84"/>
    </row>
    <row r="8018" spans="4:4" x14ac:dyDescent="0.2">
      <c r="D8018" s="84"/>
    </row>
    <row r="8019" spans="4:4" x14ac:dyDescent="0.2">
      <c r="D8019" s="84"/>
    </row>
    <row r="8020" spans="4:4" x14ac:dyDescent="0.2">
      <c r="D8020" s="84"/>
    </row>
    <row r="8021" spans="4:4" x14ac:dyDescent="0.2">
      <c r="D8021" s="84"/>
    </row>
    <row r="8022" spans="4:4" x14ac:dyDescent="0.2">
      <c r="D8022" s="84"/>
    </row>
    <row r="8023" spans="4:4" x14ac:dyDescent="0.2">
      <c r="D8023" s="84"/>
    </row>
    <row r="8024" spans="4:4" x14ac:dyDescent="0.2">
      <c r="D8024" s="84"/>
    </row>
    <row r="8025" spans="4:4" x14ac:dyDescent="0.2">
      <c r="D8025" s="84"/>
    </row>
    <row r="8026" spans="4:4" x14ac:dyDescent="0.2">
      <c r="D8026" s="84"/>
    </row>
    <row r="8027" spans="4:4" x14ac:dyDescent="0.2">
      <c r="D8027" s="84"/>
    </row>
    <row r="8028" spans="4:4" x14ac:dyDescent="0.2">
      <c r="D8028" s="84"/>
    </row>
    <row r="8029" spans="4:4" x14ac:dyDescent="0.2">
      <c r="D8029" s="84"/>
    </row>
    <row r="8030" spans="4:4" x14ac:dyDescent="0.2">
      <c r="D8030" s="84"/>
    </row>
    <row r="8031" spans="4:4" x14ac:dyDescent="0.2">
      <c r="D8031" s="84"/>
    </row>
    <row r="8032" spans="4:4" x14ac:dyDescent="0.2">
      <c r="D8032" s="84"/>
    </row>
    <row r="8033" spans="4:4" x14ac:dyDescent="0.2">
      <c r="D8033" s="84"/>
    </row>
    <row r="8034" spans="4:4" x14ac:dyDescent="0.2">
      <c r="D8034" s="84"/>
    </row>
    <row r="8035" spans="4:4" x14ac:dyDescent="0.2">
      <c r="D8035" s="84"/>
    </row>
    <row r="8036" spans="4:4" x14ac:dyDescent="0.2">
      <c r="D8036" s="84"/>
    </row>
    <row r="8037" spans="4:4" x14ac:dyDescent="0.2">
      <c r="D8037" s="84"/>
    </row>
    <row r="8038" spans="4:4" x14ac:dyDescent="0.2">
      <c r="D8038" s="84"/>
    </row>
    <row r="8039" spans="4:4" x14ac:dyDescent="0.2">
      <c r="D8039" s="84"/>
    </row>
    <row r="8040" spans="4:4" x14ac:dyDescent="0.2">
      <c r="D8040" s="84"/>
    </row>
    <row r="8041" spans="4:4" x14ac:dyDescent="0.2">
      <c r="D8041" s="84"/>
    </row>
    <row r="8042" spans="4:4" x14ac:dyDescent="0.2">
      <c r="D8042" s="84"/>
    </row>
    <row r="8043" spans="4:4" x14ac:dyDescent="0.2">
      <c r="D8043" s="84"/>
    </row>
    <row r="8044" spans="4:4" x14ac:dyDescent="0.2">
      <c r="D8044" s="84"/>
    </row>
    <row r="8045" spans="4:4" x14ac:dyDescent="0.2">
      <c r="D8045" s="84"/>
    </row>
    <row r="8046" spans="4:4" x14ac:dyDescent="0.2">
      <c r="D8046" s="84"/>
    </row>
    <row r="8047" spans="4:4" x14ac:dyDescent="0.2">
      <c r="D8047" s="84"/>
    </row>
    <row r="8048" spans="4:4" x14ac:dyDescent="0.2">
      <c r="D8048" s="84"/>
    </row>
    <row r="8049" spans="4:4" x14ac:dyDescent="0.2">
      <c r="D8049" s="84"/>
    </row>
    <row r="8050" spans="4:4" x14ac:dyDescent="0.2">
      <c r="D8050" s="84"/>
    </row>
    <row r="8051" spans="4:4" x14ac:dyDescent="0.2">
      <c r="D8051" s="84"/>
    </row>
    <row r="8052" spans="4:4" x14ac:dyDescent="0.2">
      <c r="D8052" s="84"/>
    </row>
    <row r="8053" spans="4:4" x14ac:dyDescent="0.2">
      <c r="D8053" s="84"/>
    </row>
    <row r="8054" spans="4:4" x14ac:dyDescent="0.2">
      <c r="D8054" s="84"/>
    </row>
    <row r="8055" spans="4:4" x14ac:dyDescent="0.2">
      <c r="D8055" s="84"/>
    </row>
    <row r="8056" spans="4:4" x14ac:dyDescent="0.2">
      <c r="D8056" s="84"/>
    </row>
    <row r="8057" spans="4:4" x14ac:dyDescent="0.2">
      <c r="D8057" s="84"/>
    </row>
    <row r="8058" spans="4:4" x14ac:dyDescent="0.2">
      <c r="D8058" s="84"/>
    </row>
    <row r="8059" spans="4:4" x14ac:dyDescent="0.2">
      <c r="D8059" s="84"/>
    </row>
    <row r="8060" spans="4:4" x14ac:dyDescent="0.2">
      <c r="D8060" s="84"/>
    </row>
    <row r="8061" spans="4:4" x14ac:dyDescent="0.2">
      <c r="D8061" s="84"/>
    </row>
    <row r="8062" spans="4:4" x14ac:dyDescent="0.2">
      <c r="D8062" s="84"/>
    </row>
    <row r="8063" spans="4:4" x14ac:dyDescent="0.2">
      <c r="D8063" s="84"/>
    </row>
    <row r="8064" spans="4:4" x14ac:dyDescent="0.2">
      <c r="D8064" s="84"/>
    </row>
    <row r="8065" spans="4:4" x14ac:dyDescent="0.2">
      <c r="D8065" s="84"/>
    </row>
    <row r="8066" spans="4:4" x14ac:dyDescent="0.2">
      <c r="D8066" s="84"/>
    </row>
    <row r="8067" spans="4:4" x14ac:dyDescent="0.2">
      <c r="D8067" s="84"/>
    </row>
    <row r="8068" spans="4:4" x14ac:dyDescent="0.2">
      <c r="D8068" s="84"/>
    </row>
    <row r="8069" spans="4:4" x14ac:dyDescent="0.2">
      <c r="D8069" s="84"/>
    </row>
    <row r="8070" spans="4:4" x14ac:dyDescent="0.2">
      <c r="D8070" s="84"/>
    </row>
    <row r="8071" spans="4:4" x14ac:dyDescent="0.2">
      <c r="D8071" s="84"/>
    </row>
    <row r="8072" spans="4:4" x14ac:dyDescent="0.2">
      <c r="D8072" s="84"/>
    </row>
    <row r="8073" spans="4:4" x14ac:dyDescent="0.2">
      <c r="D8073" s="84"/>
    </row>
    <row r="8074" spans="4:4" x14ac:dyDescent="0.2">
      <c r="D8074" s="84"/>
    </row>
    <row r="8075" spans="4:4" x14ac:dyDescent="0.2">
      <c r="D8075" s="84"/>
    </row>
    <row r="8076" spans="4:4" x14ac:dyDescent="0.2">
      <c r="D8076" s="84"/>
    </row>
    <row r="8077" spans="4:4" x14ac:dyDescent="0.2">
      <c r="D8077" s="84"/>
    </row>
    <row r="8078" spans="4:4" x14ac:dyDescent="0.2">
      <c r="D8078" s="84"/>
    </row>
    <row r="8079" spans="4:4" x14ac:dyDescent="0.2">
      <c r="D8079" s="84"/>
    </row>
    <row r="8080" spans="4:4" x14ac:dyDescent="0.2">
      <c r="D8080" s="84"/>
    </row>
    <row r="8081" spans="4:4" x14ac:dyDescent="0.2">
      <c r="D8081" s="84"/>
    </row>
    <row r="8082" spans="4:4" x14ac:dyDescent="0.2">
      <c r="D8082" s="84"/>
    </row>
    <row r="8083" spans="4:4" x14ac:dyDescent="0.2">
      <c r="D8083" s="84"/>
    </row>
    <row r="8084" spans="4:4" x14ac:dyDescent="0.2">
      <c r="D8084" s="84"/>
    </row>
    <row r="8085" spans="4:4" x14ac:dyDescent="0.2">
      <c r="D8085" s="84"/>
    </row>
    <row r="8086" spans="4:4" x14ac:dyDescent="0.2">
      <c r="D8086" s="84"/>
    </row>
    <row r="8087" spans="4:4" x14ac:dyDescent="0.2">
      <c r="D8087" s="84"/>
    </row>
    <row r="8088" spans="4:4" x14ac:dyDescent="0.2">
      <c r="D8088" s="84"/>
    </row>
    <row r="8089" spans="4:4" x14ac:dyDescent="0.2">
      <c r="D8089" s="84"/>
    </row>
    <row r="8090" spans="4:4" x14ac:dyDescent="0.2">
      <c r="D8090" s="84"/>
    </row>
    <row r="8091" spans="4:4" x14ac:dyDescent="0.2">
      <c r="D8091" s="84"/>
    </row>
    <row r="8092" spans="4:4" x14ac:dyDescent="0.2">
      <c r="D8092" s="84"/>
    </row>
    <row r="8093" spans="4:4" x14ac:dyDescent="0.2">
      <c r="D8093" s="84"/>
    </row>
    <row r="8094" spans="4:4" x14ac:dyDescent="0.2">
      <c r="D8094" s="84"/>
    </row>
    <row r="8095" spans="4:4" x14ac:dyDescent="0.2">
      <c r="D8095" s="84"/>
    </row>
    <row r="8096" spans="4:4" x14ac:dyDescent="0.2">
      <c r="D8096" s="84"/>
    </row>
    <row r="8097" spans="4:4" x14ac:dyDescent="0.2">
      <c r="D8097" s="84"/>
    </row>
    <row r="8098" spans="4:4" x14ac:dyDescent="0.2">
      <c r="D8098" s="84"/>
    </row>
    <row r="8099" spans="4:4" x14ac:dyDescent="0.2">
      <c r="D8099" s="84"/>
    </row>
    <row r="8100" spans="4:4" x14ac:dyDescent="0.2">
      <c r="D8100" s="84"/>
    </row>
    <row r="8101" spans="4:4" x14ac:dyDescent="0.2">
      <c r="D8101" s="84"/>
    </row>
    <row r="8102" spans="4:4" x14ac:dyDescent="0.2">
      <c r="D8102" s="84"/>
    </row>
    <row r="8103" spans="4:4" x14ac:dyDescent="0.2">
      <c r="D8103" s="84"/>
    </row>
    <row r="8104" spans="4:4" x14ac:dyDescent="0.2">
      <c r="D8104" s="84"/>
    </row>
    <row r="8105" spans="4:4" x14ac:dyDescent="0.2">
      <c r="D8105" s="84"/>
    </row>
    <row r="8106" spans="4:4" x14ac:dyDescent="0.2">
      <c r="D8106" s="84"/>
    </row>
    <row r="8107" spans="4:4" x14ac:dyDescent="0.2">
      <c r="D8107" s="84"/>
    </row>
    <row r="8108" spans="4:4" x14ac:dyDescent="0.2">
      <c r="D8108" s="84"/>
    </row>
    <row r="8109" spans="4:4" x14ac:dyDescent="0.2">
      <c r="D8109" s="84"/>
    </row>
    <row r="8110" spans="4:4" x14ac:dyDescent="0.2">
      <c r="D8110" s="84"/>
    </row>
    <row r="8111" spans="4:4" x14ac:dyDescent="0.2">
      <c r="D8111" s="84"/>
    </row>
    <row r="8112" spans="4:4" x14ac:dyDescent="0.2">
      <c r="D8112" s="84"/>
    </row>
    <row r="8113" spans="4:4" x14ac:dyDescent="0.2">
      <c r="D8113" s="84"/>
    </row>
    <row r="8114" spans="4:4" x14ac:dyDescent="0.2">
      <c r="D8114" s="84"/>
    </row>
    <row r="8115" spans="4:4" x14ac:dyDescent="0.2">
      <c r="D8115" s="84"/>
    </row>
    <row r="8116" spans="4:4" x14ac:dyDescent="0.2">
      <c r="D8116" s="84"/>
    </row>
    <row r="8117" spans="4:4" x14ac:dyDescent="0.2">
      <c r="D8117" s="84"/>
    </row>
    <row r="8118" spans="4:4" x14ac:dyDescent="0.2">
      <c r="D8118" s="84"/>
    </row>
    <row r="8119" spans="4:4" x14ac:dyDescent="0.2">
      <c r="D8119" s="84"/>
    </row>
    <row r="8120" spans="4:4" x14ac:dyDescent="0.2">
      <c r="D8120" s="84"/>
    </row>
    <row r="8121" spans="4:4" x14ac:dyDescent="0.2">
      <c r="D8121" s="84"/>
    </row>
    <row r="8122" spans="4:4" x14ac:dyDescent="0.2">
      <c r="D8122" s="84"/>
    </row>
    <row r="8123" spans="4:4" x14ac:dyDescent="0.2">
      <c r="D8123" s="84"/>
    </row>
    <row r="8124" spans="4:4" x14ac:dyDescent="0.2">
      <c r="D8124" s="84"/>
    </row>
    <row r="8125" spans="4:4" x14ac:dyDescent="0.2">
      <c r="D8125" s="84"/>
    </row>
    <row r="8126" spans="4:4" x14ac:dyDescent="0.2">
      <c r="D8126" s="84"/>
    </row>
    <row r="8127" spans="4:4" x14ac:dyDescent="0.2">
      <c r="D8127" s="84"/>
    </row>
    <row r="8128" spans="4:4" x14ac:dyDescent="0.2">
      <c r="D8128" s="84"/>
    </row>
    <row r="8129" spans="4:4" x14ac:dyDescent="0.2">
      <c r="D8129" s="84"/>
    </row>
    <row r="8130" spans="4:4" x14ac:dyDescent="0.2">
      <c r="D8130" s="84"/>
    </row>
    <row r="8131" spans="4:4" x14ac:dyDescent="0.2">
      <c r="D8131" s="84"/>
    </row>
    <row r="8132" spans="4:4" x14ac:dyDescent="0.2">
      <c r="D8132" s="84"/>
    </row>
    <row r="8133" spans="4:4" x14ac:dyDescent="0.2">
      <c r="D8133" s="84"/>
    </row>
    <row r="8134" spans="4:4" x14ac:dyDescent="0.2">
      <c r="D8134" s="84"/>
    </row>
    <row r="8135" spans="4:4" x14ac:dyDescent="0.2">
      <c r="D8135" s="84"/>
    </row>
    <row r="8136" spans="4:4" x14ac:dyDescent="0.2">
      <c r="D8136" s="84"/>
    </row>
    <row r="8137" spans="4:4" x14ac:dyDescent="0.2">
      <c r="D8137" s="84"/>
    </row>
    <row r="8138" spans="4:4" x14ac:dyDescent="0.2">
      <c r="D8138" s="84"/>
    </row>
    <row r="8139" spans="4:4" x14ac:dyDescent="0.2">
      <c r="D8139" s="84"/>
    </row>
    <row r="8140" spans="4:4" x14ac:dyDescent="0.2">
      <c r="D8140" s="84"/>
    </row>
    <row r="8141" spans="4:4" x14ac:dyDescent="0.2">
      <c r="D8141" s="84"/>
    </row>
    <row r="8142" spans="4:4" x14ac:dyDescent="0.2">
      <c r="D8142" s="84"/>
    </row>
    <row r="8143" spans="4:4" x14ac:dyDescent="0.2">
      <c r="D8143" s="84"/>
    </row>
    <row r="8144" spans="4:4" x14ac:dyDescent="0.2">
      <c r="D8144" s="84"/>
    </row>
    <row r="8145" spans="4:4" x14ac:dyDescent="0.2">
      <c r="D8145" s="84"/>
    </row>
    <row r="8146" spans="4:4" x14ac:dyDescent="0.2">
      <c r="D8146" s="84"/>
    </row>
    <row r="8147" spans="4:4" x14ac:dyDescent="0.2">
      <c r="D8147" s="84"/>
    </row>
    <row r="8148" spans="4:4" x14ac:dyDescent="0.2">
      <c r="D8148" s="84"/>
    </row>
    <row r="8149" spans="4:4" x14ac:dyDescent="0.2">
      <c r="D8149" s="84"/>
    </row>
    <row r="8150" spans="4:4" x14ac:dyDescent="0.2">
      <c r="D8150" s="84"/>
    </row>
    <row r="8151" spans="4:4" x14ac:dyDescent="0.2">
      <c r="D8151" s="84"/>
    </row>
    <row r="8152" spans="4:4" x14ac:dyDescent="0.2">
      <c r="D8152" s="84"/>
    </row>
    <row r="8153" spans="4:4" x14ac:dyDescent="0.2">
      <c r="D8153" s="84"/>
    </row>
    <row r="8154" spans="4:4" x14ac:dyDescent="0.2">
      <c r="D8154" s="84"/>
    </row>
    <row r="8155" spans="4:4" x14ac:dyDescent="0.2">
      <c r="D8155" s="84"/>
    </row>
    <row r="8156" spans="4:4" x14ac:dyDescent="0.2">
      <c r="D8156" s="84"/>
    </row>
    <row r="8157" spans="4:4" x14ac:dyDescent="0.2">
      <c r="D8157" s="84"/>
    </row>
    <row r="8158" spans="4:4" x14ac:dyDescent="0.2">
      <c r="D8158" s="84"/>
    </row>
    <row r="8159" spans="4:4" x14ac:dyDescent="0.2">
      <c r="D8159" s="84"/>
    </row>
    <row r="8160" spans="4:4" x14ac:dyDescent="0.2">
      <c r="D8160" s="84"/>
    </row>
    <row r="8161" spans="4:4" x14ac:dyDescent="0.2">
      <c r="D8161" s="84"/>
    </row>
    <row r="8162" spans="4:4" x14ac:dyDescent="0.2">
      <c r="D8162" s="84"/>
    </row>
    <row r="8163" spans="4:4" x14ac:dyDescent="0.2">
      <c r="D8163" s="84"/>
    </row>
    <row r="8164" spans="4:4" x14ac:dyDescent="0.2">
      <c r="D8164" s="84"/>
    </row>
    <row r="8165" spans="4:4" x14ac:dyDescent="0.2">
      <c r="D8165" s="84"/>
    </row>
    <row r="8166" spans="4:4" x14ac:dyDescent="0.2">
      <c r="D8166" s="84"/>
    </row>
    <row r="8167" spans="4:4" x14ac:dyDescent="0.2">
      <c r="D8167" s="84"/>
    </row>
    <row r="8168" spans="4:4" x14ac:dyDescent="0.2">
      <c r="D8168" s="84"/>
    </row>
    <row r="8169" spans="4:4" x14ac:dyDescent="0.2">
      <c r="D8169" s="84"/>
    </row>
    <row r="8170" spans="4:4" x14ac:dyDescent="0.2">
      <c r="D8170" s="84"/>
    </row>
    <row r="8171" spans="4:4" x14ac:dyDescent="0.2">
      <c r="D8171" s="84"/>
    </row>
    <row r="8172" spans="4:4" x14ac:dyDescent="0.2">
      <c r="D8172" s="84"/>
    </row>
    <row r="8173" spans="4:4" x14ac:dyDescent="0.2">
      <c r="D8173" s="84"/>
    </row>
    <row r="8174" spans="4:4" x14ac:dyDescent="0.2">
      <c r="D8174" s="84"/>
    </row>
    <row r="8175" spans="4:4" x14ac:dyDescent="0.2">
      <c r="D8175" s="84"/>
    </row>
    <row r="8176" spans="4:4" x14ac:dyDescent="0.2">
      <c r="D8176" s="84"/>
    </row>
    <row r="8177" spans="4:4" x14ac:dyDescent="0.2">
      <c r="D8177" s="84"/>
    </row>
    <row r="8178" spans="4:4" x14ac:dyDescent="0.2">
      <c r="D8178" s="84"/>
    </row>
    <row r="8179" spans="4:4" x14ac:dyDescent="0.2">
      <c r="D8179" s="84"/>
    </row>
    <row r="8180" spans="4:4" x14ac:dyDescent="0.2">
      <c r="D8180" s="84"/>
    </row>
    <row r="8181" spans="4:4" x14ac:dyDescent="0.2">
      <c r="D8181" s="84"/>
    </row>
    <row r="8182" spans="4:4" x14ac:dyDescent="0.2">
      <c r="D8182" s="84"/>
    </row>
    <row r="8183" spans="4:4" x14ac:dyDescent="0.2">
      <c r="D8183" s="84"/>
    </row>
    <row r="8184" spans="4:4" x14ac:dyDescent="0.2">
      <c r="D8184" s="84"/>
    </row>
    <row r="8185" spans="4:4" x14ac:dyDescent="0.2">
      <c r="D8185" s="84"/>
    </row>
    <row r="8186" spans="4:4" x14ac:dyDescent="0.2">
      <c r="D8186" s="84"/>
    </row>
    <row r="8187" spans="4:4" x14ac:dyDescent="0.2">
      <c r="D8187" s="84"/>
    </row>
    <row r="8188" spans="4:4" x14ac:dyDescent="0.2">
      <c r="D8188" s="84"/>
    </row>
    <row r="8189" spans="4:4" x14ac:dyDescent="0.2">
      <c r="D8189" s="84"/>
    </row>
    <row r="8190" spans="4:4" x14ac:dyDescent="0.2">
      <c r="D8190" s="84"/>
    </row>
    <row r="8191" spans="4:4" x14ac:dyDescent="0.2">
      <c r="D8191" s="84"/>
    </row>
    <row r="8192" spans="4:4" x14ac:dyDescent="0.2">
      <c r="D8192" s="84"/>
    </row>
    <row r="8193" spans="4:4" x14ac:dyDescent="0.2">
      <c r="D8193" s="84"/>
    </row>
    <row r="8194" spans="4:4" x14ac:dyDescent="0.2">
      <c r="D8194" s="84"/>
    </row>
    <row r="8195" spans="4:4" x14ac:dyDescent="0.2">
      <c r="D8195" s="84"/>
    </row>
    <row r="8196" spans="4:4" x14ac:dyDescent="0.2">
      <c r="D8196" s="84"/>
    </row>
    <row r="8197" spans="4:4" x14ac:dyDescent="0.2">
      <c r="D8197" s="84"/>
    </row>
    <row r="8198" spans="4:4" x14ac:dyDescent="0.2">
      <c r="D8198" s="84"/>
    </row>
    <row r="8199" spans="4:4" x14ac:dyDescent="0.2">
      <c r="D8199" s="84"/>
    </row>
    <row r="8200" spans="4:4" x14ac:dyDescent="0.2">
      <c r="D8200" s="84"/>
    </row>
    <row r="8201" spans="4:4" x14ac:dyDescent="0.2">
      <c r="D8201" s="84"/>
    </row>
    <row r="8202" spans="4:4" x14ac:dyDescent="0.2">
      <c r="D8202" s="84"/>
    </row>
    <row r="8203" spans="4:4" x14ac:dyDescent="0.2">
      <c r="D8203" s="84"/>
    </row>
    <row r="8204" spans="4:4" x14ac:dyDescent="0.2">
      <c r="D8204" s="84"/>
    </row>
    <row r="8205" spans="4:4" x14ac:dyDescent="0.2">
      <c r="D8205" s="84"/>
    </row>
    <row r="8206" spans="4:4" x14ac:dyDescent="0.2">
      <c r="D8206" s="84"/>
    </row>
    <row r="8207" spans="4:4" x14ac:dyDescent="0.2">
      <c r="D8207" s="84"/>
    </row>
    <row r="8208" spans="4:4" x14ac:dyDescent="0.2">
      <c r="D8208" s="84"/>
    </row>
    <row r="8209" spans="4:4" x14ac:dyDescent="0.2">
      <c r="D8209" s="84"/>
    </row>
    <row r="8210" spans="4:4" x14ac:dyDescent="0.2">
      <c r="D8210" s="84"/>
    </row>
    <row r="8211" spans="4:4" x14ac:dyDescent="0.2">
      <c r="D8211" s="84"/>
    </row>
    <row r="8212" spans="4:4" x14ac:dyDescent="0.2">
      <c r="D8212" s="84"/>
    </row>
    <row r="8213" spans="4:4" x14ac:dyDescent="0.2">
      <c r="D8213" s="84"/>
    </row>
    <row r="8214" spans="4:4" x14ac:dyDescent="0.2">
      <c r="D8214" s="84"/>
    </row>
    <row r="8215" spans="4:4" x14ac:dyDescent="0.2">
      <c r="D8215" s="84"/>
    </row>
    <row r="8216" spans="4:4" x14ac:dyDescent="0.2">
      <c r="D8216" s="84"/>
    </row>
    <row r="8217" spans="4:4" x14ac:dyDescent="0.2">
      <c r="D8217" s="84"/>
    </row>
    <row r="8218" spans="4:4" x14ac:dyDescent="0.2">
      <c r="D8218" s="84"/>
    </row>
    <row r="8219" spans="4:4" x14ac:dyDescent="0.2">
      <c r="D8219" s="84"/>
    </row>
    <row r="8220" spans="4:4" x14ac:dyDescent="0.2">
      <c r="D8220" s="84"/>
    </row>
    <row r="8221" spans="4:4" x14ac:dyDescent="0.2">
      <c r="D8221" s="84"/>
    </row>
    <row r="8222" spans="4:4" x14ac:dyDescent="0.2">
      <c r="D8222" s="84"/>
    </row>
    <row r="8223" spans="4:4" x14ac:dyDescent="0.2">
      <c r="D8223" s="84"/>
    </row>
    <row r="8224" spans="4:4" x14ac:dyDescent="0.2">
      <c r="D8224" s="84"/>
    </row>
    <row r="8225" spans="4:4" x14ac:dyDescent="0.2">
      <c r="D8225" s="84"/>
    </row>
    <row r="8226" spans="4:4" x14ac:dyDescent="0.2">
      <c r="D8226" s="84"/>
    </row>
    <row r="8227" spans="4:4" x14ac:dyDescent="0.2">
      <c r="D8227" s="84"/>
    </row>
    <row r="8228" spans="4:4" x14ac:dyDescent="0.2">
      <c r="D8228" s="84"/>
    </row>
    <row r="8229" spans="4:4" x14ac:dyDescent="0.2">
      <c r="D8229" s="84"/>
    </row>
    <row r="8230" spans="4:4" x14ac:dyDescent="0.2">
      <c r="D8230" s="84"/>
    </row>
    <row r="8231" spans="4:4" x14ac:dyDescent="0.2">
      <c r="D8231" s="84"/>
    </row>
    <row r="8232" spans="4:4" x14ac:dyDescent="0.2">
      <c r="D8232" s="84"/>
    </row>
    <row r="8233" spans="4:4" x14ac:dyDescent="0.2">
      <c r="D8233" s="84"/>
    </row>
    <row r="8234" spans="4:4" x14ac:dyDescent="0.2">
      <c r="D8234" s="84"/>
    </row>
    <row r="8235" spans="4:4" x14ac:dyDescent="0.2">
      <c r="D8235" s="84"/>
    </row>
    <row r="8236" spans="4:4" x14ac:dyDescent="0.2">
      <c r="D8236" s="84"/>
    </row>
    <row r="8237" spans="4:4" x14ac:dyDescent="0.2">
      <c r="D8237" s="84"/>
    </row>
    <row r="8238" spans="4:4" x14ac:dyDescent="0.2">
      <c r="D8238" s="84"/>
    </row>
    <row r="8239" spans="4:4" x14ac:dyDescent="0.2">
      <c r="D8239" s="84"/>
    </row>
    <row r="8240" spans="4:4" x14ac:dyDescent="0.2">
      <c r="D8240" s="84"/>
    </row>
    <row r="8241" spans="4:4" x14ac:dyDescent="0.2">
      <c r="D8241" s="84"/>
    </row>
    <row r="8242" spans="4:4" x14ac:dyDescent="0.2">
      <c r="D8242" s="84"/>
    </row>
    <row r="8243" spans="4:4" x14ac:dyDescent="0.2">
      <c r="D8243" s="84"/>
    </row>
    <row r="8244" spans="4:4" x14ac:dyDescent="0.2">
      <c r="D8244" s="84"/>
    </row>
    <row r="8245" spans="4:4" x14ac:dyDescent="0.2">
      <c r="D8245" s="84"/>
    </row>
    <row r="8246" spans="4:4" x14ac:dyDescent="0.2">
      <c r="D8246" s="84"/>
    </row>
    <row r="8247" spans="4:4" x14ac:dyDescent="0.2">
      <c r="D8247" s="84"/>
    </row>
    <row r="8248" spans="4:4" x14ac:dyDescent="0.2">
      <c r="D8248" s="84"/>
    </row>
    <row r="8249" spans="4:4" x14ac:dyDescent="0.2">
      <c r="D8249" s="84"/>
    </row>
    <row r="8250" spans="4:4" x14ac:dyDescent="0.2">
      <c r="D8250" s="84"/>
    </row>
    <row r="8251" spans="4:4" x14ac:dyDescent="0.2">
      <c r="D8251" s="84"/>
    </row>
    <row r="8252" spans="4:4" x14ac:dyDescent="0.2">
      <c r="D8252" s="84"/>
    </row>
    <row r="8253" spans="4:4" x14ac:dyDescent="0.2">
      <c r="D8253" s="84"/>
    </row>
    <row r="8254" spans="4:4" x14ac:dyDescent="0.2">
      <c r="D8254" s="84"/>
    </row>
    <row r="8255" spans="4:4" x14ac:dyDescent="0.2">
      <c r="D8255" s="84"/>
    </row>
    <row r="8256" spans="4:4" x14ac:dyDescent="0.2">
      <c r="D8256" s="84"/>
    </row>
    <row r="8257" spans="4:4" x14ac:dyDescent="0.2">
      <c r="D8257" s="84"/>
    </row>
    <row r="8258" spans="4:4" x14ac:dyDescent="0.2">
      <c r="D8258" s="84"/>
    </row>
    <row r="8259" spans="4:4" x14ac:dyDescent="0.2">
      <c r="D8259" s="84"/>
    </row>
    <row r="8260" spans="4:4" x14ac:dyDescent="0.2">
      <c r="D8260" s="84"/>
    </row>
    <row r="8261" spans="4:4" x14ac:dyDescent="0.2">
      <c r="D8261" s="84"/>
    </row>
    <row r="8262" spans="4:4" x14ac:dyDescent="0.2">
      <c r="D8262" s="84"/>
    </row>
    <row r="8263" spans="4:4" x14ac:dyDescent="0.2">
      <c r="D8263" s="84"/>
    </row>
    <row r="8264" spans="4:4" x14ac:dyDescent="0.2">
      <c r="D8264" s="84"/>
    </row>
    <row r="8265" spans="4:4" x14ac:dyDescent="0.2">
      <c r="D8265" s="84"/>
    </row>
    <row r="8266" spans="4:4" x14ac:dyDescent="0.2">
      <c r="D8266" s="84"/>
    </row>
    <row r="8267" spans="4:4" x14ac:dyDescent="0.2">
      <c r="D8267" s="84"/>
    </row>
    <row r="8268" spans="4:4" x14ac:dyDescent="0.2">
      <c r="D8268" s="84"/>
    </row>
    <row r="8269" spans="4:4" x14ac:dyDescent="0.2">
      <c r="D8269" s="84"/>
    </row>
    <row r="8270" spans="4:4" x14ac:dyDescent="0.2">
      <c r="D8270" s="84"/>
    </row>
    <row r="8271" spans="4:4" x14ac:dyDescent="0.2">
      <c r="D8271" s="84"/>
    </row>
    <row r="8272" spans="4:4" x14ac:dyDescent="0.2">
      <c r="D8272" s="84"/>
    </row>
    <row r="8273" spans="4:4" x14ac:dyDescent="0.2">
      <c r="D8273" s="84"/>
    </row>
    <row r="8274" spans="4:4" x14ac:dyDescent="0.2">
      <c r="D8274" s="84"/>
    </row>
    <row r="8275" spans="4:4" x14ac:dyDescent="0.2">
      <c r="D8275" s="84"/>
    </row>
    <row r="8276" spans="4:4" x14ac:dyDescent="0.2">
      <c r="D8276" s="84"/>
    </row>
    <row r="8277" spans="4:4" x14ac:dyDescent="0.2">
      <c r="D8277" s="84"/>
    </row>
    <row r="8278" spans="4:4" x14ac:dyDescent="0.2">
      <c r="D8278" s="84"/>
    </row>
    <row r="8279" spans="4:4" x14ac:dyDescent="0.2">
      <c r="D8279" s="84"/>
    </row>
    <row r="8280" spans="4:4" x14ac:dyDescent="0.2">
      <c r="D8280" s="84"/>
    </row>
    <row r="8281" spans="4:4" x14ac:dyDescent="0.2">
      <c r="D8281" s="84"/>
    </row>
    <row r="8282" spans="4:4" x14ac:dyDescent="0.2">
      <c r="D8282" s="84"/>
    </row>
    <row r="8283" spans="4:4" x14ac:dyDescent="0.2">
      <c r="D8283" s="84"/>
    </row>
    <row r="8284" spans="4:4" x14ac:dyDescent="0.2">
      <c r="D8284" s="84"/>
    </row>
    <row r="8285" spans="4:4" x14ac:dyDescent="0.2">
      <c r="D8285" s="84"/>
    </row>
    <row r="8286" spans="4:4" x14ac:dyDescent="0.2">
      <c r="D8286" s="84"/>
    </row>
    <row r="8287" spans="4:4" x14ac:dyDescent="0.2">
      <c r="D8287" s="84"/>
    </row>
    <row r="8288" spans="4:4" x14ac:dyDescent="0.2">
      <c r="D8288" s="84"/>
    </row>
    <row r="8289" spans="4:4" x14ac:dyDescent="0.2">
      <c r="D8289" s="84"/>
    </row>
    <row r="8290" spans="4:4" x14ac:dyDescent="0.2">
      <c r="D8290" s="84"/>
    </row>
    <row r="8291" spans="4:4" x14ac:dyDescent="0.2">
      <c r="D8291" s="84"/>
    </row>
    <row r="8292" spans="4:4" x14ac:dyDescent="0.2">
      <c r="D8292" s="84"/>
    </row>
    <row r="8293" spans="4:4" x14ac:dyDescent="0.2">
      <c r="D8293" s="84"/>
    </row>
    <row r="8294" spans="4:4" x14ac:dyDescent="0.2">
      <c r="D8294" s="84"/>
    </row>
    <row r="8295" spans="4:4" x14ac:dyDescent="0.2">
      <c r="D8295" s="84"/>
    </row>
    <row r="8296" spans="4:4" x14ac:dyDescent="0.2">
      <c r="D8296" s="84"/>
    </row>
    <row r="8297" spans="4:4" x14ac:dyDescent="0.2">
      <c r="D8297" s="84"/>
    </row>
    <row r="8298" spans="4:4" x14ac:dyDescent="0.2">
      <c r="D8298" s="84"/>
    </row>
    <row r="8299" spans="4:4" x14ac:dyDescent="0.2">
      <c r="D8299" s="84"/>
    </row>
    <row r="8300" spans="4:4" x14ac:dyDescent="0.2">
      <c r="D8300" s="84"/>
    </row>
    <row r="8301" spans="4:4" x14ac:dyDescent="0.2">
      <c r="D8301" s="84"/>
    </row>
    <row r="8302" spans="4:4" x14ac:dyDescent="0.2">
      <c r="D8302" s="84"/>
    </row>
    <row r="8303" spans="4:4" x14ac:dyDescent="0.2">
      <c r="D8303" s="84"/>
    </row>
    <row r="8304" spans="4:4" x14ac:dyDescent="0.2">
      <c r="D8304" s="84"/>
    </row>
    <row r="8305" spans="4:4" x14ac:dyDescent="0.2">
      <c r="D8305" s="84"/>
    </row>
    <row r="8306" spans="4:4" x14ac:dyDescent="0.2">
      <c r="D8306" s="84"/>
    </row>
    <row r="8307" spans="4:4" x14ac:dyDescent="0.2">
      <c r="D8307" s="84"/>
    </row>
    <row r="8308" spans="4:4" x14ac:dyDescent="0.2">
      <c r="D8308" s="84"/>
    </row>
    <row r="8309" spans="4:4" x14ac:dyDescent="0.2">
      <c r="D8309" s="84"/>
    </row>
    <row r="8310" spans="4:4" x14ac:dyDescent="0.2">
      <c r="D8310" s="84"/>
    </row>
    <row r="8311" spans="4:4" x14ac:dyDescent="0.2">
      <c r="D8311" s="84"/>
    </row>
    <row r="8312" spans="4:4" x14ac:dyDescent="0.2">
      <c r="D8312" s="84"/>
    </row>
    <row r="8313" spans="4:4" x14ac:dyDescent="0.2">
      <c r="D8313" s="84"/>
    </row>
    <row r="8314" spans="4:4" x14ac:dyDescent="0.2">
      <c r="D8314" s="84"/>
    </row>
    <row r="8315" spans="4:4" x14ac:dyDescent="0.2">
      <c r="D8315" s="84"/>
    </row>
    <row r="8316" spans="4:4" x14ac:dyDescent="0.2">
      <c r="D8316" s="84"/>
    </row>
    <row r="8317" spans="4:4" x14ac:dyDescent="0.2">
      <c r="D8317" s="84"/>
    </row>
    <row r="8318" spans="4:4" x14ac:dyDescent="0.2">
      <c r="D8318" s="84"/>
    </row>
    <row r="8319" spans="4:4" x14ac:dyDescent="0.2">
      <c r="D8319" s="84"/>
    </row>
    <row r="8320" spans="4:4" x14ac:dyDescent="0.2">
      <c r="D8320" s="84"/>
    </row>
    <row r="8321" spans="4:4" x14ac:dyDescent="0.2">
      <c r="D8321" s="84"/>
    </row>
    <row r="8322" spans="4:4" x14ac:dyDescent="0.2">
      <c r="D8322" s="84"/>
    </row>
    <row r="8323" spans="4:4" x14ac:dyDescent="0.2">
      <c r="D8323" s="84"/>
    </row>
    <row r="8324" spans="4:4" x14ac:dyDescent="0.2">
      <c r="D8324" s="84"/>
    </row>
    <row r="8325" spans="4:4" x14ac:dyDescent="0.2">
      <c r="D8325" s="84"/>
    </row>
    <row r="8326" spans="4:4" x14ac:dyDescent="0.2">
      <c r="D8326" s="84"/>
    </row>
    <row r="8327" spans="4:4" x14ac:dyDescent="0.2">
      <c r="D8327" s="84"/>
    </row>
    <row r="8328" spans="4:4" x14ac:dyDescent="0.2">
      <c r="D8328" s="84"/>
    </row>
    <row r="8329" spans="4:4" x14ac:dyDescent="0.2">
      <c r="D8329" s="84"/>
    </row>
    <row r="8330" spans="4:4" x14ac:dyDescent="0.2">
      <c r="D8330" s="84"/>
    </row>
    <row r="8331" spans="4:4" x14ac:dyDescent="0.2">
      <c r="D8331" s="84"/>
    </row>
    <row r="8332" spans="4:4" x14ac:dyDescent="0.2">
      <c r="D8332" s="84"/>
    </row>
    <row r="8333" spans="4:4" x14ac:dyDescent="0.2">
      <c r="D8333" s="84"/>
    </row>
    <row r="8334" spans="4:4" x14ac:dyDescent="0.2">
      <c r="D8334" s="84"/>
    </row>
    <row r="8335" spans="4:4" x14ac:dyDescent="0.2">
      <c r="D8335" s="84"/>
    </row>
    <row r="8336" spans="4:4" x14ac:dyDescent="0.2">
      <c r="D8336" s="84"/>
    </row>
    <row r="8337" spans="4:4" x14ac:dyDescent="0.2">
      <c r="D8337" s="84"/>
    </row>
    <row r="8338" spans="4:4" x14ac:dyDescent="0.2">
      <c r="D8338" s="84"/>
    </row>
    <row r="8339" spans="4:4" x14ac:dyDescent="0.2">
      <c r="D8339" s="84"/>
    </row>
    <row r="8340" spans="4:4" x14ac:dyDescent="0.2">
      <c r="D8340" s="84"/>
    </row>
    <row r="8341" spans="4:4" x14ac:dyDescent="0.2">
      <c r="D8341" s="84"/>
    </row>
    <row r="8342" spans="4:4" x14ac:dyDescent="0.2">
      <c r="D8342" s="84"/>
    </row>
    <row r="8343" spans="4:4" x14ac:dyDescent="0.2">
      <c r="D8343" s="84"/>
    </row>
    <row r="8344" spans="4:4" x14ac:dyDescent="0.2">
      <c r="D8344" s="84"/>
    </row>
    <row r="8345" spans="4:4" x14ac:dyDescent="0.2">
      <c r="D8345" s="84"/>
    </row>
    <row r="8346" spans="4:4" x14ac:dyDescent="0.2">
      <c r="D8346" s="84"/>
    </row>
    <row r="8347" spans="4:4" x14ac:dyDescent="0.2">
      <c r="D8347" s="84"/>
    </row>
    <row r="8348" spans="4:4" x14ac:dyDescent="0.2">
      <c r="D8348" s="84"/>
    </row>
    <row r="8349" spans="4:4" x14ac:dyDescent="0.2">
      <c r="D8349" s="84"/>
    </row>
    <row r="8350" spans="4:4" x14ac:dyDescent="0.2">
      <c r="D8350" s="84"/>
    </row>
    <row r="8351" spans="4:4" x14ac:dyDescent="0.2">
      <c r="D8351" s="84"/>
    </row>
    <row r="8352" spans="4:4" x14ac:dyDescent="0.2">
      <c r="D8352" s="84"/>
    </row>
    <row r="8353" spans="4:4" x14ac:dyDescent="0.2">
      <c r="D8353" s="84"/>
    </row>
    <row r="8354" spans="4:4" x14ac:dyDescent="0.2">
      <c r="D8354" s="84"/>
    </row>
    <row r="8355" spans="4:4" x14ac:dyDescent="0.2">
      <c r="D8355" s="84"/>
    </row>
    <row r="8356" spans="4:4" x14ac:dyDescent="0.2">
      <c r="D8356" s="84"/>
    </row>
    <row r="8357" spans="4:4" x14ac:dyDescent="0.2">
      <c r="D8357" s="84"/>
    </row>
    <row r="8358" spans="4:4" x14ac:dyDescent="0.2">
      <c r="D8358" s="84"/>
    </row>
    <row r="8359" spans="4:4" x14ac:dyDescent="0.2">
      <c r="D8359" s="84"/>
    </row>
    <row r="8360" spans="4:4" x14ac:dyDescent="0.2">
      <c r="D8360" s="84"/>
    </row>
    <row r="8361" spans="4:4" x14ac:dyDescent="0.2">
      <c r="D8361" s="84"/>
    </row>
    <row r="8362" spans="4:4" x14ac:dyDescent="0.2">
      <c r="D8362" s="84"/>
    </row>
    <row r="8363" spans="4:4" x14ac:dyDescent="0.2">
      <c r="D8363" s="84"/>
    </row>
    <row r="8364" spans="4:4" x14ac:dyDescent="0.2">
      <c r="D8364" s="84"/>
    </row>
    <row r="8365" spans="4:4" x14ac:dyDescent="0.2">
      <c r="D8365" s="84"/>
    </row>
    <row r="8366" spans="4:4" x14ac:dyDescent="0.2">
      <c r="D8366" s="84"/>
    </row>
    <row r="8367" spans="4:4" x14ac:dyDescent="0.2">
      <c r="D8367" s="84"/>
    </row>
    <row r="8368" spans="4:4" x14ac:dyDescent="0.2">
      <c r="D8368" s="84"/>
    </row>
    <row r="8369" spans="4:4" x14ac:dyDescent="0.2">
      <c r="D8369" s="84"/>
    </row>
    <row r="8370" spans="4:4" x14ac:dyDescent="0.2">
      <c r="D8370" s="84"/>
    </row>
    <row r="8371" spans="4:4" x14ac:dyDescent="0.2">
      <c r="D8371" s="84"/>
    </row>
    <row r="8372" spans="4:4" x14ac:dyDescent="0.2">
      <c r="D8372" s="84"/>
    </row>
    <row r="8373" spans="4:4" x14ac:dyDescent="0.2">
      <c r="D8373" s="84"/>
    </row>
    <row r="8374" spans="4:4" x14ac:dyDescent="0.2">
      <c r="D8374" s="84"/>
    </row>
    <row r="8375" spans="4:4" x14ac:dyDescent="0.2">
      <c r="D8375" s="84"/>
    </row>
    <row r="8376" spans="4:4" x14ac:dyDescent="0.2">
      <c r="D8376" s="84"/>
    </row>
    <row r="8377" spans="4:4" x14ac:dyDescent="0.2">
      <c r="D8377" s="84"/>
    </row>
    <row r="8378" spans="4:4" x14ac:dyDescent="0.2">
      <c r="D8378" s="84"/>
    </row>
    <row r="8379" spans="4:4" x14ac:dyDescent="0.2">
      <c r="D8379" s="84"/>
    </row>
    <row r="8380" spans="4:4" x14ac:dyDescent="0.2">
      <c r="D8380" s="84"/>
    </row>
    <row r="8381" spans="4:4" x14ac:dyDescent="0.2">
      <c r="D8381" s="84"/>
    </row>
    <row r="8382" spans="4:4" x14ac:dyDescent="0.2">
      <c r="D8382" s="84"/>
    </row>
    <row r="8383" spans="4:4" x14ac:dyDescent="0.2">
      <c r="D8383" s="84"/>
    </row>
    <row r="8384" spans="4:4" x14ac:dyDescent="0.2">
      <c r="D8384" s="84"/>
    </row>
    <row r="8385" spans="4:4" x14ac:dyDescent="0.2">
      <c r="D8385" s="84"/>
    </row>
    <row r="8386" spans="4:4" x14ac:dyDescent="0.2">
      <c r="D8386" s="84"/>
    </row>
    <row r="8387" spans="4:4" x14ac:dyDescent="0.2">
      <c r="D8387" s="84"/>
    </row>
    <row r="8388" spans="4:4" x14ac:dyDescent="0.2">
      <c r="D8388" s="84"/>
    </row>
    <row r="8389" spans="4:4" x14ac:dyDescent="0.2">
      <c r="D8389" s="84"/>
    </row>
    <row r="8390" spans="4:4" x14ac:dyDescent="0.2">
      <c r="D8390" s="84"/>
    </row>
    <row r="8391" spans="4:4" x14ac:dyDescent="0.2">
      <c r="D8391" s="84"/>
    </row>
    <row r="8392" spans="4:4" x14ac:dyDescent="0.2">
      <c r="D8392" s="84"/>
    </row>
    <row r="8393" spans="4:4" x14ac:dyDescent="0.2">
      <c r="D8393" s="84"/>
    </row>
    <row r="8394" spans="4:4" x14ac:dyDescent="0.2">
      <c r="D8394" s="84"/>
    </row>
    <row r="8395" spans="4:4" x14ac:dyDescent="0.2">
      <c r="D8395" s="84"/>
    </row>
    <row r="8396" spans="4:4" x14ac:dyDescent="0.2">
      <c r="D8396" s="84"/>
    </row>
    <row r="8397" spans="4:4" x14ac:dyDescent="0.2">
      <c r="D8397" s="84"/>
    </row>
    <row r="8398" spans="4:4" x14ac:dyDescent="0.2">
      <c r="D8398" s="84"/>
    </row>
    <row r="8399" spans="4:4" x14ac:dyDescent="0.2">
      <c r="D8399" s="84"/>
    </row>
    <row r="8400" spans="4:4" x14ac:dyDescent="0.2">
      <c r="D8400" s="84"/>
    </row>
    <row r="8401" spans="4:4" x14ac:dyDescent="0.2">
      <c r="D8401" s="84"/>
    </row>
    <row r="8402" spans="4:4" x14ac:dyDescent="0.2">
      <c r="D8402" s="84"/>
    </row>
    <row r="8403" spans="4:4" x14ac:dyDescent="0.2">
      <c r="D8403" s="84"/>
    </row>
    <row r="8404" spans="4:4" x14ac:dyDescent="0.2">
      <c r="D8404" s="84"/>
    </row>
    <row r="8405" spans="4:4" x14ac:dyDescent="0.2">
      <c r="D8405" s="84"/>
    </row>
    <row r="8406" spans="4:4" x14ac:dyDescent="0.2">
      <c r="D8406" s="84"/>
    </row>
    <row r="8407" spans="4:4" x14ac:dyDescent="0.2">
      <c r="D8407" s="84"/>
    </row>
    <row r="8408" spans="4:4" x14ac:dyDescent="0.2">
      <c r="D8408" s="84"/>
    </row>
    <row r="8409" spans="4:4" x14ac:dyDescent="0.2">
      <c r="D8409" s="84"/>
    </row>
    <row r="8410" spans="4:4" x14ac:dyDescent="0.2">
      <c r="D8410" s="84"/>
    </row>
    <row r="8411" spans="4:4" x14ac:dyDescent="0.2">
      <c r="D8411" s="84"/>
    </row>
    <row r="8412" spans="4:4" x14ac:dyDescent="0.2">
      <c r="D8412" s="84"/>
    </row>
    <row r="8413" spans="4:4" x14ac:dyDescent="0.2">
      <c r="D8413" s="84"/>
    </row>
    <row r="8414" spans="4:4" x14ac:dyDescent="0.2">
      <c r="D8414" s="84"/>
    </row>
    <row r="8415" spans="4:4" x14ac:dyDescent="0.2">
      <c r="D8415" s="84"/>
    </row>
    <row r="8416" spans="4:4" x14ac:dyDescent="0.2">
      <c r="D8416" s="84"/>
    </row>
    <row r="8417" spans="4:4" x14ac:dyDescent="0.2">
      <c r="D8417" s="84"/>
    </row>
    <row r="8418" spans="4:4" x14ac:dyDescent="0.2">
      <c r="D8418" s="84"/>
    </row>
    <row r="8419" spans="4:4" x14ac:dyDescent="0.2">
      <c r="D8419" s="84"/>
    </row>
    <row r="8420" spans="4:4" x14ac:dyDescent="0.2">
      <c r="D8420" s="84"/>
    </row>
    <row r="8421" spans="4:4" x14ac:dyDescent="0.2">
      <c r="D8421" s="84"/>
    </row>
    <row r="8422" spans="4:4" x14ac:dyDescent="0.2">
      <c r="D8422" s="84"/>
    </row>
    <row r="8423" spans="4:4" x14ac:dyDescent="0.2">
      <c r="D8423" s="84"/>
    </row>
    <row r="8424" spans="4:4" x14ac:dyDescent="0.2">
      <c r="D8424" s="84"/>
    </row>
    <row r="8425" spans="4:4" x14ac:dyDescent="0.2">
      <c r="D8425" s="84"/>
    </row>
    <row r="8426" spans="4:4" x14ac:dyDescent="0.2">
      <c r="D8426" s="84"/>
    </row>
    <row r="8427" spans="4:4" x14ac:dyDescent="0.2">
      <c r="D8427" s="84"/>
    </row>
    <row r="8428" spans="4:4" x14ac:dyDescent="0.2">
      <c r="D8428" s="84"/>
    </row>
    <row r="8429" spans="4:4" x14ac:dyDescent="0.2">
      <c r="D8429" s="84"/>
    </row>
    <row r="8430" spans="4:4" x14ac:dyDescent="0.2">
      <c r="D8430" s="84"/>
    </row>
    <row r="8431" spans="4:4" x14ac:dyDescent="0.2">
      <c r="D8431" s="84"/>
    </row>
    <row r="8432" spans="4:4" x14ac:dyDescent="0.2">
      <c r="D8432" s="84"/>
    </row>
    <row r="8433" spans="4:4" x14ac:dyDescent="0.2">
      <c r="D8433" s="84"/>
    </row>
    <row r="8434" spans="4:4" x14ac:dyDescent="0.2">
      <c r="D8434" s="84"/>
    </row>
    <row r="8435" spans="4:4" x14ac:dyDescent="0.2">
      <c r="D8435" s="84"/>
    </row>
    <row r="8436" spans="4:4" x14ac:dyDescent="0.2">
      <c r="D8436" s="84"/>
    </row>
    <row r="8437" spans="4:4" x14ac:dyDescent="0.2">
      <c r="D8437" s="84"/>
    </row>
    <row r="8438" spans="4:4" x14ac:dyDescent="0.2">
      <c r="D8438" s="84"/>
    </row>
    <row r="8439" spans="4:4" x14ac:dyDescent="0.2">
      <c r="D8439" s="84"/>
    </row>
    <row r="8440" spans="4:4" x14ac:dyDescent="0.2">
      <c r="D8440" s="84"/>
    </row>
    <row r="8441" spans="4:4" x14ac:dyDescent="0.2">
      <c r="D8441" s="84"/>
    </row>
    <row r="8442" spans="4:4" x14ac:dyDescent="0.2">
      <c r="D8442" s="84"/>
    </row>
    <row r="8443" spans="4:4" x14ac:dyDescent="0.2">
      <c r="D8443" s="84"/>
    </row>
    <row r="8444" spans="4:4" x14ac:dyDescent="0.2">
      <c r="D8444" s="84"/>
    </row>
    <row r="8445" spans="4:4" x14ac:dyDescent="0.2">
      <c r="D8445" s="84"/>
    </row>
    <row r="8446" spans="4:4" x14ac:dyDescent="0.2">
      <c r="D8446" s="84"/>
    </row>
    <row r="8447" spans="4:4" x14ac:dyDescent="0.2">
      <c r="D8447" s="84"/>
    </row>
    <row r="8448" spans="4:4" x14ac:dyDescent="0.2">
      <c r="D8448" s="84"/>
    </row>
    <row r="8449" spans="4:4" x14ac:dyDescent="0.2">
      <c r="D8449" s="84"/>
    </row>
    <row r="8450" spans="4:4" x14ac:dyDescent="0.2">
      <c r="D8450" s="84"/>
    </row>
    <row r="8451" spans="4:4" x14ac:dyDescent="0.2">
      <c r="D8451" s="84"/>
    </row>
    <row r="8452" spans="4:4" x14ac:dyDescent="0.2">
      <c r="D8452" s="84"/>
    </row>
    <row r="8453" spans="4:4" x14ac:dyDescent="0.2">
      <c r="D8453" s="84"/>
    </row>
    <row r="8454" spans="4:4" x14ac:dyDescent="0.2">
      <c r="D8454" s="84"/>
    </row>
    <row r="8455" spans="4:4" x14ac:dyDescent="0.2">
      <c r="D8455" s="84"/>
    </row>
    <row r="8456" spans="4:4" x14ac:dyDescent="0.2">
      <c r="D8456" s="84"/>
    </row>
    <row r="8457" spans="4:4" x14ac:dyDescent="0.2">
      <c r="D8457" s="84"/>
    </row>
    <row r="8458" spans="4:4" x14ac:dyDescent="0.2">
      <c r="D8458" s="84"/>
    </row>
    <row r="8459" spans="4:4" x14ac:dyDescent="0.2">
      <c r="D8459" s="84"/>
    </row>
    <row r="8460" spans="4:4" x14ac:dyDescent="0.2">
      <c r="D8460" s="84"/>
    </row>
    <row r="8461" spans="4:4" x14ac:dyDescent="0.2">
      <c r="D8461" s="84"/>
    </row>
    <row r="8462" spans="4:4" x14ac:dyDescent="0.2">
      <c r="D8462" s="84"/>
    </row>
    <row r="8463" spans="4:4" x14ac:dyDescent="0.2">
      <c r="D8463" s="84"/>
    </row>
    <row r="8464" spans="4:4" x14ac:dyDescent="0.2">
      <c r="D8464" s="84"/>
    </row>
    <row r="8465" spans="4:4" x14ac:dyDescent="0.2">
      <c r="D8465" s="84"/>
    </row>
    <row r="8466" spans="4:4" x14ac:dyDescent="0.2">
      <c r="D8466" s="84"/>
    </row>
    <row r="8467" spans="4:4" x14ac:dyDescent="0.2">
      <c r="D8467" s="84"/>
    </row>
    <row r="8468" spans="4:4" x14ac:dyDescent="0.2">
      <c r="D8468" s="84"/>
    </row>
    <row r="8469" spans="4:4" x14ac:dyDescent="0.2">
      <c r="D8469" s="84"/>
    </row>
    <row r="8470" spans="4:4" x14ac:dyDescent="0.2">
      <c r="D8470" s="84"/>
    </row>
    <row r="8471" spans="4:4" x14ac:dyDescent="0.2">
      <c r="D8471" s="84"/>
    </row>
    <row r="8472" spans="4:4" x14ac:dyDescent="0.2">
      <c r="D8472" s="84"/>
    </row>
    <row r="8473" spans="4:4" x14ac:dyDescent="0.2">
      <c r="D8473" s="84"/>
    </row>
    <row r="8474" spans="4:4" x14ac:dyDescent="0.2">
      <c r="D8474" s="84"/>
    </row>
    <row r="8475" spans="4:4" x14ac:dyDescent="0.2">
      <c r="D8475" s="84"/>
    </row>
    <row r="8476" spans="4:4" x14ac:dyDescent="0.2">
      <c r="D8476" s="84"/>
    </row>
    <row r="8477" spans="4:4" x14ac:dyDescent="0.2">
      <c r="D8477" s="84"/>
    </row>
    <row r="8478" spans="4:4" x14ac:dyDescent="0.2">
      <c r="D8478" s="84"/>
    </row>
    <row r="8479" spans="4:4" x14ac:dyDescent="0.2">
      <c r="D8479" s="84"/>
    </row>
    <row r="8480" spans="4:4" x14ac:dyDescent="0.2">
      <c r="D8480" s="84"/>
    </row>
    <row r="8481" spans="4:4" x14ac:dyDescent="0.2">
      <c r="D8481" s="84"/>
    </row>
    <row r="8482" spans="4:4" x14ac:dyDescent="0.2">
      <c r="D8482" s="84"/>
    </row>
    <row r="8483" spans="4:4" x14ac:dyDescent="0.2">
      <c r="D8483" s="84"/>
    </row>
    <row r="8484" spans="4:4" x14ac:dyDescent="0.2">
      <c r="D8484" s="84"/>
    </row>
    <row r="8485" spans="4:4" x14ac:dyDescent="0.2">
      <c r="D8485" s="84"/>
    </row>
    <row r="8486" spans="4:4" x14ac:dyDescent="0.2">
      <c r="D8486" s="84"/>
    </row>
    <row r="8487" spans="4:4" x14ac:dyDescent="0.2">
      <c r="D8487" s="84"/>
    </row>
    <row r="8488" spans="4:4" x14ac:dyDescent="0.2">
      <c r="D8488" s="84"/>
    </row>
    <row r="8489" spans="4:4" x14ac:dyDescent="0.2">
      <c r="D8489" s="84"/>
    </row>
    <row r="8490" spans="4:4" x14ac:dyDescent="0.2">
      <c r="D8490" s="84"/>
    </row>
    <row r="8491" spans="4:4" x14ac:dyDescent="0.2">
      <c r="D8491" s="84"/>
    </row>
    <row r="8492" spans="4:4" x14ac:dyDescent="0.2">
      <c r="D8492" s="84"/>
    </row>
    <row r="8493" spans="4:4" x14ac:dyDescent="0.2">
      <c r="D8493" s="84"/>
    </row>
    <row r="8494" spans="4:4" x14ac:dyDescent="0.2">
      <c r="D8494" s="84"/>
    </row>
    <row r="8495" spans="4:4" x14ac:dyDescent="0.2">
      <c r="D8495" s="84"/>
    </row>
    <row r="8496" spans="4:4" x14ac:dyDescent="0.2">
      <c r="D8496" s="84"/>
    </row>
    <row r="8497" spans="4:4" x14ac:dyDescent="0.2">
      <c r="D8497" s="84"/>
    </row>
    <row r="8498" spans="4:4" x14ac:dyDescent="0.2">
      <c r="D8498" s="84"/>
    </row>
    <row r="8499" spans="4:4" x14ac:dyDescent="0.2">
      <c r="D8499" s="84"/>
    </row>
    <row r="8500" spans="4:4" x14ac:dyDescent="0.2">
      <c r="D8500" s="84"/>
    </row>
    <row r="8501" spans="4:4" x14ac:dyDescent="0.2">
      <c r="D8501" s="84"/>
    </row>
    <row r="8502" spans="4:4" x14ac:dyDescent="0.2">
      <c r="D8502" s="84"/>
    </row>
    <row r="8503" spans="4:4" x14ac:dyDescent="0.2">
      <c r="D8503" s="84"/>
    </row>
    <row r="8504" spans="4:4" x14ac:dyDescent="0.2">
      <c r="D8504" s="84"/>
    </row>
    <row r="8505" spans="4:4" x14ac:dyDescent="0.2">
      <c r="D8505" s="84"/>
    </row>
    <row r="8506" spans="4:4" x14ac:dyDescent="0.2">
      <c r="D8506" s="84"/>
    </row>
    <row r="8507" spans="4:4" x14ac:dyDescent="0.2">
      <c r="D8507" s="84"/>
    </row>
    <row r="8508" spans="4:4" x14ac:dyDescent="0.2">
      <c r="D8508" s="84"/>
    </row>
    <row r="8509" spans="4:4" x14ac:dyDescent="0.2">
      <c r="D8509" s="84"/>
    </row>
    <row r="8510" spans="4:4" x14ac:dyDescent="0.2">
      <c r="D8510" s="84"/>
    </row>
    <row r="8511" spans="4:4" x14ac:dyDescent="0.2">
      <c r="D8511" s="84"/>
    </row>
    <row r="8512" spans="4:4" x14ac:dyDescent="0.2">
      <c r="D8512" s="84"/>
    </row>
    <row r="8513" spans="4:4" x14ac:dyDescent="0.2">
      <c r="D8513" s="84"/>
    </row>
    <row r="8514" spans="4:4" x14ac:dyDescent="0.2">
      <c r="D8514" s="84"/>
    </row>
    <row r="8515" spans="4:4" x14ac:dyDescent="0.2">
      <c r="D8515" s="84"/>
    </row>
    <row r="8516" spans="4:4" x14ac:dyDescent="0.2">
      <c r="D8516" s="84"/>
    </row>
    <row r="8517" spans="4:4" x14ac:dyDescent="0.2">
      <c r="D8517" s="84"/>
    </row>
    <row r="8518" spans="4:4" x14ac:dyDescent="0.2">
      <c r="D8518" s="84"/>
    </row>
    <row r="8519" spans="4:4" x14ac:dyDescent="0.2">
      <c r="D8519" s="84"/>
    </row>
    <row r="8520" spans="4:4" x14ac:dyDescent="0.2">
      <c r="D8520" s="84"/>
    </row>
    <row r="8521" spans="4:4" x14ac:dyDescent="0.2">
      <c r="D8521" s="84"/>
    </row>
    <row r="8522" spans="4:4" x14ac:dyDescent="0.2">
      <c r="D8522" s="84"/>
    </row>
    <row r="8523" spans="4:4" x14ac:dyDescent="0.2">
      <c r="D8523" s="84"/>
    </row>
    <row r="8524" spans="4:4" x14ac:dyDescent="0.2">
      <c r="D8524" s="84"/>
    </row>
    <row r="8525" spans="4:4" x14ac:dyDescent="0.2">
      <c r="D8525" s="84"/>
    </row>
    <row r="8526" spans="4:4" x14ac:dyDescent="0.2">
      <c r="D8526" s="84"/>
    </row>
    <row r="8527" spans="4:4" x14ac:dyDescent="0.2">
      <c r="D8527" s="84"/>
    </row>
    <row r="8528" spans="4:4" x14ac:dyDescent="0.2">
      <c r="D8528" s="84"/>
    </row>
    <row r="8529" spans="4:4" x14ac:dyDescent="0.2">
      <c r="D8529" s="84"/>
    </row>
    <row r="8530" spans="4:4" x14ac:dyDescent="0.2">
      <c r="D8530" s="84"/>
    </row>
    <row r="8531" spans="4:4" x14ac:dyDescent="0.2">
      <c r="D8531" s="84"/>
    </row>
    <row r="8532" spans="4:4" x14ac:dyDescent="0.2">
      <c r="D8532" s="84"/>
    </row>
    <row r="8533" spans="4:4" x14ac:dyDescent="0.2">
      <c r="D8533" s="84"/>
    </row>
    <row r="8534" spans="4:4" x14ac:dyDescent="0.2">
      <c r="D8534" s="84"/>
    </row>
    <row r="8535" spans="4:4" x14ac:dyDescent="0.2">
      <c r="D8535" s="84"/>
    </row>
    <row r="8536" spans="4:4" x14ac:dyDescent="0.2">
      <c r="D8536" s="84"/>
    </row>
    <row r="8537" spans="4:4" x14ac:dyDescent="0.2">
      <c r="D8537" s="84"/>
    </row>
    <row r="8538" spans="4:4" x14ac:dyDescent="0.2">
      <c r="D8538" s="84"/>
    </row>
    <row r="8539" spans="4:4" x14ac:dyDescent="0.2">
      <c r="D8539" s="84"/>
    </row>
    <row r="8540" spans="4:4" x14ac:dyDescent="0.2">
      <c r="D8540" s="84"/>
    </row>
    <row r="8541" spans="4:4" x14ac:dyDescent="0.2">
      <c r="D8541" s="84"/>
    </row>
    <row r="8542" spans="4:4" x14ac:dyDescent="0.2">
      <c r="D8542" s="84"/>
    </row>
    <row r="8543" spans="4:4" x14ac:dyDescent="0.2">
      <c r="D8543" s="84"/>
    </row>
    <row r="8544" spans="4:4" x14ac:dyDescent="0.2">
      <c r="D8544" s="84"/>
    </row>
    <row r="8545" spans="4:4" x14ac:dyDescent="0.2">
      <c r="D8545" s="84"/>
    </row>
    <row r="8546" spans="4:4" x14ac:dyDescent="0.2">
      <c r="D8546" s="84"/>
    </row>
    <row r="8547" spans="4:4" x14ac:dyDescent="0.2">
      <c r="D8547" s="84"/>
    </row>
    <row r="8548" spans="4:4" x14ac:dyDescent="0.2">
      <c r="D8548" s="84"/>
    </row>
    <row r="8549" spans="4:4" x14ac:dyDescent="0.2">
      <c r="D8549" s="84"/>
    </row>
    <row r="8550" spans="4:4" x14ac:dyDescent="0.2">
      <c r="D8550" s="84"/>
    </row>
    <row r="8551" spans="4:4" x14ac:dyDescent="0.2">
      <c r="D8551" s="84"/>
    </row>
    <row r="8552" spans="4:4" x14ac:dyDescent="0.2">
      <c r="D8552" s="84"/>
    </row>
    <row r="8553" spans="4:4" x14ac:dyDescent="0.2">
      <c r="D8553" s="84"/>
    </row>
    <row r="8554" spans="4:4" x14ac:dyDescent="0.2">
      <c r="D8554" s="84"/>
    </row>
    <row r="8555" spans="4:4" x14ac:dyDescent="0.2">
      <c r="D8555" s="84"/>
    </row>
    <row r="8556" spans="4:4" x14ac:dyDescent="0.2">
      <c r="D8556" s="84"/>
    </row>
    <row r="8557" spans="4:4" x14ac:dyDescent="0.2">
      <c r="D8557" s="84"/>
    </row>
    <row r="8558" spans="4:4" x14ac:dyDescent="0.2">
      <c r="D8558" s="84"/>
    </row>
    <row r="8559" spans="4:4" x14ac:dyDescent="0.2">
      <c r="D8559" s="84"/>
    </row>
    <row r="8560" spans="4:4" x14ac:dyDescent="0.2">
      <c r="D8560" s="84"/>
    </row>
    <row r="8561" spans="4:4" x14ac:dyDescent="0.2">
      <c r="D8561" s="84"/>
    </row>
    <row r="8562" spans="4:4" x14ac:dyDescent="0.2">
      <c r="D8562" s="84"/>
    </row>
    <row r="8563" spans="4:4" x14ac:dyDescent="0.2">
      <c r="D8563" s="84"/>
    </row>
    <row r="8564" spans="4:4" x14ac:dyDescent="0.2">
      <c r="D8564" s="84"/>
    </row>
    <row r="8565" spans="4:4" x14ac:dyDescent="0.2">
      <c r="D8565" s="84"/>
    </row>
    <row r="8566" spans="4:4" x14ac:dyDescent="0.2">
      <c r="D8566" s="84"/>
    </row>
    <row r="8567" spans="4:4" x14ac:dyDescent="0.2">
      <c r="D8567" s="84"/>
    </row>
    <row r="8568" spans="4:4" x14ac:dyDescent="0.2">
      <c r="D8568" s="84"/>
    </row>
    <row r="8569" spans="4:4" x14ac:dyDescent="0.2">
      <c r="D8569" s="84"/>
    </row>
    <row r="8570" spans="4:4" x14ac:dyDescent="0.2">
      <c r="D8570" s="84"/>
    </row>
    <row r="8571" spans="4:4" x14ac:dyDescent="0.2">
      <c r="D8571" s="84"/>
    </row>
    <row r="8572" spans="4:4" x14ac:dyDescent="0.2">
      <c r="D8572" s="84"/>
    </row>
    <row r="8573" spans="4:4" x14ac:dyDescent="0.2">
      <c r="D8573" s="84"/>
    </row>
    <row r="8574" spans="4:4" x14ac:dyDescent="0.2">
      <c r="D8574" s="84"/>
    </row>
    <row r="8575" spans="4:4" x14ac:dyDescent="0.2">
      <c r="D8575" s="84"/>
    </row>
    <row r="8576" spans="4:4" x14ac:dyDescent="0.2">
      <c r="D8576" s="84"/>
    </row>
    <row r="8577" spans="4:4" x14ac:dyDescent="0.2">
      <c r="D8577" s="84"/>
    </row>
    <row r="8578" spans="4:4" x14ac:dyDescent="0.2">
      <c r="D8578" s="84"/>
    </row>
    <row r="8579" spans="4:4" x14ac:dyDescent="0.2">
      <c r="D8579" s="84"/>
    </row>
    <row r="8580" spans="4:4" x14ac:dyDescent="0.2">
      <c r="D8580" s="84"/>
    </row>
    <row r="8581" spans="4:4" x14ac:dyDescent="0.2">
      <c r="D8581" s="84"/>
    </row>
    <row r="8582" spans="4:4" x14ac:dyDescent="0.2">
      <c r="D8582" s="84"/>
    </row>
    <row r="8583" spans="4:4" x14ac:dyDescent="0.2">
      <c r="D8583" s="84"/>
    </row>
    <row r="8584" spans="4:4" x14ac:dyDescent="0.2">
      <c r="D8584" s="84"/>
    </row>
    <row r="8585" spans="4:4" x14ac:dyDescent="0.2">
      <c r="D8585" s="84"/>
    </row>
    <row r="8586" spans="4:4" x14ac:dyDescent="0.2">
      <c r="D8586" s="84"/>
    </row>
    <row r="8587" spans="4:4" x14ac:dyDescent="0.2">
      <c r="D8587" s="84"/>
    </row>
    <row r="8588" spans="4:4" x14ac:dyDescent="0.2">
      <c r="D8588" s="84"/>
    </row>
    <row r="8589" spans="4:4" x14ac:dyDescent="0.2">
      <c r="D8589" s="84"/>
    </row>
    <row r="8590" spans="4:4" x14ac:dyDescent="0.2">
      <c r="D8590" s="84"/>
    </row>
    <row r="8591" spans="4:4" x14ac:dyDescent="0.2">
      <c r="D8591" s="84"/>
    </row>
    <row r="8592" spans="4:4" x14ac:dyDescent="0.2">
      <c r="D8592" s="84"/>
    </row>
    <row r="8593" spans="4:4" x14ac:dyDescent="0.2">
      <c r="D8593" s="84"/>
    </row>
    <row r="8594" spans="4:4" x14ac:dyDescent="0.2">
      <c r="D8594" s="84"/>
    </row>
    <row r="8595" spans="4:4" x14ac:dyDescent="0.2">
      <c r="D8595" s="84"/>
    </row>
    <row r="8596" spans="4:4" x14ac:dyDescent="0.2">
      <c r="D8596" s="84"/>
    </row>
    <row r="8597" spans="4:4" x14ac:dyDescent="0.2">
      <c r="D8597" s="84"/>
    </row>
    <row r="8598" spans="4:4" x14ac:dyDescent="0.2">
      <c r="D8598" s="84"/>
    </row>
    <row r="8599" spans="4:4" x14ac:dyDescent="0.2">
      <c r="D8599" s="84"/>
    </row>
    <row r="8600" spans="4:4" x14ac:dyDescent="0.2">
      <c r="D8600" s="84"/>
    </row>
    <row r="8601" spans="4:4" x14ac:dyDescent="0.2">
      <c r="D8601" s="84"/>
    </row>
    <row r="8602" spans="4:4" x14ac:dyDescent="0.2">
      <c r="D8602" s="84"/>
    </row>
    <row r="8603" spans="4:4" x14ac:dyDescent="0.2">
      <c r="D8603" s="84"/>
    </row>
    <row r="8604" spans="4:4" x14ac:dyDescent="0.2">
      <c r="D8604" s="84"/>
    </row>
    <row r="8605" spans="4:4" x14ac:dyDescent="0.2">
      <c r="D8605" s="84"/>
    </row>
    <row r="8606" spans="4:4" x14ac:dyDescent="0.2">
      <c r="D8606" s="84"/>
    </row>
    <row r="8607" spans="4:4" x14ac:dyDescent="0.2">
      <c r="D8607" s="84"/>
    </row>
    <row r="8608" spans="4:4" x14ac:dyDescent="0.2">
      <c r="D8608" s="84"/>
    </row>
    <row r="8609" spans="4:4" x14ac:dyDescent="0.2">
      <c r="D8609" s="84"/>
    </row>
    <row r="8610" spans="4:4" x14ac:dyDescent="0.2">
      <c r="D8610" s="84"/>
    </row>
    <row r="8611" spans="4:4" x14ac:dyDescent="0.2">
      <c r="D8611" s="84"/>
    </row>
    <row r="8612" spans="4:4" x14ac:dyDescent="0.2">
      <c r="D8612" s="84"/>
    </row>
    <row r="8613" spans="4:4" x14ac:dyDescent="0.2">
      <c r="D8613" s="84"/>
    </row>
    <row r="8614" spans="4:4" x14ac:dyDescent="0.2">
      <c r="D8614" s="84"/>
    </row>
    <row r="8615" spans="4:4" x14ac:dyDescent="0.2">
      <c r="D8615" s="84"/>
    </row>
    <row r="8616" spans="4:4" x14ac:dyDescent="0.2">
      <c r="D8616" s="84"/>
    </row>
    <row r="8617" spans="4:4" x14ac:dyDescent="0.2">
      <c r="D8617" s="84"/>
    </row>
    <row r="8618" spans="4:4" x14ac:dyDescent="0.2">
      <c r="D8618" s="84"/>
    </row>
    <row r="8619" spans="4:4" x14ac:dyDescent="0.2">
      <c r="D8619" s="84"/>
    </row>
    <row r="8620" spans="4:4" x14ac:dyDescent="0.2">
      <c r="D8620" s="84"/>
    </row>
    <row r="8621" spans="4:4" x14ac:dyDescent="0.2">
      <c r="D8621" s="84"/>
    </row>
    <row r="8622" spans="4:4" x14ac:dyDescent="0.2">
      <c r="D8622" s="84"/>
    </row>
    <row r="8623" spans="4:4" x14ac:dyDescent="0.2">
      <c r="D8623" s="84"/>
    </row>
    <row r="8624" spans="4:4" x14ac:dyDescent="0.2">
      <c r="D8624" s="84"/>
    </row>
    <row r="8625" spans="4:4" x14ac:dyDescent="0.2">
      <c r="D8625" s="84"/>
    </row>
    <row r="8626" spans="4:4" x14ac:dyDescent="0.2">
      <c r="D8626" s="84"/>
    </row>
    <row r="8627" spans="4:4" x14ac:dyDescent="0.2">
      <c r="D8627" s="84"/>
    </row>
    <row r="8628" spans="4:4" x14ac:dyDescent="0.2">
      <c r="D8628" s="84"/>
    </row>
    <row r="8629" spans="4:4" x14ac:dyDescent="0.2">
      <c r="D8629" s="84"/>
    </row>
    <row r="8630" spans="4:4" x14ac:dyDescent="0.2">
      <c r="D8630" s="84"/>
    </row>
    <row r="8631" spans="4:4" x14ac:dyDescent="0.2">
      <c r="D8631" s="84"/>
    </row>
    <row r="8632" spans="4:4" x14ac:dyDescent="0.2">
      <c r="D8632" s="84"/>
    </row>
    <row r="8633" spans="4:4" x14ac:dyDescent="0.2">
      <c r="D8633" s="84"/>
    </row>
    <row r="8634" spans="4:4" x14ac:dyDescent="0.2">
      <c r="D8634" s="84"/>
    </row>
    <row r="8635" spans="4:4" x14ac:dyDescent="0.2">
      <c r="D8635" s="84"/>
    </row>
    <row r="8636" spans="4:4" x14ac:dyDescent="0.2">
      <c r="D8636" s="84"/>
    </row>
    <row r="8637" spans="4:4" x14ac:dyDescent="0.2">
      <c r="D8637" s="84"/>
    </row>
    <row r="8638" spans="4:4" x14ac:dyDescent="0.2">
      <c r="D8638" s="84"/>
    </row>
    <row r="8639" spans="4:4" x14ac:dyDescent="0.2">
      <c r="D8639" s="84"/>
    </row>
    <row r="8640" spans="4:4" x14ac:dyDescent="0.2">
      <c r="D8640" s="84"/>
    </row>
    <row r="8641" spans="4:4" x14ac:dyDescent="0.2">
      <c r="D8641" s="84"/>
    </row>
    <row r="8642" spans="4:4" x14ac:dyDescent="0.2">
      <c r="D8642" s="84"/>
    </row>
    <row r="8643" spans="4:4" x14ac:dyDescent="0.2">
      <c r="D8643" s="84"/>
    </row>
    <row r="8644" spans="4:4" x14ac:dyDescent="0.2">
      <c r="D8644" s="84"/>
    </row>
    <row r="8645" spans="4:4" x14ac:dyDescent="0.2">
      <c r="D8645" s="84"/>
    </row>
    <row r="8646" spans="4:4" x14ac:dyDescent="0.2">
      <c r="D8646" s="84"/>
    </row>
    <row r="8647" spans="4:4" x14ac:dyDescent="0.2">
      <c r="D8647" s="84"/>
    </row>
    <row r="8648" spans="4:4" x14ac:dyDescent="0.2">
      <c r="D8648" s="84"/>
    </row>
    <row r="8649" spans="4:4" x14ac:dyDescent="0.2">
      <c r="D8649" s="84"/>
    </row>
    <row r="8650" spans="4:4" x14ac:dyDescent="0.2">
      <c r="D8650" s="84"/>
    </row>
    <row r="8651" spans="4:4" x14ac:dyDescent="0.2">
      <c r="D8651" s="84"/>
    </row>
    <row r="8652" spans="4:4" x14ac:dyDescent="0.2">
      <c r="D8652" s="84"/>
    </row>
    <row r="8653" spans="4:4" x14ac:dyDescent="0.2">
      <c r="D8653" s="84"/>
    </row>
    <row r="8654" spans="4:4" x14ac:dyDescent="0.2">
      <c r="D8654" s="84"/>
    </row>
    <row r="8655" spans="4:4" x14ac:dyDescent="0.2">
      <c r="D8655" s="84"/>
    </row>
    <row r="8656" spans="4:4" x14ac:dyDescent="0.2">
      <c r="D8656" s="84"/>
    </row>
    <row r="8657" spans="4:4" x14ac:dyDescent="0.2">
      <c r="D8657" s="84"/>
    </row>
    <row r="8658" spans="4:4" x14ac:dyDescent="0.2">
      <c r="D8658" s="84"/>
    </row>
    <row r="8659" spans="4:4" x14ac:dyDescent="0.2">
      <c r="D8659" s="84"/>
    </row>
    <row r="8660" spans="4:4" x14ac:dyDescent="0.2">
      <c r="D8660" s="84"/>
    </row>
    <row r="8661" spans="4:4" x14ac:dyDescent="0.2">
      <c r="D8661" s="84"/>
    </row>
    <row r="8662" spans="4:4" x14ac:dyDescent="0.2">
      <c r="D8662" s="84"/>
    </row>
    <row r="8663" spans="4:4" x14ac:dyDescent="0.2">
      <c r="D8663" s="84"/>
    </row>
    <row r="8664" spans="4:4" x14ac:dyDescent="0.2">
      <c r="D8664" s="84"/>
    </row>
    <row r="8665" spans="4:4" x14ac:dyDescent="0.2">
      <c r="D8665" s="84"/>
    </row>
    <row r="8666" spans="4:4" x14ac:dyDescent="0.2">
      <c r="D8666" s="84"/>
    </row>
    <row r="8667" spans="4:4" x14ac:dyDescent="0.2">
      <c r="D8667" s="84"/>
    </row>
    <row r="8668" spans="4:4" x14ac:dyDescent="0.2">
      <c r="D8668" s="84"/>
    </row>
    <row r="8669" spans="4:4" x14ac:dyDescent="0.2">
      <c r="D8669" s="84"/>
    </row>
    <row r="8670" spans="4:4" x14ac:dyDescent="0.2">
      <c r="D8670" s="84"/>
    </row>
    <row r="8671" spans="4:4" x14ac:dyDescent="0.2">
      <c r="D8671" s="84"/>
    </row>
    <row r="8672" spans="4:4" x14ac:dyDescent="0.2">
      <c r="D8672" s="84"/>
    </row>
    <row r="8673" spans="4:4" x14ac:dyDescent="0.2">
      <c r="D8673" s="84"/>
    </row>
    <row r="8674" spans="4:4" x14ac:dyDescent="0.2">
      <c r="D8674" s="84"/>
    </row>
    <row r="8675" spans="4:4" x14ac:dyDescent="0.2">
      <c r="D8675" s="84"/>
    </row>
    <row r="8676" spans="4:4" x14ac:dyDescent="0.2">
      <c r="D8676" s="84"/>
    </row>
    <row r="8677" spans="4:4" x14ac:dyDescent="0.2">
      <c r="D8677" s="84"/>
    </row>
    <row r="8678" spans="4:4" x14ac:dyDescent="0.2">
      <c r="D8678" s="84"/>
    </row>
    <row r="8679" spans="4:4" x14ac:dyDescent="0.2">
      <c r="D8679" s="84"/>
    </row>
    <row r="8680" spans="4:4" x14ac:dyDescent="0.2">
      <c r="D8680" s="84"/>
    </row>
    <row r="8681" spans="4:4" x14ac:dyDescent="0.2">
      <c r="D8681" s="84"/>
    </row>
    <row r="8682" spans="4:4" x14ac:dyDescent="0.2">
      <c r="D8682" s="84"/>
    </row>
    <row r="8683" spans="4:4" x14ac:dyDescent="0.2">
      <c r="D8683" s="84"/>
    </row>
    <row r="8684" spans="4:4" x14ac:dyDescent="0.2">
      <c r="D8684" s="84"/>
    </row>
    <row r="8685" spans="4:4" x14ac:dyDescent="0.2">
      <c r="D8685" s="84"/>
    </row>
    <row r="8686" spans="4:4" x14ac:dyDescent="0.2">
      <c r="D8686" s="84"/>
    </row>
    <row r="8687" spans="4:4" x14ac:dyDescent="0.2">
      <c r="D8687" s="84"/>
    </row>
    <row r="8688" spans="4:4" x14ac:dyDescent="0.2">
      <c r="D8688" s="84"/>
    </row>
    <row r="8689" spans="4:4" x14ac:dyDescent="0.2">
      <c r="D8689" s="84"/>
    </row>
    <row r="8690" spans="4:4" x14ac:dyDescent="0.2">
      <c r="D8690" s="84"/>
    </row>
    <row r="8691" spans="4:4" x14ac:dyDescent="0.2">
      <c r="D8691" s="84"/>
    </row>
    <row r="8692" spans="4:4" x14ac:dyDescent="0.2">
      <c r="D8692" s="84"/>
    </row>
    <row r="8693" spans="4:4" x14ac:dyDescent="0.2">
      <c r="D8693" s="84"/>
    </row>
    <row r="8694" spans="4:4" x14ac:dyDescent="0.2">
      <c r="D8694" s="84"/>
    </row>
    <row r="8695" spans="4:4" x14ac:dyDescent="0.2">
      <c r="D8695" s="84"/>
    </row>
    <row r="8696" spans="4:4" x14ac:dyDescent="0.2">
      <c r="D8696" s="84"/>
    </row>
    <row r="8697" spans="4:4" x14ac:dyDescent="0.2">
      <c r="D8697" s="84"/>
    </row>
    <row r="8698" spans="4:4" x14ac:dyDescent="0.2">
      <c r="D8698" s="84"/>
    </row>
    <row r="8699" spans="4:4" x14ac:dyDescent="0.2">
      <c r="D8699" s="84"/>
    </row>
    <row r="8700" spans="4:4" x14ac:dyDescent="0.2">
      <c r="D8700" s="84"/>
    </row>
    <row r="8701" spans="4:4" x14ac:dyDescent="0.2">
      <c r="D8701" s="84"/>
    </row>
    <row r="8702" spans="4:4" x14ac:dyDescent="0.2">
      <c r="D8702" s="84"/>
    </row>
    <row r="8703" spans="4:4" x14ac:dyDescent="0.2">
      <c r="D8703" s="84"/>
    </row>
    <row r="8704" spans="4:4" x14ac:dyDescent="0.2">
      <c r="D8704" s="84"/>
    </row>
    <row r="8705" spans="4:4" x14ac:dyDescent="0.2">
      <c r="D8705" s="84"/>
    </row>
    <row r="8706" spans="4:4" x14ac:dyDescent="0.2">
      <c r="D8706" s="84"/>
    </row>
    <row r="8707" spans="4:4" x14ac:dyDescent="0.2">
      <c r="D8707" s="84"/>
    </row>
    <row r="8708" spans="4:4" x14ac:dyDescent="0.2">
      <c r="D8708" s="84"/>
    </row>
    <row r="8709" spans="4:4" x14ac:dyDescent="0.2">
      <c r="D8709" s="84"/>
    </row>
    <row r="8710" spans="4:4" x14ac:dyDescent="0.2">
      <c r="D8710" s="84"/>
    </row>
    <row r="8711" spans="4:4" x14ac:dyDescent="0.2">
      <c r="D8711" s="84"/>
    </row>
    <row r="8712" spans="4:4" x14ac:dyDescent="0.2">
      <c r="D8712" s="84"/>
    </row>
    <row r="8713" spans="4:4" x14ac:dyDescent="0.2">
      <c r="D8713" s="84"/>
    </row>
    <row r="8714" spans="4:4" x14ac:dyDescent="0.2">
      <c r="D8714" s="84"/>
    </row>
    <row r="8715" spans="4:4" x14ac:dyDescent="0.2">
      <c r="D8715" s="84"/>
    </row>
    <row r="8716" spans="4:4" x14ac:dyDescent="0.2">
      <c r="D8716" s="84"/>
    </row>
    <row r="8717" spans="4:4" x14ac:dyDescent="0.2">
      <c r="D8717" s="84"/>
    </row>
    <row r="8718" spans="4:4" x14ac:dyDescent="0.2">
      <c r="D8718" s="84"/>
    </row>
    <row r="8719" spans="4:4" x14ac:dyDescent="0.2">
      <c r="D8719" s="84"/>
    </row>
    <row r="8720" spans="4:4" x14ac:dyDescent="0.2">
      <c r="D8720" s="84"/>
    </row>
    <row r="8721" spans="4:4" x14ac:dyDescent="0.2">
      <c r="D8721" s="84"/>
    </row>
    <row r="8722" spans="4:4" x14ac:dyDescent="0.2">
      <c r="D8722" s="84"/>
    </row>
    <row r="8723" spans="4:4" x14ac:dyDescent="0.2">
      <c r="D8723" s="84"/>
    </row>
    <row r="8724" spans="4:4" x14ac:dyDescent="0.2">
      <c r="D8724" s="84"/>
    </row>
    <row r="8725" spans="4:4" x14ac:dyDescent="0.2">
      <c r="D8725" s="84"/>
    </row>
    <row r="8726" spans="4:4" x14ac:dyDescent="0.2">
      <c r="D8726" s="84"/>
    </row>
    <row r="8727" spans="4:4" x14ac:dyDescent="0.2">
      <c r="D8727" s="84"/>
    </row>
    <row r="8728" spans="4:4" x14ac:dyDescent="0.2">
      <c r="D8728" s="84"/>
    </row>
    <row r="8729" spans="4:4" x14ac:dyDescent="0.2">
      <c r="D8729" s="84"/>
    </row>
    <row r="8730" spans="4:4" x14ac:dyDescent="0.2">
      <c r="D8730" s="84"/>
    </row>
    <row r="8731" spans="4:4" x14ac:dyDescent="0.2">
      <c r="D8731" s="84"/>
    </row>
    <row r="8732" spans="4:4" x14ac:dyDescent="0.2">
      <c r="D8732" s="84"/>
    </row>
    <row r="8733" spans="4:4" x14ac:dyDescent="0.2">
      <c r="D8733" s="84"/>
    </row>
    <row r="8734" spans="4:4" x14ac:dyDescent="0.2">
      <c r="D8734" s="84"/>
    </row>
    <row r="8735" spans="4:4" x14ac:dyDescent="0.2">
      <c r="D8735" s="84"/>
    </row>
    <row r="8736" spans="4:4" x14ac:dyDescent="0.2">
      <c r="D8736" s="84"/>
    </row>
    <row r="8737" spans="4:4" x14ac:dyDescent="0.2">
      <c r="D8737" s="84"/>
    </row>
    <row r="8738" spans="4:4" x14ac:dyDescent="0.2">
      <c r="D8738" s="84"/>
    </row>
    <row r="8739" spans="4:4" x14ac:dyDescent="0.2">
      <c r="D8739" s="84"/>
    </row>
    <row r="8740" spans="4:4" x14ac:dyDescent="0.2">
      <c r="D8740" s="84"/>
    </row>
    <row r="8741" spans="4:4" x14ac:dyDescent="0.2">
      <c r="D8741" s="84"/>
    </row>
    <row r="8742" spans="4:4" x14ac:dyDescent="0.2">
      <c r="D8742" s="84"/>
    </row>
    <row r="8743" spans="4:4" x14ac:dyDescent="0.2">
      <c r="D8743" s="84"/>
    </row>
    <row r="8744" spans="4:4" x14ac:dyDescent="0.2">
      <c r="D8744" s="84"/>
    </row>
    <row r="8745" spans="4:4" x14ac:dyDescent="0.2">
      <c r="D8745" s="84"/>
    </row>
    <row r="8746" spans="4:4" x14ac:dyDescent="0.2">
      <c r="D8746" s="84"/>
    </row>
    <row r="8747" spans="4:4" x14ac:dyDescent="0.2">
      <c r="D8747" s="84"/>
    </row>
    <row r="8748" spans="4:4" x14ac:dyDescent="0.2">
      <c r="D8748" s="84"/>
    </row>
    <row r="8749" spans="4:4" x14ac:dyDescent="0.2">
      <c r="D8749" s="84"/>
    </row>
    <row r="8750" spans="4:4" x14ac:dyDescent="0.2">
      <c r="D8750" s="84"/>
    </row>
    <row r="8751" spans="4:4" x14ac:dyDescent="0.2">
      <c r="D8751" s="84"/>
    </row>
    <row r="8752" spans="4:4" x14ac:dyDescent="0.2">
      <c r="D8752" s="84"/>
    </row>
    <row r="8753" spans="4:4" x14ac:dyDescent="0.2">
      <c r="D8753" s="84"/>
    </row>
    <row r="8754" spans="4:4" x14ac:dyDescent="0.2">
      <c r="D8754" s="84"/>
    </row>
    <row r="8755" spans="4:4" x14ac:dyDescent="0.2">
      <c r="D8755" s="84"/>
    </row>
    <row r="8756" spans="4:4" x14ac:dyDescent="0.2">
      <c r="D8756" s="84"/>
    </row>
    <row r="8757" spans="4:4" x14ac:dyDescent="0.2">
      <c r="D8757" s="84"/>
    </row>
    <row r="8758" spans="4:4" x14ac:dyDescent="0.2">
      <c r="D8758" s="84"/>
    </row>
    <row r="8759" spans="4:4" x14ac:dyDescent="0.2">
      <c r="D8759" s="84"/>
    </row>
    <row r="8760" spans="4:4" x14ac:dyDescent="0.2">
      <c r="D8760" s="84"/>
    </row>
    <row r="8761" spans="4:4" x14ac:dyDescent="0.2">
      <c r="D8761" s="84"/>
    </row>
    <row r="8762" spans="4:4" x14ac:dyDescent="0.2">
      <c r="D8762" s="84"/>
    </row>
    <row r="8763" spans="4:4" x14ac:dyDescent="0.2">
      <c r="D8763" s="84"/>
    </row>
    <row r="8764" spans="4:4" x14ac:dyDescent="0.2">
      <c r="D8764" s="84"/>
    </row>
    <row r="8765" spans="4:4" x14ac:dyDescent="0.2">
      <c r="D8765" s="84"/>
    </row>
    <row r="8766" spans="4:4" x14ac:dyDescent="0.2">
      <c r="D8766" s="84"/>
    </row>
    <row r="8767" spans="4:4" x14ac:dyDescent="0.2">
      <c r="D8767" s="84"/>
    </row>
    <row r="8768" spans="4:4" x14ac:dyDescent="0.2">
      <c r="D8768" s="84"/>
    </row>
    <row r="8769" spans="4:4" x14ac:dyDescent="0.2">
      <c r="D8769" s="84"/>
    </row>
    <row r="8770" spans="4:4" x14ac:dyDescent="0.2">
      <c r="D8770" s="84"/>
    </row>
    <row r="8771" spans="4:4" x14ac:dyDescent="0.2">
      <c r="D8771" s="84"/>
    </row>
    <row r="8772" spans="4:4" x14ac:dyDescent="0.2">
      <c r="D8772" s="84"/>
    </row>
    <row r="8773" spans="4:4" x14ac:dyDescent="0.2">
      <c r="D8773" s="84"/>
    </row>
    <row r="8774" spans="4:4" x14ac:dyDescent="0.2">
      <c r="D8774" s="84"/>
    </row>
    <row r="8775" spans="4:4" x14ac:dyDescent="0.2">
      <c r="D8775" s="84"/>
    </row>
    <row r="8776" spans="4:4" x14ac:dyDescent="0.2">
      <c r="D8776" s="84"/>
    </row>
    <row r="8777" spans="4:4" x14ac:dyDescent="0.2">
      <c r="D8777" s="84"/>
    </row>
    <row r="8778" spans="4:4" x14ac:dyDescent="0.2">
      <c r="D8778" s="84"/>
    </row>
    <row r="8779" spans="4:4" x14ac:dyDescent="0.2">
      <c r="D8779" s="84"/>
    </row>
    <row r="8780" spans="4:4" x14ac:dyDescent="0.2">
      <c r="D8780" s="84"/>
    </row>
    <row r="8781" spans="4:4" x14ac:dyDescent="0.2">
      <c r="D8781" s="84"/>
    </row>
    <row r="8782" spans="4:4" x14ac:dyDescent="0.2">
      <c r="D8782" s="84"/>
    </row>
    <row r="8783" spans="4:4" x14ac:dyDescent="0.2">
      <c r="D8783" s="84"/>
    </row>
    <row r="8784" spans="4:4" x14ac:dyDescent="0.2">
      <c r="D8784" s="84"/>
    </row>
    <row r="8785" spans="4:4" x14ac:dyDescent="0.2">
      <c r="D8785" s="84"/>
    </row>
    <row r="8786" spans="4:4" x14ac:dyDescent="0.2">
      <c r="D8786" s="84"/>
    </row>
    <row r="8787" spans="4:4" x14ac:dyDescent="0.2">
      <c r="D8787" s="84"/>
    </row>
    <row r="8788" spans="4:4" x14ac:dyDescent="0.2">
      <c r="D8788" s="84"/>
    </row>
    <row r="8789" spans="4:4" x14ac:dyDescent="0.2">
      <c r="D8789" s="84"/>
    </row>
    <row r="8790" spans="4:4" x14ac:dyDescent="0.2">
      <c r="D8790" s="84"/>
    </row>
    <row r="8791" spans="4:4" x14ac:dyDescent="0.2">
      <c r="D8791" s="84"/>
    </row>
    <row r="8792" spans="4:4" x14ac:dyDescent="0.2">
      <c r="D8792" s="84"/>
    </row>
    <row r="8793" spans="4:4" x14ac:dyDescent="0.2">
      <c r="D8793" s="84"/>
    </row>
    <row r="8794" spans="4:4" x14ac:dyDescent="0.2">
      <c r="D8794" s="84"/>
    </row>
    <row r="8795" spans="4:4" x14ac:dyDescent="0.2">
      <c r="D8795" s="84"/>
    </row>
    <row r="8796" spans="4:4" x14ac:dyDescent="0.2">
      <c r="D8796" s="84"/>
    </row>
    <row r="8797" spans="4:4" x14ac:dyDescent="0.2">
      <c r="D8797" s="84"/>
    </row>
    <row r="8798" spans="4:4" x14ac:dyDescent="0.2">
      <c r="D8798" s="84"/>
    </row>
    <row r="8799" spans="4:4" x14ac:dyDescent="0.2">
      <c r="D8799" s="84"/>
    </row>
    <row r="8800" spans="4:4" x14ac:dyDescent="0.2">
      <c r="D8800" s="84"/>
    </row>
    <row r="8801" spans="4:4" x14ac:dyDescent="0.2">
      <c r="D8801" s="84"/>
    </row>
    <row r="8802" spans="4:4" x14ac:dyDescent="0.2">
      <c r="D8802" s="84"/>
    </row>
    <row r="8803" spans="4:4" x14ac:dyDescent="0.2">
      <c r="D8803" s="84"/>
    </row>
    <row r="8804" spans="4:4" x14ac:dyDescent="0.2">
      <c r="D8804" s="84"/>
    </row>
    <row r="8805" spans="4:4" x14ac:dyDescent="0.2">
      <c r="D8805" s="84"/>
    </row>
    <row r="8806" spans="4:4" x14ac:dyDescent="0.2">
      <c r="D8806" s="84"/>
    </row>
    <row r="8807" spans="4:4" x14ac:dyDescent="0.2">
      <c r="D8807" s="84"/>
    </row>
    <row r="8808" spans="4:4" x14ac:dyDescent="0.2">
      <c r="D8808" s="84"/>
    </row>
    <row r="8809" spans="4:4" x14ac:dyDescent="0.2">
      <c r="D8809" s="84"/>
    </row>
    <row r="8810" spans="4:4" x14ac:dyDescent="0.2">
      <c r="D8810" s="84"/>
    </row>
    <row r="8811" spans="4:4" x14ac:dyDescent="0.2">
      <c r="D8811" s="84"/>
    </row>
    <row r="8812" spans="4:4" x14ac:dyDescent="0.2">
      <c r="D8812" s="84"/>
    </row>
    <row r="8813" spans="4:4" x14ac:dyDescent="0.2">
      <c r="D8813" s="84"/>
    </row>
    <row r="8814" spans="4:4" x14ac:dyDescent="0.2">
      <c r="D8814" s="84"/>
    </row>
    <row r="8815" spans="4:4" x14ac:dyDescent="0.2">
      <c r="D8815" s="84"/>
    </row>
    <row r="8816" spans="4:4" x14ac:dyDescent="0.2">
      <c r="D8816" s="84"/>
    </row>
    <row r="8817" spans="4:4" x14ac:dyDescent="0.2">
      <c r="D8817" s="84"/>
    </row>
    <row r="8818" spans="4:4" x14ac:dyDescent="0.2">
      <c r="D8818" s="84"/>
    </row>
    <row r="8819" spans="4:4" x14ac:dyDescent="0.2">
      <c r="D8819" s="84"/>
    </row>
    <row r="8820" spans="4:4" x14ac:dyDescent="0.2">
      <c r="D8820" s="84"/>
    </row>
    <row r="8821" spans="4:4" x14ac:dyDescent="0.2">
      <c r="D8821" s="84"/>
    </row>
    <row r="8822" spans="4:4" x14ac:dyDescent="0.2">
      <c r="D8822" s="84"/>
    </row>
    <row r="8823" spans="4:4" x14ac:dyDescent="0.2">
      <c r="D8823" s="84"/>
    </row>
    <row r="8824" spans="4:4" x14ac:dyDescent="0.2">
      <c r="D8824" s="84"/>
    </row>
    <row r="8825" spans="4:4" x14ac:dyDescent="0.2">
      <c r="D8825" s="84"/>
    </row>
    <row r="8826" spans="4:4" x14ac:dyDescent="0.2">
      <c r="D8826" s="84"/>
    </row>
    <row r="8827" spans="4:4" x14ac:dyDescent="0.2">
      <c r="D8827" s="84"/>
    </row>
    <row r="8828" spans="4:4" x14ac:dyDescent="0.2">
      <c r="D8828" s="84"/>
    </row>
    <row r="8829" spans="4:4" x14ac:dyDescent="0.2">
      <c r="D8829" s="84"/>
    </row>
    <row r="8830" spans="4:4" x14ac:dyDescent="0.2">
      <c r="D8830" s="84"/>
    </row>
    <row r="8831" spans="4:4" x14ac:dyDescent="0.2">
      <c r="D8831" s="84"/>
    </row>
    <row r="8832" spans="4:4" x14ac:dyDescent="0.2">
      <c r="D8832" s="84"/>
    </row>
    <row r="8833" spans="4:4" x14ac:dyDescent="0.2">
      <c r="D8833" s="84"/>
    </row>
    <row r="8834" spans="4:4" x14ac:dyDescent="0.2">
      <c r="D8834" s="84"/>
    </row>
    <row r="8835" spans="4:4" x14ac:dyDescent="0.2">
      <c r="D8835" s="84"/>
    </row>
    <row r="8836" spans="4:4" x14ac:dyDescent="0.2">
      <c r="D8836" s="84"/>
    </row>
    <row r="8837" spans="4:4" x14ac:dyDescent="0.2">
      <c r="D8837" s="84"/>
    </row>
    <row r="8838" spans="4:4" x14ac:dyDescent="0.2">
      <c r="D8838" s="84"/>
    </row>
    <row r="8839" spans="4:4" x14ac:dyDescent="0.2">
      <c r="D8839" s="84"/>
    </row>
    <row r="8840" spans="4:4" x14ac:dyDescent="0.2">
      <c r="D8840" s="84"/>
    </row>
    <row r="8841" spans="4:4" x14ac:dyDescent="0.2">
      <c r="D8841" s="84"/>
    </row>
    <row r="8842" spans="4:4" x14ac:dyDescent="0.2">
      <c r="D8842" s="84"/>
    </row>
    <row r="8843" spans="4:4" x14ac:dyDescent="0.2">
      <c r="D8843" s="84"/>
    </row>
    <row r="8844" spans="4:4" x14ac:dyDescent="0.2">
      <c r="D8844" s="84"/>
    </row>
    <row r="8845" spans="4:4" x14ac:dyDescent="0.2">
      <c r="D8845" s="84"/>
    </row>
    <row r="8846" spans="4:4" x14ac:dyDescent="0.2">
      <c r="D8846" s="84"/>
    </row>
    <row r="8847" spans="4:4" x14ac:dyDescent="0.2">
      <c r="D8847" s="84"/>
    </row>
    <row r="8848" spans="4:4" x14ac:dyDescent="0.2">
      <c r="D8848" s="84"/>
    </row>
    <row r="8849" spans="4:4" x14ac:dyDescent="0.2">
      <c r="D8849" s="84"/>
    </row>
    <row r="8850" spans="4:4" x14ac:dyDescent="0.2">
      <c r="D8850" s="84"/>
    </row>
    <row r="8851" spans="4:4" x14ac:dyDescent="0.2">
      <c r="D8851" s="84"/>
    </row>
    <row r="8852" spans="4:4" x14ac:dyDescent="0.2">
      <c r="D8852" s="84"/>
    </row>
    <row r="8853" spans="4:4" x14ac:dyDescent="0.2">
      <c r="D8853" s="84"/>
    </row>
    <row r="8854" spans="4:4" x14ac:dyDescent="0.2">
      <c r="D8854" s="84"/>
    </row>
    <row r="8855" spans="4:4" x14ac:dyDescent="0.2">
      <c r="D8855" s="84"/>
    </row>
    <row r="8856" spans="4:4" x14ac:dyDescent="0.2">
      <c r="D8856" s="84"/>
    </row>
    <row r="8857" spans="4:4" x14ac:dyDescent="0.2">
      <c r="D8857" s="84"/>
    </row>
    <row r="8858" spans="4:4" x14ac:dyDescent="0.2">
      <c r="D8858" s="84"/>
    </row>
    <row r="8859" spans="4:4" x14ac:dyDescent="0.2">
      <c r="D8859" s="84"/>
    </row>
    <row r="8860" spans="4:4" x14ac:dyDescent="0.2">
      <c r="D8860" s="84"/>
    </row>
    <row r="8861" spans="4:4" x14ac:dyDescent="0.2">
      <c r="D8861" s="84"/>
    </row>
    <row r="8862" spans="4:4" x14ac:dyDescent="0.2">
      <c r="D8862" s="84"/>
    </row>
    <row r="8863" spans="4:4" x14ac:dyDescent="0.2">
      <c r="D8863" s="84"/>
    </row>
    <row r="8864" spans="4:4" x14ac:dyDescent="0.2">
      <c r="D8864" s="84"/>
    </row>
    <row r="8865" spans="4:4" x14ac:dyDescent="0.2">
      <c r="D8865" s="84"/>
    </row>
    <row r="8866" spans="4:4" x14ac:dyDescent="0.2">
      <c r="D8866" s="84"/>
    </row>
    <row r="8867" spans="4:4" x14ac:dyDescent="0.2">
      <c r="D8867" s="84"/>
    </row>
    <row r="8868" spans="4:4" x14ac:dyDescent="0.2">
      <c r="D8868" s="84"/>
    </row>
    <row r="8869" spans="4:4" x14ac:dyDescent="0.2">
      <c r="D8869" s="84"/>
    </row>
    <row r="8870" spans="4:4" x14ac:dyDescent="0.2">
      <c r="D8870" s="84"/>
    </row>
    <row r="8871" spans="4:4" x14ac:dyDescent="0.2">
      <c r="D8871" s="84"/>
    </row>
    <row r="8872" spans="4:4" x14ac:dyDescent="0.2">
      <c r="D8872" s="84"/>
    </row>
    <row r="8873" spans="4:4" x14ac:dyDescent="0.2">
      <c r="D8873" s="84"/>
    </row>
    <row r="8874" spans="4:4" x14ac:dyDescent="0.2">
      <c r="D8874" s="84"/>
    </row>
    <row r="8875" spans="4:4" x14ac:dyDescent="0.2">
      <c r="D8875" s="84"/>
    </row>
    <row r="8876" spans="4:4" x14ac:dyDescent="0.2">
      <c r="D8876" s="84"/>
    </row>
    <row r="8877" spans="4:4" x14ac:dyDescent="0.2">
      <c r="D8877" s="84"/>
    </row>
    <row r="8878" spans="4:4" x14ac:dyDescent="0.2">
      <c r="D8878" s="84"/>
    </row>
    <row r="8879" spans="4:4" x14ac:dyDescent="0.2">
      <c r="D8879" s="84"/>
    </row>
    <row r="8880" spans="4:4" x14ac:dyDescent="0.2">
      <c r="D8880" s="84"/>
    </row>
    <row r="8881" spans="4:4" x14ac:dyDescent="0.2">
      <c r="D8881" s="84"/>
    </row>
    <row r="8882" spans="4:4" x14ac:dyDescent="0.2">
      <c r="D8882" s="84"/>
    </row>
    <row r="8883" spans="4:4" x14ac:dyDescent="0.2">
      <c r="D8883" s="84"/>
    </row>
    <row r="8884" spans="4:4" x14ac:dyDescent="0.2">
      <c r="D8884" s="84"/>
    </row>
    <row r="8885" spans="4:4" x14ac:dyDescent="0.2">
      <c r="D8885" s="84"/>
    </row>
    <row r="8886" spans="4:4" x14ac:dyDescent="0.2">
      <c r="D8886" s="84"/>
    </row>
    <row r="8887" spans="4:4" x14ac:dyDescent="0.2">
      <c r="D8887" s="84"/>
    </row>
    <row r="8888" spans="4:4" x14ac:dyDescent="0.2">
      <c r="D8888" s="84"/>
    </row>
    <row r="8889" spans="4:4" x14ac:dyDescent="0.2">
      <c r="D8889" s="84"/>
    </row>
    <row r="8890" spans="4:4" x14ac:dyDescent="0.2">
      <c r="D8890" s="84"/>
    </row>
    <row r="8891" spans="4:4" x14ac:dyDescent="0.2">
      <c r="D8891" s="84"/>
    </row>
    <row r="8892" spans="4:4" x14ac:dyDescent="0.2">
      <c r="D8892" s="84"/>
    </row>
    <row r="8893" spans="4:4" x14ac:dyDescent="0.2">
      <c r="D8893" s="84"/>
    </row>
    <row r="8894" spans="4:4" x14ac:dyDescent="0.2">
      <c r="D8894" s="84"/>
    </row>
    <row r="8895" spans="4:4" x14ac:dyDescent="0.2">
      <c r="D8895" s="84"/>
    </row>
    <row r="8896" spans="4:4" x14ac:dyDescent="0.2">
      <c r="D8896" s="84"/>
    </row>
    <row r="8897" spans="4:4" x14ac:dyDescent="0.2">
      <c r="D8897" s="84"/>
    </row>
    <row r="8898" spans="4:4" x14ac:dyDescent="0.2">
      <c r="D8898" s="84"/>
    </row>
    <row r="8899" spans="4:4" x14ac:dyDescent="0.2">
      <c r="D8899" s="84"/>
    </row>
    <row r="8900" spans="4:4" x14ac:dyDescent="0.2">
      <c r="D8900" s="84"/>
    </row>
    <row r="8901" spans="4:4" x14ac:dyDescent="0.2">
      <c r="D8901" s="84"/>
    </row>
    <row r="8902" spans="4:4" x14ac:dyDescent="0.2">
      <c r="D8902" s="84"/>
    </row>
    <row r="8903" spans="4:4" x14ac:dyDescent="0.2">
      <c r="D8903" s="84"/>
    </row>
    <row r="8904" spans="4:4" x14ac:dyDescent="0.2">
      <c r="D8904" s="84"/>
    </row>
    <row r="8905" spans="4:4" x14ac:dyDescent="0.2">
      <c r="D8905" s="84"/>
    </row>
    <row r="8906" spans="4:4" x14ac:dyDescent="0.2">
      <c r="D8906" s="84"/>
    </row>
    <row r="8907" spans="4:4" x14ac:dyDescent="0.2">
      <c r="D8907" s="84"/>
    </row>
    <row r="8908" spans="4:4" x14ac:dyDescent="0.2">
      <c r="D8908" s="84"/>
    </row>
    <row r="8909" spans="4:4" x14ac:dyDescent="0.2">
      <c r="D8909" s="84"/>
    </row>
    <row r="8910" spans="4:4" x14ac:dyDescent="0.2">
      <c r="D8910" s="84"/>
    </row>
    <row r="8911" spans="4:4" x14ac:dyDescent="0.2">
      <c r="D8911" s="84"/>
    </row>
    <row r="8912" spans="4:4" x14ac:dyDescent="0.2">
      <c r="D8912" s="84"/>
    </row>
    <row r="8913" spans="4:4" x14ac:dyDescent="0.2">
      <c r="D8913" s="84"/>
    </row>
    <row r="8914" spans="4:4" x14ac:dyDescent="0.2">
      <c r="D8914" s="84"/>
    </row>
    <row r="8915" spans="4:4" x14ac:dyDescent="0.2">
      <c r="D8915" s="84"/>
    </row>
    <row r="8916" spans="4:4" x14ac:dyDescent="0.2">
      <c r="D8916" s="84"/>
    </row>
    <row r="8917" spans="4:4" x14ac:dyDescent="0.2">
      <c r="D8917" s="84"/>
    </row>
    <row r="8918" spans="4:4" x14ac:dyDescent="0.2">
      <c r="D8918" s="84"/>
    </row>
    <row r="8919" spans="4:4" x14ac:dyDescent="0.2">
      <c r="D8919" s="84"/>
    </row>
    <row r="8920" spans="4:4" x14ac:dyDescent="0.2">
      <c r="D8920" s="84"/>
    </row>
    <row r="8921" spans="4:4" x14ac:dyDescent="0.2">
      <c r="D8921" s="84"/>
    </row>
    <row r="8922" spans="4:4" x14ac:dyDescent="0.2">
      <c r="D8922" s="84"/>
    </row>
    <row r="8923" spans="4:4" x14ac:dyDescent="0.2">
      <c r="D8923" s="84"/>
    </row>
    <row r="8924" spans="4:4" x14ac:dyDescent="0.2">
      <c r="D8924" s="84"/>
    </row>
    <row r="8925" spans="4:4" x14ac:dyDescent="0.2">
      <c r="D8925" s="84"/>
    </row>
    <row r="8926" spans="4:4" x14ac:dyDescent="0.2">
      <c r="D8926" s="84"/>
    </row>
    <row r="8927" spans="4:4" x14ac:dyDescent="0.2">
      <c r="D8927" s="84"/>
    </row>
    <row r="8928" spans="4:4" x14ac:dyDescent="0.2">
      <c r="D8928" s="84"/>
    </row>
    <row r="8929" spans="4:4" x14ac:dyDescent="0.2">
      <c r="D8929" s="84"/>
    </row>
    <row r="8930" spans="4:4" x14ac:dyDescent="0.2">
      <c r="D8930" s="84"/>
    </row>
    <row r="8931" spans="4:4" x14ac:dyDescent="0.2">
      <c r="D8931" s="84"/>
    </row>
    <row r="8932" spans="4:4" x14ac:dyDescent="0.2">
      <c r="D8932" s="84"/>
    </row>
    <row r="8933" spans="4:4" x14ac:dyDescent="0.2">
      <c r="D8933" s="84"/>
    </row>
    <row r="8934" spans="4:4" x14ac:dyDescent="0.2">
      <c r="D8934" s="84"/>
    </row>
    <row r="8935" spans="4:4" x14ac:dyDescent="0.2">
      <c r="D8935" s="84"/>
    </row>
    <row r="8936" spans="4:4" x14ac:dyDescent="0.2">
      <c r="D8936" s="84"/>
    </row>
    <row r="8937" spans="4:4" x14ac:dyDescent="0.2">
      <c r="D8937" s="84"/>
    </row>
    <row r="8938" spans="4:4" x14ac:dyDescent="0.2">
      <c r="D8938" s="84"/>
    </row>
    <row r="8939" spans="4:4" x14ac:dyDescent="0.2">
      <c r="D8939" s="84"/>
    </row>
    <row r="8940" spans="4:4" x14ac:dyDescent="0.2">
      <c r="D8940" s="84"/>
    </row>
    <row r="8941" spans="4:4" x14ac:dyDescent="0.2">
      <c r="D8941" s="84"/>
    </row>
    <row r="8942" spans="4:4" x14ac:dyDescent="0.2">
      <c r="D8942" s="84"/>
    </row>
    <row r="8943" spans="4:4" x14ac:dyDescent="0.2">
      <c r="D8943" s="84"/>
    </row>
    <row r="8944" spans="4:4" x14ac:dyDescent="0.2">
      <c r="D8944" s="84"/>
    </row>
    <row r="8945" spans="4:4" x14ac:dyDescent="0.2">
      <c r="D8945" s="84"/>
    </row>
    <row r="8946" spans="4:4" x14ac:dyDescent="0.2">
      <c r="D8946" s="84"/>
    </row>
    <row r="8947" spans="4:4" x14ac:dyDescent="0.2">
      <c r="D8947" s="84"/>
    </row>
    <row r="8948" spans="4:4" x14ac:dyDescent="0.2">
      <c r="D8948" s="84"/>
    </row>
    <row r="8949" spans="4:4" x14ac:dyDescent="0.2">
      <c r="D8949" s="84"/>
    </row>
    <row r="8950" spans="4:4" x14ac:dyDescent="0.2">
      <c r="D8950" s="84"/>
    </row>
    <row r="8951" spans="4:4" x14ac:dyDescent="0.2">
      <c r="D8951" s="84"/>
    </row>
    <row r="8952" spans="4:4" x14ac:dyDescent="0.2">
      <c r="D8952" s="84"/>
    </row>
    <row r="8953" spans="4:4" x14ac:dyDescent="0.2">
      <c r="D8953" s="84"/>
    </row>
    <row r="8954" spans="4:4" x14ac:dyDescent="0.2">
      <c r="D8954" s="84"/>
    </row>
    <row r="8955" spans="4:4" x14ac:dyDescent="0.2">
      <c r="D8955" s="84"/>
    </row>
    <row r="8956" spans="4:4" x14ac:dyDescent="0.2">
      <c r="D8956" s="84"/>
    </row>
    <row r="8957" spans="4:4" x14ac:dyDescent="0.2">
      <c r="D8957" s="84"/>
    </row>
    <row r="8958" spans="4:4" x14ac:dyDescent="0.2">
      <c r="D8958" s="84"/>
    </row>
    <row r="8959" spans="4:4" x14ac:dyDescent="0.2">
      <c r="D8959" s="84"/>
    </row>
    <row r="8960" spans="4:4" x14ac:dyDescent="0.2">
      <c r="D8960" s="84"/>
    </row>
    <row r="8961" spans="4:4" x14ac:dyDescent="0.2">
      <c r="D8961" s="84"/>
    </row>
    <row r="8962" spans="4:4" x14ac:dyDescent="0.2">
      <c r="D8962" s="84"/>
    </row>
    <row r="8963" spans="4:4" x14ac:dyDescent="0.2">
      <c r="D8963" s="84"/>
    </row>
    <row r="8964" spans="4:4" x14ac:dyDescent="0.2">
      <c r="D8964" s="84"/>
    </row>
    <row r="8965" spans="4:4" x14ac:dyDescent="0.2">
      <c r="D8965" s="84"/>
    </row>
    <row r="8966" spans="4:4" x14ac:dyDescent="0.2">
      <c r="D8966" s="84"/>
    </row>
    <row r="8967" spans="4:4" x14ac:dyDescent="0.2">
      <c r="D8967" s="84"/>
    </row>
    <row r="8968" spans="4:4" x14ac:dyDescent="0.2">
      <c r="D8968" s="84"/>
    </row>
    <row r="8969" spans="4:4" x14ac:dyDescent="0.2">
      <c r="D8969" s="84"/>
    </row>
    <row r="8970" spans="4:4" x14ac:dyDescent="0.2">
      <c r="D8970" s="84"/>
    </row>
    <row r="8971" spans="4:4" x14ac:dyDescent="0.2">
      <c r="D8971" s="84"/>
    </row>
    <row r="8972" spans="4:4" x14ac:dyDescent="0.2">
      <c r="D8972" s="84"/>
    </row>
    <row r="8973" spans="4:4" x14ac:dyDescent="0.2">
      <c r="D8973" s="84"/>
    </row>
    <row r="8974" spans="4:4" x14ac:dyDescent="0.2">
      <c r="D8974" s="84"/>
    </row>
    <row r="8975" spans="4:4" x14ac:dyDescent="0.2">
      <c r="D8975" s="84"/>
    </row>
    <row r="8976" spans="4:4" x14ac:dyDescent="0.2">
      <c r="D8976" s="84"/>
    </row>
    <row r="8977" spans="4:4" x14ac:dyDescent="0.2">
      <c r="D8977" s="84"/>
    </row>
    <row r="8978" spans="4:4" x14ac:dyDescent="0.2">
      <c r="D8978" s="84"/>
    </row>
    <row r="8979" spans="4:4" x14ac:dyDescent="0.2">
      <c r="D8979" s="84"/>
    </row>
    <row r="8980" spans="4:4" x14ac:dyDescent="0.2">
      <c r="D8980" s="84"/>
    </row>
    <row r="8981" spans="4:4" x14ac:dyDescent="0.2">
      <c r="D8981" s="84"/>
    </row>
    <row r="8982" spans="4:4" x14ac:dyDescent="0.2">
      <c r="D8982" s="84"/>
    </row>
    <row r="8983" spans="4:4" x14ac:dyDescent="0.2">
      <c r="D8983" s="84"/>
    </row>
    <row r="8984" spans="4:4" x14ac:dyDescent="0.2">
      <c r="D8984" s="84"/>
    </row>
    <row r="8985" spans="4:4" x14ac:dyDescent="0.2">
      <c r="D8985" s="84"/>
    </row>
    <row r="8986" spans="4:4" x14ac:dyDescent="0.2">
      <c r="D8986" s="84"/>
    </row>
    <row r="8987" spans="4:4" x14ac:dyDescent="0.2">
      <c r="D8987" s="84"/>
    </row>
    <row r="8988" spans="4:4" x14ac:dyDescent="0.2">
      <c r="D8988" s="84"/>
    </row>
    <row r="8989" spans="4:4" x14ac:dyDescent="0.2">
      <c r="D8989" s="84"/>
    </row>
    <row r="8990" spans="4:4" x14ac:dyDescent="0.2">
      <c r="D8990" s="84"/>
    </row>
    <row r="8991" spans="4:4" x14ac:dyDescent="0.2">
      <c r="D8991" s="84"/>
    </row>
    <row r="8992" spans="4:4" x14ac:dyDescent="0.2">
      <c r="D8992" s="84"/>
    </row>
    <row r="8993" spans="4:4" x14ac:dyDescent="0.2">
      <c r="D8993" s="84"/>
    </row>
    <row r="8994" spans="4:4" x14ac:dyDescent="0.2">
      <c r="D8994" s="84"/>
    </row>
    <row r="8995" spans="4:4" x14ac:dyDescent="0.2">
      <c r="D8995" s="84"/>
    </row>
    <row r="8996" spans="4:4" x14ac:dyDescent="0.2">
      <c r="D8996" s="84"/>
    </row>
    <row r="8997" spans="4:4" x14ac:dyDescent="0.2">
      <c r="D8997" s="84"/>
    </row>
    <row r="8998" spans="4:4" x14ac:dyDescent="0.2">
      <c r="D8998" s="84"/>
    </row>
    <row r="8999" spans="4:4" x14ac:dyDescent="0.2">
      <c r="D8999" s="84"/>
    </row>
    <row r="9000" spans="4:4" x14ac:dyDescent="0.2">
      <c r="D9000" s="84"/>
    </row>
    <row r="9001" spans="4:4" x14ac:dyDescent="0.2">
      <c r="D9001" s="84"/>
    </row>
    <row r="9002" spans="4:4" x14ac:dyDescent="0.2">
      <c r="D9002" s="84"/>
    </row>
    <row r="9003" spans="4:4" x14ac:dyDescent="0.2">
      <c r="D9003" s="84"/>
    </row>
    <row r="9004" spans="4:4" x14ac:dyDescent="0.2">
      <c r="D9004" s="84"/>
    </row>
    <row r="9005" spans="4:4" x14ac:dyDescent="0.2">
      <c r="D9005" s="84"/>
    </row>
    <row r="9006" spans="4:4" x14ac:dyDescent="0.2">
      <c r="D9006" s="84"/>
    </row>
    <row r="9007" spans="4:4" x14ac:dyDescent="0.2">
      <c r="D9007" s="84"/>
    </row>
    <row r="9008" spans="4:4" x14ac:dyDescent="0.2">
      <c r="D9008" s="84"/>
    </row>
    <row r="9009" spans="4:4" x14ac:dyDescent="0.2">
      <c r="D9009" s="84"/>
    </row>
    <row r="9010" spans="4:4" x14ac:dyDescent="0.2">
      <c r="D9010" s="84"/>
    </row>
    <row r="9011" spans="4:4" x14ac:dyDescent="0.2">
      <c r="D9011" s="84"/>
    </row>
    <row r="9012" spans="4:4" x14ac:dyDescent="0.2">
      <c r="D9012" s="84"/>
    </row>
    <row r="9013" spans="4:4" x14ac:dyDescent="0.2">
      <c r="D9013" s="84"/>
    </row>
    <row r="9014" spans="4:4" x14ac:dyDescent="0.2">
      <c r="D9014" s="84"/>
    </row>
    <row r="9015" spans="4:4" x14ac:dyDescent="0.2">
      <c r="D9015" s="84"/>
    </row>
    <row r="9016" spans="4:4" x14ac:dyDescent="0.2">
      <c r="D9016" s="84"/>
    </row>
    <row r="9017" spans="4:4" x14ac:dyDescent="0.2">
      <c r="D9017" s="84"/>
    </row>
    <row r="9018" spans="4:4" x14ac:dyDescent="0.2">
      <c r="D9018" s="84"/>
    </row>
    <row r="9019" spans="4:4" x14ac:dyDescent="0.2">
      <c r="D9019" s="84"/>
    </row>
    <row r="9020" spans="4:4" x14ac:dyDescent="0.2">
      <c r="D9020" s="84"/>
    </row>
    <row r="9021" spans="4:4" x14ac:dyDescent="0.2">
      <c r="D9021" s="84"/>
    </row>
    <row r="9022" spans="4:4" x14ac:dyDescent="0.2">
      <c r="D9022" s="84"/>
    </row>
    <row r="9023" spans="4:4" x14ac:dyDescent="0.2">
      <c r="D9023" s="84"/>
    </row>
    <row r="9024" spans="4:4" x14ac:dyDescent="0.2">
      <c r="D9024" s="84"/>
    </row>
    <row r="9025" spans="4:4" x14ac:dyDescent="0.2">
      <c r="D9025" s="84"/>
    </row>
    <row r="9026" spans="4:4" x14ac:dyDescent="0.2">
      <c r="D9026" s="84"/>
    </row>
    <row r="9027" spans="4:4" x14ac:dyDescent="0.2">
      <c r="D9027" s="84"/>
    </row>
    <row r="9028" spans="4:4" x14ac:dyDescent="0.2">
      <c r="D9028" s="84"/>
    </row>
    <row r="9029" spans="4:4" x14ac:dyDescent="0.2">
      <c r="D9029" s="84"/>
    </row>
    <row r="9030" spans="4:4" x14ac:dyDescent="0.2">
      <c r="D9030" s="84"/>
    </row>
    <row r="9031" spans="4:4" x14ac:dyDescent="0.2">
      <c r="D9031" s="84"/>
    </row>
    <row r="9032" spans="4:4" x14ac:dyDescent="0.2">
      <c r="D9032" s="84"/>
    </row>
    <row r="9033" spans="4:4" x14ac:dyDescent="0.2">
      <c r="D9033" s="84"/>
    </row>
    <row r="9034" spans="4:4" x14ac:dyDescent="0.2">
      <c r="D9034" s="84"/>
    </row>
    <row r="9035" spans="4:4" x14ac:dyDescent="0.2">
      <c r="D9035" s="84"/>
    </row>
    <row r="9036" spans="4:4" x14ac:dyDescent="0.2">
      <c r="D9036" s="84"/>
    </row>
    <row r="9037" spans="4:4" x14ac:dyDescent="0.2">
      <c r="D9037" s="84"/>
    </row>
    <row r="9038" spans="4:4" x14ac:dyDescent="0.2">
      <c r="D9038" s="84"/>
    </row>
    <row r="9039" spans="4:4" x14ac:dyDescent="0.2">
      <c r="D9039" s="84"/>
    </row>
    <row r="9040" spans="4:4" x14ac:dyDescent="0.2">
      <c r="D9040" s="84"/>
    </row>
    <row r="9041" spans="4:4" x14ac:dyDescent="0.2">
      <c r="D9041" s="84"/>
    </row>
    <row r="9042" spans="4:4" x14ac:dyDescent="0.2">
      <c r="D9042" s="84"/>
    </row>
    <row r="9043" spans="4:4" x14ac:dyDescent="0.2">
      <c r="D9043" s="84"/>
    </row>
    <row r="9044" spans="4:4" x14ac:dyDescent="0.2">
      <c r="D9044" s="84"/>
    </row>
    <row r="9045" spans="4:4" x14ac:dyDescent="0.2">
      <c r="D9045" s="84"/>
    </row>
    <row r="9046" spans="4:4" x14ac:dyDescent="0.2">
      <c r="D9046" s="84"/>
    </row>
    <row r="9047" spans="4:4" x14ac:dyDescent="0.2">
      <c r="D9047" s="84"/>
    </row>
    <row r="9048" spans="4:4" x14ac:dyDescent="0.2">
      <c r="D9048" s="84"/>
    </row>
    <row r="9049" spans="4:4" x14ac:dyDescent="0.2">
      <c r="D9049" s="84"/>
    </row>
    <row r="9050" spans="4:4" x14ac:dyDescent="0.2">
      <c r="D9050" s="84"/>
    </row>
    <row r="9051" spans="4:4" x14ac:dyDescent="0.2">
      <c r="D9051" s="84"/>
    </row>
    <row r="9052" spans="4:4" x14ac:dyDescent="0.2">
      <c r="D9052" s="84"/>
    </row>
    <row r="9053" spans="4:4" x14ac:dyDescent="0.2">
      <c r="D9053" s="84"/>
    </row>
    <row r="9054" spans="4:4" x14ac:dyDescent="0.2">
      <c r="D9054" s="84"/>
    </row>
    <row r="9055" spans="4:4" x14ac:dyDescent="0.2">
      <c r="D9055" s="84"/>
    </row>
    <row r="9056" spans="4:4" x14ac:dyDescent="0.2">
      <c r="D9056" s="84"/>
    </row>
    <row r="9057" spans="4:4" x14ac:dyDescent="0.2">
      <c r="D9057" s="84"/>
    </row>
    <row r="9058" spans="4:4" x14ac:dyDescent="0.2">
      <c r="D9058" s="84"/>
    </row>
    <row r="9059" spans="4:4" x14ac:dyDescent="0.2">
      <c r="D9059" s="84"/>
    </row>
    <row r="9060" spans="4:4" x14ac:dyDescent="0.2">
      <c r="D9060" s="84"/>
    </row>
    <row r="9061" spans="4:4" x14ac:dyDescent="0.2">
      <c r="D9061" s="84"/>
    </row>
    <row r="9062" spans="4:4" x14ac:dyDescent="0.2">
      <c r="D9062" s="84"/>
    </row>
    <row r="9063" spans="4:4" x14ac:dyDescent="0.2">
      <c r="D9063" s="84"/>
    </row>
    <row r="9064" spans="4:4" x14ac:dyDescent="0.2">
      <c r="D9064" s="84"/>
    </row>
    <row r="9065" spans="4:4" x14ac:dyDescent="0.2">
      <c r="D9065" s="84"/>
    </row>
    <row r="9066" spans="4:4" x14ac:dyDescent="0.2">
      <c r="D9066" s="84"/>
    </row>
    <row r="9067" spans="4:4" x14ac:dyDescent="0.2">
      <c r="D9067" s="84"/>
    </row>
    <row r="9068" spans="4:4" x14ac:dyDescent="0.2">
      <c r="D9068" s="84"/>
    </row>
    <row r="9069" spans="4:4" x14ac:dyDescent="0.2">
      <c r="D9069" s="84"/>
    </row>
    <row r="9070" spans="4:4" x14ac:dyDescent="0.2">
      <c r="D9070" s="84"/>
    </row>
    <row r="9071" spans="4:4" x14ac:dyDescent="0.2">
      <c r="D9071" s="84"/>
    </row>
    <row r="9072" spans="4:4" x14ac:dyDescent="0.2">
      <c r="D9072" s="84"/>
    </row>
    <row r="9073" spans="4:4" x14ac:dyDescent="0.2">
      <c r="D9073" s="84"/>
    </row>
    <row r="9074" spans="4:4" x14ac:dyDescent="0.2">
      <c r="D9074" s="84"/>
    </row>
    <row r="9075" spans="4:4" x14ac:dyDescent="0.2">
      <c r="D9075" s="84"/>
    </row>
    <row r="9076" spans="4:4" x14ac:dyDescent="0.2">
      <c r="D9076" s="84"/>
    </row>
    <row r="9077" spans="4:4" x14ac:dyDescent="0.2">
      <c r="D9077" s="84"/>
    </row>
    <row r="9078" spans="4:4" x14ac:dyDescent="0.2">
      <c r="D9078" s="84"/>
    </row>
    <row r="9079" spans="4:4" x14ac:dyDescent="0.2">
      <c r="D9079" s="84"/>
    </row>
    <row r="9080" spans="4:4" x14ac:dyDescent="0.2">
      <c r="D9080" s="84"/>
    </row>
    <row r="9081" spans="4:4" x14ac:dyDescent="0.2">
      <c r="D9081" s="84"/>
    </row>
    <row r="9082" spans="4:4" x14ac:dyDescent="0.2">
      <c r="D9082" s="84"/>
    </row>
    <row r="9083" spans="4:4" x14ac:dyDescent="0.2">
      <c r="D9083" s="84"/>
    </row>
    <row r="9084" spans="4:4" x14ac:dyDescent="0.2">
      <c r="D9084" s="84"/>
    </row>
    <row r="9085" spans="4:4" x14ac:dyDescent="0.2">
      <c r="D9085" s="84"/>
    </row>
    <row r="9086" spans="4:4" x14ac:dyDescent="0.2">
      <c r="D9086" s="84"/>
    </row>
    <row r="9087" spans="4:4" x14ac:dyDescent="0.2">
      <c r="D9087" s="84"/>
    </row>
    <row r="9088" spans="4:4" x14ac:dyDescent="0.2">
      <c r="D9088" s="84"/>
    </row>
    <row r="9089" spans="4:4" x14ac:dyDescent="0.2">
      <c r="D9089" s="84"/>
    </row>
    <row r="9090" spans="4:4" x14ac:dyDescent="0.2">
      <c r="D9090" s="84"/>
    </row>
    <row r="9091" spans="4:4" x14ac:dyDescent="0.2">
      <c r="D9091" s="84"/>
    </row>
    <row r="9092" spans="4:4" x14ac:dyDescent="0.2">
      <c r="D9092" s="84"/>
    </row>
    <row r="9093" spans="4:4" x14ac:dyDescent="0.2">
      <c r="D9093" s="84"/>
    </row>
    <row r="9094" spans="4:4" x14ac:dyDescent="0.2">
      <c r="D9094" s="84"/>
    </row>
    <row r="9095" spans="4:4" x14ac:dyDescent="0.2">
      <c r="D9095" s="84"/>
    </row>
    <row r="9096" spans="4:4" x14ac:dyDescent="0.2">
      <c r="D9096" s="84"/>
    </row>
    <row r="9097" spans="4:4" x14ac:dyDescent="0.2">
      <c r="D9097" s="84"/>
    </row>
    <row r="9098" spans="4:4" x14ac:dyDescent="0.2">
      <c r="D9098" s="84"/>
    </row>
    <row r="9099" spans="4:4" x14ac:dyDescent="0.2">
      <c r="D9099" s="84"/>
    </row>
    <row r="9100" spans="4:4" x14ac:dyDescent="0.2">
      <c r="D9100" s="84"/>
    </row>
    <row r="9101" spans="4:4" x14ac:dyDescent="0.2">
      <c r="D9101" s="84"/>
    </row>
    <row r="9102" spans="4:4" x14ac:dyDescent="0.2">
      <c r="D9102" s="84"/>
    </row>
    <row r="9103" spans="4:4" x14ac:dyDescent="0.2">
      <c r="D9103" s="84"/>
    </row>
    <row r="9104" spans="4:4" x14ac:dyDescent="0.2">
      <c r="D9104" s="84"/>
    </row>
    <row r="9105" spans="4:4" x14ac:dyDescent="0.2">
      <c r="D9105" s="84"/>
    </row>
    <row r="9106" spans="4:4" x14ac:dyDescent="0.2">
      <c r="D9106" s="84"/>
    </row>
    <row r="9107" spans="4:4" x14ac:dyDescent="0.2">
      <c r="D9107" s="84"/>
    </row>
    <row r="9108" spans="4:4" x14ac:dyDescent="0.2">
      <c r="D9108" s="84"/>
    </row>
    <row r="9109" spans="4:4" x14ac:dyDescent="0.2">
      <c r="D9109" s="84"/>
    </row>
    <row r="9110" spans="4:4" x14ac:dyDescent="0.2">
      <c r="D9110" s="84"/>
    </row>
    <row r="9111" spans="4:4" x14ac:dyDescent="0.2">
      <c r="D9111" s="84"/>
    </row>
    <row r="9112" spans="4:4" x14ac:dyDescent="0.2">
      <c r="D9112" s="84"/>
    </row>
    <row r="9113" spans="4:4" x14ac:dyDescent="0.2">
      <c r="D9113" s="84"/>
    </row>
    <row r="9114" spans="4:4" x14ac:dyDescent="0.2">
      <c r="D9114" s="84"/>
    </row>
    <row r="9115" spans="4:4" x14ac:dyDescent="0.2">
      <c r="D9115" s="84"/>
    </row>
    <row r="9116" spans="4:4" x14ac:dyDescent="0.2">
      <c r="D9116" s="84"/>
    </row>
    <row r="9117" spans="4:4" x14ac:dyDescent="0.2">
      <c r="D9117" s="84"/>
    </row>
    <row r="9118" spans="4:4" x14ac:dyDescent="0.2">
      <c r="D9118" s="84"/>
    </row>
    <row r="9119" spans="4:4" x14ac:dyDescent="0.2">
      <c r="D9119" s="84"/>
    </row>
    <row r="9120" spans="4:4" x14ac:dyDescent="0.2">
      <c r="D9120" s="84"/>
    </row>
    <row r="9121" spans="4:4" x14ac:dyDescent="0.2">
      <c r="D9121" s="84"/>
    </row>
    <row r="9122" spans="4:4" x14ac:dyDescent="0.2">
      <c r="D9122" s="84"/>
    </row>
    <row r="9123" spans="4:4" x14ac:dyDescent="0.2">
      <c r="D9123" s="84"/>
    </row>
    <row r="9124" spans="4:4" x14ac:dyDescent="0.2">
      <c r="D9124" s="84"/>
    </row>
    <row r="9125" spans="4:4" x14ac:dyDescent="0.2">
      <c r="D9125" s="84"/>
    </row>
    <row r="9126" spans="4:4" x14ac:dyDescent="0.2">
      <c r="D9126" s="84"/>
    </row>
    <row r="9127" spans="4:4" x14ac:dyDescent="0.2">
      <c r="D9127" s="84"/>
    </row>
    <row r="9128" spans="4:4" x14ac:dyDescent="0.2">
      <c r="D9128" s="84"/>
    </row>
    <row r="9129" spans="4:4" x14ac:dyDescent="0.2">
      <c r="D9129" s="84"/>
    </row>
    <row r="9130" spans="4:4" x14ac:dyDescent="0.2">
      <c r="D9130" s="84"/>
    </row>
    <row r="9131" spans="4:4" x14ac:dyDescent="0.2">
      <c r="D9131" s="84"/>
    </row>
    <row r="9132" spans="4:4" x14ac:dyDescent="0.2">
      <c r="D9132" s="84"/>
    </row>
    <row r="9133" spans="4:4" x14ac:dyDescent="0.2">
      <c r="D9133" s="84"/>
    </row>
    <row r="9134" spans="4:4" x14ac:dyDescent="0.2">
      <c r="D9134" s="84"/>
    </row>
    <row r="9135" spans="4:4" x14ac:dyDescent="0.2">
      <c r="D9135" s="84"/>
    </row>
    <row r="9136" spans="4:4" x14ac:dyDescent="0.2">
      <c r="D9136" s="84"/>
    </row>
    <row r="9137" spans="4:4" x14ac:dyDescent="0.2">
      <c r="D9137" s="84"/>
    </row>
    <row r="9138" spans="4:4" x14ac:dyDescent="0.2">
      <c r="D9138" s="84"/>
    </row>
    <row r="9139" spans="4:4" x14ac:dyDescent="0.2">
      <c r="D9139" s="84"/>
    </row>
    <row r="9140" spans="4:4" x14ac:dyDescent="0.2">
      <c r="D9140" s="84"/>
    </row>
    <row r="9141" spans="4:4" x14ac:dyDescent="0.2">
      <c r="D9141" s="84"/>
    </row>
    <row r="9142" spans="4:4" x14ac:dyDescent="0.2">
      <c r="D9142" s="84"/>
    </row>
    <row r="9143" spans="4:4" x14ac:dyDescent="0.2">
      <c r="D9143" s="84"/>
    </row>
    <row r="9144" spans="4:4" x14ac:dyDescent="0.2">
      <c r="D9144" s="84"/>
    </row>
    <row r="9145" spans="4:4" x14ac:dyDescent="0.2">
      <c r="D9145" s="84"/>
    </row>
    <row r="9146" spans="4:4" x14ac:dyDescent="0.2">
      <c r="D9146" s="84"/>
    </row>
    <row r="9147" spans="4:4" x14ac:dyDescent="0.2">
      <c r="D9147" s="84"/>
    </row>
    <row r="9148" spans="4:4" x14ac:dyDescent="0.2">
      <c r="D9148" s="84"/>
    </row>
    <row r="9149" spans="4:4" x14ac:dyDescent="0.2">
      <c r="D9149" s="84"/>
    </row>
    <row r="9150" spans="4:4" x14ac:dyDescent="0.2">
      <c r="D9150" s="84"/>
    </row>
    <row r="9151" spans="4:4" x14ac:dyDescent="0.2">
      <c r="D9151" s="84"/>
    </row>
    <row r="9152" spans="4:4" x14ac:dyDescent="0.2">
      <c r="D9152" s="84"/>
    </row>
    <row r="9153" spans="4:4" x14ac:dyDescent="0.2">
      <c r="D9153" s="84"/>
    </row>
    <row r="9154" spans="4:4" x14ac:dyDescent="0.2">
      <c r="D9154" s="84"/>
    </row>
    <row r="9155" spans="4:4" x14ac:dyDescent="0.2">
      <c r="D9155" s="84"/>
    </row>
    <row r="9156" spans="4:4" x14ac:dyDescent="0.2">
      <c r="D9156" s="84"/>
    </row>
    <row r="9157" spans="4:4" x14ac:dyDescent="0.2">
      <c r="D9157" s="84"/>
    </row>
    <row r="9158" spans="4:4" x14ac:dyDescent="0.2">
      <c r="D9158" s="84"/>
    </row>
    <row r="9159" spans="4:4" x14ac:dyDescent="0.2">
      <c r="D9159" s="84"/>
    </row>
    <row r="9160" spans="4:4" x14ac:dyDescent="0.2">
      <c r="D9160" s="84"/>
    </row>
    <row r="9161" spans="4:4" x14ac:dyDescent="0.2">
      <c r="D9161" s="84"/>
    </row>
    <row r="9162" spans="4:4" x14ac:dyDescent="0.2">
      <c r="D9162" s="84"/>
    </row>
    <row r="9163" spans="4:4" x14ac:dyDescent="0.2">
      <c r="D9163" s="84"/>
    </row>
    <row r="9164" spans="4:4" x14ac:dyDescent="0.2">
      <c r="D9164" s="84"/>
    </row>
    <row r="9165" spans="4:4" x14ac:dyDescent="0.2">
      <c r="D9165" s="84"/>
    </row>
    <row r="9166" spans="4:4" x14ac:dyDescent="0.2">
      <c r="D9166" s="84"/>
    </row>
    <row r="9167" spans="4:4" x14ac:dyDescent="0.2">
      <c r="D9167" s="84"/>
    </row>
    <row r="9168" spans="4:4" x14ac:dyDescent="0.2">
      <c r="D9168" s="84"/>
    </row>
    <row r="9169" spans="4:4" x14ac:dyDescent="0.2">
      <c r="D9169" s="84"/>
    </row>
    <row r="9170" spans="4:4" x14ac:dyDescent="0.2">
      <c r="D9170" s="84"/>
    </row>
    <row r="9171" spans="4:4" x14ac:dyDescent="0.2">
      <c r="D9171" s="84"/>
    </row>
    <row r="9172" spans="4:4" x14ac:dyDescent="0.2">
      <c r="D9172" s="84"/>
    </row>
    <row r="9173" spans="4:4" x14ac:dyDescent="0.2">
      <c r="D9173" s="84"/>
    </row>
    <row r="9174" spans="4:4" x14ac:dyDescent="0.2">
      <c r="D9174" s="84"/>
    </row>
    <row r="9175" spans="4:4" x14ac:dyDescent="0.2">
      <c r="D9175" s="84"/>
    </row>
    <row r="9176" spans="4:4" x14ac:dyDescent="0.2">
      <c r="D9176" s="84"/>
    </row>
    <row r="9177" spans="4:4" x14ac:dyDescent="0.2">
      <c r="D9177" s="84"/>
    </row>
    <row r="9178" spans="4:4" x14ac:dyDescent="0.2">
      <c r="D9178" s="84"/>
    </row>
    <row r="9179" spans="4:4" x14ac:dyDescent="0.2">
      <c r="D9179" s="84"/>
    </row>
    <row r="9180" spans="4:4" x14ac:dyDescent="0.2">
      <c r="D9180" s="84"/>
    </row>
    <row r="9181" spans="4:4" x14ac:dyDescent="0.2">
      <c r="D9181" s="84"/>
    </row>
    <row r="9182" spans="4:4" x14ac:dyDescent="0.2">
      <c r="D9182" s="84"/>
    </row>
    <row r="9183" spans="4:4" x14ac:dyDescent="0.2">
      <c r="D9183" s="84"/>
    </row>
    <row r="9184" spans="4:4" x14ac:dyDescent="0.2">
      <c r="D9184" s="84"/>
    </row>
    <row r="9185" spans="4:4" x14ac:dyDescent="0.2">
      <c r="D9185" s="84"/>
    </row>
    <row r="9186" spans="4:4" x14ac:dyDescent="0.2">
      <c r="D9186" s="84"/>
    </row>
    <row r="9187" spans="4:4" x14ac:dyDescent="0.2">
      <c r="D9187" s="84"/>
    </row>
    <row r="9188" spans="4:4" x14ac:dyDescent="0.2">
      <c r="D9188" s="84"/>
    </row>
    <row r="9189" spans="4:4" x14ac:dyDescent="0.2">
      <c r="D9189" s="84"/>
    </row>
    <row r="9190" spans="4:4" x14ac:dyDescent="0.2">
      <c r="D9190" s="84"/>
    </row>
    <row r="9191" spans="4:4" x14ac:dyDescent="0.2">
      <c r="D9191" s="84"/>
    </row>
    <row r="9192" spans="4:4" x14ac:dyDescent="0.2">
      <c r="D9192" s="84"/>
    </row>
    <row r="9193" spans="4:4" x14ac:dyDescent="0.2">
      <c r="D9193" s="84"/>
    </row>
    <row r="9194" spans="4:4" x14ac:dyDescent="0.2">
      <c r="D9194" s="84"/>
    </row>
    <row r="9195" spans="4:4" x14ac:dyDescent="0.2">
      <c r="D9195" s="84"/>
    </row>
    <row r="9196" spans="4:4" x14ac:dyDescent="0.2">
      <c r="D9196" s="84"/>
    </row>
    <row r="9197" spans="4:4" x14ac:dyDescent="0.2">
      <c r="D9197" s="84"/>
    </row>
    <row r="9198" spans="4:4" x14ac:dyDescent="0.2">
      <c r="D9198" s="84"/>
    </row>
    <row r="9199" spans="4:4" x14ac:dyDescent="0.2">
      <c r="D9199" s="84"/>
    </row>
    <row r="9200" spans="4:4" x14ac:dyDescent="0.2">
      <c r="D9200" s="84"/>
    </row>
    <row r="9201" spans="4:4" x14ac:dyDescent="0.2">
      <c r="D9201" s="84"/>
    </row>
    <row r="9202" spans="4:4" x14ac:dyDescent="0.2">
      <c r="D9202" s="84"/>
    </row>
    <row r="9203" spans="4:4" x14ac:dyDescent="0.2">
      <c r="D9203" s="84"/>
    </row>
    <row r="9204" spans="4:4" x14ac:dyDescent="0.2">
      <c r="D9204" s="84"/>
    </row>
    <row r="9205" spans="4:4" x14ac:dyDescent="0.2">
      <c r="D9205" s="84"/>
    </row>
    <row r="9206" spans="4:4" x14ac:dyDescent="0.2">
      <c r="D9206" s="84"/>
    </row>
    <row r="9207" spans="4:4" x14ac:dyDescent="0.2">
      <c r="D9207" s="84"/>
    </row>
    <row r="9208" spans="4:4" x14ac:dyDescent="0.2">
      <c r="D9208" s="84"/>
    </row>
    <row r="9209" spans="4:4" x14ac:dyDescent="0.2">
      <c r="D9209" s="84"/>
    </row>
    <row r="9210" spans="4:4" x14ac:dyDescent="0.2">
      <c r="D9210" s="84"/>
    </row>
    <row r="9211" spans="4:4" x14ac:dyDescent="0.2">
      <c r="D9211" s="84"/>
    </row>
    <row r="9212" spans="4:4" x14ac:dyDescent="0.2">
      <c r="D9212" s="84"/>
    </row>
    <row r="9213" spans="4:4" x14ac:dyDescent="0.2">
      <c r="D9213" s="84"/>
    </row>
    <row r="9214" spans="4:4" x14ac:dyDescent="0.2">
      <c r="D9214" s="84"/>
    </row>
    <row r="9215" spans="4:4" x14ac:dyDescent="0.2">
      <c r="D9215" s="84"/>
    </row>
    <row r="9216" spans="4:4" x14ac:dyDescent="0.2">
      <c r="D9216" s="84"/>
    </row>
    <row r="9217" spans="4:4" x14ac:dyDescent="0.2">
      <c r="D9217" s="84"/>
    </row>
    <row r="9218" spans="4:4" x14ac:dyDescent="0.2">
      <c r="D9218" s="84"/>
    </row>
    <row r="9219" spans="4:4" x14ac:dyDescent="0.2">
      <c r="D9219" s="84"/>
    </row>
    <row r="9220" spans="4:4" x14ac:dyDescent="0.2">
      <c r="D9220" s="84"/>
    </row>
    <row r="9221" spans="4:4" x14ac:dyDescent="0.2">
      <c r="D9221" s="84"/>
    </row>
    <row r="9222" spans="4:4" x14ac:dyDescent="0.2">
      <c r="D9222" s="84"/>
    </row>
    <row r="9223" spans="4:4" x14ac:dyDescent="0.2">
      <c r="D9223" s="84"/>
    </row>
    <row r="9224" spans="4:4" x14ac:dyDescent="0.2">
      <c r="D9224" s="84"/>
    </row>
    <row r="9225" spans="4:4" x14ac:dyDescent="0.2">
      <c r="D9225" s="84"/>
    </row>
    <row r="9226" spans="4:4" x14ac:dyDescent="0.2">
      <c r="D9226" s="84"/>
    </row>
    <row r="9227" spans="4:4" x14ac:dyDescent="0.2">
      <c r="D9227" s="84"/>
    </row>
    <row r="9228" spans="4:4" x14ac:dyDescent="0.2">
      <c r="D9228" s="84"/>
    </row>
    <row r="9229" spans="4:4" x14ac:dyDescent="0.2">
      <c r="D9229" s="84"/>
    </row>
    <row r="9230" spans="4:4" x14ac:dyDescent="0.2">
      <c r="D9230" s="84"/>
    </row>
    <row r="9231" spans="4:4" x14ac:dyDescent="0.2">
      <c r="D9231" s="84"/>
    </row>
    <row r="9232" spans="4:4" x14ac:dyDescent="0.2">
      <c r="D9232" s="84"/>
    </row>
    <row r="9233" spans="4:4" x14ac:dyDescent="0.2">
      <c r="D9233" s="84"/>
    </row>
    <row r="9234" spans="4:4" x14ac:dyDescent="0.2">
      <c r="D9234" s="84"/>
    </row>
    <row r="9235" spans="4:4" x14ac:dyDescent="0.2">
      <c r="D9235" s="84"/>
    </row>
    <row r="9236" spans="4:4" x14ac:dyDescent="0.2">
      <c r="D9236" s="84"/>
    </row>
    <row r="9237" spans="4:4" x14ac:dyDescent="0.2">
      <c r="D9237" s="84"/>
    </row>
    <row r="9238" spans="4:4" x14ac:dyDescent="0.2">
      <c r="D9238" s="84"/>
    </row>
    <row r="9239" spans="4:4" x14ac:dyDescent="0.2">
      <c r="D9239" s="84"/>
    </row>
    <row r="9240" spans="4:4" x14ac:dyDescent="0.2">
      <c r="D9240" s="84"/>
    </row>
    <row r="9241" spans="4:4" x14ac:dyDescent="0.2">
      <c r="D9241" s="84"/>
    </row>
    <row r="9242" spans="4:4" x14ac:dyDescent="0.2">
      <c r="D9242" s="84"/>
    </row>
    <row r="9243" spans="4:4" x14ac:dyDescent="0.2">
      <c r="D9243" s="84"/>
    </row>
    <row r="9244" spans="4:4" x14ac:dyDescent="0.2">
      <c r="D9244" s="84"/>
    </row>
    <row r="9245" spans="4:4" x14ac:dyDescent="0.2">
      <c r="D9245" s="84"/>
    </row>
    <row r="9246" spans="4:4" x14ac:dyDescent="0.2">
      <c r="D9246" s="84"/>
    </row>
    <row r="9247" spans="4:4" x14ac:dyDescent="0.2">
      <c r="D9247" s="84"/>
    </row>
    <row r="9248" spans="4:4" x14ac:dyDescent="0.2">
      <c r="D9248" s="84"/>
    </row>
    <row r="9249" spans="4:4" x14ac:dyDescent="0.2">
      <c r="D9249" s="84"/>
    </row>
    <row r="9250" spans="4:4" x14ac:dyDescent="0.2">
      <c r="D9250" s="84"/>
    </row>
    <row r="9251" spans="4:4" x14ac:dyDescent="0.2">
      <c r="D9251" s="84"/>
    </row>
    <row r="9252" spans="4:4" x14ac:dyDescent="0.2">
      <c r="D9252" s="84"/>
    </row>
    <row r="9253" spans="4:4" x14ac:dyDescent="0.2">
      <c r="D9253" s="84"/>
    </row>
    <row r="9254" spans="4:4" x14ac:dyDescent="0.2">
      <c r="D9254" s="84"/>
    </row>
    <row r="9255" spans="4:4" x14ac:dyDescent="0.2">
      <c r="D9255" s="84"/>
    </row>
    <row r="9256" spans="4:4" x14ac:dyDescent="0.2">
      <c r="D9256" s="84"/>
    </row>
    <row r="9257" spans="4:4" x14ac:dyDescent="0.2">
      <c r="D9257" s="84"/>
    </row>
    <row r="9258" spans="4:4" x14ac:dyDescent="0.2">
      <c r="D9258" s="84"/>
    </row>
    <row r="9259" spans="4:4" x14ac:dyDescent="0.2">
      <c r="D9259" s="84"/>
    </row>
    <row r="9260" spans="4:4" x14ac:dyDescent="0.2">
      <c r="D9260" s="84"/>
    </row>
    <row r="9261" spans="4:4" x14ac:dyDescent="0.2">
      <c r="D9261" s="84"/>
    </row>
    <row r="9262" spans="4:4" x14ac:dyDescent="0.2">
      <c r="D9262" s="84"/>
    </row>
    <row r="9263" spans="4:4" x14ac:dyDescent="0.2">
      <c r="D9263" s="84"/>
    </row>
    <row r="9264" spans="4:4" x14ac:dyDescent="0.2">
      <c r="D9264" s="84"/>
    </row>
    <row r="9265" spans="4:4" x14ac:dyDescent="0.2">
      <c r="D9265" s="84"/>
    </row>
    <row r="9266" spans="4:4" x14ac:dyDescent="0.2">
      <c r="D9266" s="84"/>
    </row>
    <row r="9267" spans="4:4" x14ac:dyDescent="0.2">
      <c r="D9267" s="84"/>
    </row>
    <row r="9268" spans="4:4" x14ac:dyDescent="0.2">
      <c r="D9268" s="84"/>
    </row>
    <row r="9269" spans="4:4" x14ac:dyDescent="0.2">
      <c r="D9269" s="84"/>
    </row>
    <row r="9270" spans="4:4" x14ac:dyDescent="0.2">
      <c r="D9270" s="84"/>
    </row>
    <row r="9271" spans="4:4" x14ac:dyDescent="0.2">
      <c r="D9271" s="84"/>
    </row>
    <row r="9272" spans="4:4" x14ac:dyDescent="0.2">
      <c r="D9272" s="84"/>
    </row>
    <row r="9273" spans="4:4" x14ac:dyDescent="0.2">
      <c r="D9273" s="84"/>
    </row>
    <row r="9274" spans="4:4" x14ac:dyDescent="0.2">
      <c r="D9274" s="84"/>
    </row>
    <row r="9275" spans="4:4" x14ac:dyDescent="0.2">
      <c r="D9275" s="84"/>
    </row>
    <row r="9276" spans="4:4" x14ac:dyDescent="0.2">
      <c r="D9276" s="84"/>
    </row>
    <row r="9277" spans="4:4" x14ac:dyDescent="0.2">
      <c r="D9277" s="84"/>
    </row>
    <row r="9278" spans="4:4" x14ac:dyDescent="0.2">
      <c r="D9278" s="84"/>
    </row>
    <row r="9279" spans="4:4" x14ac:dyDescent="0.2">
      <c r="D9279" s="84"/>
    </row>
    <row r="9280" spans="4:4" x14ac:dyDescent="0.2">
      <c r="D9280" s="84"/>
    </row>
    <row r="9281" spans="4:4" x14ac:dyDescent="0.2">
      <c r="D9281" s="84"/>
    </row>
    <row r="9282" spans="4:4" x14ac:dyDescent="0.2">
      <c r="D9282" s="84"/>
    </row>
    <row r="9283" spans="4:4" x14ac:dyDescent="0.2">
      <c r="D9283" s="84"/>
    </row>
    <row r="9284" spans="4:4" x14ac:dyDescent="0.2">
      <c r="D9284" s="84"/>
    </row>
    <row r="9285" spans="4:4" x14ac:dyDescent="0.2">
      <c r="D9285" s="84"/>
    </row>
    <row r="9286" spans="4:4" x14ac:dyDescent="0.2">
      <c r="D9286" s="84"/>
    </row>
    <row r="9287" spans="4:4" x14ac:dyDescent="0.2">
      <c r="D9287" s="84"/>
    </row>
    <row r="9288" spans="4:4" x14ac:dyDescent="0.2">
      <c r="D9288" s="84"/>
    </row>
    <row r="9289" spans="4:4" x14ac:dyDescent="0.2">
      <c r="D9289" s="84"/>
    </row>
    <row r="9290" spans="4:4" x14ac:dyDescent="0.2">
      <c r="D9290" s="84"/>
    </row>
    <row r="9291" spans="4:4" x14ac:dyDescent="0.2">
      <c r="D9291" s="84"/>
    </row>
    <row r="9292" spans="4:4" x14ac:dyDescent="0.2">
      <c r="D9292" s="84"/>
    </row>
    <row r="9293" spans="4:4" x14ac:dyDescent="0.2">
      <c r="D9293" s="84"/>
    </row>
    <row r="9294" spans="4:4" x14ac:dyDescent="0.2">
      <c r="D9294" s="84"/>
    </row>
    <row r="9295" spans="4:4" x14ac:dyDescent="0.2">
      <c r="D9295" s="84"/>
    </row>
    <row r="9296" spans="4:4" x14ac:dyDescent="0.2">
      <c r="D9296" s="84"/>
    </row>
    <row r="9297" spans="4:4" x14ac:dyDescent="0.2">
      <c r="D9297" s="84"/>
    </row>
    <row r="9298" spans="4:4" x14ac:dyDescent="0.2">
      <c r="D9298" s="84"/>
    </row>
    <row r="9299" spans="4:4" x14ac:dyDescent="0.2">
      <c r="D9299" s="84"/>
    </row>
    <row r="9300" spans="4:4" x14ac:dyDescent="0.2">
      <c r="D9300" s="84"/>
    </row>
    <row r="9301" spans="4:4" x14ac:dyDescent="0.2">
      <c r="D9301" s="84"/>
    </row>
    <row r="9302" spans="4:4" x14ac:dyDescent="0.2">
      <c r="D9302" s="84"/>
    </row>
    <row r="9303" spans="4:4" x14ac:dyDescent="0.2">
      <c r="D9303" s="84"/>
    </row>
    <row r="9304" spans="4:4" x14ac:dyDescent="0.2">
      <c r="D9304" s="84"/>
    </row>
    <row r="9305" spans="4:4" x14ac:dyDescent="0.2">
      <c r="D9305" s="84"/>
    </row>
    <row r="9306" spans="4:4" x14ac:dyDescent="0.2">
      <c r="D9306" s="84"/>
    </row>
    <row r="9307" spans="4:4" x14ac:dyDescent="0.2">
      <c r="D9307" s="84"/>
    </row>
    <row r="9308" spans="4:4" x14ac:dyDescent="0.2">
      <c r="D9308" s="84"/>
    </row>
    <row r="9309" spans="4:4" x14ac:dyDescent="0.2">
      <c r="D9309" s="84"/>
    </row>
    <row r="9310" spans="4:4" x14ac:dyDescent="0.2">
      <c r="D9310" s="84"/>
    </row>
    <row r="9311" spans="4:4" x14ac:dyDescent="0.2">
      <c r="D9311" s="84"/>
    </row>
    <row r="9312" spans="4:4" x14ac:dyDescent="0.2">
      <c r="D9312" s="84"/>
    </row>
    <row r="9313" spans="4:4" x14ac:dyDescent="0.2">
      <c r="D9313" s="84"/>
    </row>
    <row r="9314" spans="4:4" x14ac:dyDescent="0.2">
      <c r="D9314" s="84"/>
    </row>
    <row r="9315" spans="4:4" x14ac:dyDescent="0.2">
      <c r="D9315" s="84"/>
    </row>
    <row r="9316" spans="4:4" x14ac:dyDescent="0.2">
      <c r="D9316" s="84"/>
    </row>
    <row r="9317" spans="4:4" x14ac:dyDescent="0.2">
      <c r="D9317" s="84"/>
    </row>
    <row r="9318" spans="4:4" x14ac:dyDescent="0.2">
      <c r="D9318" s="84"/>
    </row>
    <row r="9319" spans="4:4" x14ac:dyDescent="0.2">
      <c r="D9319" s="84"/>
    </row>
    <row r="9320" spans="4:4" x14ac:dyDescent="0.2">
      <c r="D9320" s="84"/>
    </row>
    <row r="9321" spans="4:4" x14ac:dyDescent="0.2">
      <c r="D9321" s="84"/>
    </row>
    <row r="9322" spans="4:4" x14ac:dyDescent="0.2">
      <c r="D9322" s="84"/>
    </row>
    <row r="9323" spans="4:4" x14ac:dyDescent="0.2">
      <c r="D9323" s="84"/>
    </row>
    <row r="9324" spans="4:4" x14ac:dyDescent="0.2">
      <c r="D9324" s="84"/>
    </row>
    <row r="9325" spans="4:4" x14ac:dyDescent="0.2">
      <c r="D9325" s="84"/>
    </row>
    <row r="9326" spans="4:4" x14ac:dyDescent="0.2">
      <c r="D9326" s="84"/>
    </row>
    <row r="9327" spans="4:4" x14ac:dyDescent="0.2">
      <c r="D9327" s="84"/>
    </row>
    <row r="9328" spans="4:4" x14ac:dyDescent="0.2">
      <c r="D9328" s="84"/>
    </row>
    <row r="9329" spans="4:4" x14ac:dyDescent="0.2">
      <c r="D9329" s="84"/>
    </row>
    <row r="9330" spans="4:4" x14ac:dyDescent="0.2">
      <c r="D9330" s="84"/>
    </row>
    <row r="9331" spans="4:4" x14ac:dyDescent="0.2">
      <c r="D9331" s="84"/>
    </row>
    <row r="9332" spans="4:4" x14ac:dyDescent="0.2">
      <c r="D9332" s="84"/>
    </row>
    <row r="9333" spans="4:4" x14ac:dyDescent="0.2">
      <c r="D9333" s="84"/>
    </row>
    <row r="9334" spans="4:4" x14ac:dyDescent="0.2">
      <c r="D9334" s="84"/>
    </row>
    <row r="9335" spans="4:4" x14ac:dyDescent="0.2">
      <c r="D9335" s="84"/>
    </row>
    <row r="9336" spans="4:4" x14ac:dyDescent="0.2">
      <c r="D9336" s="84"/>
    </row>
    <row r="9337" spans="4:4" x14ac:dyDescent="0.2">
      <c r="D9337" s="84"/>
    </row>
    <row r="9338" spans="4:4" x14ac:dyDescent="0.2">
      <c r="D9338" s="84"/>
    </row>
    <row r="9339" spans="4:4" x14ac:dyDescent="0.2">
      <c r="D9339" s="84"/>
    </row>
    <row r="9340" spans="4:4" x14ac:dyDescent="0.2">
      <c r="D9340" s="84"/>
    </row>
    <row r="9341" spans="4:4" x14ac:dyDescent="0.2">
      <c r="D9341" s="84"/>
    </row>
    <row r="9342" spans="4:4" x14ac:dyDescent="0.2">
      <c r="D9342" s="84"/>
    </row>
    <row r="9343" spans="4:4" x14ac:dyDescent="0.2">
      <c r="D9343" s="84"/>
    </row>
    <row r="9344" spans="4:4" x14ac:dyDescent="0.2">
      <c r="D9344" s="84"/>
    </row>
    <row r="9345" spans="4:4" x14ac:dyDescent="0.2">
      <c r="D9345" s="84"/>
    </row>
    <row r="9346" spans="4:4" x14ac:dyDescent="0.2">
      <c r="D9346" s="84"/>
    </row>
    <row r="9347" spans="4:4" x14ac:dyDescent="0.2">
      <c r="D9347" s="84"/>
    </row>
    <row r="9348" spans="4:4" x14ac:dyDescent="0.2">
      <c r="D9348" s="84"/>
    </row>
    <row r="9349" spans="4:4" x14ac:dyDescent="0.2">
      <c r="D9349" s="84"/>
    </row>
    <row r="9350" spans="4:4" x14ac:dyDescent="0.2">
      <c r="D9350" s="84"/>
    </row>
    <row r="9351" spans="4:4" x14ac:dyDescent="0.2">
      <c r="D9351" s="84"/>
    </row>
    <row r="9352" spans="4:4" x14ac:dyDescent="0.2">
      <c r="D9352" s="84"/>
    </row>
    <row r="9353" spans="4:4" x14ac:dyDescent="0.2">
      <c r="D9353" s="84"/>
    </row>
    <row r="9354" spans="4:4" x14ac:dyDescent="0.2">
      <c r="D9354" s="84"/>
    </row>
    <row r="9355" spans="4:4" x14ac:dyDescent="0.2">
      <c r="D9355" s="84"/>
    </row>
    <row r="9356" spans="4:4" x14ac:dyDescent="0.2">
      <c r="D9356" s="84"/>
    </row>
    <row r="9357" spans="4:4" x14ac:dyDescent="0.2">
      <c r="D9357" s="84"/>
    </row>
    <row r="9358" spans="4:4" x14ac:dyDescent="0.2">
      <c r="D9358" s="84"/>
    </row>
    <row r="9359" spans="4:4" x14ac:dyDescent="0.2">
      <c r="D9359" s="84"/>
    </row>
    <row r="9360" spans="4:4" x14ac:dyDescent="0.2">
      <c r="D9360" s="84"/>
    </row>
    <row r="9361" spans="4:4" x14ac:dyDescent="0.2">
      <c r="D9361" s="84"/>
    </row>
    <row r="9362" spans="4:4" x14ac:dyDescent="0.2">
      <c r="D9362" s="84"/>
    </row>
    <row r="9363" spans="4:4" x14ac:dyDescent="0.2">
      <c r="D9363" s="84"/>
    </row>
    <row r="9364" spans="4:4" x14ac:dyDescent="0.2">
      <c r="D9364" s="84"/>
    </row>
    <row r="9365" spans="4:4" x14ac:dyDescent="0.2">
      <c r="D9365" s="84"/>
    </row>
    <row r="9366" spans="4:4" x14ac:dyDescent="0.2">
      <c r="D9366" s="84"/>
    </row>
    <row r="9367" spans="4:4" x14ac:dyDescent="0.2">
      <c r="D9367" s="84"/>
    </row>
    <row r="9368" spans="4:4" x14ac:dyDescent="0.2">
      <c r="D9368" s="84"/>
    </row>
    <row r="9369" spans="4:4" x14ac:dyDescent="0.2">
      <c r="D9369" s="84"/>
    </row>
    <row r="9370" spans="4:4" x14ac:dyDescent="0.2">
      <c r="D9370" s="84"/>
    </row>
    <row r="9371" spans="4:4" x14ac:dyDescent="0.2">
      <c r="D9371" s="84"/>
    </row>
    <row r="9372" spans="4:4" x14ac:dyDescent="0.2">
      <c r="D9372" s="84"/>
    </row>
    <row r="9373" spans="4:4" x14ac:dyDescent="0.2">
      <c r="D9373" s="84"/>
    </row>
    <row r="9374" spans="4:4" x14ac:dyDescent="0.2">
      <c r="D9374" s="84"/>
    </row>
    <row r="9375" spans="4:4" x14ac:dyDescent="0.2">
      <c r="D9375" s="84"/>
    </row>
    <row r="9376" spans="4:4" x14ac:dyDescent="0.2">
      <c r="D9376" s="84"/>
    </row>
    <row r="9377" spans="4:4" x14ac:dyDescent="0.2">
      <c r="D9377" s="84"/>
    </row>
    <row r="9378" spans="4:4" x14ac:dyDescent="0.2">
      <c r="D9378" s="84"/>
    </row>
    <row r="9379" spans="4:4" x14ac:dyDescent="0.2">
      <c r="D9379" s="84"/>
    </row>
    <row r="9380" spans="4:4" x14ac:dyDescent="0.2">
      <c r="D9380" s="84"/>
    </row>
    <row r="9381" spans="4:4" x14ac:dyDescent="0.2">
      <c r="D9381" s="84"/>
    </row>
    <row r="9382" spans="4:4" x14ac:dyDescent="0.2">
      <c r="D9382" s="84"/>
    </row>
    <row r="9383" spans="4:4" x14ac:dyDescent="0.2">
      <c r="D9383" s="84"/>
    </row>
    <row r="9384" spans="4:4" x14ac:dyDescent="0.2">
      <c r="D9384" s="84"/>
    </row>
    <row r="9385" spans="4:4" x14ac:dyDescent="0.2">
      <c r="D9385" s="84"/>
    </row>
    <row r="9386" spans="4:4" x14ac:dyDescent="0.2">
      <c r="D9386" s="84"/>
    </row>
    <row r="9387" spans="4:4" x14ac:dyDescent="0.2">
      <c r="D9387" s="84"/>
    </row>
    <row r="9388" spans="4:4" x14ac:dyDescent="0.2">
      <c r="D9388" s="84"/>
    </row>
    <row r="9389" spans="4:4" x14ac:dyDescent="0.2">
      <c r="D9389" s="84"/>
    </row>
    <row r="9390" spans="4:4" x14ac:dyDescent="0.2">
      <c r="D9390" s="84"/>
    </row>
    <row r="9391" spans="4:4" x14ac:dyDescent="0.2">
      <c r="D9391" s="84"/>
    </row>
    <row r="9392" spans="4:4" x14ac:dyDescent="0.2">
      <c r="D9392" s="84"/>
    </row>
    <row r="9393" spans="4:4" x14ac:dyDescent="0.2">
      <c r="D9393" s="84"/>
    </row>
    <row r="9394" spans="4:4" x14ac:dyDescent="0.2">
      <c r="D9394" s="84"/>
    </row>
    <row r="9395" spans="4:4" x14ac:dyDescent="0.2">
      <c r="D9395" s="84"/>
    </row>
    <row r="9396" spans="4:4" x14ac:dyDescent="0.2">
      <c r="D9396" s="84"/>
    </row>
    <row r="9397" spans="4:4" x14ac:dyDescent="0.2">
      <c r="D9397" s="84"/>
    </row>
    <row r="9398" spans="4:4" x14ac:dyDescent="0.2">
      <c r="D9398" s="84"/>
    </row>
    <row r="9399" spans="4:4" x14ac:dyDescent="0.2">
      <c r="D9399" s="84"/>
    </row>
    <row r="9400" spans="4:4" x14ac:dyDescent="0.2">
      <c r="D9400" s="84"/>
    </row>
    <row r="9401" spans="4:4" x14ac:dyDescent="0.2">
      <c r="D9401" s="84"/>
    </row>
    <row r="9402" spans="4:4" x14ac:dyDescent="0.2">
      <c r="D9402" s="84"/>
    </row>
    <row r="9403" spans="4:4" x14ac:dyDescent="0.2">
      <c r="D9403" s="84"/>
    </row>
    <row r="9404" spans="4:4" x14ac:dyDescent="0.2">
      <c r="D9404" s="84"/>
    </row>
    <row r="9405" spans="4:4" x14ac:dyDescent="0.2">
      <c r="D9405" s="84"/>
    </row>
    <row r="9406" spans="4:4" x14ac:dyDescent="0.2">
      <c r="D9406" s="84"/>
    </row>
    <row r="9407" spans="4:4" x14ac:dyDescent="0.2">
      <c r="D9407" s="84"/>
    </row>
    <row r="9408" spans="4:4" x14ac:dyDescent="0.2">
      <c r="D9408" s="84"/>
    </row>
    <row r="9409" spans="4:4" x14ac:dyDescent="0.2">
      <c r="D9409" s="84"/>
    </row>
    <row r="9410" spans="4:4" x14ac:dyDescent="0.2">
      <c r="D9410" s="84"/>
    </row>
    <row r="9411" spans="4:4" x14ac:dyDescent="0.2">
      <c r="D9411" s="84"/>
    </row>
    <row r="9412" spans="4:4" x14ac:dyDescent="0.2">
      <c r="D9412" s="84"/>
    </row>
    <row r="9413" spans="4:4" x14ac:dyDescent="0.2">
      <c r="D9413" s="84"/>
    </row>
    <row r="9414" spans="4:4" x14ac:dyDescent="0.2">
      <c r="D9414" s="84"/>
    </row>
    <row r="9415" spans="4:4" x14ac:dyDescent="0.2">
      <c r="D9415" s="84"/>
    </row>
    <row r="9416" spans="4:4" x14ac:dyDescent="0.2">
      <c r="D9416" s="84"/>
    </row>
    <row r="9417" spans="4:4" x14ac:dyDescent="0.2">
      <c r="D9417" s="84"/>
    </row>
    <row r="9418" spans="4:4" x14ac:dyDescent="0.2">
      <c r="D9418" s="84"/>
    </row>
    <row r="9419" spans="4:4" x14ac:dyDescent="0.2">
      <c r="D9419" s="84"/>
    </row>
    <row r="9420" spans="4:4" x14ac:dyDescent="0.2">
      <c r="D9420" s="84"/>
    </row>
    <row r="9421" spans="4:4" x14ac:dyDescent="0.2">
      <c r="D9421" s="84"/>
    </row>
    <row r="9422" spans="4:4" x14ac:dyDescent="0.2">
      <c r="D9422" s="84"/>
    </row>
    <row r="9423" spans="4:4" x14ac:dyDescent="0.2">
      <c r="D9423" s="84"/>
    </row>
    <row r="9424" spans="4:4" x14ac:dyDescent="0.2">
      <c r="D9424" s="84"/>
    </row>
    <row r="9425" spans="4:4" x14ac:dyDescent="0.2">
      <c r="D9425" s="84"/>
    </row>
    <row r="9426" spans="4:4" x14ac:dyDescent="0.2">
      <c r="D9426" s="84"/>
    </row>
    <row r="9427" spans="4:4" x14ac:dyDescent="0.2">
      <c r="D9427" s="84"/>
    </row>
    <row r="9428" spans="4:4" x14ac:dyDescent="0.2">
      <c r="D9428" s="84"/>
    </row>
    <row r="9429" spans="4:4" x14ac:dyDescent="0.2">
      <c r="D9429" s="84"/>
    </row>
    <row r="9430" spans="4:4" x14ac:dyDescent="0.2">
      <c r="D9430" s="84"/>
    </row>
    <row r="9431" spans="4:4" x14ac:dyDescent="0.2">
      <c r="D9431" s="84"/>
    </row>
    <row r="9432" spans="4:4" x14ac:dyDescent="0.2">
      <c r="D9432" s="84"/>
    </row>
    <row r="9433" spans="4:4" x14ac:dyDescent="0.2">
      <c r="D9433" s="84"/>
    </row>
    <row r="9434" spans="4:4" x14ac:dyDescent="0.2">
      <c r="D9434" s="84"/>
    </row>
    <row r="9435" spans="4:4" x14ac:dyDescent="0.2">
      <c r="D9435" s="84"/>
    </row>
    <row r="9436" spans="4:4" x14ac:dyDescent="0.2">
      <c r="D9436" s="84"/>
    </row>
    <row r="9437" spans="4:4" x14ac:dyDescent="0.2">
      <c r="D9437" s="84"/>
    </row>
    <row r="9438" spans="4:4" x14ac:dyDescent="0.2">
      <c r="D9438" s="84"/>
    </row>
    <row r="9439" spans="4:4" x14ac:dyDescent="0.2">
      <c r="D9439" s="84"/>
    </row>
    <row r="9440" spans="4:4" x14ac:dyDescent="0.2">
      <c r="D9440" s="84"/>
    </row>
    <row r="9441" spans="4:4" x14ac:dyDescent="0.2">
      <c r="D9441" s="84"/>
    </row>
    <row r="9442" spans="4:4" x14ac:dyDescent="0.2">
      <c r="D9442" s="84"/>
    </row>
    <row r="9443" spans="4:4" x14ac:dyDescent="0.2">
      <c r="D9443" s="84"/>
    </row>
    <row r="9444" spans="4:4" x14ac:dyDescent="0.2">
      <c r="D9444" s="84"/>
    </row>
    <row r="9445" spans="4:4" x14ac:dyDescent="0.2">
      <c r="D9445" s="84"/>
    </row>
    <row r="9446" spans="4:4" x14ac:dyDescent="0.2">
      <c r="D9446" s="84"/>
    </row>
    <row r="9447" spans="4:4" x14ac:dyDescent="0.2">
      <c r="D9447" s="84"/>
    </row>
    <row r="9448" spans="4:4" x14ac:dyDescent="0.2">
      <c r="D9448" s="84"/>
    </row>
    <row r="9449" spans="4:4" x14ac:dyDescent="0.2">
      <c r="D9449" s="84"/>
    </row>
    <row r="9450" spans="4:4" x14ac:dyDescent="0.2">
      <c r="D9450" s="84"/>
    </row>
    <row r="9451" spans="4:4" x14ac:dyDescent="0.2">
      <c r="D9451" s="84"/>
    </row>
    <row r="9452" spans="4:4" x14ac:dyDescent="0.2">
      <c r="D9452" s="84"/>
    </row>
    <row r="9453" spans="4:4" x14ac:dyDescent="0.2">
      <c r="D9453" s="84"/>
    </row>
    <row r="9454" spans="4:4" x14ac:dyDescent="0.2">
      <c r="D9454" s="84"/>
    </row>
    <row r="9455" spans="4:4" x14ac:dyDescent="0.2">
      <c r="D9455" s="84"/>
    </row>
    <row r="9456" spans="4:4" x14ac:dyDescent="0.2">
      <c r="D9456" s="84"/>
    </row>
    <row r="9457" spans="4:4" x14ac:dyDescent="0.2">
      <c r="D9457" s="84"/>
    </row>
    <row r="9458" spans="4:4" x14ac:dyDescent="0.2">
      <c r="D9458" s="84"/>
    </row>
    <row r="9459" spans="4:4" x14ac:dyDescent="0.2">
      <c r="D9459" s="84"/>
    </row>
    <row r="9460" spans="4:4" x14ac:dyDescent="0.2">
      <c r="D9460" s="84"/>
    </row>
    <row r="9461" spans="4:4" x14ac:dyDescent="0.2">
      <c r="D9461" s="84"/>
    </row>
    <row r="9462" spans="4:4" x14ac:dyDescent="0.2">
      <c r="D9462" s="84"/>
    </row>
    <row r="9463" spans="4:4" x14ac:dyDescent="0.2">
      <c r="D9463" s="84"/>
    </row>
    <row r="9464" spans="4:4" x14ac:dyDescent="0.2">
      <c r="D9464" s="84"/>
    </row>
    <row r="9465" spans="4:4" x14ac:dyDescent="0.2">
      <c r="D9465" s="84"/>
    </row>
    <row r="9466" spans="4:4" x14ac:dyDescent="0.2">
      <c r="D9466" s="84"/>
    </row>
    <row r="9467" spans="4:4" x14ac:dyDescent="0.2">
      <c r="D9467" s="84"/>
    </row>
    <row r="9468" spans="4:4" x14ac:dyDescent="0.2">
      <c r="D9468" s="84"/>
    </row>
    <row r="9469" spans="4:4" x14ac:dyDescent="0.2">
      <c r="D9469" s="84"/>
    </row>
    <row r="9470" spans="4:4" x14ac:dyDescent="0.2">
      <c r="D9470" s="84"/>
    </row>
    <row r="9471" spans="4:4" x14ac:dyDescent="0.2">
      <c r="D9471" s="84"/>
    </row>
    <row r="9472" spans="4:4" x14ac:dyDescent="0.2">
      <c r="D9472" s="84"/>
    </row>
    <row r="9473" spans="4:4" x14ac:dyDescent="0.2">
      <c r="D9473" s="84"/>
    </row>
    <row r="9474" spans="4:4" x14ac:dyDescent="0.2">
      <c r="D9474" s="84"/>
    </row>
    <row r="9475" spans="4:4" x14ac:dyDescent="0.2">
      <c r="D9475" s="84"/>
    </row>
    <row r="9476" spans="4:4" x14ac:dyDescent="0.2">
      <c r="D9476" s="84"/>
    </row>
    <row r="9477" spans="4:4" x14ac:dyDescent="0.2">
      <c r="D9477" s="84"/>
    </row>
    <row r="9478" spans="4:4" x14ac:dyDescent="0.2">
      <c r="D9478" s="84"/>
    </row>
    <row r="9479" spans="4:4" x14ac:dyDescent="0.2">
      <c r="D9479" s="84"/>
    </row>
    <row r="9480" spans="4:4" x14ac:dyDescent="0.2">
      <c r="D9480" s="84"/>
    </row>
    <row r="9481" spans="4:4" x14ac:dyDescent="0.2">
      <c r="D9481" s="84"/>
    </row>
    <row r="9482" spans="4:4" x14ac:dyDescent="0.2">
      <c r="D9482" s="84"/>
    </row>
    <row r="9483" spans="4:4" x14ac:dyDescent="0.2">
      <c r="D9483" s="84"/>
    </row>
    <row r="9484" spans="4:4" x14ac:dyDescent="0.2">
      <c r="D9484" s="84"/>
    </row>
    <row r="9485" spans="4:4" x14ac:dyDescent="0.2">
      <c r="D9485" s="84"/>
    </row>
    <row r="9486" spans="4:4" x14ac:dyDescent="0.2">
      <c r="D9486" s="84"/>
    </row>
    <row r="9487" spans="4:4" x14ac:dyDescent="0.2">
      <c r="D9487" s="84"/>
    </row>
    <row r="9488" spans="4:4" x14ac:dyDescent="0.2">
      <c r="D9488" s="84"/>
    </row>
    <row r="9489" spans="4:4" x14ac:dyDescent="0.2">
      <c r="D9489" s="84"/>
    </row>
    <row r="9490" spans="4:4" x14ac:dyDescent="0.2">
      <c r="D9490" s="84"/>
    </row>
    <row r="9491" spans="4:4" x14ac:dyDescent="0.2">
      <c r="D9491" s="84"/>
    </row>
    <row r="9492" spans="4:4" x14ac:dyDescent="0.2">
      <c r="D9492" s="84"/>
    </row>
    <row r="9493" spans="4:4" x14ac:dyDescent="0.2">
      <c r="D9493" s="84"/>
    </row>
    <row r="9494" spans="4:4" x14ac:dyDescent="0.2">
      <c r="D9494" s="84"/>
    </row>
    <row r="9495" spans="4:4" x14ac:dyDescent="0.2">
      <c r="D9495" s="84"/>
    </row>
    <row r="9496" spans="4:4" x14ac:dyDescent="0.2">
      <c r="D9496" s="84"/>
    </row>
    <row r="9497" spans="4:4" x14ac:dyDescent="0.2">
      <c r="D9497" s="84"/>
    </row>
    <row r="9498" spans="4:4" x14ac:dyDescent="0.2">
      <c r="D9498" s="84"/>
    </row>
    <row r="9499" spans="4:4" x14ac:dyDescent="0.2">
      <c r="D9499" s="84"/>
    </row>
    <row r="9500" spans="4:4" x14ac:dyDescent="0.2">
      <c r="D9500" s="84"/>
    </row>
    <row r="9501" spans="4:4" x14ac:dyDescent="0.2">
      <c r="D9501" s="84"/>
    </row>
    <row r="9502" spans="4:4" x14ac:dyDescent="0.2">
      <c r="D9502" s="84"/>
    </row>
    <row r="9503" spans="4:4" x14ac:dyDescent="0.2">
      <c r="D9503" s="84"/>
    </row>
    <row r="9504" spans="4:4" x14ac:dyDescent="0.2">
      <c r="D9504" s="84"/>
    </row>
    <row r="9505" spans="4:4" x14ac:dyDescent="0.2">
      <c r="D9505" s="84"/>
    </row>
    <row r="9506" spans="4:4" x14ac:dyDescent="0.2">
      <c r="D9506" s="84"/>
    </row>
    <row r="9507" spans="4:4" x14ac:dyDescent="0.2">
      <c r="D9507" s="84"/>
    </row>
    <row r="9508" spans="4:4" x14ac:dyDescent="0.2">
      <c r="D9508" s="84"/>
    </row>
    <row r="9509" spans="4:4" x14ac:dyDescent="0.2">
      <c r="D9509" s="84"/>
    </row>
    <row r="9510" spans="4:4" x14ac:dyDescent="0.2">
      <c r="D9510" s="84"/>
    </row>
    <row r="9511" spans="4:4" x14ac:dyDescent="0.2">
      <c r="D9511" s="84"/>
    </row>
    <row r="9512" spans="4:4" x14ac:dyDescent="0.2">
      <c r="D9512" s="84"/>
    </row>
    <row r="9513" spans="4:4" x14ac:dyDescent="0.2">
      <c r="D9513" s="84"/>
    </row>
    <row r="9514" spans="4:4" x14ac:dyDescent="0.2">
      <c r="D9514" s="84"/>
    </row>
    <row r="9515" spans="4:4" x14ac:dyDescent="0.2">
      <c r="D9515" s="84"/>
    </row>
    <row r="9516" spans="4:4" x14ac:dyDescent="0.2">
      <c r="D9516" s="84"/>
    </row>
    <row r="9517" spans="4:4" x14ac:dyDescent="0.2">
      <c r="D9517" s="84"/>
    </row>
    <row r="9518" spans="4:4" x14ac:dyDescent="0.2">
      <c r="D9518" s="84"/>
    </row>
    <row r="9519" spans="4:4" x14ac:dyDescent="0.2">
      <c r="D9519" s="84"/>
    </row>
    <row r="9520" spans="4:4" x14ac:dyDescent="0.2">
      <c r="D9520" s="84"/>
    </row>
    <row r="9521" spans="4:4" x14ac:dyDescent="0.2">
      <c r="D9521" s="84"/>
    </row>
    <row r="9522" spans="4:4" x14ac:dyDescent="0.2">
      <c r="D9522" s="84"/>
    </row>
    <row r="9523" spans="4:4" x14ac:dyDescent="0.2">
      <c r="D9523" s="84"/>
    </row>
    <row r="9524" spans="4:4" x14ac:dyDescent="0.2">
      <c r="D9524" s="84"/>
    </row>
    <row r="9525" spans="4:4" x14ac:dyDescent="0.2">
      <c r="D9525" s="84"/>
    </row>
    <row r="9526" spans="4:4" x14ac:dyDescent="0.2">
      <c r="D9526" s="84"/>
    </row>
    <row r="9527" spans="4:4" x14ac:dyDescent="0.2">
      <c r="D9527" s="84"/>
    </row>
    <row r="9528" spans="4:4" x14ac:dyDescent="0.2">
      <c r="D9528" s="84"/>
    </row>
    <row r="9529" spans="4:4" x14ac:dyDescent="0.2">
      <c r="D9529" s="84"/>
    </row>
    <row r="9530" spans="4:4" x14ac:dyDescent="0.2">
      <c r="D9530" s="84"/>
    </row>
    <row r="9531" spans="4:4" x14ac:dyDescent="0.2">
      <c r="D9531" s="84"/>
    </row>
    <row r="9532" spans="4:4" x14ac:dyDescent="0.2">
      <c r="D9532" s="84"/>
    </row>
    <row r="9533" spans="4:4" x14ac:dyDescent="0.2">
      <c r="D9533" s="84"/>
    </row>
    <row r="9534" spans="4:4" x14ac:dyDescent="0.2">
      <c r="D9534" s="84"/>
    </row>
    <row r="9535" spans="4:4" x14ac:dyDescent="0.2">
      <c r="D9535" s="84"/>
    </row>
    <row r="9536" spans="4:4" x14ac:dyDescent="0.2">
      <c r="D9536" s="84"/>
    </row>
    <row r="9537" spans="4:4" x14ac:dyDescent="0.2">
      <c r="D9537" s="84"/>
    </row>
    <row r="9538" spans="4:4" x14ac:dyDescent="0.2">
      <c r="D9538" s="84"/>
    </row>
    <row r="9539" spans="4:4" x14ac:dyDescent="0.2">
      <c r="D9539" s="84"/>
    </row>
    <row r="9540" spans="4:4" x14ac:dyDescent="0.2">
      <c r="D9540" s="84"/>
    </row>
    <row r="9541" spans="4:4" x14ac:dyDescent="0.2">
      <c r="D9541" s="84"/>
    </row>
    <row r="9542" spans="4:4" x14ac:dyDescent="0.2">
      <c r="D9542" s="84"/>
    </row>
    <row r="9543" spans="4:4" x14ac:dyDescent="0.2">
      <c r="D9543" s="84"/>
    </row>
    <row r="9544" spans="4:4" x14ac:dyDescent="0.2">
      <c r="D9544" s="84"/>
    </row>
    <row r="9545" spans="4:4" x14ac:dyDescent="0.2">
      <c r="D9545" s="84"/>
    </row>
    <row r="9546" spans="4:4" x14ac:dyDescent="0.2">
      <c r="D9546" s="84"/>
    </row>
    <row r="9547" spans="4:4" x14ac:dyDescent="0.2">
      <c r="D9547" s="84"/>
    </row>
    <row r="9548" spans="4:4" x14ac:dyDescent="0.2">
      <c r="D9548" s="84"/>
    </row>
    <row r="9549" spans="4:4" x14ac:dyDescent="0.2">
      <c r="D9549" s="84"/>
    </row>
    <row r="9550" spans="4:4" x14ac:dyDescent="0.2">
      <c r="D9550" s="84"/>
    </row>
    <row r="9551" spans="4:4" x14ac:dyDescent="0.2">
      <c r="D9551" s="84"/>
    </row>
    <row r="9552" spans="4:4" x14ac:dyDescent="0.2">
      <c r="D9552" s="84"/>
    </row>
    <row r="9553" spans="4:4" x14ac:dyDescent="0.2">
      <c r="D9553" s="84"/>
    </row>
    <row r="9554" spans="4:4" x14ac:dyDescent="0.2">
      <c r="D9554" s="84"/>
    </row>
    <row r="9555" spans="4:4" x14ac:dyDescent="0.2">
      <c r="D9555" s="84"/>
    </row>
    <row r="9556" spans="4:4" x14ac:dyDescent="0.2">
      <c r="D9556" s="84"/>
    </row>
    <row r="9557" spans="4:4" x14ac:dyDescent="0.2">
      <c r="D9557" s="84"/>
    </row>
    <row r="9558" spans="4:4" x14ac:dyDescent="0.2">
      <c r="D9558" s="84"/>
    </row>
    <row r="9559" spans="4:4" x14ac:dyDescent="0.2">
      <c r="D9559" s="84"/>
    </row>
    <row r="9560" spans="4:4" x14ac:dyDescent="0.2">
      <c r="D9560" s="84"/>
    </row>
    <row r="9561" spans="4:4" x14ac:dyDescent="0.2">
      <c r="D9561" s="84"/>
    </row>
    <row r="9562" spans="4:4" x14ac:dyDescent="0.2">
      <c r="D9562" s="84"/>
    </row>
    <row r="9563" spans="4:4" x14ac:dyDescent="0.2">
      <c r="D9563" s="84"/>
    </row>
    <row r="9564" spans="4:4" x14ac:dyDescent="0.2">
      <c r="D9564" s="84"/>
    </row>
    <row r="9565" spans="4:4" x14ac:dyDescent="0.2">
      <c r="D9565" s="84"/>
    </row>
    <row r="9566" spans="4:4" x14ac:dyDescent="0.2">
      <c r="D9566" s="84"/>
    </row>
    <row r="9567" spans="4:4" x14ac:dyDescent="0.2">
      <c r="D9567" s="84"/>
    </row>
    <row r="9568" spans="4:4" x14ac:dyDescent="0.2">
      <c r="D9568" s="84"/>
    </row>
    <row r="9569" spans="4:4" x14ac:dyDescent="0.2">
      <c r="D9569" s="84"/>
    </row>
    <row r="9570" spans="4:4" x14ac:dyDescent="0.2">
      <c r="D9570" s="84"/>
    </row>
    <row r="9571" spans="4:4" x14ac:dyDescent="0.2">
      <c r="D9571" s="84"/>
    </row>
    <row r="9572" spans="4:4" x14ac:dyDescent="0.2">
      <c r="D9572" s="84"/>
    </row>
    <row r="9573" spans="4:4" x14ac:dyDescent="0.2">
      <c r="D9573" s="84"/>
    </row>
    <row r="9574" spans="4:4" x14ac:dyDescent="0.2">
      <c r="D9574" s="84"/>
    </row>
    <row r="9575" spans="4:4" x14ac:dyDescent="0.2">
      <c r="D9575" s="84"/>
    </row>
    <row r="9576" spans="4:4" x14ac:dyDescent="0.2">
      <c r="D9576" s="84"/>
    </row>
    <row r="9577" spans="4:4" x14ac:dyDescent="0.2">
      <c r="D9577" s="84"/>
    </row>
    <row r="9578" spans="4:4" x14ac:dyDescent="0.2">
      <c r="D9578" s="84"/>
    </row>
    <row r="9579" spans="4:4" x14ac:dyDescent="0.2">
      <c r="D9579" s="84"/>
    </row>
    <row r="9580" spans="4:4" x14ac:dyDescent="0.2">
      <c r="D9580" s="84"/>
    </row>
    <row r="9581" spans="4:4" x14ac:dyDescent="0.2">
      <c r="D9581" s="84"/>
    </row>
    <row r="9582" spans="4:4" x14ac:dyDescent="0.2">
      <c r="D9582" s="84"/>
    </row>
    <row r="9583" spans="4:4" x14ac:dyDescent="0.2">
      <c r="D9583" s="84"/>
    </row>
    <row r="9584" spans="4:4" x14ac:dyDescent="0.2">
      <c r="D9584" s="84"/>
    </row>
    <row r="9585" spans="4:4" x14ac:dyDescent="0.2">
      <c r="D9585" s="84"/>
    </row>
    <row r="9586" spans="4:4" x14ac:dyDescent="0.2">
      <c r="D9586" s="84"/>
    </row>
    <row r="9587" spans="4:4" x14ac:dyDescent="0.2">
      <c r="D9587" s="84"/>
    </row>
    <row r="9588" spans="4:4" x14ac:dyDescent="0.2">
      <c r="D9588" s="84"/>
    </row>
    <row r="9589" spans="4:4" x14ac:dyDescent="0.2">
      <c r="D9589" s="84"/>
    </row>
    <row r="9590" spans="4:4" x14ac:dyDescent="0.2">
      <c r="D9590" s="84"/>
    </row>
    <row r="9591" spans="4:4" x14ac:dyDescent="0.2">
      <c r="D9591" s="84"/>
    </row>
    <row r="9592" spans="4:4" x14ac:dyDescent="0.2">
      <c r="D9592" s="84"/>
    </row>
    <row r="9593" spans="4:4" x14ac:dyDescent="0.2">
      <c r="D9593" s="84"/>
    </row>
    <row r="9594" spans="4:4" x14ac:dyDescent="0.2">
      <c r="D9594" s="84"/>
    </row>
    <row r="9595" spans="4:4" x14ac:dyDescent="0.2">
      <c r="D9595" s="84"/>
    </row>
    <row r="9596" spans="4:4" x14ac:dyDescent="0.2">
      <c r="D9596" s="84"/>
    </row>
    <row r="9597" spans="4:4" x14ac:dyDescent="0.2">
      <c r="D9597" s="84"/>
    </row>
    <row r="9598" spans="4:4" x14ac:dyDescent="0.2">
      <c r="D9598" s="84"/>
    </row>
    <row r="9599" spans="4:4" x14ac:dyDescent="0.2">
      <c r="D9599" s="84"/>
    </row>
    <row r="9600" spans="4:4" x14ac:dyDescent="0.2">
      <c r="D9600" s="84"/>
    </row>
    <row r="9601" spans="4:4" x14ac:dyDescent="0.2">
      <c r="D9601" s="84"/>
    </row>
    <row r="9602" spans="4:4" x14ac:dyDescent="0.2">
      <c r="D9602" s="84"/>
    </row>
    <row r="9603" spans="4:4" x14ac:dyDescent="0.2">
      <c r="D9603" s="84"/>
    </row>
    <row r="9604" spans="4:4" x14ac:dyDescent="0.2">
      <c r="D9604" s="84"/>
    </row>
    <row r="9605" spans="4:4" x14ac:dyDescent="0.2">
      <c r="D9605" s="84"/>
    </row>
    <row r="9606" spans="4:4" x14ac:dyDescent="0.2">
      <c r="D9606" s="84"/>
    </row>
    <row r="9607" spans="4:4" x14ac:dyDescent="0.2">
      <c r="D9607" s="84"/>
    </row>
    <row r="9608" spans="4:4" x14ac:dyDescent="0.2">
      <c r="D9608" s="84"/>
    </row>
    <row r="9609" spans="4:4" x14ac:dyDescent="0.2">
      <c r="D9609" s="84"/>
    </row>
    <row r="9610" spans="4:4" x14ac:dyDescent="0.2">
      <c r="D9610" s="84"/>
    </row>
    <row r="9611" spans="4:4" x14ac:dyDescent="0.2">
      <c r="D9611" s="84"/>
    </row>
    <row r="9612" spans="4:4" x14ac:dyDescent="0.2">
      <c r="D9612" s="84"/>
    </row>
    <row r="9613" spans="4:4" x14ac:dyDescent="0.2">
      <c r="D9613" s="84"/>
    </row>
    <row r="9614" spans="4:4" x14ac:dyDescent="0.2">
      <c r="D9614" s="84"/>
    </row>
    <row r="9615" spans="4:4" x14ac:dyDescent="0.2">
      <c r="D9615" s="84"/>
    </row>
    <row r="9616" spans="4:4" x14ac:dyDescent="0.2">
      <c r="D9616" s="84"/>
    </row>
    <row r="9617" spans="4:4" x14ac:dyDescent="0.2">
      <c r="D9617" s="84"/>
    </row>
    <row r="9618" spans="4:4" x14ac:dyDescent="0.2">
      <c r="D9618" s="84"/>
    </row>
    <row r="9619" spans="4:4" x14ac:dyDescent="0.2">
      <c r="D9619" s="84"/>
    </row>
    <row r="9620" spans="4:4" x14ac:dyDescent="0.2">
      <c r="D9620" s="84"/>
    </row>
    <row r="9621" spans="4:4" x14ac:dyDescent="0.2">
      <c r="D9621" s="84"/>
    </row>
    <row r="9622" spans="4:4" x14ac:dyDescent="0.2">
      <c r="D9622" s="84"/>
    </row>
    <row r="9623" spans="4:4" x14ac:dyDescent="0.2">
      <c r="D9623" s="84"/>
    </row>
    <row r="9624" spans="4:4" x14ac:dyDescent="0.2">
      <c r="D9624" s="84"/>
    </row>
    <row r="9625" spans="4:4" x14ac:dyDescent="0.2">
      <c r="D9625" s="84"/>
    </row>
    <row r="9626" spans="4:4" x14ac:dyDescent="0.2">
      <c r="D9626" s="84"/>
    </row>
    <row r="9627" spans="4:4" x14ac:dyDescent="0.2">
      <c r="D9627" s="84"/>
    </row>
    <row r="9628" spans="4:4" x14ac:dyDescent="0.2">
      <c r="D9628" s="84"/>
    </row>
    <row r="9629" spans="4:4" x14ac:dyDescent="0.2">
      <c r="D9629" s="84"/>
    </row>
    <row r="9630" spans="4:4" x14ac:dyDescent="0.2">
      <c r="D9630" s="84"/>
    </row>
    <row r="9631" spans="4:4" x14ac:dyDescent="0.2">
      <c r="D9631" s="84"/>
    </row>
    <row r="9632" spans="4:4" x14ac:dyDescent="0.2">
      <c r="D9632" s="84"/>
    </row>
    <row r="9633" spans="4:4" x14ac:dyDescent="0.2">
      <c r="D9633" s="84"/>
    </row>
    <row r="9634" spans="4:4" x14ac:dyDescent="0.2">
      <c r="D9634" s="84"/>
    </row>
    <row r="9635" spans="4:4" x14ac:dyDescent="0.2">
      <c r="D9635" s="84"/>
    </row>
    <row r="9636" spans="4:4" x14ac:dyDescent="0.2">
      <c r="D9636" s="84"/>
    </row>
    <row r="9637" spans="4:4" x14ac:dyDescent="0.2">
      <c r="D9637" s="84"/>
    </row>
    <row r="9638" spans="4:4" x14ac:dyDescent="0.2">
      <c r="D9638" s="84"/>
    </row>
    <row r="9639" spans="4:4" x14ac:dyDescent="0.2">
      <c r="D9639" s="84"/>
    </row>
    <row r="9640" spans="4:4" x14ac:dyDescent="0.2">
      <c r="D9640" s="84"/>
    </row>
    <row r="9641" spans="4:4" x14ac:dyDescent="0.2">
      <c r="D9641" s="84"/>
    </row>
    <row r="9642" spans="4:4" x14ac:dyDescent="0.2">
      <c r="D9642" s="84"/>
    </row>
    <row r="9643" spans="4:4" x14ac:dyDescent="0.2">
      <c r="D9643" s="84"/>
    </row>
    <row r="9644" spans="4:4" x14ac:dyDescent="0.2">
      <c r="D9644" s="84"/>
    </row>
    <row r="9645" spans="4:4" x14ac:dyDescent="0.2">
      <c r="D9645" s="84"/>
    </row>
    <row r="9646" spans="4:4" x14ac:dyDescent="0.2">
      <c r="D9646" s="84"/>
    </row>
    <row r="9647" spans="4:4" x14ac:dyDescent="0.2">
      <c r="D9647" s="84"/>
    </row>
    <row r="9648" spans="4:4" x14ac:dyDescent="0.2">
      <c r="D9648" s="84"/>
    </row>
    <row r="9649" spans="4:4" x14ac:dyDescent="0.2">
      <c r="D9649" s="84"/>
    </row>
    <row r="9650" spans="4:4" x14ac:dyDescent="0.2">
      <c r="D9650" s="84"/>
    </row>
    <row r="9651" spans="4:4" x14ac:dyDescent="0.2">
      <c r="D9651" s="84"/>
    </row>
    <row r="9652" spans="4:4" x14ac:dyDescent="0.2">
      <c r="D9652" s="84"/>
    </row>
    <row r="9653" spans="4:4" x14ac:dyDescent="0.2">
      <c r="D9653" s="84"/>
    </row>
    <row r="9654" spans="4:4" x14ac:dyDescent="0.2">
      <c r="D9654" s="84"/>
    </row>
    <row r="9655" spans="4:4" x14ac:dyDescent="0.2">
      <c r="D9655" s="84"/>
    </row>
    <row r="9656" spans="4:4" x14ac:dyDescent="0.2">
      <c r="D9656" s="84"/>
    </row>
    <row r="9657" spans="4:4" x14ac:dyDescent="0.2">
      <c r="D9657" s="84"/>
    </row>
    <row r="9658" spans="4:4" x14ac:dyDescent="0.2">
      <c r="D9658" s="84"/>
    </row>
    <row r="9659" spans="4:4" x14ac:dyDescent="0.2">
      <c r="D9659" s="84"/>
    </row>
    <row r="9660" spans="4:4" x14ac:dyDescent="0.2">
      <c r="D9660" s="84"/>
    </row>
    <row r="9661" spans="4:4" x14ac:dyDescent="0.2">
      <c r="D9661" s="84"/>
    </row>
    <row r="9662" spans="4:4" x14ac:dyDescent="0.2">
      <c r="D9662" s="84"/>
    </row>
    <row r="9663" spans="4:4" x14ac:dyDescent="0.2">
      <c r="D9663" s="84"/>
    </row>
    <row r="9664" spans="4:4" x14ac:dyDescent="0.2">
      <c r="D9664" s="84"/>
    </row>
    <row r="9665" spans="4:4" x14ac:dyDescent="0.2">
      <c r="D9665" s="84"/>
    </row>
    <row r="9666" spans="4:4" x14ac:dyDescent="0.2">
      <c r="D9666" s="84"/>
    </row>
    <row r="9667" spans="4:4" x14ac:dyDescent="0.2">
      <c r="D9667" s="84"/>
    </row>
    <row r="9668" spans="4:4" x14ac:dyDescent="0.2">
      <c r="D9668" s="84"/>
    </row>
    <row r="9669" spans="4:4" x14ac:dyDescent="0.2">
      <c r="D9669" s="84"/>
    </row>
    <row r="9670" spans="4:4" x14ac:dyDescent="0.2">
      <c r="D9670" s="84"/>
    </row>
    <row r="9671" spans="4:4" x14ac:dyDescent="0.2">
      <c r="D9671" s="84"/>
    </row>
    <row r="9672" spans="4:4" x14ac:dyDescent="0.2">
      <c r="D9672" s="84"/>
    </row>
    <row r="9673" spans="4:4" x14ac:dyDescent="0.2">
      <c r="D9673" s="84"/>
    </row>
    <row r="9674" spans="4:4" x14ac:dyDescent="0.2">
      <c r="D9674" s="84"/>
    </row>
    <row r="9675" spans="4:4" x14ac:dyDescent="0.2">
      <c r="D9675" s="84"/>
    </row>
    <row r="9676" spans="4:4" x14ac:dyDescent="0.2">
      <c r="D9676" s="84"/>
    </row>
    <row r="9677" spans="4:4" x14ac:dyDescent="0.2">
      <c r="D9677" s="84"/>
    </row>
    <row r="9678" spans="4:4" x14ac:dyDescent="0.2">
      <c r="D9678" s="84"/>
    </row>
    <row r="9679" spans="4:4" x14ac:dyDescent="0.2">
      <c r="D9679" s="84"/>
    </row>
    <row r="9680" spans="4:4" x14ac:dyDescent="0.2">
      <c r="D9680" s="84"/>
    </row>
    <row r="9681" spans="4:4" x14ac:dyDescent="0.2">
      <c r="D9681" s="84"/>
    </row>
    <row r="9682" spans="4:4" x14ac:dyDescent="0.2">
      <c r="D9682" s="84"/>
    </row>
    <row r="9683" spans="4:4" x14ac:dyDescent="0.2">
      <c r="D9683" s="84"/>
    </row>
    <row r="9684" spans="4:4" x14ac:dyDescent="0.2">
      <c r="D9684" s="84"/>
    </row>
    <row r="9685" spans="4:4" x14ac:dyDescent="0.2">
      <c r="D9685" s="84"/>
    </row>
    <row r="9686" spans="4:4" x14ac:dyDescent="0.2">
      <c r="D9686" s="84"/>
    </row>
    <row r="9687" spans="4:4" x14ac:dyDescent="0.2">
      <c r="D9687" s="84"/>
    </row>
    <row r="9688" spans="4:4" x14ac:dyDescent="0.2">
      <c r="D9688" s="84"/>
    </row>
    <row r="9689" spans="4:4" x14ac:dyDescent="0.2">
      <c r="D9689" s="84"/>
    </row>
    <row r="9690" spans="4:4" x14ac:dyDescent="0.2">
      <c r="D9690" s="84"/>
    </row>
    <row r="9691" spans="4:4" x14ac:dyDescent="0.2">
      <c r="D9691" s="84"/>
    </row>
    <row r="9692" spans="4:4" x14ac:dyDescent="0.2">
      <c r="D9692" s="84"/>
    </row>
    <row r="9693" spans="4:4" x14ac:dyDescent="0.2">
      <c r="D9693" s="84"/>
    </row>
    <row r="9694" spans="4:4" x14ac:dyDescent="0.2">
      <c r="D9694" s="84"/>
    </row>
    <row r="9695" spans="4:4" x14ac:dyDescent="0.2">
      <c r="D9695" s="84"/>
    </row>
    <row r="9696" spans="4:4" x14ac:dyDescent="0.2">
      <c r="D9696" s="84"/>
    </row>
    <row r="9697" spans="4:4" x14ac:dyDescent="0.2">
      <c r="D9697" s="84"/>
    </row>
    <row r="9698" spans="4:4" x14ac:dyDescent="0.2">
      <c r="D9698" s="84"/>
    </row>
    <row r="9699" spans="4:4" x14ac:dyDescent="0.2">
      <c r="D9699" s="84"/>
    </row>
    <row r="9700" spans="4:4" x14ac:dyDescent="0.2">
      <c r="D9700" s="84"/>
    </row>
    <row r="9701" spans="4:4" x14ac:dyDescent="0.2">
      <c r="D9701" s="84"/>
    </row>
    <row r="9702" spans="4:4" x14ac:dyDescent="0.2">
      <c r="D9702" s="84"/>
    </row>
    <row r="9703" spans="4:4" x14ac:dyDescent="0.2">
      <c r="D9703" s="84"/>
    </row>
    <row r="9704" spans="4:4" x14ac:dyDescent="0.2">
      <c r="D9704" s="84"/>
    </row>
    <row r="9705" spans="4:4" x14ac:dyDescent="0.2">
      <c r="D9705" s="84"/>
    </row>
    <row r="9706" spans="4:4" x14ac:dyDescent="0.2">
      <c r="D9706" s="84"/>
    </row>
    <row r="9707" spans="4:4" x14ac:dyDescent="0.2">
      <c r="D9707" s="84"/>
    </row>
    <row r="9708" spans="4:4" x14ac:dyDescent="0.2">
      <c r="D9708" s="84"/>
    </row>
    <row r="9709" spans="4:4" x14ac:dyDescent="0.2">
      <c r="D9709" s="84"/>
    </row>
    <row r="9710" spans="4:4" x14ac:dyDescent="0.2">
      <c r="D9710" s="84"/>
    </row>
    <row r="9711" spans="4:4" x14ac:dyDescent="0.2">
      <c r="D9711" s="84"/>
    </row>
    <row r="9712" spans="4:4" x14ac:dyDescent="0.2">
      <c r="D9712" s="84"/>
    </row>
    <row r="9713" spans="4:4" x14ac:dyDescent="0.2">
      <c r="D9713" s="84"/>
    </row>
    <row r="9714" spans="4:4" x14ac:dyDescent="0.2">
      <c r="D9714" s="84"/>
    </row>
    <row r="9715" spans="4:4" x14ac:dyDescent="0.2">
      <c r="D9715" s="84"/>
    </row>
    <row r="9716" spans="4:4" x14ac:dyDescent="0.2">
      <c r="D9716" s="84"/>
    </row>
    <row r="9717" spans="4:4" x14ac:dyDescent="0.2">
      <c r="D9717" s="84"/>
    </row>
    <row r="9718" spans="4:4" x14ac:dyDescent="0.2">
      <c r="D9718" s="84"/>
    </row>
    <row r="9719" spans="4:4" x14ac:dyDescent="0.2">
      <c r="D9719" s="84"/>
    </row>
    <row r="9720" spans="4:4" x14ac:dyDescent="0.2">
      <c r="D9720" s="84"/>
    </row>
    <row r="9721" spans="4:4" x14ac:dyDescent="0.2">
      <c r="D9721" s="84"/>
    </row>
    <row r="9722" spans="4:4" x14ac:dyDescent="0.2">
      <c r="D9722" s="84"/>
    </row>
    <row r="9723" spans="4:4" x14ac:dyDescent="0.2">
      <c r="D9723" s="84"/>
    </row>
    <row r="9724" spans="4:4" x14ac:dyDescent="0.2">
      <c r="D9724" s="84"/>
    </row>
    <row r="9725" spans="4:4" x14ac:dyDescent="0.2">
      <c r="D9725" s="84"/>
    </row>
    <row r="9726" spans="4:4" x14ac:dyDescent="0.2">
      <c r="D9726" s="84"/>
    </row>
    <row r="9727" spans="4:4" x14ac:dyDescent="0.2">
      <c r="D9727" s="84"/>
    </row>
    <row r="9728" spans="4:4" x14ac:dyDescent="0.2">
      <c r="D9728" s="84"/>
    </row>
    <row r="9729" spans="4:4" x14ac:dyDescent="0.2">
      <c r="D9729" s="84"/>
    </row>
    <row r="9730" spans="4:4" x14ac:dyDescent="0.2">
      <c r="D9730" s="84"/>
    </row>
    <row r="9731" spans="4:4" x14ac:dyDescent="0.2">
      <c r="D9731" s="84"/>
    </row>
    <row r="9732" spans="4:4" x14ac:dyDescent="0.2">
      <c r="D9732" s="84"/>
    </row>
    <row r="9733" spans="4:4" x14ac:dyDescent="0.2">
      <c r="D9733" s="84"/>
    </row>
    <row r="9734" spans="4:4" x14ac:dyDescent="0.2">
      <c r="D9734" s="84"/>
    </row>
    <row r="9735" spans="4:4" x14ac:dyDescent="0.2">
      <c r="D9735" s="84"/>
    </row>
    <row r="9736" spans="4:4" x14ac:dyDescent="0.2">
      <c r="D9736" s="84"/>
    </row>
    <row r="9737" spans="4:4" x14ac:dyDescent="0.2">
      <c r="D9737" s="84"/>
    </row>
    <row r="9738" spans="4:4" x14ac:dyDescent="0.2">
      <c r="D9738" s="84"/>
    </row>
    <row r="9739" spans="4:4" x14ac:dyDescent="0.2">
      <c r="D9739" s="84"/>
    </row>
    <row r="9740" spans="4:4" x14ac:dyDescent="0.2">
      <c r="D9740" s="84"/>
    </row>
    <row r="9741" spans="4:4" x14ac:dyDescent="0.2">
      <c r="D9741" s="84"/>
    </row>
    <row r="9742" spans="4:4" x14ac:dyDescent="0.2">
      <c r="D9742" s="84"/>
    </row>
    <row r="9743" spans="4:4" x14ac:dyDescent="0.2">
      <c r="D9743" s="84"/>
    </row>
    <row r="9744" spans="4:4" x14ac:dyDescent="0.2">
      <c r="D9744" s="84"/>
    </row>
    <row r="9745" spans="4:4" x14ac:dyDescent="0.2">
      <c r="D9745" s="84"/>
    </row>
    <row r="9746" spans="4:4" x14ac:dyDescent="0.2">
      <c r="D9746" s="84"/>
    </row>
    <row r="9747" spans="4:4" x14ac:dyDescent="0.2">
      <c r="D9747" s="84"/>
    </row>
    <row r="9748" spans="4:4" x14ac:dyDescent="0.2">
      <c r="D9748" s="84"/>
    </row>
    <row r="9749" spans="4:4" x14ac:dyDescent="0.2">
      <c r="D9749" s="84"/>
    </row>
    <row r="9750" spans="4:4" x14ac:dyDescent="0.2">
      <c r="D9750" s="84"/>
    </row>
    <row r="9751" spans="4:4" x14ac:dyDescent="0.2">
      <c r="D9751" s="84"/>
    </row>
    <row r="9752" spans="4:4" x14ac:dyDescent="0.2">
      <c r="D9752" s="84"/>
    </row>
    <row r="9753" spans="4:4" x14ac:dyDescent="0.2">
      <c r="D9753" s="84"/>
    </row>
    <row r="9754" spans="4:4" x14ac:dyDescent="0.2">
      <c r="D9754" s="84"/>
    </row>
    <row r="9755" spans="4:4" x14ac:dyDescent="0.2">
      <c r="D9755" s="84"/>
    </row>
    <row r="9756" spans="4:4" x14ac:dyDescent="0.2">
      <c r="D9756" s="84"/>
    </row>
    <row r="9757" spans="4:4" x14ac:dyDescent="0.2">
      <c r="D9757" s="84"/>
    </row>
    <row r="9758" spans="4:4" x14ac:dyDescent="0.2">
      <c r="D9758" s="84"/>
    </row>
    <row r="9759" spans="4:4" x14ac:dyDescent="0.2">
      <c r="D9759" s="84"/>
    </row>
    <row r="9760" spans="4:4" x14ac:dyDescent="0.2">
      <c r="D9760" s="84"/>
    </row>
    <row r="9761" spans="4:4" x14ac:dyDescent="0.2">
      <c r="D9761" s="84"/>
    </row>
    <row r="9762" spans="4:4" x14ac:dyDescent="0.2">
      <c r="D9762" s="84"/>
    </row>
    <row r="9763" spans="4:4" x14ac:dyDescent="0.2">
      <c r="D9763" s="84"/>
    </row>
    <row r="9764" spans="4:4" x14ac:dyDescent="0.2">
      <c r="D9764" s="84"/>
    </row>
    <row r="9765" spans="4:4" x14ac:dyDescent="0.2">
      <c r="D9765" s="84"/>
    </row>
    <row r="9766" spans="4:4" x14ac:dyDescent="0.2">
      <c r="D9766" s="84"/>
    </row>
    <row r="9767" spans="4:4" x14ac:dyDescent="0.2">
      <c r="D9767" s="84"/>
    </row>
    <row r="9768" spans="4:4" x14ac:dyDescent="0.2">
      <c r="D9768" s="84"/>
    </row>
    <row r="9769" spans="4:4" x14ac:dyDescent="0.2">
      <c r="D9769" s="84"/>
    </row>
    <row r="9770" spans="4:4" x14ac:dyDescent="0.2">
      <c r="D9770" s="84"/>
    </row>
    <row r="9771" spans="4:4" x14ac:dyDescent="0.2">
      <c r="D9771" s="84"/>
    </row>
    <row r="9772" spans="4:4" x14ac:dyDescent="0.2">
      <c r="D9772" s="84"/>
    </row>
    <row r="9773" spans="4:4" x14ac:dyDescent="0.2">
      <c r="D9773" s="84"/>
    </row>
    <row r="9774" spans="4:4" x14ac:dyDescent="0.2">
      <c r="D9774" s="84"/>
    </row>
    <row r="9775" spans="4:4" x14ac:dyDescent="0.2">
      <c r="D9775" s="84"/>
    </row>
    <row r="9776" spans="4:4" x14ac:dyDescent="0.2">
      <c r="D9776" s="84"/>
    </row>
    <row r="9777" spans="4:4" x14ac:dyDescent="0.2">
      <c r="D9777" s="84"/>
    </row>
    <row r="9778" spans="4:4" x14ac:dyDescent="0.2">
      <c r="D9778" s="84"/>
    </row>
    <row r="9779" spans="4:4" x14ac:dyDescent="0.2">
      <c r="D9779" s="84"/>
    </row>
    <row r="9780" spans="4:4" x14ac:dyDescent="0.2">
      <c r="D9780" s="84"/>
    </row>
    <row r="9781" spans="4:4" x14ac:dyDescent="0.2">
      <c r="D9781" s="84"/>
    </row>
    <row r="9782" spans="4:4" x14ac:dyDescent="0.2">
      <c r="D9782" s="84"/>
    </row>
    <row r="9783" spans="4:4" x14ac:dyDescent="0.2">
      <c r="D9783" s="84"/>
    </row>
    <row r="9784" spans="4:4" x14ac:dyDescent="0.2">
      <c r="D9784" s="84"/>
    </row>
    <row r="9785" spans="4:4" x14ac:dyDescent="0.2">
      <c r="D9785" s="84"/>
    </row>
    <row r="9786" spans="4:4" x14ac:dyDescent="0.2">
      <c r="D9786" s="84"/>
    </row>
    <row r="9787" spans="4:4" x14ac:dyDescent="0.2">
      <c r="D9787" s="84"/>
    </row>
    <row r="9788" spans="4:4" x14ac:dyDescent="0.2">
      <c r="D9788" s="84"/>
    </row>
    <row r="9789" spans="4:4" x14ac:dyDescent="0.2">
      <c r="D9789" s="84"/>
    </row>
    <row r="9790" spans="4:4" x14ac:dyDescent="0.2">
      <c r="D9790" s="84"/>
    </row>
    <row r="9791" spans="4:4" x14ac:dyDescent="0.2">
      <c r="D9791" s="84"/>
    </row>
    <row r="9792" spans="4:4" x14ac:dyDescent="0.2">
      <c r="D9792" s="84"/>
    </row>
    <row r="9793" spans="4:4" x14ac:dyDescent="0.2">
      <c r="D9793" s="84"/>
    </row>
    <row r="9794" spans="4:4" x14ac:dyDescent="0.2">
      <c r="D9794" s="84"/>
    </row>
    <row r="9795" spans="4:4" x14ac:dyDescent="0.2">
      <c r="D9795" s="84"/>
    </row>
    <row r="9796" spans="4:4" x14ac:dyDescent="0.2">
      <c r="D9796" s="84"/>
    </row>
    <row r="9797" spans="4:4" x14ac:dyDescent="0.2">
      <c r="D9797" s="84"/>
    </row>
    <row r="9798" spans="4:4" x14ac:dyDescent="0.2">
      <c r="D9798" s="84"/>
    </row>
    <row r="9799" spans="4:4" x14ac:dyDescent="0.2">
      <c r="D9799" s="84"/>
    </row>
    <row r="9800" spans="4:4" x14ac:dyDescent="0.2">
      <c r="D9800" s="84"/>
    </row>
    <row r="9801" spans="4:4" x14ac:dyDescent="0.2">
      <c r="D9801" s="84"/>
    </row>
    <row r="9802" spans="4:4" x14ac:dyDescent="0.2">
      <c r="D9802" s="84"/>
    </row>
    <row r="9803" spans="4:4" x14ac:dyDescent="0.2">
      <c r="D9803" s="84"/>
    </row>
    <row r="9804" spans="4:4" x14ac:dyDescent="0.2">
      <c r="D9804" s="84"/>
    </row>
    <row r="9805" spans="4:4" x14ac:dyDescent="0.2">
      <c r="D9805" s="84"/>
    </row>
    <row r="9806" spans="4:4" x14ac:dyDescent="0.2">
      <c r="D9806" s="84"/>
    </row>
    <row r="9807" spans="4:4" x14ac:dyDescent="0.2">
      <c r="D9807" s="84"/>
    </row>
    <row r="9808" spans="4:4" x14ac:dyDescent="0.2">
      <c r="D9808" s="84"/>
    </row>
    <row r="9809" spans="4:4" x14ac:dyDescent="0.2">
      <c r="D9809" s="84"/>
    </row>
    <row r="9810" spans="4:4" x14ac:dyDescent="0.2">
      <c r="D9810" s="84"/>
    </row>
    <row r="9811" spans="4:4" x14ac:dyDescent="0.2">
      <c r="D9811" s="84"/>
    </row>
    <row r="9812" spans="4:4" x14ac:dyDescent="0.2">
      <c r="D9812" s="84"/>
    </row>
    <row r="9813" spans="4:4" x14ac:dyDescent="0.2">
      <c r="D9813" s="84"/>
    </row>
    <row r="9814" spans="4:4" x14ac:dyDescent="0.2">
      <c r="D9814" s="84"/>
    </row>
    <row r="9815" spans="4:4" x14ac:dyDescent="0.2">
      <c r="D9815" s="84"/>
    </row>
    <row r="9816" spans="4:4" x14ac:dyDescent="0.2">
      <c r="D9816" s="84"/>
    </row>
    <row r="9817" spans="4:4" x14ac:dyDescent="0.2">
      <c r="D9817" s="84"/>
    </row>
    <row r="9818" spans="4:4" x14ac:dyDescent="0.2">
      <c r="D9818" s="84"/>
    </row>
    <row r="9819" spans="4:4" x14ac:dyDescent="0.2">
      <c r="D9819" s="84"/>
    </row>
    <row r="9820" spans="4:4" x14ac:dyDescent="0.2">
      <c r="D9820" s="84"/>
    </row>
    <row r="9821" spans="4:4" x14ac:dyDescent="0.2">
      <c r="D9821" s="84"/>
    </row>
    <row r="9822" spans="4:4" x14ac:dyDescent="0.2">
      <c r="D9822" s="84"/>
    </row>
    <row r="9823" spans="4:4" x14ac:dyDescent="0.2">
      <c r="D9823" s="84"/>
    </row>
    <row r="9824" spans="4:4" x14ac:dyDescent="0.2">
      <c r="D9824" s="84"/>
    </row>
    <row r="9825" spans="4:4" x14ac:dyDescent="0.2">
      <c r="D9825" s="84"/>
    </row>
    <row r="9826" spans="4:4" x14ac:dyDescent="0.2">
      <c r="D9826" s="84"/>
    </row>
    <row r="9827" spans="4:4" x14ac:dyDescent="0.2">
      <c r="D9827" s="84"/>
    </row>
    <row r="9828" spans="4:4" x14ac:dyDescent="0.2">
      <c r="D9828" s="84"/>
    </row>
    <row r="9829" spans="4:4" x14ac:dyDescent="0.2">
      <c r="D9829" s="84"/>
    </row>
    <row r="9830" spans="4:4" x14ac:dyDescent="0.2">
      <c r="D9830" s="84"/>
    </row>
    <row r="9831" spans="4:4" x14ac:dyDescent="0.2">
      <c r="D9831" s="84"/>
    </row>
    <row r="9832" spans="4:4" x14ac:dyDescent="0.2">
      <c r="D9832" s="84"/>
    </row>
    <row r="9833" spans="4:4" x14ac:dyDescent="0.2">
      <c r="D9833" s="84"/>
    </row>
    <row r="9834" spans="4:4" x14ac:dyDescent="0.2">
      <c r="D9834" s="84"/>
    </row>
    <row r="9835" spans="4:4" x14ac:dyDescent="0.2">
      <c r="D9835" s="84"/>
    </row>
    <row r="9836" spans="4:4" x14ac:dyDescent="0.2">
      <c r="D9836" s="84"/>
    </row>
    <row r="9837" spans="4:4" x14ac:dyDescent="0.2">
      <c r="D9837" s="84"/>
    </row>
    <row r="9838" spans="4:4" x14ac:dyDescent="0.2">
      <c r="D9838" s="84"/>
    </row>
    <row r="9839" spans="4:4" x14ac:dyDescent="0.2">
      <c r="D9839" s="84"/>
    </row>
    <row r="9840" spans="4:4" x14ac:dyDescent="0.2">
      <c r="D9840" s="84"/>
    </row>
    <row r="9841" spans="4:4" x14ac:dyDescent="0.2">
      <c r="D9841" s="84"/>
    </row>
    <row r="9842" spans="4:4" x14ac:dyDescent="0.2">
      <c r="D9842" s="84"/>
    </row>
    <row r="9843" spans="4:4" x14ac:dyDescent="0.2">
      <c r="D9843" s="84"/>
    </row>
    <row r="9844" spans="4:4" x14ac:dyDescent="0.2">
      <c r="D9844" s="84"/>
    </row>
    <row r="9845" spans="4:4" x14ac:dyDescent="0.2">
      <c r="D9845" s="84"/>
    </row>
    <row r="9846" spans="4:4" x14ac:dyDescent="0.2">
      <c r="D9846" s="84"/>
    </row>
    <row r="9847" spans="4:4" x14ac:dyDescent="0.2">
      <c r="D9847" s="84"/>
    </row>
    <row r="9848" spans="4:4" x14ac:dyDescent="0.2">
      <c r="D9848" s="84"/>
    </row>
    <row r="9849" spans="4:4" x14ac:dyDescent="0.2">
      <c r="D9849" s="84"/>
    </row>
    <row r="9850" spans="4:4" x14ac:dyDescent="0.2">
      <c r="D9850" s="84"/>
    </row>
    <row r="9851" spans="4:4" x14ac:dyDescent="0.2">
      <c r="D9851" s="84"/>
    </row>
    <row r="9852" spans="4:4" x14ac:dyDescent="0.2">
      <c r="D9852" s="84"/>
    </row>
    <row r="9853" spans="4:4" x14ac:dyDescent="0.2">
      <c r="D9853" s="84"/>
    </row>
    <row r="9854" spans="4:4" x14ac:dyDescent="0.2">
      <c r="D9854" s="84"/>
    </row>
    <row r="9855" spans="4:4" x14ac:dyDescent="0.2">
      <c r="D9855" s="84"/>
    </row>
    <row r="9856" spans="4:4" x14ac:dyDescent="0.2">
      <c r="D9856" s="84"/>
    </row>
    <row r="9857" spans="4:4" x14ac:dyDescent="0.2">
      <c r="D9857" s="84"/>
    </row>
    <row r="9858" spans="4:4" x14ac:dyDescent="0.2">
      <c r="D9858" s="84"/>
    </row>
    <row r="9859" spans="4:4" x14ac:dyDescent="0.2">
      <c r="D9859" s="84"/>
    </row>
    <row r="9860" spans="4:4" x14ac:dyDescent="0.2">
      <c r="D9860" s="84"/>
    </row>
    <row r="9861" spans="4:4" x14ac:dyDescent="0.2">
      <c r="D9861" s="84"/>
    </row>
    <row r="9862" spans="4:4" x14ac:dyDescent="0.2">
      <c r="D9862" s="84"/>
    </row>
    <row r="9863" spans="4:4" x14ac:dyDescent="0.2">
      <c r="D9863" s="84"/>
    </row>
    <row r="9864" spans="4:4" x14ac:dyDescent="0.2">
      <c r="D9864" s="84"/>
    </row>
    <row r="9865" spans="4:4" x14ac:dyDescent="0.2">
      <c r="D9865" s="84"/>
    </row>
    <row r="9866" spans="4:4" x14ac:dyDescent="0.2">
      <c r="D9866" s="84"/>
    </row>
    <row r="9867" spans="4:4" x14ac:dyDescent="0.2">
      <c r="D9867" s="84"/>
    </row>
    <row r="9868" spans="4:4" x14ac:dyDescent="0.2">
      <c r="D9868" s="84"/>
    </row>
    <row r="9869" spans="4:4" x14ac:dyDescent="0.2">
      <c r="D9869" s="84"/>
    </row>
    <row r="9870" spans="4:4" x14ac:dyDescent="0.2">
      <c r="D9870" s="84"/>
    </row>
    <row r="9871" spans="4:4" x14ac:dyDescent="0.2">
      <c r="D9871" s="84"/>
    </row>
    <row r="9872" spans="4:4" x14ac:dyDescent="0.2">
      <c r="D9872" s="84"/>
    </row>
    <row r="9873" spans="4:4" x14ac:dyDescent="0.2">
      <c r="D9873" s="84"/>
    </row>
    <row r="9874" spans="4:4" x14ac:dyDescent="0.2">
      <c r="D9874" s="84"/>
    </row>
    <row r="9875" spans="4:4" x14ac:dyDescent="0.2">
      <c r="D9875" s="84"/>
    </row>
    <row r="9876" spans="4:4" x14ac:dyDescent="0.2">
      <c r="D9876" s="84"/>
    </row>
    <row r="9877" spans="4:4" x14ac:dyDescent="0.2">
      <c r="D9877" s="84"/>
    </row>
    <row r="9878" spans="4:4" x14ac:dyDescent="0.2">
      <c r="D9878" s="84"/>
    </row>
    <row r="9879" spans="4:4" x14ac:dyDescent="0.2">
      <c r="D9879" s="84"/>
    </row>
    <row r="9880" spans="4:4" x14ac:dyDescent="0.2">
      <c r="D9880" s="84"/>
    </row>
    <row r="9881" spans="4:4" x14ac:dyDescent="0.2">
      <c r="D9881" s="84"/>
    </row>
    <row r="9882" spans="4:4" x14ac:dyDescent="0.2">
      <c r="D9882" s="84"/>
    </row>
    <row r="9883" spans="4:4" x14ac:dyDescent="0.2">
      <c r="D9883" s="84"/>
    </row>
    <row r="9884" spans="4:4" x14ac:dyDescent="0.2">
      <c r="D9884" s="84"/>
    </row>
    <row r="9885" spans="4:4" x14ac:dyDescent="0.2">
      <c r="D9885" s="84"/>
    </row>
    <row r="9886" spans="4:4" x14ac:dyDescent="0.2">
      <c r="D9886" s="84"/>
    </row>
    <row r="9887" spans="4:4" x14ac:dyDescent="0.2">
      <c r="D9887" s="84"/>
    </row>
    <row r="9888" spans="4:4" x14ac:dyDescent="0.2">
      <c r="D9888" s="84"/>
    </row>
    <row r="9889" spans="4:4" x14ac:dyDescent="0.2">
      <c r="D9889" s="84"/>
    </row>
    <row r="9890" spans="4:4" x14ac:dyDescent="0.2">
      <c r="D9890" s="84"/>
    </row>
    <row r="9891" spans="4:4" x14ac:dyDescent="0.2">
      <c r="D9891" s="84"/>
    </row>
    <row r="9892" spans="4:4" x14ac:dyDescent="0.2">
      <c r="D9892" s="84"/>
    </row>
    <row r="9893" spans="4:4" x14ac:dyDescent="0.2">
      <c r="D9893" s="84"/>
    </row>
    <row r="9894" spans="4:4" x14ac:dyDescent="0.2">
      <c r="D9894" s="84"/>
    </row>
    <row r="9895" spans="4:4" x14ac:dyDescent="0.2">
      <c r="D9895" s="84"/>
    </row>
    <row r="9896" spans="4:4" x14ac:dyDescent="0.2">
      <c r="D9896" s="84"/>
    </row>
    <row r="9897" spans="4:4" x14ac:dyDescent="0.2">
      <c r="D9897" s="84"/>
    </row>
    <row r="9898" spans="4:4" x14ac:dyDescent="0.2">
      <c r="D9898" s="84"/>
    </row>
    <row r="9899" spans="4:4" x14ac:dyDescent="0.2">
      <c r="D9899" s="84"/>
    </row>
    <row r="9900" spans="4:4" x14ac:dyDescent="0.2">
      <c r="D9900" s="84"/>
    </row>
    <row r="9901" spans="4:4" x14ac:dyDescent="0.2">
      <c r="D9901" s="84"/>
    </row>
    <row r="9902" spans="4:4" x14ac:dyDescent="0.2">
      <c r="D9902" s="84"/>
    </row>
    <row r="9903" spans="4:4" x14ac:dyDescent="0.2">
      <c r="D9903" s="84"/>
    </row>
    <row r="9904" spans="4:4" x14ac:dyDescent="0.2">
      <c r="D9904" s="84"/>
    </row>
    <row r="9905" spans="4:4" x14ac:dyDescent="0.2">
      <c r="D9905" s="84"/>
    </row>
    <row r="9906" spans="4:4" x14ac:dyDescent="0.2">
      <c r="D9906" s="84"/>
    </row>
    <row r="9907" spans="4:4" x14ac:dyDescent="0.2">
      <c r="D9907" s="84"/>
    </row>
    <row r="9908" spans="4:4" x14ac:dyDescent="0.2">
      <c r="D9908" s="84"/>
    </row>
    <row r="9909" spans="4:4" x14ac:dyDescent="0.2">
      <c r="D9909" s="84"/>
    </row>
    <row r="9910" spans="4:4" x14ac:dyDescent="0.2">
      <c r="D9910" s="84"/>
    </row>
    <row r="9911" spans="4:4" x14ac:dyDescent="0.2">
      <c r="D9911" s="84"/>
    </row>
    <row r="9912" spans="4:4" x14ac:dyDescent="0.2">
      <c r="D9912" s="84"/>
    </row>
    <row r="9913" spans="4:4" x14ac:dyDescent="0.2">
      <c r="D9913" s="84"/>
    </row>
    <row r="9914" spans="4:4" x14ac:dyDescent="0.2">
      <c r="D9914" s="84"/>
    </row>
    <row r="9915" spans="4:4" x14ac:dyDescent="0.2">
      <c r="D9915" s="84"/>
    </row>
    <row r="9916" spans="4:4" x14ac:dyDescent="0.2">
      <c r="D9916" s="84"/>
    </row>
    <row r="9917" spans="4:4" x14ac:dyDescent="0.2">
      <c r="D9917" s="84"/>
    </row>
    <row r="9918" spans="4:4" x14ac:dyDescent="0.2">
      <c r="D9918" s="84"/>
    </row>
    <row r="9919" spans="4:4" x14ac:dyDescent="0.2">
      <c r="D9919" s="84"/>
    </row>
    <row r="9920" spans="4:4" x14ac:dyDescent="0.2">
      <c r="D9920" s="84"/>
    </row>
    <row r="9921" spans="4:4" x14ac:dyDescent="0.2">
      <c r="D9921" s="84"/>
    </row>
    <row r="9922" spans="4:4" x14ac:dyDescent="0.2">
      <c r="D9922" s="84"/>
    </row>
    <row r="9923" spans="4:4" x14ac:dyDescent="0.2">
      <c r="D9923" s="84"/>
    </row>
    <row r="9924" spans="4:4" x14ac:dyDescent="0.2">
      <c r="D9924" s="84"/>
    </row>
    <row r="9925" spans="4:4" x14ac:dyDescent="0.2">
      <c r="D9925" s="84"/>
    </row>
    <row r="9926" spans="4:4" x14ac:dyDescent="0.2">
      <c r="D9926" s="84"/>
    </row>
    <row r="9927" spans="4:4" x14ac:dyDescent="0.2">
      <c r="D9927" s="84"/>
    </row>
    <row r="9928" spans="4:4" x14ac:dyDescent="0.2">
      <c r="D9928" s="84"/>
    </row>
    <row r="9929" spans="4:4" x14ac:dyDescent="0.2">
      <c r="D9929" s="84"/>
    </row>
    <row r="9930" spans="4:4" x14ac:dyDescent="0.2">
      <c r="D9930" s="84"/>
    </row>
    <row r="9931" spans="4:4" x14ac:dyDescent="0.2">
      <c r="D9931" s="84"/>
    </row>
    <row r="9932" spans="4:4" x14ac:dyDescent="0.2">
      <c r="D9932" s="84"/>
    </row>
    <row r="9933" spans="4:4" x14ac:dyDescent="0.2">
      <c r="D9933" s="84"/>
    </row>
    <row r="9934" spans="4:4" x14ac:dyDescent="0.2">
      <c r="D9934" s="84"/>
    </row>
    <row r="9935" spans="4:4" x14ac:dyDescent="0.2">
      <c r="D9935" s="84"/>
    </row>
    <row r="9936" spans="4:4" x14ac:dyDescent="0.2">
      <c r="D9936" s="84"/>
    </row>
    <row r="9937" spans="4:4" x14ac:dyDescent="0.2">
      <c r="D9937" s="84"/>
    </row>
    <row r="9938" spans="4:4" x14ac:dyDescent="0.2">
      <c r="D9938" s="84"/>
    </row>
    <row r="9939" spans="4:4" x14ac:dyDescent="0.2">
      <c r="D9939" s="84"/>
    </row>
    <row r="9940" spans="4:4" x14ac:dyDescent="0.2">
      <c r="D9940" s="84"/>
    </row>
    <row r="9941" spans="4:4" x14ac:dyDescent="0.2">
      <c r="D9941" s="84"/>
    </row>
    <row r="9942" spans="4:4" x14ac:dyDescent="0.2">
      <c r="D9942" s="84"/>
    </row>
    <row r="9943" spans="4:4" x14ac:dyDescent="0.2">
      <c r="D9943" s="84"/>
    </row>
    <row r="9944" spans="4:4" x14ac:dyDescent="0.2">
      <c r="D9944" s="84"/>
    </row>
    <row r="9945" spans="4:4" x14ac:dyDescent="0.2">
      <c r="D9945" s="84"/>
    </row>
    <row r="9946" spans="4:4" x14ac:dyDescent="0.2">
      <c r="D9946" s="84"/>
    </row>
    <row r="9947" spans="4:4" x14ac:dyDescent="0.2">
      <c r="D9947" s="84"/>
    </row>
    <row r="9948" spans="4:4" x14ac:dyDescent="0.2">
      <c r="D9948" s="84"/>
    </row>
    <row r="9949" spans="4:4" x14ac:dyDescent="0.2">
      <c r="D9949" s="84"/>
    </row>
    <row r="9950" spans="4:4" x14ac:dyDescent="0.2">
      <c r="D9950" s="84"/>
    </row>
    <row r="9951" spans="4:4" x14ac:dyDescent="0.2">
      <c r="D9951" s="84"/>
    </row>
    <row r="9952" spans="4:4" x14ac:dyDescent="0.2">
      <c r="D9952" s="84"/>
    </row>
    <row r="9953" spans="4:4" x14ac:dyDescent="0.2">
      <c r="D9953" s="84"/>
    </row>
    <row r="9954" spans="4:4" x14ac:dyDescent="0.2">
      <c r="D9954" s="84"/>
    </row>
    <row r="9955" spans="4:4" x14ac:dyDescent="0.2">
      <c r="D9955" s="84"/>
    </row>
    <row r="9956" spans="4:4" x14ac:dyDescent="0.2">
      <c r="D9956" s="84"/>
    </row>
    <row r="9957" spans="4:4" x14ac:dyDescent="0.2">
      <c r="D9957" s="84"/>
    </row>
    <row r="9958" spans="4:4" x14ac:dyDescent="0.2">
      <c r="D9958" s="84"/>
    </row>
    <row r="9959" spans="4:4" x14ac:dyDescent="0.2">
      <c r="D9959" s="84"/>
    </row>
    <row r="9960" spans="4:4" x14ac:dyDescent="0.2">
      <c r="D9960" s="84"/>
    </row>
    <row r="9961" spans="4:4" x14ac:dyDescent="0.2">
      <c r="D9961" s="84"/>
    </row>
    <row r="9962" spans="4:4" x14ac:dyDescent="0.2">
      <c r="D9962" s="84"/>
    </row>
    <row r="9963" spans="4:4" x14ac:dyDescent="0.2">
      <c r="D9963" s="84"/>
    </row>
    <row r="9964" spans="4:4" x14ac:dyDescent="0.2">
      <c r="D9964" s="84"/>
    </row>
    <row r="9965" spans="4:4" x14ac:dyDescent="0.2">
      <c r="D9965" s="84"/>
    </row>
    <row r="9966" spans="4:4" x14ac:dyDescent="0.2">
      <c r="D9966" s="84"/>
    </row>
    <row r="9967" spans="4:4" x14ac:dyDescent="0.2">
      <c r="D9967" s="84"/>
    </row>
    <row r="9968" spans="4:4" x14ac:dyDescent="0.2">
      <c r="D9968" s="84"/>
    </row>
    <row r="9969" spans="4:4" x14ac:dyDescent="0.2">
      <c r="D9969" s="84"/>
    </row>
    <row r="9970" spans="4:4" x14ac:dyDescent="0.2">
      <c r="D9970" s="84"/>
    </row>
    <row r="9971" spans="4:4" x14ac:dyDescent="0.2">
      <c r="D9971" s="84"/>
    </row>
    <row r="9972" spans="4:4" x14ac:dyDescent="0.2">
      <c r="D9972" s="84"/>
    </row>
    <row r="9973" spans="4:4" x14ac:dyDescent="0.2">
      <c r="D9973" s="84"/>
    </row>
    <row r="9974" spans="4:4" x14ac:dyDescent="0.2">
      <c r="D9974" s="84"/>
    </row>
    <row r="9975" spans="4:4" x14ac:dyDescent="0.2">
      <c r="D9975" s="84"/>
    </row>
    <row r="9976" spans="4:4" x14ac:dyDescent="0.2">
      <c r="D9976" s="84"/>
    </row>
    <row r="9977" spans="4:4" x14ac:dyDescent="0.2">
      <c r="D9977" s="84"/>
    </row>
    <row r="9978" spans="4:4" x14ac:dyDescent="0.2">
      <c r="D9978" s="84"/>
    </row>
    <row r="9979" spans="4:4" x14ac:dyDescent="0.2">
      <c r="D9979" s="84"/>
    </row>
    <row r="9980" spans="4:4" x14ac:dyDescent="0.2">
      <c r="D9980" s="84"/>
    </row>
    <row r="9981" spans="4:4" x14ac:dyDescent="0.2">
      <c r="D9981" s="84"/>
    </row>
    <row r="9982" spans="4:4" x14ac:dyDescent="0.2">
      <c r="D9982" s="84"/>
    </row>
    <row r="9983" spans="4:4" x14ac:dyDescent="0.2">
      <c r="D9983" s="84"/>
    </row>
    <row r="9984" spans="4:4" x14ac:dyDescent="0.2">
      <c r="D9984" s="84"/>
    </row>
    <row r="9985" spans="4:4" x14ac:dyDescent="0.2">
      <c r="D9985" s="84"/>
    </row>
    <row r="9986" spans="4:4" x14ac:dyDescent="0.2">
      <c r="D9986" s="84"/>
    </row>
    <row r="9987" spans="4:4" x14ac:dyDescent="0.2">
      <c r="D9987" s="84"/>
    </row>
    <row r="9988" spans="4:4" x14ac:dyDescent="0.2">
      <c r="D9988" s="84"/>
    </row>
    <row r="9989" spans="4:4" x14ac:dyDescent="0.2">
      <c r="D9989" s="84"/>
    </row>
    <row r="9990" spans="4:4" x14ac:dyDescent="0.2">
      <c r="D9990" s="84"/>
    </row>
    <row r="9991" spans="4:4" x14ac:dyDescent="0.2">
      <c r="D9991" s="84"/>
    </row>
    <row r="9992" spans="4:4" x14ac:dyDescent="0.2">
      <c r="D9992" s="84"/>
    </row>
    <row r="9993" spans="4:4" x14ac:dyDescent="0.2">
      <c r="D9993" s="84"/>
    </row>
    <row r="9994" spans="4:4" x14ac:dyDescent="0.2">
      <c r="D9994" s="84"/>
    </row>
    <row r="9995" spans="4:4" x14ac:dyDescent="0.2">
      <c r="D9995" s="84"/>
    </row>
    <row r="9996" spans="4:4" x14ac:dyDescent="0.2">
      <c r="D9996" s="84"/>
    </row>
    <row r="9997" spans="4:4" x14ac:dyDescent="0.2">
      <c r="D9997" s="84"/>
    </row>
    <row r="9998" spans="4:4" x14ac:dyDescent="0.2">
      <c r="D9998" s="84"/>
    </row>
    <row r="9999" spans="4:4" x14ac:dyDescent="0.2">
      <c r="D9999" s="84"/>
    </row>
    <row r="10000" spans="4:4" x14ac:dyDescent="0.2">
      <c r="D10000" s="84"/>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2026-10-07T11:07:02Z</dcterms:modified>
</cp:coreProperties>
</file>