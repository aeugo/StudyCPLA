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1.노동법\00.통합\"/>
    </mc:Choice>
  </mc:AlternateContent>
  <xr:revisionPtr revIDLastSave="0" documentId="13_ncr:1_{F897F318-7F23-4DFC-BDB8-6B92A0521B35}" xr6:coauthVersionLast="47" xr6:coauthVersionMax="47" xr10:uidLastSave="{00000000-0000-0000-0000-000000000000}"/>
  <bookViews>
    <workbookView xWindow="-120" yWindow="-120" windowWidth="29040" windowHeight="15720" tabRatio="950" activeTab="1" xr2:uid="{4D92634D-11C4-4052-A5A5-28E583E4E652}"/>
  </bookViews>
  <sheets>
    <sheet name="설정" sheetId="96" r:id="rId1"/>
    <sheet name="통합목록" sheetId="111" r:id="rId2"/>
    <sheet name="문제목록" sheetId="105" r:id="rId3"/>
    <sheet name="주요쟁점" sheetId="113" r:id="rId4"/>
    <sheet name="관련용어" sheetId="75" r:id="rId5"/>
    <sheet name="관련법령" sheetId="103" r:id="rId6"/>
    <sheet name="기출빈도" sheetId="106" r:id="rId7"/>
    <sheet name="기출유형(노동1)" sheetId="115" r:id="rId8"/>
    <sheet name="기출유형(노동2)" sheetId="116" r:id="rId9"/>
  </sheets>
  <definedNames>
    <definedName name="_xlnm._FilterDatabase" localSheetId="4" hidden="1">관련용어!$B$3:$G$3</definedName>
    <definedName name="_xlnm._FilterDatabase" localSheetId="6" hidden="1">기출빈도!$B$3:$G$114</definedName>
    <definedName name="_xlnm._FilterDatabase" localSheetId="7" hidden="1">'기출유형(노동1)'!$B$3:$J$22</definedName>
    <definedName name="_xlnm._FilterDatabase" localSheetId="8">'기출유형(노동2)'!$B$3:$J$22</definedName>
    <definedName name="_xlnm._FilterDatabase" localSheetId="2" hidden="1">문제목록!$B$3:$U$174</definedName>
    <definedName name="_xlnm._FilterDatabase" localSheetId="3" hidden="1">주요쟁점!$B$3:$Q$3</definedName>
    <definedName name="_xlnm._FilterDatabase" localSheetId="1" hidden="1">통합목록!$B$3:$T$310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137" i="111" l="1"/>
  <c r="R137" i="111"/>
  <c r="S137" i="111"/>
  <c r="T137" i="111"/>
  <c r="O137" i="111"/>
  <c r="R26" i="105" l="1"/>
  <c r="T5" i="111" l="1"/>
  <c r="T6" i="111"/>
  <c r="T7" i="111"/>
  <c r="T8" i="111"/>
  <c r="T9" i="111"/>
  <c r="T10" i="111"/>
  <c r="T11" i="111"/>
  <c r="T12" i="111"/>
  <c r="T13" i="111"/>
  <c r="T14" i="111"/>
  <c r="T15" i="111"/>
  <c r="T16" i="111"/>
  <c r="T17" i="111"/>
  <c r="T18" i="111"/>
  <c r="T19" i="111"/>
  <c r="T20" i="111"/>
  <c r="T21" i="111"/>
  <c r="T22" i="111"/>
  <c r="T23" i="111"/>
  <c r="T24" i="111"/>
  <c r="T25" i="111"/>
  <c r="T26" i="111"/>
  <c r="T27" i="111"/>
  <c r="T28" i="111"/>
  <c r="T29" i="111"/>
  <c r="T30" i="111"/>
  <c r="T31" i="111"/>
  <c r="T32" i="111"/>
  <c r="T33" i="111"/>
  <c r="T34" i="111"/>
  <c r="T35" i="111"/>
  <c r="T36" i="111"/>
  <c r="T37" i="111"/>
  <c r="T38" i="111"/>
  <c r="T39" i="111"/>
  <c r="T40" i="111"/>
  <c r="T41" i="111"/>
  <c r="T42" i="111"/>
  <c r="T43" i="111"/>
  <c r="T44" i="111"/>
  <c r="T45" i="111"/>
  <c r="T46" i="111"/>
  <c r="T47" i="111"/>
  <c r="T48" i="111"/>
  <c r="T49" i="111"/>
  <c r="T50" i="111"/>
  <c r="T51" i="111"/>
  <c r="T52" i="111"/>
  <c r="T53" i="111"/>
  <c r="T54" i="111"/>
  <c r="T55" i="111"/>
  <c r="T56" i="111"/>
  <c r="T57" i="111"/>
  <c r="T58" i="111"/>
  <c r="T59" i="111"/>
  <c r="T60" i="111"/>
  <c r="T61" i="111"/>
  <c r="T62" i="111"/>
  <c r="T63" i="111"/>
  <c r="T64" i="111"/>
  <c r="T65" i="111"/>
  <c r="T66" i="111"/>
  <c r="T67" i="111"/>
  <c r="T68" i="111"/>
  <c r="T69" i="111"/>
  <c r="T70" i="111"/>
  <c r="T71" i="111"/>
  <c r="T72" i="111"/>
  <c r="T73" i="111"/>
  <c r="T74" i="111"/>
  <c r="T75" i="111"/>
  <c r="T76" i="111"/>
  <c r="T77" i="111"/>
  <c r="T78" i="111"/>
  <c r="T79" i="111"/>
  <c r="T80" i="111"/>
  <c r="T81" i="111"/>
  <c r="T82" i="111"/>
  <c r="T83" i="111"/>
  <c r="T84" i="111"/>
  <c r="T85" i="111"/>
  <c r="T86" i="111"/>
  <c r="T87" i="111"/>
  <c r="T88" i="111"/>
  <c r="T89" i="111"/>
  <c r="T90" i="111"/>
  <c r="T91" i="111"/>
  <c r="T92" i="111"/>
  <c r="T93" i="111"/>
  <c r="T94" i="111"/>
  <c r="T95" i="111"/>
  <c r="T96" i="111"/>
  <c r="T97" i="111"/>
  <c r="T98" i="111"/>
  <c r="T99" i="111"/>
  <c r="T100" i="111"/>
  <c r="T101" i="111"/>
  <c r="T102" i="111"/>
  <c r="T103" i="111"/>
  <c r="T104" i="111"/>
  <c r="T105" i="111"/>
  <c r="T106" i="111"/>
  <c r="T107" i="111"/>
  <c r="T108" i="111"/>
  <c r="T109" i="111"/>
  <c r="T110" i="111"/>
  <c r="T111" i="111"/>
  <c r="T112" i="111"/>
  <c r="T113" i="111"/>
  <c r="T114" i="111"/>
  <c r="T115" i="111"/>
  <c r="T116" i="111"/>
  <c r="T117" i="111"/>
  <c r="T118" i="111"/>
  <c r="T119" i="111"/>
  <c r="T120" i="111"/>
  <c r="T121" i="111"/>
  <c r="T122" i="111"/>
  <c r="T123" i="111"/>
  <c r="T124" i="111"/>
  <c r="T125" i="111"/>
  <c r="T126" i="111"/>
  <c r="T127" i="111"/>
  <c r="T128" i="111"/>
  <c r="T129" i="111"/>
  <c r="T130" i="111"/>
  <c r="T131" i="111"/>
  <c r="T132" i="111"/>
  <c r="T133" i="111"/>
  <c r="T134" i="111"/>
  <c r="T135" i="111"/>
  <c r="T136" i="111"/>
  <c r="T138" i="111"/>
  <c r="T139" i="111"/>
  <c r="T140" i="111"/>
  <c r="T141" i="111"/>
  <c r="T142" i="111"/>
  <c r="T143" i="111"/>
  <c r="T144" i="111"/>
  <c r="T145" i="111"/>
  <c r="T146" i="111"/>
  <c r="T147" i="111"/>
  <c r="T148" i="111"/>
  <c r="T149" i="111"/>
  <c r="T150" i="111"/>
  <c r="T151" i="111"/>
  <c r="T152" i="111"/>
  <c r="T153" i="111"/>
  <c r="T154" i="111"/>
  <c r="T155" i="111"/>
  <c r="T156" i="111"/>
  <c r="T157" i="111"/>
  <c r="T158" i="111"/>
  <c r="T159" i="111"/>
  <c r="T160" i="111"/>
  <c r="T161" i="111"/>
  <c r="T162" i="111"/>
  <c r="T163" i="111"/>
  <c r="T164" i="111"/>
  <c r="T165" i="111"/>
  <c r="T166" i="111"/>
  <c r="T167" i="111"/>
  <c r="T168" i="111"/>
  <c r="T169" i="111"/>
  <c r="T170" i="111"/>
  <c r="T171" i="111"/>
  <c r="T172" i="111"/>
  <c r="T173" i="111"/>
  <c r="T174" i="111"/>
  <c r="T175" i="111"/>
  <c r="T176" i="111"/>
  <c r="T177" i="111"/>
  <c r="T178" i="111"/>
  <c r="T179" i="111"/>
  <c r="T180" i="111"/>
  <c r="T181" i="111"/>
  <c r="T182" i="111"/>
  <c r="T183" i="111"/>
  <c r="T184" i="111"/>
  <c r="T185" i="111"/>
  <c r="T186" i="111"/>
  <c r="T187" i="111"/>
  <c r="T188" i="111"/>
  <c r="T189" i="111"/>
  <c r="T190" i="111"/>
  <c r="T191" i="111"/>
  <c r="T192" i="111"/>
  <c r="T193" i="111"/>
  <c r="T194" i="111"/>
  <c r="T195" i="111"/>
  <c r="T196" i="111"/>
  <c r="T197" i="111"/>
  <c r="T198" i="111"/>
  <c r="T199" i="111"/>
  <c r="T200" i="111"/>
  <c r="T201" i="111"/>
  <c r="T202" i="111"/>
  <c r="T203" i="111"/>
  <c r="T204" i="111"/>
  <c r="T205" i="111"/>
  <c r="T206" i="111"/>
  <c r="T207" i="111"/>
  <c r="T208" i="111"/>
  <c r="T209" i="111"/>
  <c r="T210" i="111"/>
  <c r="T211" i="111"/>
  <c r="T212" i="111"/>
  <c r="T213" i="111"/>
  <c r="T214" i="111"/>
  <c r="T215" i="111"/>
  <c r="T216" i="111"/>
  <c r="T217" i="111"/>
  <c r="T218" i="111"/>
  <c r="T219" i="111"/>
  <c r="T220" i="111"/>
  <c r="T221" i="111"/>
  <c r="T222" i="111"/>
  <c r="T223" i="111"/>
  <c r="T224" i="111"/>
  <c r="T225" i="111"/>
  <c r="T226" i="111"/>
  <c r="T227" i="111"/>
  <c r="T228" i="111"/>
  <c r="T229" i="111"/>
  <c r="T230" i="111"/>
  <c r="T231" i="111"/>
  <c r="T232" i="111"/>
  <c r="T233" i="111"/>
  <c r="T234" i="111"/>
  <c r="T235" i="111"/>
  <c r="T236" i="111"/>
  <c r="T237" i="111"/>
  <c r="T238" i="111"/>
  <c r="T239" i="111"/>
  <c r="T240" i="111"/>
  <c r="T241" i="111"/>
  <c r="T242" i="111"/>
  <c r="T243" i="111"/>
  <c r="T244" i="111"/>
  <c r="T245" i="111"/>
  <c r="T246" i="111"/>
  <c r="T247" i="111"/>
  <c r="T248" i="111"/>
  <c r="T249" i="111"/>
  <c r="T250" i="111"/>
  <c r="T251" i="111"/>
  <c r="T252" i="111"/>
  <c r="T253" i="111"/>
  <c r="T254" i="111"/>
  <c r="T255" i="111"/>
  <c r="T256" i="111"/>
  <c r="T257" i="111"/>
  <c r="T258" i="111"/>
  <c r="T259" i="111"/>
  <c r="T260" i="111"/>
  <c r="T261" i="111"/>
  <c r="T262" i="111"/>
  <c r="T263" i="111"/>
  <c r="T264" i="111"/>
  <c r="T265" i="111"/>
  <c r="T266" i="111"/>
  <c r="T267" i="111"/>
  <c r="T268" i="111"/>
  <c r="T269" i="111"/>
  <c r="T270" i="111"/>
  <c r="T271" i="111"/>
  <c r="T272" i="111"/>
  <c r="T273" i="111"/>
  <c r="T274" i="111"/>
  <c r="T275" i="111"/>
  <c r="T276" i="111"/>
  <c r="T277" i="111"/>
  <c r="T278" i="111"/>
  <c r="T279" i="111"/>
  <c r="T280" i="111"/>
  <c r="T281" i="111"/>
  <c r="T282" i="111"/>
  <c r="T283" i="111"/>
  <c r="T284" i="111"/>
  <c r="T285" i="111"/>
  <c r="T286" i="111"/>
  <c r="T287" i="111"/>
  <c r="T288" i="111"/>
  <c r="T289" i="111"/>
  <c r="T290" i="111"/>
  <c r="T291" i="111"/>
  <c r="T292" i="111"/>
  <c r="T293" i="111"/>
  <c r="T294" i="111"/>
  <c r="T295" i="111"/>
  <c r="T296" i="111"/>
  <c r="T297" i="111"/>
  <c r="T298" i="111"/>
  <c r="T299" i="111"/>
  <c r="T300" i="111"/>
  <c r="T301" i="111"/>
  <c r="T302" i="111"/>
  <c r="T303" i="111"/>
  <c r="T304" i="111"/>
  <c r="T305" i="111"/>
  <c r="T306" i="111"/>
  <c r="T307" i="111"/>
  <c r="T308" i="111"/>
  <c r="T309" i="111"/>
  <c r="T310" i="111"/>
  <c r="T4" i="111"/>
  <c r="O142" i="113" l="1"/>
  <c r="Q248" i="111"/>
  <c r="R248" i="111"/>
  <c r="S248" i="111"/>
  <c r="U27" i="105" l="1"/>
  <c r="U28" i="105"/>
  <c r="U29" i="105"/>
  <c r="U30" i="105"/>
  <c r="U31" i="105"/>
  <c r="U32" i="105"/>
  <c r="U33" i="105"/>
  <c r="U34" i="105"/>
  <c r="U35" i="105"/>
  <c r="U36" i="105"/>
  <c r="U37" i="105"/>
  <c r="U38" i="105"/>
  <c r="U39" i="105"/>
  <c r="U40" i="105"/>
  <c r="U41" i="105"/>
  <c r="U42" i="105"/>
  <c r="U43" i="105"/>
  <c r="U44" i="105"/>
  <c r="U45" i="105"/>
  <c r="U46" i="105"/>
  <c r="U47" i="105"/>
  <c r="U48" i="105"/>
  <c r="U49" i="105"/>
  <c r="U50" i="105"/>
  <c r="U51" i="105"/>
  <c r="U52" i="105"/>
  <c r="U53" i="105"/>
  <c r="U54" i="105"/>
  <c r="U55" i="105"/>
  <c r="U56" i="105"/>
  <c r="U57" i="105"/>
  <c r="U58" i="105"/>
  <c r="U59" i="105"/>
  <c r="U60" i="105"/>
  <c r="U61" i="105"/>
  <c r="U62" i="105"/>
  <c r="U63" i="105"/>
  <c r="U64" i="105"/>
  <c r="U65" i="105"/>
  <c r="U66" i="105"/>
  <c r="U67" i="105"/>
  <c r="U68" i="105"/>
  <c r="U69" i="105"/>
  <c r="U70" i="105"/>
  <c r="U71" i="105"/>
  <c r="U72" i="105"/>
  <c r="U73" i="105"/>
  <c r="U74" i="105"/>
  <c r="U75" i="105"/>
  <c r="U76" i="105"/>
  <c r="U77" i="105"/>
  <c r="U78" i="105"/>
  <c r="U79" i="105"/>
  <c r="U80" i="105"/>
  <c r="U81" i="105"/>
  <c r="U117" i="105"/>
  <c r="U118" i="105"/>
  <c r="U115" i="105"/>
  <c r="U116" i="105"/>
  <c r="U113" i="105"/>
  <c r="U114" i="105"/>
  <c r="U111" i="105"/>
  <c r="U112" i="105"/>
  <c r="U109" i="105"/>
  <c r="U110" i="105"/>
  <c r="U107" i="105"/>
  <c r="U108" i="105"/>
  <c r="U104" i="105"/>
  <c r="U105" i="105"/>
  <c r="U106" i="105"/>
  <c r="U102" i="105"/>
  <c r="U103" i="105"/>
  <c r="U100" i="105"/>
  <c r="U101" i="105"/>
  <c r="U98" i="105"/>
  <c r="U99" i="105"/>
  <c r="U96" i="105"/>
  <c r="U97" i="105"/>
  <c r="U94" i="105"/>
  <c r="U95" i="105"/>
  <c r="U92" i="105"/>
  <c r="U93" i="105"/>
  <c r="U90" i="105"/>
  <c r="U91" i="105"/>
  <c r="U88" i="105"/>
  <c r="U89" i="105"/>
  <c r="U86" i="105"/>
  <c r="U87" i="105"/>
  <c r="U84" i="105"/>
  <c r="U85" i="105"/>
  <c r="U82" i="105"/>
  <c r="U83" i="105"/>
  <c r="U119" i="105"/>
  <c r="U121" i="105"/>
  <c r="U122" i="105"/>
  <c r="U120" i="105"/>
  <c r="U123" i="105"/>
  <c r="U124" i="105"/>
  <c r="U125" i="105"/>
  <c r="U126" i="105"/>
  <c r="U127" i="105"/>
  <c r="U128" i="105"/>
  <c r="U129" i="105"/>
  <c r="U130" i="105"/>
  <c r="U131" i="105"/>
  <c r="U132" i="105"/>
  <c r="U133" i="105"/>
  <c r="U134" i="105"/>
  <c r="U135" i="105"/>
  <c r="U136" i="105"/>
  <c r="U137" i="105"/>
  <c r="U138" i="105"/>
  <c r="U139" i="105"/>
  <c r="U140" i="105"/>
  <c r="U141" i="105"/>
  <c r="U142" i="105"/>
  <c r="U143" i="105"/>
  <c r="U144" i="105"/>
  <c r="U145" i="105"/>
  <c r="U146" i="105"/>
  <c r="U147" i="105"/>
  <c r="U148" i="105"/>
  <c r="U149" i="105"/>
  <c r="U150" i="105"/>
  <c r="U151" i="105"/>
  <c r="U152" i="105"/>
  <c r="U153" i="105"/>
  <c r="U154" i="105"/>
  <c r="U155" i="105"/>
  <c r="U156" i="105"/>
  <c r="U157" i="105"/>
  <c r="U158" i="105"/>
  <c r="U159" i="105"/>
  <c r="U160" i="105"/>
  <c r="U161" i="105"/>
  <c r="U162" i="105"/>
  <c r="U163" i="105"/>
  <c r="U164" i="105"/>
  <c r="U165" i="105"/>
  <c r="U166" i="105"/>
  <c r="U167" i="105"/>
  <c r="U168" i="105"/>
  <c r="U169" i="105"/>
  <c r="U170" i="105"/>
  <c r="U171" i="105"/>
  <c r="U172" i="105"/>
  <c r="U173" i="105"/>
  <c r="U174" i="105"/>
  <c r="U24" i="105"/>
  <c r="U25" i="105"/>
  <c r="U22" i="105"/>
  <c r="U23" i="105"/>
  <c r="U20" i="105"/>
  <c r="U21" i="105"/>
  <c r="U18" i="105"/>
  <c r="U19" i="105"/>
  <c r="U16" i="105"/>
  <c r="U17" i="105"/>
  <c r="U14" i="105"/>
  <c r="U15" i="105"/>
  <c r="U12" i="105"/>
  <c r="U13" i="105"/>
  <c r="U10" i="105"/>
  <c r="U11" i="105"/>
  <c r="U8" i="105"/>
  <c r="U9" i="105"/>
  <c r="U6" i="105"/>
  <c r="U7" i="105"/>
  <c r="U4" i="105"/>
  <c r="U5" i="105"/>
  <c r="U26" i="105"/>
  <c r="S5" i="111"/>
  <c r="S6" i="111"/>
  <c r="S7" i="111"/>
  <c r="S8" i="111"/>
  <c r="S9" i="111"/>
  <c r="S10" i="111"/>
  <c r="S11" i="111"/>
  <c r="S12" i="111"/>
  <c r="S13" i="111"/>
  <c r="S14" i="111"/>
  <c r="S15" i="111"/>
  <c r="S16" i="111"/>
  <c r="S17" i="111"/>
  <c r="S18" i="111"/>
  <c r="S19" i="111"/>
  <c r="S20" i="111"/>
  <c r="S21" i="111"/>
  <c r="S22" i="111"/>
  <c r="S23" i="111"/>
  <c r="S24" i="111"/>
  <c r="S25" i="111"/>
  <c r="S26" i="111"/>
  <c r="S27" i="111"/>
  <c r="S28" i="111"/>
  <c r="S29" i="111"/>
  <c r="S30" i="111"/>
  <c r="S31" i="111"/>
  <c r="S32" i="111"/>
  <c r="S33" i="111"/>
  <c r="S34" i="111"/>
  <c r="S35" i="111"/>
  <c r="S36" i="111"/>
  <c r="S37" i="111"/>
  <c r="S38" i="111"/>
  <c r="S39" i="111"/>
  <c r="S40" i="111"/>
  <c r="S41" i="111"/>
  <c r="S42" i="111"/>
  <c r="S43" i="111"/>
  <c r="S44" i="111"/>
  <c r="S45" i="111"/>
  <c r="S46" i="111"/>
  <c r="S47" i="111"/>
  <c r="S48" i="111"/>
  <c r="S49" i="111"/>
  <c r="S50" i="111"/>
  <c r="S51" i="111"/>
  <c r="S52" i="111"/>
  <c r="S53" i="111"/>
  <c r="S54" i="111"/>
  <c r="S55" i="111"/>
  <c r="S56" i="111"/>
  <c r="S57" i="111"/>
  <c r="S58" i="111"/>
  <c r="S59" i="111"/>
  <c r="S60" i="111"/>
  <c r="S61" i="111"/>
  <c r="S62" i="111"/>
  <c r="S63" i="111"/>
  <c r="S64" i="111"/>
  <c r="S65" i="111"/>
  <c r="S66" i="111"/>
  <c r="S67" i="111"/>
  <c r="S68" i="111"/>
  <c r="S69" i="111"/>
  <c r="S70" i="111"/>
  <c r="S71" i="111"/>
  <c r="S72" i="111"/>
  <c r="S73" i="111"/>
  <c r="S74" i="111"/>
  <c r="S75" i="111"/>
  <c r="S76" i="111"/>
  <c r="S77" i="111"/>
  <c r="S78" i="111"/>
  <c r="S79" i="111"/>
  <c r="S80" i="111"/>
  <c r="S81" i="111"/>
  <c r="S82" i="111"/>
  <c r="S83" i="111"/>
  <c r="S84" i="111"/>
  <c r="S85" i="111"/>
  <c r="S86" i="111"/>
  <c r="S87" i="111"/>
  <c r="S88" i="111"/>
  <c r="S89" i="111"/>
  <c r="S90" i="111"/>
  <c r="S91" i="111"/>
  <c r="S92" i="111"/>
  <c r="S93" i="111"/>
  <c r="S94" i="111"/>
  <c r="S95" i="111"/>
  <c r="S96" i="111"/>
  <c r="S97" i="111"/>
  <c r="S98" i="111"/>
  <c r="S99" i="111"/>
  <c r="S100" i="111"/>
  <c r="S101" i="111"/>
  <c r="S102" i="111"/>
  <c r="S103" i="111"/>
  <c r="S104" i="111"/>
  <c r="S105" i="111"/>
  <c r="S106" i="111"/>
  <c r="S107" i="111"/>
  <c r="S108" i="111"/>
  <c r="S109" i="111"/>
  <c r="S110" i="111"/>
  <c r="S111" i="111"/>
  <c r="S112" i="111"/>
  <c r="S113" i="111"/>
  <c r="S114" i="111"/>
  <c r="S115" i="111"/>
  <c r="S116" i="111"/>
  <c r="S117" i="111"/>
  <c r="S118" i="111"/>
  <c r="S119" i="111"/>
  <c r="S120" i="111"/>
  <c r="S121" i="111"/>
  <c r="S122" i="111"/>
  <c r="S123" i="111"/>
  <c r="S124" i="111"/>
  <c r="S125" i="111"/>
  <c r="S126" i="111"/>
  <c r="S127" i="111"/>
  <c r="S128" i="111"/>
  <c r="S129" i="111"/>
  <c r="S130" i="111"/>
  <c r="S131" i="111"/>
  <c r="S132" i="111"/>
  <c r="S133" i="111"/>
  <c r="S134" i="111"/>
  <c r="S135" i="111"/>
  <c r="S136" i="111"/>
  <c r="S138" i="111"/>
  <c r="S139" i="111"/>
  <c r="S140" i="111"/>
  <c r="S141" i="111"/>
  <c r="S142" i="111"/>
  <c r="S143" i="111"/>
  <c r="S144" i="111"/>
  <c r="S145" i="111"/>
  <c r="S146" i="111"/>
  <c r="S147" i="111"/>
  <c r="S148" i="111"/>
  <c r="S149" i="111"/>
  <c r="S150" i="111"/>
  <c r="S151" i="111"/>
  <c r="S152" i="111"/>
  <c r="S153" i="111"/>
  <c r="S154" i="111"/>
  <c r="S155" i="111"/>
  <c r="S156" i="111"/>
  <c r="S157" i="111"/>
  <c r="S158" i="111"/>
  <c r="S159" i="111"/>
  <c r="S160" i="111"/>
  <c r="S161" i="111"/>
  <c r="S162" i="111"/>
  <c r="S163" i="111"/>
  <c r="S164" i="111"/>
  <c r="S165" i="111"/>
  <c r="S166" i="111"/>
  <c r="S167" i="111"/>
  <c r="S168" i="111"/>
  <c r="S169" i="111"/>
  <c r="S170" i="111"/>
  <c r="S171" i="111"/>
  <c r="S172" i="111"/>
  <c r="S173" i="111"/>
  <c r="S174" i="111"/>
  <c r="S175" i="111"/>
  <c r="S176" i="111"/>
  <c r="S177" i="111"/>
  <c r="S178" i="111"/>
  <c r="S179" i="111"/>
  <c r="S180" i="111"/>
  <c r="S181" i="111"/>
  <c r="S182" i="111"/>
  <c r="S183" i="111"/>
  <c r="S184" i="111"/>
  <c r="S185" i="111"/>
  <c r="S186" i="111"/>
  <c r="S187" i="111"/>
  <c r="S188" i="111"/>
  <c r="S189" i="111"/>
  <c r="S190" i="111"/>
  <c r="S191" i="111"/>
  <c r="S192" i="111"/>
  <c r="S193" i="111"/>
  <c r="S194" i="111"/>
  <c r="S195" i="111"/>
  <c r="S196" i="111"/>
  <c r="S197" i="111"/>
  <c r="S198" i="111"/>
  <c r="S199" i="111"/>
  <c r="S200" i="111"/>
  <c r="S201" i="111"/>
  <c r="S202" i="111"/>
  <c r="S203" i="111"/>
  <c r="S204" i="111"/>
  <c r="S205" i="111"/>
  <c r="S206" i="111"/>
  <c r="S207" i="111"/>
  <c r="S208" i="111"/>
  <c r="S209" i="111"/>
  <c r="S210" i="111"/>
  <c r="S211" i="111"/>
  <c r="S212" i="111"/>
  <c r="S213" i="111"/>
  <c r="S214" i="111"/>
  <c r="S215" i="111"/>
  <c r="S216" i="111"/>
  <c r="S217" i="111"/>
  <c r="S218" i="111"/>
  <c r="S219" i="111"/>
  <c r="S220" i="111"/>
  <c r="S221" i="111"/>
  <c r="S222" i="111"/>
  <c r="S223" i="111"/>
  <c r="S224" i="111"/>
  <c r="S225" i="111"/>
  <c r="S226" i="111"/>
  <c r="S227" i="111"/>
  <c r="S228" i="111"/>
  <c r="S229" i="111"/>
  <c r="S230" i="111"/>
  <c r="S231" i="111"/>
  <c r="S232" i="111"/>
  <c r="S233" i="111"/>
  <c r="S234" i="111"/>
  <c r="S235" i="111"/>
  <c r="S236" i="111"/>
  <c r="S237" i="111"/>
  <c r="S238" i="111"/>
  <c r="S239" i="111"/>
  <c r="S240" i="111"/>
  <c r="S241" i="111"/>
  <c r="S242" i="111"/>
  <c r="S243" i="111"/>
  <c r="S244" i="111"/>
  <c r="S245" i="111"/>
  <c r="S246" i="111"/>
  <c r="S247" i="111"/>
  <c r="S249" i="111"/>
  <c r="S250" i="111"/>
  <c r="S251" i="111"/>
  <c r="S252" i="111"/>
  <c r="S253" i="111"/>
  <c r="S254" i="111"/>
  <c r="S255" i="111"/>
  <c r="S256" i="111"/>
  <c r="S257" i="111"/>
  <c r="S258" i="111"/>
  <c r="S259" i="111"/>
  <c r="S260" i="111"/>
  <c r="S261" i="111"/>
  <c r="S262" i="111"/>
  <c r="S263" i="111"/>
  <c r="S264" i="111"/>
  <c r="S265" i="111"/>
  <c r="S266" i="111"/>
  <c r="S267" i="111"/>
  <c r="S268" i="111"/>
  <c r="S269" i="111"/>
  <c r="S270" i="111"/>
  <c r="S271" i="111"/>
  <c r="S272" i="111"/>
  <c r="S273" i="111"/>
  <c r="S274" i="111"/>
  <c r="S275" i="111"/>
  <c r="S276" i="111"/>
  <c r="S277" i="111"/>
  <c r="S278" i="111"/>
  <c r="S279" i="111"/>
  <c r="S280" i="111"/>
  <c r="S281" i="111"/>
  <c r="S282" i="111"/>
  <c r="S283" i="111"/>
  <c r="S284" i="111"/>
  <c r="S285" i="111"/>
  <c r="S286" i="111"/>
  <c r="S287" i="111"/>
  <c r="S288" i="111"/>
  <c r="S289" i="111"/>
  <c r="S290" i="111"/>
  <c r="S291" i="111"/>
  <c r="S292" i="111"/>
  <c r="S293" i="111"/>
  <c r="S294" i="111"/>
  <c r="S295" i="111"/>
  <c r="S296" i="111"/>
  <c r="S297" i="111"/>
  <c r="S298" i="111"/>
  <c r="S299" i="111"/>
  <c r="S300" i="111"/>
  <c r="S301" i="111"/>
  <c r="S302" i="111"/>
  <c r="S303" i="111"/>
  <c r="S304" i="111"/>
  <c r="S305" i="111"/>
  <c r="S306" i="111"/>
  <c r="S307" i="111"/>
  <c r="S308" i="111"/>
  <c r="S309" i="111"/>
  <c r="S310" i="111"/>
  <c r="S4" i="111"/>
  <c r="R5" i="111"/>
  <c r="R6" i="111"/>
  <c r="R7" i="111"/>
  <c r="R8" i="111"/>
  <c r="R9" i="111"/>
  <c r="R10" i="111"/>
  <c r="R11" i="111"/>
  <c r="R12" i="111"/>
  <c r="R13" i="111"/>
  <c r="R14" i="111"/>
  <c r="R15" i="111"/>
  <c r="R16" i="111"/>
  <c r="R17" i="111"/>
  <c r="R18" i="111"/>
  <c r="R19" i="111"/>
  <c r="R20" i="111"/>
  <c r="R21" i="111"/>
  <c r="R22" i="111"/>
  <c r="R23" i="111"/>
  <c r="R24" i="111"/>
  <c r="R25" i="111"/>
  <c r="R26" i="111"/>
  <c r="R27" i="111"/>
  <c r="R28" i="111"/>
  <c r="R29" i="111"/>
  <c r="R30" i="111"/>
  <c r="R31" i="111"/>
  <c r="R32" i="111"/>
  <c r="R33" i="111"/>
  <c r="R34" i="111"/>
  <c r="R35" i="111"/>
  <c r="R36" i="111"/>
  <c r="R37" i="111"/>
  <c r="R38" i="111"/>
  <c r="R39" i="111"/>
  <c r="R40" i="111"/>
  <c r="R41" i="111"/>
  <c r="R42" i="111"/>
  <c r="R43" i="111"/>
  <c r="R44" i="111"/>
  <c r="R45" i="111"/>
  <c r="R46" i="111"/>
  <c r="R47" i="111"/>
  <c r="R48" i="111"/>
  <c r="R49" i="111"/>
  <c r="R50" i="111"/>
  <c r="R51" i="111"/>
  <c r="R52" i="111"/>
  <c r="R53" i="111"/>
  <c r="R54" i="111"/>
  <c r="R55" i="111"/>
  <c r="R56" i="111"/>
  <c r="R57" i="111"/>
  <c r="R58" i="111"/>
  <c r="R59" i="111"/>
  <c r="R60" i="111"/>
  <c r="R61" i="111"/>
  <c r="R62" i="111"/>
  <c r="R63" i="111"/>
  <c r="R64" i="111"/>
  <c r="R65" i="111"/>
  <c r="R66" i="111"/>
  <c r="R67" i="111"/>
  <c r="R68" i="111"/>
  <c r="R69" i="111"/>
  <c r="R70" i="111"/>
  <c r="R71" i="111"/>
  <c r="R72" i="111"/>
  <c r="R73" i="111"/>
  <c r="R74" i="111"/>
  <c r="R75" i="111"/>
  <c r="R76" i="111"/>
  <c r="R77" i="111"/>
  <c r="R78" i="111"/>
  <c r="R79" i="111"/>
  <c r="R80" i="111"/>
  <c r="R81" i="111"/>
  <c r="R82" i="111"/>
  <c r="R83" i="111"/>
  <c r="R84" i="111"/>
  <c r="R85" i="111"/>
  <c r="R86" i="111"/>
  <c r="R87" i="111"/>
  <c r="R88" i="111"/>
  <c r="R89" i="111"/>
  <c r="R90" i="111"/>
  <c r="R91" i="111"/>
  <c r="R92" i="111"/>
  <c r="R93" i="111"/>
  <c r="R94" i="111"/>
  <c r="R95" i="111"/>
  <c r="R96" i="111"/>
  <c r="R97" i="111"/>
  <c r="R98" i="111"/>
  <c r="R99" i="111"/>
  <c r="R100" i="111"/>
  <c r="R101" i="111"/>
  <c r="R102" i="111"/>
  <c r="R103" i="111"/>
  <c r="R104" i="111"/>
  <c r="R105" i="111"/>
  <c r="R106" i="111"/>
  <c r="R107" i="111"/>
  <c r="R108" i="111"/>
  <c r="R109" i="111"/>
  <c r="R110" i="111"/>
  <c r="R111" i="111"/>
  <c r="R112" i="111"/>
  <c r="R113" i="111"/>
  <c r="R114" i="111"/>
  <c r="R115" i="111"/>
  <c r="R116" i="111"/>
  <c r="R117" i="111"/>
  <c r="R118" i="111"/>
  <c r="R119" i="111"/>
  <c r="R120" i="111"/>
  <c r="R121" i="111"/>
  <c r="R122" i="111"/>
  <c r="R123" i="111"/>
  <c r="R124" i="111"/>
  <c r="R125" i="111"/>
  <c r="R126" i="111"/>
  <c r="R127" i="111"/>
  <c r="R128" i="111"/>
  <c r="R129" i="111"/>
  <c r="R130" i="111"/>
  <c r="R131" i="111"/>
  <c r="R132" i="111"/>
  <c r="R133" i="111"/>
  <c r="R134" i="111"/>
  <c r="R135" i="111"/>
  <c r="R136" i="111"/>
  <c r="R138" i="111"/>
  <c r="R139" i="111"/>
  <c r="R140" i="111"/>
  <c r="R141" i="111"/>
  <c r="R142" i="111"/>
  <c r="R143" i="111"/>
  <c r="R144" i="111"/>
  <c r="R145" i="111"/>
  <c r="R146" i="111"/>
  <c r="R147" i="111"/>
  <c r="R148" i="111"/>
  <c r="R149" i="111"/>
  <c r="R150" i="111"/>
  <c r="R151" i="111"/>
  <c r="R152" i="111"/>
  <c r="R153" i="111"/>
  <c r="R154" i="111"/>
  <c r="R155" i="111"/>
  <c r="R156" i="111"/>
  <c r="R157" i="111"/>
  <c r="R158" i="111"/>
  <c r="R159" i="111"/>
  <c r="R160" i="111"/>
  <c r="R161" i="111"/>
  <c r="R162" i="111"/>
  <c r="R163" i="111"/>
  <c r="R164" i="111"/>
  <c r="R165" i="111"/>
  <c r="R166" i="111"/>
  <c r="R167" i="111"/>
  <c r="R168" i="111"/>
  <c r="R169" i="111"/>
  <c r="R170" i="111"/>
  <c r="R171" i="111"/>
  <c r="R172" i="111"/>
  <c r="R173" i="111"/>
  <c r="R174" i="111"/>
  <c r="R175" i="111"/>
  <c r="R176" i="111"/>
  <c r="R177" i="111"/>
  <c r="R178" i="111"/>
  <c r="R179" i="111"/>
  <c r="R180" i="111"/>
  <c r="R181" i="111"/>
  <c r="R182" i="111"/>
  <c r="R183" i="111"/>
  <c r="R184" i="111"/>
  <c r="R185" i="111"/>
  <c r="R186" i="111"/>
  <c r="R187" i="111"/>
  <c r="R188" i="111"/>
  <c r="R189" i="111"/>
  <c r="R190" i="111"/>
  <c r="R191" i="111"/>
  <c r="R192" i="111"/>
  <c r="R193" i="111"/>
  <c r="R194" i="111"/>
  <c r="R195" i="111"/>
  <c r="R196" i="111"/>
  <c r="R197" i="111"/>
  <c r="R198" i="111"/>
  <c r="R199" i="111"/>
  <c r="R200" i="111"/>
  <c r="R201" i="111"/>
  <c r="R202" i="111"/>
  <c r="R203" i="111"/>
  <c r="R204" i="111"/>
  <c r="R205" i="111"/>
  <c r="R206" i="111"/>
  <c r="R207" i="111"/>
  <c r="R208" i="111"/>
  <c r="R209" i="111"/>
  <c r="R210" i="111"/>
  <c r="R211" i="111"/>
  <c r="R212" i="111"/>
  <c r="R213" i="111"/>
  <c r="R214" i="111"/>
  <c r="R215" i="111"/>
  <c r="R216" i="111"/>
  <c r="R217" i="111"/>
  <c r="R218" i="111"/>
  <c r="R219" i="111"/>
  <c r="R220" i="111"/>
  <c r="R221" i="111"/>
  <c r="R222" i="111"/>
  <c r="R223" i="111"/>
  <c r="R224" i="111"/>
  <c r="R225" i="111"/>
  <c r="R226" i="111"/>
  <c r="R227" i="111"/>
  <c r="R228" i="111"/>
  <c r="R229" i="111"/>
  <c r="R230" i="111"/>
  <c r="R231" i="111"/>
  <c r="R232" i="111"/>
  <c r="R233" i="111"/>
  <c r="R234" i="111"/>
  <c r="R235" i="111"/>
  <c r="R236" i="111"/>
  <c r="R237" i="111"/>
  <c r="R238" i="111"/>
  <c r="R239" i="111"/>
  <c r="R240" i="111"/>
  <c r="R241" i="111"/>
  <c r="R242" i="111"/>
  <c r="R243" i="111"/>
  <c r="R244" i="111"/>
  <c r="R245" i="111"/>
  <c r="R246" i="111"/>
  <c r="R247" i="111"/>
  <c r="R249" i="111"/>
  <c r="R250" i="111"/>
  <c r="R251" i="111"/>
  <c r="R252" i="111"/>
  <c r="R253" i="111"/>
  <c r="R254" i="111"/>
  <c r="R255" i="111"/>
  <c r="R256" i="111"/>
  <c r="R257" i="111"/>
  <c r="R258" i="111"/>
  <c r="R259" i="111"/>
  <c r="R260" i="111"/>
  <c r="R261" i="111"/>
  <c r="R262" i="111"/>
  <c r="R263" i="111"/>
  <c r="R264" i="111"/>
  <c r="R265" i="111"/>
  <c r="R266" i="111"/>
  <c r="R267" i="111"/>
  <c r="R268" i="111"/>
  <c r="R269" i="111"/>
  <c r="R270" i="111"/>
  <c r="R271" i="111"/>
  <c r="R272" i="111"/>
  <c r="R273" i="111"/>
  <c r="R274" i="111"/>
  <c r="R275" i="111"/>
  <c r="R276" i="111"/>
  <c r="R277" i="111"/>
  <c r="R278" i="111"/>
  <c r="R279" i="111"/>
  <c r="R280" i="111"/>
  <c r="R281" i="111"/>
  <c r="R282" i="111"/>
  <c r="R283" i="111"/>
  <c r="R284" i="111"/>
  <c r="R285" i="111"/>
  <c r="R286" i="111"/>
  <c r="R287" i="111"/>
  <c r="R288" i="111"/>
  <c r="R289" i="111"/>
  <c r="R290" i="111"/>
  <c r="R291" i="111"/>
  <c r="R292" i="111"/>
  <c r="R293" i="111"/>
  <c r="R294" i="111"/>
  <c r="R295" i="111"/>
  <c r="R296" i="111"/>
  <c r="R297" i="111"/>
  <c r="R298" i="111"/>
  <c r="R299" i="111"/>
  <c r="R300" i="111"/>
  <c r="R301" i="111"/>
  <c r="R302" i="111"/>
  <c r="R303" i="111"/>
  <c r="R304" i="111"/>
  <c r="R305" i="111"/>
  <c r="R306" i="111"/>
  <c r="R307" i="111"/>
  <c r="R308" i="111"/>
  <c r="R309" i="111"/>
  <c r="R310" i="111"/>
  <c r="R4" i="111"/>
  <c r="Q5" i="111"/>
  <c r="Q6" i="111"/>
  <c r="Q7" i="111"/>
  <c r="Q8" i="111"/>
  <c r="Q9" i="111"/>
  <c r="Q10" i="111"/>
  <c r="Q11" i="111"/>
  <c r="Q12" i="111"/>
  <c r="Q13" i="111"/>
  <c r="Q14" i="111"/>
  <c r="Q15" i="111"/>
  <c r="Q16" i="111"/>
  <c r="Q17" i="111"/>
  <c r="Q18" i="111"/>
  <c r="Q19" i="111"/>
  <c r="Q20" i="111"/>
  <c r="Q21" i="111"/>
  <c r="Q22" i="111"/>
  <c r="Q23" i="111"/>
  <c r="Q24" i="111"/>
  <c r="Q25" i="111"/>
  <c r="Q26" i="111"/>
  <c r="Q27" i="111"/>
  <c r="Q28" i="111"/>
  <c r="Q29" i="111"/>
  <c r="Q30" i="111"/>
  <c r="Q31" i="111"/>
  <c r="Q32" i="111"/>
  <c r="Q33" i="111"/>
  <c r="Q34" i="111"/>
  <c r="Q35" i="111"/>
  <c r="Q36" i="111"/>
  <c r="Q37" i="111"/>
  <c r="Q38" i="111"/>
  <c r="Q39" i="111"/>
  <c r="Q40" i="111"/>
  <c r="Q41" i="111"/>
  <c r="Q42" i="111"/>
  <c r="Q43" i="111"/>
  <c r="Q44" i="111"/>
  <c r="Q45" i="111"/>
  <c r="Q46" i="111"/>
  <c r="Q47" i="111"/>
  <c r="Q48" i="111"/>
  <c r="Q49" i="111"/>
  <c r="Q50" i="111"/>
  <c r="Q51" i="111"/>
  <c r="Q52" i="111"/>
  <c r="Q53" i="111"/>
  <c r="Q54" i="111"/>
  <c r="Q55" i="111"/>
  <c r="Q56" i="111"/>
  <c r="Q57" i="111"/>
  <c r="Q58" i="111"/>
  <c r="Q59" i="111"/>
  <c r="Q60" i="111"/>
  <c r="Q61" i="111"/>
  <c r="Q62" i="111"/>
  <c r="Q63" i="111"/>
  <c r="Q64" i="111"/>
  <c r="Q65" i="111"/>
  <c r="Q66" i="111"/>
  <c r="Q67" i="111"/>
  <c r="Q68" i="111"/>
  <c r="Q69" i="111"/>
  <c r="Q70" i="111"/>
  <c r="Q71" i="111"/>
  <c r="Q72" i="111"/>
  <c r="Q73" i="111"/>
  <c r="Q74" i="111"/>
  <c r="Q75" i="111"/>
  <c r="Q76" i="111"/>
  <c r="Q77" i="111"/>
  <c r="Q78" i="111"/>
  <c r="Q79" i="111"/>
  <c r="Q80" i="111"/>
  <c r="Q81" i="111"/>
  <c r="Q82" i="111"/>
  <c r="Q83" i="111"/>
  <c r="Q84" i="111"/>
  <c r="Q85" i="111"/>
  <c r="Q86" i="111"/>
  <c r="Q87" i="111"/>
  <c r="Q88" i="111"/>
  <c r="Q89" i="111"/>
  <c r="Q90" i="111"/>
  <c r="Q91" i="111"/>
  <c r="Q92" i="111"/>
  <c r="Q93" i="111"/>
  <c r="Q94" i="111"/>
  <c r="Q95" i="111"/>
  <c r="Q96" i="111"/>
  <c r="Q97" i="111"/>
  <c r="Q98" i="111"/>
  <c r="Q99" i="111"/>
  <c r="Q100" i="111"/>
  <c r="Q101" i="111"/>
  <c r="Q102" i="111"/>
  <c r="Q103" i="111"/>
  <c r="Q104" i="111"/>
  <c r="Q105" i="111"/>
  <c r="Q106" i="111"/>
  <c r="Q107" i="111"/>
  <c r="Q108" i="111"/>
  <c r="Q109" i="111"/>
  <c r="Q110" i="111"/>
  <c r="Q111" i="111"/>
  <c r="Q112" i="111"/>
  <c r="Q113" i="111"/>
  <c r="Q114" i="111"/>
  <c r="Q115" i="111"/>
  <c r="Q116" i="111"/>
  <c r="Q117" i="111"/>
  <c r="Q118" i="111"/>
  <c r="Q119" i="111"/>
  <c r="Q120" i="111"/>
  <c r="Q121" i="111"/>
  <c r="Q122" i="111"/>
  <c r="Q123" i="111"/>
  <c r="Q124" i="111"/>
  <c r="Q125" i="111"/>
  <c r="Q126" i="111"/>
  <c r="Q127" i="111"/>
  <c r="Q128" i="111"/>
  <c r="Q129" i="111"/>
  <c r="Q130" i="111"/>
  <c r="Q131" i="111"/>
  <c r="Q132" i="111"/>
  <c r="Q133" i="111"/>
  <c r="Q134" i="111"/>
  <c r="Q135" i="111"/>
  <c r="Q136" i="111"/>
  <c r="Q138" i="111"/>
  <c r="Q139" i="111"/>
  <c r="Q140" i="111"/>
  <c r="Q141" i="111"/>
  <c r="Q142" i="111"/>
  <c r="Q143" i="111"/>
  <c r="Q144" i="111"/>
  <c r="Q145" i="111"/>
  <c r="Q146" i="111"/>
  <c r="Q147" i="111"/>
  <c r="Q148" i="111"/>
  <c r="Q149" i="111"/>
  <c r="Q150" i="111"/>
  <c r="Q151" i="111"/>
  <c r="Q152" i="111"/>
  <c r="Q153" i="111"/>
  <c r="Q154" i="111"/>
  <c r="Q155" i="111"/>
  <c r="Q156" i="111"/>
  <c r="Q157" i="111"/>
  <c r="Q158" i="111"/>
  <c r="Q159" i="111"/>
  <c r="Q160" i="111"/>
  <c r="Q161" i="111"/>
  <c r="Q162" i="111"/>
  <c r="Q163" i="111"/>
  <c r="Q164" i="111"/>
  <c r="Q165" i="111"/>
  <c r="Q166" i="111"/>
  <c r="Q167" i="111"/>
  <c r="Q168" i="111"/>
  <c r="Q169" i="111"/>
  <c r="Q170" i="111"/>
  <c r="Q171" i="111"/>
  <c r="Q172" i="111"/>
  <c r="Q173" i="111"/>
  <c r="Q174" i="111"/>
  <c r="Q175" i="111"/>
  <c r="Q176" i="111"/>
  <c r="Q177" i="111"/>
  <c r="Q178" i="111"/>
  <c r="Q179" i="111"/>
  <c r="Q180" i="111"/>
  <c r="Q181" i="111"/>
  <c r="Q182" i="111"/>
  <c r="Q183" i="111"/>
  <c r="Q184" i="111"/>
  <c r="Q185" i="111"/>
  <c r="Q186" i="111"/>
  <c r="Q187" i="111"/>
  <c r="Q188" i="111"/>
  <c r="Q189" i="111"/>
  <c r="Q190" i="111"/>
  <c r="Q191" i="111"/>
  <c r="Q192" i="111"/>
  <c r="Q193" i="111"/>
  <c r="Q194" i="111"/>
  <c r="Q195" i="111"/>
  <c r="Q196" i="111"/>
  <c r="Q197" i="111"/>
  <c r="Q198" i="111"/>
  <c r="Q199" i="111"/>
  <c r="Q200" i="111"/>
  <c r="Q201" i="111"/>
  <c r="Q202" i="111"/>
  <c r="Q203" i="111"/>
  <c r="Q204" i="111"/>
  <c r="Q205" i="111"/>
  <c r="Q206" i="111"/>
  <c r="Q207" i="111"/>
  <c r="Q208" i="111"/>
  <c r="Q209" i="111"/>
  <c r="Q210" i="111"/>
  <c r="Q211" i="111"/>
  <c r="Q212" i="111"/>
  <c r="Q213" i="111"/>
  <c r="Q214" i="111"/>
  <c r="Q215" i="111"/>
  <c r="Q216" i="111"/>
  <c r="Q217" i="111"/>
  <c r="Q218" i="111"/>
  <c r="Q219" i="111"/>
  <c r="Q220" i="111"/>
  <c r="Q221" i="111"/>
  <c r="Q222" i="111"/>
  <c r="Q223" i="111"/>
  <c r="Q224" i="111"/>
  <c r="Q225" i="111"/>
  <c r="Q226" i="111"/>
  <c r="Q227" i="111"/>
  <c r="Q228" i="111"/>
  <c r="Q229" i="111"/>
  <c r="Q230" i="111"/>
  <c r="Q231" i="111"/>
  <c r="Q232" i="111"/>
  <c r="Q233" i="111"/>
  <c r="Q234" i="111"/>
  <c r="Q235" i="111"/>
  <c r="Q236" i="111"/>
  <c r="Q237" i="111"/>
  <c r="Q238" i="111"/>
  <c r="Q239" i="111"/>
  <c r="Q240" i="111"/>
  <c r="Q241" i="111"/>
  <c r="Q242" i="111"/>
  <c r="Q243" i="111"/>
  <c r="Q244" i="111"/>
  <c r="Q245" i="111"/>
  <c r="Q246" i="111"/>
  <c r="Q247" i="111"/>
  <c r="Q249" i="111"/>
  <c r="Q250" i="111"/>
  <c r="Q251" i="111"/>
  <c r="Q252" i="111"/>
  <c r="Q253" i="111"/>
  <c r="Q254" i="111"/>
  <c r="Q255" i="111"/>
  <c r="Q256" i="111"/>
  <c r="Q257" i="111"/>
  <c r="Q258" i="111"/>
  <c r="Q259" i="111"/>
  <c r="Q260" i="111"/>
  <c r="Q261" i="111"/>
  <c r="Q262" i="111"/>
  <c r="Q263" i="111"/>
  <c r="Q264" i="111"/>
  <c r="Q265" i="111"/>
  <c r="Q266" i="111"/>
  <c r="Q267" i="111"/>
  <c r="Q268" i="111"/>
  <c r="Q269" i="111"/>
  <c r="Q270" i="111"/>
  <c r="Q271" i="111"/>
  <c r="Q272" i="111"/>
  <c r="Q273" i="111"/>
  <c r="Q274" i="111"/>
  <c r="Q275" i="111"/>
  <c r="Q276" i="111"/>
  <c r="Q277" i="111"/>
  <c r="Q278" i="111"/>
  <c r="Q279" i="111"/>
  <c r="Q280" i="111"/>
  <c r="Q281" i="111"/>
  <c r="Q282" i="111"/>
  <c r="Q283" i="111"/>
  <c r="Q284" i="111"/>
  <c r="Q285" i="111"/>
  <c r="Q286" i="111"/>
  <c r="Q287" i="111"/>
  <c r="Q288" i="111"/>
  <c r="Q289" i="111"/>
  <c r="Q290" i="111"/>
  <c r="Q291" i="111"/>
  <c r="Q292" i="111"/>
  <c r="Q293" i="111"/>
  <c r="Q294" i="111"/>
  <c r="Q295" i="111"/>
  <c r="Q296" i="111"/>
  <c r="Q297" i="111"/>
  <c r="Q298" i="111"/>
  <c r="Q299" i="111"/>
  <c r="Q300" i="111"/>
  <c r="Q301" i="111"/>
  <c r="Q302" i="111"/>
  <c r="Q303" i="111"/>
  <c r="Q304" i="111"/>
  <c r="Q305" i="111"/>
  <c r="Q306" i="111"/>
  <c r="Q307" i="111"/>
  <c r="Q308" i="111"/>
  <c r="Q309" i="111"/>
  <c r="Q310" i="111"/>
  <c r="Q4" i="111"/>
  <c r="Q5" i="113"/>
  <c r="Q6" i="113"/>
  <c r="Q7" i="113"/>
  <c r="Q8" i="113"/>
  <c r="Q9" i="113"/>
  <c r="Q10" i="113"/>
  <c r="Q11" i="113"/>
  <c r="Q12" i="113"/>
  <c r="Q13" i="113"/>
  <c r="Q14" i="113"/>
  <c r="Q15" i="113"/>
  <c r="Q16" i="113"/>
  <c r="Q17" i="113"/>
  <c r="Q18" i="113"/>
  <c r="Q19" i="113"/>
  <c r="Q20" i="113"/>
  <c r="Q21" i="113"/>
  <c r="Q22" i="113"/>
  <c r="Q23" i="113"/>
  <c r="Q24" i="113"/>
  <c r="Q25" i="113"/>
  <c r="Q26" i="113"/>
  <c r="Q27" i="113"/>
  <c r="Q28" i="113"/>
  <c r="Q29" i="113"/>
  <c r="Q30" i="113"/>
  <c r="Q31" i="113"/>
  <c r="Q32" i="113"/>
  <c r="Q33" i="113"/>
  <c r="Q34" i="113"/>
  <c r="Q35" i="113"/>
  <c r="Q36" i="113"/>
  <c r="Q37" i="113"/>
  <c r="Q38" i="113"/>
  <c r="Q39" i="113"/>
  <c r="Q40" i="113"/>
  <c r="Q41" i="113"/>
  <c r="Q42" i="113"/>
  <c r="Q43" i="113"/>
  <c r="Q44" i="113"/>
  <c r="Q45" i="113"/>
  <c r="Q46" i="113"/>
  <c r="Q47" i="113"/>
  <c r="Q48" i="113"/>
  <c r="Q49" i="113"/>
  <c r="Q50" i="113"/>
  <c r="Q51" i="113"/>
  <c r="Q52" i="113"/>
  <c r="Q53" i="113"/>
  <c r="Q54" i="113"/>
  <c r="Q55" i="113"/>
  <c r="Q56" i="113"/>
  <c r="Q57" i="113"/>
  <c r="Q58" i="113"/>
  <c r="Q59" i="113"/>
  <c r="Q60" i="113"/>
  <c r="Q61" i="113"/>
  <c r="Q62" i="113"/>
  <c r="Q63" i="113"/>
  <c r="Q64" i="113"/>
  <c r="Q65" i="113"/>
  <c r="Q66" i="113"/>
  <c r="Q67" i="113"/>
  <c r="Q68" i="113"/>
  <c r="Q69" i="113"/>
  <c r="Q70" i="113"/>
  <c r="Q71" i="113"/>
  <c r="Q72" i="113"/>
  <c r="Q73" i="113"/>
  <c r="Q74" i="113"/>
  <c r="Q75" i="113"/>
  <c r="Q76" i="113"/>
  <c r="Q77" i="113"/>
  <c r="Q78" i="113"/>
  <c r="Q79" i="113"/>
  <c r="Q80" i="113"/>
  <c r="Q81" i="113"/>
  <c r="Q82" i="113"/>
  <c r="Q83" i="113"/>
  <c r="Q84" i="113"/>
  <c r="Q85" i="113"/>
  <c r="Q86" i="113"/>
  <c r="Q87" i="113"/>
  <c r="Q88" i="113"/>
  <c r="Q89" i="113"/>
  <c r="Q90" i="113"/>
  <c r="Q91" i="113"/>
  <c r="Q92" i="113"/>
  <c r="Q93" i="113"/>
  <c r="Q94" i="113"/>
  <c r="Q95" i="113"/>
  <c r="Q96" i="113"/>
  <c r="Q97" i="113"/>
  <c r="Q98" i="113"/>
  <c r="Q99" i="113"/>
  <c r="Q100" i="113"/>
  <c r="Q101" i="113"/>
  <c r="Q102" i="113"/>
  <c r="Q103" i="113"/>
  <c r="Q104" i="113"/>
  <c r="Q105" i="113"/>
  <c r="Q106" i="113"/>
  <c r="Q107" i="113"/>
  <c r="Q108" i="113"/>
  <c r="Q109" i="113"/>
  <c r="Q110" i="113"/>
  <c r="Q111" i="113"/>
  <c r="Q112" i="113"/>
  <c r="Q113" i="113"/>
  <c r="Q114" i="113"/>
  <c r="Q115" i="113"/>
  <c r="Q116" i="113"/>
  <c r="Q117" i="113"/>
  <c r="Q118" i="113"/>
  <c r="Q119" i="113"/>
  <c r="Q120" i="113"/>
  <c r="Q121" i="113"/>
  <c r="Q122" i="113"/>
  <c r="Q123" i="113"/>
  <c r="Q124" i="113"/>
  <c r="Q125" i="113"/>
  <c r="Q126" i="113"/>
  <c r="Q127" i="113"/>
  <c r="Q128" i="113"/>
  <c r="Q129" i="113"/>
  <c r="Q130" i="113"/>
  <c r="Q131" i="113"/>
  <c r="Q132" i="113"/>
  <c r="Q133" i="113"/>
  <c r="Q134" i="113"/>
  <c r="Q135" i="113"/>
  <c r="Q136" i="113"/>
  <c r="Q137" i="113"/>
  <c r="Q142" i="113"/>
  <c r="Q138" i="113"/>
  <c r="Q139" i="113"/>
  <c r="Q140" i="113"/>
  <c r="Q141" i="113"/>
  <c r="Q143" i="113"/>
  <c r="Q144" i="113"/>
  <c r="Q145" i="113"/>
  <c r="Q146" i="113"/>
  <c r="Q147" i="113"/>
  <c r="Q148" i="113"/>
  <c r="Q149" i="113"/>
  <c r="Q150" i="113"/>
  <c r="Q151" i="113"/>
  <c r="Q152" i="113"/>
  <c r="Q153" i="113"/>
  <c r="Q154" i="113"/>
  <c r="Q155" i="113"/>
  <c r="Q156" i="113"/>
  <c r="Q157" i="113"/>
  <c r="Q158" i="113"/>
  <c r="Q159" i="113"/>
  <c r="Q160" i="113"/>
  <c r="Q161" i="113"/>
  <c r="Q162" i="113"/>
  <c r="Q163" i="113"/>
  <c r="Q164" i="113"/>
  <c r="Q165" i="113"/>
  <c r="Q166" i="113"/>
  <c r="Q167" i="113"/>
  <c r="Q168" i="113"/>
  <c r="Q169" i="113"/>
  <c r="Q170" i="113"/>
  <c r="Q171" i="113"/>
  <c r="Q172" i="113"/>
  <c r="Q173" i="113"/>
  <c r="Q174" i="113"/>
  <c r="Q4" i="113"/>
  <c r="N5" i="105" l="1"/>
  <c r="N6" i="105"/>
  <c r="N19" i="105"/>
  <c r="N31" i="105"/>
  <c r="N43" i="105"/>
  <c r="N55" i="105"/>
  <c r="N67" i="105"/>
  <c r="N79" i="105"/>
  <c r="N91" i="105"/>
  <c r="N103" i="105"/>
  <c r="N115" i="105"/>
  <c r="N127" i="105"/>
  <c r="N7" i="105"/>
  <c r="N20" i="105"/>
  <c r="N32" i="105"/>
  <c r="N44" i="105"/>
  <c r="N56" i="105"/>
  <c r="N68" i="105"/>
  <c r="N80" i="105"/>
  <c r="N92" i="105"/>
  <c r="N104" i="105"/>
  <c r="N116" i="105"/>
  <c r="N128" i="105"/>
  <c r="N140" i="105"/>
  <c r="N152" i="105"/>
  <c r="N164" i="105"/>
  <c r="N106" i="105"/>
  <c r="N154" i="105"/>
  <c r="N89" i="105"/>
  <c r="N90" i="105"/>
  <c r="N8" i="105"/>
  <c r="N21" i="105"/>
  <c r="N33" i="105"/>
  <c r="N45" i="105"/>
  <c r="N57" i="105"/>
  <c r="N69" i="105"/>
  <c r="N81" i="105"/>
  <c r="N93" i="105"/>
  <c r="N105" i="105"/>
  <c r="N117" i="105"/>
  <c r="N129" i="105"/>
  <c r="N141" i="105"/>
  <c r="N153" i="105"/>
  <c r="N165" i="105"/>
  <c r="N34" i="105"/>
  <c r="N46" i="105"/>
  <c r="N70" i="105"/>
  <c r="N82" i="105"/>
  <c r="N118" i="105"/>
  <c r="N130" i="105"/>
  <c r="N166" i="105"/>
  <c r="N172" i="105"/>
  <c r="N149" i="105"/>
  <c r="N17" i="105"/>
  <c r="N138" i="105"/>
  <c r="N9" i="105"/>
  <c r="N22" i="105"/>
  <c r="N58" i="105"/>
  <c r="N94" i="105"/>
  <c r="N142" i="105"/>
  <c r="N101" i="105"/>
  <c r="N78" i="105"/>
  <c r="N151" i="105"/>
  <c r="N10" i="105"/>
  <c r="N23" i="105"/>
  <c r="N35" i="105"/>
  <c r="N47" i="105"/>
  <c r="N59" i="105"/>
  <c r="N71" i="105"/>
  <c r="N83" i="105"/>
  <c r="N95" i="105"/>
  <c r="N107" i="105"/>
  <c r="N119" i="105"/>
  <c r="N131" i="105"/>
  <c r="N143" i="105"/>
  <c r="N155" i="105"/>
  <c r="N167" i="105"/>
  <c r="N156" i="105"/>
  <c r="N168" i="105"/>
  <c r="N25" i="105"/>
  <c r="N61" i="105"/>
  <c r="N73" i="105"/>
  <c r="N109" i="105"/>
  <c r="N133" i="105"/>
  <c r="N145" i="105"/>
  <c r="N169" i="105"/>
  <c r="N51" i="105"/>
  <c r="N87" i="105"/>
  <c r="N147" i="105"/>
  <c r="N40" i="105"/>
  <c r="N64" i="105"/>
  <c r="N100" i="105"/>
  <c r="N148" i="105"/>
  <c r="N113" i="105"/>
  <c r="N173" i="105"/>
  <c r="N114" i="105"/>
  <c r="N162" i="105"/>
  <c r="N11" i="105"/>
  <c r="N24" i="105"/>
  <c r="N36" i="105"/>
  <c r="N48" i="105"/>
  <c r="N60" i="105"/>
  <c r="N72" i="105"/>
  <c r="N84" i="105"/>
  <c r="N96" i="105"/>
  <c r="N108" i="105"/>
  <c r="N120" i="105"/>
  <c r="N132" i="105"/>
  <c r="N144" i="105"/>
  <c r="N37" i="105"/>
  <c r="N49" i="105"/>
  <c r="N85" i="105"/>
  <c r="N121" i="105"/>
  <c r="N157" i="105"/>
  <c r="N63" i="105"/>
  <c r="N123" i="105"/>
  <c r="N171" i="105"/>
  <c r="N52" i="105"/>
  <c r="N112" i="105"/>
  <c r="N65" i="105"/>
  <c r="N54" i="105"/>
  <c r="N163" i="105"/>
  <c r="N12" i="105"/>
  <c r="N97" i="105"/>
  <c r="N39" i="105"/>
  <c r="N99" i="105"/>
  <c r="N159" i="105"/>
  <c r="N76" i="105"/>
  <c r="N136" i="105"/>
  <c r="N125" i="105"/>
  <c r="N42" i="105"/>
  <c r="N174" i="105"/>
  <c r="N13" i="105"/>
  <c r="N26" i="105"/>
  <c r="N38" i="105"/>
  <c r="N50" i="105"/>
  <c r="N62" i="105"/>
  <c r="N74" i="105"/>
  <c r="N86" i="105"/>
  <c r="N98" i="105"/>
  <c r="N110" i="105"/>
  <c r="N122" i="105"/>
  <c r="N134" i="105"/>
  <c r="N146" i="105"/>
  <c r="N158" i="105"/>
  <c r="N170" i="105"/>
  <c r="N27" i="105"/>
  <c r="N75" i="105"/>
  <c r="N111" i="105"/>
  <c r="N135" i="105"/>
  <c r="N28" i="105"/>
  <c r="N88" i="105"/>
  <c r="N124" i="105"/>
  <c r="N160" i="105"/>
  <c r="N137" i="105"/>
  <c r="N30" i="105"/>
  <c r="N126" i="105"/>
  <c r="N14" i="105"/>
  <c r="N102" i="105"/>
  <c r="N139" i="105"/>
  <c r="N15" i="105"/>
  <c r="N16" i="105"/>
  <c r="N29" i="105"/>
  <c r="N41" i="105"/>
  <c r="N53" i="105"/>
  <c r="N77" i="105"/>
  <c r="N161" i="105"/>
  <c r="N66" i="105"/>
  <c r="N150" i="105"/>
  <c r="N4" i="105"/>
  <c r="N18" i="105"/>
  <c r="N174" i="113"/>
  <c r="N170" i="113"/>
  <c r="N166" i="113"/>
  <c r="N162" i="113"/>
  <c r="N158" i="113"/>
  <c r="N154" i="113"/>
  <c r="N150" i="113"/>
  <c r="N146" i="113"/>
  <c r="N142" i="113"/>
  <c r="N138" i="113"/>
  <c r="N134" i="113"/>
  <c r="N130" i="113"/>
  <c r="N126" i="113"/>
  <c r="N122" i="113"/>
  <c r="N118" i="113"/>
  <c r="N114" i="113"/>
  <c r="N110" i="113"/>
  <c r="N106" i="113"/>
  <c r="N102" i="113"/>
  <c r="N98" i="113"/>
  <c r="N94" i="113"/>
  <c r="N90" i="113"/>
  <c r="N86" i="113"/>
  <c r="N82" i="113"/>
  <c r="N78" i="113"/>
  <c r="N74" i="113"/>
  <c r="N70" i="113"/>
  <c r="N66" i="113"/>
  <c r="N62" i="113"/>
  <c r="N58" i="113"/>
  <c r="N54" i="113"/>
  <c r="N46" i="113"/>
  <c r="N34" i="113"/>
  <c r="N26" i="113"/>
  <c r="N14" i="113"/>
  <c r="M162" i="113"/>
  <c r="M146" i="113"/>
  <c r="M130" i="113"/>
  <c r="M114" i="113"/>
  <c r="M98" i="113"/>
  <c r="M82" i="113"/>
  <c r="M70" i="113"/>
  <c r="M58" i="113"/>
  <c r="M42" i="113"/>
  <c r="M30" i="113"/>
  <c r="M14" i="113"/>
  <c r="G166" i="113"/>
  <c r="G146" i="113"/>
  <c r="G130" i="113"/>
  <c r="G114" i="113"/>
  <c r="G98" i="113"/>
  <c r="G86" i="113"/>
  <c r="G66" i="113"/>
  <c r="G22" i="113"/>
  <c r="M174" i="113"/>
  <c r="M166" i="113"/>
  <c r="M154" i="113"/>
  <c r="M138" i="113"/>
  <c r="M122" i="113"/>
  <c r="M106" i="113"/>
  <c r="M90" i="113"/>
  <c r="M74" i="113"/>
  <c r="M54" i="113"/>
  <c r="M38" i="113"/>
  <c r="M22" i="113"/>
  <c r="M6" i="113"/>
  <c r="G162" i="113"/>
  <c r="G138" i="113"/>
  <c r="G122" i="113"/>
  <c r="G106" i="113"/>
  <c r="G90" i="113"/>
  <c r="G78" i="113"/>
  <c r="G50" i="113"/>
  <c r="G174" i="113"/>
  <c r="N173" i="113"/>
  <c r="N169" i="113"/>
  <c r="N165" i="113"/>
  <c r="N161" i="113"/>
  <c r="N157" i="113"/>
  <c r="N153" i="113"/>
  <c r="N149" i="113"/>
  <c r="N145" i="113"/>
  <c r="N141" i="113"/>
  <c r="N137" i="113"/>
  <c r="N133" i="113"/>
  <c r="N129" i="113"/>
  <c r="N125" i="113"/>
  <c r="N121" i="113"/>
  <c r="N117" i="113"/>
  <c r="N113" i="113"/>
  <c r="N109" i="113"/>
  <c r="N105" i="113"/>
  <c r="N101" i="113"/>
  <c r="N97" i="113"/>
  <c r="N93" i="113"/>
  <c r="N89" i="113"/>
  <c r="N85" i="113"/>
  <c r="N81" i="113"/>
  <c r="N77" i="113"/>
  <c r="N73" i="113"/>
  <c r="N69" i="113"/>
  <c r="N65" i="113"/>
  <c r="N61" i="113"/>
  <c r="N57" i="113"/>
  <c r="N53" i="113"/>
  <c r="N49" i="113"/>
  <c r="N45" i="113"/>
  <c r="N41" i="113"/>
  <c r="N37" i="113"/>
  <c r="N33" i="113"/>
  <c r="N29" i="113"/>
  <c r="N25" i="113"/>
  <c r="N21" i="113"/>
  <c r="N17" i="113"/>
  <c r="N13" i="113"/>
  <c r="N9" i="113"/>
  <c r="N5" i="113"/>
  <c r="G61" i="113"/>
  <c r="G45" i="113"/>
  <c r="G33" i="113"/>
  <c r="G21" i="113"/>
  <c r="G9" i="113"/>
  <c r="M40" i="113"/>
  <c r="M16" i="113"/>
  <c r="G44" i="113"/>
  <c r="G20" i="113"/>
  <c r="N63" i="113"/>
  <c r="N19" i="113"/>
  <c r="M63" i="113"/>
  <c r="M31" i="113"/>
  <c r="G38" i="113"/>
  <c r="M173" i="113"/>
  <c r="M169" i="113"/>
  <c r="M165" i="113"/>
  <c r="M161" i="113"/>
  <c r="M157" i="113"/>
  <c r="M153" i="113"/>
  <c r="M149" i="113"/>
  <c r="M145" i="113"/>
  <c r="M141" i="113"/>
  <c r="M137" i="113"/>
  <c r="M133" i="113"/>
  <c r="M129" i="113"/>
  <c r="M125" i="113"/>
  <c r="M121" i="113"/>
  <c r="M117" i="113"/>
  <c r="M113" i="113"/>
  <c r="M109" i="113"/>
  <c r="M105" i="113"/>
  <c r="M101" i="113"/>
  <c r="M97" i="113"/>
  <c r="M93" i="113"/>
  <c r="M89" i="113"/>
  <c r="M85" i="113"/>
  <c r="M81" i="113"/>
  <c r="M77" i="113"/>
  <c r="M73" i="113"/>
  <c r="M69" i="113"/>
  <c r="M65" i="113"/>
  <c r="M61" i="113"/>
  <c r="M57" i="113"/>
  <c r="M53" i="113"/>
  <c r="M49" i="113"/>
  <c r="M45" i="113"/>
  <c r="M41" i="113"/>
  <c r="M37" i="113"/>
  <c r="M33" i="113"/>
  <c r="M29" i="113"/>
  <c r="M25" i="113"/>
  <c r="M21" i="113"/>
  <c r="M17" i="113"/>
  <c r="M13" i="113"/>
  <c r="M9" i="113"/>
  <c r="M5" i="113"/>
  <c r="G65" i="113"/>
  <c r="G53" i="113"/>
  <c r="G41" i="113"/>
  <c r="G29" i="113"/>
  <c r="G17" i="113"/>
  <c r="G5" i="113"/>
  <c r="M44" i="113"/>
  <c r="M20" i="113"/>
  <c r="G48" i="113"/>
  <c r="G12" i="113"/>
  <c r="N67" i="113"/>
  <c r="N23" i="113"/>
  <c r="M71" i="113"/>
  <c r="M23" i="113"/>
  <c r="G42" i="113"/>
  <c r="G173" i="113"/>
  <c r="G169" i="113"/>
  <c r="G165" i="113"/>
  <c r="G161" i="113"/>
  <c r="G157" i="113"/>
  <c r="G153" i="113"/>
  <c r="G149" i="113"/>
  <c r="G145" i="113"/>
  <c r="G141" i="113"/>
  <c r="G137" i="113"/>
  <c r="G133" i="113"/>
  <c r="G129" i="113"/>
  <c r="G125" i="113"/>
  <c r="G121" i="113"/>
  <c r="G117" i="113"/>
  <c r="G113" i="113"/>
  <c r="G109" i="113"/>
  <c r="G105" i="113"/>
  <c r="G101" i="113"/>
  <c r="G97" i="113"/>
  <c r="G93" i="113"/>
  <c r="G89" i="113"/>
  <c r="G85" i="113"/>
  <c r="G81" i="113"/>
  <c r="G77" i="113"/>
  <c r="G73" i="113"/>
  <c r="G69" i="113"/>
  <c r="G57" i="113"/>
  <c r="G49" i="113"/>
  <c r="G37" i="113"/>
  <c r="G25" i="113"/>
  <c r="G13" i="113"/>
  <c r="M48" i="113"/>
  <c r="M24" i="113"/>
  <c r="G40" i="113"/>
  <c r="G16" i="113"/>
  <c r="N59" i="113"/>
  <c r="N31" i="113"/>
  <c r="M67" i="113"/>
  <c r="M27" i="113"/>
  <c r="G34" i="113"/>
  <c r="N172" i="113"/>
  <c r="N168" i="113"/>
  <c r="N164" i="113"/>
  <c r="N160" i="113"/>
  <c r="N156" i="113"/>
  <c r="N152" i="113"/>
  <c r="N148" i="113"/>
  <c r="N144" i="113"/>
  <c r="N140" i="113"/>
  <c r="N136" i="113"/>
  <c r="N132" i="113"/>
  <c r="N128" i="113"/>
  <c r="N124" i="113"/>
  <c r="N120" i="113"/>
  <c r="N116" i="113"/>
  <c r="N112" i="113"/>
  <c r="N108" i="113"/>
  <c r="N104" i="113"/>
  <c r="N100" i="113"/>
  <c r="N96" i="113"/>
  <c r="N92" i="113"/>
  <c r="N88" i="113"/>
  <c r="N84" i="113"/>
  <c r="N80" i="113"/>
  <c r="N76" i="113"/>
  <c r="N72" i="113"/>
  <c r="N68" i="113"/>
  <c r="N64" i="113"/>
  <c r="N60" i="113"/>
  <c r="N56" i="113"/>
  <c r="N52" i="113"/>
  <c r="N48" i="113"/>
  <c r="N44" i="113"/>
  <c r="N40" i="113"/>
  <c r="N36" i="113"/>
  <c r="N32" i="113"/>
  <c r="N28" i="113"/>
  <c r="N24" i="113"/>
  <c r="N20" i="113"/>
  <c r="N16" i="113"/>
  <c r="N12" i="113"/>
  <c r="N8" i="113"/>
  <c r="N4" i="113"/>
  <c r="M160" i="113"/>
  <c r="M148" i="113"/>
  <c r="M140" i="113"/>
  <c r="M132" i="113"/>
  <c r="M128" i="113"/>
  <c r="M120" i="113"/>
  <c r="M116" i="113"/>
  <c r="M108" i="113"/>
  <c r="M104" i="113"/>
  <c r="M96" i="113"/>
  <c r="M88" i="113"/>
  <c r="M84" i="113"/>
  <c r="M76" i="113"/>
  <c r="M72" i="113"/>
  <c r="M64" i="113"/>
  <c r="M60" i="113"/>
  <c r="M52" i="113"/>
  <c r="M36" i="113"/>
  <c r="M28" i="113"/>
  <c r="M12" i="113"/>
  <c r="M4" i="113"/>
  <c r="G52" i="113"/>
  <c r="G28" i="113"/>
  <c r="G8" i="113"/>
  <c r="N75" i="113"/>
  <c r="N51" i="113"/>
  <c r="N35" i="113"/>
  <c r="N15" i="113"/>
  <c r="M83" i="113"/>
  <c r="M55" i="113"/>
  <c r="M35" i="113"/>
  <c r="M15" i="113"/>
  <c r="G62" i="113"/>
  <c r="G14" i="113"/>
  <c r="M172" i="113"/>
  <c r="M168" i="113"/>
  <c r="M164" i="113"/>
  <c r="M156" i="113"/>
  <c r="M152" i="113"/>
  <c r="M144" i="113"/>
  <c r="M136" i="113"/>
  <c r="M124" i="113"/>
  <c r="M112" i="113"/>
  <c r="M100" i="113"/>
  <c r="M92" i="113"/>
  <c r="M80" i="113"/>
  <c r="M68" i="113"/>
  <c r="M56" i="113"/>
  <c r="M32" i="113"/>
  <c r="M8" i="113"/>
  <c r="G32" i="113"/>
  <c r="N83" i="113"/>
  <c r="N39" i="113"/>
  <c r="M75" i="113"/>
  <c r="M39" i="113"/>
  <c r="G54" i="113"/>
  <c r="G6" i="113"/>
  <c r="G172" i="113"/>
  <c r="G168" i="113"/>
  <c r="G164" i="113"/>
  <c r="G160" i="113"/>
  <c r="G156" i="113"/>
  <c r="G152" i="113"/>
  <c r="G148" i="113"/>
  <c r="G144" i="113"/>
  <c r="G140" i="113"/>
  <c r="G136" i="113"/>
  <c r="G132" i="113"/>
  <c r="G128" i="113"/>
  <c r="G124" i="113"/>
  <c r="G120" i="113"/>
  <c r="G116" i="113"/>
  <c r="G112" i="113"/>
  <c r="G108" i="113"/>
  <c r="G104" i="113"/>
  <c r="G100" i="113"/>
  <c r="G96" i="113"/>
  <c r="G92" i="113"/>
  <c r="G88" i="113"/>
  <c r="G84" i="113"/>
  <c r="G80" i="113"/>
  <c r="G76" i="113"/>
  <c r="G72" i="113"/>
  <c r="G68" i="113"/>
  <c r="G64" i="113"/>
  <c r="G60" i="113"/>
  <c r="G56" i="113"/>
  <c r="G36" i="113"/>
  <c r="G24" i="113"/>
  <c r="G4" i="113"/>
  <c r="N71" i="113"/>
  <c r="N55" i="113"/>
  <c r="N43" i="113"/>
  <c r="N27" i="113"/>
  <c r="N11" i="113"/>
  <c r="M87" i="113"/>
  <c r="M59" i="113"/>
  <c r="M43" i="113"/>
  <c r="M19" i="113"/>
  <c r="G70" i="113"/>
  <c r="G46" i="113"/>
  <c r="G10" i="113"/>
  <c r="N171" i="113"/>
  <c r="N167" i="113"/>
  <c r="N163" i="113"/>
  <c r="N159" i="113"/>
  <c r="N155" i="113"/>
  <c r="N151" i="113"/>
  <c r="N147" i="113"/>
  <c r="N143" i="113"/>
  <c r="N139" i="113"/>
  <c r="N135" i="113"/>
  <c r="N131" i="113"/>
  <c r="N127" i="113"/>
  <c r="N123" i="113"/>
  <c r="N119" i="113"/>
  <c r="N115" i="113"/>
  <c r="N111" i="113"/>
  <c r="N107" i="113"/>
  <c r="N103" i="113"/>
  <c r="N99" i="113"/>
  <c r="N95" i="113"/>
  <c r="N91" i="113"/>
  <c r="N87" i="113"/>
  <c r="N79" i="113"/>
  <c r="N47" i="113"/>
  <c r="N7" i="113"/>
  <c r="M51" i="113"/>
  <c r="M11" i="113"/>
  <c r="G18" i="113"/>
  <c r="M171" i="113"/>
  <c r="M167" i="113"/>
  <c r="M163" i="113"/>
  <c r="M159" i="113"/>
  <c r="M155" i="113"/>
  <c r="M151" i="113"/>
  <c r="M147" i="113"/>
  <c r="M143" i="113"/>
  <c r="M139" i="113"/>
  <c r="M135" i="113"/>
  <c r="M131" i="113"/>
  <c r="M127" i="113"/>
  <c r="M123" i="113"/>
  <c r="M119" i="113"/>
  <c r="M115" i="113"/>
  <c r="M111" i="113"/>
  <c r="M107" i="113"/>
  <c r="M103" i="113"/>
  <c r="M99" i="113"/>
  <c r="M95" i="113"/>
  <c r="M91" i="113"/>
  <c r="M79" i="113"/>
  <c r="M47" i="113"/>
  <c r="M7" i="113"/>
  <c r="G30" i="113"/>
  <c r="G171" i="113"/>
  <c r="G167" i="113"/>
  <c r="G163" i="113"/>
  <c r="G159" i="113"/>
  <c r="G155" i="113"/>
  <c r="G151" i="113"/>
  <c r="G147" i="113"/>
  <c r="G143" i="113"/>
  <c r="G139" i="113"/>
  <c r="G135" i="113"/>
  <c r="G131" i="113"/>
  <c r="G127" i="113"/>
  <c r="G123" i="113"/>
  <c r="G119" i="113"/>
  <c r="G115" i="113"/>
  <c r="G111" i="113"/>
  <c r="G107" i="113"/>
  <c r="G103" i="113"/>
  <c r="G99" i="113"/>
  <c r="G95" i="113"/>
  <c r="G91" i="113"/>
  <c r="G87" i="113"/>
  <c r="G83" i="113"/>
  <c r="G79" i="113"/>
  <c r="G75" i="113"/>
  <c r="G71" i="113"/>
  <c r="G67" i="113"/>
  <c r="G63" i="113"/>
  <c r="G59" i="113"/>
  <c r="G55" i="113"/>
  <c r="G51" i="113"/>
  <c r="G47" i="113"/>
  <c r="G43" i="113"/>
  <c r="G39" i="113"/>
  <c r="G35" i="113"/>
  <c r="G31" i="113"/>
  <c r="G27" i="113"/>
  <c r="G23" i="113"/>
  <c r="G19" i="113"/>
  <c r="G15" i="113"/>
  <c r="G11" i="113"/>
  <c r="G7" i="113"/>
  <c r="N50" i="113"/>
  <c r="N42" i="113"/>
  <c r="N38" i="113"/>
  <c r="N30" i="113"/>
  <c r="N22" i="113"/>
  <c r="N18" i="113"/>
  <c r="N10" i="113"/>
  <c r="N6" i="113"/>
  <c r="M170" i="113"/>
  <c r="M158" i="113"/>
  <c r="M150" i="113"/>
  <c r="M142" i="113"/>
  <c r="M134" i="113"/>
  <c r="M126" i="113"/>
  <c r="M118" i="113"/>
  <c r="M110" i="113"/>
  <c r="M102" i="113"/>
  <c r="M94" i="113"/>
  <c r="M86" i="113"/>
  <c r="M78" i="113"/>
  <c r="M66" i="113"/>
  <c r="M62" i="113"/>
  <c r="M50" i="113"/>
  <c r="M46" i="113"/>
  <c r="M34" i="113"/>
  <c r="M26" i="113"/>
  <c r="M18" i="113"/>
  <c r="M10" i="113"/>
  <c r="G170" i="113"/>
  <c r="G158" i="113"/>
  <c r="G154" i="113"/>
  <c r="G150" i="113"/>
  <c r="G142" i="113"/>
  <c r="G134" i="113"/>
  <c r="G126" i="113"/>
  <c r="G118" i="113"/>
  <c r="G110" i="113"/>
  <c r="G102" i="113"/>
  <c r="G94" i="113"/>
  <c r="G82" i="113"/>
  <c r="G74" i="113"/>
  <c r="G58" i="113"/>
  <c r="G26" i="113"/>
  <c r="L7" i="105"/>
  <c r="K7" i="105"/>
  <c r="L19" i="105"/>
  <c r="K19" i="105"/>
  <c r="L170" i="105"/>
  <c r="K170" i="105"/>
  <c r="L158" i="105"/>
  <c r="K158" i="105"/>
  <c r="L146" i="105"/>
  <c r="K146" i="105"/>
  <c r="K134" i="105"/>
  <c r="L134" i="105"/>
  <c r="L120" i="105"/>
  <c r="K120" i="105"/>
  <c r="L91" i="105"/>
  <c r="K91" i="105"/>
  <c r="L103" i="105"/>
  <c r="K103" i="105"/>
  <c r="L113" i="105"/>
  <c r="K113" i="105"/>
  <c r="L74" i="105"/>
  <c r="K74" i="105"/>
  <c r="L62" i="105"/>
  <c r="K62" i="105"/>
  <c r="L50" i="105"/>
  <c r="K50" i="105"/>
  <c r="L38" i="105"/>
  <c r="K38" i="105"/>
  <c r="L122" i="105"/>
  <c r="K122" i="105"/>
  <c r="L21" i="105"/>
  <c r="K21" i="105"/>
  <c r="L168" i="105"/>
  <c r="K168" i="105"/>
  <c r="L156" i="105"/>
  <c r="K156" i="105"/>
  <c r="L144" i="105"/>
  <c r="K144" i="105"/>
  <c r="L132" i="105"/>
  <c r="K132" i="105"/>
  <c r="L121" i="105"/>
  <c r="K121" i="105"/>
  <c r="L93" i="105"/>
  <c r="K93" i="105"/>
  <c r="L106" i="105"/>
  <c r="K106" i="105"/>
  <c r="L115" i="105"/>
  <c r="K115" i="105"/>
  <c r="L72" i="105"/>
  <c r="K72" i="105"/>
  <c r="L60" i="105"/>
  <c r="K60" i="105"/>
  <c r="L48" i="105"/>
  <c r="K48" i="105"/>
  <c r="L36" i="105"/>
  <c r="K36" i="105"/>
  <c r="L18" i="105"/>
  <c r="K18" i="105"/>
  <c r="L157" i="105"/>
  <c r="K157" i="105"/>
  <c r="L145" i="105"/>
  <c r="K145" i="105"/>
  <c r="L90" i="105"/>
  <c r="K90" i="105"/>
  <c r="L116" i="105"/>
  <c r="K116" i="105"/>
  <c r="L73" i="105"/>
  <c r="K73" i="105"/>
  <c r="L61" i="105"/>
  <c r="K61" i="105"/>
  <c r="L37" i="105"/>
  <c r="K37" i="105"/>
  <c r="K9" i="105"/>
  <c r="L9" i="105"/>
  <c r="K8" i="105"/>
  <c r="L8" i="105"/>
  <c r="L20" i="105"/>
  <c r="K20" i="105"/>
  <c r="L167" i="105"/>
  <c r="K167" i="105"/>
  <c r="L155" i="105"/>
  <c r="K155" i="105"/>
  <c r="L143" i="105"/>
  <c r="K143" i="105"/>
  <c r="L131" i="105"/>
  <c r="K131" i="105"/>
  <c r="L119" i="105"/>
  <c r="K119" i="105"/>
  <c r="K92" i="105"/>
  <c r="L92" i="105"/>
  <c r="L105" i="105"/>
  <c r="K105" i="105"/>
  <c r="L118" i="105"/>
  <c r="K118" i="105"/>
  <c r="L71" i="105"/>
  <c r="K71" i="105"/>
  <c r="L59" i="105"/>
  <c r="K59" i="105"/>
  <c r="L47" i="105"/>
  <c r="K47" i="105"/>
  <c r="L35" i="105"/>
  <c r="K35" i="105"/>
  <c r="L6" i="105"/>
  <c r="K6" i="105"/>
  <c r="L169" i="105"/>
  <c r="K169" i="105"/>
  <c r="L133" i="105"/>
  <c r="K133" i="105"/>
  <c r="L102" i="105"/>
  <c r="K102" i="105"/>
  <c r="L49" i="105"/>
  <c r="K49" i="105"/>
  <c r="L11" i="105"/>
  <c r="K11" i="105"/>
  <c r="L23" i="105"/>
  <c r="K23" i="105"/>
  <c r="L166" i="105"/>
  <c r="K166" i="105"/>
  <c r="L154" i="105"/>
  <c r="K154" i="105"/>
  <c r="K142" i="105"/>
  <c r="L142" i="105"/>
  <c r="K130" i="105"/>
  <c r="L130" i="105"/>
  <c r="L83" i="105"/>
  <c r="K83" i="105"/>
  <c r="L95" i="105"/>
  <c r="K95" i="105"/>
  <c r="L104" i="105"/>
  <c r="K104" i="105"/>
  <c r="L117" i="105"/>
  <c r="K117" i="105"/>
  <c r="L70" i="105"/>
  <c r="K70" i="105"/>
  <c r="L58" i="105"/>
  <c r="K58" i="105"/>
  <c r="L46" i="105"/>
  <c r="K46" i="105"/>
  <c r="L34" i="105"/>
  <c r="K34" i="105"/>
  <c r="L10" i="105"/>
  <c r="K10" i="105"/>
  <c r="L22" i="105"/>
  <c r="K22" i="105"/>
  <c r="L165" i="105"/>
  <c r="K165" i="105"/>
  <c r="L153" i="105"/>
  <c r="K153" i="105"/>
  <c r="K141" i="105"/>
  <c r="L141" i="105"/>
  <c r="L129" i="105"/>
  <c r="K129" i="105"/>
  <c r="L82" i="105"/>
  <c r="K82" i="105"/>
  <c r="L94" i="105"/>
  <c r="K94" i="105"/>
  <c r="L108" i="105"/>
  <c r="K108" i="105"/>
  <c r="L81" i="105"/>
  <c r="K81" i="105"/>
  <c r="L69" i="105"/>
  <c r="K69" i="105"/>
  <c r="L57" i="105"/>
  <c r="K57" i="105"/>
  <c r="K45" i="105"/>
  <c r="L45" i="105"/>
  <c r="L33" i="105"/>
  <c r="K33" i="105"/>
  <c r="L13" i="105"/>
  <c r="K13" i="105"/>
  <c r="L25" i="105"/>
  <c r="K25" i="105"/>
  <c r="L164" i="105"/>
  <c r="K164" i="105"/>
  <c r="K152" i="105"/>
  <c r="L152" i="105"/>
  <c r="L140" i="105"/>
  <c r="K140" i="105"/>
  <c r="L128" i="105"/>
  <c r="K128" i="105"/>
  <c r="L85" i="105"/>
  <c r="K85" i="105"/>
  <c r="L97" i="105"/>
  <c r="K97" i="105"/>
  <c r="L107" i="105"/>
  <c r="K107" i="105"/>
  <c r="K80" i="105"/>
  <c r="L80" i="105"/>
  <c r="L68" i="105"/>
  <c r="K68" i="105"/>
  <c r="L56" i="105"/>
  <c r="K56" i="105"/>
  <c r="L44" i="105"/>
  <c r="K44" i="105"/>
  <c r="L32" i="105"/>
  <c r="K32" i="105"/>
  <c r="L12" i="105"/>
  <c r="K12" i="105"/>
  <c r="L24" i="105"/>
  <c r="K24" i="105"/>
  <c r="L163" i="105"/>
  <c r="K163" i="105"/>
  <c r="L151" i="105"/>
  <c r="K151" i="105"/>
  <c r="L139" i="105"/>
  <c r="K139" i="105"/>
  <c r="L127" i="105"/>
  <c r="K127" i="105"/>
  <c r="L84" i="105"/>
  <c r="K84" i="105"/>
  <c r="L96" i="105"/>
  <c r="K96" i="105"/>
  <c r="L110" i="105"/>
  <c r="K110" i="105"/>
  <c r="L79" i="105"/>
  <c r="K79" i="105"/>
  <c r="L67" i="105"/>
  <c r="K67" i="105"/>
  <c r="L55" i="105"/>
  <c r="K55" i="105"/>
  <c r="L43" i="105"/>
  <c r="K43" i="105"/>
  <c r="L31" i="105"/>
  <c r="K31" i="105"/>
  <c r="L15" i="105"/>
  <c r="K15" i="105"/>
  <c r="L174" i="105"/>
  <c r="K174" i="105"/>
  <c r="L162" i="105"/>
  <c r="K162" i="105"/>
  <c r="L150" i="105"/>
  <c r="K150" i="105"/>
  <c r="L138" i="105"/>
  <c r="K138" i="105"/>
  <c r="L126" i="105"/>
  <c r="K126" i="105"/>
  <c r="L87" i="105"/>
  <c r="K87" i="105"/>
  <c r="L99" i="105"/>
  <c r="K99" i="105"/>
  <c r="L109" i="105"/>
  <c r="K109" i="105"/>
  <c r="L78" i="105"/>
  <c r="K78" i="105"/>
  <c r="L66" i="105"/>
  <c r="K66" i="105"/>
  <c r="L54" i="105"/>
  <c r="K54" i="105"/>
  <c r="L42" i="105"/>
  <c r="K42" i="105"/>
  <c r="L30" i="105"/>
  <c r="K30" i="105"/>
  <c r="L14" i="105"/>
  <c r="K14" i="105"/>
  <c r="L161" i="105"/>
  <c r="K161" i="105"/>
  <c r="L137" i="105"/>
  <c r="K137" i="105"/>
  <c r="L125" i="105"/>
  <c r="K125" i="105"/>
  <c r="L86" i="105"/>
  <c r="K86" i="105"/>
  <c r="K112" i="105"/>
  <c r="L112" i="105"/>
  <c r="L77" i="105"/>
  <c r="K77" i="105"/>
  <c r="L65" i="105"/>
  <c r="K65" i="105"/>
  <c r="L53" i="105"/>
  <c r="K53" i="105"/>
  <c r="L41" i="105"/>
  <c r="K41" i="105"/>
  <c r="L29" i="105"/>
  <c r="K29" i="105"/>
  <c r="L26" i="105"/>
  <c r="K26" i="105"/>
  <c r="L173" i="105"/>
  <c r="K173" i="105"/>
  <c r="L149" i="105"/>
  <c r="K149" i="105"/>
  <c r="L98" i="105"/>
  <c r="K98" i="105"/>
  <c r="L5" i="105"/>
  <c r="K5" i="105"/>
  <c r="L17" i="105"/>
  <c r="K17" i="105"/>
  <c r="L172" i="105"/>
  <c r="K172" i="105"/>
  <c r="L160" i="105"/>
  <c r="K160" i="105"/>
  <c r="L148" i="105"/>
  <c r="K148" i="105"/>
  <c r="L136" i="105"/>
  <c r="K136" i="105"/>
  <c r="L124" i="105"/>
  <c r="K124" i="105"/>
  <c r="L89" i="105"/>
  <c r="K89" i="105"/>
  <c r="L101" i="105"/>
  <c r="K101" i="105"/>
  <c r="L111" i="105"/>
  <c r="K111" i="105"/>
  <c r="L76" i="105"/>
  <c r="K76" i="105"/>
  <c r="L64" i="105"/>
  <c r="K64" i="105"/>
  <c r="K52" i="105"/>
  <c r="L52" i="105"/>
  <c r="L40" i="105"/>
  <c r="K40" i="105"/>
  <c r="L28" i="105"/>
  <c r="K28" i="105"/>
  <c r="L4" i="105"/>
  <c r="K4" i="105"/>
  <c r="L16" i="105"/>
  <c r="K16" i="105"/>
  <c r="L171" i="105"/>
  <c r="K171" i="105"/>
  <c r="L159" i="105"/>
  <c r="K159" i="105"/>
  <c r="L147" i="105"/>
  <c r="K147" i="105"/>
  <c r="L135" i="105"/>
  <c r="K135" i="105"/>
  <c r="K123" i="105"/>
  <c r="L123" i="105"/>
  <c r="L88" i="105"/>
  <c r="K88" i="105"/>
  <c r="K100" i="105"/>
  <c r="L100" i="105"/>
  <c r="L114" i="105"/>
  <c r="K114" i="105"/>
  <c r="L75" i="105"/>
  <c r="K75" i="105"/>
  <c r="K63" i="105"/>
  <c r="L63" i="105"/>
  <c r="L51" i="105"/>
  <c r="K51" i="105"/>
  <c r="L39" i="105"/>
  <c r="K39" i="105"/>
  <c r="L27" i="105"/>
  <c r="K27" i="105"/>
  <c r="O174" i="113"/>
  <c r="O173" i="113"/>
  <c r="O172" i="113"/>
  <c r="O171" i="113"/>
  <c r="O170" i="113"/>
  <c r="O169" i="113"/>
  <c r="O168" i="113"/>
  <c r="O167" i="113"/>
  <c r="O166" i="113"/>
  <c r="O165" i="113"/>
  <c r="O164" i="113"/>
  <c r="O163" i="113"/>
  <c r="O162" i="113"/>
  <c r="O161" i="113"/>
  <c r="O160" i="113"/>
  <c r="O159" i="113"/>
  <c r="O158" i="113"/>
  <c r="O157" i="113"/>
  <c r="O156" i="113"/>
  <c r="O155" i="113"/>
  <c r="O154" i="113"/>
  <c r="O153" i="113"/>
  <c r="O152" i="113"/>
  <c r="O151" i="113"/>
  <c r="O150" i="113"/>
  <c r="O149" i="113"/>
  <c r="O148" i="113"/>
  <c r="O147" i="113"/>
  <c r="O146" i="113"/>
  <c r="O145" i="113"/>
  <c r="O144" i="113"/>
  <c r="O143" i="113"/>
  <c r="O141" i="113"/>
  <c r="O140" i="113"/>
  <c r="O139" i="113"/>
  <c r="O138" i="113"/>
  <c r="O137" i="113"/>
  <c r="O136" i="113"/>
  <c r="O135" i="113"/>
  <c r="O134" i="113"/>
  <c r="O133" i="113"/>
  <c r="O132" i="113"/>
  <c r="O131" i="113"/>
  <c r="O130" i="113"/>
  <c r="O129" i="113"/>
  <c r="O128" i="113"/>
  <c r="O127" i="113"/>
  <c r="O126" i="113"/>
  <c r="O125" i="113"/>
  <c r="O124" i="113"/>
  <c r="O123" i="113"/>
  <c r="O122" i="113"/>
  <c r="O121" i="113"/>
  <c r="O120" i="113"/>
  <c r="O119" i="113"/>
  <c r="O118" i="113"/>
  <c r="O117" i="113"/>
  <c r="O116" i="113"/>
  <c r="O115" i="113"/>
  <c r="O114" i="113"/>
  <c r="O113" i="113"/>
  <c r="O112" i="113"/>
  <c r="O111" i="113"/>
  <c r="O110" i="113"/>
  <c r="O109" i="113"/>
  <c r="O108" i="113"/>
  <c r="O107" i="113"/>
  <c r="O106" i="113"/>
  <c r="O105" i="113"/>
  <c r="O104" i="113"/>
  <c r="O103" i="113"/>
  <c r="O102" i="113"/>
  <c r="O101" i="113"/>
  <c r="O100" i="113"/>
  <c r="O99" i="113"/>
  <c r="O98" i="113"/>
  <c r="O97" i="113"/>
  <c r="O96" i="113"/>
  <c r="O95" i="113"/>
  <c r="O94" i="113"/>
  <c r="O93" i="113"/>
  <c r="O92" i="113"/>
  <c r="O91" i="113"/>
  <c r="O90" i="113"/>
  <c r="O89" i="113"/>
  <c r="O88" i="113"/>
  <c r="O87" i="113"/>
  <c r="O86" i="113"/>
  <c r="O85" i="113"/>
  <c r="O84" i="113"/>
  <c r="O83" i="113"/>
  <c r="O82" i="113"/>
  <c r="O81" i="113"/>
  <c r="O80" i="113"/>
  <c r="O79" i="113"/>
  <c r="O78" i="113"/>
  <c r="O77" i="113"/>
  <c r="O76" i="113"/>
  <c r="O75" i="113"/>
  <c r="O74" i="113"/>
  <c r="O73" i="113"/>
  <c r="O72" i="113"/>
  <c r="O71" i="113"/>
  <c r="O70" i="113"/>
  <c r="O69" i="113"/>
  <c r="O68" i="113"/>
  <c r="O67" i="113"/>
  <c r="O66" i="113"/>
  <c r="O65" i="113"/>
  <c r="O64" i="113"/>
  <c r="O63" i="113"/>
  <c r="O62" i="113"/>
  <c r="O61" i="113"/>
  <c r="O60" i="113"/>
  <c r="O59" i="113"/>
  <c r="O58" i="113"/>
  <c r="O57" i="113"/>
  <c r="O56" i="113"/>
  <c r="O55" i="113"/>
  <c r="O54" i="113"/>
  <c r="O53" i="113"/>
  <c r="O52" i="113"/>
  <c r="O51" i="113"/>
  <c r="O50" i="113"/>
  <c r="O49" i="113"/>
  <c r="O48" i="113"/>
  <c r="O47" i="113"/>
  <c r="O46" i="113"/>
  <c r="O45" i="113"/>
  <c r="O44" i="113"/>
  <c r="O43" i="113"/>
  <c r="O42" i="113"/>
  <c r="O41" i="113"/>
  <c r="O40" i="113"/>
  <c r="O39" i="113"/>
  <c r="O38" i="113"/>
  <c r="O37" i="113"/>
  <c r="O36" i="113"/>
  <c r="O35" i="113"/>
  <c r="O34" i="113"/>
  <c r="O33" i="113"/>
  <c r="O32" i="113"/>
  <c r="O31" i="113"/>
  <c r="O30" i="113"/>
  <c r="O29" i="113"/>
  <c r="O28" i="113"/>
  <c r="O27" i="113"/>
  <c r="O26" i="113"/>
  <c r="O25" i="113"/>
  <c r="O24" i="113"/>
  <c r="O23" i="113"/>
  <c r="O22" i="113"/>
  <c r="O21" i="113"/>
  <c r="O20" i="113"/>
  <c r="O19" i="113"/>
  <c r="O18" i="113"/>
  <c r="O17" i="113"/>
  <c r="O16" i="113"/>
  <c r="O15" i="113"/>
  <c r="O14" i="113"/>
  <c r="O13" i="113"/>
  <c r="O12" i="113"/>
  <c r="O11" i="113"/>
  <c r="O10" i="113"/>
  <c r="O9" i="113"/>
  <c r="O8" i="113"/>
  <c r="O7" i="113"/>
  <c r="O6" i="113"/>
  <c r="O5" i="113"/>
  <c r="O4" i="113"/>
  <c r="P122" i="105" l="1"/>
  <c r="Q122" i="105"/>
  <c r="R122" i="105"/>
  <c r="S122" i="105"/>
  <c r="P124" i="105"/>
  <c r="Q124" i="105"/>
  <c r="R124" i="105"/>
  <c r="S124" i="105"/>
  <c r="B122" i="105"/>
  <c r="O124" i="111"/>
  <c r="P85" i="105" l="1"/>
  <c r="Q85" i="105"/>
  <c r="R85" i="105"/>
  <c r="S85" i="105"/>
  <c r="B84" i="105"/>
  <c r="B128" i="105"/>
  <c r="B149" i="105"/>
  <c r="B62" i="105"/>
  <c r="B163" i="105"/>
  <c r="B169" i="105"/>
  <c r="B85" i="105"/>
  <c r="B123" i="105"/>
  <c r="B132" i="105"/>
  <c r="B120" i="105"/>
  <c r="B142" i="105"/>
  <c r="P84" i="105"/>
  <c r="Q84" i="105"/>
  <c r="R84" i="105"/>
  <c r="S84" i="105"/>
  <c r="O135" i="111"/>
  <c r="O127" i="111"/>
  <c r="O310" i="111" l="1"/>
  <c r="O308" i="111"/>
  <c r="O309" i="111"/>
  <c r="O306" i="111"/>
  <c r="O307" i="111"/>
  <c r="O305" i="111"/>
  <c r="O303" i="111"/>
  <c r="O304" i="111"/>
  <c r="O302" i="111"/>
  <c r="O301" i="111"/>
  <c r="O300" i="111"/>
  <c r="O298" i="111"/>
  <c r="O299" i="111"/>
  <c r="O297" i="111"/>
  <c r="O293" i="111"/>
  <c r="O296" i="111"/>
  <c r="O295" i="111"/>
  <c r="O294" i="111"/>
  <c r="O292" i="111"/>
  <c r="O291" i="111"/>
  <c r="O290" i="111"/>
  <c r="O289" i="111"/>
  <c r="O285" i="111"/>
  <c r="O288" i="111"/>
  <c r="O287" i="111"/>
  <c r="O286" i="111"/>
  <c r="O280" i="111"/>
  <c r="O284" i="111"/>
  <c r="O283" i="111"/>
  <c r="O282" i="111"/>
  <c r="O281" i="111"/>
  <c r="O275" i="111"/>
  <c r="O279" i="111"/>
  <c r="O278" i="111"/>
  <c r="O277" i="111"/>
  <c r="O276" i="111"/>
  <c r="O272" i="111"/>
  <c r="O274" i="111"/>
  <c r="O273" i="111"/>
  <c r="O268" i="111"/>
  <c r="O271" i="111"/>
  <c r="O270" i="111"/>
  <c r="O269" i="111"/>
  <c r="O267" i="111"/>
  <c r="O262" i="111"/>
  <c r="O266" i="111"/>
  <c r="O265" i="111"/>
  <c r="O264" i="111"/>
  <c r="O263" i="111"/>
  <c r="O259" i="111"/>
  <c r="O261" i="111"/>
  <c r="O260" i="111"/>
  <c r="O256" i="111"/>
  <c r="O258" i="111"/>
  <c r="O257" i="111"/>
  <c r="O253" i="111"/>
  <c r="O255" i="111"/>
  <c r="O254" i="111"/>
  <c r="O252" i="111"/>
  <c r="O247" i="111"/>
  <c r="O251" i="111"/>
  <c r="O250" i="111"/>
  <c r="O249" i="111"/>
  <c r="O244" i="111"/>
  <c r="O246" i="111"/>
  <c r="O245" i="111"/>
  <c r="O241" i="111"/>
  <c r="O243" i="111"/>
  <c r="O242" i="111"/>
  <c r="O239" i="111"/>
  <c r="O240" i="111"/>
  <c r="O236" i="111"/>
  <c r="O238" i="111"/>
  <c r="O237" i="111"/>
  <c r="O234" i="111"/>
  <c r="O235" i="111"/>
  <c r="O231" i="111"/>
  <c r="O233" i="111"/>
  <c r="O232" i="111"/>
  <c r="O228" i="111"/>
  <c r="O230" i="111"/>
  <c r="O229" i="111"/>
  <c r="O226" i="111"/>
  <c r="O227" i="111"/>
  <c r="O224" i="111"/>
  <c r="O225" i="111"/>
  <c r="O221" i="111"/>
  <c r="O223" i="111"/>
  <c r="O222" i="111"/>
  <c r="O216" i="111"/>
  <c r="O220" i="111"/>
  <c r="O219" i="111"/>
  <c r="O218" i="111"/>
  <c r="O217" i="111"/>
  <c r="O213" i="111"/>
  <c r="O215" i="111"/>
  <c r="O214" i="111"/>
  <c r="O212" i="111"/>
  <c r="O209" i="111"/>
  <c r="O211" i="111"/>
  <c r="O210" i="111"/>
  <c r="O207" i="111"/>
  <c r="O208" i="111"/>
  <c r="O206" i="111"/>
  <c r="O205" i="111"/>
  <c r="O201" i="111"/>
  <c r="O204" i="111"/>
  <c r="O203" i="111"/>
  <c r="O202" i="111"/>
  <c r="O200" i="111"/>
  <c r="O197" i="111"/>
  <c r="O199" i="111"/>
  <c r="O198" i="111"/>
  <c r="O195" i="111"/>
  <c r="O196" i="111"/>
  <c r="O194" i="111"/>
  <c r="O193" i="111"/>
  <c r="O189" i="111"/>
  <c r="O192" i="111"/>
  <c r="O191" i="111"/>
  <c r="O190" i="111"/>
  <c r="O187" i="111"/>
  <c r="O188" i="111"/>
  <c r="O185" i="111"/>
  <c r="O186" i="111"/>
  <c r="O182" i="111"/>
  <c r="O184" i="111"/>
  <c r="O183" i="111"/>
  <c r="O180" i="111"/>
  <c r="O181" i="111"/>
  <c r="O177" i="111"/>
  <c r="O179" i="111"/>
  <c r="O178" i="111"/>
  <c r="O174" i="111"/>
  <c r="O176" i="111"/>
  <c r="O175" i="111"/>
  <c r="O170" i="111"/>
  <c r="O173" i="111"/>
  <c r="O172" i="111"/>
  <c r="O171" i="111"/>
  <c r="O167" i="111"/>
  <c r="O169" i="111"/>
  <c r="O168" i="111"/>
  <c r="O164" i="111"/>
  <c r="O166" i="111"/>
  <c r="O165" i="111"/>
  <c r="O161" i="111"/>
  <c r="O163" i="111"/>
  <c r="O162" i="111"/>
  <c r="O157" i="111"/>
  <c r="O160" i="111"/>
  <c r="O159" i="111"/>
  <c r="O158" i="111"/>
  <c r="O156" i="111"/>
  <c r="O154" i="111"/>
  <c r="O155" i="111"/>
  <c r="O153" i="111"/>
  <c r="O148" i="111"/>
  <c r="O152" i="111"/>
  <c r="O151" i="111"/>
  <c r="O150" i="111"/>
  <c r="O149" i="111"/>
  <c r="O145" i="111"/>
  <c r="O147" i="111"/>
  <c r="O146" i="111"/>
  <c r="O141" i="111"/>
  <c r="O144" i="111"/>
  <c r="O143" i="111"/>
  <c r="O142" i="111"/>
  <c r="O140" i="111"/>
  <c r="O136" i="111"/>
  <c r="O139" i="111"/>
  <c r="O138" i="111"/>
  <c r="O129" i="111"/>
  <c r="O134" i="111"/>
  <c r="O133" i="111"/>
  <c r="O132" i="111"/>
  <c r="O131" i="111"/>
  <c r="O130" i="111"/>
  <c r="O128" i="111"/>
  <c r="O116" i="111"/>
  <c r="O126" i="111"/>
  <c r="O125" i="111"/>
  <c r="O123" i="111"/>
  <c r="O122" i="111"/>
  <c r="O121" i="111"/>
  <c r="O120" i="111"/>
  <c r="O119" i="111"/>
  <c r="O118" i="111"/>
  <c r="O117" i="111"/>
  <c r="O115" i="111"/>
  <c r="O114" i="111"/>
  <c r="O112" i="111"/>
  <c r="O113" i="111"/>
  <c r="O109" i="111"/>
  <c r="O111" i="111"/>
  <c r="O110" i="111"/>
  <c r="O108" i="111"/>
  <c r="O105" i="111"/>
  <c r="O107" i="111"/>
  <c r="O106" i="111"/>
  <c r="O104" i="111"/>
  <c r="O103" i="111"/>
  <c r="O101" i="111"/>
  <c r="O102" i="111"/>
  <c r="O99" i="111"/>
  <c r="O100" i="111"/>
  <c r="O97" i="111"/>
  <c r="O98" i="111"/>
  <c r="O95" i="111"/>
  <c r="O96" i="111"/>
  <c r="O93" i="111"/>
  <c r="O94" i="111"/>
  <c r="O86" i="111"/>
  <c r="O92" i="111"/>
  <c r="O91" i="111"/>
  <c r="O90" i="111"/>
  <c r="O89" i="111"/>
  <c r="O88" i="111"/>
  <c r="O87" i="111"/>
  <c r="O85" i="111"/>
  <c r="O84" i="111"/>
  <c r="O80" i="111"/>
  <c r="O83" i="111"/>
  <c r="O82" i="111"/>
  <c r="O81" i="111"/>
  <c r="O77" i="111"/>
  <c r="O79" i="111"/>
  <c r="O78" i="111"/>
  <c r="O74" i="111"/>
  <c r="O76" i="111"/>
  <c r="O75" i="111"/>
  <c r="O72" i="111"/>
  <c r="O73" i="111"/>
  <c r="O70" i="111"/>
  <c r="O71" i="111"/>
  <c r="O69" i="111"/>
  <c r="O68" i="111"/>
  <c r="O67" i="111"/>
  <c r="O64" i="111"/>
  <c r="O66" i="111"/>
  <c r="O65" i="111"/>
  <c r="O61" i="111"/>
  <c r="O63" i="111"/>
  <c r="O62" i="111"/>
  <c r="O58" i="111"/>
  <c r="O60" i="111"/>
  <c r="O59" i="111"/>
  <c r="O53" i="111"/>
  <c r="O57" i="111"/>
  <c r="O56" i="111"/>
  <c r="O55" i="111"/>
  <c r="O54" i="111"/>
  <c r="O46" i="111"/>
  <c r="O52" i="111"/>
  <c r="O51" i="111"/>
  <c r="O50" i="111"/>
  <c r="O49" i="111"/>
  <c r="O48" i="111"/>
  <c r="O47" i="111"/>
  <c r="O43" i="111"/>
  <c r="O45" i="111"/>
  <c r="O44" i="111"/>
  <c r="O41" i="111"/>
  <c r="O42" i="111"/>
  <c r="O40" i="111"/>
  <c r="O36" i="111"/>
  <c r="O39" i="111"/>
  <c r="O38" i="111"/>
  <c r="O37" i="111"/>
  <c r="O35" i="111"/>
  <c r="O32" i="111"/>
  <c r="O34" i="111"/>
  <c r="O33" i="111"/>
  <c r="O28" i="111"/>
  <c r="O31" i="111"/>
  <c r="O30" i="111"/>
  <c r="O29" i="111"/>
  <c r="O27" i="111"/>
  <c r="O25" i="111"/>
  <c r="O26" i="111"/>
  <c r="O23" i="111"/>
  <c r="O24" i="111"/>
  <c r="O22" i="111"/>
  <c r="O20" i="111"/>
  <c r="O21" i="111"/>
  <c r="O19" i="111"/>
  <c r="O18" i="111"/>
  <c r="O16" i="111"/>
  <c r="O17" i="111"/>
  <c r="O15" i="111"/>
  <c r="O13" i="111"/>
  <c r="O14" i="111"/>
  <c r="O12" i="111"/>
  <c r="O9" i="111"/>
  <c r="O11" i="111"/>
  <c r="O10" i="111"/>
  <c r="O8" i="111"/>
  <c r="O5" i="111"/>
  <c r="O7" i="111"/>
  <c r="O6" i="111"/>
  <c r="O4" i="111"/>
  <c r="R173" i="105" l="1"/>
  <c r="R174" i="105"/>
  <c r="R169" i="105"/>
  <c r="R170" i="105"/>
  <c r="R171" i="105"/>
  <c r="R166" i="105"/>
  <c r="R167" i="105"/>
  <c r="R168" i="105"/>
  <c r="R162" i="105"/>
  <c r="R163" i="105"/>
  <c r="R164" i="105"/>
  <c r="R165" i="105"/>
  <c r="R159" i="105"/>
  <c r="R160" i="105"/>
  <c r="R161" i="105"/>
  <c r="R156" i="105"/>
  <c r="R157" i="105"/>
  <c r="R158" i="105"/>
  <c r="R153" i="105"/>
  <c r="R154" i="105"/>
  <c r="R155" i="105"/>
  <c r="R150" i="105"/>
  <c r="R151" i="105"/>
  <c r="R152" i="105"/>
  <c r="R146" i="105"/>
  <c r="R147" i="105"/>
  <c r="R148" i="105"/>
  <c r="R149" i="105"/>
  <c r="R143" i="105"/>
  <c r="R144" i="105"/>
  <c r="R145" i="105"/>
  <c r="R140" i="105"/>
  <c r="R141" i="105"/>
  <c r="R142" i="105"/>
  <c r="R137" i="105"/>
  <c r="R138" i="105"/>
  <c r="R139" i="105"/>
  <c r="R133" i="105"/>
  <c r="R134" i="105"/>
  <c r="R135" i="105"/>
  <c r="R136" i="105"/>
  <c r="R130" i="105"/>
  <c r="R131" i="105"/>
  <c r="R132" i="105"/>
  <c r="R127" i="105"/>
  <c r="R128" i="105"/>
  <c r="R129" i="105"/>
  <c r="R125" i="105"/>
  <c r="R126" i="105"/>
  <c r="R120" i="105"/>
  <c r="R121" i="105"/>
  <c r="R123" i="105"/>
  <c r="R117" i="105"/>
  <c r="R118" i="105"/>
  <c r="R119" i="105"/>
  <c r="R115" i="105"/>
  <c r="R116" i="105"/>
  <c r="R113" i="105"/>
  <c r="R114" i="105"/>
  <c r="R111" i="105"/>
  <c r="R112" i="105"/>
  <c r="R109" i="105"/>
  <c r="R110" i="105"/>
  <c r="R107" i="105"/>
  <c r="R108" i="105"/>
  <c r="R104" i="105"/>
  <c r="R105" i="105"/>
  <c r="R106" i="105"/>
  <c r="R102" i="105"/>
  <c r="R103" i="105"/>
  <c r="R100" i="105"/>
  <c r="R101" i="105"/>
  <c r="R98" i="105"/>
  <c r="R99" i="105"/>
  <c r="R96" i="105"/>
  <c r="R97" i="105"/>
  <c r="R94" i="105"/>
  <c r="R95" i="105"/>
  <c r="R92" i="105"/>
  <c r="R93" i="105"/>
  <c r="R90" i="105"/>
  <c r="R91" i="105"/>
  <c r="R88" i="105"/>
  <c r="R89" i="105"/>
  <c r="R86" i="105"/>
  <c r="R87" i="105"/>
  <c r="R82" i="105"/>
  <c r="R83" i="105"/>
  <c r="R78" i="105"/>
  <c r="R79" i="105"/>
  <c r="R80" i="105"/>
  <c r="R81" i="105"/>
  <c r="R75" i="105"/>
  <c r="R76" i="105"/>
  <c r="R77" i="105"/>
  <c r="R73" i="105"/>
  <c r="R74" i="105"/>
  <c r="R70" i="105"/>
  <c r="R71" i="105"/>
  <c r="R72" i="105"/>
  <c r="R67" i="105"/>
  <c r="R68" i="105"/>
  <c r="R69" i="105"/>
  <c r="R64" i="105"/>
  <c r="R65" i="105"/>
  <c r="R66" i="105"/>
  <c r="R61" i="105"/>
  <c r="R62" i="105"/>
  <c r="R63" i="105"/>
  <c r="R59" i="105"/>
  <c r="R60" i="105"/>
  <c r="R56" i="105"/>
  <c r="R57" i="105"/>
  <c r="R58" i="105"/>
  <c r="R53" i="105"/>
  <c r="R54" i="105"/>
  <c r="R55" i="105"/>
  <c r="R50" i="105"/>
  <c r="R51" i="105"/>
  <c r="R52" i="105"/>
  <c r="R47" i="105"/>
  <c r="R48" i="105"/>
  <c r="R49" i="105"/>
  <c r="R43" i="105"/>
  <c r="R44" i="105"/>
  <c r="R45" i="105"/>
  <c r="R46" i="105"/>
  <c r="R39" i="105"/>
  <c r="R40" i="105"/>
  <c r="R41" i="105"/>
  <c r="R42" i="105"/>
  <c r="R36" i="105"/>
  <c r="R37" i="105"/>
  <c r="R38" i="105"/>
  <c r="R32" i="105"/>
  <c r="R33" i="105"/>
  <c r="R34" i="105"/>
  <c r="R35" i="105"/>
  <c r="R29" i="105"/>
  <c r="R30" i="105"/>
  <c r="R31" i="105"/>
  <c r="R27" i="105"/>
  <c r="R28" i="105"/>
  <c r="R24" i="105"/>
  <c r="R25" i="105"/>
  <c r="R22" i="105"/>
  <c r="R23" i="105"/>
  <c r="R20" i="105"/>
  <c r="R21" i="105"/>
  <c r="R18" i="105"/>
  <c r="R19" i="105"/>
  <c r="R16" i="105"/>
  <c r="R17" i="105"/>
  <c r="R14" i="105"/>
  <c r="R15" i="105"/>
  <c r="R12" i="105"/>
  <c r="R13" i="105"/>
  <c r="R10" i="105"/>
  <c r="R11" i="105"/>
  <c r="R8" i="105"/>
  <c r="R9" i="105"/>
  <c r="R6" i="105"/>
  <c r="R7" i="105"/>
  <c r="R4" i="105"/>
  <c r="R5" i="105"/>
  <c r="R172" i="105"/>
  <c r="S116" i="105"/>
  <c r="S113" i="105"/>
  <c r="S114" i="105"/>
  <c r="S172" i="105"/>
  <c r="S173" i="105"/>
  <c r="S174" i="105"/>
  <c r="S169" i="105"/>
  <c r="S170" i="105"/>
  <c r="S171" i="105"/>
  <c r="S166" i="105"/>
  <c r="S167" i="105"/>
  <c r="S168" i="105"/>
  <c r="S104" i="105"/>
  <c r="S105" i="105"/>
  <c r="S106" i="105"/>
  <c r="S102" i="105"/>
  <c r="S103" i="105"/>
  <c r="S162" i="105"/>
  <c r="S163" i="105"/>
  <c r="S164" i="105"/>
  <c r="S165" i="105"/>
  <c r="S100" i="105"/>
  <c r="S101" i="105"/>
  <c r="S159" i="105"/>
  <c r="S160" i="105"/>
  <c r="S161" i="105"/>
  <c r="S98" i="105"/>
  <c r="S99" i="105"/>
  <c r="S96" i="105"/>
  <c r="S97" i="105"/>
  <c r="S94" i="105"/>
  <c r="S95" i="105"/>
  <c r="S156" i="105"/>
  <c r="S157" i="105"/>
  <c r="S92" i="105"/>
  <c r="S93" i="105"/>
  <c r="S90" i="105"/>
  <c r="S91" i="105"/>
  <c r="S158" i="105"/>
  <c r="S88" i="105"/>
  <c r="S89" i="105"/>
  <c r="S153" i="105"/>
  <c r="S154" i="105"/>
  <c r="S155" i="105"/>
  <c r="S150" i="105"/>
  <c r="S151" i="105"/>
  <c r="S152" i="105"/>
  <c r="S146" i="105"/>
  <c r="S147" i="105"/>
  <c r="S148" i="105"/>
  <c r="S149" i="105"/>
  <c r="S143" i="105"/>
  <c r="S86" i="105"/>
  <c r="S87" i="105"/>
  <c r="S144" i="105"/>
  <c r="S145" i="105"/>
  <c r="S140" i="105"/>
  <c r="S141" i="105"/>
  <c r="S142" i="105"/>
  <c r="S137" i="105"/>
  <c r="S138" i="105"/>
  <c r="S139" i="105"/>
  <c r="S133" i="105"/>
  <c r="S134" i="105"/>
  <c r="S135" i="105"/>
  <c r="S136" i="105"/>
  <c r="S130" i="105"/>
  <c r="S131" i="105"/>
  <c r="S132" i="105"/>
  <c r="S127" i="105"/>
  <c r="S128" i="105"/>
  <c r="S129" i="105"/>
  <c r="S125" i="105"/>
  <c r="S82" i="105"/>
  <c r="S83" i="105"/>
  <c r="S126" i="105"/>
  <c r="S120" i="105"/>
  <c r="S121" i="105"/>
  <c r="S123" i="105"/>
  <c r="S117" i="105"/>
  <c r="S118" i="105"/>
  <c r="S111" i="105"/>
  <c r="S112" i="105"/>
  <c r="S109" i="105"/>
  <c r="S110" i="105"/>
  <c r="S107" i="105"/>
  <c r="S108" i="105"/>
  <c r="S119" i="105"/>
  <c r="S78" i="105"/>
  <c r="S79" i="105"/>
  <c r="S24" i="105"/>
  <c r="S25" i="105"/>
  <c r="S22" i="105"/>
  <c r="S23" i="105"/>
  <c r="S80" i="105"/>
  <c r="S20" i="105"/>
  <c r="S21" i="105"/>
  <c r="S81" i="105"/>
  <c r="S75" i="105"/>
  <c r="S76" i="105"/>
  <c r="S77" i="105"/>
  <c r="S73" i="105"/>
  <c r="S74" i="105"/>
  <c r="S70" i="105"/>
  <c r="S71" i="105"/>
  <c r="S72" i="105"/>
  <c r="S67" i="105"/>
  <c r="S68" i="105"/>
  <c r="S69" i="105"/>
  <c r="S18" i="105"/>
  <c r="S19" i="105"/>
  <c r="S16" i="105"/>
  <c r="S17" i="105"/>
  <c r="S64" i="105"/>
  <c r="S65" i="105"/>
  <c r="S66" i="105"/>
  <c r="S61" i="105"/>
  <c r="S14" i="105"/>
  <c r="S15" i="105"/>
  <c r="S62" i="105"/>
  <c r="S63" i="105"/>
  <c r="S12" i="105"/>
  <c r="S13" i="105"/>
  <c r="S59" i="105"/>
  <c r="S60" i="105"/>
  <c r="S56" i="105"/>
  <c r="S57" i="105"/>
  <c r="S58" i="105"/>
  <c r="S53" i="105"/>
  <c r="S54" i="105"/>
  <c r="S55" i="105"/>
  <c r="S50" i="105"/>
  <c r="S51" i="105"/>
  <c r="S52" i="105"/>
  <c r="S47" i="105"/>
  <c r="S48" i="105"/>
  <c r="S49" i="105"/>
  <c r="S10" i="105"/>
  <c r="S11" i="105"/>
  <c r="S8" i="105"/>
  <c r="S9" i="105"/>
  <c r="S6" i="105"/>
  <c r="S7" i="105"/>
  <c r="S43" i="105"/>
  <c r="S44" i="105"/>
  <c r="S45" i="105"/>
  <c r="S46" i="105"/>
  <c r="S39" i="105"/>
  <c r="S40" i="105"/>
  <c r="S41" i="105"/>
  <c r="S4" i="105"/>
  <c r="S5" i="105"/>
  <c r="S42" i="105"/>
  <c r="S36" i="105"/>
  <c r="S37" i="105"/>
  <c r="S38" i="105"/>
  <c r="S32" i="105"/>
  <c r="S33" i="105"/>
  <c r="S34" i="105"/>
  <c r="S35" i="105"/>
  <c r="S29" i="105"/>
  <c r="S30" i="105"/>
  <c r="S31" i="105"/>
  <c r="S26" i="105"/>
  <c r="S27" i="105"/>
  <c r="S28" i="105"/>
  <c r="S115" i="105"/>
  <c r="P40" i="105" l="1"/>
  <c r="Q40" i="105"/>
  <c r="B40" i="105"/>
  <c r="B41" i="105"/>
  <c r="E113" i="106" l="1"/>
  <c r="E112" i="106"/>
  <c r="E111" i="106"/>
  <c r="E110" i="106"/>
  <c r="E109" i="106"/>
  <c r="E108" i="106"/>
  <c r="E107" i="106"/>
  <c r="E106" i="106"/>
  <c r="E105" i="106"/>
  <c r="E104" i="106"/>
  <c r="E103" i="106"/>
  <c r="E102" i="106"/>
  <c r="E100" i="106"/>
  <c r="E99" i="106"/>
  <c r="E98" i="106"/>
  <c r="E97" i="106"/>
  <c r="E96" i="106"/>
  <c r="E95" i="106"/>
  <c r="E93" i="106"/>
  <c r="E92" i="106"/>
  <c r="E91" i="106"/>
  <c r="E90" i="106"/>
  <c r="E89" i="106"/>
  <c r="E88" i="106"/>
  <c r="E87" i="106"/>
  <c r="E86" i="106"/>
  <c r="E85" i="106"/>
  <c r="E84" i="106"/>
  <c r="E82" i="106"/>
  <c r="E81" i="106"/>
  <c r="E80" i="106"/>
  <c r="E79" i="106"/>
  <c r="E78" i="106"/>
  <c r="E77" i="106"/>
  <c r="E76" i="106"/>
  <c r="E75" i="106"/>
  <c r="E73" i="106"/>
  <c r="E72" i="106"/>
  <c r="E71" i="106"/>
  <c r="E70" i="106"/>
  <c r="E69" i="106"/>
  <c r="E68" i="106"/>
  <c r="E66" i="106"/>
  <c r="E65" i="106"/>
  <c r="E64" i="106"/>
  <c r="E63" i="106"/>
  <c r="E62" i="106"/>
  <c r="E61" i="106"/>
  <c r="E60" i="106"/>
  <c r="E58" i="106"/>
  <c r="E57" i="106"/>
  <c r="E56" i="106"/>
  <c r="E55" i="106"/>
  <c r="E53" i="106"/>
  <c r="E52" i="106"/>
  <c r="E51" i="106"/>
  <c r="E50" i="106"/>
  <c r="E48" i="106"/>
  <c r="E47" i="106"/>
  <c r="E46" i="106"/>
  <c r="E45" i="106"/>
  <c r="E43" i="106"/>
  <c r="E42" i="106"/>
  <c r="E41" i="106"/>
  <c r="E39" i="106"/>
  <c r="E38" i="106"/>
  <c r="E37" i="106"/>
  <c r="E36" i="106"/>
  <c r="E35" i="106"/>
  <c r="E34" i="106"/>
  <c r="E32" i="106"/>
  <c r="E31" i="106"/>
  <c r="E29" i="106"/>
  <c r="E28" i="106"/>
  <c r="E27" i="106"/>
  <c r="E26" i="106"/>
  <c r="E25" i="106"/>
  <c r="E24" i="106"/>
  <c r="E22" i="106"/>
  <c r="E21" i="106"/>
  <c r="E20" i="106"/>
  <c r="E19" i="106"/>
  <c r="E18" i="106"/>
  <c r="E17" i="106"/>
  <c r="E15" i="106"/>
  <c r="E14" i="106"/>
  <c r="E13" i="106"/>
  <c r="E12" i="106"/>
  <c r="E10" i="106"/>
  <c r="E9" i="106"/>
  <c r="E8" i="106"/>
  <c r="E7" i="106"/>
  <c r="E6" i="106"/>
  <c r="E5" i="106"/>
  <c r="E4" i="106"/>
  <c r="E33" i="106" l="1"/>
  <c r="E23" i="106"/>
  <c r="E83" i="106" l="1"/>
  <c r="E59" i="106"/>
  <c r="E49" i="106"/>
  <c r="E67" i="106"/>
  <c r="E114" i="106"/>
  <c r="E11" i="106"/>
  <c r="E40" i="106"/>
  <c r="E54" i="106"/>
  <c r="E30" i="106"/>
  <c r="E74" i="106"/>
  <c r="E101" i="106"/>
  <c r="E16" i="106"/>
  <c r="E44" i="106"/>
  <c r="E94" i="106"/>
  <c r="D5" i="106"/>
  <c r="D6" i="106"/>
  <c r="D7" i="106"/>
  <c r="D8" i="106"/>
  <c r="D9" i="106"/>
  <c r="D10" i="106"/>
  <c r="D12" i="106"/>
  <c r="D13" i="106"/>
  <c r="D14" i="106"/>
  <c r="D15" i="106"/>
  <c r="D17" i="106"/>
  <c r="D18" i="106"/>
  <c r="D19" i="106"/>
  <c r="D20" i="106"/>
  <c r="D21" i="106"/>
  <c r="D22" i="106"/>
  <c r="D24" i="106"/>
  <c r="D25" i="106"/>
  <c r="D26" i="106"/>
  <c r="D27" i="106"/>
  <c r="D28" i="106"/>
  <c r="D29" i="106"/>
  <c r="D31" i="106"/>
  <c r="D32" i="106"/>
  <c r="D34" i="106"/>
  <c r="D35" i="106"/>
  <c r="D36" i="106"/>
  <c r="D37" i="106"/>
  <c r="D38" i="106"/>
  <c r="D39" i="106"/>
  <c r="D41" i="106"/>
  <c r="D42" i="106"/>
  <c r="D43" i="106"/>
  <c r="D45" i="106"/>
  <c r="D46" i="106"/>
  <c r="D47" i="106"/>
  <c r="D48" i="106"/>
  <c r="D50" i="106"/>
  <c r="D51" i="106"/>
  <c r="D52" i="106"/>
  <c r="D53" i="106"/>
  <c r="D55" i="106"/>
  <c r="D56" i="106"/>
  <c r="D57" i="106"/>
  <c r="D58" i="106"/>
  <c r="D60" i="106"/>
  <c r="D61" i="106"/>
  <c r="D62" i="106"/>
  <c r="D63" i="106"/>
  <c r="D64" i="106"/>
  <c r="D65" i="106"/>
  <c r="D66" i="106"/>
  <c r="D68" i="106"/>
  <c r="D69" i="106"/>
  <c r="D70" i="106"/>
  <c r="D71" i="106"/>
  <c r="D72" i="106"/>
  <c r="D73" i="106"/>
  <c r="D75" i="106"/>
  <c r="D76" i="106"/>
  <c r="D77" i="106"/>
  <c r="D78" i="106"/>
  <c r="D79" i="106"/>
  <c r="D80" i="106"/>
  <c r="D81" i="106"/>
  <c r="D82" i="106"/>
  <c r="D84" i="106"/>
  <c r="D85" i="106"/>
  <c r="D86" i="106"/>
  <c r="D87" i="106"/>
  <c r="D88" i="106"/>
  <c r="D89" i="106"/>
  <c r="D90" i="106"/>
  <c r="D91" i="106"/>
  <c r="D92" i="106"/>
  <c r="D93" i="106"/>
  <c r="D95" i="106"/>
  <c r="D96" i="106"/>
  <c r="D97" i="106"/>
  <c r="D98" i="106"/>
  <c r="D99" i="106"/>
  <c r="D100" i="106"/>
  <c r="D102" i="106"/>
  <c r="D103" i="106"/>
  <c r="D104" i="106"/>
  <c r="D105" i="106"/>
  <c r="D106" i="106"/>
  <c r="D107" i="106"/>
  <c r="D108" i="106"/>
  <c r="D109" i="106"/>
  <c r="D110" i="106"/>
  <c r="D111" i="106"/>
  <c r="D112" i="106"/>
  <c r="D113" i="106"/>
  <c r="D4" i="106"/>
  <c r="D11" i="106" l="1"/>
  <c r="D94" i="106"/>
  <c r="D44" i="106"/>
  <c r="D16" i="106"/>
  <c r="D59" i="106"/>
  <c r="D101" i="106"/>
  <c r="D74" i="106"/>
  <c r="D30" i="106"/>
  <c r="D54" i="106"/>
  <c r="D40" i="106"/>
  <c r="D114" i="106"/>
  <c r="D83" i="106"/>
  <c r="D33" i="106"/>
  <c r="D23" i="106"/>
  <c r="D67" i="106"/>
  <c r="D49" i="106"/>
  <c r="B113" i="105" l="1"/>
  <c r="B114" i="105"/>
  <c r="B140" i="105"/>
  <c r="B29" i="105"/>
  <c r="B133" i="105"/>
  <c r="B49" i="105"/>
  <c r="B161" i="105"/>
  <c r="B138" i="105"/>
  <c r="B166" i="105"/>
  <c r="B170" i="105"/>
  <c r="B148" i="105"/>
  <c r="B104" i="105"/>
  <c r="B105" i="105"/>
  <c r="B106" i="105"/>
  <c r="B116" i="105"/>
  <c r="P113" i="105"/>
  <c r="Q113" i="105"/>
  <c r="P114" i="105"/>
  <c r="Q114" i="105"/>
  <c r="P140" i="105"/>
  <c r="Q140" i="105"/>
  <c r="P29" i="105" l="1"/>
  <c r="P89" i="105" l="1"/>
  <c r="P88" i="105"/>
  <c r="Q89" i="105"/>
  <c r="Q88" i="105"/>
  <c r="B88" i="105"/>
  <c r="B89" i="105"/>
  <c r="B146" i="105"/>
  <c r="B130" i="105"/>
  <c r="B131" i="105"/>
  <c r="B150" i="105"/>
  <c r="P100" i="105"/>
  <c r="Q100" i="105"/>
  <c r="P101" i="105"/>
  <c r="Q101" i="105"/>
  <c r="P139" i="105"/>
  <c r="Q139" i="105"/>
  <c r="B100" i="105"/>
  <c r="B101" i="105"/>
  <c r="B139" i="105"/>
  <c r="B155" i="105"/>
  <c r="Q108" i="105" l="1"/>
  <c r="Q107" i="105"/>
  <c r="P108" i="105"/>
  <c r="P107" i="105"/>
  <c r="B107" i="105"/>
  <c r="B108" i="105"/>
  <c r="B39" i="105"/>
  <c r="B69" i="105"/>
  <c r="P86" i="105"/>
  <c r="Q86" i="105"/>
  <c r="P87" i="105"/>
  <c r="Q87" i="105"/>
  <c r="P152" i="105"/>
  <c r="Q152" i="105"/>
  <c r="B86" i="105"/>
  <c r="B87" i="105"/>
  <c r="B152" i="105"/>
  <c r="P98" i="105"/>
  <c r="Q98" i="105"/>
  <c r="P99" i="105"/>
  <c r="Q99" i="105"/>
  <c r="B98" i="105"/>
  <c r="B99" i="105"/>
  <c r="B96" i="105"/>
  <c r="Q62" i="105" l="1"/>
  <c r="Q28" i="105" l="1"/>
  <c r="P28" i="105"/>
  <c r="B28" i="105"/>
  <c r="Q81" i="105"/>
  <c r="P81" i="105"/>
  <c r="B81" i="105"/>
  <c r="Q27" i="105"/>
  <c r="P27" i="105"/>
  <c r="B27" i="105"/>
  <c r="Q63" i="105"/>
  <c r="P63" i="105"/>
  <c r="B63" i="105"/>
  <c r="Q56" i="105"/>
  <c r="P56" i="105"/>
  <c r="B56" i="105"/>
  <c r="Q55" i="105"/>
  <c r="P55" i="105"/>
  <c r="B55" i="105"/>
  <c r="Q45" i="105"/>
  <c r="P45" i="105"/>
  <c r="B45" i="105"/>
  <c r="Q51" i="105"/>
  <c r="P51" i="105"/>
  <c r="B51" i="105"/>
  <c r="Q50" i="105"/>
  <c r="P50" i="105"/>
  <c r="B50" i="105"/>
  <c r="Q33" i="105"/>
  <c r="P33" i="105"/>
  <c r="B33" i="105"/>
  <c r="Q5" i="105"/>
  <c r="P5" i="105"/>
  <c r="B5" i="105"/>
  <c r="Q4" i="105"/>
  <c r="P4" i="105"/>
  <c r="B4" i="105"/>
  <c r="Q59" i="105"/>
  <c r="P59" i="105"/>
  <c r="B59" i="105"/>
  <c r="Q57" i="105"/>
  <c r="P57" i="105"/>
  <c r="B57" i="105"/>
  <c r="Q30" i="105"/>
  <c r="P30" i="105"/>
  <c r="B30" i="105"/>
  <c r="Q80" i="105"/>
  <c r="P80" i="105"/>
  <c r="B80" i="105"/>
  <c r="Q44" i="105"/>
  <c r="P44" i="105"/>
  <c r="B44" i="105"/>
  <c r="Q43" i="105"/>
  <c r="P43" i="105"/>
  <c r="B43" i="105"/>
  <c r="Q37" i="105"/>
  <c r="P37" i="105"/>
  <c r="B37" i="105"/>
  <c r="Q7" i="105"/>
  <c r="P7" i="105"/>
  <c r="B7" i="105"/>
  <c r="Q6" i="105"/>
  <c r="P6" i="105"/>
  <c r="B6" i="105"/>
  <c r="Q9" i="105"/>
  <c r="P9" i="105"/>
  <c r="B9" i="105"/>
  <c r="Q8" i="105"/>
  <c r="P8" i="105"/>
  <c r="B8" i="105"/>
  <c r="Q11" i="105"/>
  <c r="P11" i="105"/>
  <c r="B11" i="105"/>
  <c r="Q10" i="105"/>
  <c r="P10" i="105"/>
  <c r="B10" i="105"/>
  <c r="Q60" i="105"/>
  <c r="P60" i="105"/>
  <c r="B60" i="105"/>
  <c r="Q54" i="105"/>
  <c r="P54" i="105"/>
  <c r="B54" i="105"/>
  <c r="Q47" i="105"/>
  <c r="P47" i="105"/>
  <c r="B47" i="105"/>
  <c r="Q72" i="105"/>
  <c r="P72" i="105"/>
  <c r="B72" i="105"/>
  <c r="Q53" i="105"/>
  <c r="P53" i="105"/>
  <c r="B53" i="105"/>
  <c r="Q76" i="105"/>
  <c r="P76" i="105"/>
  <c r="B76" i="105"/>
  <c r="Q52" i="105"/>
  <c r="P52" i="105"/>
  <c r="B52" i="105"/>
  <c r="Q36" i="105"/>
  <c r="P36" i="105"/>
  <c r="B36" i="105"/>
  <c r="Q74" i="105"/>
  <c r="P74" i="105"/>
  <c r="B74" i="105"/>
  <c r="Q65" i="105"/>
  <c r="P65" i="105"/>
  <c r="B65" i="105"/>
  <c r="Q42" i="105"/>
  <c r="P42" i="105"/>
  <c r="B42" i="105"/>
  <c r="Q64" i="105"/>
  <c r="P64" i="105"/>
  <c r="B64" i="105"/>
  <c r="Q73" i="105"/>
  <c r="P73" i="105"/>
  <c r="B73" i="105"/>
  <c r="Q41" i="105"/>
  <c r="P41" i="105"/>
  <c r="Q13" i="105"/>
  <c r="P13" i="105"/>
  <c r="B13" i="105"/>
  <c r="Q12" i="105"/>
  <c r="P12" i="105"/>
  <c r="B12" i="105"/>
  <c r="Q78" i="105"/>
  <c r="P78" i="105"/>
  <c r="B78" i="105"/>
  <c r="Q61" i="105"/>
  <c r="P61" i="105"/>
  <c r="B61" i="105"/>
  <c r="Q15" i="105"/>
  <c r="P15" i="105"/>
  <c r="B15" i="105"/>
  <c r="Q14" i="105"/>
  <c r="P14" i="105"/>
  <c r="B14" i="105"/>
  <c r="Q68" i="105"/>
  <c r="P68" i="105"/>
  <c r="B68" i="105"/>
  <c r="Q67" i="105"/>
  <c r="P67" i="105"/>
  <c r="B67" i="105"/>
  <c r="Q58" i="105"/>
  <c r="P58" i="105"/>
  <c r="B58" i="105"/>
  <c r="Q35" i="105"/>
  <c r="P35" i="105"/>
  <c r="B35" i="105"/>
  <c r="Q17" i="105"/>
  <c r="P17" i="105"/>
  <c r="B17" i="105"/>
  <c r="Q16" i="105"/>
  <c r="P16" i="105"/>
  <c r="B16" i="105"/>
  <c r="Q19" i="105"/>
  <c r="P19" i="105"/>
  <c r="B19" i="105"/>
  <c r="Q18" i="105"/>
  <c r="P18" i="105"/>
  <c r="B18" i="105"/>
  <c r="Q34" i="105"/>
  <c r="P34" i="105"/>
  <c r="B34" i="105"/>
  <c r="Q46" i="105"/>
  <c r="P46" i="105"/>
  <c r="B46" i="105"/>
  <c r="Q31" i="105"/>
  <c r="P31" i="105"/>
  <c r="B31" i="105"/>
  <c r="Q26" i="105"/>
  <c r="P26" i="105"/>
  <c r="B26" i="105"/>
  <c r="Q79" i="105"/>
  <c r="P79" i="105"/>
  <c r="B79" i="105"/>
  <c r="Q71" i="105"/>
  <c r="P71" i="105"/>
  <c r="B71" i="105"/>
  <c r="Q32" i="105"/>
  <c r="P32" i="105"/>
  <c r="B32" i="105"/>
  <c r="Q75" i="105"/>
  <c r="P75" i="105"/>
  <c r="B75" i="105"/>
  <c r="Q70" i="105"/>
  <c r="P70" i="105"/>
  <c r="B70" i="105"/>
  <c r="Q48" i="105"/>
  <c r="P48" i="105"/>
  <c r="B48" i="105"/>
  <c r="Q66" i="105"/>
  <c r="P66" i="105"/>
  <c r="B66" i="105"/>
  <c r="Q21" i="105"/>
  <c r="P21" i="105"/>
  <c r="B21" i="105"/>
  <c r="Q20" i="105"/>
  <c r="P20" i="105"/>
  <c r="B20" i="105"/>
  <c r="Q38" i="105"/>
  <c r="P38" i="105"/>
  <c r="B38" i="105"/>
  <c r="Q23" i="105"/>
  <c r="P23" i="105"/>
  <c r="B23" i="105"/>
  <c r="Q22" i="105"/>
  <c r="P22" i="105"/>
  <c r="B22" i="105"/>
  <c r="Q25" i="105"/>
  <c r="P25" i="105"/>
  <c r="B25" i="105"/>
  <c r="Q24" i="105"/>
  <c r="P24" i="105"/>
  <c r="B24" i="105"/>
  <c r="Q77" i="105"/>
  <c r="P77" i="105"/>
  <c r="B77" i="105"/>
  <c r="Q69" i="105"/>
  <c r="P69" i="105"/>
  <c r="Q39" i="105"/>
  <c r="P39" i="105"/>
  <c r="P62" i="105"/>
  <c r="Q49" i="105"/>
  <c r="P49" i="105"/>
  <c r="Q29" i="105"/>
  <c r="Q144" i="105"/>
  <c r="P144" i="105"/>
  <c r="B144" i="105"/>
  <c r="Q171" i="105"/>
  <c r="P171" i="105"/>
  <c r="B171" i="105"/>
  <c r="Q119" i="105"/>
  <c r="P119" i="105"/>
  <c r="B119" i="105"/>
  <c r="Q165" i="105"/>
  <c r="P165" i="105"/>
  <c r="B165" i="105"/>
  <c r="Q110" i="105"/>
  <c r="P110" i="105"/>
  <c r="B110" i="105"/>
  <c r="Q109" i="105"/>
  <c r="P109" i="105"/>
  <c r="B109" i="105"/>
  <c r="Q112" i="105"/>
  <c r="P112" i="105"/>
  <c r="B112" i="105"/>
  <c r="Q111" i="105"/>
  <c r="P111" i="105"/>
  <c r="B111" i="105"/>
  <c r="Q173" i="105"/>
  <c r="P173" i="105"/>
  <c r="B173" i="105"/>
  <c r="Q136" i="105"/>
  <c r="P136" i="105"/>
  <c r="B136" i="105"/>
  <c r="Q145" i="105"/>
  <c r="P145" i="105"/>
  <c r="B145" i="105"/>
  <c r="Q135" i="105"/>
  <c r="P135" i="105"/>
  <c r="B135" i="105"/>
  <c r="Q134" i="105"/>
  <c r="P134" i="105"/>
  <c r="B134" i="105"/>
  <c r="Q126" i="105"/>
  <c r="P126" i="105"/>
  <c r="B126" i="105"/>
  <c r="Q83" i="105"/>
  <c r="P83" i="105"/>
  <c r="B83" i="105"/>
  <c r="Q82" i="105"/>
  <c r="P82" i="105"/>
  <c r="B82" i="105"/>
  <c r="Q164" i="105"/>
  <c r="P164" i="105"/>
  <c r="B164" i="105"/>
  <c r="Q142" i="105"/>
  <c r="P142" i="105"/>
  <c r="Q120" i="105"/>
  <c r="P120" i="105"/>
  <c r="Q132" i="105"/>
  <c r="P132" i="105"/>
  <c r="Q169" i="105"/>
  <c r="P169" i="105"/>
  <c r="Q163" i="105"/>
  <c r="P163" i="105"/>
  <c r="Q149" i="105"/>
  <c r="P149" i="105"/>
  <c r="Q128" i="105"/>
  <c r="P128" i="105"/>
  <c r="Q172" i="105"/>
  <c r="P172" i="105"/>
  <c r="B172" i="105"/>
  <c r="Q154" i="105"/>
  <c r="P154" i="105"/>
  <c r="B154" i="105"/>
  <c r="Q147" i="105"/>
  <c r="P147" i="105"/>
  <c r="B147" i="105"/>
  <c r="Q143" i="105"/>
  <c r="P143" i="105"/>
  <c r="B143" i="105"/>
  <c r="Q137" i="105"/>
  <c r="P137" i="105"/>
  <c r="B137" i="105"/>
  <c r="Q127" i="105"/>
  <c r="P127" i="105"/>
  <c r="B127" i="105"/>
  <c r="B124" i="105"/>
  <c r="Q118" i="105"/>
  <c r="P118" i="105"/>
  <c r="B118" i="105"/>
  <c r="Q117" i="105"/>
  <c r="P117" i="105"/>
  <c r="B117" i="105"/>
  <c r="Q158" i="105"/>
  <c r="P158" i="105"/>
  <c r="B158" i="105"/>
  <c r="Q121" i="105"/>
  <c r="P121" i="105"/>
  <c r="B121" i="105"/>
  <c r="Q153" i="105"/>
  <c r="P153" i="105"/>
  <c r="B153" i="105"/>
  <c r="Q125" i="105"/>
  <c r="P125" i="105"/>
  <c r="B125" i="105"/>
  <c r="Q151" i="105"/>
  <c r="P151" i="105"/>
  <c r="B151" i="105"/>
  <c r="Q168" i="105"/>
  <c r="P168" i="105"/>
  <c r="B168" i="105"/>
  <c r="Q157" i="105"/>
  <c r="P157" i="105"/>
  <c r="B157" i="105"/>
  <c r="Q156" i="105"/>
  <c r="P156" i="105"/>
  <c r="B156" i="105"/>
  <c r="Q150" i="105"/>
  <c r="P150" i="105"/>
  <c r="Q131" i="105"/>
  <c r="P131" i="105"/>
  <c r="Q130" i="105"/>
  <c r="P130" i="105"/>
  <c r="Q146" i="105"/>
  <c r="P146" i="105"/>
  <c r="Q91" i="105"/>
  <c r="P91" i="105"/>
  <c r="B91" i="105"/>
  <c r="Q90" i="105"/>
  <c r="P90" i="105"/>
  <c r="B90" i="105"/>
  <c r="Q93" i="105"/>
  <c r="P93" i="105"/>
  <c r="B93" i="105"/>
  <c r="Q92" i="105"/>
  <c r="P92" i="105"/>
  <c r="B92" i="105"/>
  <c r="Q162" i="105"/>
  <c r="P162" i="105"/>
  <c r="B162" i="105"/>
  <c r="Q174" i="105"/>
  <c r="P174" i="105"/>
  <c r="B174" i="105"/>
  <c r="Q95" i="105"/>
  <c r="P95" i="105"/>
  <c r="B95" i="105"/>
  <c r="Q94" i="105"/>
  <c r="P94" i="105"/>
  <c r="B94" i="105"/>
  <c r="Q97" i="105"/>
  <c r="P97" i="105"/>
  <c r="B97" i="105"/>
  <c r="Q96" i="105"/>
  <c r="P96" i="105"/>
  <c r="Q123" i="105"/>
  <c r="P123" i="105"/>
  <c r="Q167" i="105"/>
  <c r="P167" i="105"/>
  <c r="B167" i="105"/>
  <c r="Q155" i="105"/>
  <c r="P155" i="105"/>
  <c r="Q160" i="105"/>
  <c r="P160" i="105"/>
  <c r="B160" i="105"/>
  <c r="Q159" i="105"/>
  <c r="P159" i="105"/>
  <c r="B159" i="105"/>
  <c r="Q141" i="105"/>
  <c r="P141" i="105"/>
  <c r="B141" i="105"/>
  <c r="Q129" i="105"/>
  <c r="P129" i="105"/>
  <c r="B129" i="105"/>
  <c r="Q103" i="105"/>
  <c r="P103" i="105"/>
  <c r="B103" i="105"/>
  <c r="Q102" i="105"/>
  <c r="P102" i="105"/>
  <c r="B102" i="105"/>
  <c r="Q106" i="105"/>
  <c r="P106" i="105"/>
  <c r="Q105" i="105"/>
  <c r="P105" i="105"/>
  <c r="Q104" i="105"/>
  <c r="P104" i="105"/>
  <c r="Q148" i="105"/>
  <c r="P148" i="105"/>
  <c r="Q170" i="105"/>
  <c r="P170" i="105"/>
  <c r="Q166" i="105"/>
  <c r="P166" i="105"/>
  <c r="Q138" i="105"/>
  <c r="P138" i="105"/>
  <c r="Q161" i="105"/>
  <c r="P161" i="105"/>
  <c r="Q133" i="105"/>
  <c r="P133" i="105"/>
  <c r="Q116" i="105"/>
  <c r="P116" i="105"/>
  <c r="Q115" i="105"/>
  <c r="P115" i="105"/>
  <c r="B115" i="105"/>
</calcChain>
</file>

<file path=xl/sharedStrings.xml><?xml version="1.0" encoding="utf-8"?>
<sst xmlns="http://schemas.openxmlformats.org/spreadsheetml/2006/main" count="6879" uniqueCount="1964">
  <si>
    <t>장</t>
    <phoneticPr fontId="3" type="noConversion"/>
  </si>
  <si>
    <t>절</t>
    <phoneticPr fontId="3" type="noConversion"/>
  </si>
  <si>
    <t>제10절 쟁의기간 중 대체근로의 제한</t>
  </si>
  <si>
    <t>목차</t>
    <phoneticPr fontId="3" type="noConversion"/>
  </si>
  <si>
    <t>용어</t>
    <phoneticPr fontId="3" type="noConversion"/>
  </si>
  <si>
    <t>정의</t>
    <phoneticPr fontId="3" type="noConversion"/>
  </si>
  <si>
    <t>정기성</t>
    <phoneticPr fontId="3" type="noConversion"/>
  </si>
  <si>
    <t>일률성</t>
    <phoneticPr fontId="3" type="noConversion"/>
  </si>
  <si>
    <t>고정성</t>
    <phoneticPr fontId="3" type="noConversion"/>
  </si>
  <si>
    <t>취업규칙</t>
    <phoneticPr fontId="3" type="noConversion"/>
  </si>
  <si>
    <t>취업규칙의 불이익 변경</t>
    <phoneticPr fontId="3" type="noConversion"/>
  </si>
  <si>
    <t>종전의 취업규칙을 개정하여 근로자에게 저하된 근로조건이다, 강화된 복무규율을 부과함으로써 근로자의 기득이익을 박탈하는 것을 말한다.</t>
    <phoneticPr fontId="3" type="noConversion"/>
  </si>
  <si>
    <t>인사이동</t>
    <phoneticPr fontId="3" type="noConversion"/>
  </si>
  <si>
    <t>전직</t>
    <phoneticPr fontId="3" type="noConversion"/>
  </si>
  <si>
    <t>전적</t>
    <phoneticPr fontId="3" type="noConversion"/>
  </si>
  <si>
    <t>휴직</t>
    <phoneticPr fontId="3" type="noConversion"/>
  </si>
  <si>
    <t>징계</t>
    <phoneticPr fontId="3" type="noConversion"/>
  </si>
  <si>
    <t>직위해제(대기발령)</t>
    <phoneticPr fontId="3" type="noConversion"/>
  </si>
  <si>
    <t>영업양도</t>
    <phoneticPr fontId="3" type="noConversion"/>
  </si>
  <si>
    <t>분할</t>
    <phoneticPr fontId="3" type="noConversion"/>
  </si>
  <si>
    <t>합병</t>
    <phoneticPr fontId="3" type="noConversion"/>
  </si>
  <si>
    <t>요약</t>
    <phoneticPr fontId="3" type="noConversion"/>
  </si>
  <si>
    <t>실정노동법</t>
    <phoneticPr fontId="3" type="noConversion"/>
  </si>
  <si>
    <t>노동관습법</t>
    <phoneticPr fontId="3" type="noConversion"/>
  </si>
  <si>
    <t>노사자치규범</t>
    <phoneticPr fontId="3" type="noConversion"/>
  </si>
  <si>
    <t>법원의 경합</t>
    <phoneticPr fontId="3" type="noConversion"/>
  </si>
  <si>
    <t>유리성의 원칙</t>
    <phoneticPr fontId="3" type="noConversion"/>
  </si>
  <si>
    <t>2</t>
  </si>
  <si>
    <t>2</t>
    <phoneticPr fontId="3" type="noConversion"/>
  </si>
  <si>
    <t>통상임금 범위를 규정한 취업규칙 조항의 효력</t>
  </si>
  <si>
    <t>사용자의 언론의 자유와 부당노동행위의 관계</t>
  </si>
  <si>
    <t>1</t>
    <phoneticPr fontId="3" type="noConversion"/>
  </si>
  <si>
    <t>휴게시간</t>
    <phoneticPr fontId="3" type="noConversion"/>
  </si>
  <si>
    <t>휴일</t>
    <phoneticPr fontId="3" type="noConversion"/>
  </si>
  <si>
    <t>주휴제</t>
    <phoneticPr fontId="3" type="noConversion"/>
  </si>
  <si>
    <t>휴무일</t>
    <phoneticPr fontId="3" type="noConversion"/>
  </si>
  <si>
    <t>휴가</t>
    <phoneticPr fontId="3" type="noConversion"/>
  </si>
  <si>
    <t>휴일근로</t>
    <phoneticPr fontId="3" type="noConversion"/>
  </si>
  <si>
    <t>휴일의 대체</t>
    <phoneticPr fontId="3" type="noConversion"/>
  </si>
  <si>
    <t>연차유급휴가</t>
    <phoneticPr fontId="3" type="noConversion"/>
  </si>
  <si>
    <t>비례적 삭감설</t>
    <phoneticPr fontId="3" type="noConversion"/>
  </si>
  <si>
    <t>연차유급휴가미사용수당</t>
    <phoneticPr fontId="3" type="noConversion"/>
  </si>
  <si>
    <t>연차유급휴가 대체</t>
    <phoneticPr fontId="3" type="noConversion"/>
  </si>
  <si>
    <t>인사처분</t>
    <phoneticPr fontId="3" type="noConversion"/>
  </si>
  <si>
    <t>차별시정제도</t>
    <phoneticPr fontId="3" type="noConversion"/>
  </si>
  <si>
    <t>차별적 처우</t>
    <phoneticPr fontId="3" type="noConversion"/>
  </si>
  <si>
    <t>업무상 재해</t>
    <phoneticPr fontId="3" type="noConversion"/>
  </si>
  <si>
    <t>업무수행성</t>
    <phoneticPr fontId="3" type="noConversion"/>
  </si>
  <si>
    <t>업무기인성</t>
    <phoneticPr fontId="3" type="noConversion"/>
  </si>
  <si>
    <t>업무수행 중의 사고</t>
    <phoneticPr fontId="3" type="noConversion"/>
  </si>
  <si>
    <t>의결기관</t>
    <phoneticPr fontId="3" type="noConversion"/>
  </si>
  <si>
    <t>집행기관</t>
    <phoneticPr fontId="3" type="noConversion"/>
  </si>
  <si>
    <t>노동조합 기구</t>
    <phoneticPr fontId="3" type="noConversion"/>
  </si>
  <si>
    <t>주체의 정당성</t>
    <phoneticPr fontId="3" type="noConversion"/>
  </si>
  <si>
    <t>목적의 정당성</t>
    <phoneticPr fontId="3" type="noConversion"/>
  </si>
  <si>
    <t>수단의 정당성</t>
    <phoneticPr fontId="3" type="noConversion"/>
  </si>
  <si>
    <t>노조전임자</t>
    <phoneticPr fontId="3" type="noConversion"/>
  </si>
  <si>
    <t>관련 정보</t>
    <phoneticPr fontId="3" type="noConversion"/>
  </si>
  <si>
    <t>2019-1-2</t>
  </si>
  <si>
    <t>2009-2-1</t>
  </si>
  <si>
    <t>2016-2</t>
  </si>
  <si>
    <t>2018-1-2</t>
  </si>
  <si>
    <t>2012-1-1</t>
  </si>
  <si>
    <t>2012-1-2</t>
  </si>
  <si>
    <t>2019-2</t>
  </si>
  <si>
    <t>2014-2</t>
  </si>
  <si>
    <t>2016-1-1</t>
  </si>
  <si>
    <t>2015-1-i</t>
  </si>
  <si>
    <t>2013-1-1</t>
  </si>
  <si>
    <t>2013-1-2</t>
  </si>
  <si>
    <t>2024-1-2</t>
  </si>
  <si>
    <t>2015-2</t>
  </si>
  <si>
    <t>2025-1-1</t>
  </si>
  <si>
    <t>2025-1-2</t>
  </si>
  <si>
    <t>2023-1-1</t>
  </si>
  <si>
    <t>2022-1-1</t>
  </si>
  <si>
    <t>2019-1-1</t>
  </si>
  <si>
    <t>2017-1-1</t>
  </si>
  <si>
    <t>2016-1-2</t>
  </si>
  <si>
    <t>2014-1-2</t>
  </si>
  <si>
    <t>2008-1</t>
  </si>
  <si>
    <t>2022-1-2</t>
  </si>
  <si>
    <t>2009-1</t>
  </si>
  <si>
    <t>2024-1-1</t>
  </si>
  <si>
    <t>2023-2</t>
  </si>
  <si>
    <t>2020-1-2</t>
  </si>
  <si>
    <t>2020-2</t>
  </si>
  <si>
    <t>2025-2</t>
  </si>
  <si>
    <t>2017-1-2</t>
  </si>
  <si>
    <t>2009-2-2</t>
  </si>
  <si>
    <t>2009-3</t>
  </si>
  <si>
    <t>2010-1</t>
  </si>
  <si>
    <t>2009-2</t>
  </si>
  <si>
    <t>2008-2</t>
  </si>
  <si>
    <t>2015-1</t>
  </si>
  <si>
    <t>2008-3</t>
  </si>
  <si>
    <t>특수 기간의 평균임금 산정방법과 연차유급휴가 미사용 수당의 산입 방식</t>
    <phoneticPr fontId="3" type="noConversion"/>
  </si>
  <si>
    <t>나머지 임금 및 퇴직금 채권의 변제 순위와 조세・공과금 및 일반 채권과의 관계</t>
    <phoneticPr fontId="3" type="noConversion"/>
  </si>
  <si>
    <t>운행 사이 대기시간의 법적 성격 판별 기준과 사안의 대기시간이 근로시간에 포함되는지 여부</t>
    <phoneticPr fontId="3" type="noConversion"/>
  </si>
  <si>
    <t>유니언 숍 조항을 근거로 한 탈퇴 후 타 노조 가입자 해고의 정당성</t>
    <phoneticPr fontId="3" type="noConversion"/>
  </si>
  <si>
    <t>조합비 미납을 이유로 한 조합원 선거권 제한의 적법성</t>
    <phoneticPr fontId="3" type="noConversion"/>
  </si>
  <si>
    <t>대의원회 의결 없이 총회에서 이루어진 단체협약안 의결의 정당성</t>
    <phoneticPr fontId="3" type="noConversion"/>
  </si>
  <si>
    <t>총회 의결 정족수 충족 여부 및 위원장 해임결의의 유효성</t>
    <phoneticPr fontId="3" type="noConversion"/>
  </si>
  <si>
    <t>사용자의 노조 전임자 급여 지급 및 운영비 원조 행위의 부당노동행위 성립 여부와 단체협약의 효력</t>
    <phoneticPr fontId="3" type="noConversion"/>
  </si>
  <si>
    <t>근로시간 면제 제도(Time-Off)의 한도 초과 약정의 효력 및 급여 지급의 법적 쟁점</t>
    <phoneticPr fontId="3" type="noConversion"/>
  </si>
  <si>
    <t>교섭 권한 없는 자로의 위임 및 교섭 불참과 성실교섭의무 위반의 판단 기준</t>
    <phoneticPr fontId="3" type="noConversion"/>
  </si>
  <si>
    <t>단체협약의 성립요건인 서면 작성 및 서명・날인의 법적 의미와 자필 서명의 효력</t>
    <phoneticPr fontId="3" type="noConversion"/>
  </si>
  <si>
    <t>조합원 인준투표 부결이 단체협약의 성립 및 효력 발생에 미치는 영향</t>
    <phoneticPr fontId="3" type="noConversion"/>
  </si>
  <si>
    <t>평화의무의 개념, 근거 및 명시적 조항 부재 시 인정 여부</t>
    <phoneticPr fontId="3" type="noConversion"/>
  </si>
  <si>
    <t>평화의무 위반 쟁의행위의 정당성 유무 및 법적 책임</t>
    <phoneticPr fontId="3" type="noConversion"/>
  </si>
  <si>
    <t>사무직 근로자에 대한 효력확장 여부 및 확장의 범위(채무적 부분 포함 여부)</t>
    <phoneticPr fontId="3" type="noConversion"/>
  </si>
  <si>
    <t>필수유지업무 제도의 적용 범위・절차 및 일반 사업장에서의 사용자 일방 지정 가능성</t>
    <phoneticPr fontId="3" type="noConversion"/>
  </si>
  <si>
    <t>유니온 숍 조항의 성립 요건 및 소수 노조 조합원에 대한 효력 범위</t>
    <phoneticPr fontId="3" type="noConversion"/>
  </si>
  <si>
    <t>2008-1</t>
    <phoneticPr fontId="3" type="noConversion"/>
  </si>
  <si>
    <t>사이닝보너스</t>
    <phoneticPr fontId="3" type="noConversion"/>
  </si>
  <si>
    <t>근로관계</t>
    <phoneticPr fontId="3" type="noConversion"/>
  </si>
  <si>
    <t>근로계약</t>
    <phoneticPr fontId="3" type="noConversion"/>
  </si>
  <si>
    <t>경업금지약정의 효력, 회사의 전직금지 청구 가능 여부</t>
    <phoneticPr fontId="3" type="noConversion"/>
  </si>
  <si>
    <t>기술적 영업비밀이 아닌 정보 유출에 대한 징계 및 손해배상 청구 가능 여부</t>
    <phoneticPr fontId="3" type="noConversion"/>
  </si>
  <si>
    <t>경업금지의무</t>
    <phoneticPr fontId="3" type="noConversion"/>
  </si>
  <si>
    <t>비밀유지의무</t>
    <phoneticPr fontId="3" type="noConversion"/>
  </si>
  <si>
    <t>진실고지의무</t>
    <phoneticPr fontId="3" type="noConversion"/>
  </si>
  <si>
    <t>결손책임</t>
    <phoneticPr fontId="3" type="noConversion"/>
  </si>
  <si>
    <t>근로자가 근로계약 기간 중 사용자의 동의 없이 사용자의 사업과 경쟁 관계에 있는 사업을 영위하거나 경쟁 업체에 취업해서는 안 되는 의무</t>
    <phoneticPr fontId="3" type="noConversion"/>
  </si>
  <si>
    <t>근로자가 근로 기간 중 업무 수행 과정에서 알게 된 사용자의 영업상 또는 기술상 비밀을 누설하거나 부당하게 이용해서는 안 되는 의무</t>
    <phoneticPr fontId="3" type="noConversion"/>
  </si>
  <si>
    <t>근로자가 근로계약 체결이나 근로관계 유지와 관련하여 사용자의 합리적인 경영 판단에 영향을 미치는 중요한 정보에 대하여 진실을 고지해야 할 의무</t>
    <phoneticPr fontId="3" type="noConversion"/>
  </si>
  <si>
    <t>근로자가 업무상 재산 관리 등의 사무를 처리하면서 발생시킨 재정적 손해에 대하여 사용자에게 책임을 지는 것</t>
    <phoneticPr fontId="3" type="noConversion"/>
  </si>
  <si>
    <t>유형</t>
    <phoneticPr fontId="3" type="noConversion"/>
  </si>
  <si>
    <t>요약</t>
  </si>
  <si>
    <t>노동법의 법원</t>
    <phoneticPr fontId="3" type="noConversion"/>
  </si>
  <si>
    <t>근로기준법상 근로자</t>
    <phoneticPr fontId="3" type="noConversion"/>
  </si>
  <si>
    <t>근로기준법상 사용자</t>
    <phoneticPr fontId="3" type="noConversion"/>
  </si>
  <si>
    <t>근로관계의 성립</t>
    <phoneticPr fontId="3" type="noConversion"/>
  </si>
  <si>
    <t>근로계약의 체결</t>
    <phoneticPr fontId="3" type="noConversion"/>
  </si>
  <si>
    <t>근로계약과 근로관계</t>
    <phoneticPr fontId="3" type="noConversion"/>
  </si>
  <si>
    <t>근로계약과 당사자의 권리 및 의무</t>
    <phoneticPr fontId="3" type="noConversion"/>
  </si>
  <si>
    <t>임금</t>
    <phoneticPr fontId="3" type="noConversion"/>
  </si>
  <si>
    <t>임금의 의의</t>
    <phoneticPr fontId="3" type="noConversion"/>
  </si>
  <si>
    <t>평균임금</t>
    <phoneticPr fontId="3" type="noConversion"/>
  </si>
  <si>
    <t>통상임금</t>
    <phoneticPr fontId="3" type="noConversion"/>
  </si>
  <si>
    <t>임금지급의 원칙</t>
    <phoneticPr fontId="3" type="noConversion"/>
  </si>
  <si>
    <t>휴업수당</t>
    <phoneticPr fontId="3" type="noConversion"/>
  </si>
  <si>
    <t>임금채권의 우선변제</t>
    <phoneticPr fontId="3" type="noConversion"/>
  </si>
  <si>
    <t>근로시간</t>
    <phoneticPr fontId="3" type="noConversion"/>
  </si>
  <si>
    <t>근로시간의 보호</t>
    <phoneticPr fontId="3" type="noConversion"/>
  </si>
  <si>
    <t>시간외근로</t>
    <phoneticPr fontId="3" type="noConversion"/>
  </si>
  <si>
    <t>휴일과 휴일근로</t>
    <phoneticPr fontId="3" type="noConversion"/>
  </si>
  <si>
    <t>취업규칙의 의의와 작성</t>
    <phoneticPr fontId="3" type="noConversion"/>
  </si>
  <si>
    <t>취업규칙의 변경</t>
    <phoneticPr fontId="3" type="noConversion"/>
  </si>
  <si>
    <t>인사처분</t>
  </si>
  <si>
    <t>근로관계의 이전</t>
    <phoneticPr fontId="3" type="noConversion"/>
  </si>
  <si>
    <t>근로관계의 종료</t>
    <phoneticPr fontId="3" type="noConversion"/>
  </si>
  <si>
    <t>비정규근로자</t>
    <phoneticPr fontId="3" type="noConversion"/>
  </si>
  <si>
    <t>업무상 재해 등</t>
    <phoneticPr fontId="3" type="noConversion"/>
  </si>
  <si>
    <t>노동조합</t>
    <phoneticPr fontId="3" type="noConversion"/>
  </si>
  <si>
    <t>단체교섭</t>
    <phoneticPr fontId="3" type="noConversion"/>
  </si>
  <si>
    <t>단체협약</t>
  </si>
  <si>
    <t>단체협약</t>
    <phoneticPr fontId="3" type="noConversion"/>
  </si>
  <si>
    <t>쟁의행위</t>
    <phoneticPr fontId="3" type="noConversion"/>
  </si>
  <si>
    <t>부당노동행위</t>
    <phoneticPr fontId="3" type="noConversion"/>
  </si>
  <si>
    <t>부속법령</t>
    <phoneticPr fontId="3" type="noConversion"/>
  </si>
  <si>
    <t>근로관계 종료의 유형</t>
    <phoneticPr fontId="3" type="noConversion"/>
  </si>
  <si>
    <t>해고의 실체적 정당성</t>
    <phoneticPr fontId="3" type="noConversion"/>
  </si>
  <si>
    <t>해고의 절차적 정당성</t>
    <phoneticPr fontId="3" type="noConversion"/>
  </si>
  <si>
    <t>부당해고의 구제</t>
    <phoneticPr fontId="3" type="noConversion"/>
  </si>
  <si>
    <t>기간제근로자</t>
    <phoneticPr fontId="3" type="noConversion"/>
  </si>
  <si>
    <t>단시간근로자</t>
    <phoneticPr fontId="3" type="noConversion"/>
  </si>
  <si>
    <t>파견근로자</t>
    <phoneticPr fontId="3" type="noConversion"/>
  </si>
  <si>
    <t>차별시정</t>
    <phoneticPr fontId="3" type="noConversion"/>
  </si>
  <si>
    <t>업무상 질병</t>
    <phoneticPr fontId="3" type="noConversion"/>
  </si>
  <si>
    <t>노동조합의 설립요건</t>
    <phoneticPr fontId="3" type="noConversion"/>
  </si>
  <si>
    <t>조합원의 지위 및 권리・의무</t>
    <phoneticPr fontId="3" type="noConversion"/>
  </si>
  <si>
    <t>노동조합의 기구</t>
    <phoneticPr fontId="3" type="noConversion"/>
  </si>
  <si>
    <t>조합활동의 정당성</t>
    <phoneticPr fontId="3" type="noConversion"/>
  </si>
  <si>
    <t>사용자의 편의제공</t>
    <phoneticPr fontId="3" type="noConversion"/>
  </si>
  <si>
    <t>노동조합의 내부통제권</t>
    <phoneticPr fontId="3" type="noConversion"/>
  </si>
  <si>
    <t>단체교섭의 당사자</t>
    <phoneticPr fontId="3" type="noConversion"/>
  </si>
  <si>
    <t>단체교섭의 담당자</t>
    <phoneticPr fontId="3" type="noConversion"/>
  </si>
  <si>
    <t>단체교섭의 대상</t>
    <phoneticPr fontId="3" type="noConversion"/>
  </si>
  <si>
    <t>교섭창구단일화제도</t>
    <phoneticPr fontId="3" type="noConversion"/>
  </si>
  <si>
    <t>인준투표제</t>
    <phoneticPr fontId="3" type="noConversion"/>
  </si>
  <si>
    <t>성실교섭의무</t>
    <phoneticPr fontId="3" type="noConversion"/>
  </si>
  <si>
    <t>단체협약의 성립</t>
    <phoneticPr fontId="3" type="noConversion"/>
  </si>
  <si>
    <t>단체협약의 효력</t>
    <phoneticPr fontId="3" type="noConversion"/>
  </si>
  <si>
    <t>평화의무</t>
    <phoneticPr fontId="3" type="noConversion"/>
  </si>
  <si>
    <t>단체협약의 해석</t>
    <phoneticPr fontId="3" type="noConversion"/>
  </si>
  <si>
    <t>단체협약의 중요조항</t>
    <phoneticPr fontId="3" type="noConversion"/>
  </si>
  <si>
    <t>단체협약의 효력확장</t>
    <phoneticPr fontId="3" type="noConversion"/>
  </si>
  <si>
    <t>단체협약의 실효 및 실효 후의 근로관계</t>
    <phoneticPr fontId="3" type="noConversion"/>
  </si>
  <si>
    <t>쟁의행위 주체의 정당성</t>
    <phoneticPr fontId="3" type="noConversion"/>
  </si>
  <si>
    <t>쟁의행위 목적의 정당성</t>
    <phoneticPr fontId="3" type="noConversion"/>
  </si>
  <si>
    <t>쟁의행위 시기・절차의 정당성</t>
    <phoneticPr fontId="3" type="noConversion"/>
  </si>
  <si>
    <t>쟁의행위 수단・방법의 정당성</t>
    <phoneticPr fontId="3" type="noConversion"/>
  </si>
  <si>
    <t>준법투쟁</t>
    <phoneticPr fontId="3" type="noConversion"/>
  </si>
  <si>
    <t>사용자의 쟁의행위</t>
    <phoneticPr fontId="3" type="noConversion"/>
  </si>
  <si>
    <t>불법쟁의행위와 법적 책임</t>
    <phoneticPr fontId="3" type="noConversion"/>
  </si>
  <si>
    <t>쟁의행위와 노사당사자 간의 법률관계</t>
    <phoneticPr fontId="3" type="noConversion"/>
  </si>
  <si>
    <t>안전보호시설과 필수유지업무</t>
    <phoneticPr fontId="3" type="noConversion"/>
  </si>
  <si>
    <t>쟁의기간 중 대체근로의 제한</t>
    <phoneticPr fontId="3" type="noConversion"/>
  </si>
  <si>
    <t>부당노동행위제도의 의의</t>
    <phoneticPr fontId="3" type="noConversion"/>
  </si>
  <si>
    <t>반조합계약(비열계약, 황견계약)</t>
    <phoneticPr fontId="3" type="noConversion"/>
  </si>
  <si>
    <t>단체교섭의 거부・해태</t>
    <phoneticPr fontId="3" type="noConversion"/>
  </si>
  <si>
    <t>지배・개입</t>
    <phoneticPr fontId="3" type="noConversion"/>
  </si>
  <si>
    <t>부당노동행위에 대한 구제</t>
    <phoneticPr fontId="3" type="noConversion"/>
  </si>
  <si>
    <t>산업안전보건법</t>
    <phoneticPr fontId="3" type="noConversion"/>
  </si>
  <si>
    <t>근로자퇴직급여 보장법</t>
    <phoneticPr fontId="3" type="noConversion"/>
  </si>
  <si>
    <t>기간제 및 단시간근로자 보호 등에 관한 법률</t>
    <phoneticPr fontId="3" type="noConversion"/>
  </si>
  <si>
    <t>노동위원회법</t>
    <phoneticPr fontId="3" type="noConversion"/>
  </si>
  <si>
    <t>근로자참여 및 협력증진에 관한 법률</t>
    <phoneticPr fontId="3" type="noConversion"/>
  </si>
  <si>
    <t>교원의 노동조합 설립 및 운영 등에 관한 법률</t>
    <phoneticPr fontId="3" type="noConversion"/>
  </si>
  <si>
    <t>공무원의 노동조합 설립 및 운영 등에 관한 법률</t>
    <phoneticPr fontId="3" type="noConversion"/>
  </si>
  <si>
    <t>고용보험법</t>
    <phoneticPr fontId="3" type="noConversion"/>
  </si>
  <si>
    <t>산업재해보상보험법</t>
    <phoneticPr fontId="3" type="noConversion"/>
  </si>
  <si>
    <t>노동법 총론</t>
    <phoneticPr fontId="3" type="noConversion"/>
  </si>
  <si>
    <t>근로기준법의 기본원칙</t>
    <phoneticPr fontId="3" type="noConversion"/>
  </si>
  <si>
    <t>대가성</t>
    <phoneticPr fontId="3" type="noConversion"/>
  </si>
  <si>
    <t>소정근로의 대가</t>
    <phoneticPr fontId="3" type="noConversion"/>
  </si>
  <si>
    <t>통화불의 원칙</t>
    <phoneticPr fontId="3" type="noConversion"/>
  </si>
  <si>
    <t>직접불의 원칙</t>
    <phoneticPr fontId="3" type="noConversion"/>
  </si>
  <si>
    <t>전액불의 원칙</t>
    <phoneticPr fontId="3" type="noConversion"/>
  </si>
  <si>
    <t>휴업</t>
    <phoneticPr fontId="3" type="noConversion"/>
  </si>
  <si>
    <t>임금채권</t>
    <phoneticPr fontId="3" type="noConversion"/>
  </si>
  <si>
    <t>사용자의 총재산</t>
    <phoneticPr fontId="3" type="noConversion"/>
  </si>
  <si>
    <t>기준근로시간</t>
    <phoneticPr fontId="3" type="noConversion"/>
  </si>
  <si>
    <t>소정근로시간</t>
    <phoneticPr fontId="3" type="noConversion"/>
  </si>
  <si>
    <t>연소근로자</t>
    <phoneticPr fontId="3" type="noConversion"/>
  </si>
  <si>
    <t>근로자가 노무를 제공한 것에 대한 보상 또는 그 노무 제공을 전제로 사용자가 지급할 의무를 지는 것</t>
    <phoneticPr fontId="3" type="noConversion"/>
  </si>
  <si>
    <t>보상휴가제도</t>
    <phoneticPr fontId="3" type="noConversion"/>
  </si>
  <si>
    <t>포괄임금약정</t>
    <phoneticPr fontId="3" type="noConversion"/>
  </si>
  <si>
    <t>연장근로</t>
    <phoneticPr fontId="3" type="noConversion"/>
  </si>
  <si>
    <t>야간근로</t>
    <phoneticPr fontId="3" type="noConversion"/>
  </si>
  <si>
    <t>업무상 사고</t>
    <phoneticPr fontId="3" type="noConversion"/>
  </si>
  <si>
    <t>해고</t>
    <phoneticPr fontId="3" type="noConversion"/>
  </si>
  <si>
    <t>초단시간근로자</t>
    <phoneticPr fontId="3" type="noConversion"/>
  </si>
  <si>
    <t>근로자파견</t>
    <phoneticPr fontId="3" type="noConversion"/>
  </si>
  <si>
    <t>단체협약상 동의조항의 효력(노동조합의 동의권에 대한 범위), 경영권에 대한 단체교섭의 대상성</t>
    <phoneticPr fontId="3" type="noConversion"/>
  </si>
  <si>
    <t>2010-1</t>
    <phoneticPr fontId="3" type="noConversion"/>
  </si>
  <si>
    <t>2011-2</t>
    <phoneticPr fontId="3" type="noConversion"/>
  </si>
  <si>
    <t>계획</t>
    <phoneticPr fontId="3" type="noConversion"/>
  </si>
  <si>
    <t>실행</t>
    <phoneticPr fontId="3" type="noConversion"/>
  </si>
  <si>
    <t>기능</t>
    <phoneticPr fontId="3" type="noConversion"/>
  </si>
  <si>
    <t>사용여부</t>
    <phoneticPr fontId="3" type="noConversion"/>
  </si>
  <si>
    <t>행 하이라이트</t>
    <phoneticPr fontId="3" type="noConversion"/>
  </si>
  <si>
    <t>부정례</t>
    <phoneticPr fontId="3" type="noConversion"/>
  </si>
  <si>
    <t>규범적 효력</t>
    <phoneticPr fontId="3" type="noConversion"/>
  </si>
  <si>
    <t>근로자(근기법)</t>
    <phoneticPr fontId="3" type="noConversion"/>
  </si>
  <si>
    <t>근로자(노조법)</t>
    <phoneticPr fontId="3" type="noConversion"/>
  </si>
  <si>
    <t>사용자(근기법)</t>
    <phoneticPr fontId="3" type="noConversion"/>
  </si>
  <si>
    <t>사업경영담당자</t>
    <phoneticPr fontId="3" type="noConversion"/>
  </si>
  <si>
    <t>근로자에 관한 사항</t>
    <phoneticPr fontId="3" type="noConversion"/>
  </si>
  <si>
    <t>사용자(노조법)</t>
    <phoneticPr fontId="3" type="noConversion"/>
  </si>
  <si>
    <t>사업주(노조법)</t>
    <phoneticPr fontId="3" type="noConversion"/>
  </si>
  <si>
    <t>사업주(근기법)</t>
    <phoneticPr fontId="3" type="noConversion"/>
  </si>
  <si>
    <t>사업주를 위하여 행동하는 자</t>
    <phoneticPr fontId="3" type="noConversion"/>
  </si>
  <si>
    <t>사업주를 위하여 행위하는 자</t>
    <phoneticPr fontId="3" type="noConversion"/>
  </si>
  <si>
    <t>균등한 처우 원칙</t>
    <phoneticPr fontId="3" type="noConversion"/>
  </si>
  <si>
    <t>차별의 합리적 이유</t>
    <phoneticPr fontId="3" type="noConversion"/>
  </si>
  <si>
    <t>중간착취의 배제 원칙</t>
    <phoneticPr fontId="3" type="noConversion"/>
  </si>
  <si>
    <t>공민권 행사의 보장 원칙</t>
    <phoneticPr fontId="3" type="noConversion"/>
  </si>
  <si>
    <t>노무제공의무</t>
    <phoneticPr fontId="3" type="noConversion"/>
  </si>
  <si>
    <t>임금지급의무</t>
    <phoneticPr fontId="3" type="noConversion"/>
  </si>
  <si>
    <t>해외연수 후 의무근로기간 약정 위반 시 연수비용 반환의 적법성 및 퇴직금과 연수비용의 상계 가능성</t>
    <phoneticPr fontId="3" type="noConversion"/>
  </si>
  <si>
    <t>위약금 예정</t>
    <phoneticPr fontId="3" type="noConversion"/>
  </si>
  <si>
    <t>손해배상액 예정</t>
    <phoneticPr fontId="3" type="noConversion"/>
  </si>
  <si>
    <t>계약 불이행 시 발생할 손해와 무관하게 미리 일정액을 손해배상으로 정하는 것을 말한다. / 근로자의 채무불이행으로 인하여 실제 발생한 손해액과 상관없이 손해배상액을 미리 약정하는 것</t>
    <phoneticPr fontId="3" type="noConversion"/>
  </si>
  <si>
    <t>이를 산정하여야 할 사유가 발생한 날 이전 3개월 동안에 그 근로자에게 지급된 임금의 총액을 그 기간의 총일수로 나눈 금액을 말한다.</t>
    <phoneticPr fontId="3" type="noConversion"/>
  </si>
  <si>
    <t>사용자가 근로의 대가로 근로자에게 임금, 봉급, 그 밖에 어떠한 명칭으로든지 지급하는 모든 금품을 말한다.</t>
    <phoneticPr fontId="3" type="noConversion"/>
  </si>
  <si>
    <t>임금(법령)</t>
    <phoneticPr fontId="3" type="noConversion"/>
  </si>
  <si>
    <t>임금(판례)</t>
    <phoneticPr fontId="3" type="noConversion"/>
  </si>
  <si>
    <t>사용자가 근로의 대가로 근로자에게 지급하는 일체의 금품으로서, 계속적・정기적으로 지급되고, 그 지급에 대하여 단체협약, 취업규칙, 근로계약에 의하여 사용자에게 지급의무가 정해진 것</t>
    <phoneticPr fontId="3" type="noConversion"/>
  </si>
  <si>
    <t>정기불의 원칙</t>
    <phoneticPr fontId="3" type="noConversion"/>
  </si>
  <si>
    <t>비전형적 근로관계</t>
    <phoneticPr fontId="3" type="noConversion"/>
  </si>
  <si>
    <t>대한민국에서 통용되는 통화로 지급되어야 한다</t>
    <phoneticPr fontId="3" type="noConversion"/>
  </si>
  <si>
    <t>근로자 본인에게 직접 지급되어야 한다</t>
    <phoneticPr fontId="3" type="noConversion"/>
  </si>
  <si>
    <t>근로자에게 임금의 전액을 지급하여야 한다. 일부를 공제하거나 상계는 원칙적으로 금지</t>
    <phoneticPr fontId="3" type="noConversion"/>
  </si>
  <si>
    <t>매월 1회 이상 일정한 기일을 정하여 지급되어야 한다</t>
    <phoneticPr fontId="3" type="noConversion"/>
  </si>
  <si>
    <t>사용자의 귀책사유(판례)</t>
    <phoneticPr fontId="3" type="noConversion"/>
  </si>
  <si>
    <t>중간수입</t>
    <phoneticPr fontId="3" type="noConversion"/>
  </si>
  <si>
    <t>근로자가 근로제공 의사와 능력을 가지고 있음에도 불구하고 사용자의 귀책사유로 인하여 근로를 제공하지 못하는 상태</t>
    <phoneticPr fontId="3" type="noConversion"/>
  </si>
  <si>
    <t>사용자의 귀책사유로 근로자가 휴업하는 경우 사용자가 해당 근로자에게 지급해야 하는 임금 보전 금액</t>
    <phoneticPr fontId="3" type="noConversion"/>
  </si>
  <si>
    <t>사용자의 세력범위 내에서 발생한 모든 경영상의 장해를 포함하는 광범위한 개념으로 해석한다.</t>
    <phoneticPr fontId="3" type="noConversion"/>
  </si>
  <si>
    <t>휴업기간 동안 근로자가 다른 사업장에 취업하여 얻은 임금 등 소득을 말한다.</t>
    <phoneticPr fontId="3" type="noConversion"/>
  </si>
  <si>
    <t>2024-2</t>
    <phoneticPr fontId="3" type="noConversion"/>
  </si>
  <si>
    <t>노동위원회의 휴업수당 감액 승인이 취업규칙상 유리한 규정의 효력에 미치는 영향</t>
    <phoneticPr fontId="3" type="noConversion"/>
  </si>
  <si>
    <t>2021-2</t>
    <phoneticPr fontId="3" type="noConversion"/>
  </si>
  <si>
    <t>사용자의 재산이 파산・경매 등으로 처분되는 경우, 일반 채권자나 다른 담보물권자에 우선하여 근로자의 임금채권을 변제받을 수 있도록 법률이 특별히 인정한 권리를 말한다.</t>
    <phoneticPr fontId="3" type="noConversion"/>
  </si>
  <si>
    <t>근로자가 근로제공에 대한 대가로 사용자에게 지급을 청구할 수 있는 모든 금전적 채권을 의미한다.</t>
    <phoneticPr fontId="3" type="noConversion"/>
  </si>
  <si>
    <t>임금채권의 우선변제가 실현되는 재산의 범위를 말하며, 원칙적으로 사업주가 소유하는 모든 재산을 포괄한다.</t>
    <phoneticPr fontId="3" type="noConversion"/>
  </si>
  <si>
    <t>근로시간(통설)</t>
    <phoneticPr fontId="3" type="noConversion"/>
  </si>
  <si>
    <t>근로시간(판례, 행정해석)</t>
    <phoneticPr fontId="3" type="noConversion"/>
  </si>
  <si>
    <t>근로자가 사용자의 지휘・감독에서 벗어나 자유로운 이용이 보장된 시간을 휴게시간으로 보아 근로시간에서 제외하고, 그 외의 시간을 근로시간으로 본다</t>
    <phoneticPr fontId="3" type="noConversion"/>
  </si>
  <si>
    <t>근로자가 사용자의 지휘・감독 아래 근로계약상의 근로를 제공하는 시간을 의미한다.</t>
    <phoneticPr fontId="3" type="noConversion"/>
  </si>
  <si>
    <t>대기시간</t>
    <phoneticPr fontId="3" type="noConversion"/>
  </si>
  <si>
    <t>근로자가 사용자로부터 근로제공의무에서 완전히 해방되어 자유로운 이용이 보장되는 시간을 말한다.</t>
    <phoneticPr fontId="3" type="noConversion"/>
  </si>
  <si>
    <t>근로자가 실제 작업은 하고 있지 않지만, 사용자의 지휘・감독에서 완전히 벗어난 것은 아니어서 다음 근로를 위해 사업장 내에서 기다리고 있는 시간을 의미한다.</t>
    <phoneticPr fontId="3" type="noConversion"/>
  </si>
  <si>
    <t>근로기준법 제50조에 따라 1일 8시간, 1주 40시간을 초과할 수 없도록 법으로 정한 근로의 최대 한도를 의미한다.</t>
    <phoneticPr fontId="3" type="noConversion"/>
  </si>
  <si>
    <t>법정 기준근로시간(1일 8시간, 1주 40시간)의 범위 내에서 근로자와 사용자가 근로하기로 정한 시간을 의미한다.</t>
    <phoneticPr fontId="3" type="noConversion"/>
  </si>
  <si>
    <t>15세 이상 18세 미만인 근로자를 의미하며, 신체적・정신적 발달 과정에 있는 점을 고려하여 일반 근로자에 비해 강화된 특별 보호를 받는다.</t>
    <phoneticPr fontId="3" type="noConversion"/>
  </si>
  <si>
    <t>근로시간 및 시간외근로시간이 명확하지 않거나, 계산하기 어려운 경우, 가산수당 등을 미리 정한 금액으로 지급하기로 근로자와 사용자 간에 약정하는 것을 의미한다.</t>
    <phoneticPr fontId="3" type="noConversion"/>
  </si>
  <si>
    <t>근로기준법상 법정근로시간(1일 8시간, 1주 40시간) 또는 근로계약에서 정한 소정근로시간을 초과하여 행하는 근로를 총칭한다.</t>
    <phoneticPr fontId="3" type="noConversion"/>
  </si>
  <si>
    <t>기준근로시간을 초과하는 근로시간을 의미한다.</t>
    <phoneticPr fontId="3" type="noConversion"/>
  </si>
  <si>
    <t>오후 10시부터 다음날 오전 6시까지의 근로를 의미한다.</t>
    <phoneticPr fontId="3" type="noConversion"/>
  </si>
  <si>
    <t>법정 또는 약정 휴일에 행하는 근로를 의미한다.</t>
    <phoneticPr fontId="3" type="noConversion"/>
  </si>
  <si>
    <t>연장근로, 야간근로, 휴일근로에 대하여 근로기준법 제56조에 따라 가산하여 지급해야 할 임금(시간외근로수당)에 갈음하여 휴가를 부여하는 제도이다.</t>
    <phoneticPr fontId="3" type="noConversion"/>
  </si>
  <si>
    <t>자유이용의 원칙</t>
    <phoneticPr fontId="3" type="noConversion"/>
  </si>
  <si>
    <t>휴게시간 동안 근로자가 사용자의 지휘・감독에서 완전히 벗어나 해당 시간을 자신의 의사대로 사용할 수 있어야 함을 의미한다.</t>
    <phoneticPr fontId="3" type="noConversion"/>
  </si>
  <si>
    <t>근로시간 도중에 사용자의 지휘・감독에서 완전히 벗어나 근로자가 자유롭게 이용할 수 있는 시간을 말한다.</t>
    <phoneticPr fontId="3" type="noConversion"/>
  </si>
  <si>
    <t>당직 및 콜 대기 시간의 근로시간 해당 여부</t>
    <phoneticPr fontId="3" type="noConversion"/>
  </si>
  <si>
    <t>판례</t>
  </si>
  <si>
    <t>산업안전보건법상 건설공사발주자와 도급인의 구별 기준</t>
    <phoneticPr fontId="3" type="noConversion"/>
  </si>
  <si>
    <t>불이익취급</t>
    <phoneticPr fontId="3" type="noConversion"/>
  </si>
  <si>
    <t>출퇴근 재해</t>
    <phoneticPr fontId="3" type="noConversion"/>
  </si>
  <si>
    <t>제3자 가해로 인한 출퇴근 재해 시 산재급여와 손해배상의 조정 및 구상 관계</t>
    <phoneticPr fontId="3" type="noConversion"/>
  </si>
  <si>
    <t>출근 중 제3자의 신호 위반 사고로 발생한 부상의 업무상 재해 인정 여부</t>
    <phoneticPr fontId="3" type="noConversion"/>
  </si>
  <si>
    <t>근로제공 의무가 원래부터 없는 날로서, 법률 또는 당사자의 약정에 의하여 근로의무가 면제되고 근로자가 근로 제공 없이 휴식을 취하도록 보장된 날을 의미한다.</t>
    <phoneticPr fontId="3" type="noConversion"/>
  </si>
  <si>
    <t>근로의무는 있으나 근로일로 정하지 않은 날을 의미하며, 근로일이 아니므로 원칙적으로 무급이다.</t>
    <phoneticPr fontId="3" type="noConversion"/>
  </si>
  <si>
    <t>근로자에게 정기적이고 일률적으로 소정근로 또는 총 근로에 대하여 지급하기로 정한 시간급 금액, 일급 금액, 주급 금액, 월급 금액 또는 도급 금액을 말한다.</t>
    <phoneticPr fontId="3" type="noConversion"/>
  </si>
  <si>
    <t>통상임금(근기법령 제6조)</t>
    <phoneticPr fontId="3" type="noConversion"/>
  </si>
  <si>
    <t>근로자가 소정근로시간에 통상적으로 제공하기로 정한 근로에 관하여 사용자와 근로자가 지급하기로 약정한 금품을 말한다.</t>
    <phoneticPr fontId="3" type="noConversion"/>
  </si>
  <si>
    <t>근로자가 신청 등의 절차를 거쳐 근로 의무를 면제받는 날로서, 근로의무가 발생함을 전제로 한다는 점에서 휴일과 구별된다.</t>
    <phoneticPr fontId="3" type="noConversion"/>
  </si>
  <si>
    <t>사용자가 1주일에 평균 1회 이상의 유급휴일을 근로자에게 주어야 하는 제도</t>
    <phoneticPr fontId="3" type="noConversion"/>
  </si>
  <si>
    <t>법정휴일 또는 약정휴일에 근로를 제공하는 것을 의미하며, 이는 근로자에게 특별한 피로와 휴식권 침해를 가져오므로, 통상임금 외에 가산임금을 지급해야 한다.</t>
    <phoneticPr fontId="3" type="noConversion"/>
  </si>
  <si>
    <t>특정 휴일을 다른 근로일과 맞바꾸어 당초의 휴일을 통상의 근로일로 하고 그 대신 다른 날을 휴일로 부여하는 제도이다.</t>
    <phoneticPr fontId="3" type="noConversion"/>
  </si>
  <si>
    <t>1년간의 소정근로일 전부를 근무하지 못한 경우, 연차휴가일수를 소정근로일수 대비 실제 근로일수의 비율에 따라 비례적으로 삭감하여 부여해야 한다는 법리이다.</t>
    <phoneticPr fontId="3" type="noConversion"/>
  </si>
  <si>
    <t>1년간의 소정근로일을 개근하거나 일정 비율 이상 출근한 근로자에게 다음 해에 유급으로 사용할 수 있도록 주어지는 휴가 일수를 의미한다.</t>
    <phoneticPr fontId="3" type="noConversion"/>
  </si>
  <si>
    <t>근로자가 발생한 연차유급휴가를 1년의 사용 기간 동안 사용하지 못하고 소멸하였을 때, 그 미사용 일수에 대해 사용자에게 지급 의무가 발생하는 금전 보상을 말한다.</t>
    <phoneticPr fontId="3" type="noConversion"/>
  </si>
  <si>
    <t>연차유급휴가 사용촉진 제도</t>
    <phoneticPr fontId="3" type="noConversion"/>
  </si>
  <si>
    <t>근로자의 휴가 사용을 장려하고 휴가 미사용에 따른 사용자 측의 금전 보상 부담을 완화하며, 근로자의 휴식권을 실질적으로 보장하기 위함에 그 취지가 있다.</t>
    <phoneticPr fontId="3" type="noConversion"/>
  </si>
  <si>
    <t>근로자대표와의 서면 합의에 따라 법정 연차유급휴가 일수를 갈음하여 특정 근로일을 휴가일로 대체할 수 있는 제도이다.</t>
    <phoneticPr fontId="3" type="noConversion"/>
  </si>
  <si>
    <t>체험형・채용형 인턴에게 성과급을 미지급한 것이 차별적 처우인가</t>
    <phoneticPr fontId="3" type="noConversion"/>
  </si>
  <si>
    <t>근로기준법의 적용범위</t>
    <phoneticPr fontId="3" type="noConversion"/>
  </si>
  <si>
    <t>도급인(화물운송회사)과 직접 계약을 하지 않은 운송기사에게 실질 권한 행사시 근로기준법상 관계</t>
    <phoneticPr fontId="3" type="noConversion"/>
  </si>
  <si>
    <t>판례</t>
    <phoneticPr fontId="3" type="noConversion"/>
  </si>
  <si>
    <t>유튜브 스태프의 근로자성과 도급근로자로서의 최저임금</t>
    <phoneticPr fontId="3" type="noConversion"/>
  </si>
  <si>
    <t>사실상 노무에 종사하는 공무원(우정직)의 근무조건에 우선 적용되는 법규범</t>
    <phoneticPr fontId="3" type="noConversion"/>
  </si>
  <si>
    <t>직접 고용된 파견근로자의 퇴직금 기산일에 관한 합의의 법적 성격과 효력</t>
    <phoneticPr fontId="3" type="noConversion"/>
  </si>
  <si>
    <t>경영상 이유에 의한 해고자에 대한 우선재고용의무의 요건인 ‘같은 업무’의 판단기준</t>
    <phoneticPr fontId="3" type="noConversion"/>
  </si>
  <si>
    <t>취업규칙의 변경이 근로자에게 불이익한지 여부를 판단하는 방식</t>
    <phoneticPr fontId="3" type="noConversion"/>
  </si>
  <si>
    <t>육아휴직급여 사후지급금 제도(고보법 시행령) 위헌 여부</t>
    <phoneticPr fontId="3" type="noConversion"/>
  </si>
  <si>
    <t>부당인사명령의 판단 구조</t>
    <phoneticPr fontId="3" type="noConversion"/>
  </si>
  <si>
    <t>차별적 인사고과에 대한 부당노동행위 구제신청기간의 산정기준과 방법(계속하는 행위)</t>
    <phoneticPr fontId="3" type="noConversion"/>
  </si>
  <si>
    <t>용역업체 간 고용승계 시 적용되는 근로조건</t>
    <phoneticPr fontId="3" type="noConversion"/>
  </si>
  <si>
    <t>복직명령과 금전보상명령의 구제이익</t>
    <phoneticPr fontId="3" type="noConversion"/>
  </si>
  <si>
    <t>임원수행기사 도급 업무의 파견 해당 여부</t>
    <phoneticPr fontId="3" type="noConversion"/>
  </si>
  <si>
    <t>레미콘 지입차주의 노동조합법상 근로자 해당 여부</t>
    <phoneticPr fontId="3" type="noConversion"/>
  </si>
  <si>
    <t>복수노조에 대한 차량 지원 관련 사용자의 공정대표의무</t>
    <phoneticPr fontId="3" type="noConversion"/>
  </si>
  <si>
    <t>근로자파견관계 판단의 판단기준</t>
    <phoneticPr fontId="3" type="noConversion"/>
  </si>
  <si>
    <t>임금 대리수령 동의의 효력</t>
    <phoneticPr fontId="3" type="noConversion"/>
  </si>
  <si>
    <t>과거 근로조건에 대한 단체교섭의 유의미성</t>
    <phoneticPr fontId="3" type="noConversion"/>
  </si>
  <si>
    <t>징계위원회 구성에 대한 공정대표의무의 효력</t>
    <phoneticPr fontId="3" type="noConversion"/>
  </si>
  <si>
    <t>채용비리를 이유로 한 근로계약의 취소</t>
    <phoneticPr fontId="3" type="noConversion"/>
  </si>
  <si>
    <t>업무복귀 의사표시 이후에도 유지된 집화중단조치(직장폐쇄)의 위법성</t>
    <phoneticPr fontId="3" type="noConversion"/>
  </si>
  <si>
    <t>승진 탈락과 이로 인한 임금상 불이익의 부당노동행위</t>
    <phoneticPr fontId="3" type="noConversion"/>
  </si>
  <si>
    <t>백화점・면세점의 입점(판매)노동과 단체교섭 상대방</t>
    <phoneticPr fontId="3" type="noConversion"/>
  </si>
  <si>
    <t>채용과정에서의 견습과 법적 판단</t>
    <phoneticPr fontId="3" type="noConversion"/>
  </si>
  <si>
    <t>대학교 강사의 강의시간 외 부수업무 시간까지 포함하여 주당 근로시간을 해석한 사례</t>
    <phoneticPr fontId="3" type="noConversion"/>
  </si>
  <si>
    <t>안전 의무 위반으로 인한 근로자 사망 사고에서의 산업안전보건법, 중대재해 처벌 등에 관한 법률 위반 판단</t>
    <phoneticPr fontId="3" type="noConversion"/>
  </si>
  <si>
    <t>노동조합의 사전합의권 남용 법리와 근로계약 변경에 대한 개별 동의권 배제</t>
    <phoneticPr fontId="3" type="noConversion"/>
  </si>
  <si>
    <t xml:space="preserve"> 직권휴직</t>
    <phoneticPr fontId="3" type="noConversion"/>
  </si>
  <si>
    <t xml:space="preserve"> 의원휴직</t>
    <phoneticPr fontId="3" type="noConversion"/>
  </si>
  <si>
    <t>부당휴직</t>
    <phoneticPr fontId="3" type="noConversion"/>
  </si>
  <si>
    <t>근로계약 관계는 유지되지만, 근로자가 일정 기간 동안 근로의 제공 의무를 면하고 사용자 또한 임금 지급 의무를 면하는 인사처분을 말한다.</t>
    <phoneticPr fontId="3" type="noConversion"/>
  </si>
  <si>
    <t>일정한 영업 목적에 의해 조직화된 물적・인적 조직 및 영업 활동 그 자체가 동일성을 유지하면서 포괄적으로 이전되는 것을 의미한다.</t>
    <phoneticPr fontId="3" type="noConversion"/>
  </si>
  <si>
    <t>영업의 동일성</t>
    <phoneticPr fontId="3" type="noConversion"/>
  </si>
  <si>
    <t>종래의 영업 조직이 그 기능적 재산과 인적 구성을 유지하면서 일체로서 이전되어, 양수인이 양도인의 영업 활동을 그대로 영위할 수 있는 상태를 의미한다.</t>
    <phoneticPr fontId="3" type="noConversion"/>
  </si>
  <si>
    <t>둘 이상의 회사가 청산 절차 없이 하나의 회사로 통합되는 것을 의미하며, 상법상 합병은 포괄적인 권리・의무의 이전을 수반하는 법적 사실이다.</t>
    <phoneticPr fontId="3" type="noConversion"/>
  </si>
  <si>
    <t>하나의 회사가 그 영업 부문 전부 또는 일부를 떼어내어 새로운 회사를 설립하거나 다른 회사가 이를 인수하는 상법상의 조직 변경 행위를 의미한다.</t>
    <phoneticPr fontId="3" type="noConversion"/>
  </si>
  <si>
    <t>당연종료</t>
    <phoneticPr fontId="3" type="noConversion"/>
  </si>
  <si>
    <t>사직</t>
    <phoneticPr fontId="3" type="noConversion"/>
  </si>
  <si>
    <t>근로계약 당사자의 별도 의사표시 없이 법률규정 또는 계약조건 달성 등 객관적 사실로 근로관계가 자동으로 종료되는 것을 의미한다.</t>
    <phoneticPr fontId="3" type="noConversion"/>
  </si>
  <si>
    <t>사용자의 퇴직결정권</t>
    <phoneticPr fontId="3" type="noConversion"/>
  </si>
  <si>
    <t>실질적으로 사용자가 근로관계를 종료시킬지 여부를 결정할 수 있는 권한을 말한다.</t>
    <phoneticPr fontId="3" type="noConversion"/>
  </si>
  <si>
    <t>글자수</t>
    <phoneticPr fontId="3" type="noConversion"/>
  </si>
  <si>
    <t>세부 사항</t>
    <phoneticPr fontId="3" type="noConversion"/>
  </si>
  <si>
    <t>정년퇴직</t>
    <phoneticPr fontId="3" type="noConversion"/>
  </si>
  <si>
    <t>합의해지</t>
    <phoneticPr fontId="3" type="noConversion"/>
  </si>
  <si>
    <t>근로자가 일정 연령에 도달하면 근로관계를 자동적으로 종료시키기로 사전에 정한 제도를 말한다.</t>
    <phoneticPr fontId="3" type="noConversion"/>
  </si>
  <si>
    <t>근로자가 일방적인 의사 표시로 장래에 근로관계를 종료시키고자 하는 행위를 말한다.</t>
    <phoneticPr fontId="3" type="noConversion"/>
  </si>
  <si>
    <t>근로계약의 당사자 쌍방(근로자와 사용자)이 근로관계를 종료시키기로 합의하는 것을 말한다.</t>
    <phoneticPr fontId="3" type="noConversion"/>
  </si>
  <si>
    <t>사용자가 일방적인 의사 표시로 장래에 대하여 근로계약 관계를 종료시키는 행위를 말한다.</t>
    <phoneticPr fontId="3" type="noConversion"/>
  </si>
  <si>
    <t>사용자 측의 경영상 필요에 의해 근로자의 귀책 사유 없이 근로관계를 종료시키는 해고를 말한다.</t>
    <phoneticPr fontId="3" type="noConversion"/>
  </si>
  <si>
    <t>사용자 측 해고사유</t>
    <phoneticPr fontId="3" type="noConversion"/>
  </si>
  <si>
    <t>근로자 측 해고사유</t>
    <phoneticPr fontId="3" type="noConversion"/>
  </si>
  <si>
    <t>근로자의 능력 부족, 근무 태만, 비위 행위 등 근로자에게 책임 있는 사유로 인해 근로계약을 지속하기 어려운 경우를 말한다.</t>
    <phoneticPr fontId="3" type="noConversion"/>
  </si>
  <si>
    <t>해고 처분을 함에 있어 법령 또는 노사 간의 자치규범(단체협약, 취업규칙)에서 정한 특정 절차를 준수해야 함을 의미한다.</t>
    <phoneticPr fontId="3" type="noConversion"/>
  </si>
  <si>
    <t>해고의 서면통지[근기법 §27]</t>
    <phoneticPr fontId="3" type="noConversion"/>
  </si>
  <si>
    <t>해고의 예고[근기법 §26]</t>
    <phoneticPr fontId="3" type="noConversion"/>
  </si>
  <si>
    <t>사용자는 근로자 해고 시 최소 30일 전에 예고 하여야 한다. 예고가 없으면 30일분 이상의 통상임금을 지급하여야 한다.</t>
    <phoneticPr fontId="3" type="noConversion"/>
  </si>
  <si>
    <t>사용자는 근로자를 해고하려면 해고사유와 해고시기를 서면으로 통지하여야 한다.</t>
    <phoneticPr fontId="3" type="noConversion"/>
  </si>
  <si>
    <t>사용자의 해고 처분이 법령 또는 자치규범에서 정한 정당한 이유나 절차적 요건을 갖추지 못하여 무효인 경우, 근로자 지위를 회복시키고 경제적 손해를 보전해주는 법적 절차 및 수단을 말한다.</t>
    <phoneticPr fontId="3" type="noConversion"/>
  </si>
  <si>
    <t>노동위원회에 의한 구제</t>
    <phoneticPr fontId="3" type="noConversion"/>
  </si>
  <si>
    <t>근로자가 노동위원회 절차를 거치지 않고 직접 법원에 소송을 제기하여 해고의 무효 확인 또는 임금 청구 등을 통해 구제를 받는 방법이다. (사법적 구제)</t>
    <phoneticPr fontId="3" type="noConversion"/>
  </si>
  <si>
    <t>법원에 의한 구제</t>
    <phoneticPr fontId="3" type="noConversion"/>
  </si>
  <si>
    <t>근로기준법 제28조(부당해고등의 구제신청)에 근거한 행정적 구제 절차이다. (행정적 구제)</t>
    <phoneticPr fontId="3" type="noConversion"/>
  </si>
  <si>
    <t>★</t>
    <phoneticPr fontId="3" type="noConversion"/>
  </si>
  <si>
    <t>도급</t>
    <phoneticPr fontId="3" type="noConversion"/>
  </si>
  <si>
    <t>근로기준법</t>
    <phoneticPr fontId="3" type="noConversion"/>
  </si>
  <si>
    <t>노동조합 및 노동관계조정법</t>
    <phoneticPr fontId="3" type="noConversion"/>
  </si>
  <si>
    <t>제10장 업무상 재해 등</t>
    <phoneticPr fontId="3" type="noConversion"/>
  </si>
  <si>
    <t>제11장 노동조합</t>
    <phoneticPr fontId="3" type="noConversion"/>
  </si>
  <si>
    <t>제12장 단체교섭</t>
    <phoneticPr fontId="3" type="noConversion"/>
  </si>
  <si>
    <t>제13장 단체협약</t>
    <phoneticPr fontId="3" type="noConversion"/>
  </si>
  <si>
    <t>제14장 쟁의행위</t>
    <phoneticPr fontId="3" type="noConversion"/>
  </si>
  <si>
    <t>제10절 쟁의기간 중 대체근로의 제한</t>
    <phoneticPr fontId="3" type="noConversion"/>
  </si>
  <si>
    <t>제15장 부당노동행위</t>
    <phoneticPr fontId="3" type="noConversion"/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</si>
  <si>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</si>
  <si>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</si>
  <si>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</si>
  <si>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</si>
  <si>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</si>
  <si>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년↓</t>
    <phoneticPr fontId="3" type="noConversion"/>
  </si>
  <si>
    <t>년↑</t>
    <phoneticPr fontId="3" type="noConversion"/>
  </si>
  <si>
    <t>1-1</t>
  </si>
  <si>
    <t>3</t>
  </si>
  <si>
    <t>제08장 근로관계의 종료</t>
  </si>
  <si>
    <t>01</t>
    <phoneticPr fontId="3" type="noConversion"/>
  </si>
  <si>
    <t>1-2</t>
  </si>
  <si>
    <t>02</t>
    <phoneticPr fontId="3" type="noConversion"/>
  </si>
  <si>
    <t>제02절 해고의 실체적 정당성</t>
  </si>
  <si>
    <t>1</t>
  </si>
  <si>
    <t>제16장 부속법령</t>
    <phoneticPr fontId="3" type="noConversion"/>
  </si>
  <si>
    <t>제09장 비정규근로자</t>
  </si>
  <si>
    <t>제01절 기간제근로자</t>
    <phoneticPr fontId="3" type="noConversion"/>
  </si>
  <si>
    <t>제07장 근로관계의 이전</t>
  </si>
  <si>
    <t>제01절 영업양도</t>
  </si>
  <si>
    <t>제03장 임금</t>
    <phoneticPr fontId="3" type="noConversion"/>
  </si>
  <si>
    <t>03</t>
    <phoneticPr fontId="3" type="noConversion"/>
  </si>
  <si>
    <t>제06장 인사처분</t>
  </si>
  <si>
    <t>제05절 징계</t>
  </si>
  <si>
    <t>제03절 파견근로자</t>
  </si>
  <si>
    <t>04</t>
    <phoneticPr fontId="3" type="noConversion"/>
  </si>
  <si>
    <t>05</t>
    <phoneticPr fontId="3" type="noConversion"/>
  </si>
  <si>
    <t>제03절 해고의 절차적 정당성</t>
  </si>
  <si>
    <t>제03절 통상임금</t>
  </si>
  <si>
    <t>제05장 취업규칙</t>
  </si>
  <si>
    <t>06</t>
    <phoneticPr fontId="3" type="noConversion"/>
  </si>
  <si>
    <t>제04절 부당해고의 구제</t>
    <phoneticPr fontId="3" type="noConversion"/>
  </si>
  <si>
    <t>4</t>
  </si>
  <si>
    <t>제10장 업무상재해 등</t>
    <phoneticPr fontId="3" type="noConversion"/>
  </si>
  <si>
    <t>제01절 업무상 재해</t>
  </si>
  <si>
    <t>07</t>
    <phoneticPr fontId="3" type="noConversion"/>
  </si>
  <si>
    <t>제02장 근로관계의 성립</t>
  </si>
  <si>
    <t>제02절 근로계약의 체결</t>
  </si>
  <si>
    <t>제03장 임금</t>
  </si>
  <si>
    <t>제04절 임금지급의 원칙</t>
  </si>
  <si>
    <t>1-1</t>
    <phoneticPr fontId="3" type="noConversion"/>
  </si>
  <si>
    <t>3</t>
    <phoneticPr fontId="3" type="noConversion"/>
  </si>
  <si>
    <t>08</t>
    <phoneticPr fontId="3" type="noConversion"/>
  </si>
  <si>
    <t>제04장 근로시간</t>
  </si>
  <si>
    <t>제06절 연차유급휴가</t>
  </si>
  <si>
    <t>09</t>
    <phoneticPr fontId="3" type="noConversion"/>
  </si>
  <si>
    <t>제02장 근로관계의 성립</t>
    <phoneticPr fontId="3" type="noConversion"/>
  </si>
  <si>
    <t>제03절 근로계약과 근로관계</t>
  </si>
  <si>
    <t>10</t>
    <phoneticPr fontId="3" type="noConversion"/>
  </si>
  <si>
    <t>1-i</t>
  </si>
  <si>
    <t>제02절 취업규칙의 변경</t>
  </si>
  <si>
    <t>1-ii</t>
  </si>
  <si>
    <t>제04절 휴직</t>
  </si>
  <si>
    <t>제03절 분할</t>
  </si>
  <si>
    <t>제06절 직위해제(대기발령)</t>
    <phoneticPr fontId="3" type="noConversion"/>
  </si>
  <si>
    <t>11</t>
    <phoneticPr fontId="3" type="noConversion"/>
  </si>
  <si>
    <t>제01절 근로기준법의 기본원칙</t>
  </si>
  <si>
    <t>4</t>
    <phoneticPr fontId="3" type="noConversion"/>
  </si>
  <si>
    <t>제04장 근로시간</t>
    <phoneticPr fontId="3" type="noConversion"/>
  </si>
  <si>
    <t>제03절 시간외근로</t>
  </si>
  <si>
    <t>12</t>
    <phoneticPr fontId="3" type="noConversion"/>
  </si>
  <si>
    <t>제09장 비정규근로자</t>
    <phoneticPr fontId="3" type="noConversion"/>
  </si>
  <si>
    <t>제06절 부당노동행위에 대한 구제</t>
    <phoneticPr fontId="3" type="noConversion"/>
  </si>
  <si>
    <t>제03절 전적</t>
  </si>
  <si>
    <t>13</t>
    <phoneticPr fontId="3" type="noConversion"/>
  </si>
  <si>
    <t>2-1</t>
  </si>
  <si>
    <t>2-2</t>
  </si>
  <si>
    <t>14</t>
    <phoneticPr fontId="3" type="noConversion"/>
  </si>
  <si>
    <t>제10장 업무상재해 등</t>
  </si>
  <si>
    <t>제02절 근로시간의 보호</t>
  </si>
  <si>
    <t>제06절 임금채권의 우선변제</t>
    <phoneticPr fontId="3" type="noConversion"/>
  </si>
  <si>
    <t>정렬 기준</t>
    <phoneticPr fontId="3" type="noConversion"/>
  </si>
  <si>
    <t>제12장 단체교섭</t>
  </si>
  <si>
    <t>제04절 교섭창구단일화제도</t>
  </si>
  <si>
    <t>제15장 부당노동행위</t>
  </si>
  <si>
    <t>제06절 부당노동행위에 대한 구제</t>
  </si>
  <si>
    <t>제02절 불이익취급</t>
  </si>
  <si>
    <t>제04절 단체교섭의 거부・해태</t>
  </si>
  <si>
    <t>제05절 인준투표제</t>
  </si>
  <si>
    <t>제03절 단체협약의 효력</t>
  </si>
  <si>
    <t>제14장 쟁의행위</t>
  </si>
  <si>
    <t>02</t>
  </si>
  <si>
    <t>제01절 노동조합의 설립요건</t>
  </si>
  <si>
    <t>제13장 단체협약</t>
  </si>
  <si>
    <t>제08절 단체협약의 실효 및 실효 후의 근로관계</t>
  </si>
  <si>
    <t>03</t>
  </si>
  <si>
    <t>제02절 쟁의행위 목적의 정당성</t>
  </si>
  <si>
    <t>제05절 지배・개입</t>
  </si>
  <si>
    <t>제06절 사용자의 쟁의행위</t>
  </si>
  <si>
    <t>제05절 준법투쟁</t>
  </si>
  <si>
    <t>노조법 제35조</t>
  </si>
  <si>
    <t>제05절 단체협약의 해석</t>
  </si>
  <si>
    <t>1-2</t>
    <phoneticPr fontId="3" type="noConversion"/>
  </si>
  <si>
    <t>제08장 근로관계의 종료</t>
    <phoneticPr fontId="3" type="noConversion"/>
  </si>
  <si>
    <t>제01절 쟁의행위 주체의 정당성</t>
  </si>
  <si>
    <t>제06절 노동조합의 내부통제권</t>
  </si>
  <si>
    <t>05</t>
  </si>
  <si>
    <t>제01절 단체교섭의 당사자</t>
  </si>
  <si>
    <t>제03절 단체교섭의 대상</t>
  </si>
  <si>
    <t>15</t>
    <phoneticPr fontId="3" type="noConversion"/>
  </si>
  <si>
    <t>제03절 쟁의행위 시기・절차의 정당성</t>
  </si>
  <si>
    <t>16</t>
    <phoneticPr fontId="3" type="noConversion"/>
  </si>
  <si>
    <t>06</t>
  </si>
  <si>
    <t>제06절 단체협약의 중요조항</t>
  </si>
  <si>
    <t>18</t>
    <phoneticPr fontId="3" type="noConversion"/>
  </si>
  <si>
    <t>23</t>
    <phoneticPr fontId="3" type="noConversion"/>
  </si>
  <si>
    <t>24</t>
    <phoneticPr fontId="3" type="noConversion"/>
  </si>
  <si>
    <t>21</t>
    <phoneticPr fontId="3" type="noConversion"/>
  </si>
  <si>
    <t>22</t>
    <phoneticPr fontId="3" type="noConversion"/>
  </si>
  <si>
    <t>19</t>
    <phoneticPr fontId="3" type="noConversion"/>
  </si>
  <si>
    <t>20</t>
    <phoneticPr fontId="3" type="noConversion"/>
  </si>
  <si>
    <t>제05절 사용자의 편의제공</t>
    <phoneticPr fontId="3" type="noConversion"/>
  </si>
  <si>
    <t>기간의 정함이 있는 근로계약을 체결한 근로자를 말한다.</t>
    <phoneticPr fontId="3" type="noConversion"/>
  </si>
  <si>
    <t>법령</t>
  </si>
  <si>
    <t>부속법령</t>
  </si>
  <si>
    <t>파견근로자 보호 등에 관한 법률</t>
  </si>
  <si>
    <t>노동조합 전임자(노조전임자)</t>
    <phoneticPr fontId="3" type="noConversion"/>
  </si>
  <si>
    <t>근로시간면제자</t>
    <phoneticPr fontId="3" type="noConversion"/>
  </si>
  <si>
    <t>조합활동</t>
    <phoneticPr fontId="3" type="noConversion"/>
  </si>
  <si>
    <t>법외노조</t>
    <phoneticPr fontId="3" type="noConversion"/>
  </si>
  <si>
    <t>조합비 공제 제도</t>
    <phoneticPr fontId="3" type="noConversion"/>
  </si>
  <si>
    <t>해산</t>
    <phoneticPr fontId="3" type="noConversion"/>
  </si>
  <si>
    <t>조직변경</t>
    <phoneticPr fontId="3" type="noConversion"/>
  </si>
  <si>
    <t>비교대상 근로자</t>
    <phoneticPr fontId="3" type="noConversion"/>
  </si>
  <si>
    <t>1주 동안의 소정근로시간이 그 사업장에서 같은 종류의 업무에 종사하는 통상 근로자의 1주 동안의 소정근로시간에 비하여 짧은 근로자를 의미한다.</t>
    <phoneticPr fontId="3" type="noConversion"/>
  </si>
  <si>
    <t>4주 동안을 평균하여 1주 동안의 소정근로시간이 15시간 미만인 근로자를 말한다.</t>
    <phoneticPr fontId="3" type="noConversion"/>
  </si>
  <si>
    <t>파견사업주가 근로자를 고용한 후, 그 고용 관계를 유지하면서 사용사업주에게 근로를 제공하게 하고, 사용사업주가 해당 근로자의 지휘・명령권을 행사하는 형태의 고용 관계를 의미한다.</t>
    <phoneticPr fontId="3" type="noConversion"/>
  </si>
  <si>
    <t>파견사업주와 근로계약을 맺고, 사용사업주의 사업장에서 사용사업주의 지휘・명령을 받아 근로를 제공하는 자를 말한다.</t>
    <phoneticPr fontId="3" type="noConversion"/>
  </si>
  <si>
    <t>당사자 일방(수급인)이 어떤 일의 완성을 약정하고, 상대방(도급인)이 그 일의 결과에 대하여 보수를 지급할 것을 약정함으로써 성립하는 계약이다. [민법 제664조]</t>
    <phoneticPr fontId="3" type="noConversion"/>
  </si>
  <si>
    <t>비정규직근로자(기간제근로자, 단시간근로자, 파견근로자)들이 근로조건 등에서 불합리한 차별적 처우를 받았을 때 이를 구제하고 시정할 수 있도록 마련된 행정 구제 절차를 의미한다.</t>
    <phoneticPr fontId="3" type="noConversion"/>
  </si>
  <si>
    <t>사용자가 비정규직 근로자에게 근로 조건 등에서 합리적인 이유 없이 해당 사업 또는 사업장의 동종・유사 업무에 종사하는 통상 근로자에 비하여 불리하게 대우하는 것을 의미한다.</t>
    <phoneticPr fontId="3" type="noConversion"/>
  </si>
  <si>
    <t>차별적 처우를 주장하는 비정규직 근로자가 근로 조건 등에서 비교의 기준으로 삼는 해당 사업장의 기간의 정함이 없는 근로자 또는 통상근로자를 의미한다.</t>
    <phoneticPr fontId="3" type="noConversion"/>
  </si>
  <si>
    <t>2008-2-1</t>
  </si>
  <si>
    <t>근로기준법과 민법・산업재해보상보험법 간의 재해보상 관계</t>
    <phoneticPr fontId="3" type="noConversion"/>
  </si>
  <si>
    <t>직무상유족연금과 손해배상의 조정 : 공제 후 상속 → 상속 후 공제로 변경</t>
  </si>
  <si>
    <t>법령</t>
    <phoneticPr fontId="3" type="noConversion"/>
  </si>
  <si>
    <t>파일</t>
    <phoneticPr fontId="3" type="noConversion"/>
  </si>
  <si>
    <t>법률</t>
    <phoneticPr fontId="3" type="noConversion"/>
  </si>
  <si>
    <t>시행령</t>
    <phoneticPr fontId="3" type="noConversion"/>
  </si>
  <si>
    <t>시행규칙</t>
    <phoneticPr fontId="3" type="noConversion"/>
  </si>
  <si>
    <t>기간제 및 단시간근로자 보호 등에 관한 법률</t>
  </si>
  <si>
    <t>산업안전보건법</t>
  </si>
  <si>
    <t>산업재해보상보험법</t>
  </si>
  <si>
    <t>고용보험법</t>
  </si>
  <si>
    <t>노동조합 및 노동관계조정법</t>
  </si>
  <si>
    <t>근로자참여 및 협력증진에 관한 법률</t>
  </si>
  <si>
    <t>노동위원회법</t>
  </si>
  <si>
    <t>공무원의 노동조합 설립 및 운영 등에 관한 법률</t>
  </si>
  <si>
    <t>교원의 노동조합 설립 및 운영 등에 관한 법률</t>
  </si>
  <si>
    <t>파견근로자 보호 등에 관한 법률</t>
    <phoneticPr fontId="3" type="noConversion"/>
  </si>
  <si>
    <t>유일교섭단체조항</t>
    <phoneticPr fontId="3" type="noConversion"/>
  </si>
  <si>
    <t>사용자단체</t>
    <phoneticPr fontId="3" type="noConversion"/>
  </si>
  <si>
    <t>단체교섭을 자신의 이름으로 수행하고, 단체협약이 체결되는 경우 당해 단체협약에 따른 법적 효과의 귀속주체가 되는 자를 말한다.</t>
    <phoneticPr fontId="3" type="noConversion"/>
  </si>
  <si>
    <t>노동조합과 사용자 또는 사용자 단체가 만나 근로조건의 결정, 노동조합의 활동 등 단체적 사항에 관하여 교섭하고 단체협약을 체결하는 과정을 의미한다.</t>
    <phoneticPr fontId="3" type="noConversion"/>
  </si>
  <si>
    <t>노동조합이 단체협약을 통해 자신만이 당해 사업장의 유일한 교섭 단체임을 사용자로부터 확인받는 조항을 의미한다.</t>
    <phoneticPr fontId="3" type="noConversion"/>
  </si>
  <si>
    <t>복수의 사용자를 구성원으로 하여 근로조건의 결정에 관하여 통일적인 의견을 가지고 그 기능을 수행할 수 있는 조직체를 의미한다.</t>
    <phoneticPr fontId="3" type="noConversion"/>
  </si>
  <si>
    <t>단체교섭 당사자인 노동조합이나 사용자를 대신하여 실제로 교섭을 진행하는 사람을 의미한다.</t>
    <phoneticPr fontId="3" type="noConversion"/>
  </si>
  <si>
    <t>의무적 교섭사항</t>
    <phoneticPr fontId="3" type="noConversion"/>
  </si>
  <si>
    <t>임의적 교섭사항</t>
    <phoneticPr fontId="3" type="noConversion"/>
  </si>
  <si>
    <t>금지적 교섭사항</t>
    <phoneticPr fontId="3" type="noConversion"/>
  </si>
  <si>
    <t>고용안정협약</t>
    <phoneticPr fontId="3" type="noConversion"/>
  </si>
  <si>
    <t>노동조합과 사용자 또는 사용자 단체가 만나 단체협약의 체결을 목적으로 근로조건, 노사관계 운영 등 단체적 사항에 관하여 논의하고 합의를 도출하는 일련의 행위를 의미한다.</t>
    <phoneticPr fontId="3" type="noConversion"/>
  </si>
  <si>
    <t>노동조합이 노동조합 및 노동관계조정법(이하 노조법)상 단체교섭권을 행사할 수 있는 사항이며, 사용자는 이 사항에 대해 교섭 의무를 부담한다.</t>
    <phoneticPr fontId="3" type="noConversion"/>
  </si>
  <si>
    <t>사용자의 처분 가능성이 있고 근로조건 및 노사관계 운영과 직접 관련이 있는 사항으로서, 사용자가 교섭 의무를 부담하는 사항이다.</t>
    <phoneticPr fontId="3" type="noConversion"/>
  </si>
  <si>
    <t>근로조건과 간접적으로 관련되거나 사용자의 처분 가능성이 없는 사항을 제외한 경영권에 관한 사항 등으로서, 사용자가 교섭을 거부하더라도 법적 의무는 발생하지 않는 사항이다.</t>
    <phoneticPr fontId="3" type="noConversion"/>
  </si>
  <si>
    <t>법령이나 공서양속에 위반되거나, 헌법상 기본권을 침해하는 등 법률적으로 실현 불가능한 사항이다.</t>
    <phoneticPr fontId="3" type="noConversion"/>
  </si>
  <si>
    <t>경영권 사항 중 정리해고, 구조조정 등 근로자의 고용 안정에 중대한 영향을 미치는 사항에 대하여 노사 합의를 거치도록 정한 조항을 의미한다.</t>
    <phoneticPr fontId="3" type="noConversion"/>
  </si>
  <si>
    <t>교섭을 요구한 모든 노동조합 또는 조합원을 위하여 사용자와 교섭하고 단체협약을 체결할 권한을 가지는 노동조합을 말한다.</t>
    <phoneticPr fontId="3" type="noConversion"/>
  </si>
  <si>
    <t>교섭대표노동조합</t>
    <phoneticPr fontId="3" type="noConversion"/>
  </si>
  <si>
    <t>공정대표의무</t>
    <phoneticPr fontId="3" type="noConversion"/>
  </si>
  <si>
    <t>하나의 사업 또는 사업장에 복수의 노동조합이 존재하는 경우, 이들 노동조합이 사용자 측과 교섭하기 위한 대표 교섭 단체를 하나로 통일하도록 강제하는 제도이다.</t>
    <phoneticPr fontId="3" type="noConversion"/>
  </si>
  <si>
    <t>인준투표제도</t>
    <phoneticPr fontId="3" type="noConversion"/>
  </si>
  <si>
    <t>노동조합의 대표자가 사용자와 합의한 단체협약의 초안에 대하여 조합원 총회 또는 대의원회의 찬성 투표를 거쳐 최종적인 승인을 받도록 하는 노동조합 내부의 민주적 절차를 말한다.</t>
    <phoneticPr fontId="3" type="noConversion"/>
  </si>
  <si>
    <t>교섭대표노동조합이 자신과 함께 교섭에 참여하지 못한 노동조합과 그 조합원들을 포함하여 모든 근로자에 대해 합리적이고 공정하게 대표해야 할 법적 의무를 의미한다.</t>
    <phoneticPr fontId="3" type="noConversion"/>
  </si>
  <si>
    <t>단체교섭 응낙 의무</t>
    <phoneticPr fontId="3" type="noConversion"/>
  </si>
  <si>
    <t>단체교섭의 당사자인 노동조합과 사용자 또는 사용자 단체가 성실하게 교섭에 임하고 단체협약의 체결을 위하여 노력해야 할 법적 의무를 의미한다.</t>
    <phoneticPr fontId="3" type="noConversion"/>
  </si>
  <si>
    <t>노동조합이 정당한 교섭 요구를 한 경우, 사용자가 정당한 이유 없이 교섭에 응하는 것을 거부해서는 안 되는 의무를 의미한다.</t>
    <phoneticPr fontId="3" type="noConversion"/>
  </si>
  <si>
    <t>실질적 합의 노력 의무</t>
    <phoneticPr fontId="3" type="noConversion"/>
  </si>
  <si>
    <t>교섭 과정에서 단순히 자리에 앉아 있는 것을 넘어, 실질적으로 합의 도출을 위해 선의를 가지고 노력해야 할 의무를 의미한다.</t>
    <phoneticPr fontId="3" type="noConversion"/>
  </si>
  <si>
    <t>경영권 사항</t>
    <phoneticPr fontId="3" type="noConversion"/>
  </si>
  <si>
    <t>사용자가 기업을 유지하고 운영하는 주체로서 가지는 본질적이고 배타적인 권한 영역을 의미하며, 기업의 조직 변경, 시설 이전, 신규 사업 투자 등 기업 경영의 기본적이고 본질적인 사항을 말한다.</t>
    <phoneticPr fontId="3" type="noConversion"/>
  </si>
  <si>
    <t>구제이익(소의 이익)</t>
    <phoneticPr fontId="3" type="noConversion"/>
  </si>
  <si>
    <t>경영상 대기발령</t>
    <phoneticPr fontId="3" type="noConversion"/>
  </si>
  <si>
    <t>제10절 공노법</t>
    <phoneticPr fontId="3" type="noConversion"/>
  </si>
  <si>
    <t>제11절 교노법</t>
    <phoneticPr fontId="3" type="noConversion"/>
  </si>
  <si>
    <t>장/문제No/판례번호</t>
    <phoneticPr fontId="3" type="noConversion"/>
  </si>
  <si>
    <t>절/문제주제/판례주제</t>
    <phoneticPr fontId="3" type="noConversion"/>
  </si>
  <si>
    <t>단체협약의 서설</t>
    <phoneticPr fontId="3" type="noConversion"/>
  </si>
  <si>
    <t>규범적 부분</t>
    <phoneticPr fontId="3" type="noConversion"/>
  </si>
  <si>
    <t>채무적 부분</t>
    <phoneticPr fontId="3" type="noConversion"/>
  </si>
  <si>
    <t>단체협약의 당사자</t>
    <phoneticPr fontId="3" type="noConversion"/>
  </si>
  <si>
    <t>채무적 효력</t>
    <phoneticPr fontId="3" type="noConversion"/>
  </si>
  <si>
    <t>자체 평화의무(소극적 의무)</t>
    <phoneticPr fontId="3" type="noConversion"/>
  </si>
  <si>
    <t>타인 평화의무(적극적 의무)</t>
    <phoneticPr fontId="3" type="noConversion"/>
  </si>
  <si>
    <t>불리한 해석 금지 원칙</t>
    <phoneticPr fontId="3" type="noConversion"/>
  </si>
  <si>
    <t>인사절차조항</t>
    <phoneticPr fontId="3" type="noConversion"/>
  </si>
  <si>
    <t>조합원 자격에 대한 조항</t>
    <phoneticPr fontId="3" type="noConversion"/>
  </si>
  <si>
    <t>징계절차조항</t>
    <phoneticPr fontId="3" type="noConversion"/>
  </si>
  <si>
    <t>해고 협의・합의 조항</t>
    <phoneticPr fontId="3" type="noConversion"/>
  </si>
  <si>
    <t>경영해고제한조항</t>
    <phoneticPr fontId="3" type="noConversion"/>
  </si>
  <si>
    <t>산재유족 특별채용 조항</t>
    <phoneticPr fontId="3" type="noConversion"/>
  </si>
  <si>
    <t>평화조항</t>
    <phoneticPr fontId="3" type="noConversion"/>
  </si>
  <si>
    <t>쟁의행위면책조항</t>
    <phoneticPr fontId="3" type="noConversion"/>
  </si>
  <si>
    <t>일반적 구속력</t>
    <phoneticPr fontId="3" type="noConversion"/>
  </si>
  <si>
    <t>동종근로자</t>
    <phoneticPr fontId="3" type="noConversion"/>
  </si>
  <si>
    <t>지역적 일반 구속력</t>
    <phoneticPr fontId="3" type="noConversion"/>
  </si>
  <si>
    <t>행사 중의 사고</t>
    <phoneticPr fontId="3" type="noConversion"/>
  </si>
  <si>
    <t>휴게시간 중의 사고</t>
    <phoneticPr fontId="3" type="noConversion"/>
  </si>
  <si>
    <t xml:space="preserve"> 직업성 질병</t>
    <phoneticPr fontId="3" type="noConversion"/>
  </si>
  <si>
    <t xml:space="preserve"> 재해성 질병</t>
    <phoneticPr fontId="3" type="noConversion"/>
  </si>
  <si>
    <t xml:space="preserve"> 스트레스 질병</t>
    <phoneticPr fontId="3" type="noConversion"/>
  </si>
  <si>
    <t>과로사</t>
    <phoneticPr fontId="3" type="noConversion"/>
  </si>
  <si>
    <t>직업병</t>
    <phoneticPr fontId="3" type="noConversion"/>
  </si>
  <si>
    <t>우울증</t>
    <phoneticPr fontId="3" type="noConversion"/>
  </si>
  <si>
    <t>태아건강손상</t>
    <phoneticPr fontId="3" type="noConversion"/>
  </si>
  <si>
    <t>통상적인 경로</t>
    <phoneticPr fontId="3" type="noConversion"/>
  </si>
  <si>
    <t>통상적인 방법</t>
    <phoneticPr fontId="3" type="noConversion"/>
  </si>
  <si>
    <t>근로자가 업무상의 사유에 의하여 부상, 질병, 장해 또는 사망에 이르는 것을 의미한다.</t>
    <phoneticPr fontId="3" type="noConversion"/>
  </si>
  <si>
    <t>근로자가 근로계약에 따른 업무를 수행하는 중에 발생했거나, 업무에 따르는 위험 범위 내에서 발생한 재해여야 한다는 요건을 의미한다.</t>
    <phoneticPr fontId="3" type="noConversion"/>
  </si>
  <si>
    <t>재해를 발생시킨 원인이 업무의 수행과 상당인과관계를 가져야 한다는 요건을 의미한다.</t>
    <phoneticPr fontId="3" type="noConversion"/>
  </si>
  <si>
    <t>근로자가 원래의 사용자(구 사용자)와의 근로계약 관계를 종료하고, 새로운 사용자(신 사용자)와 새로운 근로계약 관계를 설정하는 것을 의미한다.</t>
    <phoneticPr fontId="3" type="noConversion"/>
  </si>
  <si>
    <t>동일한 사용자 내에서 근로자의 직무내용이나 근무지에 변경을 가져오는 인사명령을 의미한다.</t>
    <phoneticPr fontId="3" type="noConversion"/>
  </si>
  <si>
    <t xml:space="preserve"> 인사권설</t>
    <phoneticPr fontId="3" type="noConversion"/>
  </si>
  <si>
    <t xml:space="preserve"> 계약설</t>
    <phoneticPr fontId="3" type="noConversion"/>
  </si>
  <si>
    <t>전직은 기업의 경영 목적 달성 및 인력 운용의 효율성을 위한 사용자의 고유한 인사권에 속하는 사항이므로, 근로계약이나 단체협약 등에 특별한 제한이 없는 한 사용자가 재량으로 할 수 있다고 본다.</t>
    <phoneticPr fontId="3" type="noConversion"/>
  </si>
  <si>
    <t>근로계약 체결 시 근로자가 자신의 직무나 근무지 변경에 동의하였을 때 비로소 전직의 근거가 발생한다고 본다.</t>
  </si>
  <si>
    <t>사회통념상 고용 관계를 계속할 수 없을 정도로 근로자에게 책임 있는 사유가 있거나, 부득이한 경영상의 필요가 있는 경우를 의미한다. (근기법 제23조 제1항 : 정당한 이유)</t>
  </si>
  <si>
    <t>노동조합이 조직의 통일적 활동을 확보하고, 단결을 유지하며, 설립 목적을 달성하기 위해 조합원에게 규약이나 결의에 따른 의무를 부과하고, 위반 시 제재를 가할 수 있는 자율적 권한을 의미한다.</t>
  </si>
  <si>
    <t>사회 통념상 해당 출퇴근 시점에 일반적으로 이용할 수 있다고 인정되는 가장 합리적인 경로를 의미한다.</t>
    <phoneticPr fontId="3" type="noConversion"/>
  </si>
  <si>
    <t>대중교통, 자가용, 자전거, 도보 등 일반적으로 이용하는 교통수단이나 이동 방법을 의미한다.</t>
    <phoneticPr fontId="3" type="noConversion"/>
  </si>
  <si>
    <t>쟁의행위의 정당성</t>
    <phoneticPr fontId="3" type="noConversion"/>
  </si>
  <si>
    <t>비노조쟁의행위</t>
    <phoneticPr fontId="3" type="noConversion"/>
  </si>
  <si>
    <t>비공인쟁의행위</t>
    <phoneticPr fontId="3" type="noConversion"/>
  </si>
  <si>
    <t>권리분쟁</t>
    <phoneticPr fontId="3" type="noConversion"/>
  </si>
  <si>
    <t>동정파업</t>
    <phoneticPr fontId="3" type="noConversion"/>
  </si>
  <si>
    <t>정치파업</t>
    <phoneticPr fontId="3" type="noConversion"/>
  </si>
  <si>
    <t>최후수단의 원칙</t>
    <phoneticPr fontId="3" type="noConversion"/>
  </si>
  <si>
    <t>파업</t>
    <phoneticPr fontId="3" type="noConversion"/>
  </si>
  <si>
    <t>태업</t>
    <phoneticPr fontId="3" type="noConversion"/>
  </si>
  <si>
    <t>보이콧</t>
    <phoneticPr fontId="3" type="noConversion"/>
  </si>
  <si>
    <t>피케팅</t>
    <phoneticPr fontId="3" type="noConversion"/>
  </si>
  <si>
    <t>직장점거</t>
    <phoneticPr fontId="3" type="noConversion"/>
  </si>
  <si>
    <t xml:space="preserve"> 권리행사형 준법투쟁</t>
    <phoneticPr fontId="3" type="noConversion"/>
  </si>
  <si>
    <t xml:space="preserve"> 안전투쟁형 준법투쟁</t>
    <phoneticPr fontId="3" type="noConversion"/>
  </si>
  <si>
    <t>직장폐쇄</t>
    <phoneticPr fontId="3" type="noConversion"/>
  </si>
  <si>
    <t>불법쟁의행위</t>
    <phoneticPr fontId="3" type="noConversion"/>
  </si>
  <si>
    <t>위력</t>
    <phoneticPr fontId="3" type="noConversion"/>
  </si>
  <si>
    <t>징계책임</t>
    <phoneticPr fontId="3" type="noConversion"/>
  </si>
  <si>
    <t>해지설</t>
    <phoneticPr fontId="3" type="noConversion"/>
  </si>
  <si>
    <t>정지설(판례, 통설)</t>
    <phoneticPr fontId="3" type="noConversion"/>
  </si>
  <si>
    <t>파기설</t>
    <phoneticPr fontId="3" type="noConversion"/>
  </si>
  <si>
    <t>안전보호시설</t>
    <phoneticPr fontId="3" type="noConversion"/>
  </si>
  <si>
    <t>필수유지업무</t>
    <phoneticPr fontId="3" type="noConversion"/>
  </si>
  <si>
    <t>필수유지업무결정</t>
    <phoneticPr fontId="3" type="noConversion"/>
  </si>
  <si>
    <t>사업과 관계없는 자</t>
    <phoneticPr fontId="3" type="noConversion"/>
  </si>
  <si>
    <t>채용</t>
    <phoneticPr fontId="3" type="noConversion"/>
  </si>
  <si>
    <t>대체</t>
    <phoneticPr fontId="3" type="noConversion"/>
  </si>
  <si>
    <t>계약 위반이 있을 경우 위반자가 상대방에게 일정 금액을 지급하기로 약정하는 금전적 제재를 의미한다. / 실제 손해의 발생・액수와 상관없이 일정액을 지불할 것을 미리 약정하는 것</t>
    <phoneticPr fontId="3" type="noConversion"/>
  </si>
  <si>
    <t xml:space="preserve"> 단체교섭 거부・해태</t>
    <phoneticPr fontId="3" type="noConversion"/>
  </si>
  <si>
    <t xml:space="preserve"> 불이익취급</t>
    <phoneticPr fontId="3" type="noConversion"/>
  </si>
  <si>
    <t xml:space="preserve"> 지배・개입</t>
    <phoneticPr fontId="3" type="noConversion"/>
  </si>
  <si>
    <t>불이익취급 원인의 경합</t>
    <phoneticPr fontId="3" type="noConversion"/>
  </si>
  <si>
    <t xml:space="preserve"> 주된 이유설</t>
    <phoneticPr fontId="3" type="noConversion"/>
  </si>
  <si>
    <t>반조합계약</t>
    <phoneticPr fontId="3" type="noConversion"/>
  </si>
  <si>
    <t>거부</t>
    <phoneticPr fontId="3" type="noConversion"/>
  </si>
  <si>
    <t>해태</t>
    <phoneticPr fontId="3" type="noConversion"/>
  </si>
  <si>
    <t>임금, 휴일, 휴가, 근로시간과 같은 근로조건의 결정에 관한 사항을 의미한다.</t>
    <phoneticPr fontId="3" type="noConversion"/>
  </si>
  <si>
    <t>인원충원, 사업장이전, 사업축소 및 확장 등 경영권에 관한 사항을 의미한다.</t>
    <phoneticPr fontId="3" type="noConversion"/>
  </si>
  <si>
    <t>지배・개입의 의사</t>
    <phoneticPr fontId="3" type="noConversion"/>
  </si>
  <si>
    <t>노동조합의 조직</t>
    <phoneticPr fontId="3" type="noConversion"/>
  </si>
  <si>
    <t>노동조합의 운영</t>
    <phoneticPr fontId="3" type="noConversion"/>
  </si>
  <si>
    <t>지배</t>
    <phoneticPr fontId="3" type="noConversion"/>
  </si>
  <si>
    <t>개입</t>
    <phoneticPr fontId="3" type="noConversion"/>
  </si>
  <si>
    <t>운영비 원조</t>
    <phoneticPr fontId="3" type="noConversion"/>
  </si>
  <si>
    <t>법의 존재 형식 또는 인식 근거를 의미하며, 법으로서의 효력을 가지고 재판의 기준이 되는 것을 말한다.</t>
    <phoneticPr fontId="3" type="noConversion"/>
  </si>
  <si>
    <t>노동관계에서 적용되는 여러 법원이 정하고 있는 근로조건이 서로 상이하여 충돌하는 경우를 의미한다.</t>
    <phoneticPr fontId="3" type="noConversion"/>
  </si>
  <si>
    <t>하나의 노동관계에 복수의 법원이 동시에 적용될 때, 근로자에게 가장 유리한 근로조건을 규정하고 있는 규범이 적용되어야 한다는 원칙이다.</t>
    <phoneticPr fontId="3" type="noConversion"/>
  </si>
  <si>
    <t>법에 의해 근로자와 사용자 사이의 개별적 근로관계를 직접 구속하는 법적 효력이다.</t>
    <phoneticPr fontId="3" type="noConversion"/>
  </si>
  <si>
    <t>국가 기관이 제정한 법규범으로서, 헌법을 최상위로 하여 법률, 명령, 조례 등으로 구성된다.</t>
    <phoneticPr fontId="3" type="noConversion"/>
  </si>
  <si>
    <t>직업의 종류와 관계없이 임금을 목적으로 사업이나 사업장에 근로를 제공하는 사람을 말한다.</t>
    <phoneticPr fontId="3" type="noConversion"/>
  </si>
  <si>
    <t>사업장</t>
  </si>
  <si>
    <t>일정한 목적을 위하여 유기적인 조직 하에 지속적으로 행해지는 경제적・사회적 활동의 단위를 의미한다.</t>
  </si>
  <si>
    <t>사업이 행해지는 구체적인 장소를 의미한다.</t>
  </si>
  <si>
    <t>사업(또는 사업장)</t>
  </si>
  <si>
    <t>직업의 종류를 불문하고 임금・급료 기타 이에 준하는 수입에 의하여 생활하는 자를 말한다.</t>
    <phoneticPr fontId="3" type="noConversion"/>
  </si>
  <si>
    <t>업무 지휘・감독</t>
    <phoneticPr fontId="3" type="noConversion"/>
  </si>
  <si>
    <t>독자적 이익창출・손실감수</t>
    <phoneticPr fontId="3" type="noConversion"/>
  </si>
  <si>
    <t>설비・비품 제공 여부</t>
    <phoneticPr fontId="3" type="noConversion"/>
  </si>
  <si>
    <t>보수의 대가성(근로자체)</t>
    <phoneticPr fontId="3" type="noConversion"/>
  </si>
  <si>
    <t>근로의 계속성・전속성</t>
    <phoneticPr fontId="3" type="noConversion"/>
  </si>
  <si>
    <t>소득 의존성</t>
    <phoneticPr fontId="3" type="noConversion"/>
  </si>
  <si>
    <t>필수적 인력</t>
    <phoneticPr fontId="3" type="noConversion"/>
  </si>
  <si>
    <t>업무의 지휘・감독</t>
    <phoneticPr fontId="3" type="noConversion"/>
  </si>
  <si>
    <t>업무의 대체성</t>
    <phoneticPr fontId="3" type="noConversion"/>
  </si>
  <si>
    <t>계속성・전속성</t>
    <phoneticPr fontId="3" type="noConversion"/>
  </si>
  <si>
    <t>노무이용자가 노무제공자의 업무 내용을 정하고, 노무제공자가 노무이용자의 사업 수행에 필수적인 인력으로 통합되어 있는지 여부이다.</t>
    <phoneticPr fontId="3" type="noConversion"/>
  </si>
  <si>
    <t>노무이용자가 노무제공자에게 어느 정도의 지휘・감독권을 행사하는지 여부이다.</t>
    <phoneticPr fontId="3" type="noConversion"/>
  </si>
  <si>
    <t>노무제공자가 노무이용자의 승낙 없이 제3자를 고용하여 업무를 대행하게 하거나 자기의 계산으로 사업을 영위하는 등 독립 사업자로서의 실질을 갖추었는지 여부이다.</t>
    <phoneticPr fontId="3" type="noConversion"/>
  </si>
  <si>
    <t>노무제공 관계의 계속성과 전속성 여부이다.</t>
    <phoneticPr fontId="3" type="noConversion"/>
  </si>
  <si>
    <t>사업주 또는 사업 경영 담당자, 그 밖에 근로자에 관한 사항에 대하여 사업주를 위하여 행위하는 자를 말한다.</t>
    <phoneticPr fontId="3" type="noConversion"/>
  </si>
  <si>
    <t>근로자를 사용하여 사업을 수행하고 그 경영을 책임지는 주체를 의미한다.</t>
    <phoneticPr fontId="3" type="noConversion"/>
  </si>
  <si>
    <t>포괄적인 위임</t>
    <phoneticPr fontId="3" type="noConversion"/>
  </si>
  <si>
    <t>사업주, 사업의 경영담당자 또는 그 사업의 근로자에 관한 사항에 대하여 사업주를 위하여 행동하는 자를 말한다.</t>
    <phoneticPr fontId="3" type="noConversion"/>
  </si>
  <si>
    <t>사업을 법률상 경영하는 주체로서, 근로자가 소속된 사업장의 최종적인 법적 책임자이다.</t>
    <phoneticPr fontId="3" type="noConversion"/>
  </si>
  <si>
    <t>사업의 경영담당자</t>
    <phoneticPr fontId="3" type="noConversion"/>
  </si>
  <si>
    <t>사업주나 사업의 경영담당자로부터 근로 조건이나 인사 관리에 관한 특정 권한을 부여받아 행사하는 자이다.</t>
    <phoneticPr fontId="3" type="noConversion"/>
  </si>
  <si>
    <t>사용자는 근로자에 대하여 남녀의 성(性)을 이유로 차별적 대우를 하지 못하고, 국적・신앙 또는 사회적 신분을 이유로 근로조건에 대한 차별적 처우를 하지 못한다.</t>
    <phoneticPr fontId="3" type="noConversion"/>
  </si>
  <si>
    <t>업무의 성격, 난이도, 근로자의 능력, 숙련도, 근속 연수 등 실질적인 노동력의 차이나 생산성 향상 등 사용자의 정당한 경영상 필요에 근거한 사유를 의미한다.</t>
    <phoneticPr fontId="3" type="noConversion"/>
  </si>
  <si>
    <t>누구든지 법률에 따르지 아니하고는 영리로 다른 사람의 취업에 개입하거나 중간인으로서 이익을 취득하지 못한다.</t>
    <phoneticPr fontId="3" type="noConversion"/>
  </si>
  <si>
    <t>사용자는 근로자가 근로시간 중에 선거권, 공민권 행사, 공의 직무를 집행하기 위하여 시간을 청구하면 거부하지 못한다. 다만, 공의 직무 등을 수행하는 데에 지장이 없으면 시간을 변경할 수 있다.</t>
    <phoneticPr fontId="3" type="noConversion"/>
  </si>
  <si>
    <t>근로자의 주된 의무로서, 계약에 따라 정해진 시간과 장소에서 사용자의 지휘 명령에 따라 성실하게 근로를 제공해야 하는 의무를 말한다.</t>
    <phoneticPr fontId="3" type="noConversion"/>
  </si>
  <si>
    <t>사용자의 주된 의무로서, 근로자가 제공한 노무에 대해 합당한 임금을 지급할 의무를 말한다.</t>
    <phoneticPr fontId="3" type="noConversion"/>
  </si>
  <si>
    <t>금지되는 근로조건</t>
    <phoneticPr fontId="3" type="noConversion"/>
  </si>
  <si>
    <t>특정 근로자를 영입하거나 핵심 인력을 확보하기 위하여, 근로계약 체결 시점에 일시금 형태로 지급되는 금전을 의미한다.</t>
    <phoneticPr fontId="3" type="noConversion"/>
  </si>
  <si>
    <t>근로계약의 체결과 더불어 근로 제공이 현실적으로 시작되어 근로자가 사용자의 지휘・명령 하에 종속되어 있는 계속적 사실 관계이자 법률 관계이다.</t>
    <phoneticPr fontId="3" type="noConversion"/>
  </si>
  <si>
    <t>당사자 간의 합의에 의해 장래 근로관계를 발생시키는 것을 목적으로 하는 법률 행위이다. 근로자의 노무제공의무와 사용자의 임금지급의무를 주 내용으로 하는 쌍무계약이다.</t>
    <phoneticPr fontId="3" type="noConversion"/>
  </si>
  <si>
    <t>장래 본 계약 체결을 예정하거나, 본격적인 근로관계 성립 전 일정한 평가 기간을 두는 등 특수한 형태로 성립되는 근로관계를 의미한다.</t>
    <phoneticPr fontId="3" type="noConversion"/>
  </si>
  <si>
    <t xml:space="preserve"> 채용내정</t>
    <phoneticPr fontId="3" type="noConversion"/>
  </si>
  <si>
    <t xml:space="preserve"> 시용</t>
    <phoneticPr fontId="3" type="noConversion"/>
  </si>
  <si>
    <t>사용자가 근로자에게 장래 일정한 시점에 근로계약의 체결을 약속하고, 근로자가 이를 승낙함으로써 성립되는 관계이다.</t>
    <phoneticPr fontId="3" type="noConversion"/>
  </si>
  <si>
    <t>본 채용 전, 근로자의 역량을 평가하기 위해 일정 기간 동안 시험적으로 노무를 제공하는 것을 의미한다.</t>
    <phoneticPr fontId="3" type="noConversion"/>
  </si>
  <si>
    <t>사용자가 근로자에 대하여 근로계약상 제공할 노무의 종류, 장소, 형태 등을 변경시키거나 근로관계를 일시적 또는 최종적으로 종료시키는 일체의 법률행위를 의미한다.</t>
    <phoneticPr fontId="3" type="noConversion"/>
  </si>
  <si>
    <t xml:space="preserve"> 경고</t>
    <phoneticPr fontId="3" type="noConversion"/>
  </si>
  <si>
    <t xml:space="preserve"> 견책</t>
    <phoneticPr fontId="3" type="noConversion"/>
  </si>
  <si>
    <t xml:space="preserve"> 감봉</t>
    <phoneticPr fontId="3" type="noConversion"/>
  </si>
  <si>
    <t xml:space="preserve"> 정직</t>
    <phoneticPr fontId="3" type="noConversion"/>
  </si>
  <si>
    <t xml:space="preserve"> 징계해고</t>
    <phoneticPr fontId="3" type="noConversion"/>
  </si>
  <si>
    <t>사유의 정당성</t>
    <phoneticPr fontId="3" type="noConversion"/>
  </si>
  <si>
    <t>양정의 정당성</t>
    <phoneticPr fontId="3" type="noConversion"/>
  </si>
  <si>
    <t>절차의 정당성</t>
    <phoneticPr fontId="3" type="noConversion"/>
  </si>
  <si>
    <t>사용자가 기업경영의 필요상 사업장에서 근로자가 지켜야 할 복무규율, 임금, 근로시간 등 근로조건에 관한 구체적인 사항을 일방적・획일적・통일적으로 정한 규칙이다.</t>
    <phoneticPr fontId="3" type="noConversion"/>
  </si>
  <si>
    <t>징계 처분 시 취업규칙이나 단체협약에서 정한 징계 절차(징계위원회 개최, 근로자에게 소명의 기회 부여, 징계 의결 통보)를 반드시 준수해야 한다.</t>
    <phoneticPr fontId="3" type="noConversion"/>
  </si>
  <si>
    <t>소송이나 쟁송을 통해 원고의 권리 또는 법률상 이익이 구제될 가능성을 말한다.</t>
    <phoneticPr fontId="3" type="noConversion"/>
  </si>
  <si>
    <t>근로자가 업무를 수행하는 과정에서 발생한 사고, 시설물 등의 결함으로 발생한 사고, 행사 중 발생한 사고 등을 의미한다.</t>
    <phoneticPr fontId="3" type="noConversion"/>
  </si>
  <si>
    <t>업무상 유해 인자 노출로 인한 질병, 업무상 과로 및 스트레스로 인한 질병 등 업무와 상당인과관계가 인정되는 질병을 의미한다.</t>
    <phoneticPr fontId="3" type="noConversion"/>
  </si>
  <si>
    <t>사업주 지배・관리 하에서의 출퇴근 중 발생한 사고, 통상적인 경로와 방법으로 출퇴근하는 중에 발생한 사고 등을 의미한다.</t>
    <phoneticPr fontId="3" type="noConversion"/>
  </si>
  <si>
    <t>근로자가 근로계약에 따른 업무나 그에 수반되는 행위를 하던 중 발생한 사고를 의미한다.</t>
    <phoneticPr fontId="3" type="noConversion"/>
  </si>
  <si>
    <t>근로자가 운동경기, 야유회, 등산대회 등 각종 행사에 참여하여 발생한 사고를 업무상 사고로 인정한다.</t>
    <phoneticPr fontId="3" type="noConversion"/>
  </si>
  <si>
    <t>근로자가 업무 수행 과정에서 유해 인자에 노출되거나 업무의 과중성 등으로 인하여 발생하거나 악화된 질환을 의미한다.</t>
    <phoneticPr fontId="3" type="noConversion"/>
  </si>
  <si>
    <t>업무 수행 과정에서 노출되는 화학적 인자, 물리적 인자, 생물학적 인자 또는 신체에 부담을 주는 작업 등으로 인하여 발생하는 질병을 의미한다.</t>
    <phoneticPr fontId="3" type="noConversion"/>
  </si>
  <si>
    <t>업무상 과로나 스트레스가 주원인이 되어 발생하는 뇌심혈관 질병으로 인한 사망을 통칭한다.</t>
    <phoneticPr fontId="3" type="noConversion"/>
  </si>
  <si>
    <t>특정 유해 인자 노출로 인한 질병(진폐증, 난청 등)이다.</t>
    <phoneticPr fontId="3" type="noConversion"/>
  </si>
  <si>
    <t>업무와 관련된 정신적 스트레스로 인하여 발생한 우울증 등 정신 질환이다.</t>
    <phoneticPr fontId="3" type="noConversion"/>
  </si>
  <si>
    <t>모성 근로자가 업무 수행 중 유해 인자에 노출되어 태아에게 건강 손상이 발생한 경우이다.</t>
    <phoneticPr fontId="3" type="noConversion"/>
  </si>
  <si>
    <t>근로자들이 근로조건의 유지・개선 및 근로자의 경제적・사회적 지위 향상을 위하여 자주적으로 단결하여 조직하는 단체이다.</t>
    <phoneticPr fontId="3" type="noConversion"/>
  </si>
  <si>
    <t xml:space="preserve"> 실질적 요건</t>
    <phoneticPr fontId="3" type="noConversion"/>
  </si>
  <si>
    <t xml:space="preserve"> 형식적 요건</t>
    <phoneticPr fontId="3" type="noConversion"/>
  </si>
  <si>
    <t>노조법에 규정된 노동조합의 본질적인 요소에 해당한다.</t>
    <phoneticPr fontId="3" type="noConversion"/>
  </si>
  <si>
    <t>노동조합이 법적으로 효력을 갖기 위해 갖추어야 할 절차적 요건을 의미한다.</t>
    <phoneticPr fontId="3" type="noConversion"/>
  </si>
  <si>
    <t>균등참여권</t>
    <phoneticPr fontId="3" type="noConversion"/>
  </si>
  <si>
    <t>의결권</t>
    <phoneticPr fontId="3" type="noConversion"/>
  </si>
  <si>
    <t>조합원은 노동조합의 모든 활동에 균등하게 참여할 권리를 가진다.</t>
    <phoneticPr fontId="3" type="noConversion"/>
  </si>
  <si>
    <t>선거권 및 피선거권</t>
    <phoneticPr fontId="3" type="noConversion"/>
  </si>
  <si>
    <t>정보접근권</t>
    <phoneticPr fontId="3" type="noConversion"/>
  </si>
  <si>
    <t>견해표명권</t>
    <phoneticPr fontId="3" type="noConversion"/>
  </si>
  <si>
    <t xml:space="preserve">노동조합의 운영에 관한 주요 사항(규약의 제정・변경, 임원의 선출, 단체협약의 체결 등)에 대하여 총회 또는 대의원회를 통해 의결에 참여할 권리이다. </t>
    <phoneticPr fontId="3" type="noConversion"/>
  </si>
  <si>
    <t>노동조합의 임원을 선출할 수 있는 권리(선거권)와 임원으로 선출될 수 있는 권리(피선거권)를 가진다.</t>
    <phoneticPr fontId="3" type="noConversion"/>
  </si>
  <si>
    <t>노동조합의 재정 상태, 사업 계획, 운영 상황 등 필요한 정보를 제공받을 권리를 가진다.</t>
    <phoneticPr fontId="3" type="noConversion"/>
  </si>
  <si>
    <t>조합의 정책이나 운영에 대해 자유롭게 의견을 개진할 권리를 가진다.</t>
    <phoneticPr fontId="3" type="noConversion"/>
  </si>
  <si>
    <t>조합원은 노동조합의 규약을 준수하고, 총회 또는 대의원회에서 정당하게 의결된 사항을 따라야 할 의무를 가진다.</t>
    <phoneticPr fontId="3" type="noConversion"/>
  </si>
  <si>
    <t>규약 및 의결준수의 의무</t>
    <phoneticPr fontId="3" type="noConversion"/>
  </si>
  <si>
    <t>조합비 납부 의무</t>
    <phoneticPr fontId="3" type="noConversion"/>
  </si>
  <si>
    <t>단결 유지 의무</t>
    <phoneticPr fontId="3" type="noConversion"/>
  </si>
  <si>
    <t>조합원은 노동조합의 운영 경비를 충당하기 위해 규약 또는 정기 총회의 의결에 따라 정해진 조합비를 납부해야 할 의무를 가진다.</t>
    <phoneticPr fontId="3" type="noConversion"/>
  </si>
  <si>
    <t>조합원은 노동조합의 단결을 해치거나 통제를 문란하게 하는 행위를 하지 않아야 할 의무를 가진다.</t>
    <phoneticPr fontId="3" type="noConversion"/>
  </si>
  <si>
    <t xml:space="preserve"> 총회</t>
    <phoneticPr fontId="3" type="noConversion"/>
  </si>
  <si>
    <t xml:space="preserve"> 대의원회</t>
    <phoneticPr fontId="3" type="noConversion"/>
  </si>
  <si>
    <t>노동조합의 목적을 달성하고, 활동을 수행하기 위하여 조직된 내부 기관을 의미한다.</t>
    <phoneticPr fontId="3" type="noConversion"/>
  </si>
  <si>
    <t>노동조합의 최고 의사를 결정하는 기관으로서, 모든 조합원의 의사를 반영하여 노동조합의 활동 방향과 주요 사항을 결정한다.</t>
    <phoneticPr fontId="3" type="noConversion"/>
  </si>
  <si>
    <t>노동조합의 최고 의결기관으로서, 모든 조합원으로 구성된다.</t>
    <phoneticPr fontId="3" type="noConversion"/>
  </si>
  <si>
    <t>총회를 갈음하기 위하여 설치되는 기관으로서, 지부, 분회 등이 있는 노동조합에서 조합원의 직접・비밀・무기명 투표로 선출된 대의원으로 구성된다.</t>
    <phoneticPr fontId="3" type="noConversion"/>
  </si>
  <si>
    <t>의결기관에서 결정된 사항을 실행하고, 노동조합의 일상적인 업무를 수행하는 기관이다.</t>
    <phoneticPr fontId="3" type="noConversion"/>
  </si>
  <si>
    <t>근로계약상 본래의 업무를 중단하고 노동조합의 업무만을 전적으로 담당하는 자를 의미한다.</t>
    <phoneticPr fontId="3" type="noConversion"/>
  </si>
  <si>
    <t>근로계약상의 업무를 수행하면서도, 단체협약 또는 사용자의 동의에 따라 유급으로 노동조합 활동을 할 수 있도록 근로시간을 면제받은 자를 의미한다.</t>
    <phoneticPr fontId="3" type="noConversion"/>
  </si>
  <si>
    <t>노동조합이 존속・발전하고 그 목적을 달성하기 위하여 행하는 모든 활동을 의미한다.</t>
    <phoneticPr fontId="3" type="noConversion"/>
  </si>
  <si>
    <t>활동을 수행하는 주체가 노동조합 또는 노동 3권의 주체로서 인정되는 근로자인지 여부에 따라 결정된다.</t>
    <phoneticPr fontId="3" type="noConversion"/>
  </si>
  <si>
    <t>근로조건의 유지・개선 및 근로자의 경제적・사회적 지위 향상을 도모함을 목적으로 하여야 한다.</t>
    <phoneticPr fontId="3" type="noConversion"/>
  </si>
  <si>
    <t>활동의 방법과 태양이 사회 통념상 허용될 수 있는 범위 내에 있는지 여부를 판단하는 기준이다.</t>
    <phoneticPr fontId="3" type="noConversion"/>
  </si>
  <si>
    <t>사용자가 노동조합의 원활한 활동을 지원하기 위하여 자금, 시설, 시간 등을 제공하는 행위를 의미한다.</t>
    <phoneticPr fontId="3" type="noConversion"/>
  </si>
  <si>
    <t>근로계약상의 본래 업무를 중단하고 노동조합의 업무만을 전적으로 담당하는 자를 의미한다.</t>
    <phoneticPr fontId="3" type="noConversion"/>
  </si>
  <si>
    <t>사용자가 근로자의 임금에서 노동조합비를 일괄적으로 공제하여 노동조합에 전달하는 제도를 의미한다.</t>
    <phoneticPr fontId="3" type="noConversion"/>
  </si>
  <si>
    <t>두 개 이상의 노동조합이 결합하여 하나의 노동조합이 되는 것을 의미하며, 기존 조직의 권리・의무가 존속하는 신설 조직 또는 기존 조직에 승계된다.</t>
    <phoneticPr fontId="3" type="noConversion"/>
  </si>
  <si>
    <t>하나의 노동조합이 두 개 이상의 노동조합으로 나뉘는 것을 의미하며, 조직 형태 변경의 한 방식이다.</t>
    <phoneticPr fontId="3" type="noConversion"/>
  </si>
  <si>
    <t>노동조합이 법적 존재 목적을 상실하거나 조합원들의 의사에 따라 그 법인격 또는 단체로서의 활동을 종료하는 것을 의미한다.</t>
    <phoneticPr fontId="3" type="noConversion"/>
  </si>
  <si>
    <t>노동조합과 사용자 또는 사용자 단체 사이에 단체교섭을 통하여 합의된 근로조건 등을 서면으로 작성하고 당사자 쌍방이 서명 또는 날인한 문서를 의미한다.</t>
    <phoneticPr fontId="3" type="noConversion"/>
  </si>
  <si>
    <t>규범성</t>
    <phoneticPr fontId="3" type="noConversion"/>
  </si>
  <si>
    <t>채무성</t>
    <phoneticPr fontId="3" type="noConversion"/>
  </si>
  <si>
    <t>집단성</t>
    <phoneticPr fontId="3" type="noConversion"/>
  </si>
  <si>
    <t>개별 근로계약과 달리 근로조건을 집단적・통일적으로 규율하고, 특정 사업장 또는 산업 전체의 노사 관계를 규율하는 성격을 가진다.</t>
    <phoneticPr fontId="3" type="noConversion"/>
  </si>
  <si>
    <t>단체협약을 체결하고 그에 따른 권리 및 의무가 법적으로 귀속되는 주체를 의미한다. (노동조합, 사용자 또는 사용자 단체)</t>
    <phoneticPr fontId="3" type="noConversion"/>
  </si>
  <si>
    <t>노조법에 의해 유효하게 성립된 단체협약이 당사자 및 조합원에게 미치는 법적 구속력을 의미한다.</t>
    <phoneticPr fontId="3" type="noConversion"/>
  </si>
  <si>
    <t>단체협약 중 근로조건 기타 근로자의 대우에 관한 기준에 위반한 근로계약의 부분은 무효가 되는 효력을 말한다.</t>
    <phoneticPr fontId="3" type="noConversion"/>
  </si>
  <si>
    <t>단체협약이 당사자에게 계약적 의무를 발생시키고, 그 이행을 강제하는 효력을 의미한다.</t>
    <phoneticPr fontId="3" type="noConversion"/>
  </si>
  <si>
    <t>단체협약이 체결된 경우, 그 유효 기간 동안 단체협약의 내용과 관련된 사항에 대하여 당사자인 노동조합과 사용자가 일체의 쟁의행위를 하지 않아야 할 계약상의 의무를 의미한다.</t>
    <phoneticPr fontId="3" type="noConversion"/>
  </si>
  <si>
    <t>노동조합 스스로 쟁의행위를 하지 않을 의무를 말한다.</t>
    <phoneticPr fontId="3" type="noConversion"/>
  </si>
  <si>
    <t>정당하지 않은 조합원의 쟁의행위를 방지할 의무를 말한다.</t>
    <phoneticPr fontId="3" type="noConversion"/>
  </si>
  <si>
    <t>단체협약의 문언이 불분명하여 여러 가지로 해석될 수 있는 경우, 근로자에게 불리하게 해석하는 것은 엄격하게 금지된다.</t>
    <phoneticPr fontId="3" type="noConversion"/>
  </si>
  <si>
    <t>해고, 징계, 전보 등 사용자의 인사권 행사 시 노동조합과의 협의, 합의, 동의 등을 거치도록 규정한 조항이다.</t>
    <phoneticPr fontId="3" type="noConversion"/>
  </si>
  <si>
    <t>정리해고, 구조조정 등 고용 안정에 중대한 영향을 미치는 경영상 결정을 할 때 노동조합의 동의나 합의를 거치도록 정한 조항이다.</t>
    <phoneticPr fontId="3" type="noConversion"/>
  </si>
  <si>
    <t>단체협약에 징계 사유 발생 후 일정 기간 내에 징계위원회를 개최해야 한다고 규정된 경우, 이는 징계 절차의 신속성과 공정성을 확보하기 위한 조항이다.</t>
    <phoneticPr fontId="3" type="noConversion"/>
  </si>
  <si>
    <t>업무상 재해로 사망한 근로자의 유족에 대하여 사용자에게 특별채용 의무를 부과하는 단체협약 조항이다.</t>
    <phoneticPr fontId="3" type="noConversion"/>
  </si>
  <si>
    <t xml:space="preserve">단체협약의 유효 기간 동안 협약 사항과 관련된 쟁의행위를 금지하는 채무적 효력의 핵심 조항이다. </t>
    <phoneticPr fontId="3" type="noConversion"/>
  </si>
  <si>
    <t>쟁의절차조항</t>
    <phoneticPr fontId="3" type="noConversion"/>
  </si>
  <si>
    <t>쟁의행위 개시 전에 사전 경고, 냉각 기간 등을 두도록 정하여, 합리적이고 질서 있는 쟁의를 유도하는 조항이다.</t>
    <phoneticPr fontId="3" type="noConversion"/>
  </si>
  <si>
    <t>단체협약에 의해 정당한 쟁의행위로 인한 민사상, 징계상의 책임을 면제하는 조항을 의미한다.</t>
    <phoneticPr fontId="3" type="noConversion"/>
  </si>
  <si>
    <t>하나의 사업 또는 사업장에 상시 사용되는 동종의 근로자 반수 이상이 하나의 단체협약의 적용을 받게 된 때에는 다른 동종의 근로자에 대하여도 당해 단체협약이 적용된다.</t>
    <phoneticPr fontId="3" type="noConversion"/>
  </si>
  <si>
    <t>한 지역에서 동종 근로자 3분의 2 이상이 단체협약의 적용을 받을 때 행정관청은 신청이나 직권으로 노동위원회의 의결을 얻어 다른 동종 근로자・사용자에 대하여 단체협약을 적용할 수 있다.</t>
    <phoneticPr fontId="3" type="noConversion"/>
  </si>
  <si>
    <t>단체협약의 실효</t>
    <phoneticPr fontId="3" type="noConversion"/>
  </si>
  <si>
    <t>유효하게 성립되었던 단체협약의 법적 효력이 소멸하는 것을 의미한다.</t>
    <phoneticPr fontId="3" type="noConversion"/>
  </si>
  <si>
    <t>쟁의행위가 형법상 업무방해죄 등 각종 민형사상 책임을 면제받기 위한 면책 요건을 의미한다.</t>
    <phoneticPr fontId="3" type="noConversion"/>
  </si>
  <si>
    <t>쟁의행위를 수행하는 주체가 적법한지 여부를 판단하는 기준이다.</t>
    <phoneticPr fontId="3" type="noConversion"/>
  </si>
  <si>
    <t>노동조합의 조직적 결의 없이 근로자 집단이 자발적으로 행하는 쟁의행위를 의미한다.</t>
    <phoneticPr fontId="3" type="noConversion"/>
  </si>
  <si>
    <t>적법한 노동조합의 지도나 통제 없이 조합원 일부가 자발적, 돌발적으로 수행하는 쟁의행위이다.</t>
    <phoneticPr fontId="3" type="noConversion"/>
  </si>
  <si>
    <t>쟁의행위가 노조법상 면책을 받기 위한 요건 중 하나로, 쟁의행위의 요구 사항이 근로조건의 유지・개선과 근로자의 경제적・사회적 지위 향상에 관련된 사항에 국한되어야 함을 의미한다.</t>
    <phoneticPr fontId="3" type="noConversion"/>
  </si>
  <si>
    <t>임금, 근로시간 등 근로조건과 무관하게 정부 정책이나 사회 문제 등에 대한 불만을 정치적으로 표출하거나 정부에 특정한 조치를 요구하기 위한 쟁의행위이다.</t>
    <phoneticPr fontId="3" type="noConversion"/>
  </si>
  <si>
    <t>단체협약이나 법령에 의해 이미 확정된 권리의 해석이나 이행을 둘러싼 분쟁을 말한다.</t>
    <phoneticPr fontId="3" type="noConversion"/>
  </si>
  <si>
    <t>자신들의 근로조건과는 무관하게 다른 사업장 노동조합의 쟁의행위를 지원하고 연대하기 위한 쟁의행위이다.</t>
    <phoneticPr fontId="3" type="noConversion"/>
  </si>
  <si>
    <t>노조법이 정하는 절차적 요건과 시기적 제한을 준수하여 쟁의행위가 이루어졌는지 여부를 판단하는 기준이다.</t>
    <phoneticPr fontId="3" type="noConversion"/>
  </si>
  <si>
    <t>쟁의행위가 단체교섭이나 법이 정한 평화적인 해결 절차를 거쳤음에도 불구하고 자주적인 해결이 불가능한 경우에 한하여 최후의 수단으로 행사되어야 한다는 원칙이다.</t>
    <phoneticPr fontId="3" type="noConversion"/>
  </si>
  <si>
    <t>노조법상 면책을 받기 위한 쟁의행위의 정당성 요건 중 하나로, 쟁의행위를 함에 있어 선택된 구체적인 행위의 형태가 사회 통념상 허용될 수 있는 범위 내에 있어야 함을 의미한다.</t>
    <phoneticPr fontId="3" type="noConversion"/>
  </si>
  <si>
    <t>노동조합이 사용자의 생산품에 대해 불매 운동을 벌이거나, 거래처와의 거래를 단절하도록 압력을 행사하는 행위를 의미한다.</t>
    <phoneticPr fontId="3" type="noConversion"/>
  </si>
  <si>
    <t>쟁의행위 중인 사업장의 입구 등에서 구호를 외치거나 선전물을 게시하여 파업의 목적을 알리고, 비조합원의 출입을 저지하며 대체근로를 막으려는 보조적인 홍보 및 저지 행위이다.</t>
    <phoneticPr fontId="3" type="noConversion"/>
  </si>
  <si>
    <t>노동조합이 쟁의행위를 목적으로 사용자의 시설물을 점거하여 관리권을 배제하거나 제한하는 행위를 의미한다.</t>
    <phoneticPr fontId="3" type="noConversion"/>
  </si>
  <si>
    <t>근로자 또는 노동조합이 법령 등을 엄격하게 준수하면서 평소보다 작업 속도나 능률을 고의적으로 저하시켜 사용자에게 경제적인 압박을 가하고 주장을 관철하려는 집단적 행위를 의미한다.</t>
    <phoneticPr fontId="3" type="noConversion"/>
  </si>
  <si>
    <t>근로자가 법령이나 단체협약 등에 보장된 개별 근로자의 권리를 집단적으로 정당하게 행사하는 형식을 취하면서, 결과적으로 업무의 능률을 저하시키려는 행위를 의미한다.</t>
    <phoneticPr fontId="3" type="noConversion"/>
  </si>
  <si>
    <t>근로자가 산업안전보건법이나 운행 규정 등의 안전 관련 규정을 평소보다 훨씬 엄격하게 준수함으로써 작업 또는 운행의 효율을 고의로 떨어뜨리는 행위를 의미한다.</t>
    <phoneticPr fontId="3" type="noConversion"/>
  </si>
  <si>
    <t>사용자가 노동조합의 쟁의행위에 대항하여 사업장의 전부 또는 일부를 폐쇄하고 근로자의 근로 제공을 거부함으로써 노동조합의 활동을 위축시키고 노동력을 이용하지 않는 행위를 의미한다.</t>
    <phoneticPr fontId="3" type="noConversion"/>
  </si>
  <si>
    <t>노조법이 정하는 정당성의 요건(주체, 목적, 수단/절차)을 결여하여 위법하게 된 쟁의행위를 의미한다.</t>
    <phoneticPr fontId="3" type="noConversion"/>
  </si>
  <si>
    <t>사람의 자유 의사를 제압하기에 충분한 세력을 의미하며, 폭력, 협박뿐만 아니라 다수의 세력을 동원하여 업무를 물리적으로 저해하는 행위도 포함된다.</t>
    <phoneticPr fontId="3" type="noConversion"/>
  </si>
  <si>
    <t>불법 쟁의행위에 참가한 근로자가 근로계약상의 성실 의무나 단체의 질서를 문란하게 한 것에 대해, 사용자가 취업규칙이나 단체협약에 근거하여 징계 처분을 내리는 책임을 의미한다.</t>
    <phoneticPr fontId="3" type="noConversion"/>
  </si>
  <si>
    <t>무노동 무임금 원칙</t>
    <phoneticPr fontId="3" type="noConversion"/>
  </si>
  <si>
    <t>쟁의행위로 인하여 근로를 제공하지 아니한 근로자에 대하여는 임금을 지급할 의무가 없다는 원칙이다.</t>
    <phoneticPr fontId="3" type="noConversion"/>
  </si>
  <si>
    <t>산업 현장의 안전을 확보하고 인명 및 재산에 대한 위험을 방지하기 위하여 법령에 따라 설치되거나 그 목적이 객관적으로 명백한 시설을 의미한다.</t>
    <phoneticPr fontId="3" type="noConversion"/>
  </si>
  <si>
    <t>공익사업의 업무 중 정지 또는 폐지될 경우 공중의 생명・건강 또는 안전을 현저히 위태롭게 하거나 국민의 일상생활을 현저히 곤란하게 하는 업무로서, 그 유지가 필수적인 업무를 의미한다.</t>
    <phoneticPr fontId="3" type="noConversion"/>
  </si>
  <si>
    <t>노동조합과 사용자가 필수유지업무의 범위와 해당 업무를 유지하기 위한 필요 최소한의 인원, 투입 수준 및 근무 방법 등에 관하여 사전에 서면으로 합의하는 것을 의미한다.</t>
    <phoneticPr fontId="3" type="noConversion"/>
  </si>
  <si>
    <t>필수유지업무협정</t>
    <phoneticPr fontId="3" type="noConversion"/>
  </si>
  <si>
    <t>노사 간에 협정이 이루어지지 않거나 그 협정이 불합리하다고 판단될 경우, 노동위원회가 당사자의 신청을 받아 필수유지업무의 유지・운영 수준, 대상 업무 및 필요인원 등을 결정하는 것을 말한다.</t>
    <phoneticPr fontId="3" type="noConversion"/>
  </si>
  <si>
    <t>사용자가 노동조합의 쟁의행위(파업 등)로 인해 중단된 업무를 수행시키기 위하여 새로운 근로자를 채용하거나 기존의 비조합원 근로자를 충원하는 행위를 법으로 제한하는 제도를 의미한다.</t>
    <phoneticPr fontId="3" type="noConversion"/>
  </si>
  <si>
    <t>쟁의행위가 발생한 사업장의 소속 근로자가 아닌 자를 의미하며, 신규 채용 근로자, 파견 근로자, 다른 사업장의 소속 근로자 등이 이에 해당한다.</t>
    <phoneticPr fontId="3" type="noConversion"/>
  </si>
  <si>
    <t>신규 고용을 의미한다.</t>
    <phoneticPr fontId="3" type="noConversion"/>
  </si>
  <si>
    <t>새로운 근로자를 투입하거나 파견받는 행위를 의미한다.</t>
    <phoneticPr fontId="3" type="noConversion"/>
  </si>
  <si>
    <t>사용자가 근로자의 단체활동을 저해하거나 노동조합을 약화시키려는 부당한 의도를 가지고 행하는 일체의 행위를 의미한다.</t>
    <phoneticPr fontId="3" type="noConversion"/>
  </si>
  <si>
    <t xml:space="preserve">노동조합 활동을 이유로 근로자에게 해고, 징계 등 불이익을 주는 행위를 말한다. </t>
    <phoneticPr fontId="3" type="noConversion"/>
  </si>
  <si>
    <t>정당한 이유 없이 단체교섭을 거부하거나 게을리 하는 행위를 말한다.</t>
    <phoneticPr fontId="3" type="noConversion"/>
  </si>
  <si>
    <t>노동조합의 운영에 개입하거나 경비를 원조하여 노동조합의 자주성을 저해하는 행위를 말한다.</t>
    <phoneticPr fontId="3" type="noConversion"/>
  </si>
  <si>
    <t>사용자가 근로자의 정당한 단결활동(노동조합 가입・조직・운영)을 이유로 해당 근로자에게 해고, 징계, 전직 등 불이익을 주는 행위이다.</t>
    <phoneticPr fontId="3" type="noConversion"/>
  </si>
  <si>
    <t>사용자의 불이익 처분이 부당한 이유(단결활동 방해)뿐만 아니라 정당한 이유(업무 능력 부족 등)를 동시에 가지고 있는 경우, 그 불이익 처분의 부당노동행위 성립 여부를 판단하는 문제를 의미한다.</t>
    <phoneticPr fontId="3" type="noConversion"/>
  </si>
  <si>
    <t>사용자의 불이익 처분에 부당노동의사가 일부라도 작용하였다면 부당노동행위가 성립한다고 보는 견해이다.</t>
    <phoneticPr fontId="3" type="noConversion"/>
  </si>
  <si>
    <t xml:space="preserve"> 복수 이유설</t>
    <phoneticPr fontId="3" type="noConversion"/>
  </si>
  <si>
    <t>가장 중요하고 주된 이유가 부당노동의사에 의한 것이라면 부당노동행위로 보고, 정당한 사유가 주된 것이라면 부당노동행위가 성립되지 않는다고 보는 견해이다.(판례)</t>
    <phoneticPr fontId="3" type="noConversion"/>
  </si>
  <si>
    <t>사용자가 근로자의 단체활동을 저해할 목적으로 특정 노동조합에 가입하지 않거나 탈퇴할 것 또는 특정 노동조합에 가입할 것을 고용 조건으로 제시하는 계약을 말한다.</t>
    <phoneticPr fontId="3" type="noConversion"/>
  </si>
  <si>
    <t>사용자가 노동조합의 대표자 또는 노동조합으로부터 위임을 받은 자와의 단체교섭을 정당한 이유 없이 거부하거나 해태하는 행위를 의미한다.</t>
    <phoneticPr fontId="3" type="noConversion"/>
  </si>
  <si>
    <t>교섭 당사자인 노동조합과 사용자가 단체협약의 체결을 목적으로 진지한 노력을 다하여야 할 법적 의무를 의미한다.</t>
    <phoneticPr fontId="3" type="noConversion"/>
  </si>
  <si>
    <t>단체교섭의 요구 자체를 정당한 이유 없이 거절하는 적극적인 불응 행위이다.</t>
    <phoneticPr fontId="3" type="noConversion"/>
  </si>
  <si>
    <t>단체교섭에 응하기는 하되, 시간을 지연시키거나 합리적인 이유 없이 교섭을 중단하는 등 성실하지 못한 태도로 임하는 소극적인 불응 행위이다.</t>
    <phoneticPr fontId="3" type="noConversion"/>
  </si>
  <si>
    <t>사용자가 근로자가 노동조합을 조직하거나 운영하는 것을 지배하거나 여기에 개입하는 행위 및 노동조합의 운영비를 원조하는 행위를 의미한다.</t>
    <phoneticPr fontId="3" type="noConversion"/>
  </si>
  <si>
    <t>사용자가 노동조합의 조직 또는 운영에 영향을 미쳐 노동조합의 자주성을 침해하려는 의도를 의미한다.</t>
    <phoneticPr fontId="3" type="noConversion"/>
  </si>
  <si>
    <t>노동조합을 설립하고 유지하는 행위를 의미한다.</t>
    <phoneticPr fontId="3" type="noConversion"/>
  </si>
  <si>
    <t>노동조합의 활동 및 재정 관리, 회의 진행 등 모든 활동을 의미한다.</t>
    <phoneticPr fontId="3" type="noConversion"/>
  </si>
  <si>
    <t>사용자가 노동조합의 의사 결정이나 활동을 자기 의사에 따라 좌우할 수 있는 상태를 야기하거나 유지하는 행위를 의미한다.</t>
    <phoneticPr fontId="3" type="noConversion"/>
  </si>
  <si>
    <t>노동조합의 자율적인 활동 영역에 외부적으로 영향을 미치거나 간섭하는 행위를 의미한다.</t>
    <phoneticPr fontId="3" type="noConversion"/>
  </si>
  <si>
    <t>노동조합의 업무에만 종사하고 사용자에게 근로를 제공하지 않는 조합 간부를 의미한다.</t>
    <phoneticPr fontId="3" type="noConversion"/>
  </si>
  <si>
    <t>노동조합의 운영에 필요한 경제적 이익을 제공하는 행위를 의미하며, 금전적 지원뿐만 아니라 물품 제공, 시설 무상 제공 등 모든 경제적 이익을 포함한다.</t>
    <phoneticPr fontId="3" type="noConversion"/>
  </si>
  <si>
    <t>국가의 개입 없이 노동 관계 당사자인 사용자와 근로자(대표)가 자율적인 의사로 제정한 규범이다.</t>
  </si>
  <si>
    <t>근로를 수행하는 데 필요한 설비나 비품 등을 사용자가 제공하는지 여부이다.</t>
  </si>
  <si>
    <t>사업주로부터 사업 경영의 전부 또는 일부에 대하여 포괄적인 위임을 받아 대외적으로 사업을 대표하거나 대리하는 자를 말한다.</t>
  </si>
  <si>
    <t>사업주로부터 사업 경영에 관한 포괄적인 권한을 위임받아 대외적으로 사업을 대표하거나 경영하는 자이다.</t>
  </si>
  <si>
    <t>근로자가 사용자에게 근로를 제공하고, 사용자는 이에 대하여 임금을 지급하는 것을 목적으로 체결된 계약을 말한다.</t>
  </si>
  <si>
    <t>근로관계를 유지하면서 근로자의 지위나 근로 제공의 장소 및 내용에 변화를 가져오는 행위로서, 배치전환, 전보, 휴직, 대기발령, 전적, 파견 등이 이에 해당한다.</t>
  </si>
  <si>
    <t>근로자에게 휴직 사유가 발생하였을 때, 근로자의 의사나 신청 여부와 관계없이 사용자가 직권으로 명하는 휴직을 말한다.</t>
  </si>
  <si>
    <t>근로자가 개인적인 사유(육아, 유학, 개인 사정으로 인한 장기 휴가 등)로 휴직을 신청하고, 사용자가 이를 승인하여 이루어지는 휴직을 말한다.</t>
  </si>
  <si>
    <t>사용자의 휴직명령이 정당한 이유 없이 행해져 인사권 남용으로 인정되는 경우를 말한다.</t>
  </si>
  <si>
    <t>사용자가 기업 질서 및 근무 기강을 문란하게 한 근로자에 대하여 기업 질서 유지를 목적으로 제재를 가하는 불이익한 인사처분을 말한다.</t>
  </si>
  <si>
    <t>근로자의 경미한 비위에 대하여 장래에 동일한 행위를 반복하지 않도록 주의를 촉구하는 조치이다.</t>
  </si>
  <si>
    <t>근로자의 비위에 대하여 시말서 등을 제출하게 하고 장래를 훈계하는 조치이다.</t>
  </si>
  <si>
    <t>근로자에게 비위가 있을 때 일정 기간 동안 임금을 감액하여 지급하는 징계이다.</t>
  </si>
  <si>
    <t>근로자의 신분은 유지하면서 일정 기간 동안 직무 종사를 금지하고, 그 기간 중에는 임금을 지급하지 않는 징계이다.</t>
  </si>
  <si>
    <t>근로자의 가장 중대한 비위에 대하여 근로관계를 강제로 해지하는 징계이다.</t>
  </si>
  <si>
    <t>징계 처분의 원인이 된 근로자의 행위가 객관적으로 존재해야 하며, 해당 행위가 취업규칙이나 단체협약에서 정한 징계 사유에 해당해야 한다.</t>
  </si>
  <si>
    <t>징계의 수위가 근로자의 비위 행위의 정도, 경위, 결과, 평소의 근무 태도 등과 비교하여 균형을 이루어야 한다.</t>
  </si>
  <si>
    <t>근로자가 현재의 직무를 수행하기 곤란하거나 부적합하다고 판단될 때, 사용자(회사)가 근로자에게 일시적으로 직위를 부여하지 않고 대기 상태에 있도록 명하는 인사처분을 말한다.</t>
  </si>
  <si>
    <t>근로자의 귀책 사유 없이 단지 경영상 필요(부서 폐지, 직제 개편)에 의해 일시적으로 직무를 부여하지 않고 대기 상태에 두는 발령을 말한다.</t>
  </si>
  <si>
    <t>근로자가 사업주의 지배・관리 하에 있는 시설물, 장비, 차량 등을 사용하던 중 결함이나 관리 소홀로 인해 발생한 사고를 업무상 사고로 인정한다.</t>
  </si>
  <si>
    <t>업무상 사고나 부상이 원인이 되어 발생하거나 악화된 질병을 의미한다.</t>
  </si>
  <si>
    <t>업무와 관련된 정신적 스트레스를 유발하는 사건, 상황 등으로 인하여 발생한 뇌심혈관 질병 또는 정신 질환을 의미한다.</t>
  </si>
  <si>
    <t>노조법 제10조에 따라 설립 신고를 하였으나, 행정관청으로부터 반려 처분을 받거나, 설립 신고 후 노조법 제2조 제4호의 실질적 요건을 흠결하여 취소 통보를 받은 노동조합을 의미한다.</t>
  </si>
  <si>
    <t>노동조합이 동일성을 유지하면서 그 조직 형태를 바꾸는 것을 의미한다. (예 : 기업별 노동조합 ↔ 산업별 노동조합)</t>
  </si>
  <si>
    <t>단체협약은 근로조건 등에 관하여 법규범과 같은 효력을 가지며, 개별 근로계약이나 취업규칙보다 우선하여 적용된다.</t>
  </si>
  <si>
    <t>단체협약 당사자(노동조합과 사용자 또는 사용자 단체)에게 평화 의무나 단체협약 이행 의무 등 계약으로서의 채무를 발생시킨다.</t>
  </si>
  <si>
    <t>근로조건과 근로자의 지위에 관한 사항으로서, 노조법 제33조 및 제35조에 따라 개별 근로계약이나 취업규칙을 자동적・강제적으로 규율하는 효력을 가진다.</t>
  </si>
  <si>
    <t>노동조합과 사용자 당사자 간의 권리・의무에 관한 사항으로서, 평화의무, 단체협약 이행의무, 노조 사무실 제공 등 계약적 채무를 발생시키는 부분이다.</t>
  </si>
  <si>
    <t>근로조건과 근로자의 지위에 관한 사항을 규율하는 단체협약의 내용을 의미한다.</t>
  </si>
  <si>
    <t>단체협약의 당사자(노동조합과 사용자) 사이에 발생하는 권리 및 의무에 관한 사항을 규율하는 내용을 의미한다.</t>
  </si>
  <si>
    <t>노동조합의 자주성 및 민주성 확보를 위하여 일정한 자의 노동조합 가입을 제한한다.</t>
  </si>
  <si>
    <t>사용자가 근로자를 해고할 때 노동조합의 참여를 의무화하여, 해고의 남용을 방지하고 조합원의 고용 안정을 도모하기 위한 조항이다.</t>
  </si>
  <si>
    <t>정리해고 등 사용자의 경영권에 속하는 사항과 관련되지만, 근로자의 고용 안정이라는 근로조건에 직접적으로 중대한 영향을 미치므로 의무적 단체교섭 대상에 해당한다.</t>
  </si>
  <si>
    <t>유효하게 체결된 단체협약의 규범적 효력이 단체협약의 당사자 및 조합원 외의 제3자에게까지 강제적으로 미치도록 하는 제도를 의미한다.</t>
  </si>
  <si>
    <t>동일한 사용자에게 고용되어 동일한 종류의 업무에 종사하는 근로자를 의미한다.</t>
  </si>
  <si>
    <t>노동조합이 주장 관철을 목적으로 근로 제공을 집단적으로 거부하여 사용자에게 업무의 중단을 가져오는 행위를 의미한다.</t>
  </si>
  <si>
    <t>근로자가 근로계약에 따라 근로를 제공하기는 하나, 그 노동의 질이나 양을 저하시켜 사용자에게 손해를 입힘으로써 주장을 관철하려는 행위를 의미한다.</t>
  </si>
  <si>
    <t>근로자가 법규나 사내 규정을 엄격하게 준수하여 작업 능률을 저하시키고 업무를 지연시켜 사용자에게 경제적 타격을 입히려는 행위를 의미한다.</t>
  </si>
  <si>
    <t>파업은 근로자의 주된 의무인 노무 제공 의무를 집단적으로 거부하는 행위이므로, 근로계약을 일방적으로 해지하는 의사표시로 보아 근로계약관계가 종료된다는 견해이다.</t>
  </si>
  <si>
    <t>파업은 노동조합의 주장 관철을 위한 일시적인 행위로서, 노무 제공 의무와 임금 지급 의무 등 주요 의무의 이행만을 일시적으로 정지시키고, 근로계약관계 자체는 유지된다는 견해이다.</t>
  </si>
  <si>
    <t>파업을 근로계약의 주요 내용인 노무 제공 의무를 이행하지 않는 상태로 보아, 계약의 이행이 파기되었으나, 근로계약관계 자체는 존속하는 것으로 보는 견해이다.</t>
  </si>
  <si>
    <t>특정 사업장이나 지역, 직종에서 오랜 기간에 걸쳐 반복된 관행이 노사 쌍방에게 법적 확신으로 승인되어 법규범으로 작용하는 것을 말한다.</t>
  </si>
  <si>
    <t>법의 형식은 아니지만 사실상 노동 관계에 영향을 미치거나 법적 분쟁 해결의 기준으로 원용되는 재판 기관의 판례나 행정 기관의 해석 등을 의미한다.</t>
  </si>
  <si>
    <t>업무 내용을 사용자가 구체적으로 지정하고 수행 방법에 대해 상당한 지휘・감독을 하는지 여부가 핵심 기준이다.</t>
  </si>
  <si>
    <t>근로자가 독자적인 사업자로서 자신의 계산으로 이익을 창출하거나 손실을 감수하는지 여부이다.</t>
  </si>
  <si>
    <t>기본급이나 고정급이 정해져 있고, 보수가 근로 자체의 대가인지 여부이다.</t>
  </si>
  <si>
    <t>근로 제공이 계속적이고 특정 사용자에게 전속되어 다른 업무의 겸직이 제한되는지 여부이다.</t>
  </si>
  <si>
    <t>4대 보험 등 사회보장제도에 근로자로서 가입되어 있는지와 근로소득세를 원천징수하는지 여부이다.</t>
  </si>
  <si>
    <t>사업주가 근로자에 대한 인사, 노무관리 등 사업 경영에 관한 전반적인 사항에 대하여 사실상 책임과 권한을 부여한 상태를 의미한다.</t>
  </si>
  <si>
    <t>근로자의 채용, 배치, 해고 등 인사 노무관리뿐만 아니라, 임금, 휴가, 안전보건, 근로시간 등 근로조건에 관련된 일체의 사항을 말한다.</t>
  </si>
  <si>
    <t>근로자에 대한 법적 의무를 자기의 이름으로 이행하는 것이 아니라, 사업주나 사업경영담당자의 의사를 대행하거나 보조하여 그 권한을 행사하는 자를 의미한다.</t>
  </si>
  <si>
    <t>특정 근로자나 근로자 집단을 합리적인 이유 없이 불리하게 대우하는 것을 의미한다.</t>
  </si>
  <si>
    <t>근로기준법이 정하는 기준에 미치지 못하는 근로 조건을 의미한다.</t>
  </si>
  <si>
    <t>근로자가 휴게시간 중에 사업주의 지배・관리 하에 있는 시설의 이용 또는 관리 소홀로 발생한 사고는 업무상 사고로 본다고 규정한다.</t>
    <phoneticPr fontId="3" type="noConversion"/>
  </si>
  <si>
    <t>법원(法原)</t>
    <phoneticPr fontId="3" type="noConversion"/>
  </si>
  <si>
    <t>열기2-01.노동법\02.문제\[기출][2][2019-2]부당노동행위의 주체로서 사용자 개념의 확장.txt</t>
  </si>
  <si>
    <t>열기2-01.노동법\02.문제\[기출][1][2010-1]해외연수 후 의무근로기간 약정 위반 시 연수비용 반환의 적법성 및 퇴직금과 연수비용의 상계 가능성.txt</t>
  </si>
  <si>
    <t>열기2-01.노동법\02.문제\[기출][1][2012-1-1]통상임금 범위를 규정한 취업규칙 조항의 효력.txt</t>
  </si>
  <si>
    <t>열기2-01.노동법\02.문제\[기출][1][2017-2]계약직에서 정규직으로 전환된 근로자에 대한 경력 인정 차별의 정당성 여부.txt</t>
  </si>
  <si>
    <t>열기2-01.노동법\02.문제\[기출][1][2008-2-1]근로기준법과 민법・산업재해보상보험법 간의 재해보상 관계.txt</t>
  </si>
  <si>
    <t>열기2-01.노동법\02.문제\[기출][2][2008-1]단체협약상 동의조항의 효력(노동조합의 동의권에 대한 범위), 경영권에 대한 단체교섭의 대상성.txt</t>
  </si>
  <si>
    <t>열기2-01.노동법\02.문제\[기출][2][2014-2]사용자의 언론의 자유와 부당노동행위의 관계.txt</t>
  </si>
  <si>
    <t>열기2-01.노동법\01.본문\제01장 노동법 총론.제01절 노동법의 법원.txt</t>
  </si>
  <si>
    <t>열기2-01.노동법\01.본문\제01장 노동법 총론.제02절 법원의 경합.txt</t>
  </si>
  <si>
    <t>열기2-01.노동법\01.본문\제01장 노동법 총론.제04절 근로기준법상 근로자.txt</t>
  </si>
  <si>
    <t>열기2-01.노동법\01.본문\제01장 노동법 총론.제05절 노조법상 근로자.txt</t>
  </si>
  <si>
    <t>열기2-01.노동법\01.본문\제01장 노동법 총론.제06절 근로기준법상 사용자.txt</t>
  </si>
  <si>
    <t>열기2-01.노동법\01.본문\제01장 노동법 총론.제07절 노조법상 사용자.txt</t>
  </si>
  <si>
    <t>열기2-01.노동법\01.본문\제02장 근로관계의 성립.제01절 근로기준법의 기본원칙.txt</t>
  </si>
  <si>
    <t>열기2-01.노동법\01.본문\제02장 근로관계의 성립.제02절 근로계약의 체결.txt</t>
  </si>
  <si>
    <t>열기2-01.노동법\01.본문\제02장 근로관계의 성립.제03절 근로계약과 근로관계.txt</t>
  </si>
  <si>
    <t>열기2-01.노동법\01.본문\제02장 근로관계의 성립.제04절 근로계약과 당사자의 권리 및 의무.txt</t>
  </si>
  <si>
    <t>열기2-01.노동법\01.본문\제03장 임금.제01절 임금의 의의.txt</t>
  </si>
  <si>
    <t>열기2-01.노동법\01.본문\제03장 임금.제02절 평균임금.txt</t>
  </si>
  <si>
    <t>열기2-01.노동법\01.본문\제03장 임금.제03절 통상임금.txt</t>
  </si>
  <si>
    <t>열기2-01.노동법\01.본문\제03장 임금.제04절 임금지급의 원칙.txt</t>
  </si>
  <si>
    <t>열기2-01.노동법\01.본문\제03장 임금.제05절 휴업수당.txt</t>
  </si>
  <si>
    <t>열기2-01.노동법\01.본문\제03장 임금.제06절 임금채권의 우선변제.txt</t>
  </si>
  <si>
    <t>열기2-01.노동법\01.본문\제04장 근로시간.제01절 근로시간.txt</t>
  </si>
  <si>
    <t>열기2-01.노동법\01.본문\제04장 근로시간.제02절 근로시간의 보호.txt</t>
  </si>
  <si>
    <t>열기2-01.노동법\01.본문\제04장 근로시간.제03절 시간외근로.txt</t>
  </si>
  <si>
    <t>열기2-01.노동법\01.본문\제04장 근로시간.제04절 휴게시간.txt</t>
  </si>
  <si>
    <t>열기2-01.노동법\01.본문\제04장 근로시간.제05절 휴일과 휴일근로.txt</t>
  </si>
  <si>
    <t>열기2-01.노동법\01.본문\제04장 근로시간.제06절 연차유급휴가.txt</t>
  </si>
  <si>
    <t>열기2-01.노동법\01.본문\제05장 취업규칙.제01절 취업규칙의 의의와 작성.txt</t>
  </si>
  <si>
    <t>열기2-01.노동법\01.본문\제05장 취업규칙.제02절 취업규칙의 변경.txt</t>
  </si>
  <si>
    <t>열기2-01.노동법\01.본문\제06장 인사처분.제01절 인사이동.txt</t>
  </si>
  <si>
    <t>열기2-01.노동법\01.본문\제06장 인사처분.제02절 전직.txt</t>
  </si>
  <si>
    <t>열기2-01.노동법\01.본문\제06장 인사처분.제03절 전적.txt</t>
  </si>
  <si>
    <t>열기2-01.노동법\01.본문\제06장 인사처분.제04절 휴직.txt</t>
  </si>
  <si>
    <t>열기2-01.노동법\01.본문\제06장 인사처분.제05절 징계.txt</t>
  </si>
  <si>
    <t>열기2-01.노동법\01.본문\제06장 인사처분.제06절 직위해제(대기발령).txt</t>
  </si>
  <si>
    <t>열기2-01.노동법\01.본문\제07장 근로관계의 이전.제01절 영업양도.txt</t>
  </si>
  <si>
    <t>열기2-01.노동법\01.본문\제07장 근로관계의 이전.제02절 합병.txt</t>
  </si>
  <si>
    <t>열기2-01.노동법\01.본문\제07장 근로관계의 이전.제03절 분할.txt</t>
  </si>
  <si>
    <t>열기2-01.노동법\01.본문\제08장 근로관계의 종료.제01절 근로관계 종료의 유형.txt</t>
  </si>
  <si>
    <t>열기2-01.노동법\01.본문\제08장 근로관계의 종료.제02절 해고의 실체적 정당성.txt</t>
  </si>
  <si>
    <t>열기2-01.노동법\01.본문\제08장 근로관계의 종료.제03절 해고의 절차적 정당성.txt</t>
  </si>
  <si>
    <t>열기2-01.노동법\01.본문\제08장 근로관계의 종료.제04절 부당해고의 구제.txt</t>
  </si>
  <si>
    <t>열기2-01.노동법\01.본문\제09장 비정규근로자.제01절 기간제근로자.txt</t>
  </si>
  <si>
    <t>열기2-01.노동법\01.본문\제09장 비정규근로자.제02절 단시간근로자.txt</t>
  </si>
  <si>
    <t>열기2-01.노동법\01.본문\제09장 비정규근로자.제03절 파견근로자.txt</t>
  </si>
  <si>
    <t>열기2-01.노동법\01.본문\제09장 비정규근로자.제04절 차별시정.txt</t>
  </si>
  <si>
    <t>열기2-01.노동법\01.본문\제10장 업무상 재해 등.제01절 업무상 재해.txt</t>
  </si>
  <si>
    <t>열기2-01.노동법\01.본문\제10장 업무상 재해 등.제02절 업무상 사고.txt</t>
  </si>
  <si>
    <t>열기2-01.노동법\01.본문\제10장 업무상 재해 등.제03절 업무상 질병.txt</t>
  </si>
  <si>
    <t>열기2-01.노동법\01.본문\제10장 업무상 재해 등.제04절 출퇴근 재해.txt</t>
  </si>
  <si>
    <t>열기2-01.노동법\01.본문\제11장 노동조합.제01절 노동조합의 설립요건.txt</t>
  </si>
  <si>
    <t>열기2-01.노동법\01.본문\제11장 노동조합.제02절 조합원의 지위 및 권리・의무.txt</t>
  </si>
  <si>
    <t>열기2-01.노동법\01.본문\제11장 노동조합.제03절 노동조합의 기구.txt</t>
  </si>
  <si>
    <t>열기2-01.노동법\01.본문\제11장 노동조합.제04절 조합활동의 정당성.txt</t>
  </si>
  <si>
    <t>열기2-01.노동법\01.본문\제11장 노동조합.제05절 사용자의 편의제공.txt</t>
  </si>
  <si>
    <t>열기2-01.노동법\01.본문\제11장 노동조합.제06절 노동조합의 내부통제권.txt</t>
  </si>
  <si>
    <t>열기2-01.노동법\01.본문\제11장 노동조합.제07절 노동조합의 합병・해산과 조직변경.txt</t>
  </si>
  <si>
    <t>열기2-01.노동법\01.본문\제12장 단체교섭.제01절 단체교섭의 당사자.txt</t>
  </si>
  <si>
    <t>열기2-01.노동법\01.본문\제12장 단체교섭.제02절 단체교섭의 담당자.txt</t>
  </si>
  <si>
    <t>열기2-01.노동법\01.본문\제12장 단체교섭.제03절 단체교섭의 대상.txt</t>
  </si>
  <si>
    <t>열기2-01.노동법\01.본문\제12장 단체교섭.제04절 교섭창구단일화제도.txt</t>
  </si>
  <si>
    <t>열기2-01.노동법\01.본문\제12장 단체교섭.제05절 인준투표제.txt</t>
  </si>
  <si>
    <t>열기2-01.노동법\01.본문\제12장 단체교섭.제06절 성실교섭의무.txt</t>
  </si>
  <si>
    <t>열기2-01.노동법\01.본문\제13장 단체협약.제01절 단체협약의 서설.txt</t>
  </si>
  <si>
    <t>열기2-01.노동법\01.본문\제13장 단체협약.제02절 단체협약의 성립.txt</t>
  </si>
  <si>
    <t>열기2-01.노동법\01.본문\제13장 단체협약.제03절 단체협약의 효력.txt</t>
  </si>
  <si>
    <t>열기2-01.노동법\01.본문\제13장 단체협약.제04절 평화의무.txt</t>
  </si>
  <si>
    <t>열기2-01.노동법\01.본문\제13장 단체협약.제05절 단체협약의 해석.txt</t>
  </si>
  <si>
    <t>열기2-01.노동법\01.본문\제13장 단체협약.제06절 단체협약의 중요조항.txt</t>
  </si>
  <si>
    <t>열기2-01.노동법\01.본문\제13장 단체협약.제07절 단체협약의 효력확장.txt</t>
  </si>
  <si>
    <t>열기2-01.노동법\01.본문\제13장 단체협약.제08절 단체협약의 실효 및 실효 후의 근로관계.txt</t>
  </si>
  <si>
    <t>열기2-01.노동법\01.본문\제14장 쟁의행위.제01절 쟁의행위 주체의 정당성.txt</t>
  </si>
  <si>
    <t>열기2-01.노동법\01.본문\제14장 쟁의행위.제02절 쟁의행위 목적의 정당성.txt</t>
  </si>
  <si>
    <t>열기2-01.노동법\01.본문\제14장 쟁의행위.제03절 쟁의행위 시기・절차의 정당성.txt</t>
  </si>
  <si>
    <t>열기2-01.노동법\01.본문\제14장 쟁의행위.제04절 쟁의행위 수단・방법의 정당성.txt</t>
  </si>
  <si>
    <t>열기2-01.노동법\01.본문\제14장 쟁의행위.제05절 준법투쟁.txt</t>
  </si>
  <si>
    <t>열기2-01.노동법\01.본문\제14장 쟁의행위.제06절 사용자의 쟁의행위.txt</t>
  </si>
  <si>
    <t>열기2-01.노동법\01.본문\제14장 쟁의행위.제07절 불법쟁의행위와 법적 책임.txt</t>
  </si>
  <si>
    <t>열기2-01.노동법\01.본문\제14장 쟁의행위.제08절 쟁의행위와 노사당사자 간의 법률관계.txt</t>
  </si>
  <si>
    <t>열기2-01.노동법\01.본문\제14장 쟁의행위.제09절 안전보호시설과 필수유지업무.txt</t>
  </si>
  <si>
    <t>열기2-01.노동법\01.본문\제14장 쟁의행위.제10절 쟁의기간 중 대체근로의 제한.txt</t>
  </si>
  <si>
    <t>열기2-01.노동법\01.본문\제15장 부당노동행위.제01절 부당노동행위제도의 의의.txt</t>
  </si>
  <si>
    <t>열기2-01.노동법\01.본문\제15장 부당노동행위.제02절 불이익취급.txt</t>
  </si>
  <si>
    <t>열기2-01.노동법\01.본문\제15장 부당노동행위.제03절 반조합계약(비열계약, 황견계약).txt</t>
  </si>
  <si>
    <t>열기2-01.노동법\01.본문\제15장 부당노동행위.제04절 단체교섭의 거부・해태.txt</t>
  </si>
  <si>
    <t>열기2-01.노동법\01.본문\제15장 부당노동행위.제05절 지배・개입.txt</t>
  </si>
  <si>
    <t>열기2-01.노동법\01.본문\제15장 부당노동행위.제06절 부당노동행위에 대한 구제.txt</t>
  </si>
  <si>
    <t>2018-1-2</t>
    <phoneticPr fontId="3" type="noConversion"/>
  </si>
  <si>
    <t>2015-1-ii</t>
    <phoneticPr fontId="3" type="noConversion"/>
  </si>
  <si>
    <t>2010-2</t>
    <phoneticPr fontId="3" type="noConversion"/>
  </si>
  <si>
    <t>계약직에서 정규직으로 전환된 근로자에 대한 경력 인정 차별의 정당성 여부</t>
  </si>
  <si>
    <t>경력 허위 기재가 근로계약의 효력에 미치는 영향과 회사의 조치에 대한 타당성 여부</t>
  </si>
  <si>
    <t>최우선변제 임금채권의 범위와 근저당권 채권에 대한 우선권 및 구체적 변제액 산출</t>
  </si>
  <si>
    <t>2021-1-2</t>
    <phoneticPr fontId="3" type="noConversion"/>
  </si>
  <si>
    <t>자동차 대리점에 근무하는 판매원의 노동조합법상 근로자성 판단 기준</t>
    <phoneticPr fontId="3" type="noConversion"/>
  </si>
  <si>
    <t>열기2-01.노동법\02.문제\[기출][2][2024-1-1]자동차 대리점에 근무하는 판매원의 노동조합법상 근로자성 판단 기준.txt</t>
    <phoneticPr fontId="3" type="noConversion"/>
  </si>
  <si>
    <t>노무제공자의 소득이 특정 노무이용자에게 주로 의존하고 있는지 여부이다.</t>
    <phoneticPr fontId="3" type="noConversion"/>
  </si>
  <si>
    <t>명목상 외주업체 소속 근로자의 실질적 사업주 판단 기준</t>
    <phoneticPr fontId="3" type="noConversion"/>
  </si>
  <si>
    <t>열기2-01.노동법\02.문제\[기출][1][2020-1-1]명목상 외주업체 소속 근로자의 실질적 사업주 판단 기준.txt</t>
    <phoneticPr fontId="3" type="noConversion"/>
  </si>
  <si>
    <t>노동조합법상 사용자</t>
    <phoneticPr fontId="3" type="noConversion"/>
  </si>
  <si>
    <t>노동조합법상 근로자</t>
    <phoneticPr fontId="3" type="noConversion"/>
  </si>
  <si>
    <t>2021-1-1</t>
    <phoneticPr fontId="3" type="noConversion"/>
  </si>
  <si>
    <t>설립신고를 하지 않은 초기업 노동조합 지부의 단체협약 체결 당사자 지위 인정 여부</t>
    <phoneticPr fontId="3" type="noConversion"/>
  </si>
  <si>
    <t>열기2-01.노동법\02.문제\[기출][2][2021-1-1]설립신고를 하지 않은 초기업 노동조합 지부의 단체협약 체결 당사자 지위 인정 여부.txt</t>
    <phoneticPr fontId="3" type="noConversion"/>
  </si>
  <si>
    <t>노동조합법상 노동조합 참가가 금지되는 사용자 및 그 이익대표자의 범위와 판단 기준</t>
    <phoneticPr fontId="3" type="noConversion"/>
  </si>
  <si>
    <t>열기2-01.노동법\02.문제\[기출][2][2012-2]노동조합법상 노동조합 참가가 금지되는 사용자 및 그 이익대표자의 범위와 판단 기준.txt</t>
    <phoneticPr fontId="3" type="noConversion"/>
  </si>
  <si>
    <t>산업안전보건법 위반 증거수집 목적의 생산공장 출입이 정당한 조합활동에 해당하는지 여부</t>
    <phoneticPr fontId="3" type="noConversion"/>
  </si>
  <si>
    <t>열기2-01.노동법\02.문제\[기출][2][2022-2]산업안전보건법 위반 증거수집 목적의 생산공장 출입이 정당한 조합활동에 해당하는지 여부.txt</t>
    <phoneticPr fontId="3" type="noConversion"/>
  </si>
  <si>
    <t>조합의 지지 정당 결정에 반하여 다른 정당을 지지한 조합원에 대한 제명처분의 효력</t>
    <phoneticPr fontId="3" type="noConversion"/>
  </si>
  <si>
    <t>열기2-01.노동법\02.문제\[기출][2][2013-2]조합의 지지 정당 결정에 반하여 다른 정당을 지지한 조합원에 대한 제명처분의 효력.txt</t>
    <phoneticPr fontId="3" type="noConversion"/>
  </si>
  <si>
    <t>초기업 노동조합 지회의 기업별 노동조합 조직형태 변경 결의의 유효성 여부</t>
    <phoneticPr fontId="3" type="noConversion"/>
  </si>
  <si>
    <t>열기2-01.노동법\02.문제\[기출][2][2019-1-2]초기업 노동조합 지회의 기업별 노동조합 조직형태 변경 결의의 유효성 여부.txt</t>
    <phoneticPr fontId="3" type="noConversion"/>
  </si>
  <si>
    <t>열기3-01.관련법령\01.노동법1\01-1.근로기준법(법률).txt</t>
  </si>
  <si>
    <t>열기3-01.관련법령\01.노동법1\01-2.근로기준법(시행령).txt</t>
  </si>
  <si>
    <t>열기3-01.관련법령\01.노동법1\01-3.근로기준법(시행규칙).txt</t>
  </si>
  <si>
    <t>열기3-01.관련법령\01.노동법1\07-1.파견근로자 보호 등에 관한 법률(법률).txt</t>
  </si>
  <si>
    <t>열기3-01.관련법령\01.노동법1\07-2.파견근로자 보호 등에 관한 법률(시행령).txt</t>
  </si>
  <si>
    <t>열기3-01.관련법령\01.노동법1\07-3.파견근로자 보호 등에 관한 법률(시행규칙).txt</t>
  </si>
  <si>
    <t>열기3-01.관련법령\01.노동법1\11-1.기간제 및 단시간근로자 보호 등에 관한 법률(법률).txt</t>
  </si>
  <si>
    <t>열기3-01.관련법령\01.노동법1\11-2.기간제 및 단시간근로자 보호 등에 관한 법률(시행령).txt</t>
  </si>
  <si>
    <t>열기3-01.관련법령\01.노동법1\11-3.기간제 및 단시간근로자 보호 등에 관한 법률(시행규칙).txt</t>
  </si>
  <si>
    <t>열기3-01.관련법령\01.노동법1\03-1.산업안전보건법(법률).txt</t>
  </si>
  <si>
    <t>열기3-01.관련법령\01.노동법1\03-2.산업안전보건법(시행령).txt</t>
  </si>
  <si>
    <t>열기3-01.관련법령\01.노동법1\03-3.산업안전보건법(시행규칙).txt</t>
  </si>
  <si>
    <t>열기3-01.관련법령\04.사회보험법\03-1.산업재해보상보험법(법률).txt</t>
  </si>
  <si>
    <t>열기3-01.관련법령\04.사회보험법\03-2.산업재해보상보험법(시행령).txt</t>
  </si>
  <si>
    <t>열기3-01.관련법령\04.사회보험법\03-3.산업재해보상보험법(시행규칙).txt</t>
  </si>
  <si>
    <t>열기3-01.관련법령\04.사회보험법\02-1.고용보험법(법률).txt</t>
  </si>
  <si>
    <t>열기3-01.관련법령\04.사회보험법\02-2.고용보험법(시행령).txt</t>
  </si>
  <si>
    <t>열기3-01.관련법령\04.사회보험법\02-3.고용보험법(시행규칙).txt</t>
  </si>
  <si>
    <t>열기3-01.관련법령\02.노동법2\01-1.노동조합 및 노동관계조정법(법률).txt</t>
  </si>
  <si>
    <t>열기3-01.관련법령\02.노동법2\01-2.노동조합 및 노동관계조정법(시행령).txt</t>
  </si>
  <si>
    <t>열기3-01.관련법령\02.노동법2\01-3.노동조합 및 노동관계조정법(시행규칙).txt</t>
  </si>
  <si>
    <t>열기3-01.관련법령\02.노동법2\03-1.근로자참여 및 협력증진에 관한 법률(법률).txt</t>
  </si>
  <si>
    <t>열기3-01.관련법령\02.노동법2\03-2.근로자참여 및 협력증진에 관한 법률(시행령).txt</t>
  </si>
  <si>
    <t>열기3-01.관련법령\02.노동법2\03-3.근로자참여 및 협력증진에 관한 법률(시행규칙).txt</t>
  </si>
  <si>
    <t>열기3-01.관련법령\02.노동법2\02-1.노동위원회법(법률).txt</t>
  </si>
  <si>
    <t>열기3-01.관련법령\02.노동법2\02-2.노동위원회법(시행령).txt</t>
  </si>
  <si>
    <t>열기3-01.관련법령\02.노동법2\02-3.노동위원회법(시행규칙).txt</t>
  </si>
  <si>
    <t>열기3-01.관련법령\02.노동법2\05-1.공무원의 노동조합 설립 및 운영 등에 관한 법률(법률).txt</t>
  </si>
  <si>
    <t>열기3-01.관련법령\02.노동법2\05-2.공무원의 노동조합 설립 및 운영 등에 관한 법률(시행령).txt</t>
  </si>
  <si>
    <t>열기3-01.관련법령\02.노동법2\05-3.공무원의 노동조합 설립 및 운영 등에 관한 법률(시행규칙).txt</t>
  </si>
  <si>
    <t>열기3-01.관련법령\02.노동법2\04-1.교원의 노동조합 설립 및 운영 등에 관한 법률(법률).txt</t>
  </si>
  <si>
    <t>열기3-01.관련법령\02.노동법2\04-2.교원의 노동조합 설립 및 운영 등에 관한 법률(시행령).txt</t>
  </si>
  <si>
    <t>열기3-01.관련법령\02.노동법2\04-3.교원의 노동조합 설립 및 운영 등에 관한 법률(시행규칙).txt</t>
  </si>
  <si>
    <t>열기3-01.관련법령\01.노동법1\10-1.근로자퇴직급여 보장법(법률).txt</t>
  </si>
  <si>
    <t>열기3-01.관련법령\01.노동법1\10-2.근로자퇴직급여 보장법(시행령).txt</t>
  </si>
  <si>
    <t>열기3-01.관련법령\01.노동법1\10-3.근로자퇴직급여 보장법(시행규칙).txt</t>
  </si>
  <si>
    <t>중도 퇴사자 대상 사이닝보너스 반환 청구의 타당성</t>
    <phoneticPr fontId="3" type="noConversion"/>
  </si>
  <si>
    <t>열기2-01.노동법\02.문제\[기출][1][2019-1-2]중도 퇴사자 대상 사이닝보너스 반환 청구의 타당성.txt</t>
    <phoneticPr fontId="3" type="noConversion"/>
  </si>
  <si>
    <t>시용기간 만료 시 본채용 거부의 해고 여부 및 구두 통보의 정당성</t>
    <phoneticPr fontId="3" type="noConversion"/>
  </si>
  <si>
    <t>열기2-01.노동법\02.문제\[기출][1][2016-2]시용기간 만료 시 본채용 거부의 해고 여부 및 구두 통보의 정당성.txt</t>
    <phoneticPr fontId="3" type="noConversion"/>
  </si>
  <si>
    <t>정기상여금의 고정성에 따른 통상임금 해당 여부</t>
    <phoneticPr fontId="3" type="noConversion"/>
  </si>
  <si>
    <t>열기2-01.노동법\02.문제\[기출][1][2022-2]정기상여금의 고정성에 따른 통상임금 해당 여부.txt</t>
    <phoneticPr fontId="3" type="noConversion"/>
  </si>
  <si>
    <t>판매용역계약을 체결한 판매원이 지급받은 수수료의 통상임금 해당 여부</t>
    <phoneticPr fontId="3" type="noConversion"/>
  </si>
  <si>
    <t>열기2-01.노동법\02.문제\[기출][1][2018-1-2]판매용역계약을 체결한 판매원이 지급받은 수수료의 통상임금 해당 여부.txt</t>
    <phoneticPr fontId="3" type="noConversion"/>
  </si>
  <si>
    <t>임금채권 양수자의 청구에 대한 사용자의 지급 의무</t>
    <phoneticPr fontId="3" type="noConversion"/>
  </si>
  <si>
    <t>열기2-01.노동법\02.문제\[기출][1][2019-2]임금채권 양수자의 청구에 대한 사용자의 지급 의무.txt</t>
    <phoneticPr fontId="3" type="noConversion"/>
  </si>
  <si>
    <t>근로자의 임금채권과 사용자의 채권 간 상계 가능성</t>
    <phoneticPr fontId="3" type="noConversion"/>
  </si>
  <si>
    <t>열기2-01.노동법\02.문제\[기출][1][2014-2]근로자의 임금채권과 사용자의 채권 간 상계 가능성.txt</t>
    <phoneticPr fontId="3" type="noConversion"/>
  </si>
  <si>
    <t>비조합원에 대한 불이익 취업규칙 적용의 효력</t>
    <phoneticPr fontId="3" type="noConversion"/>
  </si>
  <si>
    <t>열기2-01.노동법\02.문제\[기출][1][2021-1-1]비조합원에 대한 불이익 취업규칙 적용의 효력.txt</t>
    <phoneticPr fontId="3" type="noConversion"/>
  </si>
  <si>
    <t>개별 근로자 대상 근로계약 대비 불이익 취업규칙의 동의 없는 적용 가능 여부</t>
    <phoneticPr fontId="3" type="noConversion"/>
  </si>
  <si>
    <t>열기2-01.노동법\02.문제\[기출][1][2021-1-2]개별 근로자 대상 근로계약 대비 불이익 취업규칙의 동의 없는 적용 가능 여부.txt</t>
    <phoneticPr fontId="3" type="noConversion"/>
  </si>
  <si>
    <t>노동조합 동의 없이 개별 근로자의 동의로 변경한 인사규정의 효력</t>
    <phoneticPr fontId="3" type="noConversion"/>
  </si>
  <si>
    <t>열기2-01.노동법\02.문제\[기출][1][2015-1-i]노동조합 동의 없이 개별 근로자의 동의로 변경한 인사규정의 효력.txt</t>
    <phoneticPr fontId="3" type="noConversion"/>
  </si>
  <si>
    <t>노사협의회 의결을 거친 인사규정(취업규칙) 변경의 효력</t>
    <phoneticPr fontId="3" type="noConversion"/>
  </si>
  <si>
    <t>열기2-01.노동법\02.문제\[기출][1][2013-1-1]노사협의회 의결을 거친 인사규정(취업규칙) 변경의 효력.txt</t>
    <phoneticPr fontId="3" type="noConversion"/>
  </si>
  <si>
    <t>노사협의회 의결을 거친 인사규정(취업규칙)을 근거로 한 퇴직 통보의 효력</t>
    <phoneticPr fontId="3" type="noConversion"/>
  </si>
  <si>
    <t>열기2-01.노동법\02.문제\[기출][1][2013-1-2]노사협의회 의결을 거친 인사규정(취업규칙)을 근거로 한 퇴직 통보의 효력.txt</t>
    <phoneticPr fontId="3" type="noConversion"/>
  </si>
  <si>
    <t>노동조합 동의 없이 개별 근로자의 동의로 변경한 인사규정을 근거로 한 휴직 명령 유지의 정당성</t>
    <phoneticPr fontId="3" type="noConversion"/>
  </si>
  <si>
    <t>열기2-01.노동법\02.문제\[기출][1][2015-1-ii]노동조합 동의 없이 개별 근로자의 동의로 변경한 인사규정을 근거로 한 휴직 명령 유지의 정당성.txt</t>
    <phoneticPr fontId="3" type="noConversion"/>
  </si>
  <si>
    <t>열기2-01.노동법\02.문제\[기출][1][2023-1-2]절차의 흠결이 있는 징계의 효력에 대한 노조 대표자 주장의 타당성.txt</t>
    <phoneticPr fontId="3" type="noConversion"/>
  </si>
  <si>
    <t>근무성적 불량 직원에 대한 직위해제・대기발령 처분의 정당성</t>
    <phoneticPr fontId="3" type="noConversion"/>
  </si>
  <si>
    <t>열기2-01.노동법\02.문제\[기출][1][2014-1-1]근무성적 불량 직원에 대한 직위해제・대기발령 처분의 정당성.txt</t>
    <phoneticPr fontId="3" type="noConversion"/>
  </si>
  <si>
    <t>영업양도 상황에서 회사 잔류를 희망한 근로자의 해고에 대한 정당성</t>
    <phoneticPr fontId="3" type="noConversion"/>
  </si>
  <si>
    <t>열기2-01.노동법\02.문제\[기출][1][2024-1-2]영업양도 상황에서 회사 잔류를 희망한 근로자의 해고에 대한 정당성.txt</t>
    <phoneticPr fontId="3" type="noConversion"/>
  </si>
  <si>
    <t>영업양도 상황에서 근로관계 승계 거부 시 회사와 근로자의 법률 관계</t>
    <phoneticPr fontId="3" type="noConversion"/>
  </si>
  <si>
    <t>열기2-01.노동법\02.문제\[기출][1][2013-2]영업양도 상황에서 근로관계 승계 거부 시 회사와 근로자의 법률 관계.txt</t>
    <phoneticPr fontId="3" type="noConversion"/>
  </si>
  <si>
    <t>우선재고용의무 위반에 따른 근로자 지위 인정 여부</t>
    <phoneticPr fontId="3" type="noConversion"/>
  </si>
  <si>
    <t>열기2-01.노동법\02.문제\[기출][1][2025-1-1]우선재고용의무 위반에 따른 근로자 지위 인정 여부.txt</t>
    <phoneticPr fontId="3" type="noConversion"/>
  </si>
  <si>
    <t>우선재고용의무 위반 시 손해배상의무의 발생 시점 및 배상액 산정 방식(중간수입공제)</t>
    <phoneticPr fontId="3" type="noConversion"/>
  </si>
  <si>
    <t>열기2-01.노동법\02.문제\[기출][1][2025-1-2]우선재고용의무 위반 시 손해배상의무의 발생 시점 및 배상액 산정 방식(중간수입공제).txt</t>
    <phoneticPr fontId="3" type="noConversion"/>
  </si>
  <si>
    <t>경영상 이유에 의한 해고 대상자 선정 기준의 위법성</t>
    <phoneticPr fontId="3" type="noConversion"/>
  </si>
  <si>
    <t>열기2-01.노동법\02.문제\[기출][1][2019-1-1]경영상 이유에 의한 해고 대상자 선정 기준의 위법성.txt</t>
    <phoneticPr fontId="3" type="noConversion"/>
  </si>
  <si>
    <t>경영상 이유에 의한 해고 대상자 선정 기준에 대한 합리성 및 공정성</t>
    <phoneticPr fontId="3" type="noConversion"/>
  </si>
  <si>
    <t>열기2-01.노동법\02.문제\[기출][1][2023-1-1]경영상 이유에 의한 해고 대상자 선정 기준에 대한 합리성 및 공정성.txt</t>
    <phoneticPr fontId="3" type="noConversion"/>
  </si>
  <si>
    <t>확정되지 않은 징계사유로 단행된 해고의 정당성</t>
    <phoneticPr fontId="3" type="noConversion"/>
  </si>
  <si>
    <t>열기2-01.노동법\02.문제\[기출][1][2017-1-1]확정되지 않은 징계사유로 단행된 해고의 정당성.txt</t>
    <phoneticPr fontId="3" type="noConversion"/>
  </si>
  <si>
    <t>이력서 허위 기재를 근거로 한 해고의 정당성</t>
    <phoneticPr fontId="3" type="noConversion"/>
  </si>
  <si>
    <t>열기2-01.노동법\02.문제\[기출][1][2016-1-2]이력서 허위 기재를 근거로 한 해고의 정당성.txt</t>
    <phoneticPr fontId="3" type="noConversion"/>
  </si>
  <si>
    <t>2016-2</t>
    <phoneticPr fontId="3" type="noConversion"/>
  </si>
  <si>
    <t>기간제 근로자와 회사가 주장할 수 있는 해고 관련 노동법상 쟁점(해고의 절차 및 구제신청의 이익)</t>
    <phoneticPr fontId="3" type="noConversion"/>
  </si>
  <si>
    <t>열기2-01.노동법\02.문제\[기출][1][2011-2]기간제 근로자와 회사가 주장할 수 있는 해고 관련 노동법상 쟁점(해고의 절차 및 구제신청의 이익).txt</t>
    <phoneticPr fontId="3" type="noConversion"/>
  </si>
  <si>
    <t>정년 도달로 근로관계가 종료된 경우 부당해고 재심판정취소소송의 소의 이익 존부</t>
    <phoneticPr fontId="3" type="noConversion"/>
  </si>
  <si>
    <t>열기2-01.노동법\02.문제\[기출][1][2021-2]정년 도달로 근로관계가 종료된 경우 부당해고 재심판정취소소송의 소의 이익 존부.txt</t>
    <phoneticPr fontId="3" type="noConversion"/>
  </si>
  <si>
    <t>기간제 근로자에 대한 근무평가 결과에 기초한 갱신거절 통보의 정당성 여부</t>
    <phoneticPr fontId="3" type="noConversion"/>
  </si>
  <si>
    <t>열기2-01.노동법\02.문제\[기출][1][2024-1-1]기간제 근로자에 대한 근무평가 결과에 기초한 갱신거절 통보의 정당성 여부.txt</t>
    <phoneticPr fontId="3" type="noConversion"/>
  </si>
  <si>
    <t>기간제 근로계약 만료 시 사용자의 갱신거절이 부당해고에 해당하는지에 관한 판례법리</t>
    <phoneticPr fontId="3" type="noConversion"/>
  </si>
  <si>
    <t>열기2-01.노동법\02.문제\[기출][1][2018-2]기간제 근로계약 만료 시 사용자의 갱신거절이 부당해고에 해당하는지에 관한 판례법리.txt</t>
    <phoneticPr fontId="3" type="noConversion"/>
  </si>
  <si>
    <t>근로계약관계의 실질적 사용자 및 계약의 형태(도급, 전적, 파견)에 따른 직접고용의무 판단</t>
    <phoneticPr fontId="3" type="noConversion"/>
  </si>
  <si>
    <t>열기2-01.노동법\02.문제\[기출][1][2023-2]근로계약관계의 실질적 사용자 및 계약의 형태(도급, 전적, 파견)에 따른 직접고용의무 판단.txt</t>
    <phoneticPr fontId="3" type="noConversion"/>
  </si>
  <si>
    <t>산별노동조합 지회의 단체교섭 주체성 인정 여부, 사업부 매각 결정(경영권)의 단체교섭 대상성 여부</t>
    <phoneticPr fontId="3" type="noConversion"/>
  </si>
  <si>
    <t>열기2-01.노동법\02.문제\[기출][2][2011-1]산별노동조합 지회의 단체교섭 주체성 인정 여부, 사업부 매각 결정(경영권)의 단체교섭 대상성 여부.txt</t>
    <phoneticPr fontId="3" type="noConversion"/>
  </si>
  <si>
    <t>도급 또는 파견 계약 관계에서 노조법상 사용자로서 단체교섭 의무 부담 여부</t>
    <phoneticPr fontId="3" type="noConversion"/>
  </si>
  <si>
    <t>열기2-01.노동법\02.문제\[기출][2][2009-1]도급 또는 파견 계약 관계에서 노조법상 사용자로서 단체교섭 의무 부담 여부.txt</t>
    <phoneticPr fontId="3" type="noConversion"/>
  </si>
  <si>
    <t>2011-1</t>
    <phoneticPr fontId="3" type="noConversion"/>
  </si>
  <si>
    <t>직군이 다른 노동조합(사무직과 생산직)의 교섭단위 분리 신청 인정 여부</t>
    <phoneticPr fontId="3" type="noConversion"/>
  </si>
  <si>
    <t>열기2-01.노동법\02.문제\[기출][2][2025-1-1]직군이 다른 노동조합(사무직과 생산직)의 교섭단위 분리 신청 인정 여부.txt</t>
    <phoneticPr fontId="3" type="noConversion"/>
  </si>
  <si>
    <t>교섭대표노동조합의 공정대표의무 위반 여부</t>
    <phoneticPr fontId="3" type="noConversion"/>
  </si>
  <si>
    <t>열기2-01.노동법\02.문제\[기출][2][2024-2]교섭대표노동조합의 공정대표의무 위반 여부.txt</t>
    <phoneticPr fontId="3" type="noConversion"/>
  </si>
  <si>
    <t>특별노사합의를 통한 고정상여금 미지급 결정의 효력 및 조합원 개별 동의의 필요성 여부</t>
    <phoneticPr fontId="3" type="noConversion"/>
  </si>
  <si>
    <t>열기2-01.노동법\02.문제\[기출][2][2012-1-1]특별노사합의를 통한 고정상여금 미지급 결정의 효력 및 조합원 개별 동의의 필요성 여부.txt</t>
    <phoneticPr fontId="3" type="noConversion"/>
  </si>
  <si>
    <t>특별노사합의를 통한 무단결근 면직기준 단축의 효력 및 조합원에 대한 적용 정당성 여부</t>
    <phoneticPr fontId="3" type="noConversion"/>
  </si>
  <si>
    <t>열기2-01.노동법\02.문제\[기출][2][2012-1-2]특별노사합의를 통한 무단결근 면직기준 단축의 효력 및 조합원에 대한 적용 정당성 여부.txt</t>
    <phoneticPr fontId="3" type="noConversion"/>
  </si>
  <si>
    <t>특별단체협약상 정리해고에 대한 합의 조항을 협의로 변형 해석할 수 있는지 여부</t>
    <phoneticPr fontId="3" type="noConversion"/>
  </si>
  <si>
    <t>열기2-01.노동법\02.문제\[기출][2][2014-1-1]특별단체협약상 정리해고에 대한 합의 조항을 협의로 변형 해석할 수 있는지 여부.txt</t>
    <phoneticPr fontId="3" type="noConversion"/>
  </si>
  <si>
    <t>단체협약 만료 후 법정연장기간 내에 노동조합과의 사전합의 없이 행해진 해고의 효력</t>
    <phoneticPr fontId="3" type="noConversion"/>
  </si>
  <si>
    <t>열기2-01.노동법\02.문제\[기출][2][2010-1]단체협약 만료 후 법정연장기간 내에 노동조합과의 사전합의 없이 행해진 해고의 효력.txt</t>
    <phoneticPr fontId="3" type="noConversion"/>
  </si>
  <si>
    <t>임금협약의 유효기간 중 재교섭을 요구하며 개시한 파업의 정당성 여부</t>
    <phoneticPr fontId="3" type="noConversion"/>
  </si>
  <si>
    <t>열기2-01.노동법\02.문제\[기출][2][2021-2]임금협약의 유효기간 중 재교섭을 요구하며 개시한 파업의 정당성 여부.txt</t>
    <phoneticPr fontId="3" type="noConversion"/>
  </si>
  <si>
    <t>직장폐쇄 후 조합원들의 임원회의실 점거 지속 및 퇴거요구 불응에 따른 정당성 상실 여부</t>
    <phoneticPr fontId="3" type="noConversion"/>
  </si>
  <si>
    <t>열기2-01.노동법\02.문제\[기출][2][2018-2]직장폐쇄 후 조합원들의 임원회의실 점거 지속 및 퇴거요구 불응에 따른 정당성 상실 여부.txt</t>
    <phoneticPr fontId="3" type="noConversion"/>
  </si>
  <si>
    <t>근로자의 집단적 연장근로 거부 및 태업에 대응하여 단행한 사용자의 직장폐쇄 개시 및 유지의 정당성 여부</t>
    <phoneticPr fontId="3" type="noConversion"/>
  </si>
  <si>
    <t>열기2-01.노동법\02.문제\[기출][2][2017-1-2]근로자의 집단적 연장근로 거부 및 태업에 대응하여 단행한 사용자의 직장폐쇄 개시 및 유지의 정당성 여부.txt</t>
    <phoneticPr fontId="3" type="noConversion"/>
  </si>
  <si>
    <t>사용자의 정당한 직장폐쇄의 개념, 요건, 법적 효과</t>
    <phoneticPr fontId="3" type="noConversion"/>
  </si>
  <si>
    <t>열기2-01.노동법\02.문제\[기출][2][2015-2]사용자의 정당한 직장폐쇄의 개념, 요건, 법적 효과.txt</t>
    <phoneticPr fontId="3" type="noConversion"/>
  </si>
  <si>
    <t>열기2-01.노동법\02.문제\[기출][2][2022-1-2]용역업체의 대체근로 저지행위에 대한 형사상 위법성 여부.txt</t>
    <phoneticPr fontId="3" type="noConversion"/>
  </si>
  <si>
    <t>용역업체의 대체근로 저지행위에 대한 형사상 위법성 여부</t>
    <phoneticPr fontId="3" type="noConversion"/>
  </si>
  <si>
    <t>2018-1-1</t>
    <phoneticPr fontId="3" type="noConversion"/>
  </si>
  <si>
    <t>2024-1-1</t>
    <phoneticPr fontId="3" type="noConversion"/>
  </si>
  <si>
    <t>2020-1-1</t>
    <phoneticPr fontId="3" type="noConversion"/>
  </si>
  <si>
    <t>2019-2</t>
    <phoneticPr fontId="3" type="noConversion"/>
  </si>
  <si>
    <t>2012-2</t>
    <phoneticPr fontId="3" type="noConversion"/>
  </si>
  <si>
    <t>2022-2</t>
    <phoneticPr fontId="3" type="noConversion"/>
  </si>
  <si>
    <t>2014-2</t>
    <phoneticPr fontId="3" type="noConversion"/>
  </si>
  <si>
    <t>2008-2-2</t>
    <phoneticPr fontId="3" type="noConversion"/>
  </si>
  <si>
    <t>2016-1-1</t>
    <phoneticPr fontId="3" type="noConversion"/>
  </si>
  <si>
    <t>2023-1-2</t>
    <phoneticPr fontId="3" type="noConversion"/>
  </si>
  <si>
    <t>2014-1-1</t>
    <phoneticPr fontId="3" type="noConversion"/>
  </si>
  <si>
    <t>2013-2</t>
    <phoneticPr fontId="3" type="noConversion"/>
  </si>
  <si>
    <t>2015-2</t>
    <phoneticPr fontId="3" type="noConversion"/>
  </si>
  <si>
    <t>2023-1-1</t>
    <phoneticPr fontId="3" type="noConversion"/>
  </si>
  <si>
    <t>2022-1-2</t>
    <phoneticPr fontId="3" type="noConversion"/>
  </si>
  <si>
    <t>2018-2</t>
    <phoneticPr fontId="3" type="noConversion"/>
  </si>
  <si>
    <t>2017-2</t>
    <phoneticPr fontId="3" type="noConversion"/>
  </si>
  <si>
    <t>2020-2</t>
    <phoneticPr fontId="3" type="noConversion"/>
  </si>
  <si>
    <t>2019-1-2</t>
    <phoneticPr fontId="3" type="noConversion"/>
  </si>
  <si>
    <t>2023-2</t>
    <phoneticPr fontId="3" type="noConversion"/>
  </si>
  <si>
    <t>2013-1-1</t>
    <phoneticPr fontId="3" type="noConversion"/>
  </si>
  <si>
    <t>2013-1-2</t>
    <phoneticPr fontId="3" type="noConversion"/>
  </si>
  <si>
    <t>2017-1-2</t>
    <phoneticPr fontId="3" type="noConversion"/>
  </si>
  <si>
    <t>2016-1-2</t>
    <phoneticPr fontId="3" type="noConversion"/>
  </si>
  <si>
    <t>2025-1-2</t>
    <phoneticPr fontId="3" type="noConversion"/>
  </si>
  <si>
    <t>대체인력 투입이 대체근로 제한에 위배되어 위법한지 여부</t>
    <phoneticPr fontId="3" type="noConversion"/>
  </si>
  <si>
    <t>열기2-01.노동법\02.문제\[기출][2][2020-1-1]대체인력 투입이 대체근로 제한에 위배되어 위법한지 여부.txt</t>
    <phoneticPr fontId="3" type="noConversion"/>
  </si>
  <si>
    <t>열기2-01.노동법\02.문제\[기출][2][2020-1-2]대체인력 투입의 지배・개입 부당노동행위 성립 여부.txt</t>
    <phoneticPr fontId="3" type="noConversion"/>
  </si>
  <si>
    <t>카마스터들에 대한 용역계약 해지의 불이익 취급 부당노동행위 성립 여부 및 사유 정당성</t>
    <phoneticPr fontId="3" type="noConversion"/>
  </si>
  <si>
    <t>열기2-01.노동법\02.문제\[기출][2][2024-1-2]카마스터들에 대한 용역계약 해지의 불이익 취급 부당노동행위 성립 여부 및 사유 정당성.txt</t>
    <phoneticPr fontId="3" type="noConversion"/>
  </si>
  <si>
    <t>대체인력 투입의 지배・개입 부당노동행위 성립 여부</t>
    <phoneticPr fontId="3" type="noConversion"/>
  </si>
  <si>
    <t>정리해고의 불이익 취급 부당노동행위 성립에 관한 입증책임의 소재 및 구체적인 입증방법</t>
    <phoneticPr fontId="3" type="noConversion"/>
  </si>
  <si>
    <t>열기2-01.노동법\02.문제\[기출][2][2016-1-2]정리해고의 불이익 취급 부당노동행위 성립에 관한 입증책임의 소재 및 구체적인 입증방법.txt</t>
    <phoneticPr fontId="3" type="noConversion"/>
  </si>
  <si>
    <t>사내 무단 유인물 배포를 이유로 한 징계해고의 정당성 및 불이익취급 부당노동행위 성립 여부</t>
    <phoneticPr fontId="3" type="noConversion"/>
  </si>
  <si>
    <t>열기2-01.노동법\02.문제\[기출][2][2015-1]사내 무단 유인물 배포를 이유로 한 징계해고의 정당성 및 불이익취급 부당노동행위 성립 여부.txt</t>
    <phoneticPr fontId="3" type="noConversion"/>
  </si>
  <si>
    <t>규약상 교섭안 마련 및 조합원 총의 수렴 조항을 이유로 한 사용자의 단체교섭 거부의 정당성 여부</t>
    <phoneticPr fontId="3" type="noConversion"/>
  </si>
  <si>
    <t>열기2-01.노동법\02.문제\[기출][2][2018-1-1]규약상 교섭안 마련 및 조합원 총의 수렴 조항을 이유로 한 사용자의 단체교섭 거부의 정당성 여부.txt</t>
    <phoneticPr fontId="3" type="noConversion"/>
  </si>
  <si>
    <t>법원의 가처분 결정 이후 사용자의 단체교섭 계속 거부의 불법행위 성립 여부</t>
    <phoneticPr fontId="3" type="noConversion"/>
  </si>
  <si>
    <t>열기2-01.노동법\02.문제\[기출][2][2018-1-2]법원의 가처분 결정 이후 사용자의 단체교섭 계속 거부의 불법행위 성립 여부.txt</t>
    <phoneticPr fontId="3" type="noConversion"/>
  </si>
  <si>
    <t>근로시간면제한도를 현저히 초과하여 체결한 단체협약의 부당노동행위 성립 여부</t>
    <phoneticPr fontId="3" type="noConversion"/>
  </si>
  <si>
    <t>열기2-01.노동법\02.문제\[기출][2][2017-2]근로시간면제한도를 현저히 초과하여 체결한 단체협약의 부당노동행위 성립 여부.txt</t>
    <phoneticPr fontId="3" type="noConversion"/>
  </si>
  <si>
    <t>열기2-01.노동법\02.문제\[기출][2][2025-1-2]하위 인사고과 부여 및 이에 따른 임금 감액의 부당노동행위 구제신청기간 도과 여부.txt</t>
    <phoneticPr fontId="3" type="noConversion"/>
  </si>
  <si>
    <t>화학물질 누출 사고에 따른 근로자 및 노동조합 위원장의 작업중지권 행사의 정당성 여부</t>
    <phoneticPr fontId="3" type="noConversion"/>
  </si>
  <si>
    <t>열기2-01.노동법\02.문제\[기출][1][2025-2]화학물질 누출 사고에 따른 근로자 및 노동조합 위원장의 작업중지권 행사의 정당성 여부.txt</t>
    <phoneticPr fontId="3" type="noConversion"/>
  </si>
  <si>
    <t>매월 균분하여 지급받은 퇴직금 분할 약정의 효력</t>
    <phoneticPr fontId="3" type="noConversion"/>
  </si>
  <si>
    <t>열기2-01.노동법\02.문제\[기출][1][2017-1-2]매월 균분하여 지급받은 퇴직금 분할 약정의 효력.txt</t>
    <phoneticPr fontId="3" type="noConversion"/>
  </si>
  <si>
    <t>10.02-1</t>
    <phoneticPr fontId="3" type="noConversion"/>
  </si>
  <si>
    <t>10.02-2</t>
    <phoneticPr fontId="3" type="noConversion"/>
  </si>
  <si>
    <t>10.03-1</t>
    <phoneticPr fontId="3" type="noConversion"/>
  </si>
  <si>
    <t>10.03-2</t>
    <phoneticPr fontId="3" type="noConversion"/>
  </si>
  <si>
    <t>10.04-1</t>
    <phoneticPr fontId="3" type="noConversion"/>
  </si>
  <si>
    <t>10.04-2</t>
    <phoneticPr fontId="3" type="noConversion"/>
  </si>
  <si>
    <t>11.02-1</t>
    <phoneticPr fontId="3" type="noConversion"/>
  </si>
  <si>
    <t>11.02-2</t>
    <phoneticPr fontId="3" type="noConversion"/>
  </si>
  <si>
    <t>11.03-1</t>
    <phoneticPr fontId="3" type="noConversion"/>
  </si>
  <si>
    <t>11.03-2</t>
    <phoneticPr fontId="3" type="noConversion"/>
  </si>
  <si>
    <t>11.05-1</t>
    <phoneticPr fontId="3" type="noConversion"/>
  </si>
  <si>
    <t>11.05-2</t>
    <phoneticPr fontId="3" type="noConversion"/>
  </si>
  <si>
    <t>12.06-1</t>
    <phoneticPr fontId="3" type="noConversion"/>
  </si>
  <si>
    <t>12.06-2</t>
    <phoneticPr fontId="3" type="noConversion"/>
  </si>
  <si>
    <t>13.02-1</t>
    <phoneticPr fontId="3" type="noConversion"/>
  </si>
  <si>
    <t>13.02-2</t>
    <phoneticPr fontId="3" type="noConversion"/>
  </si>
  <si>
    <t>13.04-1</t>
    <phoneticPr fontId="3" type="noConversion"/>
  </si>
  <si>
    <t>13.04-2</t>
    <phoneticPr fontId="3" type="noConversion"/>
  </si>
  <si>
    <t>13.07-1</t>
    <phoneticPr fontId="3" type="noConversion"/>
  </si>
  <si>
    <t>13.07-2</t>
    <phoneticPr fontId="3" type="noConversion"/>
  </si>
  <si>
    <t>14.07-1</t>
    <phoneticPr fontId="3" type="noConversion"/>
  </si>
  <si>
    <t>14.07-2</t>
    <phoneticPr fontId="3" type="noConversion"/>
  </si>
  <si>
    <t>14.08-1</t>
    <phoneticPr fontId="3" type="noConversion"/>
  </si>
  <si>
    <t>14.08-2</t>
    <phoneticPr fontId="3" type="noConversion"/>
  </si>
  <si>
    <t>14.09-1</t>
    <phoneticPr fontId="3" type="noConversion"/>
  </si>
  <si>
    <t>14.09-2</t>
    <phoneticPr fontId="3" type="noConversion"/>
  </si>
  <si>
    <t>15.03-1</t>
    <phoneticPr fontId="3" type="noConversion"/>
  </si>
  <si>
    <t>15.03-2</t>
    <phoneticPr fontId="3" type="noConversion"/>
  </si>
  <si>
    <t>본문</t>
    <phoneticPr fontId="3" type="noConversion"/>
  </si>
  <si>
    <t>본문</t>
    <phoneticPr fontId="3" type="noConversion"/>
  </si>
  <si>
    <t>열기2-01.노동법\02.문제\[기출][2][2014-1-2]단체협약상 규정된 합의 없이 실시한 정리해고의 유효성.txt</t>
  </si>
  <si>
    <t>열기2-01.노동법\02.문제\[기출][2][2021-1-1]설립신고를 하지 않은 초기업 노동조합 지부의 단체협약 체결 당사자 지위 인정 여부.txt</t>
  </si>
  <si>
    <t>기출</t>
    <phoneticPr fontId="3" type="noConversion"/>
  </si>
  <si>
    <t>구분</t>
    <phoneticPr fontId="3" type="noConversion"/>
  </si>
  <si>
    <t>열기3-01.관련법령\01.노동법1\01-1.근로기준법(법률).txt</t>
    <phoneticPr fontId="3" type="noConversion"/>
  </si>
  <si>
    <t>예비적 병합</t>
    <phoneticPr fontId="3" type="noConversion"/>
  </si>
  <si>
    <t>1</t>
    <phoneticPr fontId="3" type="noConversion"/>
  </si>
  <si>
    <t>2</t>
    <phoneticPr fontId="3" type="noConversion"/>
  </si>
  <si>
    <t>01</t>
    <phoneticPr fontId="3" type="noConversion"/>
  </si>
  <si>
    <t>02</t>
    <phoneticPr fontId="3" type="noConversion"/>
  </si>
  <si>
    <t>제07장 근로관계의 이전</t>
    <phoneticPr fontId="3" type="noConversion"/>
  </si>
  <si>
    <t>04</t>
    <phoneticPr fontId="3" type="noConversion"/>
  </si>
  <si>
    <t>05</t>
    <phoneticPr fontId="3" type="noConversion"/>
  </si>
  <si>
    <t>07</t>
    <phoneticPr fontId="3" type="noConversion"/>
  </si>
  <si>
    <t>08</t>
    <phoneticPr fontId="3" type="noConversion"/>
  </si>
  <si>
    <t>매출처 파업 및 창고 부족으로 인한 휴업의 사용자 귀책사유 해당 여부</t>
    <phoneticPr fontId="3" type="noConversion"/>
  </si>
  <si>
    <t>사용자의 직장폐쇄 중 수임 상급단체의 단체교섭 요구를 계속적으로 거부한 행위의 부당노동행위 성립 여부</t>
    <phoneticPr fontId="3" type="noConversion"/>
  </si>
  <si>
    <t>열기2-01.노동법\02.문제\[기출][2][2023-1-1]사용자의 직장폐쇄 중 수임 상급단체의 단체교섭 요구를 계속적으로 거부한 행위의 부당노동행위 성립 여부.txt</t>
    <phoneticPr fontId="3" type="noConversion"/>
  </si>
  <si>
    <t>단체교섭 중 사용자의 구체적 대안 제시 거부 및 경영 자료 제공 거부의 부당노동행위 성립 여부</t>
    <phoneticPr fontId="3" type="noConversion"/>
  </si>
  <si>
    <t>정년연장형 임금피크제의 유효성 판단</t>
  </si>
  <si>
    <t>노동위원회 등에 제출하기 위해 상대방 동의 없이 녹음한 행위의 위법성 여부</t>
  </si>
  <si>
    <t>소수노조 대상 노조사무실 미제공의 공정대표의무 위반 여부</t>
    <phoneticPr fontId="3" type="noConversion"/>
  </si>
  <si>
    <t>열기2-01.노동법\02.문제\[기출][2][2020-2]소수노조 대상 노조사무실 미제공의 공정대표의무 위반 여부.txt</t>
    <phoneticPr fontId="3" type="noConversion"/>
  </si>
  <si>
    <t>비조합원에 대한 징계처분 시 단체협약상 재심절차 준수 필요 여부</t>
    <phoneticPr fontId="3" type="noConversion"/>
  </si>
  <si>
    <t>열기2-01.노동법\02.문제\[기출][2][2016-2]비조합원에 대한 징계처분 시 단체협약상 재심절차 준수 필요 여부.txt</t>
    <phoneticPr fontId="3" type="noConversion"/>
  </si>
  <si>
    <t>이론</t>
    <phoneticPr fontId="3" type="noConversion"/>
  </si>
  <si>
    <t>기출</t>
  </si>
  <si>
    <t>운송사업 위수탁계약 체결 후 상품을 슈퍼에 배송하는 지입 화물기사의 노조법상 근로자성</t>
    <phoneticPr fontId="3" type="noConversion"/>
  </si>
  <si>
    <t>도구 개념으로서의 소정근로시간</t>
    <phoneticPr fontId="3" type="noConversion"/>
  </si>
  <si>
    <t>단체교섭응낙가처분의 인정 여부</t>
    <phoneticPr fontId="3" type="noConversion"/>
  </si>
  <si>
    <t>열기2-01.노동법\03.판례\[광주고등법원 2025.02.05. 자 2024라1091 결정]단체교섭응낙가처분의 인정 여부.txt</t>
    <phoneticPr fontId="3" type="noConversion"/>
  </si>
  <si>
    <t>열기2-01.노동법\03.판례\[서울고등법원 2024.10.11. 선고 2022누47966 판결]사실상 노무에 종사하는 공무원(우정직)의 근무조건에 우선 적용되는 법규범.txt</t>
    <phoneticPr fontId="3" type="noConversion"/>
  </si>
  <si>
    <t>열기2-01.노동법\03.판례\[대법원 2024.10.25. 선고 2023두37391 판결]국제근로관계에서 근로기준법이 적용되는 사업 또는 사업장의 판단 기준.txt</t>
    <phoneticPr fontId="3" type="noConversion"/>
  </si>
  <si>
    <t>열기2-01.노동법\03.판례\[서울중앙지방법원 2024.11.07. 선고 2022가합539881 판결]유튜브 스태프의 근로자성과 도급근로자로서의 최저임금.txt</t>
    <phoneticPr fontId="3" type="noConversion"/>
  </si>
  <si>
    <t>열기2-01.노동법\03.판례\[부산지방법원 동부지원 2025.01.15. 선고 2023고단1327 판결]레미콘 지입차주의 노동조합법상 근로자 해당 여부.txt</t>
    <phoneticPr fontId="3" type="noConversion"/>
  </si>
  <si>
    <t>열기2-01.노동법\03.판례\[서울행정법원 2025.05.15. 선고 2023구합78255 판결]운송사업 위수탁계약 체결 후 상품을 슈퍼에 배송하는 지입 화물기사의 노조법상 근로자성.txt</t>
    <phoneticPr fontId="3" type="noConversion"/>
  </si>
  <si>
    <t>열기2-01.노동법\03.판례\[서울고등법원 2024.11.08. 선고 2023누52910 판결]도급인(화물운송회사)과 직접 계약을 하지 않은 운송기사에게 실질 권한 행사시 근로기준법상 관계.txt</t>
    <phoneticPr fontId="3" type="noConversion"/>
  </si>
  <si>
    <t>열기2-01.노동법\03.판례\[서울중앙지방법원 2025.02.18. 선고 2023나64678 판결]균등처우조항에서의 사회적 신분과 비교대상자의 의미와 판단기준.txt</t>
    <phoneticPr fontId="3" type="noConversion"/>
  </si>
  <si>
    <t>열기2-01.노동법\03.판례\[광주고등법원 2025.06.12. 선고 2024나23049 판결]기간제 근로계약으로 포장된 시용 근로계약.txt</t>
  </si>
  <si>
    <t>열기2-01.노동법\03.판례\[서울행정법원 2025.11.06. 선고 2024구합85373 판결]채용과정에서의 견습과 법적 판단.txt</t>
  </si>
  <si>
    <t>열기2-01.노동법\03.판례\[대법원 2025.07.03. 선고 2025다210741 판결]채용비리를 이유로 한 근로계약의 취소.txt</t>
  </si>
  <si>
    <t>열기2-01.노동법\03.판례\[수원지방법원 성남지원 2025.07.15. 선고 2024가합204074 판결]정년연장형 임금피크제의 유효성 판단.txt</t>
  </si>
  <si>
    <t>열기2-01.노동법\03.판례\[대법원 2024.12.19. 선고 2020다247190 전원합의체 판결]통상임금의 판단기준에 관한 판례 법리의 변경.txt</t>
  </si>
  <si>
    <t>열기2-01.노동법\03.판례\[대법원 2025.06.12. 선고 2025다209645 판결]임금 대리수령 동의의 효력.txt</t>
  </si>
  <si>
    <t>열기2-01.노동법\03.판례\[대법원 2024.11.14. 선고 2021다220062 판결]당직 및 콜 대기 시간의 근로시간 해당 여부.txt</t>
  </si>
  <si>
    <t>열기2-01.노동법\03.판례\[전주지방법원 2025.07.17. 선고 2022가합52925 판결]대학교 강사의 강의시간 외 부수업무 시간까지 포함하여 주당 근로시간을 해석한 사례.txt</t>
  </si>
  <si>
    <t>열기2-01.노동법\03.판례\[대법원 2024.12.26. 선고 2023다200314 판결]도구 개념으로서의 소정근로시간.txt</t>
  </si>
  <si>
    <t>열기2-01.노동법\03.판례\[대법원 2025.07.17. 선고 2021도11886 판결]연차유급휴가 시기변경권 행사의 적법성 판단기준.txt</t>
  </si>
  <si>
    <t>열기2-01.노동법\03.판례\[대법원 2025.02.20. 선고 2024다293092 판결]취업규칙의 변경이 근로자에게 불이익한지 여부를 판단하는 방식.txt</t>
  </si>
  <si>
    <t>열기2-01.노동법\03.판례\[서울행정법원 2025.03.20. 선고 2023구합86690 판결]부당인사명령의 판단 구조.txt</t>
  </si>
  <si>
    <t>열기2-01.노동법\03.판례\[서울고등법원 2025.07.11. 선고 2024나2030688 판결]노동조합의 사전합의권 남용 법리와 근로계약 변경에 대한 개별 동의권 배제.txt</t>
  </si>
  <si>
    <t>열기2-01.노동법\03.판례\[수원지방법원 안양지원 2025.02.20. 선고 2023가단113982 판결]용역업체 간 고용승계 시 적용되는 근로조건.txt</t>
  </si>
  <si>
    <t>열기2-01.노동법\03.판례\[대법원 2025.10.16. 선고 2025다204730 판결]노동위원회 등에 제출하기 위해 상대방 동의 없이 녹음한 행위의 위법성 여부.txt</t>
  </si>
  <si>
    <t>열기2-01.노동법\03.판례\[대법원 2025.03.13. 선고 2024두54683 판결]복직명령과 금전보상명령의 구제이익.txt</t>
  </si>
  <si>
    <t>열기2-01.노동법\03.판례\[서울고등법원 2025.01.10. 선고 2024나2008315 판결]임원수행기사 도급 업무의 파견 해당 여부.txt</t>
  </si>
  <si>
    <t>열기2-01.노동법\03.판례\[대법원 2025.06.12. 선고 2022다166, 2022다173(병합), 2022다180(병합) 판결]근로자파견관계 판단의 판단기준.txt</t>
  </si>
  <si>
    <t>열기2-01.노동법\03.판례\[서울중앙지방법원 2024.10.24. 선고 2022가합557780 판결]체험형・채용형 인턴에게 성과급을 미지급한 것이 차별적 처우인가.txt</t>
  </si>
  <si>
    <t>열기2-01.노동법\03.판례\[대법원 2024.11.21. 선고 2021다255853 판결]직무상유족연금과 손해배상의 조정 ; ‘공제 후 상속’ → ‘상속 후 공제’로 변경.txt</t>
  </si>
  <si>
    <t>열기2-01.노동법\03.판례\[서울행정법원 2025.07.25. 선고 2022구합69230 판결]원하청교섭 시 원청사의 단체교섭의무 판단방법, 그리고 노란봉투법.txt</t>
  </si>
  <si>
    <t>열기2-01.노동법\03.판례\[서울행정법원 2025.10.30. 선고 2024구합72896 판결]백화점・면세점의 입점(판매)노동과 단체교섭 상대방.txt</t>
  </si>
  <si>
    <t>열기2-01.노동법\03.판례\[대법원 2025.07.03. 선고 2023다251718 판결]과거 근로조건에 대한 단체교섭의 유의미성.txt</t>
  </si>
  <si>
    <t>열기2-01.노동법\03.판례\[대법원 2025.05.15. 선고 2022두64693 판결]복수노조에 대한 차량 지원 관련 사용자의 공정대표의무.txt</t>
  </si>
  <si>
    <t>열기2-01.노동법\03.판례\[대법원 2025.07.18. 선고 2023두61370 판결]징계위원회 구성에 대한 공정대표의무의 효력.txt</t>
  </si>
  <si>
    <t>열기2-01.노동법\03.판례\[춘천지방법원 2025.07.09. 선고 2024나33324 판결]업무복귀 의사표시 이후에도 유지된 집화중단조치(직장폐쇄)의 위법성.txt</t>
  </si>
  <si>
    <t>열기2-01.노동법\03.판례\[대법원 2025.04.03. 선고 2023두41864, 41871 판결]차별적 인사고과에 대한 부당노동행위 구제신청기간의 산정기준과 방법(계속하는 행위).txt</t>
  </si>
  <si>
    <t>열기2-01.노동법\03.판례\[서울행정법원 2025.08.29. 선고 2024구합65959 판결]승진 탈락과 이로 인한 임금상 불이익의 부당노동행위.txt</t>
  </si>
  <si>
    <t>열기2-01.노동법\03.판례\[대법원 2024.11.14. 선고 2023도14674 판결]산업안전보건법상 건설공사발주자와 도급인의 구별 기준.txt</t>
  </si>
  <si>
    <t>열기2-01.노동법\03.판례\[대법원 2025.09.26. 선고 2025도10267 판결]안전 의무 위반으로 인한 근로자 사망 사고에서의 산업안전보건법, 중대재해 처벌 등에 관한 법률 위반 판단.txt</t>
  </si>
  <si>
    <t>열기2-01.노동법\03.판례\[헌법재판소 2025.04.10. 선고 2021헌마1362 결정]육아휴직급여 사후지급금 제도(고보법 시행령) 위헌 여부.txt</t>
  </si>
  <si>
    <t>열기2-01.노동법\03.판례\[서울고등법원(춘천재판부) 2024.12.12. 선고 2024나1090 판결]직접 고용된 파견근로자의 퇴직금 기산일에 관한 합의의 법적 성격과 효력.txt</t>
  </si>
  <si>
    <t>장↑</t>
    <phoneticPr fontId="3" type="noConversion"/>
  </si>
  <si>
    <t xml:space="preserve"> 반조합계약</t>
    <phoneticPr fontId="3" type="noConversion"/>
  </si>
  <si>
    <t>노동조합 가입 또는 탈퇴를 고용 조건으로 삼는 행위를 말한다. (비열계약, 황견계약)</t>
    <phoneticPr fontId="3" type="noConversion"/>
  </si>
  <si>
    <t>쟁의행위 중 대체근로의 제한</t>
    <phoneticPr fontId="3" type="noConversion"/>
  </si>
  <si>
    <t>4대 보험 가입・소득세 유형</t>
    <phoneticPr fontId="3" type="noConversion"/>
  </si>
  <si>
    <t>시설물등의 결함등에 따른 사고</t>
    <phoneticPr fontId="3" type="noConversion"/>
  </si>
  <si>
    <t>제조업체와 판매용역계약을 체결한 백화점 판매원의 근로기준법상 근로자 해당 여부</t>
    <phoneticPr fontId="3" type="noConversion"/>
  </si>
  <si>
    <t>열기2-01.노동법\02.문제\[기출][1][2018-1-1]제조업체와 판매용역계약을 체결한 백화점 판매원의 근로기준법상 근로자 해당 여부.txt</t>
    <phoneticPr fontId="3" type="noConversion"/>
  </si>
  <si>
    <t>근무 시간과 장소가 사용자에 의해 구속되는지 여부이다.</t>
    <phoneticPr fontId="3" type="noConversion"/>
  </si>
  <si>
    <t>근로자가 스스로 제3자를 고용하여 업무를 대신하게 할 수 있는지 여부이다.</t>
    <phoneticPr fontId="3" type="noConversion"/>
  </si>
  <si>
    <t>근무 시간・장소 구속성</t>
    <phoneticPr fontId="3" type="noConversion"/>
  </si>
  <si>
    <t>대체 근로 가능성</t>
    <phoneticPr fontId="3" type="noConversion"/>
  </si>
  <si>
    <t>중간착취의 배제 원칙의 의의, 요건, 중요성</t>
    <phoneticPr fontId="3" type="noConversion"/>
  </si>
  <si>
    <t>열기2-01.노동법\02.문제\[기출][1][2012-2]중간착취의 배제 원칙의 의의, 요건, 중요성.txt</t>
    <phoneticPr fontId="3" type="noConversion"/>
  </si>
  <si>
    <t>근로기준법상 위약예정의 금지의 의의, 내용, 효력 및 법률관계</t>
    <phoneticPr fontId="3" type="noConversion"/>
  </si>
  <si>
    <t>열기2-01.노동법\02.문제\[기출][1][2009-2-1]근로기준법상 위약예정의 금지의 의의, 내용, 효력 및 법률관계.txt</t>
    <phoneticPr fontId="3" type="noConversion"/>
  </si>
  <si>
    <t>근로기준법상 연장근로 제한의 원칙, 예외, 위반의 효과</t>
    <phoneticPr fontId="3" type="noConversion"/>
  </si>
  <si>
    <t>열기2-01.노동법\02.문제\[기출][1][2008-2-2]근로기준법상 연장근로 제한의 원칙, 예외, 위반의 효과.txt</t>
    <phoneticPr fontId="3" type="noConversion"/>
  </si>
  <si>
    <t>1</t>
    <phoneticPr fontId="3" type="noConversion"/>
  </si>
  <si>
    <t>2</t>
    <phoneticPr fontId="3" type="noConversion"/>
  </si>
  <si>
    <t>02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</si>
  <si>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</si>
  <si>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</si>
  <si>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</si>
  <si>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05</t>
    <phoneticPr fontId="3" type="noConversion"/>
  </si>
  <si>
    <t>06</t>
    <phoneticPr fontId="3" type="noConversion"/>
  </si>
  <si>
    <t>제06절 연차유급휴가</t>
    <phoneticPr fontId="3" type="noConversion"/>
  </si>
  <si>
    <t>03</t>
    <phoneticPr fontId="3" type="noConversion"/>
  </si>
  <si>
    <t>전적명령의 법적 성격, 유효요건, 남용 판단 기준</t>
    <phoneticPr fontId="3" type="noConversion"/>
  </si>
  <si>
    <t>열기2-01.노동법\02.문제\[기출][1][2010-2]전적명령의 법적 성격, 유효요건, 남용 판단 기준.txt</t>
    <phoneticPr fontId="3" type="noConversion"/>
  </si>
  <si>
    <t>포괄임금제의 의의, 유효요건, 유효성 판단 시 고려 사항</t>
    <phoneticPr fontId="3" type="noConversion"/>
  </si>
  <si>
    <t>열기2-01.노동법\02.문제\[기출][1][2011-1]포괄임금제의 의의, 유효요건, 유효성 판단 시 고려 사항.txt</t>
    <phoneticPr fontId="3" type="noConversion"/>
  </si>
  <si>
    <t>경영상 이유에 의한 해고의 의의, 요건, 절차 및 구제, 재고용 의무</t>
    <phoneticPr fontId="3" type="noConversion"/>
  </si>
  <si>
    <t>열기2-01.노동법\02.문제\[기출][1][2008-1]경영상 이유에 의한 해고의 의의, 요건, 절차 및 구제, 재고용 의무.txt</t>
    <phoneticPr fontId="3" type="noConversion"/>
  </si>
  <si>
    <t>노동조합 가입 자격의 기본 원칙, 제한의 허용 범위, 한계 및 위반 시 효과</t>
    <phoneticPr fontId="3" type="noConversion"/>
  </si>
  <si>
    <t>열기2-01.노동법\02.문제\[기출][2][2009-3]노동조합 가입 자격의 기본 원칙, 제한의 허용 범위, 한계 및 위반 시 효과.txt</t>
    <phoneticPr fontId="3" type="noConversion"/>
  </si>
  <si>
    <t>노동조합 쟁의행위의 절차적 정당성의 요건, 절차 위반 시 효력</t>
    <phoneticPr fontId="3" type="noConversion"/>
  </si>
  <si>
    <t>열기2-01.노동법\02.문제\[기출][2][2010-2]노동조합 쟁의행위의 절차적 정당성의 요건, 절차 위반 시 효력.txt</t>
    <phoneticPr fontId="3" type="noConversion"/>
  </si>
  <si>
    <t>준법투쟁의 개념과 법적 성격, 유형, 관련 판례법리, 효과 및 활용</t>
    <phoneticPr fontId="3" type="noConversion"/>
  </si>
  <si>
    <t>열기2-01.노동법\02.문제\[기출][2][2011-2]준법투쟁의 개념과 법적 성격, 유형, 관련 판례법리, 효과 및 활용.txt</t>
    <phoneticPr fontId="3" type="noConversion"/>
  </si>
  <si>
    <t>쟁의행위 기간 중 사용자의 채용 제한의 원칙, 필수공익사업의 특례, 위반 시 쟁점</t>
    <phoneticPr fontId="3" type="noConversion"/>
  </si>
  <si>
    <t>열기2-01.노동법\02.문제\[기출][2][2008-2]쟁의행위 기간 중 사용자의 채용 제한의 원칙, 필수공익사업의 특례, 위반 시 쟁점.txt</t>
    <phoneticPr fontId="3" type="noConversion"/>
  </si>
  <si>
    <t>하위 인사고과 부여 및 이에 따른 임금 감액의 부당노동행위 구제신청기간 도과 여부+</t>
    <phoneticPr fontId="3" type="noConversion"/>
  </si>
  <si>
    <t>고용보험법상 육아휴직 급여의 의의, 지급 요건, 지급 기간 및 금액, 특례 및 기타 사항</t>
    <phoneticPr fontId="3" type="noConversion"/>
  </si>
  <si>
    <t>열기2-01.노동법\02.문제\[기출][1][2009-2-2]고용보험법상 육아휴직 급여의 의의, 지급 요건, 지급 기간 및 금액, 특례 및 기타 사항.txt</t>
    <phoneticPr fontId="3" type="noConversion"/>
  </si>
  <si>
    <t>노동위원회의 관할(사건 관할, 지역 관할)</t>
    <phoneticPr fontId="3" type="noConversion"/>
  </si>
  <si>
    <t>열기2-01.노동법\02.문제\[기출][2][2008-3]노동위원회의 관할(사건 관할, 지역 관할).txt</t>
    <phoneticPr fontId="3" type="noConversion"/>
  </si>
  <si>
    <t>절차의 흠결이 있는 징계의 효력에 대한 노조 대표자 주장의 타당성+</t>
    <phoneticPr fontId="3" type="noConversion"/>
  </si>
  <si>
    <t>A</t>
  </si>
  <si>
    <t>A</t>
    <phoneticPr fontId="3" type="noConversion"/>
  </si>
  <si>
    <t>중요도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</si>
  <si>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</si>
  <si>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</si>
  <si>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</si>
  <si>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기간제 근로계약으로 포장된 시용 근로계약</t>
    <phoneticPr fontId="3" type="noConversion"/>
  </si>
  <si>
    <t>균등처우조항에서의 사회적 신분과 비교대상자의 의미와 판단기준</t>
    <phoneticPr fontId="3" type="noConversion"/>
  </si>
  <si>
    <t>원하청교섭 시 원청사의 단체교섭의무 판단방법, 그리고 노란봉투법</t>
    <phoneticPr fontId="3" type="noConversion"/>
  </si>
  <si>
    <t>05</t>
    <phoneticPr fontId="3" type="noConversion"/>
  </si>
  <si>
    <t>06</t>
    <phoneticPr fontId="3" type="noConversion"/>
  </si>
  <si>
    <t>단체협약과 개별 근로계약 충돌 시 단체협약에 의한 근로조건 저하 가능성</t>
    <phoneticPr fontId="3" type="noConversion"/>
  </si>
  <si>
    <t>단체협약과 취업규칙의 충돌 시 유리한 취업규칙의 우선 적용 여부</t>
    <phoneticPr fontId="3" type="noConversion"/>
  </si>
  <si>
    <t>추석 상여금과 경영성과급의 임금성 및 평균임금 산입 여부</t>
    <phoneticPr fontId="3" type="noConversion"/>
  </si>
  <si>
    <t>근로기준법상 휴게시간의 의의와 자유이용의 원칙 및 장소적 제약이 가해진 휴게시간의 유효성</t>
    <phoneticPr fontId="3" type="noConversion"/>
  </si>
  <si>
    <t>휴일근로 명령의 유효요건과 개별적 동의 여부 및 근로자의 출근 거부에 따른 징계 사유의 정당성</t>
    <phoneticPr fontId="3" type="noConversion"/>
  </si>
  <si>
    <t>휴일근로 가산수당 지급 원칙과 중복할증에 관한 판례의 태도 및 회사의 임금 미지급의 타당성</t>
    <phoneticPr fontId="3" type="noConversion"/>
  </si>
  <si>
    <t>기업 합병 시 특정 근로자에 대한 승계 거부 및 해고 통보의 법적 효력</t>
    <phoneticPr fontId="3" type="noConversion"/>
  </si>
  <si>
    <t>기업 합병 후 근로조건의 일방적 변경 및 취업규칙 적용의 법적 효력</t>
    <phoneticPr fontId="3" type="noConversion"/>
  </si>
  <si>
    <t>단시간근로자의 초과근로 가산수당 지급 요건 및 근로자의 가산임금 청구권 인정 여부</t>
    <phoneticPr fontId="3" type="noConversion"/>
  </si>
  <si>
    <t>차별적 처우 금지 원칙과 상여금 미지급의 합리적 이유 없는 차별 해당 여부</t>
    <phoneticPr fontId="3" type="noConversion"/>
  </si>
  <si>
    <t>근로자의 오토바이 사고에 대한 출퇴근 재해 인정 여부 및 법적 근거</t>
    <phoneticPr fontId="3" type="noConversion"/>
  </si>
  <si>
    <t>근로자의 2차 회식 중 사고에 대한 업무상 재해 인정 여부</t>
    <phoneticPr fontId="3" type="noConversion"/>
  </si>
  <si>
    <t>근로자의 만성 근로 및 단기 과로에 따른 뇌출혈의 업무상 질병 인정 여부</t>
    <phoneticPr fontId="3" type="noConversion"/>
  </si>
  <si>
    <t>근로자의 직장 내 괴롭힘으로 인한 우울증의 업무상 질병 인정 여부</t>
    <phoneticPr fontId="3" type="noConversion"/>
  </si>
  <si>
    <t>쟁의행위의 정당성 결여 판단 및 민사상 손해배상 책임의 주체와 책임의 성질</t>
    <phoneticPr fontId="3" type="noConversion"/>
  </si>
  <si>
    <t>책임 제한의 개별화 원칙 적용 여부와 구체적인 판단 기준</t>
    <phoneticPr fontId="3" type="noConversion"/>
  </si>
  <si>
    <t>정당한 쟁의행위 기간 중 가족수당 및 근속수당 지급 의무 여부(무노동 무임금 원칙 적용 범위)</t>
    <phoneticPr fontId="3" type="noConversion"/>
  </si>
  <si>
    <t>쟁의행위 및 징계(정직) 기간의 연차휴가 산정 시 출근지수 처리 방식</t>
    <phoneticPr fontId="3" type="noConversion"/>
  </si>
  <si>
    <t>안전보호시설의 정의와 쟁의행위 제한 취지 및 중앙제어실 파업 동참 행위의 정당성 여부</t>
    <phoneticPr fontId="3" type="noConversion"/>
  </si>
  <si>
    <t>탈퇴 후 신규 노조 설립 준비 중인 근로자에 대한 해고의 부당노동행위 및 부당해고 해당 여부</t>
    <phoneticPr fontId="3" type="noConversion"/>
  </si>
  <si>
    <t>휴게시간과 근로시간 구별 기준 및 근로자의 비상대기 상태에 대한 근로시간 포함 여부</t>
    <phoneticPr fontId="3" type="noConversion"/>
  </si>
  <si>
    <t>제16장 부속법령</t>
  </si>
  <si>
    <t>회독</t>
    <phoneticPr fontId="3" type="noConversion"/>
  </si>
  <si>
    <t>C</t>
  </si>
  <si>
    <t>B</t>
  </si>
  <si>
    <t>01</t>
    <phoneticPr fontId="3" type="noConversion"/>
  </si>
  <si>
    <t>02</t>
    <phoneticPr fontId="3" type="noConversion"/>
  </si>
  <si>
    <t>03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</si>
  <si>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</si>
  <si>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</si>
  <si>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</si>
  <si>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</si>
  <si>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</si>
  <si>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</si>
  <si>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</si>
  <si>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</si>
  <si>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</si>
  <si>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계속되는 행위</t>
    <phoneticPr fontId="3" type="noConversion"/>
  </si>
  <si>
    <t>무효인 단체협약을 근거로 지급되던 노동조합 운영비 지급 중단의 정당성</t>
    <phoneticPr fontId="3" type="noConversion"/>
  </si>
  <si>
    <t>열기2-01.노동법\02.문제\[기출][2][2016-1-1]무효인 단체협약을 근거로 지급되던 노동조합 운영비 지급 중단의 정당성.txt</t>
    <phoneticPr fontId="3" type="noConversion"/>
  </si>
  <si>
    <t>중재재정 조항의 교원노조법상 단체교섭 대상 여부</t>
    <phoneticPr fontId="3" type="noConversion"/>
  </si>
  <si>
    <t>열기2-01.노동법\02.문제\[기출][2][2025-2]중재재정 조항의 교원노조법상 단체교섭 대상 여부.txt</t>
    <phoneticPr fontId="3" type="noConversion"/>
  </si>
  <si>
    <t>제04절 산안법</t>
    <phoneticPr fontId="3" type="noConversion"/>
  </si>
  <si>
    <t>제06절 고보법</t>
    <phoneticPr fontId="3" type="noConversion"/>
  </si>
  <si>
    <t>제09절 노위법</t>
    <phoneticPr fontId="3" type="noConversion"/>
  </si>
  <si>
    <t>제12절 근퇴법</t>
    <phoneticPr fontId="3" type="noConversion"/>
  </si>
  <si>
    <t>통상임금의 판단기준에 관한 판례 법리의 변경★</t>
    <phoneticPr fontId="3" type="noConversion"/>
  </si>
  <si>
    <t>연차유급휴가 시기변경권 행사의 적법성 판단기준★</t>
    <phoneticPr fontId="3" type="noConversion"/>
  </si>
  <si>
    <t>통상임금 고정성 징표의 배제 여부 및 재직조건부 정기상여금의 통상임금 인정 여부★</t>
    <phoneticPr fontId="3" type="noConversion"/>
  </si>
  <si>
    <t>일정 근무일수 충족 조건부 출근수당의 소정근로 대가성 관점에서의 통상임금 해당 여부★</t>
    <phoneticPr fontId="3" type="noConversion"/>
  </si>
  <si>
    <t>단체협약상 연차휴가 사전신청 요건의 유효성 및 반려 조치의 시기변경권 행사 적법성★</t>
    <phoneticPr fontId="3" type="noConversion"/>
  </si>
  <si>
    <t>연차휴가 반려 후 출근하지 않은 행위의 성격 및 이를 이유로 한 감봉 처분의 정당성★</t>
    <phoneticPr fontId="3" type="noConversion"/>
  </si>
  <si>
    <t>1</t>
    <phoneticPr fontId="3" type="noConversion"/>
  </si>
  <si>
    <t>제04절 근로기준법상 근로자</t>
    <phoneticPr fontId="3" type="noConversion"/>
  </si>
  <si>
    <t>01</t>
    <phoneticPr fontId="3" type="noConversion"/>
  </si>
  <si>
    <t>02</t>
    <phoneticPr fontId="3" type="noConversion"/>
  </si>
  <si>
    <t>2</t>
    <phoneticPr fontId="3" type="noConversion"/>
  </si>
  <si>
    <t>07</t>
    <phoneticPr fontId="3" type="noConversion"/>
  </si>
  <si>
    <t>08</t>
    <phoneticPr fontId="3" type="noConversion"/>
  </si>
  <si>
    <t>열기2-01.노동법\01.본문\제01장 노동법 총론.제03절 근로기준법의 적용범위.txt</t>
    <phoneticPr fontId="3" type="noConversion"/>
  </si>
  <si>
    <t>A</t>
    <phoneticPr fontId="3" type="noConversion"/>
  </si>
  <si>
    <t>근로자가 소정근로를 제공하기만 하면 지급 여부나 금액이 사전에 확정되는 성질을 말한다. 즉, 추가적인 조건과 관계없이 당연히 지급될 것이 사전에 정해져 있는 것을 말한다. ('24년 대법원 배제)</t>
    <phoneticPr fontId="3" type="noConversion"/>
  </si>
  <si>
    <t>2026년 현재(2008~2025)</t>
    <phoneticPr fontId="3" type="noConversion"/>
  </si>
  <si>
    <t>제02절 법원의 경합</t>
  </si>
  <si>
    <t>제03절 근로기준법의 적용범위</t>
  </si>
  <si>
    <t>제04절 근로기준법상 근로자</t>
  </si>
  <si>
    <t>제05절 노조법상 근로자</t>
  </si>
  <si>
    <t>제06절 근로기준법상 사용자</t>
  </si>
  <si>
    <t>제07절 노조법상 사용자</t>
  </si>
  <si>
    <t>제04절 근로계약과 당사자의 권리 및 의무</t>
  </si>
  <si>
    <t>제02절 평균임금</t>
  </si>
  <si>
    <t>제05절 휴업수당</t>
  </si>
  <si>
    <t>제06절 임금채권의 우선변제</t>
  </si>
  <si>
    <t>제01절 근로시간</t>
  </si>
  <si>
    <t>제04절 휴게시간</t>
  </si>
  <si>
    <t>제05절 휴일과 휴일근로</t>
  </si>
  <si>
    <t>제06절 직위해제(대기발령)</t>
  </si>
  <si>
    <t>제02절 합병</t>
  </si>
  <si>
    <t>제04절 부당해고의 구제</t>
  </si>
  <si>
    <t>제01절 기간제근로자</t>
  </si>
  <si>
    <t>제02절 단시간근로자</t>
  </si>
  <si>
    <t>제02절 업무상 사고</t>
  </si>
  <si>
    <t>제03절 업무상 질병</t>
  </si>
  <si>
    <t>제04절 출퇴근 재해</t>
  </si>
  <si>
    <t>제02절 조합원의 지위 및 권리・의무</t>
  </si>
  <si>
    <t>제03절 노동조합의 기구</t>
  </si>
  <si>
    <t>제05절 사용자의 편의제공</t>
  </si>
  <si>
    <t>제02절 단체교섭의 담당자</t>
  </si>
  <si>
    <t>제06절 성실교섭의무</t>
  </si>
  <si>
    <t>제02절 단체협약의 성립</t>
  </si>
  <si>
    <t>제04절 평화의무</t>
  </si>
  <si>
    <t>제07절 단체협약의 효력확장</t>
  </si>
  <si>
    <t>제04절 쟁의행위 수단・방법의 정당성</t>
  </si>
  <si>
    <t>제07절 불법쟁의행위와 법적 책임</t>
  </si>
  <si>
    <t>제08절 쟁의행위와 노사당사자 간의 법률관계</t>
  </si>
  <si>
    <t>제09절 안전보호시설과 필수유지업무</t>
  </si>
  <si>
    <t>제03절 반조합계약(비열계약, 황견계약)</t>
  </si>
  <si>
    <t>제11절 교노법</t>
  </si>
  <si>
    <t>제12절 근퇴법</t>
  </si>
  <si>
    <t>빈도</t>
    <phoneticPr fontId="3" type="noConversion"/>
  </si>
  <si>
    <t>제01절 노동법의 법원</t>
    <phoneticPr fontId="3" type="noConversion"/>
  </si>
  <si>
    <t>제01절 근기법</t>
    <phoneticPr fontId="3" type="noConversion"/>
  </si>
  <si>
    <t>제02절 파견법</t>
    <phoneticPr fontId="3" type="noConversion"/>
  </si>
  <si>
    <t>제03절 기단법</t>
    <phoneticPr fontId="3" type="noConversion"/>
  </si>
  <si>
    <t>제05절 산재법</t>
    <phoneticPr fontId="3" type="noConversion"/>
  </si>
  <si>
    <t>제07절 노조법</t>
    <phoneticPr fontId="3" type="noConversion"/>
  </si>
  <si>
    <t>제08절 근참법</t>
    <phoneticPr fontId="3" type="noConversion"/>
  </si>
  <si>
    <t>제01절 부당노동행위제도의 의의</t>
    <phoneticPr fontId="3" type="noConversion"/>
  </si>
  <si>
    <t>제01절 단체협약의 서설</t>
    <phoneticPr fontId="3" type="noConversion"/>
  </si>
  <si>
    <t>제01절 근로관계 종료의 유형</t>
    <phoneticPr fontId="3" type="noConversion"/>
  </si>
  <si>
    <t>제05장 취업규칙</t>
    <phoneticPr fontId="3" type="noConversion"/>
  </si>
  <si>
    <t>제01절 취업규칙의 의의와 작성</t>
    <phoneticPr fontId="3" type="noConversion"/>
  </si>
  <si>
    <t>제01절 임금의 의의</t>
    <phoneticPr fontId="3" type="noConversion"/>
  </si>
  <si>
    <t>제06장 인사처분</t>
    <phoneticPr fontId="3" type="noConversion"/>
  </si>
  <si>
    <t>제01절 인사이동</t>
    <phoneticPr fontId="3" type="noConversion"/>
  </si>
  <si>
    <t>제02절 전직</t>
    <phoneticPr fontId="3" type="noConversion"/>
  </si>
  <si>
    <t>소계</t>
    <phoneticPr fontId="3" type="noConversion"/>
  </si>
  <si>
    <t>제01장 노동법 총론</t>
  </si>
  <si>
    <t>제01절 노동법의 법원</t>
  </si>
  <si>
    <t>제05절 노동조합법상 근로자</t>
  </si>
  <si>
    <t>제07절 노동조합법상 사용자</t>
  </si>
  <si>
    <t>제01절 임금의 의의</t>
  </si>
  <si>
    <t>제01절 취업규칙의 의의와 작성</t>
  </si>
  <si>
    <t>제01절 인사이동</t>
  </si>
  <si>
    <t>제02절 전직</t>
  </si>
  <si>
    <t>제01절 근로관계 종료의 유형</t>
  </si>
  <si>
    <t>제04절 차별 시정</t>
  </si>
  <si>
    <t>제04절 조합활동의 정당성</t>
  </si>
  <si>
    <t>제07절 노동조합의 합병・해산과 조직변경</t>
  </si>
  <si>
    <t>제01절 단체협약의 서설</t>
  </si>
  <si>
    <t>제01절 근기법</t>
  </si>
  <si>
    <t>제02절 파견법</t>
  </si>
  <si>
    <t>제03절 기단법</t>
  </si>
  <si>
    <t>제04절 산안법</t>
  </si>
  <si>
    <t>제05절 산재법</t>
  </si>
  <si>
    <t>제06절 고보법</t>
  </si>
  <si>
    <t>제07절 노조법</t>
  </si>
  <si>
    <t>제08절 근참법</t>
  </si>
  <si>
    <t>제09절 노위법</t>
  </si>
  <si>
    <t>제06절 노동조합의 내부통제권</t>
    <phoneticPr fontId="3" type="noConversion"/>
  </si>
  <si>
    <t>제04절 교섭창구단일화제도</t>
    <phoneticPr fontId="3" type="noConversion"/>
  </si>
  <si>
    <t>제05절 인준투표제</t>
    <phoneticPr fontId="3" type="noConversion"/>
  </si>
  <si>
    <t>최근</t>
    <phoneticPr fontId="3" type="noConversion"/>
  </si>
  <si>
    <t>서울고등법원 2024.10.11. 선고 2022누47966 판결</t>
    <phoneticPr fontId="3" type="noConversion"/>
  </si>
  <si>
    <t>대법원 2024.10.25. 선고 2023두37391 판결</t>
    <phoneticPr fontId="3" type="noConversion"/>
  </si>
  <si>
    <t>서울중앙지방법원 2024.11.07. 선고 2022가합539881 판결</t>
    <phoneticPr fontId="3" type="noConversion"/>
  </si>
  <si>
    <t>부산지방법원 동부지원 2025.01.15. 선고 2023고단1327 판결]</t>
    <phoneticPr fontId="3" type="noConversion"/>
  </si>
  <si>
    <t>서울행정법원 2025.05.15. 선고 2023구합78255 판결</t>
    <phoneticPr fontId="3" type="noConversion"/>
  </si>
  <si>
    <t>서울고등법원 2024.11.08. 선고 2023누52910 판결</t>
    <phoneticPr fontId="3" type="noConversion"/>
  </si>
  <si>
    <t>서울중앙지방법원 2025.02.18. 선고 2023나64678 판결</t>
    <phoneticPr fontId="3" type="noConversion"/>
  </si>
  <si>
    <t>광주고등법원 2025.06.12. 선고 2024나23049 판결</t>
    <phoneticPr fontId="3" type="noConversion"/>
  </si>
  <si>
    <t>서울행정법원 2025.11.06. 선고 2024구합85373 판결</t>
    <phoneticPr fontId="3" type="noConversion"/>
  </si>
  <si>
    <t>대법원 2025.07.03. 선고 2025다210741 판결</t>
    <phoneticPr fontId="3" type="noConversion"/>
  </si>
  <si>
    <t>수원지방법원 성남지원 2025.07.15. 선고 2024가합204074 판결</t>
    <phoneticPr fontId="3" type="noConversion"/>
  </si>
  <si>
    <t>대법원 2024.12.19. 선고 2020다247190 전원합의체 판결</t>
    <phoneticPr fontId="3" type="noConversion"/>
  </si>
  <si>
    <t>대법원 2025.06.12. 선고 2025다209645 판결</t>
    <phoneticPr fontId="3" type="noConversion"/>
  </si>
  <si>
    <t>대법원 2024.11.14. 선고 2021다220062 판결</t>
    <phoneticPr fontId="3" type="noConversion"/>
  </si>
  <si>
    <t>전주지방법원 2025.07.17. 선고 2022가합52925 판결</t>
    <phoneticPr fontId="3" type="noConversion"/>
  </si>
  <si>
    <t>대법원 2024.12.26. 선고 2023다200314 판결</t>
    <phoneticPr fontId="3" type="noConversion"/>
  </si>
  <si>
    <t>대법원 2025.07.17. 선고 2021도11886 판결</t>
    <phoneticPr fontId="3" type="noConversion"/>
  </si>
  <si>
    <t>대법원 2025.02.20. 선고 2024다293092 판결</t>
    <phoneticPr fontId="3" type="noConversion"/>
  </si>
  <si>
    <t>서울행정법원 2025.03.20. 선고 2023구합86690 판결</t>
    <phoneticPr fontId="3" type="noConversion"/>
  </si>
  <si>
    <t>서울고등법원 2025.07.11. 선고 2024나2030688 판결</t>
    <phoneticPr fontId="3" type="noConversion"/>
  </si>
  <si>
    <t>수원지방법원 안양지원 2025.02.20. 선고 2023가단113982 판결</t>
    <phoneticPr fontId="3" type="noConversion"/>
  </si>
  <si>
    <t>대법원 2025.10.16. 선고 2025다204730 판결</t>
    <phoneticPr fontId="3" type="noConversion"/>
  </si>
  <si>
    <t>서울중앙지방법원 2024.11.15. 선고 2023가합86650 판결</t>
    <phoneticPr fontId="3" type="noConversion"/>
  </si>
  <si>
    <t>대법원 2025.03.13. 선고 2024두54683 판결</t>
    <phoneticPr fontId="3" type="noConversion"/>
  </si>
  <si>
    <t>서울고등법원 2025.01.10. 선고 2024나2008315 판결</t>
    <phoneticPr fontId="3" type="noConversion"/>
  </si>
  <si>
    <t>대법원 2025.06.12. 선고 2022다166, 2022다173(병합), 2022다180(병합) 판결</t>
    <phoneticPr fontId="3" type="noConversion"/>
  </si>
  <si>
    <t>서울중앙지방법원 2024.10.24. 선고 2022가합557780 판결</t>
    <phoneticPr fontId="3" type="noConversion"/>
  </si>
  <si>
    <t>대법원 2024.11.21. 선고 2021다255853 판결</t>
    <phoneticPr fontId="3" type="noConversion"/>
  </si>
  <si>
    <t>서울행정법원 2025.07.25. 선고 2022구합69230 판결</t>
    <phoneticPr fontId="3" type="noConversion"/>
  </si>
  <si>
    <t>서울행정법원 2025.10.30. 선고 2024구합72896 판결</t>
    <phoneticPr fontId="3" type="noConversion"/>
  </si>
  <si>
    <t>대법원 2025.07.03. 선고 2023다251718 판결</t>
    <phoneticPr fontId="3" type="noConversion"/>
  </si>
  <si>
    <t>대법원 2025.05.15. 선고 2022두64693 판결</t>
    <phoneticPr fontId="3" type="noConversion"/>
  </si>
  <si>
    <t>대법원 2025.07.18. 선고 2023두61370 판결</t>
    <phoneticPr fontId="3" type="noConversion"/>
  </si>
  <si>
    <t>춘천지방법원 2025.07.09. 선고 2024나33324 판결</t>
    <phoneticPr fontId="3" type="noConversion"/>
  </si>
  <si>
    <t>광주고등법원 2025.02.05. 자 2024라1091 결정</t>
    <phoneticPr fontId="3" type="noConversion"/>
  </si>
  <si>
    <t>대법원 2025.04.03. 선고 2023두41864, 41871 판결</t>
    <phoneticPr fontId="3" type="noConversion"/>
  </si>
  <si>
    <t>서울행정법원 2025.08.29. 선고 2024구합65959 판결</t>
    <phoneticPr fontId="3" type="noConversion"/>
  </si>
  <si>
    <t>대법원 2024.11.14. 선고 2023도14674 판결</t>
    <phoneticPr fontId="3" type="noConversion"/>
  </si>
  <si>
    <t>대법원 2025.09.26. 선고 2025도10267 판결</t>
    <phoneticPr fontId="3" type="noConversion"/>
  </si>
  <si>
    <t>헌법재판소 2025.04.10. 선고 2021헌마1362 결정</t>
    <phoneticPr fontId="3" type="noConversion"/>
  </si>
  <si>
    <t>서울고등법원(춘천재판부) 2024.12.12. 선고 2024나1090 판결</t>
    <phoneticPr fontId="3" type="noConversion"/>
  </si>
  <si>
    <t>제01장 노동법 총론</t>
    <phoneticPr fontId="3" type="noConversion"/>
  </si>
  <si>
    <t>국제근로관계에서 근로기준법이 적용되는 사업 또는 사업장의 판단 기준★</t>
    <phoneticPr fontId="3" type="noConversion"/>
  </si>
  <si>
    <t>국제근로관계에서 근로기준법상 상시 5인 이상 사업장 해당 여부 및 부당해고 구제신청의 적법성★</t>
    <phoneticPr fontId="3" type="noConversion"/>
  </si>
  <si>
    <t>동일 지배기업 산하 국내법인과 외국법인 한국영업소의 단일 사업장 인정 여부 및 해고 서면통지 적용 여부★</t>
    <phoneticPr fontId="3" type="noConversion"/>
  </si>
  <si>
    <t>3</t>
    <phoneticPr fontId="3" type="noConversion"/>
  </si>
  <si>
    <t>4</t>
    <phoneticPr fontId="3" type="noConversion"/>
  </si>
  <si>
    <t>(2)</t>
    <phoneticPr fontId="3" type="noConversion"/>
  </si>
  <si>
    <t>2</t>
    <phoneticPr fontId="3" type="noConversion"/>
  </si>
  <si>
    <t>보충(Ⅳ목차) 참조</t>
    <phoneticPr fontId="3" type="noConversion"/>
  </si>
  <si>
    <t>(3), 보충(Ⅳ목차) 참조</t>
    <phoneticPr fontId="3" type="noConversion"/>
  </si>
  <si>
    <t>본문</t>
    <phoneticPr fontId="3" type="noConversion"/>
  </si>
  <si>
    <t>열기2-01.노동법\01.본문\제01장 노동법 총론.제03절 근로기준법의 적용범위.txt</t>
  </si>
  <si>
    <t>1.02-1</t>
    <phoneticPr fontId="3" type="noConversion"/>
  </si>
  <si>
    <t>1.02-2</t>
    <phoneticPr fontId="3" type="noConversion"/>
  </si>
  <si>
    <t>1.03-2</t>
    <phoneticPr fontId="3" type="noConversion"/>
  </si>
  <si>
    <t>2.04-1</t>
    <phoneticPr fontId="3" type="noConversion"/>
  </si>
  <si>
    <t>2.04-2</t>
    <phoneticPr fontId="3" type="noConversion"/>
  </si>
  <si>
    <t>2.04-3</t>
    <phoneticPr fontId="3" type="noConversion"/>
  </si>
  <si>
    <t>3.02-1</t>
    <phoneticPr fontId="3" type="noConversion"/>
  </si>
  <si>
    <t>3.02-2</t>
    <phoneticPr fontId="3" type="noConversion"/>
  </si>
  <si>
    <t>3.03-1</t>
    <phoneticPr fontId="3" type="noConversion"/>
  </si>
  <si>
    <t>3.03-2</t>
    <phoneticPr fontId="3" type="noConversion"/>
  </si>
  <si>
    <t>3.05-1</t>
    <phoneticPr fontId="3" type="noConversion"/>
  </si>
  <si>
    <t>3.05-2</t>
    <phoneticPr fontId="3" type="noConversion"/>
  </si>
  <si>
    <t>3.06-1</t>
    <phoneticPr fontId="3" type="noConversion"/>
  </si>
  <si>
    <t>3.06-2</t>
    <phoneticPr fontId="3" type="noConversion"/>
  </si>
  <si>
    <t>4.01-1</t>
    <phoneticPr fontId="3" type="noConversion"/>
  </si>
  <si>
    <t>4.01-2</t>
    <phoneticPr fontId="3" type="noConversion"/>
  </si>
  <si>
    <t>4.04-1</t>
    <phoneticPr fontId="3" type="noConversion"/>
  </si>
  <si>
    <t>4.04-2</t>
    <phoneticPr fontId="3" type="noConversion"/>
  </si>
  <si>
    <t>4.05-1</t>
    <phoneticPr fontId="3" type="noConversion"/>
  </si>
  <si>
    <t>4.05-2</t>
    <phoneticPr fontId="3" type="noConversion"/>
  </si>
  <si>
    <t>4.06-1</t>
    <phoneticPr fontId="3" type="noConversion"/>
  </si>
  <si>
    <t>4.06-2</t>
    <phoneticPr fontId="3" type="noConversion"/>
  </si>
  <si>
    <t>7.02-1</t>
    <phoneticPr fontId="3" type="noConversion"/>
  </si>
  <si>
    <t>7.02-2</t>
    <phoneticPr fontId="3" type="noConversion"/>
  </si>
  <si>
    <t>9.02-1</t>
    <phoneticPr fontId="3" type="noConversion"/>
  </si>
  <si>
    <t>9.02-2</t>
    <phoneticPr fontId="3" type="noConversion"/>
  </si>
  <si>
    <t>1.03-1</t>
    <phoneticPr fontId="3" type="noConversion"/>
  </si>
  <si>
    <t>통.직.전.정.</t>
    <phoneticPr fontId="3" type="noConversion"/>
  </si>
  <si>
    <t>적법한 파업 참가 근로자의 출근율 및 연차유급휴가 일수 산정 방식과 회사 주장의 정당성</t>
    <phoneticPr fontId="3" type="noConversion"/>
  </si>
  <si>
    <t>열기2-01.노동법\02.문제\[기출][1][2016-1-1]적법한 파업 참가 근로자의 출근율 및 연차유급휴가 일수 산정 방식과 회사 주장의 정당성.txt</t>
    <phoneticPr fontId="3" type="noConversion"/>
  </si>
  <si>
    <t>비례적 감축</t>
    <phoneticPr fontId="3" type="noConversion"/>
  </si>
  <si>
    <t>근로자가 해고사유를 구두로 인지하고 있는 경우 해고통지서상 해고사유 기재 누락 시 근로기준법 위반 여부</t>
    <phoneticPr fontId="3" type="noConversion"/>
  </si>
  <si>
    <t>열기2-01.노동법\02.문제\[기출][1][2022-1-2]근로자가 해고사유를 구두로 인지하고 있는 경우 해고통지서상 해고사유 기재 누락 시 근로기준법 위반 여부.txt</t>
    <phoneticPr fontId="3" type="noConversion"/>
  </si>
  <si>
    <t>근무성적 불량 저성과자 해고의 정당성 요건 및 해고처분의 타당성 여부</t>
    <phoneticPr fontId="3" type="noConversion"/>
  </si>
  <si>
    <t>열기2-01.노동법\02.문제\[기출][1][2022-1-1]근무성적 불량 저성과자 해고의 정당성 요건 및 해고처분의 타당성 여부.txt</t>
    <phoneticPr fontId="3" type="noConversion"/>
  </si>
  <si>
    <t>단체협약상 규정된 합의 없이 실시한 정리해고의 유효성</t>
  </si>
  <si>
    <t>2021-1-1</t>
  </si>
  <si>
    <t>설립신고를 하지 않은 초기업 노동조합 지부의 단체협약 체결 당사자 지위 인정 여부</t>
  </si>
  <si>
    <t>01</t>
  </si>
  <si>
    <t>제01절 단체교섭의 당사자</t>
    <phoneticPr fontId="3" type="noConversion"/>
  </si>
  <si>
    <t>05</t>
    <phoneticPr fontId="3" type="noConversion"/>
  </si>
  <si>
    <t>4</t>
    <phoneticPr fontId="3" type="noConversion"/>
  </si>
  <si>
    <t>금품이 모든 근로자 또는 특정 조건을 충족하는 전체 근로자에게 일률적으로 지급되는 성질을 말한다. 즉, 지급대상이 미리 정해져 있는 것을 말한다. (지급 대상)</t>
    <phoneticPr fontId="3" type="noConversion"/>
  </si>
  <si>
    <t>제10장 업무상 재해 등</t>
  </si>
  <si>
    <t>제10장 업무상 재해 등</t>
    <phoneticPr fontId="3" type="noConversion"/>
  </si>
  <si>
    <t>제11장 노동조합</t>
  </si>
  <si>
    <t>제11장 노동조합</t>
    <phoneticPr fontId="3" type="noConversion"/>
  </si>
  <si>
    <t>제12장 단체교섭</t>
    <phoneticPr fontId="3" type="noConversion"/>
  </si>
  <si>
    <t>제13장 단체협약</t>
    <phoneticPr fontId="3" type="noConversion"/>
  </si>
  <si>
    <t>제14장 쟁의행위</t>
    <phoneticPr fontId="3" type="noConversion"/>
  </si>
  <si>
    <t>제15장 부당노동행위</t>
    <phoneticPr fontId="3" type="noConversion"/>
  </si>
  <si>
    <t>근로기준법</t>
  </si>
  <si>
    <t>근로자퇴직급여 보장법</t>
  </si>
  <si>
    <t>제01절 부당노동행위제도의 의의</t>
  </si>
  <si>
    <t>제04절 출퇴근재해</t>
  </si>
  <si>
    <t>해고의 예고와 해고의 서면 통지에 대한 의의, 내용, 예외, 법적 효과</t>
    <phoneticPr fontId="3" type="noConversion"/>
  </si>
  <si>
    <t>열기2-01.노동법\02.문제\[기출][1][2009-1]해고의 예고와 해고의 서면 통지에 대한 의의, 내용, 예외, 법적 효과.txt</t>
    <phoneticPr fontId="3" type="noConversion"/>
  </si>
  <si>
    <t>산업재해보상보험법상 2차 회식의 업무상 재해 인정 여부</t>
    <phoneticPr fontId="3" type="noConversion"/>
  </si>
  <si>
    <t>열기2-01.노동법\02.문제\[기출][1][2020-2]산업재해보상보험법상 2차 회식의 업무상 재해 인정 여부.txt</t>
    <phoneticPr fontId="3" type="noConversion"/>
  </si>
  <si>
    <t>정렬↑</t>
    <phoneticPr fontId="3" type="noConversion"/>
  </si>
  <si>
    <t>직장폐쇄를 단행하며 노조사무실 출입을 전면 금지한 행위의 정당성 여부</t>
    <phoneticPr fontId="3" type="noConversion"/>
  </si>
  <si>
    <t>열기2-01.노동법\02.문제\[기출][2][2019-1-1]직장폐쇄를 단행하며 노조사무실 출입을 전면 금지한 행위의 정당성 여부.txt</t>
    <phoneticPr fontId="3" type="noConversion"/>
  </si>
  <si>
    <t>부당노동행위의 주체로서 사용자 개념의 확장</t>
    <phoneticPr fontId="3" type="noConversion"/>
  </si>
  <si>
    <t>노란봉투법 개정 관련</t>
    <phoneticPr fontId="3" type="noConversion"/>
  </si>
  <si>
    <t>노동조합 대표자가 규약 절차를 위반하여 체결한 단체협약의 법적 효력</t>
    <phoneticPr fontId="3" type="noConversion"/>
  </si>
  <si>
    <t>열기2-01.노동법\02.문제\[기출][2][2023-1-2]노동조합 대표자가 규약 절차를 위반하여 체결한 단체협약의 법적 효력.txt</t>
    <phoneticPr fontId="3" type="noConversion"/>
  </si>
  <si>
    <t>회사분할에 따른 근로관계 승계 시 개별 근로자의 거부권 행사 가능 여부</t>
    <phoneticPr fontId="3" type="noConversion"/>
  </si>
  <si>
    <t>열기2-01.노동법\02.문제\[기출][1][2015-2]회사분할에 따른 근로관계 승계 시 개별 근로자의 거부권 행사 가능 여부.txt</t>
    <phoneticPr fontId="3" type="noConversion"/>
  </si>
  <si>
    <t>직위해제 및 대기발령 이후 재발령 없이 당연퇴직된 처분의 정당성</t>
    <phoneticPr fontId="3" type="noConversion"/>
  </si>
  <si>
    <t>열기2-01.노동법\02.문제\[기출][1][2014-1-2]직위해제 및 대기발령 이후 재발령 없이 당연퇴직된 처분의 정당성.txt</t>
    <phoneticPr fontId="3" type="noConversion"/>
  </si>
  <si>
    <t>부당해고 기간 중 중간수입공제의 범위와 최종 임금상당액 산정</t>
    <phoneticPr fontId="3" type="noConversion"/>
  </si>
  <si>
    <t>열기2-01.노동법\02.문제\[기출][1][2024-2]부당해고 기간 중 중간수입공제의 범위와 최종 임금상당액 산정.txt</t>
    <phoneticPr fontId="3" type="noConversion"/>
  </si>
  <si>
    <t>통행료 수납원의 근로자파견 여부 및 무허가 파견에 따른 직접고용의무</t>
    <phoneticPr fontId="3" type="noConversion"/>
  </si>
  <si>
    <t>열기2-01.노동법\02.문제\[기출][1][2020-1-2]통행료 수납원의 근로자파견 여부 및 무허가 파견에 따른 직접고용의무.txt</t>
    <phoneticPr fontId="3" type="noConversion"/>
  </si>
  <si>
    <t>사회적 신분</t>
    <phoneticPr fontId="3" type="noConversion"/>
  </si>
  <si>
    <t>관행적 연장근로에 대한 집단적 거부가 노조법상 쟁의행위에 해당하는지 여부</t>
    <phoneticPr fontId="3" type="noConversion"/>
  </si>
  <si>
    <t>열기2-01.노동법\02.문제\[기출][2][2017-1-1]관행적 연장근로에 대한 집단적 거부가 노조법상 쟁의행위에 해당하는지 여부.txt</t>
    <phoneticPr fontId="3" type="noConversion"/>
  </si>
  <si>
    <t>기출</t>
    <phoneticPr fontId="3" type="noConversion"/>
  </si>
  <si>
    <t>근로기준법상 근로시간의 개념 및 판단 기준과 운행 전 준비 시간의 근로시간 해당 여부</t>
    <phoneticPr fontId="3" type="noConversion"/>
  </si>
  <si>
    <t>Y</t>
  </si>
  <si>
    <t>01</t>
    <phoneticPr fontId="3" type="noConversion"/>
  </si>
  <si>
    <t>02</t>
    <phoneticPr fontId="3" type="noConversion"/>
  </si>
  <si>
    <t>03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</si>
  <si>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</si>
  <si>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</si>
  <si>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</si>
  <si>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</si>
  <si>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</si>
  <si>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개별 동의 없는 불이익 단체협약의 규범적 효력과 기득이익의 관계</t>
    <phoneticPr fontId="3" type="noConversion"/>
  </si>
  <si>
    <t>열기2-01.노동법\02.문제\[기출][2][2023-2]개별 동의 없는 불이익 단체협약의 규범적 효력과 기득이익의 관계.txt</t>
    <phoneticPr fontId="3" type="noConversion"/>
  </si>
  <si>
    <t>자동연장된 단체협약의 해지권 제한 약정의 효력 및 해지 통보의 유효성</t>
    <phoneticPr fontId="3" type="noConversion"/>
  </si>
  <si>
    <t>열기2-01.노동법\02.문제\[기출][2][2021-1-2]자동연장된 단체협약의 해지권 제한 약정의 효력 및 해지 통보의 유효성.txt</t>
    <phoneticPr fontId="3" type="noConversion"/>
  </si>
  <si>
    <t>모의</t>
  </si>
  <si>
    <t>모의</t>
    <phoneticPr fontId="3" type="noConversion"/>
  </si>
  <si>
    <t>열기2-01.노동법\02.문제\[모의][1][01.02-1]단체협약과 취업규칙의 충돌 시 유리한 취업규칙의 우선 적용 여부.txt</t>
  </si>
  <si>
    <t>열기2-01.노동법\02.문제\[모의][1][01.02-2]단체협약과 개별 근로계약 충돌 시 단체협약에 의한 근로조건 저하 가능성.txt</t>
  </si>
  <si>
    <t>열기2-01.노동법\02.문제\[모의][1][01.03-1]동일 지배기업 산하 국내법인과 외국법인 한국영업소의 단일 사업장 인정 여부 및 해고 서면통지 적용 여부.txt</t>
  </si>
  <si>
    <t>열기2-01.노동법\02.문제\[모의][1][01.03-2]국제근로관계에서 근로기준법상 상시 5인 이상 사업장 해당 여부 및 부당해고 구제신청의 적법성.txt</t>
  </si>
  <si>
    <t>열기2-01.노동법\02.문제\[모의][1][02.04-1]경력 허위 기재가 근로계약의 효력에 미치는 영향과 회사의 조치에 대한 타당성 여부.txt</t>
  </si>
  <si>
    <t>열기2-01.노동법\02.문제\[모의][1][02.04-2]경업금지약정의 효력, 회사의 전직금지 청구 가능 여부.txt</t>
  </si>
  <si>
    <t>열기2-01.노동법\02.문제\[모의][1][02.04-3]기술적 영업비밀이 아닌 정보 유출에 대한 징계 및 손해배상 청구 가능 여부.txt</t>
  </si>
  <si>
    <t>열기2-01.노동법\02.문제\[모의][1][03.02-1]추석 상여금과 경영성과급의 임금성 및 평균임금 산입 여부.txt</t>
  </si>
  <si>
    <t>열기2-01.노동법\02.문제\[모의][1][03.02-2]특수 기간의 평균임금 산정방법과 연차유급휴가 미사용 수당의 산입 방식.txt</t>
  </si>
  <si>
    <t>열기2-01.노동법\02.문제\[모의][1][03.03-1]통상임금 고정성 징표의 배제 여부 및 재직조건부 정기상여금의 통상임금 인정 여부.txt</t>
  </si>
  <si>
    <t>열기2-01.노동법\02.문제\[모의][1][03.03-2]일정 근무일수 충족 조건부 출근수당의 소정근로 대가성 관점에서의 통상임금 해당 여부.txt</t>
  </si>
  <si>
    <t>열기2-01.노동법\02.문제\[모의][1][03.05-1]매출처 파업 및 창고 부족으로 인한 휴업의 사용자 귀책사유 해당 여부.txt</t>
  </si>
  <si>
    <t>열기2-01.노동법\02.문제\[모의][1][03.05-2]노동위원회의 휴업수당 감액 승인이 취업규칙상 유리한 규정의 효력에 미치는 영향.txt</t>
  </si>
  <si>
    <t>열기2-01.노동법\02.문제\[모의][1][03.06-1]최우선변제 임금채권의 범위와 근저당권 채권에 대한 우선권 및 구체적 변제액 산출.txt</t>
  </si>
  <si>
    <t>열기2-01.노동법\02.문제\[모의][1][03.06-2]나머지 임금 및 퇴직금 채권의 변제 순위와 조세・공과금 및 일반 채권과의 관계.txt</t>
  </si>
  <si>
    <t>열기2-01.노동법\02.문제\[모의][1][04.01-1]근로기준법상 근로시간의 개념 및 판단 기준과 운행 전 준비 시간의 근로시간 해당 여부.txt</t>
  </si>
  <si>
    <t>열기2-01.노동법\02.문제\[모의][1][04.01-2]운행 사이 대기시간의 법적 성격 판별 기준과 사안의 대기시간이 근로시간에 포함되는지 여부.txt</t>
  </si>
  <si>
    <t>열기2-01.노동법\02.문제\[모의][1][04.04-1]근로기준법상 휴게시간의 의의와 자유이용의 원칙 및 장소적 제약이 가해진 휴게시간의 유효성.txt</t>
  </si>
  <si>
    <t>열기2-01.노동법\02.문제\[모의][1][04.04-2]휴게시간과 근로시간 구별 기준 및 근로자의 비상대기 상태에 대한 근로시간 포함 여부.txt</t>
  </si>
  <si>
    <t>열기2-01.노동법\02.문제\[모의][1][04.05-1]휴일근로 명령의 유효요건과 개별적 동의 여부 및 근로자의 출근 거부에 따른 징계 사유의 정당성.txt</t>
  </si>
  <si>
    <t>열기2-01.노동법\02.문제\[모의][1][04.05-2]휴일근로 가산수당 지급 원칙과 중복할증에 관한 판례의 태도 및 회사의 임금 미지급의 타당성.txt</t>
  </si>
  <si>
    <t>열기2-01.노동법\02.문제\[모의][1][04.06-1]단체협약상 연차휴가 사전신청 요건의 유효성 및 반려 조치의 시기변경권 행사 적법성.txt</t>
  </si>
  <si>
    <t>열기2-01.노동법\02.문제\[모의][1][04.06-2]연차휴가 반려 후 출근하지 않은 행위의 성격 및 이를 이유로 한 감봉 처분의 정당성.txt</t>
  </si>
  <si>
    <t>열기2-01.노동법\02.문제\[모의][1][07.02-1]기업 합병 시 특정 근로자에 대한 승계 거부 및 해고 통보의 법적 효력.txt</t>
  </si>
  <si>
    <t>열기2-01.노동법\02.문제\[모의][1][07.02-2]기업 합병 후 근로조건의 일방적 변경 및 취업규칙 적용의 법적 효력.txt</t>
  </si>
  <si>
    <t>열기2-01.노동법\02.문제\[모의][1][09.02-1]단시간근로자의 초과근로 가산수당 지급 요건 및 근로자의 가산임금 청구권 인정 여부.txt</t>
  </si>
  <si>
    <t>열기2-01.노동법\02.문제\[모의][1][09.02-2]차별적 처우 금지 원칙과 상여금 미지급의 합리적 이유 없는 차별 해당 여부.txt</t>
  </si>
  <si>
    <t>열기2-01.노동법\02.문제\[모의][1][10.02-1]근로자의 오토바이 사고에 대한 출퇴근 재해 인정 여부 및 법적 근거.txt</t>
  </si>
  <si>
    <t>열기2-01.노동법\02.문제\[모의][1][10.02-2]근로자의 2차 회식 중 사고에 대한 업무상 재해 인정 여부.txt</t>
  </si>
  <si>
    <t>열기2-01.노동법\02.문제\[모의][1][10.03-1]근로자의 만성 근로 및 단기 과로에 따른 뇌출혈의 업무상 질병 인정 여부.txt</t>
  </si>
  <si>
    <t>열기2-01.노동법\02.문제\[모의][1][10.03-2]근로자의 직장 내 괴롭힘으로 인한 우울증의 업무상 질병 인정 여부.txt</t>
  </si>
  <si>
    <t>열기2-01.노동법\02.문제\[모의][1][10.04-1]출근 중 제3자의 신호 위반 사고로 발생한 부상의 업무상 재해 인정 여부.txt</t>
  </si>
  <si>
    <t>열기2-01.노동법\02.문제\[모의][1][10.04-2]제3자 가해로 인한 출퇴근 재해 시 산재급여와 손해배상의 조정 및 구상 관계.txt</t>
  </si>
  <si>
    <t>열기2-01.노동법\02.문제\[모의][2][11.02-1]유니언 숍 조항을 근거로 한 탈퇴 후 타 노조 가입자 해고의 정당성.txt</t>
  </si>
  <si>
    <t>열기2-01.노동법\02.문제\[모의][2][11.02-2]조합비 미납을 이유로 한 조합원 선거권 제한의 적법성.txt</t>
  </si>
  <si>
    <t>열기2-01.노동법\02.문제\[모의][2][11.03-1]대의원회 의결 없이 총회에서 이루어진 단체협약안 의결의 정당성.txt</t>
  </si>
  <si>
    <t>열기2-01.노동법\02.문제\[모의][2][11.03-2]총회 의결 정족수 충족 여부 및 위원장 해임결의의 유효성.txt</t>
  </si>
  <si>
    <t>열기2-01.노동법\02.문제\[모의][2][11.05-1]사용자의 노조 전임자 급여 지급 및 운영비 원조 행위의 부당노동행위 성립 여부와 단체협약의 효력.txt</t>
  </si>
  <si>
    <t>열기2-01.노동법\02.문제\[모의][2][11.05-2]근로시간 면제 제도(Time-Off)의 한도 초과 약정의 효력 및 급여 지급의 법적 쟁점.txt</t>
  </si>
  <si>
    <t>열기2-01.노동법\02.문제\[모의][2][12.06-1]단체교섭 중 사용자의 구체적 대안 제시 거부 및 경영 자료 제공 거부의 부당노동행위 성립 여부.txt</t>
  </si>
  <si>
    <t>열기2-01.노동법\02.문제\[모의][2][12.06-2]교섭 권한 없는 자로의 위임 및 교섭 불참과 성실교섭의무 위반의 판단 기준.txt</t>
  </si>
  <si>
    <t>열기2-01.노동법\02.문제\[모의][2][13.02-1]단체협약의 성립요건인 서면 작성 및 서명・날인의 법적 의미와 자필 서명의 효력.txt</t>
  </si>
  <si>
    <t>열기2-01.노동법\02.문제\[모의][2][13.02-2]조합원 인준투표 부결이 단체협약의 성립 및 효력 발생에 미치는 영향.txt</t>
  </si>
  <si>
    <t>열기2-01.노동법\02.문제\[모의][2][13.04-1]평화의무의 개념, 근거 및 명시적 조항 부재 시 인정 여부.txt</t>
  </si>
  <si>
    <t>열기2-01.노동법\02.문제\[모의][2][13.04-2]평화의무 위반 쟁의행위의 정당성 유무 및 법적 책임.txt</t>
  </si>
  <si>
    <t>열기2-01.노동법\02.문제\[모의][2][13.07-2]사무직 근로자에 대한 효력확장 여부 및 확장의 범위(채무적 부분 포함 여부).txt</t>
  </si>
  <si>
    <t>열기2-01.노동법\02.문제\[모의][2][14.07-1]쟁의행위의 정당성 결여 판단 및 민사상 손해배상 책임의 주체와 책임의 성질.txt</t>
  </si>
  <si>
    <t>열기2-01.노동법\02.문제\[모의][2][14.07-2]책임 제한의 개별화 원칙 적용 여부와 구체적인 판단 기준.txt</t>
  </si>
  <si>
    <t>열기2-01.노동법\02.문제\[모의][2][14.08-1]정당한 쟁의행위 기간 중 가족수당 및 근속수당 지급 의무 여부(무노동 무임금 원칙 적용 범위).txt</t>
  </si>
  <si>
    <t>열기2-01.노동법\02.문제\[모의][2][14.08-2]쟁의행위 및 징계(정직) 기간의 연차휴가 산정 시 출근지수 처리 방식.txt</t>
  </si>
  <si>
    <t>열기2-01.노동법\02.문제\[모의][2][14.09-1]안전보호시설의 정의와 쟁의행위 제한 취지 및 중앙제어실 파업 동참 행위의 정당성 여부.txt</t>
  </si>
  <si>
    <t>열기2-01.노동법\02.문제\[모의][2][14.09-2]필수유지업무 제도의 적용 범위・절차 및 일반 사업장에서의 사용자 일방 지정 가능성.txt</t>
  </si>
  <si>
    <t>열기2-01.노동법\02.문제\[모의][2][15.03-1]유니온 숍 조항의 성립 요건 및 소수 노조 조합원에 대한 효력 범위.txt</t>
  </si>
  <si>
    <t>열기2-01.노동법\02.문제\[모의][2][15.03-2]탈퇴 후 신규 노조 설립 준비 중인 근로자에 대한 해고의 부당노동행위 및 부당해고 해당 여부.txt</t>
  </si>
  <si>
    <t>취업규칙변경 연관(B)</t>
    <phoneticPr fontId="3" type="noConversion"/>
  </si>
  <si>
    <t>8.02-1</t>
    <phoneticPr fontId="3" type="noConversion"/>
  </si>
  <si>
    <t>1</t>
    <phoneticPr fontId="3" type="noConversion"/>
  </si>
  <si>
    <t>권고사직을 거부한 근로자에 대한 해고 방안</t>
    <phoneticPr fontId="3" type="noConversion"/>
  </si>
  <si>
    <t>07</t>
    <phoneticPr fontId="3" type="noConversion"/>
  </si>
  <si>
    <t>열기2-01.노동법\03.판례\[서울중앙지방법원 2024.11.15. 선고 2023가합86650 판결]경영상 이유에 의한 해고자에 대한 우선재고용의무의 요건인 ‘같은 업무’의 판단기준.txt</t>
    <phoneticPr fontId="3" type="noConversion"/>
  </si>
  <si>
    <t>열기2-01.노동법\02.문제\[모의][1][08.02-1]권고사직을 거부한 근로자에 대한 해고 방안.txt</t>
    <phoneticPr fontId="3" type="noConversion"/>
  </si>
  <si>
    <t>(2)</t>
    <phoneticPr fontId="3" type="noConversion"/>
  </si>
  <si>
    <t>보충 포함</t>
    <phoneticPr fontId="3" type="noConversion"/>
  </si>
  <si>
    <t>단협, 취규 관계 연관</t>
    <phoneticPr fontId="3" type="noConversion"/>
  </si>
  <si>
    <t>징계 연관</t>
    <phoneticPr fontId="3" type="noConversion"/>
  </si>
  <si>
    <t>1</t>
    <phoneticPr fontId="3" type="noConversion"/>
  </si>
  <si>
    <t>모의</t>
    <phoneticPr fontId="3" type="noConversion"/>
  </si>
  <si>
    <t>17</t>
    <phoneticPr fontId="3" type="noConversion"/>
  </si>
  <si>
    <t>보충 포함</t>
    <phoneticPr fontId="3" type="noConversion"/>
  </si>
  <si>
    <t>(2), 보충포함</t>
    <phoneticPr fontId="3" type="noConversion"/>
  </si>
  <si>
    <t>보충 포함, 규범적 효력/채무적 효력</t>
    <phoneticPr fontId="3" type="noConversion"/>
  </si>
  <si>
    <t>인준투표제 연관</t>
    <phoneticPr fontId="3" type="noConversion"/>
  </si>
  <si>
    <t>쟁의행위의 정당성 연관</t>
    <phoneticPr fontId="3" type="noConversion"/>
  </si>
  <si>
    <t>연차휴가 연관</t>
    <phoneticPr fontId="3" type="noConversion"/>
  </si>
  <si>
    <t>금품이 일정 간격을 두고 계속적・반복적으로 지급되는 성질을 말한다. 즉, 지급시기가 미리 정해져 있는 것을 의미한다. (지급 시기)</t>
    <phoneticPr fontId="3" type="noConversion"/>
  </si>
  <si>
    <t>장2↑</t>
    <phoneticPr fontId="3" type="noConversion"/>
  </si>
  <si>
    <t>해고 연관</t>
    <phoneticPr fontId="3" type="noConversion"/>
  </si>
  <si>
    <t>2024-1-2</t>
    <phoneticPr fontId="3" type="noConversion"/>
  </si>
  <si>
    <t>09</t>
    <phoneticPr fontId="3" type="noConversion"/>
  </si>
  <si>
    <t>(2), 영엽양도 연관</t>
    <phoneticPr fontId="3" type="noConversion"/>
  </si>
  <si>
    <t>1-2</t>
    <phoneticPr fontId="3" type="noConversion"/>
  </si>
  <si>
    <t>1</t>
    <phoneticPr fontId="3" type="noConversion"/>
  </si>
  <si>
    <t>03</t>
    <phoneticPr fontId="3" type="noConversion"/>
  </si>
  <si>
    <t>영업양도 상황에서 회사 잔류를 희망한 근로자의 해고에 대한 정당성</t>
    <phoneticPr fontId="3" type="noConversion"/>
  </si>
  <si>
    <t>열기2-01.노동법\02.문제\[기출][1][2024-1-2]영업양도 상황에서 회사 잔류를 희망한 근로자의 해고에 대한 정당성.txt</t>
    <phoneticPr fontId="3" type="noConversion"/>
  </si>
  <si>
    <t>기출</t>
    <phoneticPr fontId="3" type="noConversion"/>
  </si>
  <si>
    <t>문제번호</t>
    <phoneticPr fontId="3" type="noConversion"/>
  </si>
  <si>
    <t>04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</si>
  <si>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</si>
  <si>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</si>
  <si>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</si>
  <si>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</si>
  <si>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</si>
  <si>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</si>
  <si>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</si>
  <si>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</si>
  <si>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</si>
  <si>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</si>
  <si>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</si>
  <si>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</si>
  <si>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</si>
  <si>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</si>
  <si>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</si>
  <si>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</si>
  <si>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보충 포함, 사회적 신분</t>
    <phoneticPr fontId="3" type="noConversion"/>
  </si>
  <si>
    <t>과목</t>
    <phoneticPr fontId="3" type="noConversion"/>
  </si>
  <si>
    <t>KEY</t>
    <phoneticPr fontId="3" type="noConversion"/>
  </si>
  <si>
    <t>본문링크</t>
    <phoneticPr fontId="3" type="noConversion"/>
  </si>
  <si>
    <t>등급</t>
    <phoneticPr fontId="3" type="noConversion"/>
  </si>
  <si>
    <t>임금 연관</t>
    <phoneticPr fontId="3" type="noConversion"/>
  </si>
  <si>
    <t>*노조법 제33조(기준의 효력)
*근기법 제15조(이 법을 위반한 근로계약)
*근기법 제96조(단체협약의 준수)
*근기법 제97조(위반의 효력)</t>
    <phoneticPr fontId="3" type="noConversion"/>
  </si>
  <si>
    <t>교섭 거부・해태 연관</t>
    <phoneticPr fontId="3" type="noConversion"/>
  </si>
  <si>
    <t>기득이익, 단협-계약관계 연관</t>
    <phoneticPr fontId="3" type="noConversion"/>
  </si>
  <si>
    <t>사업장 단위 효력확장 제도의 의의 및 취지, 생산직 비조합원에 대한 요건 충족 여부</t>
    <phoneticPr fontId="3" type="noConversion"/>
  </si>
  <si>
    <t>열기2-01.노동법\02.문제\[모의][2][13.07-1]사업장 단위 효력확장 제도의 의의 및 취지, 생산직 비조합원에 대한 요건 충족 여부.txt</t>
    <phoneticPr fontId="3" type="noConversion"/>
  </si>
  <si>
    <t>쟁점</t>
  </si>
  <si>
    <t>*취업규칙이 불이익하게 변경되었다 하더라도 개별 근로계약에 유리한 조건이 존재한다면 해당 조건이 우선 적용된다.
*단체협약과 취업규칙 사이에는 유리한 조건 우선 원칙을 부정한다.
*단체협약은 노동조합이 조합원 전체의 이익을 고려하여 체결한 것이므로, 특정 부분이 취업규칙보다 불리하더라도 전체적으로 단체협약이 체결됨으로써 발생하는 평화유지 및 근로조건의 통일적 적용이라는 목적이 중요시되어야 한다고 본다.</t>
    <phoneticPr fontId="3" type="noConversion"/>
  </si>
  <si>
    <t>단체협약과 취업규칙이 충돌하는 경우 노동조합법상 단체협약의 우선적 효력에도 불구하고 근로자에게 유리한 취업규칙 조항이 적용될 수 있는지</t>
    <phoneticPr fontId="3" type="noConversion"/>
  </si>
  <si>
    <t>*유리한 조건 우선의 원칙
*근로조건의 통일적 적용
*노사간 타협을 통한 산업평화 달성</t>
    <phoneticPr fontId="3" type="noConversion"/>
  </si>
  <si>
    <t>법리 및 주요 개념</t>
  </si>
  <si>
    <t>설립 미신고 지부노동조합의 쟁의행위에 대한 목적의 정당성</t>
    <phoneticPr fontId="3" type="noConversion"/>
  </si>
  <si>
    <t>설립 미신고 지부노동조합의 쟁의행위에 대한 주체의 정당성</t>
    <phoneticPr fontId="3" type="noConversion"/>
  </si>
  <si>
    <t>열기2-01.노동법\02.문제\[기출][2][2013-1-1]설립 미신고 지부노동조합의 쟁의행위에 대한 주체의 정당성.txt</t>
    <phoneticPr fontId="3" type="noConversion"/>
  </si>
  <si>
    <t>열기2-01.노동법\02.문제\[기출][2][2013-1-2]설립 미신고 지부노동조합의 쟁의행위에 대한 목적의 정당성.txt</t>
    <phoneticPr fontId="3" type="noConversion"/>
  </si>
  <si>
    <t>단체협약 평화의무 연관</t>
    <phoneticPr fontId="3" type="noConversion"/>
  </si>
  <si>
    <t>노동조합 쟁의행위의 절차적 정당성의 요건, 절차 위반 시 효력</t>
    <phoneticPr fontId="3" type="noConversion"/>
  </si>
  <si>
    <t>직장점거 중 단행된 사용자의 직장폐쇄에 따른 법률적 효과</t>
  </si>
  <si>
    <t>*노조법 제2조(정의)
*노조법 제41조(쟁의행위의 제한과 금지)
*노조법 제45조(조정의 전치)</t>
    <phoneticPr fontId="3" type="noConversion"/>
  </si>
  <si>
    <t>*시설관리권
*퇴거불응죄
*임금지급의무</t>
    <phoneticPr fontId="3" type="noConversion"/>
  </si>
  <si>
    <t>사용자의 대항적 쟁의행위인 직장폐쇄의 정당성 요건과 법률적 효과</t>
    <phoneticPr fontId="3" type="noConversion"/>
  </si>
  <si>
    <t>열기2-01.노동법\02.문제\[기출][2][2009-2]직장점거 중 단행된 사용자의 직장폐쇄에 따른 법률적 효과.txt</t>
  </si>
  <si>
    <t>제14장 쟁의행위-제06절 사용자의 쟁의행위-01</t>
  </si>
  <si>
    <t>제06절 사용자의 쟁의행위</t>
    <phoneticPr fontId="3" type="noConversion"/>
  </si>
  <si>
    <t>쟁의행위 수단・방법 연관</t>
    <phoneticPr fontId="3" type="noConversion"/>
  </si>
  <si>
    <t>직장폐쇄 연관</t>
    <phoneticPr fontId="3" type="noConversion"/>
  </si>
  <si>
    <t>제6절과 연관</t>
    <phoneticPr fontId="3" type="noConversion"/>
  </si>
  <si>
    <t>원청 사업장에서 쟁의행위를 실시한 하청 노동조합에 대한 퇴거불응죄 성립 여부</t>
    <phoneticPr fontId="3" type="noConversion"/>
  </si>
  <si>
    <t>열기2-01.노동법\02.문제\[기출][2][2022-1-1]원청 사업장에서 쟁의행위를 실시한 하청 노동조합에 대한 퇴거불응죄 성립 여부.txt</t>
    <phoneticPr fontId="3" type="noConversion"/>
  </si>
  <si>
    <t>개별 근로자의 동의나 합의를 요하는 연장근로를 노동조합의 지시에 따라 집단적・계획적으로 거부한 행위가 노조법상 쟁의행위에 해당하는지</t>
    <phoneticPr fontId="3" type="noConversion"/>
  </si>
  <si>
    <t>사용자의 정당한 직장폐쇄의 개념, 요건, 법적 효과</t>
    <phoneticPr fontId="3" type="noConversion"/>
  </si>
  <si>
    <t>*노조법 제46조(직장폐쇄의 요건)</t>
    <phoneticPr fontId="3" type="noConversion"/>
  </si>
  <si>
    <t>*장소의 구조적 불가분성
*합리적 대체 장소</t>
    <phoneticPr fontId="3" type="noConversion"/>
  </si>
  <si>
    <t>정당한 직장폐쇄의 효과로서 근로자의 사업장 출입 제한 범위가 생산시설에 한정되는지, 비생산시설이자 조합활동의 핵심 장소인 노조사무실까지 미치는지</t>
    <phoneticPr fontId="3" type="noConversion"/>
  </si>
  <si>
    <t>임금 연관</t>
    <phoneticPr fontId="3" type="noConversion"/>
  </si>
  <si>
    <t>*책임 제한의 개별화 원칙
*공동불법행위자별 책임의 개별화</t>
    <phoneticPr fontId="3" type="noConversion"/>
  </si>
  <si>
    <t>문제주제</t>
    <phoneticPr fontId="3" type="noConversion"/>
  </si>
  <si>
    <t>국제근로관계에서 외국기업이 대한민국 내에서 직접 영위하는 사업의 상시 근로자 수를 산정할 때 근로기준법상 상시 5명 이상의 근로자를 사용하는 사업 또는 사업장 해당 여부를 판단하는 기준이 무엇인지</t>
    <phoneticPr fontId="3" type="noConversion"/>
  </si>
  <si>
    <t>*경영상 일체성
*유기적 관련성</t>
    <phoneticPr fontId="3" type="noConversion"/>
  </si>
  <si>
    <t>*원칙 : 대한민국 영토 내의 근로자 수 기준, 법인격이 다른 기업 조직은 하나의 사업장을 구성할 수 없다.</t>
    <phoneticPr fontId="3" type="noConversion"/>
  </si>
  <si>
    <t>키워드</t>
    <phoneticPr fontId="3" type="noConversion"/>
  </si>
  <si>
    <t>법령</t>
    <phoneticPr fontId="3" type="noConversion"/>
  </si>
  <si>
    <t>판매용역계약의 형식에도 불구하고 甲이 근로기준법상 근로자에 해당하여 근로시간에 따른 가산임금을 청구할 수 있는지</t>
    <phoneticPr fontId="3" type="noConversion"/>
  </si>
  <si>
    <t>*고정성은 법적 근거가 없으며, 정당한 근로의 대가를 배제하는 도구로 오용되어 왔으므로 이를 배제함이 타당</t>
    <phoneticPr fontId="3" type="noConversion"/>
  </si>
  <si>
    <t>*근기법 시행령 제6조(통상임금)</t>
    <phoneticPr fontId="3" type="noConversion"/>
  </si>
  <si>
    <t>*소정근로자의 대가
*정기성
*일률성
*전형적 속성
*재직조건부</t>
    <phoneticPr fontId="3" type="noConversion"/>
  </si>
  <si>
    <t>*소정근로자의 대가
*정기성
*일률성
*전형적 속성
*근무일수조건부</t>
    <phoneticPr fontId="3" type="noConversion"/>
  </si>
  <si>
    <t>제07절 노동조합법상 사용자</t>
    <phoneticPr fontId="3" type="noConversion"/>
  </si>
  <si>
    <t>제05절 노동조합법상 근로자</t>
    <phoneticPr fontId="3" type="noConversion"/>
  </si>
  <si>
    <t>제01장 노동법 총론</t>
    <phoneticPr fontId="3" type="noConversion"/>
  </si>
  <si>
    <t>제04절 차별 시정</t>
    <phoneticPr fontId="3" type="noConversion"/>
  </si>
  <si>
    <t>제04절 조합활동의 정당성</t>
    <phoneticPr fontId="3" type="noConversion"/>
  </si>
  <si>
    <t>제07절 노동조합의 합병・해산・조직변경</t>
    <phoneticPr fontId="3" type="noConversion"/>
  </si>
  <si>
    <t>노동조합의 합병・해산・조직변경</t>
    <phoneticPr fontId="3" type="noConversion"/>
  </si>
  <si>
    <t>열기2-01.노동법\01.본문\제11장 노동조합.제07절 노동조합의 합병・해산・조직변경.txt</t>
    <phoneticPr fontId="3" type="noConversion"/>
  </si>
  <si>
    <t>*통상임금의 개념적 징표인 고정성이 인정되는지
*재직조건이 부가된 정기상여금이 통상임금에 해당할 수 있는지</t>
    <phoneticPr fontId="3" type="noConversion"/>
  </si>
  <si>
    <t>*근로기준법상 근로자성 판단기준
 -지휘・감독 여부
 -근무시간・장소의 구속
 -대체 근로 가능성
 -보수의 성격
 -사회보장제도 가입 여부(보조적요소)</t>
    <phoneticPr fontId="3" type="noConversion"/>
  </si>
  <si>
    <t>*고정성은 법령상 근거가 없으며, 지급 조건의 부가로 통상임금성을 쉽게 부정하여 연장근로 등에 대한 정당한 보상을 저해한다고 보아 개념적 징표에서 완전히 배제
*정기성 : 지급시기와 금액이 미리 정해짐
*일률성 : 지급대상이 미리 정해짐</t>
    <phoneticPr fontId="3" type="noConversion"/>
  </si>
  <si>
    <t>학설/비고</t>
    <phoneticPr fontId="3" type="noConversion"/>
  </si>
  <si>
    <t>제07절 노동조합의 합병・해산・조직변경</t>
  </si>
  <si>
    <t>제15장 부당노동행위</t>
    <phoneticPr fontId="3" type="noConversion"/>
  </si>
  <si>
    <t>제04절 단체교섭의 거부・해태</t>
    <phoneticPr fontId="3" type="noConversion"/>
  </si>
  <si>
    <t>제12장 단체교섭</t>
    <phoneticPr fontId="3" type="noConversion"/>
  </si>
  <si>
    <t>제01절 단체교섭의 당사자</t>
    <phoneticPr fontId="3" type="noConversion"/>
  </si>
  <si>
    <t>제05절 지배・개입</t>
    <phoneticPr fontId="3" type="noConversion"/>
  </si>
  <si>
    <t>제03절 단체교섭의 대상</t>
    <phoneticPr fontId="3" type="noConversion"/>
  </si>
  <si>
    <t>제13장 단체협약</t>
    <phoneticPr fontId="3" type="noConversion"/>
  </si>
  <si>
    <t>제06절 단체협약의 중요조항</t>
    <phoneticPr fontId="3" type="noConversion"/>
  </si>
  <si>
    <t>제08장 근로관계의 종료</t>
    <phoneticPr fontId="3" type="noConversion"/>
  </si>
  <si>
    <t>제02절 해고의 실체적 정당성</t>
    <phoneticPr fontId="3" type="noConversion"/>
  </si>
  <si>
    <t>제09장 비정규근로자</t>
    <phoneticPr fontId="3" type="noConversion"/>
  </si>
  <si>
    <t>제03절 파견근로자</t>
    <phoneticPr fontId="3" type="noConversion"/>
  </si>
  <si>
    <t>제03절 해고의 절차적 정당성</t>
    <phoneticPr fontId="3" type="noConversion"/>
  </si>
  <si>
    <t>제01절 기간제근로자</t>
    <phoneticPr fontId="3" type="noConversion"/>
  </si>
  <si>
    <t>제06절 부당노동행위에 대한 구제</t>
    <phoneticPr fontId="3" type="noConversion"/>
  </si>
  <si>
    <t>제03장 임금</t>
    <phoneticPr fontId="3" type="noConversion"/>
  </si>
  <si>
    <t>제04절 임금지급의 원칙</t>
    <phoneticPr fontId="3" type="noConversion"/>
  </si>
  <si>
    <t>2025년도</t>
    <phoneticPr fontId="3" type="noConversion"/>
  </si>
  <si>
    <t>2024년도</t>
    <phoneticPr fontId="3" type="noConversion"/>
  </si>
  <si>
    <t>2023년도</t>
  </si>
  <si>
    <t>2022년도</t>
  </si>
  <si>
    <t>2021년도</t>
  </si>
  <si>
    <t>2020년도</t>
  </si>
  <si>
    <t>2019년도</t>
  </si>
  <si>
    <t>2018년도</t>
  </si>
  <si>
    <t>2017년도</t>
  </si>
  <si>
    <t>2016년도</t>
  </si>
  <si>
    <t>2015년도</t>
  </si>
  <si>
    <t>2014년도</t>
  </si>
  <si>
    <t>2013년도</t>
  </si>
  <si>
    <t>2012년도</t>
  </si>
  <si>
    <t>2011년도</t>
  </si>
  <si>
    <t>2010년도</t>
  </si>
  <si>
    <t>2009년도</t>
  </si>
  <si>
    <t>2008년도</t>
  </si>
  <si>
    <t>총론</t>
    <phoneticPr fontId="3" type="noConversion"/>
  </si>
  <si>
    <t>근로관계의 변경</t>
    <phoneticPr fontId="3" type="noConversion"/>
  </si>
  <si>
    <t>기타</t>
    <phoneticPr fontId="3" type="noConversion"/>
  </si>
  <si>
    <t>(인사처분, 근로관계의 이전)</t>
    <phoneticPr fontId="3" type="noConversion"/>
  </si>
  <si>
    <t>단체교섭의 대상성</t>
    <phoneticPr fontId="3" type="noConversion"/>
  </si>
  <si>
    <t>(비정규 근로자, 업무상 재해, 기타법령)</t>
    <phoneticPr fontId="3" type="noConversion"/>
  </si>
  <si>
    <t>중요도('26년)</t>
    <phoneticPr fontId="3" type="noConversion"/>
  </si>
  <si>
    <r>
      <rPr>
        <b/>
        <sz val="9"/>
        <color theme="1"/>
        <rFont val="함초롬돋움"/>
        <family val="3"/>
        <charset val="129"/>
      </rPr>
      <t>[1-1]해고의 실체적 정당성</t>
    </r>
    <r>
      <rPr>
        <sz val="9"/>
        <color theme="1"/>
        <rFont val="함초롬돋움"/>
        <family val="3"/>
        <charset val="129"/>
      </rPr>
      <t xml:space="preserve">
 -우선재고용의무 위반에 따른 근로자 지위 인정 여부
</t>
    </r>
    <r>
      <rPr>
        <b/>
        <sz val="9"/>
        <color theme="1"/>
        <rFont val="함초롬돋움"/>
        <family val="3"/>
        <charset val="129"/>
      </rPr>
      <t>[1-2]해고의 실체적 정당성</t>
    </r>
    <r>
      <rPr>
        <sz val="9"/>
        <color theme="1"/>
        <rFont val="함초롬돋움"/>
        <family val="3"/>
        <charset val="129"/>
      </rPr>
      <t xml:space="preserve">
 -우선재고용의무 위반 시 손해배상의무의 발생 시점 및 배상액 산정 방식(중간수입공제)</t>
    </r>
    <phoneticPr fontId="3" type="noConversion"/>
  </si>
  <si>
    <r>
      <rPr>
        <b/>
        <sz val="9"/>
        <color theme="1"/>
        <rFont val="함초롬돋움"/>
        <family val="3"/>
        <charset val="129"/>
      </rPr>
      <t>[2]노조위원장의 작업중지권 행사</t>
    </r>
    <r>
      <rPr>
        <sz val="9"/>
        <color theme="1"/>
        <rFont val="함초롬돋움"/>
        <family val="3"/>
        <charset val="129"/>
      </rPr>
      <t xml:space="preserve">
 -화학물질 누출 사고에 따른 근로자 및 노동조합 위원장의 작업중지권 행사의 정당성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</si>
  <si>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[1-1]기간제근로자의 갱신기대권</t>
    </r>
    <r>
      <rPr>
        <sz val="9"/>
        <color theme="1"/>
        <rFont val="함초롬돋움"/>
        <family val="3"/>
        <charset val="129"/>
      </rPr>
      <t xml:space="preserve">
 -기간제 근로자에 대한 근무평가 결과에 기초한 갱신거절 통보의 정당성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</si>
  <si>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[1-2]영업양도 시 잔류희망자의 해고</t>
    </r>
    <r>
      <rPr>
        <sz val="9"/>
        <color theme="1"/>
        <rFont val="함초롬돋움"/>
        <family val="3"/>
        <charset val="129"/>
      </rPr>
      <t xml:space="preserve">
 -영업양도 상황에서 회사 잔류를 희망한 근로자의 해고에 대한 정당성</t>
    </r>
    <phoneticPr fontId="3" type="noConversion"/>
  </si>
  <si>
    <t>A</t>
    <phoneticPr fontId="3" type="noConversion"/>
  </si>
  <si>
    <r>
      <rPr>
        <b/>
        <sz val="9"/>
        <color theme="1"/>
        <rFont val="함초롬돋움"/>
        <family val="3"/>
        <charset val="129"/>
      </rPr>
      <t>[1-2]영업양도 시 잔류희망자의 해고</t>
    </r>
    <r>
      <rPr>
        <sz val="9"/>
        <color theme="1"/>
        <rFont val="함초롬돋움"/>
        <family val="3"/>
        <charset val="129"/>
      </rPr>
      <t xml:space="preserve">
 -영업양도 상황에서 회사 잔류를 희망한 근로자의 해고에 대한 정당성
</t>
    </r>
    <r>
      <rPr>
        <b/>
        <sz val="9"/>
        <color theme="1"/>
        <rFont val="함초롬돋움"/>
        <family val="3"/>
        <charset val="129"/>
      </rPr>
      <t>[2]부당해고의 구제</t>
    </r>
    <r>
      <rPr>
        <sz val="9"/>
        <color theme="1"/>
        <rFont val="함초롬돋움"/>
        <family val="3"/>
        <charset val="129"/>
      </rPr>
      <t xml:space="preserve">
 -부당해고 기간 중 중간수입공제의 범위와 최종 임금상당액 산정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</si>
  <si>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[1-1]해고의 실체적 정당성(경영상 해고)</t>
    </r>
    <r>
      <rPr>
        <sz val="9"/>
        <color theme="1"/>
        <rFont val="함초롬돋움"/>
        <family val="3"/>
        <charset val="129"/>
      </rPr>
      <t xml:space="preserve">
 -경영상 이유에 의한 해고 대상자 선정 기준에 대한 합리성 및 공정성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</si>
  <si>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[1-2]징계 절차의 정당성</t>
    </r>
    <r>
      <rPr>
        <sz val="9"/>
        <color theme="1"/>
        <rFont val="함초롬돋움"/>
        <family val="3"/>
        <charset val="129"/>
      </rPr>
      <t xml:space="preserve">
 -절차의 흠결이 있는 징계의 효력에 대한 노조 대표자 주장의 타당성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</si>
  <si>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[2]실질적 사용자/계약형태별 고용의무</t>
    </r>
    <r>
      <rPr>
        <sz val="9"/>
        <color theme="1"/>
        <rFont val="함초롬돋움"/>
        <family val="3"/>
        <charset val="129"/>
      </rPr>
      <t xml:space="preserve">
 -근로계약관계의 실질적 사용자 및 계약의 형태(도급, 전적, 파견)에 따른 직접고용의무 판단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</si>
  <si>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[1-1]저성과자 해고의 정당성</t>
    </r>
    <r>
      <rPr>
        <sz val="9"/>
        <color theme="1"/>
        <rFont val="함초롬돋움"/>
        <family val="3"/>
        <charset val="129"/>
      </rPr>
      <t xml:space="preserve">
 -근무성적 불량 저성과자 해고의 정당성 요건 및 해고처분의 타당성 여부
</t>
    </r>
    <r>
      <rPr>
        <b/>
        <sz val="9"/>
        <color theme="1"/>
        <rFont val="함초롬돋움"/>
        <family val="3"/>
        <charset val="129"/>
      </rPr>
      <t>[1-2]해고 서면통지 의무</t>
    </r>
    <r>
      <rPr>
        <sz val="9"/>
        <color theme="1"/>
        <rFont val="함초롬돋움"/>
        <family val="3"/>
        <charset val="129"/>
      </rPr>
      <t xml:space="preserve">
 -근로자가 해고사유를 구두로 인지하고 있는 경우 해고통지서상 해고사유 기재 누락 시 근로기준법 위반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</si>
  <si>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[2]통상임금의 징표</t>
    </r>
    <r>
      <rPr>
        <sz val="9"/>
        <color theme="1"/>
        <rFont val="함초롬돋움"/>
        <family val="3"/>
        <charset val="129"/>
      </rPr>
      <t xml:space="preserve">
 -정기상여금의 고정성에 따른 통상임금 해당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</si>
  <si>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[1-1]취업규칙의 효력</t>
    </r>
    <r>
      <rPr>
        <sz val="9"/>
        <color theme="1"/>
        <rFont val="함초롬돋움"/>
        <family val="3"/>
        <charset val="129"/>
      </rPr>
      <t xml:space="preserve">
 -비조합원에 대한 불이익 취업규칙 적용의 효력
</t>
    </r>
    <r>
      <rPr>
        <b/>
        <sz val="9"/>
        <color theme="1"/>
        <rFont val="함초롬돋움"/>
        <family val="3"/>
        <charset val="129"/>
      </rPr>
      <t>[1-2]취업규칙vs개별 근로계약</t>
    </r>
    <r>
      <rPr>
        <sz val="9"/>
        <color theme="1"/>
        <rFont val="함초롬돋움"/>
        <family val="3"/>
        <charset val="129"/>
      </rPr>
      <t xml:space="preserve">
 -개별 근로자 대상 근로계약 대비 불이익 취업규칙의 동의 없는 적용 가능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</si>
  <si>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[2]소송 계속 중 근로계약 만료 시 소익</t>
    </r>
    <r>
      <rPr>
        <sz val="9"/>
        <color theme="1"/>
        <rFont val="함초롬돋움"/>
        <family val="3"/>
        <charset val="129"/>
      </rPr>
      <t xml:space="preserve">
 -정년 도달로 근로관계가 종료된 경우 부당해고 재심판정취소소송의 소의 이익 존부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</si>
  <si>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[1-1]근로기준법상 사용자</t>
    </r>
    <r>
      <rPr>
        <sz val="9"/>
        <color theme="1"/>
        <rFont val="함초롬돋움"/>
        <family val="3"/>
        <charset val="129"/>
      </rPr>
      <t xml:space="preserve">
 -명목상 외주업체 소속 근로자의 실질적 사업주 판단 기준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</si>
  <si>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[1-1]근로기준법상 사용자</t>
    </r>
    <r>
      <rPr>
        <sz val="9"/>
        <color theme="1"/>
        <rFont val="함초롬돋움"/>
        <family val="3"/>
        <charset val="129"/>
      </rPr>
      <t xml:space="preserve">
 -명목상 외주업체 소속 근로자의 실질적 사업주 판단 기준
</t>
    </r>
    <r>
      <rPr>
        <b/>
        <sz val="9"/>
        <color theme="1"/>
        <rFont val="함초롬돋움"/>
        <family val="3"/>
        <charset val="129"/>
      </rPr>
      <t>[1-2]무허가 파견의 직접고용의무</t>
    </r>
    <r>
      <rPr>
        <sz val="9"/>
        <color theme="1"/>
        <rFont val="함초롬돋움"/>
        <family val="3"/>
        <charset val="129"/>
      </rPr>
      <t xml:space="preserve">
 -통행료 수납원의 근로자파견 여부 및 무허가 파견에 따른 직접고용의무
</t>
    </r>
    <r>
      <rPr>
        <b/>
        <sz val="9"/>
        <color theme="1"/>
        <rFont val="함초롬돋움"/>
        <family val="3"/>
        <charset val="129"/>
      </rPr>
      <t>[2]2차회식의 업무상 재해 인정 여부</t>
    </r>
    <r>
      <rPr>
        <sz val="9"/>
        <color theme="1"/>
        <rFont val="함초롬돋움"/>
        <family val="3"/>
        <charset val="129"/>
      </rPr>
      <t xml:space="preserve">
 -산업재해보상보험법상 2차 회식의 업무상 재해 인정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</si>
  <si>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[1-1]경영상 해고의 대상자 선정</t>
    </r>
    <r>
      <rPr>
        <sz val="9"/>
        <color theme="1"/>
        <rFont val="함초롬돋움"/>
        <family val="3"/>
        <charset val="129"/>
      </rPr>
      <t xml:space="preserve">
 -경영상 이유에 의한 해고 대상자 선정 기준의 위법성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</si>
  <si>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[1-2]사이닝보너스의 반환</t>
    </r>
    <r>
      <rPr>
        <sz val="9"/>
        <color theme="1"/>
        <rFont val="함초롬돋움"/>
        <family val="3"/>
        <charset val="129"/>
      </rPr>
      <t xml:space="preserve">
 -중도 퇴사자 대상 사이닝보너스 반환 청구의 타당성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</si>
  <si>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[2]임금채권의 양도・양수</t>
    </r>
    <r>
      <rPr>
        <sz val="9"/>
        <color theme="1"/>
        <rFont val="함초롬돋움"/>
        <family val="3"/>
        <charset val="129"/>
      </rPr>
      <t xml:space="preserve">
 -임금채권 양수자의 청구에 대한 사용자의 지급 의무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</si>
  <si>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[1-1]근로기준법상 근로자</t>
    </r>
    <r>
      <rPr>
        <sz val="9"/>
        <color theme="1"/>
        <rFont val="함초롬돋움"/>
        <family val="3"/>
        <charset val="129"/>
      </rPr>
      <t xml:space="preserve">
 -제조업체와 판매용역계약을 체결한 백화점 판매원의 근로기준법상 근로자 해당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</si>
  <si>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[1-2]통상임금 판단 기준</t>
    </r>
    <r>
      <rPr>
        <sz val="9"/>
        <color theme="1"/>
        <rFont val="함초롬돋움"/>
        <family val="3"/>
        <charset val="129"/>
      </rPr>
      <t xml:space="preserve">
 -판매용역계약을 체결한 판매원이 지급받은 수수료의 통상임금 해당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</si>
  <si>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[2]기간제근로자의 갱신기대권</t>
    </r>
    <r>
      <rPr>
        <sz val="9"/>
        <color theme="1"/>
        <rFont val="함초롬돋움"/>
        <family val="3"/>
        <charset val="129"/>
      </rPr>
      <t xml:space="preserve">
 -기간제 근로계약 만료 시 사용자의 갱신거절이 부당해고에 해당하는지에 관한 판례법리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</si>
  <si>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[1-1]징계해고의 정당성</t>
    </r>
    <r>
      <rPr>
        <sz val="9"/>
        <color theme="1"/>
        <rFont val="함초롬돋움"/>
        <family val="3"/>
        <charset val="129"/>
      </rPr>
      <t xml:space="preserve">
 -확정되지 않은 징계사유로 단행된 해고의 정당성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</si>
  <si>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[2]차별적 처우의 합리성</t>
    </r>
    <r>
      <rPr>
        <sz val="9"/>
        <color theme="1"/>
        <rFont val="함초롬돋움"/>
        <family val="3"/>
        <charset val="129"/>
      </rPr>
      <t xml:space="preserve">
 -계약직에서 정규직으로 전환된 근로자에 대한 경력 인정 차별의 정당성 여부
</t>
    </r>
    <r>
      <rPr>
        <b/>
        <sz val="9"/>
        <color theme="1"/>
        <rFont val="함초롬돋움"/>
        <family val="3"/>
        <charset val="129"/>
      </rPr>
      <t>[1-2]퇴직금 분할 약정의 효력</t>
    </r>
    <r>
      <rPr>
        <sz val="9"/>
        <color theme="1"/>
        <rFont val="함초롬돋움"/>
        <family val="3"/>
        <charset val="129"/>
      </rPr>
      <t xml:space="preserve">
 -매월 균분하여 지급받은 퇴직금 분할 약정의 효력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</si>
  <si>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[1-1]연차유급휴가 산정 기준</t>
    </r>
    <r>
      <rPr>
        <sz val="9"/>
        <color theme="1"/>
        <rFont val="함초롬돋움"/>
        <family val="3"/>
        <charset val="129"/>
      </rPr>
      <t xml:space="preserve">
 -적법한 파업 참가 근로자의 출근율 및 연차유급휴가 일수 산정 방식과 회사 주장의 정당성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</si>
  <si>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[1-2]해고의 정당성</t>
    </r>
    <r>
      <rPr>
        <sz val="9"/>
        <color theme="1"/>
        <rFont val="함초롬돋움"/>
        <family val="3"/>
        <charset val="129"/>
      </rPr>
      <t xml:space="preserve">
 -이력서 허위 기재를 근거로 한 해고의 정당성
</t>
    </r>
    <r>
      <rPr>
        <b/>
        <sz val="9"/>
        <color theme="1"/>
        <rFont val="함초롬돋움"/>
        <family val="3"/>
        <charset val="129"/>
      </rPr>
      <t>[2]시용 본채용 거부의 실질적 성질</t>
    </r>
    <r>
      <rPr>
        <sz val="9"/>
        <color theme="1"/>
        <rFont val="함초롬돋움"/>
        <family val="3"/>
        <charset val="129"/>
      </rPr>
      <t xml:space="preserve">
 -시용기간 만료 시 본채용 거부의 해고 여부 및 구두 통보의 정당성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</si>
  <si>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[1-i]취업규칙 변경의 정당성</t>
    </r>
    <r>
      <rPr>
        <sz val="9"/>
        <color theme="1"/>
        <rFont val="함초롬돋움"/>
        <family val="3"/>
        <charset val="129"/>
      </rPr>
      <t xml:space="preserve">
 -노동조합 동의 없이 개별 근로자의 동의로 변경한 인사규정의 효력</t>
    </r>
    <phoneticPr fontId="3" type="noConversion"/>
  </si>
  <si>
    <r>
      <rPr>
        <b/>
        <sz val="9"/>
        <color theme="1"/>
        <rFont val="함초롬돋움"/>
        <family val="3"/>
        <charset val="129"/>
      </rPr>
      <t>[1-ii]휴직의 정당성</t>
    </r>
    <r>
      <rPr>
        <sz val="9"/>
        <color theme="1"/>
        <rFont val="함초롬돋움"/>
        <family val="3"/>
        <charset val="129"/>
      </rPr>
      <t xml:space="preserve">
 -노동조합 동의 없이 개별 근로자의 동의로 변경한 인사규정을 근거로 한 휴직 명령 유지의 정당성
</t>
    </r>
    <r>
      <rPr>
        <b/>
        <sz val="9"/>
        <color theme="1"/>
        <rFont val="함초롬돋움"/>
        <family val="3"/>
        <charset val="129"/>
      </rPr>
      <t>[2]회사 분할에 따른 근로관계</t>
    </r>
    <r>
      <rPr>
        <sz val="9"/>
        <color theme="1"/>
        <rFont val="함초롬돋움"/>
        <family val="3"/>
        <charset val="129"/>
      </rPr>
      <t xml:space="preserve">
 -회사분할에 따른 근로관계 승계 시 개별 근로자의 거부권 행사 가능 여부</t>
    </r>
    <phoneticPr fontId="3" type="noConversion"/>
  </si>
  <si>
    <t>제06절 직위해제(대기발령)</t>
    <phoneticPr fontId="3" type="noConversion"/>
  </si>
  <si>
    <r>
      <rPr>
        <b/>
        <sz val="9"/>
        <color theme="1"/>
        <rFont val="함초롬돋움"/>
        <family val="3"/>
        <charset val="129"/>
      </rPr>
      <t>[1-1]직위해제</t>
    </r>
    <r>
      <rPr>
        <sz val="9"/>
        <color theme="1"/>
        <rFont val="함초롬돋움"/>
        <family val="3"/>
        <charset val="129"/>
      </rPr>
      <t xml:space="preserve">
 -근무성적 불량 직원에 대한 직위해제・대기발령 처분의 정당성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</si>
  <si>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[1-2]해고의 실체적 적당성</t>
    </r>
    <r>
      <rPr>
        <sz val="9"/>
        <color theme="1"/>
        <rFont val="함초롬돋움"/>
        <family val="3"/>
        <charset val="129"/>
      </rPr>
      <t xml:space="preserve">
 -직위해제 및 대기발령 이후 재발령 없이 당연퇴직된 처분의 정당성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</si>
  <si>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[2]임금채권의 상계</t>
    </r>
    <r>
      <rPr>
        <sz val="9"/>
        <color theme="1"/>
        <rFont val="함초롬돋움"/>
        <family val="3"/>
        <charset val="129"/>
      </rPr>
      <t xml:space="preserve">
 -근로자의 임금채권과 사용자의 채권 간 상계 가능성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</si>
  <si>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[1-1]취업규칙의 변경</t>
    </r>
    <r>
      <rPr>
        <sz val="9"/>
        <color theme="1"/>
        <rFont val="함초롬돋움"/>
        <family val="3"/>
        <charset val="129"/>
      </rPr>
      <t xml:space="preserve">
 -노사협의회 의결을 거친 인사규정(취업규칙) 변경의 효력
</t>
    </r>
    <r>
      <rPr>
        <b/>
        <sz val="9"/>
        <color theme="1"/>
        <rFont val="함초롬돋움"/>
        <family val="3"/>
        <charset val="129"/>
      </rPr>
      <t>[1-2]</t>
    </r>
    <r>
      <rPr>
        <sz val="9"/>
        <color theme="1"/>
        <rFont val="함초롬돋움"/>
        <family val="3"/>
        <charset val="129"/>
      </rPr>
      <t xml:space="preserve">
 -노사협의회 의결을 거친 인사규정(취업규칙)을 근거로 한 퇴직 통보의 효력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</si>
  <si>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[2]영업양도 시 승계 거부의 효과</t>
    </r>
    <r>
      <rPr>
        <sz val="9"/>
        <color theme="1"/>
        <rFont val="함초롬돋움"/>
        <family val="3"/>
        <charset val="129"/>
      </rPr>
      <t xml:space="preserve">
 -영업양도 상황에서 근로관계 승계 거부 시 회사와 근로자의 법률 관계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</si>
  <si>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[1-1]취업규칙에서 배제한 수당의 통상임금성</t>
    </r>
    <r>
      <rPr>
        <sz val="9"/>
        <color theme="1"/>
        <rFont val="함초롬돋움"/>
        <family val="3"/>
        <charset val="129"/>
      </rPr>
      <t xml:space="preserve">
 -통상임금 범위를 규정한 취업규칙 조항의 효력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</si>
  <si>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[1-2]임금상당액 청구 가능성</t>
    </r>
    <r>
      <rPr>
        <sz val="9"/>
        <color theme="1"/>
        <rFont val="함초롬돋움"/>
        <family val="3"/>
        <charset val="129"/>
      </rPr>
      <t xml:space="preserve">
 -부당해고기간 중 지급받지 못한 개근 표창의 청구 가능성</t>
    </r>
    <phoneticPr fontId="3" type="noConversion"/>
  </si>
  <si>
    <t>제08장 근로관계의 종료</t>
    <phoneticPr fontId="3" type="noConversion"/>
  </si>
  <si>
    <t>제04절 부당해고의 구제</t>
    <phoneticPr fontId="3" type="noConversion"/>
  </si>
  <si>
    <t>제03절 해고의 절차적 정당성</t>
    <phoneticPr fontId="3" type="noConversion"/>
  </si>
  <si>
    <r>
      <rPr>
        <b/>
        <sz val="9"/>
        <color theme="1"/>
        <rFont val="함초롬돋움"/>
        <family val="3"/>
        <charset val="129"/>
      </rPr>
      <t>[2]중간착취 배재 원칙</t>
    </r>
    <r>
      <rPr>
        <sz val="9"/>
        <color theme="1"/>
        <rFont val="함초롬돋움"/>
        <family val="3"/>
        <charset val="129"/>
      </rPr>
      <t xml:space="preserve">
 -중간착취의 배제 원칙의 의의, 요건, 중요성</t>
    </r>
    <phoneticPr fontId="3" type="noConversion"/>
  </si>
  <si>
    <t>부당해고기간 중 지급받지 못한 개근 표창의 청구 가능성</t>
  </si>
  <si>
    <t>열기2-01.노동법\02.문제\[기출][1][2012-1-2]부당해고기간 중 지급받지 못한 개근 표창의 청구 가능성.txt</t>
  </si>
  <si>
    <t>보충 포함</t>
  </si>
  <si>
    <r>
      <rPr>
        <b/>
        <sz val="9"/>
        <color theme="1"/>
        <rFont val="함초롬돋움"/>
        <family val="3"/>
        <charset val="129"/>
      </rPr>
      <t>[1]포괄임금제</t>
    </r>
    <r>
      <rPr>
        <sz val="9"/>
        <color theme="1"/>
        <rFont val="함초롬돋움"/>
        <family val="3"/>
        <charset val="129"/>
      </rPr>
      <t xml:space="preserve">
 -포괄임금제의 의의, 유효요건, 유효성 판단 시 고려 사항</t>
    </r>
    <phoneticPr fontId="3" type="noConversion"/>
  </si>
  <si>
    <r>
      <rPr>
        <b/>
        <sz val="9"/>
        <color theme="1"/>
        <rFont val="함초롬돋움"/>
        <family val="3"/>
        <charset val="129"/>
      </rPr>
      <t>[2]기간제근로자의 해고 관련 쟁점</t>
    </r>
    <r>
      <rPr>
        <sz val="9"/>
        <color theme="1"/>
        <rFont val="함초롬돋움"/>
        <family val="3"/>
        <charset val="129"/>
      </rPr>
      <t xml:space="preserve">
 -기간제 근로자와 회사가 주장할 수 있는 해고 관련 노동법상 쟁점(해고의 절차 및 구제신청의 이익)</t>
    </r>
    <phoneticPr fontId="3" type="noConversion"/>
  </si>
  <si>
    <r>
      <rPr>
        <b/>
        <sz val="9"/>
        <color theme="1"/>
        <rFont val="함초롬돋움"/>
        <family val="3"/>
        <charset val="129"/>
      </rPr>
      <t>[1]연수비용 성질에 따른 반환 관계</t>
    </r>
    <r>
      <rPr>
        <sz val="9"/>
        <color theme="1"/>
        <rFont val="함초롬돋움"/>
        <family val="3"/>
        <charset val="129"/>
      </rPr>
      <t xml:space="preserve">
 -해외연수 후 의무근로기간 약정 위반 시 연수비용 반환의 적법성 및 퇴직금과 연수비용의 상계 가능성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</si>
  <si>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[2]전적</t>
    </r>
    <r>
      <rPr>
        <sz val="9"/>
        <color theme="1"/>
        <rFont val="함초롬돋움"/>
        <family val="3"/>
        <charset val="129"/>
      </rPr>
      <t xml:space="preserve">
 -전적명령의 법적 성격, 유효요건, 남용 판단 기준</t>
    </r>
    <phoneticPr fontId="3" type="noConversion"/>
  </si>
  <si>
    <r>
      <rPr>
        <b/>
        <sz val="9"/>
        <color theme="1"/>
        <rFont val="함초롬돋움"/>
        <family val="3"/>
        <charset val="129"/>
      </rPr>
      <t>[1]해고예고와 해고 서면통지</t>
    </r>
    <r>
      <rPr>
        <sz val="9"/>
        <color theme="1"/>
        <rFont val="함초롬돋움"/>
        <family val="3"/>
        <charset val="129"/>
      </rPr>
      <t xml:space="preserve">
 -해고의 예고와 해고의 서면 통지에 대한 의의, 내용, 예외, 법적 효과</t>
    </r>
    <phoneticPr fontId="3" type="noConversion"/>
  </si>
  <si>
    <r>
      <rPr>
        <b/>
        <sz val="9"/>
        <color theme="1"/>
        <rFont val="함초롬돋움"/>
        <family val="3"/>
        <charset val="129"/>
      </rPr>
      <t>[2-1]위약예정의 금지</t>
    </r>
    <r>
      <rPr>
        <sz val="9"/>
        <color theme="1"/>
        <rFont val="함초롬돋움"/>
        <family val="3"/>
        <charset val="129"/>
      </rPr>
      <t xml:space="preserve">
 -근로기준법상 위약예정의 금지의 의의, 내용, 효력 및 법률관계</t>
    </r>
    <phoneticPr fontId="3" type="noConversion"/>
  </si>
  <si>
    <r>
      <rPr>
        <b/>
        <sz val="9"/>
        <color theme="1"/>
        <rFont val="함초롬돋움"/>
        <family val="3"/>
        <charset val="129"/>
      </rPr>
      <t>[2-2]육아휴직급여</t>
    </r>
    <r>
      <rPr>
        <sz val="9"/>
        <color theme="1"/>
        <rFont val="함초롬돋움"/>
        <family val="3"/>
        <charset val="129"/>
      </rPr>
      <t xml:space="preserve">
 -고용보험법상 육아휴직 급여의 의의, 지급 요건, 지급 기간 및 금액, 특례 및 기타 사항</t>
    </r>
    <phoneticPr fontId="3" type="noConversion"/>
  </si>
  <si>
    <r>
      <rPr>
        <b/>
        <sz val="9"/>
        <color theme="1"/>
        <rFont val="함초롬돋움"/>
        <family val="3"/>
        <charset val="129"/>
      </rPr>
      <t>[1]경영상 해고</t>
    </r>
    <r>
      <rPr>
        <sz val="9"/>
        <color theme="1"/>
        <rFont val="함초롬돋움"/>
        <family val="3"/>
        <charset val="129"/>
      </rPr>
      <t xml:space="preserve">
 -경영상 이유에 의한 해고의 의의, 요건, 절차 및 구제, 재고용 의무</t>
    </r>
    <phoneticPr fontId="3" type="noConversion"/>
  </si>
  <si>
    <r>
      <rPr>
        <b/>
        <sz val="9"/>
        <color theme="1"/>
        <rFont val="함초롬돋움"/>
        <family val="3"/>
        <charset val="129"/>
      </rPr>
      <t>[2-1]개별 법률 간 재해보상 관계</t>
    </r>
    <r>
      <rPr>
        <sz val="9"/>
        <color theme="1"/>
        <rFont val="함초롬돋움"/>
        <family val="3"/>
        <charset val="129"/>
      </rPr>
      <t xml:space="preserve">
 -근로기준법과 민법・산업재해보상보험법 간의 재해보상 관계</t>
    </r>
    <phoneticPr fontId="3" type="noConversion"/>
  </si>
  <si>
    <r>
      <rPr>
        <b/>
        <sz val="9"/>
        <color theme="1"/>
        <rFont val="함초롬돋움"/>
        <family val="3"/>
        <charset val="129"/>
      </rPr>
      <t>[2-2]연장근로제한</t>
    </r>
    <r>
      <rPr>
        <sz val="9"/>
        <color theme="1"/>
        <rFont val="함초롬돋움"/>
        <family val="3"/>
        <charset val="129"/>
      </rPr>
      <t xml:space="preserve">
 -근로기준법상 연장근로 제한의 원칙, 예외, 위반의 효과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</si>
  <si>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[1-2]부당노동행위 구제신청의 기산점</t>
    </r>
    <r>
      <rPr>
        <sz val="9"/>
        <color theme="1"/>
        <rFont val="함초롬돋움"/>
        <family val="3"/>
        <charset val="129"/>
      </rPr>
      <t xml:space="preserve">
 -하위 인사고과 부여 및 이에 따른 임금 감액의 부당노동행위 구제신청기간 도과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</si>
  <si>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[1-1]교섭창구단일화(교섭단위 분리)</t>
    </r>
    <r>
      <rPr>
        <sz val="9"/>
        <color theme="1"/>
        <rFont val="함초롬돋움"/>
        <family val="3"/>
        <charset val="129"/>
      </rPr>
      <t xml:space="preserve">
 -직군이 다른 노동조합(사무직과 생산직)의 교섭단위 분리 신청 인정 여부
</t>
    </r>
    <r>
      <rPr>
        <b/>
        <sz val="9"/>
        <color theme="1"/>
        <rFont val="함초롬돋움"/>
        <family val="3"/>
        <charset val="129"/>
      </rPr>
      <t>[2]교원노조법상 단체교섭의 대상성</t>
    </r>
    <r>
      <rPr>
        <sz val="9"/>
        <color theme="1"/>
        <rFont val="함초롬돋움"/>
        <family val="3"/>
        <charset val="129"/>
      </rPr>
      <t xml:space="preserve">
 -중재재정 조항의 교원노조법상 단체교섭 대상 여부</t>
    </r>
    <phoneticPr fontId="3" type="noConversion"/>
  </si>
  <si>
    <t>기타</t>
  </si>
  <si>
    <t>부당노동행위</t>
  </si>
  <si>
    <t>쟁의행위</t>
  </si>
  <si>
    <t>단체교섭</t>
  </si>
  <si>
    <t>노동조합</t>
  </si>
  <si>
    <r>
      <rPr>
        <b/>
        <sz val="9"/>
        <color theme="1"/>
        <rFont val="함초롬돋움"/>
        <family val="3"/>
        <charset val="129"/>
      </rPr>
      <t>[1-1]노동조합법상 근로자</t>
    </r>
    <r>
      <rPr>
        <sz val="9"/>
        <color theme="1"/>
        <rFont val="함초롬돋움"/>
        <family val="3"/>
        <charset val="129"/>
      </rPr>
      <t xml:space="preserve">
 -자동차 대리점에 근무하는 판매원의 노동조합법상 근로자성 판단 기준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</si>
  <si>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[1-2]불이익 취급</t>
    </r>
    <r>
      <rPr>
        <sz val="9"/>
        <color theme="1"/>
        <rFont val="함초롬돋움"/>
        <family val="3"/>
        <charset val="129"/>
      </rPr>
      <t xml:space="preserve">
 -카마스터들에 대한 용역계약 해지의 불이익 취급 부당노동행위 성립 여부 및 사유 정당성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</si>
  <si>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[1-1]단체교섭의 당사자/거부・해태</t>
    </r>
    <r>
      <rPr>
        <sz val="9"/>
        <color theme="1"/>
        <rFont val="함초롬돋움"/>
        <family val="3"/>
        <charset val="129"/>
      </rPr>
      <t xml:space="preserve">
 -사용자의 직장폐쇄 중 수임 상급단체의 단체교섭 요구를 계속적으로 거부한 행위의 부당노동행위 성립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</si>
  <si>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[1-1]단체교섭의 당사자/거부・해태</t>
    </r>
    <r>
      <rPr>
        <sz val="9"/>
        <color theme="1"/>
        <rFont val="함초롬돋움"/>
        <family val="3"/>
        <charset val="129"/>
      </rPr>
      <t xml:space="preserve">
 -사용자의 직장폐쇄 중 수임 상급단체의 단체교섭 요구를 계속적으로 거부한 행위의 부당노동행위 성립 여부
</t>
    </r>
    <r>
      <rPr>
        <b/>
        <sz val="9"/>
        <color theme="1"/>
        <rFont val="함초롬돋움"/>
        <family val="3"/>
        <charset val="129"/>
      </rPr>
      <t>[1-2]인준투표제</t>
    </r>
    <r>
      <rPr>
        <sz val="9"/>
        <color theme="1"/>
        <rFont val="함초롬돋움"/>
        <family val="3"/>
        <charset val="129"/>
      </rPr>
      <t xml:space="preserve">
 -노동조합 대표자가 규약 절차를 위반하여 체결한 단체협약의 법적 효력</t>
    </r>
    <phoneticPr fontId="3" type="noConversion"/>
  </si>
  <si>
    <r>
      <rPr>
        <b/>
        <sz val="9"/>
        <color theme="1"/>
        <rFont val="함초롬돋움"/>
        <family val="3"/>
        <charset val="129"/>
      </rPr>
      <t>[2]단체협약의 효력</t>
    </r>
    <r>
      <rPr>
        <sz val="9"/>
        <color theme="1"/>
        <rFont val="함초롬돋움"/>
        <family val="3"/>
        <charset val="129"/>
      </rPr>
      <t xml:space="preserve">
 -개별 동의 없는 불이익 단체협약의 규범적 효력과 기득이익의 관계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</si>
  <si>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[1-1]쟁의행위의 정당성(수단・방법)</t>
    </r>
    <r>
      <rPr>
        <sz val="9"/>
        <color theme="1"/>
        <rFont val="함초롬돋움"/>
        <family val="3"/>
        <charset val="129"/>
      </rPr>
      <t xml:space="preserve">
 -원청 사업장에서 쟁의행위를 실시한 하청 노동조합에 대한 퇴거불응죄 성립 여부
</t>
    </r>
    <r>
      <rPr>
        <b/>
        <sz val="9"/>
        <color theme="1"/>
        <rFont val="함초롬돋움"/>
        <family val="3"/>
        <charset val="129"/>
      </rPr>
      <t>[1-2]대체근로 제한</t>
    </r>
    <r>
      <rPr>
        <sz val="9"/>
        <color theme="1"/>
        <rFont val="함초롬돋움"/>
        <family val="3"/>
        <charset val="129"/>
      </rPr>
      <t xml:space="preserve">
 -용역업체의 대체근로 저지행위에 대한 형사상 위법성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</si>
  <si>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[2]조합활동의 정당성</t>
    </r>
    <r>
      <rPr>
        <sz val="9"/>
        <color theme="1"/>
        <rFont val="함초롬돋움"/>
        <family val="3"/>
        <charset val="129"/>
      </rPr>
      <t xml:space="preserve">
 -산업안전보건법 위반 증거수집 목적의 생산공장 출입이 정당한 조합활동에 해당하는지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</si>
  <si>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[1-1]노조 설립요건/단체교섭 당사자</t>
    </r>
    <r>
      <rPr>
        <sz val="9"/>
        <color theme="1"/>
        <rFont val="함초롬돋움"/>
        <family val="3"/>
        <charset val="129"/>
      </rPr>
      <t xml:space="preserve">
 -설립신고를 하지 않은 초기업 노동조합 지부의 단체협약 체결 당사자 지위 인정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</si>
  <si>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[1-2]단체협약의 실효・실효 후 관계</t>
    </r>
    <r>
      <rPr>
        <sz val="9"/>
        <color theme="1"/>
        <rFont val="함초롬돋움"/>
        <family val="3"/>
        <charset val="129"/>
      </rPr>
      <t xml:space="preserve">
 -자동연장된 단체협약의 해지권 제한 약정의 효력 및 해지 통보의 유효성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</si>
  <si>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[1-1]대체근로 제한</t>
    </r>
    <r>
      <rPr>
        <sz val="9"/>
        <color theme="1"/>
        <rFont val="함초롬돋움"/>
        <family val="3"/>
        <charset val="129"/>
      </rPr>
      <t xml:space="preserve">
 -대체인력 투입이 대체근로 제한에 위배되어 위법한지 여부
</t>
    </r>
    <r>
      <rPr>
        <b/>
        <sz val="9"/>
        <color theme="1"/>
        <rFont val="함초롬돋움"/>
        <family val="3"/>
        <charset val="129"/>
      </rPr>
      <t>[1-2]대체근로 제한/지배・개입</t>
    </r>
    <r>
      <rPr>
        <sz val="9"/>
        <color theme="1"/>
        <rFont val="함초롬돋움"/>
        <family val="3"/>
        <charset val="129"/>
      </rPr>
      <t xml:space="preserve">
 -대체인력 투입의 지배・개입 부당노동행위 성립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</si>
  <si>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[1-2]대체근로 제한/지배・개입</t>
    </r>
    <r>
      <rPr>
        <sz val="9"/>
        <color theme="1"/>
        <rFont val="함초롬돋움"/>
        <family val="3"/>
        <charset val="129"/>
      </rPr>
      <t xml:space="preserve">
 -대체인력 투입의 지배・개입 부당노동행위 성립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</si>
  <si>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[2]교섭창구단일화(공정대표의무)</t>
    </r>
    <r>
      <rPr>
        <sz val="9"/>
        <color theme="1"/>
        <rFont val="함초롬돋움"/>
        <family val="3"/>
        <charset val="129"/>
      </rPr>
      <t xml:space="preserve">
 -소수노조 대상 노조사무실 미제공의 공정대표의무 위반 여부
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</si>
  <si>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[1-1]직장폐쇄 정당성(생산현장과 연결된 노조사무실의 출입 제한)</t>
    </r>
    <r>
      <rPr>
        <sz val="9"/>
        <color theme="1"/>
        <rFont val="함초롬돋움"/>
        <family val="3"/>
        <charset val="129"/>
      </rPr>
      <t xml:space="preserve">
 -직장폐쇄를 단행하며 노조사무실 출입을 전면 금지한 행위의 정당성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</si>
  <si>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[1-2]지회의 조직변경</t>
    </r>
    <r>
      <rPr>
        <sz val="9"/>
        <color theme="1"/>
        <rFont val="함초롬돋움"/>
        <family val="3"/>
        <charset val="129"/>
      </rPr>
      <t xml:space="preserve">
 -초기업 노동조합 지회의 기업별 노동조합 조직형태 변경 결의의 유효성 여부 </t>
    </r>
    <phoneticPr fontId="3" type="noConversion"/>
  </si>
  <si>
    <r>
      <rPr>
        <b/>
        <sz val="9"/>
        <color theme="1"/>
        <rFont val="함초롬돋움"/>
        <family val="3"/>
        <charset val="129"/>
      </rPr>
      <t>[2]노동조합법상 사용자</t>
    </r>
    <r>
      <rPr>
        <sz val="9"/>
        <color theme="1"/>
        <rFont val="함초롬돋움"/>
        <family val="3"/>
        <charset val="129"/>
      </rPr>
      <t xml:space="preserve">
 -부당노동행위의 주체로서 사용자 개념의 확장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</si>
  <si>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[1-1]단체교섭 거부・해태</t>
    </r>
    <r>
      <rPr>
        <sz val="9"/>
        <color theme="1"/>
        <rFont val="함초롬돋움"/>
        <family val="3"/>
        <charset val="129"/>
      </rPr>
      <t xml:space="preserve">
 -규약상 교섭안 마련 및 조합원 총의 수렴 조항을 이유로 한 사용자의 단체교섭 거부의 정당성 여부
</t>
    </r>
    <r>
      <rPr>
        <b/>
        <sz val="9"/>
        <color theme="1"/>
        <rFont val="함초롬돋움"/>
        <family val="3"/>
        <charset val="129"/>
      </rPr>
      <t>[1-2]단체교섭 거부・해태</t>
    </r>
    <r>
      <rPr>
        <sz val="9"/>
        <color theme="1"/>
        <rFont val="함초롬돋움"/>
        <family val="3"/>
        <charset val="129"/>
      </rPr>
      <t xml:space="preserve">
 -법원의 가처분 결정 이후 사용자의 단체교섭 계속 거부의 불법행위 성립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</si>
  <si>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[2]쟁의행위의 정당성(수단・방법)</t>
    </r>
    <r>
      <rPr>
        <sz val="9"/>
        <color theme="1"/>
        <rFont val="함초롬돋움"/>
        <family val="3"/>
        <charset val="129"/>
      </rPr>
      <t xml:space="preserve">
 -직장폐쇄 후 조합원들의 임원회의실 점거 지속 및 퇴거요구 불응에 따른 정당성 상실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</si>
  <si>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[2]쟁의행위의 정당성(목적)</t>
    </r>
    <r>
      <rPr>
        <sz val="9"/>
        <color theme="1"/>
        <rFont val="함초롬돋움"/>
        <family val="3"/>
        <charset val="129"/>
      </rPr>
      <t xml:space="preserve">
 -임금협약의 유효기간 중 재교섭을 요구하며 개시한 파업의 정당성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</si>
  <si>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[1-1]연장근로거부의 법적 성질</t>
    </r>
    <r>
      <rPr>
        <sz val="9"/>
        <color theme="1"/>
        <rFont val="함초롬돋움"/>
        <family val="3"/>
        <charset val="129"/>
      </rPr>
      <t xml:space="preserve">
 -관행적 연장근로에 대한 집단적 거부가 노조법상 쟁의행위에 해당하는지 여부
</t>
    </r>
    <r>
      <rPr>
        <b/>
        <sz val="9"/>
        <color theme="1"/>
        <rFont val="함초롬돋움"/>
        <family val="3"/>
        <charset val="129"/>
      </rPr>
      <t>[1-2]사용자의 쟁의행위</t>
    </r>
    <r>
      <rPr>
        <sz val="9"/>
        <color theme="1"/>
        <rFont val="함초롬돋움"/>
        <family val="3"/>
        <charset val="129"/>
      </rPr>
      <t xml:space="preserve">
 -근로자의 집단적 연장근로 거부 및 태업에 대응하여 단행한 사용자의 직장폐쇄 개시 및 유지의 정당성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</si>
  <si>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[2]근로시간면제한도 초과(지배・개입)</t>
    </r>
    <r>
      <rPr>
        <sz val="9"/>
        <color theme="1"/>
        <rFont val="함초롬돋움"/>
        <family val="3"/>
        <charset val="129"/>
      </rPr>
      <t xml:space="preserve">
 -근로시간면제한도를 현저히 초과하여 체결한 단체협약의 부당노동행위 성립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</si>
  <si>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[1-1]지배・개입</t>
    </r>
    <r>
      <rPr>
        <sz val="9"/>
        <color theme="1"/>
        <rFont val="함초롬돋움"/>
        <family val="3"/>
        <charset val="129"/>
      </rPr>
      <t xml:space="preserve">
 -무효인 단체협약을 근거로 지급되던 노동조합 운영비 지급 중단의 정당성
</t>
    </r>
    <r>
      <rPr>
        <b/>
        <sz val="9"/>
        <color theme="1"/>
        <rFont val="함초롬돋움"/>
        <family val="3"/>
        <charset val="129"/>
      </rPr>
      <t>[1-2]불이익취급</t>
    </r>
    <r>
      <rPr>
        <sz val="9"/>
        <color theme="1"/>
        <rFont val="함초롬돋움"/>
        <family val="3"/>
        <charset val="129"/>
      </rPr>
      <t xml:space="preserve">
 -정리해고의 불이익 취급 부당노동행위 성립에 관한 입증책임의 소재 및 구체적인 입증방법</t>
    </r>
    <phoneticPr fontId="3" type="noConversion"/>
  </si>
  <si>
    <r>
      <rPr>
        <b/>
        <sz val="9"/>
        <color theme="1"/>
        <rFont val="함초롬돋움"/>
        <family val="3"/>
        <charset val="129"/>
      </rPr>
      <t>[2]비조합원 징계 시 단체협약의 준수</t>
    </r>
    <r>
      <rPr>
        <sz val="9"/>
        <color theme="1"/>
        <rFont val="함초롬돋움"/>
        <family val="3"/>
        <charset val="129"/>
      </rPr>
      <t xml:space="preserve">
 -비조합원에 대한 징계처분 시 단체협약상 재심절차 준수 필요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</si>
  <si>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[1]불이익취급</t>
    </r>
    <r>
      <rPr>
        <sz val="9"/>
        <color theme="1"/>
        <rFont val="함초롬돋움"/>
        <family val="3"/>
        <charset val="129"/>
      </rPr>
      <t xml:space="preserve">
 -사내 무단 유인물 배포를 이유로 한 징계해고의 정당성 및 불이익취급 부당노동행위 성립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</si>
  <si>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[2]직장폐쇄</t>
    </r>
    <r>
      <rPr>
        <sz val="9"/>
        <color theme="1"/>
        <rFont val="함초롬돋움"/>
        <family val="3"/>
        <charset val="129"/>
      </rPr>
      <t xml:space="preserve">
 -사용자의 정당한 직장폐쇄의 개념, 요건, 법적 효과</t>
    </r>
    <phoneticPr fontId="3" type="noConversion"/>
  </si>
  <si>
    <t>근로관계의 종료</t>
    <phoneticPr fontId="3" type="noConversion"/>
  </si>
  <si>
    <r>
      <rPr>
        <b/>
        <sz val="9"/>
        <color theme="1"/>
        <rFont val="함초롬돋움"/>
        <family val="3"/>
        <charset val="129"/>
      </rPr>
      <t>[1-1]단체협약의 해석</t>
    </r>
    <r>
      <rPr>
        <sz val="9"/>
        <color theme="1"/>
        <rFont val="함초롬돋움"/>
        <family val="3"/>
        <charset val="129"/>
      </rPr>
      <t xml:space="preserve">
 -특별단체협약상 정리해고에 대한 합의 조항을 협의로 변형 해석할 수 있는지 여부
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</si>
  <si>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[1-2]단체협약의 규정을 위반한 경영상 해고의 유효성</t>
    </r>
    <r>
      <rPr>
        <sz val="9"/>
        <color theme="1"/>
        <rFont val="함초롬돋움"/>
        <family val="3"/>
        <charset val="129"/>
      </rPr>
      <t xml:space="preserve">
 -단체협약상 규정된 합의 없이 실시한 정리해고의 유효성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</si>
  <si>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[2]지배・개입</t>
    </r>
    <r>
      <rPr>
        <sz val="9"/>
        <color theme="1"/>
        <rFont val="함초롬돋움"/>
        <family val="3"/>
        <charset val="129"/>
      </rPr>
      <t xml:space="preserve">
 -사용자의 언론의 자유와 부당노동행위의 관계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</si>
  <si>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[1-1]쟁의행위의 정당성(주체)</t>
    </r>
    <r>
      <rPr>
        <sz val="9"/>
        <color theme="1"/>
        <rFont val="함초롬돋움"/>
        <family val="3"/>
        <charset val="129"/>
      </rPr>
      <t xml:space="preserve">
 -설립 미신고 지부노동조합의 쟁의행위에 대한 주체의 정당성
</t>
    </r>
    <r>
      <rPr>
        <b/>
        <sz val="9"/>
        <color theme="1"/>
        <rFont val="함초롬돋움"/>
        <family val="3"/>
        <charset val="129"/>
      </rPr>
      <t>[1-2]쟁의행위의 정당성(목적)</t>
    </r>
    <r>
      <rPr>
        <sz val="9"/>
        <color theme="1"/>
        <rFont val="함초롬돋움"/>
        <family val="3"/>
        <charset val="129"/>
      </rPr>
      <t xml:space="preserve">
 -설립 미신고 지부노동조합의 쟁의행위에 대한 목적의 정당성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</si>
  <si>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[2]노동조합의 내부통제</t>
    </r>
    <r>
      <rPr>
        <sz val="9"/>
        <color theme="1"/>
        <rFont val="함초롬돋움"/>
        <family val="3"/>
        <charset val="129"/>
      </rPr>
      <t xml:space="preserve">
 -조합의 지지 정당 결정에 반하여 다른 정당을 지지한 조합원에 대한 제명처분의 효력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</si>
  <si>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[1-1]단체협약의 효력</t>
    </r>
    <r>
      <rPr>
        <sz val="9"/>
        <color theme="1"/>
        <rFont val="함초롬돋움"/>
        <family val="3"/>
        <charset val="129"/>
      </rPr>
      <t xml:space="preserve">
 -특별노사합의를 통한 고정상여금 미지급 결정의 효력 및 조합원 개별 동의의 필요성 여부
</t>
    </r>
    <r>
      <rPr>
        <b/>
        <sz val="9"/>
        <color theme="1"/>
        <rFont val="함초롬돋움"/>
        <family val="3"/>
        <charset val="129"/>
      </rPr>
      <t>[1-2]단체협약의 효력</t>
    </r>
    <r>
      <rPr>
        <sz val="9"/>
        <color theme="1"/>
        <rFont val="함초롬돋움"/>
        <family val="3"/>
        <charset val="129"/>
      </rPr>
      <t xml:space="preserve">
 -특별노사합의를 통한 무단결근 면직기준 단축의 효력 및 조합원에 대한 적용 정당성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</si>
  <si>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[2]노동조합의 설립요건</t>
    </r>
    <r>
      <rPr>
        <sz val="9"/>
        <color theme="1"/>
        <rFont val="함초롬돋움"/>
        <family val="3"/>
        <charset val="129"/>
      </rPr>
      <t xml:space="preserve">
 -노동조합법상 노동조합 참가가 금지되는 사용자 및 그 이익대표자의 범위와 판단 기준</t>
    </r>
    <phoneticPr fontId="3" type="noConversion"/>
  </si>
  <si>
    <r>
      <rPr>
        <b/>
        <sz val="9"/>
        <color theme="1"/>
        <rFont val="함초롬돋움"/>
        <family val="3"/>
        <charset val="129"/>
      </rPr>
      <t>[1]단체교섭의 당사자/대상</t>
    </r>
    <r>
      <rPr>
        <sz val="9"/>
        <color theme="1"/>
        <rFont val="함초롬돋움"/>
        <family val="3"/>
        <charset val="129"/>
      </rPr>
      <t xml:space="preserve">
 -산별노동조합 지회의 단체교섭 주체성 인정 여부, 사업부 매각 결정(경영권)의 단체교섭 대상성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</si>
  <si>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[2]준법투쟁</t>
    </r>
    <r>
      <rPr>
        <sz val="9"/>
        <color theme="1"/>
        <rFont val="함초롬돋움"/>
        <family val="3"/>
        <charset val="129"/>
      </rPr>
      <t xml:space="preserve">
 -준법투쟁의 개념과 법적 성격, 유형, 관련 판례법리, 효과 및 활용</t>
    </r>
    <phoneticPr fontId="3" type="noConversion"/>
  </si>
  <si>
    <r>
      <rPr>
        <b/>
        <sz val="9"/>
        <color theme="1"/>
        <rFont val="함초롬돋움"/>
        <family val="3"/>
        <charset val="129"/>
      </rPr>
      <t>[1]단체협약의 실효와 실효 후 효력</t>
    </r>
    <r>
      <rPr>
        <sz val="9"/>
        <color theme="1"/>
        <rFont val="함초롬돋움"/>
        <family val="3"/>
        <charset val="129"/>
      </rPr>
      <t xml:space="preserve">
 -단체협약 만료 후 법정연장기간 내에 노동조합과의 사전합의 없이 행해진 해고의 효력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</si>
  <si>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[2]쟁의행위의 정당성(시기・절차)</t>
    </r>
    <r>
      <rPr>
        <sz val="9"/>
        <color theme="1"/>
        <rFont val="함초롬돋움"/>
        <family val="3"/>
        <charset val="129"/>
      </rPr>
      <t xml:space="preserve">
 -노동조합 쟁의행위의 절차적 정당성의 요건, 절차 위반 시 효력</t>
    </r>
    <phoneticPr fontId="3" type="noConversion"/>
  </si>
  <si>
    <r>
      <rPr>
        <b/>
        <sz val="9"/>
        <color theme="1"/>
        <rFont val="함초롬돋움"/>
        <family val="3"/>
        <charset val="129"/>
      </rPr>
      <t>[1]단체교섭의 당사자</t>
    </r>
    <r>
      <rPr>
        <sz val="9"/>
        <color theme="1"/>
        <rFont val="함초롬돋움"/>
        <family val="3"/>
        <charset val="129"/>
      </rPr>
      <t xml:space="preserve">
 -도급 또는 파견 계약 관계에서 노조법상 사용자로서 단체교섭 의무 부담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</si>
  <si>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[2]직장폐쇄의 효과</t>
    </r>
    <r>
      <rPr>
        <sz val="9"/>
        <color theme="1"/>
        <rFont val="함초롬돋움"/>
        <family val="3"/>
        <charset val="129"/>
      </rPr>
      <t xml:space="preserve">
 -직장점거 중 단행된 사용자의 직장폐쇄에 따른 법률적 효과</t>
    </r>
    <phoneticPr fontId="3" type="noConversion"/>
  </si>
  <si>
    <r>
      <rPr>
        <b/>
        <sz val="9"/>
        <color theme="1"/>
        <rFont val="함초롬돋움"/>
        <family val="3"/>
        <charset val="129"/>
      </rPr>
      <t>[3]노동조합 설립요건</t>
    </r>
    <r>
      <rPr>
        <sz val="9"/>
        <color theme="1"/>
        <rFont val="함초롬돋움"/>
        <family val="3"/>
        <charset val="129"/>
      </rPr>
      <t xml:space="preserve">
 -노동조합 가입 자격의 기본 원칙, 제한의 허용 범위, 한계 및 위반 시 효과</t>
    </r>
    <phoneticPr fontId="3" type="noConversion"/>
  </si>
  <si>
    <r>
      <rPr>
        <b/>
        <sz val="9"/>
        <color theme="1"/>
        <rFont val="함초롬돋움"/>
        <family val="3"/>
        <charset val="129"/>
      </rPr>
      <t>[1]단체교섭의 대상/단체협약 동의 조항</t>
    </r>
    <r>
      <rPr>
        <sz val="9"/>
        <color theme="1"/>
        <rFont val="함초롬돋움"/>
        <family val="3"/>
        <charset val="129"/>
      </rPr>
      <t xml:space="preserve">
 -단체협약상 동의조항의 효력(노동조합의 동의권에 대한 범위), 경영권에 대한 단체교섭의 대상성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</si>
  <si>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[2]대체근로 제한, 필수공익사업</t>
    </r>
    <r>
      <rPr>
        <sz val="9"/>
        <color theme="1"/>
        <rFont val="함초롬돋움"/>
        <family val="3"/>
        <charset val="129"/>
      </rPr>
      <t xml:space="preserve">
 -쟁의행위 기간 중 사용자의 채용 제한의 원칙, 필수공익사업의 특례, 위반 시 쟁점</t>
    </r>
    <phoneticPr fontId="3" type="noConversion"/>
  </si>
  <si>
    <r>
      <rPr>
        <b/>
        <sz val="9"/>
        <color theme="1"/>
        <rFont val="함초롬돋움"/>
        <family val="3"/>
        <charset val="129"/>
      </rPr>
      <t>[3]노동위원회의 관할</t>
    </r>
    <r>
      <rPr>
        <sz val="9"/>
        <color theme="1"/>
        <rFont val="함초롬돋움"/>
        <family val="3"/>
        <charset val="129"/>
      </rPr>
      <t xml:space="preserve">
 -노동위원회의 관할(사건 관할, 지역 관할)</t>
    </r>
    <phoneticPr fontId="3" type="noConversion"/>
  </si>
  <si>
    <r>
      <rPr>
        <b/>
        <sz val="9"/>
        <color theme="1"/>
        <rFont val="함초롬돋움"/>
        <family val="3"/>
        <charset val="129"/>
      </rPr>
      <t>[2]교섭창구단일화(공정대표의무)</t>
    </r>
    <r>
      <rPr>
        <sz val="9"/>
        <color theme="1"/>
        <rFont val="함초롬돋움"/>
        <family val="3"/>
        <charset val="129"/>
      </rPr>
      <t xml:space="preserve">
 -교섭대표노동조합의 공정대표의무 위반 여부
</t>
    </r>
    <phoneticPr fontId="3" type="noConversion"/>
  </si>
  <si>
    <t>★</t>
    <phoneticPr fontId="3" type="noConversion"/>
  </si>
  <si>
    <t>시기변경권의 적법성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</si>
</sst>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-* #,##0_-;\-* #,##0_-;_-* &quot;-&quot;_-;_-@_-"/>
    <numFmt numFmtId="176" formatCode="#,##0_ "/>
    <numFmt numFmtId="177" formatCode="mm\.dd"/>
    <numFmt numFmtId="178" formatCode="#,###_-"/>
    <numFmt numFmtId="179" formatCode="####_-"/>
    <numFmt numFmtId="180" formatCode="####"/>
    <numFmt numFmtId="181" formatCode="####.##"/>
  </numFmts>
  <fonts count="21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함초롬돋움"/>
      <family val="3"/>
      <charset val="129"/>
    </font>
    <font>
      <sz val="10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b/>
      <sz val="10"/>
      <color theme="0"/>
      <name val="함초롬돋움"/>
      <family val="3"/>
      <charset val="129"/>
    </font>
    <font>
      <sz val="11"/>
      <color theme="1"/>
      <name val="맑은 고딕"/>
      <family val="2"/>
      <scheme val="minor"/>
    </font>
    <font>
      <sz val="9"/>
      <name val="함초롬돋움"/>
      <family val="3"/>
      <charset val="129"/>
    </font>
    <font>
      <b/>
      <sz val="9"/>
      <color theme="1"/>
      <name val="함초롬돋움"/>
      <family val="3"/>
      <charset val="129"/>
    </font>
    <font>
      <b/>
      <sz val="9"/>
      <color theme="0"/>
      <name val="함초롬돋움"/>
      <family val="3"/>
      <charset val="129"/>
    </font>
    <font>
      <b/>
      <sz val="9"/>
      <name val="함초롬돋움"/>
      <family val="3"/>
      <charset val="129"/>
    </font>
    <font>
      <b/>
      <sz val="9"/>
      <color theme="8" tint="0.79998168889431442"/>
      <name val="함초롬돋움"/>
      <family val="3"/>
      <charset val="129"/>
    </font>
    <font>
      <b/>
      <sz val="9"/>
      <color theme="0" tint="-0.14999847407452621"/>
      <name val="함초롬돋움"/>
      <family val="3"/>
      <charset val="129"/>
    </font>
    <font>
      <b/>
      <strike/>
      <sz val="9"/>
      <name val="함초롬돋움"/>
      <family val="3"/>
      <charset val="129"/>
    </font>
    <font>
      <b/>
      <strike/>
      <sz val="9"/>
      <color theme="0" tint="-0.14999847407452621"/>
      <name val="함초롬돋움"/>
      <family val="3"/>
      <charset val="129"/>
    </font>
    <font>
      <strike/>
      <sz val="9"/>
      <color theme="1"/>
      <name val="함초롬돋움"/>
      <family val="3"/>
      <charset val="129"/>
    </font>
    <font>
      <b/>
      <sz val="9"/>
      <color rgb="FF000000"/>
      <name val="함초롬돋움"/>
      <family val="3"/>
      <charset val="129"/>
    </font>
    <font>
      <b/>
      <strike/>
      <sz val="9"/>
      <color theme="1"/>
      <name val="함초롬돋움"/>
      <family val="3"/>
      <charset val="129"/>
    </font>
    <font>
      <b/>
      <strike/>
      <sz val="9"/>
      <color theme="8" tint="0.79998168889431442"/>
      <name val="함초롬돋움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/>
        <bgColor indexed="64"/>
      </patternFill>
    </fill>
  </fills>
  <borders count="13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dotted">
        <color rgb="FFA6A6A6"/>
      </bottom>
      <diagonal/>
    </border>
    <border>
      <left/>
      <right style="thin">
        <color auto="1"/>
      </right>
      <top style="thin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thin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/>
      <right/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thin">
        <color auto="1"/>
      </bottom>
      <diagonal/>
    </border>
    <border>
      <left/>
      <right style="thin">
        <color auto="1"/>
      </right>
      <top style="dotted">
        <color rgb="FFA6A6A6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/>
      <bottom style="dotted">
        <color rgb="FFA6A6A6"/>
      </bottom>
      <diagonal/>
    </border>
    <border>
      <left/>
      <right style="thin">
        <color auto="1"/>
      </right>
      <top/>
      <bottom style="dotted">
        <color rgb="FFA6A6A6"/>
      </bottom>
      <diagonal/>
    </border>
    <border>
      <left style="thin">
        <color auto="1"/>
      </left>
      <right style="thin">
        <color auto="1"/>
      </right>
      <top/>
      <bottom style="dotted">
        <color rgb="FFA6A6A6"/>
      </bottom>
      <diagonal/>
    </border>
    <border>
      <left style="thin">
        <color auto="1"/>
      </left>
      <right style="medium">
        <color indexed="64"/>
      </right>
      <top/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/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thin">
        <color auto="1"/>
      </right>
      <top style="dotted">
        <color rgb="FFA6A6A6"/>
      </top>
      <bottom/>
      <diagonal/>
    </border>
    <border>
      <left/>
      <right/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 style="medium">
        <color indexed="64"/>
      </right>
      <top style="dotted">
        <color rgb="FFA6A6A6"/>
      </top>
      <bottom style="thin">
        <color indexed="64"/>
      </bottom>
      <diagonal/>
    </border>
    <border>
      <left/>
      <right style="medium">
        <color indexed="64"/>
      </right>
      <top style="dotted">
        <color rgb="FFA6A6A6"/>
      </top>
      <bottom/>
      <diagonal/>
    </border>
    <border>
      <left/>
      <right style="medium">
        <color indexed="64"/>
      </right>
      <top style="thin">
        <color auto="1"/>
      </top>
      <bottom style="dotted">
        <color rgb="FFA6A6A6"/>
      </bottom>
      <diagonal/>
    </border>
    <border>
      <left/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/>
      <diagonal/>
    </border>
    <border>
      <left/>
      <right/>
      <top style="dotted">
        <color rgb="FFA6A6A6"/>
      </top>
      <bottom style="thin">
        <color indexed="64"/>
      </bottom>
      <diagonal/>
    </border>
    <border>
      <left/>
      <right style="medium">
        <color indexed="64"/>
      </right>
      <top/>
      <bottom style="dotted">
        <color rgb="FFA6A6A6"/>
      </bottom>
      <diagonal/>
    </border>
    <border>
      <left style="thin">
        <color auto="1"/>
      </left>
      <right/>
      <top style="thin">
        <color indexed="64"/>
      </top>
      <bottom style="dotted">
        <color rgb="FFA6A6A6"/>
      </bottom>
      <diagonal/>
    </border>
    <border>
      <left style="thin">
        <color auto="1"/>
      </left>
      <right/>
      <top style="dotted">
        <color rgb="FFA6A6A6"/>
      </top>
      <bottom style="dotted">
        <color rgb="FFA6A6A6"/>
      </bottom>
      <diagonal/>
    </border>
    <border>
      <left style="thin">
        <color auto="1"/>
      </left>
      <right/>
      <top style="dotted">
        <color rgb="FFA6A6A6"/>
      </top>
      <bottom style="thin">
        <color auto="1"/>
      </bottom>
      <diagonal/>
    </border>
    <border>
      <left style="thin">
        <color auto="1"/>
      </left>
      <right/>
      <top style="dotted">
        <color rgb="FFA6A6A6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dotted">
        <color rgb="FFA6A6A6"/>
      </bottom>
      <diagonal/>
    </border>
    <border>
      <left style="thin">
        <color auto="1"/>
      </left>
      <right/>
      <top/>
      <bottom style="dotted">
        <color rgb="FFA6A6A6"/>
      </bottom>
      <diagonal/>
    </border>
    <border>
      <left style="thin">
        <color auto="1"/>
      </left>
      <right/>
      <top style="dotted">
        <color rgb="FFA6A6A6"/>
      </top>
      <bottom/>
      <diagonal/>
    </border>
    <border>
      <left style="thin">
        <color auto="1"/>
      </left>
      <right style="medium">
        <color indexed="64"/>
      </right>
      <top style="dotted">
        <color rgb="FFA6A6A6"/>
      </top>
      <bottom/>
      <diagonal/>
    </border>
    <border>
      <left/>
      <right style="thin">
        <color auto="1"/>
      </right>
      <top style="dotted">
        <color rgb="FFA6A6A6"/>
      </top>
      <bottom/>
      <diagonal/>
    </border>
    <border>
      <left style="medium">
        <color indexed="64"/>
      </left>
      <right style="medium">
        <color indexed="64"/>
      </right>
      <top style="dotted">
        <color rgb="FFA6A6A6"/>
      </top>
      <bottom/>
      <diagonal/>
    </border>
    <border>
      <left style="medium">
        <color indexed="64"/>
      </left>
      <right style="thin">
        <color auto="1"/>
      </right>
      <top style="thin">
        <color indexed="64"/>
      </top>
      <bottom style="dotted">
        <color theme="0" tint="-0.34998626667073579"/>
      </bottom>
      <diagonal/>
    </border>
    <border>
      <left style="thin">
        <color auto="1"/>
      </left>
      <right/>
      <top style="thin">
        <color indexed="64"/>
      </top>
      <bottom style="dotted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dotted">
        <color theme="0" tint="-0.34998626667073579"/>
      </bottom>
      <diagonal/>
    </border>
    <border>
      <left style="thin">
        <color auto="1"/>
      </left>
      <right style="medium">
        <color indexed="64"/>
      </right>
      <top style="thin">
        <color indexed="64"/>
      </top>
      <bottom style="dotted">
        <color theme="0" tint="-0.34998626667073579"/>
      </bottom>
      <diagonal/>
    </border>
    <border>
      <left/>
      <right style="thin">
        <color auto="1"/>
      </right>
      <top style="thin">
        <color indexed="64"/>
      </top>
      <bottom style="dotted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tted">
        <color theme="0" tint="-0.34998626667073579"/>
      </bottom>
      <diagonal/>
    </border>
    <border>
      <left style="medium">
        <color indexed="64"/>
      </left>
      <right style="thin">
        <color auto="1"/>
      </right>
      <top style="dotted">
        <color theme="0" tint="-0.34998626667073579"/>
      </top>
      <bottom style="dotted">
        <color theme="0" tint="-0.34998626667073579"/>
      </bottom>
      <diagonal/>
    </border>
    <border>
      <left style="thin">
        <color auto="1"/>
      </left>
      <right/>
      <top style="dotted">
        <color theme="0" tint="-0.34998626667073579"/>
      </top>
      <bottom style="dotted">
        <color theme="0" tint="-0.34998626667073579"/>
      </bottom>
      <diagonal/>
    </border>
    <border>
      <left style="thin">
        <color auto="1"/>
      </left>
      <right style="thin">
        <color auto="1"/>
      </right>
      <top style="dotted">
        <color theme="0" tint="-0.34998626667073579"/>
      </top>
      <bottom style="dotted">
        <color theme="0" tint="-0.34998626667073579"/>
      </bottom>
      <diagonal/>
    </border>
    <border>
      <left style="thin">
        <color auto="1"/>
      </left>
      <right style="medium">
        <color indexed="64"/>
      </right>
      <top style="dotted">
        <color theme="0" tint="-0.34998626667073579"/>
      </top>
      <bottom style="dotted">
        <color theme="0" tint="-0.34998626667073579"/>
      </bottom>
      <diagonal/>
    </border>
    <border>
      <left/>
      <right style="thin">
        <color auto="1"/>
      </right>
      <top style="dotted">
        <color theme="0" tint="-0.34998626667073579"/>
      </top>
      <bottom style="dotted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dotted">
        <color theme="0" tint="-0.34998626667073579"/>
      </top>
      <bottom style="dotted">
        <color theme="0" tint="-0.34998626667073579"/>
      </bottom>
      <diagonal/>
    </border>
    <border>
      <left style="medium">
        <color indexed="64"/>
      </left>
      <right style="thin">
        <color auto="1"/>
      </right>
      <top style="dotted">
        <color theme="0" tint="-0.34998626667073579"/>
      </top>
      <bottom style="thin">
        <color indexed="64"/>
      </bottom>
      <diagonal/>
    </border>
    <border>
      <left style="thin">
        <color auto="1"/>
      </left>
      <right/>
      <top style="dotted">
        <color theme="0" tint="-0.34998626667073579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34998626667073579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34998626667073579"/>
      </top>
      <bottom style="thin">
        <color indexed="64"/>
      </bottom>
      <diagonal/>
    </border>
    <border>
      <left/>
      <right style="thin">
        <color auto="1"/>
      </right>
      <top style="dotted">
        <color theme="0" tint="-0.34998626667073579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theme="0" tint="-0.34998626667073579"/>
      </top>
      <bottom style="thin">
        <color indexed="64"/>
      </bottom>
      <diagonal/>
    </border>
    <border>
      <left/>
      <right/>
      <top style="medium">
        <color indexed="64"/>
      </top>
      <bottom style="dotted">
        <color rgb="FFA6A6A6"/>
      </bottom>
      <diagonal/>
    </border>
    <border>
      <left style="medium">
        <color indexed="64"/>
      </left>
      <right/>
      <top style="medium">
        <color indexed="64"/>
      </top>
      <bottom style="dotted">
        <color rgb="FFA6A6A6"/>
      </bottom>
      <diagonal/>
    </border>
    <border>
      <left style="medium">
        <color indexed="64"/>
      </left>
      <right/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/>
      <top/>
      <bottom style="dotted">
        <color rgb="FFA6A6A6"/>
      </bottom>
      <diagonal/>
    </border>
    <border>
      <left style="medium">
        <color indexed="64"/>
      </left>
      <right/>
      <top style="dotted">
        <color rgb="FFA6A6A6"/>
      </top>
      <bottom style="medium">
        <color indexed="64"/>
      </bottom>
      <diagonal/>
    </border>
  </borders>
  <cellStyleXfs count="10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8" fillId="0" borderId="0"/>
    <xf numFmtId="41" fontId="8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</cellStyleXfs>
  <cellXfs count="392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7" fillId="3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9" fillId="0" borderId="59" xfId="0" applyFont="1" applyBorder="1" applyAlignment="1">
      <alignment horizontal="center" vertical="top" wrapText="1"/>
    </xf>
    <xf numFmtId="0" fontId="9" fillId="0" borderId="0" xfId="0" applyFont="1" applyAlignment="1">
      <alignment vertical="top"/>
    </xf>
    <xf numFmtId="0" fontId="9" fillId="0" borderId="0" xfId="0" applyFont="1" applyAlignment="1">
      <alignment horizontal="center" vertical="top"/>
    </xf>
    <xf numFmtId="0" fontId="9" fillId="0" borderId="0" xfId="0" applyFont="1" applyAlignment="1">
      <alignment horizontal="left" vertical="top"/>
    </xf>
    <xf numFmtId="0" fontId="11" fillId="3" borderId="45" xfId="0" applyFont="1" applyFill="1" applyBorder="1" applyAlignment="1">
      <alignment horizontal="center" vertical="top"/>
    </xf>
    <xf numFmtId="0" fontId="11" fillId="3" borderId="27" xfId="0" applyFont="1" applyFill="1" applyBorder="1" applyAlignment="1">
      <alignment horizontal="center" vertical="top"/>
    </xf>
    <xf numFmtId="0" fontId="11" fillId="3" borderId="4" xfId="0" applyFont="1" applyFill="1" applyBorder="1" applyAlignment="1">
      <alignment horizontal="center" vertical="top"/>
    </xf>
    <xf numFmtId="0" fontId="11" fillId="3" borderId="44" xfId="0" applyFont="1" applyFill="1" applyBorder="1" applyAlignment="1">
      <alignment horizontal="center" vertical="top"/>
    </xf>
    <xf numFmtId="0" fontId="11" fillId="3" borderId="9" xfId="0" applyFont="1" applyFill="1" applyBorder="1" applyAlignment="1">
      <alignment horizontal="center" vertical="top"/>
    </xf>
    <xf numFmtId="0" fontId="11" fillId="3" borderId="5" xfId="0" applyFont="1" applyFill="1" applyBorder="1" applyAlignment="1">
      <alignment vertical="top"/>
    </xf>
    <xf numFmtId="0" fontId="11" fillId="3" borderId="29" xfId="0" applyFont="1" applyFill="1" applyBorder="1" applyAlignment="1">
      <alignment horizontal="center" vertical="top"/>
    </xf>
    <xf numFmtId="0" fontId="11" fillId="3" borderId="5" xfId="0" applyFont="1" applyFill="1" applyBorder="1" applyAlignment="1">
      <alignment horizontal="center" vertical="top"/>
    </xf>
    <xf numFmtId="0" fontId="11" fillId="3" borderId="47" xfId="0" applyFont="1" applyFill="1" applyBorder="1" applyAlignment="1">
      <alignment horizontal="center" vertical="top"/>
    </xf>
    <xf numFmtId="0" fontId="12" fillId="4" borderId="20" xfId="0" applyFont="1" applyFill="1" applyBorder="1" applyAlignment="1">
      <alignment vertical="top" wrapText="1"/>
    </xf>
    <xf numFmtId="0" fontId="12" fillId="2" borderId="12" xfId="0" applyFont="1" applyFill="1" applyBorder="1" applyAlignment="1">
      <alignment vertical="top"/>
    </xf>
    <xf numFmtId="0" fontId="9" fillId="0" borderId="10" xfId="0" applyFont="1" applyBorder="1" applyAlignment="1">
      <alignment horizontal="center" vertical="top"/>
    </xf>
    <xf numFmtId="49" fontId="12" fillId="0" borderId="12" xfId="0" applyNumberFormat="1" applyFont="1" applyBorder="1" applyAlignment="1">
      <alignment vertical="top"/>
    </xf>
    <xf numFmtId="49" fontId="9" fillId="0" borderId="11" xfId="0" applyNumberFormat="1" applyFont="1" applyBorder="1" applyAlignment="1">
      <alignment horizontal="center" vertical="top"/>
    </xf>
    <xf numFmtId="0" fontId="12" fillId="0" borderId="14" xfId="0" applyFont="1" applyBorder="1" applyAlignment="1">
      <alignment vertical="top"/>
    </xf>
    <xf numFmtId="0" fontId="9" fillId="0" borderId="13" xfId="0" applyFont="1" applyBorder="1" applyAlignment="1">
      <alignment horizontal="center" vertical="top" wrapText="1"/>
    </xf>
    <xf numFmtId="176" fontId="9" fillId="0" borderId="14" xfId="3" applyNumberFormat="1" applyFont="1" applyFill="1" applyBorder="1" applyAlignment="1">
      <alignment horizontal="right" vertical="top"/>
    </xf>
    <xf numFmtId="0" fontId="9" fillId="0" borderId="46" xfId="3" applyNumberFormat="1" applyFont="1" applyFill="1" applyBorder="1" applyAlignment="1">
      <alignment horizontal="center" vertical="top"/>
    </xf>
    <xf numFmtId="0" fontId="9" fillId="0" borderId="46" xfId="3" applyNumberFormat="1" applyFont="1" applyFill="1" applyBorder="1" applyAlignment="1">
      <alignment horizontal="center" vertical="top" wrapText="1"/>
    </xf>
    <xf numFmtId="177" fontId="9" fillId="0" borderId="10" xfId="3" applyNumberFormat="1" applyFont="1" applyFill="1" applyBorder="1" applyAlignment="1">
      <alignment horizontal="center" vertical="top" wrapText="1"/>
    </xf>
    <xf numFmtId="177" fontId="9" fillId="0" borderId="14" xfId="3" applyNumberFormat="1" applyFont="1" applyFill="1" applyBorder="1" applyAlignment="1">
      <alignment horizontal="center" vertical="top" wrapText="1"/>
    </xf>
    <xf numFmtId="0" fontId="13" fillId="4" borderId="24" xfId="0" applyFont="1" applyFill="1" applyBorder="1" applyAlignment="1">
      <alignment vertical="top" wrapText="1"/>
    </xf>
    <xf numFmtId="0" fontId="12" fillId="2" borderId="4" xfId="0" applyFont="1" applyFill="1" applyBorder="1" applyAlignment="1">
      <alignment vertical="top"/>
    </xf>
    <xf numFmtId="0" fontId="9" fillId="0" borderId="58" xfId="0" applyFont="1" applyBorder="1" applyAlignment="1">
      <alignment horizontal="center" vertical="top"/>
    </xf>
    <xf numFmtId="49" fontId="12" fillId="0" borderId="81" xfId="0" applyNumberFormat="1" applyFont="1" applyBorder="1" applyAlignment="1">
      <alignment vertical="top"/>
    </xf>
    <xf numFmtId="49" fontId="9" fillId="0" borderId="60" xfId="0" applyNumberFormat="1" applyFont="1" applyBorder="1" applyAlignment="1">
      <alignment horizontal="center" vertical="top"/>
    </xf>
    <xf numFmtId="0" fontId="12" fillId="0" borderId="61" xfId="0" applyFont="1" applyBorder="1" applyAlignment="1">
      <alignment vertical="top"/>
    </xf>
    <xf numFmtId="176" fontId="9" fillId="0" borderId="61" xfId="3" applyNumberFormat="1" applyFont="1" applyFill="1" applyBorder="1" applyAlignment="1">
      <alignment horizontal="right" vertical="top"/>
    </xf>
    <xf numFmtId="0" fontId="9" fillId="0" borderId="62" xfId="3" applyNumberFormat="1" applyFont="1" applyFill="1" applyBorder="1" applyAlignment="1">
      <alignment horizontal="center" vertical="top"/>
    </xf>
    <xf numFmtId="0" fontId="9" fillId="0" borderId="62" xfId="3" applyNumberFormat="1" applyFont="1" applyFill="1" applyBorder="1" applyAlignment="1">
      <alignment horizontal="center" vertical="top" wrapText="1"/>
    </xf>
    <xf numFmtId="177" fontId="9" fillId="0" borderId="58" xfId="3" applyNumberFormat="1" applyFont="1" applyFill="1" applyBorder="1" applyAlignment="1">
      <alignment horizontal="center" vertical="top" wrapText="1"/>
    </xf>
    <xf numFmtId="177" fontId="9" fillId="0" borderId="61" xfId="3" applyNumberFormat="1" applyFont="1" applyFill="1" applyBorder="1" applyAlignment="1">
      <alignment horizontal="center" vertical="top" wrapText="1"/>
    </xf>
    <xf numFmtId="0" fontId="14" fillId="2" borderId="3" xfId="0" applyFont="1" applyFill="1" applyBorder="1" applyAlignment="1">
      <alignment vertical="top"/>
    </xf>
    <xf numFmtId="0" fontId="9" fillId="0" borderId="63" xfId="0" applyFont="1" applyBorder="1" applyAlignment="1">
      <alignment horizontal="center" vertical="top"/>
    </xf>
    <xf numFmtId="0" fontId="9" fillId="0" borderId="64" xfId="0" applyFont="1" applyBorder="1" applyAlignment="1">
      <alignment vertical="top"/>
    </xf>
    <xf numFmtId="0" fontId="9" fillId="0" borderId="65" xfId="0" quotePrefix="1" applyFont="1" applyBorder="1" applyAlignment="1">
      <alignment horizontal="center" vertical="top"/>
    </xf>
    <xf numFmtId="49" fontId="9" fillId="0" borderId="65" xfId="0" applyNumberFormat="1" applyFont="1" applyBorder="1" applyAlignment="1">
      <alignment horizontal="center" vertical="top"/>
    </xf>
    <xf numFmtId="0" fontId="9" fillId="0" borderId="66" xfId="0" applyFont="1" applyBorder="1" applyAlignment="1">
      <alignment vertical="top"/>
    </xf>
    <xf numFmtId="0" fontId="9" fillId="0" borderId="67" xfId="0" applyFont="1" applyBorder="1" applyAlignment="1">
      <alignment horizontal="center" vertical="top" wrapText="1"/>
    </xf>
    <xf numFmtId="176" fontId="9" fillId="0" borderId="66" xfId="3" applyNumberFormat="1" applyFont="1" applyFill="1" applyBorder="1" applyAlignment="1">
      <alignment horizontal="right" vertical="top"/>
    </xf>
    <xf numFmtId="0" fontId="9" fillId="0" borderId="68" xfId="3" applyNumberFormat="1" applyFont="1" applyFill="1" applyBorder="1" applyAlignment="1">
      <alignment horizontal="center" vertical="top"/>
    </xf>
    <xf numFmtId="0" fontId="9" fillId="0" borderId="68" xfId="3" applyNumberFormat="1" applyFont="1" applyFill="1" applyBorder="1" applyAlignment="1">
      <alignment horizontal="center" vertical="top" wrapText="1"/>
    </xf>
    <xf numFmtId="177" fontId="9" fillId="0" borderId="63" xfId="3" applyNumberFormat="1" applyFont="1" applyFill="1" applyBorder="1" applyAlignment="1">
      <alignment horizontal="center" vertical="top" wrapText="1"/>
    </xf>
    <xf numFmtId="177" fontId="9" fillId="0" borderId="66" xfId="3" applyNumberFormat="1" applyFont="1" applyFill="1" applyBorder="1" applyAlignment="1">
      <alignment horizontal="center" vertical="top" wrapText="1"/>
    </xf>
    <xf numFmtId="0" fontId="14" fillId="2" borderId="36" xfId="0" applyFont="1" applyFill="1" applyBorder="1" applyAlignment="1">
      <alignment vertical="top"/>
    </xf>
    <xf numFmtId="0" fontId="9" fillId="0" borderId="69" xfId="0" applyFont="1" applyBorder="1" applyAlignment="1">
      <alignment horizontal="center" vertical="top"/>
    </xf>
    <xf numFmtId="0" fontId="9" fillId="0" borderId="100" xfId="0" applyFont="1" applyBorder="1" applyAlignment="1">
      <alignment vertical="top"/>
    </xf>
    <xf numFmtId="0" fontId="9" fillId="0" borderId="70" xfId="0" quotePrefix="1" applyFont="1" applyBorder="1" applyAlignment="1">
      <alignment horizontal="center" vertical="top"/>
    </xf>
    <xf numFmtId="49" fontId="9" fillId="0" borderId="70" xfId="0" applyNumberFormat="1" applyFont="1" applyBorder="1" applyAlignment="1">
      <alignment horizontal="center" vertical="top"/>
    </xf>
    <xf numFmtId="0" fontId="9" fillId="0" borderId="71" xfId="0" applyFont="1" applyBorder="1" applyAlignment="1">
      <alignment vertical="top"/>
    </xf>
    <xf numFmtId="0" fontId="9" fillId="0" borderId="72" xfId="0" applyFont="1" applyBorder="1" applyAlignment="1">
      <alignment horizontal="center" vertical="top" wrapText="1"/>
    </xf>
    <xf numFmtId="176" fontId="9" fillId="0" borderId="71" xfId="3" applyNumberFormat="1" applyFont="1" applyFill="1" applyBorder="1" applyAlignment="1">
      <alignment horizontal="right" vertical="top"/>
    </xf>
    <xf numFmtId="0" fontId="9" fillId="0" borderId="73" xfId="3" applyNumberFormat="1" applyFont="1" applyFill="1" applyBorder="1" applyAlignment="1">
      <alignment horizontal="center" vertical="top"/>
    </xf>
    <xf numFmtId="0" fontId="9" fillId="0" borderId="73" xfId="3" applyNumberFormat="1" applyFont="1" applyFill="1" applyBorder="1" applyAlignment="1">
      <alignment horizontal="center" vertical="top" wrapText="1"/>
    </xf>
    <xf numFmtId="177" fontId="9" fillId="0" borderId="69" xfId="3" applyNumberFormat="1" applyFont="1" applyFill="1" applyBorder="1" applyAlignment="1">
      <alignment horizontal="center" vertical="top" wrapText="1"/>
    </xf>
    <xf numFmtId="177" fontId="9" fillId="0" borderId="71" xfId="3" applyNumberFormat="1" applyFont="1" applyFill="1" applyBorder="1" applyAlignment="1">
      <alignment horizontal="center" vertical="top" wrapText="1"/>
    </xf>
    <xf numFmtId="0" fontId="12" fillId="0" borderId="81" xfId="0" applyFont="1" applyBorder="1" applyAlignment="1">
      <alignment vertical="top"/>
    </xf>
    <xf numFmtId="0" fontId="9" fillId="0" borderId="60" xfId="0" quotePrefix="1" applyFont="1" applyBorder="1" applyAlignment="1">
      <alignment horizontal="center" vertical="top"/>
    </xf>
    <xf numFmtId="49" fontId="9" fillId="0" borderId="68" xfId="3" applyNumberFormat="1" applyFont="1" applyFill="1" applyBorder="1" applyAlignment="1">
      <alignment horizontal="left" vertical="top" wrapText="1"/>
    </xf>
    <xf numFmtId="49" fontId="12" fillId="0" borderId="102" xfId="0" applyNumberFormat="1" applyFont="1" applyBorder="1" applyAlignment="1">
      <alignment vertical="top"/>
    </xf>
    <xf numFmtId="49" fontId="9" fillId="0" borderId="103" xfId="0" applyNumberFormat="1" applyFont="1" applyBorder="1" applyAlignment="1">
      <alignment vertical="top"/>
    </xf>
    <xf numFmtId="0" fontId="9" fillId="0" borderId="104" xfId="0" applyFont="1" applyBorder="1" applyAlignment="1">
      <alignment vertical="top"/>
    </xf>
    <xf numFmtId="0" fontId="12" fillId="2" borderId="4" xfId="0" applyFont="1" applyFill="1" applyBorder="1" applyAlignment="1">
      <alignment horizontal="left" vertical="top"/>
    </xf>
    <xf numFmtId="0" fontId="9" fillId="0" borderId="103" xfId="0" applyFont="1" applyBorder="1" applyAlignment="1">
      <alignment vertical="top"/>
    </xf>
    <xf numFmtId="0" fontId="13" fillId="4" borderId="25" xfId="0" applyFont="1" applyFill="1" applyBorder="1" applyAlignment="1">
      <alignment vertical="top" wrapText="1"/>
    </xf>
    <xf numFmtId="0" fontId="14" fillId="2" borderId="39" xfId="0" applyFont="1" applyFill="1" applyBorder="1" applyAlignment="1">
      <alignment vertical="top"/>
    </xf>
    <xf numFmtId="0" fontId="9" fillId="0" borderId="82" xfId="0" applyFont="1" applyBorder="1" applyAlignment="1">
      <alignment horizontal="center" vertical="top"/>
    </xf>
    <xf numFmtId="49" fontId="9" fillId="0" borderId="105" xfId="0" applyNumberFormat="1" applyFont="1" applyBorder="1" applyAlignment="1">
      <alignment vertical="top"/>
    </xf>
    <xf numFmtId="49" fontId="9" fillId="0" borderId="83" xfId="0" applyNumberFormat="1" applyFont="1" applyBorder="1" applyAlignment="1">
      <alignment horizontal="center" vertical="top"/>
    </xf>
    <xf numFmtId="0" fontId="9" fillId="0" borderId="84" xfId="0" applyFont="1" applyBorder="1" applyAlignment="1">
      <alignment vertical="top"/>
    </xf>
    <xf numFmtId="0" fontId="9" fillId="0" borderId="85" xfId="0" applyFont="1" applyBorder="1" applyAlignment="1">
      <alignment horizontal="center" vertical="top" wrapText="1"/>
    </xf>
    <xf numFmtId="176" fontId="9" fillId="0" borderId="84" xfId="3" applyNumberFormat="1" applyFont="1" applyFill="1" applyBorder="1" applyAlignment="1">
      <alignment horizontal="right" vertical="top"/>
    </xf>
    <xf numFmtId="0" fontId="9" fillId="0" borderId="86" xfId="3" applyNumberFormat="1" applyFont="1" applyFill="1" applyBorder="1" applyAlignment="1">
      <alignment horizontal="center" vertical="top"/>
    </xf>
    <xf numFmtId="0" fontId="9" fillId="0" borderId="86" xfId="3" applyNumberFormat="1" applyFont="1" applyFill="1" applyBorder="1" applyAlignment="1">
      <alignment horizontal="center" vertical="top" wrapText="1"/>
    </xf>
    <xf numFmtId="177" fontId="9" fillId="0" borderId="82" xfId="3" applyNumberFormat="1" applyFont="1" applyFill="1" applyBorder="1" applyAlignment="1">
      <alignment horizontal="center" vertical="top" wrapText="1"/>
    </xf>
    <xf numFmtId="177" fontId="9" fillId="0" borderId="84" xfId="3" applyNumberFormat="1" applyFont="1" applyFill="1" applyBorder="1" applyAlignment="1">
      <alignment horizontal="center" vertical="top" wrapText="1"/>
    </xf>
    <xf numFmtId="0" fontId="12" fillId="2" borderId="21" xfId="0" applyFont="1" applyFill="1" applyBorder="1" applyAlignment="1">
      <alignment vertical="top"/>
    </xf>
    <xf numFmtId="0" fontId="9" fillId="0" borderId="87" xfId="0" applyFont="1" applyBorder="1" applyAlignment="1">
      <alignment horizontal="center" vertical="top"/>
    </xf>
    <xf numFmtId="49" fontId="12" fillId="0" borderId="106" xfId="0" applyNumberFormat="1" applyFont="1" applyBorder="1" applyAlignment="1">
      <alignment vertical="top"/>
    </xf>
    <xf numFmtId="49" fontId="9" fillId="0" borderId="88" xfId="0" applyNumberFormat="1" applyFont="1" applyBorder="1" applyAlignment="1">
      <alignment horizontal="center" vertical="top"/>
    </xf>
    <xf numFmtId="0" fontId="12" fillId="0" borderId="89" xfId="0" applyFont="1" applyBorder="1" applyAlignment="1">
      <alignment vertical="top"/>
    </xf>
    <xf numFmtId="0" fontId="9" fillId="0" borderId="90" xfId="0" applyFont="1" applyBorder="1" applyAlignment="1">
      <alignment horizontal="center" vertical="top" wrapText="1"/>
    </xf>
    <xf numFmtId="176" fontId="9" fillId="0" borderId="89" xfId="3" applyNumberFormat="1" applyFont="1" applyFill="1" applyBorder="1" applyAlignment="1">
      <alignment horizontal="right" vertical="top"/>
    </xf>
    <xf numFmtId="0" fontId="9" fillId="0" borderId="91" xfId="3" applyNumberFormat="1" applyFont="1" applyFill="1" applyBorder="1" applyAlignment="1">
      <alignment horizontal="center" vertical="top"/>
    </xf>
    <xf numFmtId="0" fontId="9" fillId="0" borderId="91" xfId="3" applyNumberFormat="1" applyFont="1" applyFill="1" applyBorder="1" applyAlignment="1">
      <alignment horizontal="center" vertical="top" wrapText="1"/>
    </xf>
    <xf numFmtId="177" fontId="9" fillId="0" borderId="87" xfId="3" applyNumberFormat="1" applyFont="1" applyFill="1" applyBorder="1" applyAlignment="1">
      <alignment horizontal="center" vertical="top" wrapText="1"/>
    </xf>
    <xf numFmtId="177" fontId="9" fillId="0" borderId="89" xfId="3" applyNumberFormat="1" applyFont="1" applyFill="1" applyBorder="1" applyAlignment="1">
      <alignment horizontal="center" vertical="top" wrapText="1"/>
    </xf>
    <xf numFmtId="49" fontId="9" fillId="0" borderId="104" xfId="0" applyNumberFormat="1" applyFont="1" applyBorder="1" applyAlignment="1">
      <alignment vertical="top"/>
    </xf>
    <xf numFmtId="0" fontId="9" fillId="0" borderId="105" xfId="0" applyFont="1" applyBorder="1" applyAlignment="1">
      <alignment vertical="top"/>
    </xf>
    <xf numFmtId="0" fontId="9" fillId="0" borderId="83" xfId="0" quotePrefix="1" applyFont="1" applyBorder="1" applyAlignment="1">
      <alignment horizontal="center" vertical="top"/>
    </xf>
    <xf numFmtId="49" fontId="9" fillId="0" borderId="73" xfId="3" applyNumberFormat="1" applyFont="1" applyFill="1" applyBorder="1" applyAlignment="1">
      <alignment horizontal="left" vertical="top" wrapText="1"/>
    </xf>
    <xf numFmtId="0" fontId="12" fillId="2" borderId="9" xfId="0" applyFont="1" applyFill="1" applyBorder="1" applyAlignment="1">
      <alignment vertical="top"/>
    </xf>
    <xf numFmtId="0" fontId="14" fillId="2" borderId="0" xfId="0" applyFont="1" applyFill="1" applyAlignment="1">
      <alignment vertical="top"/>
    </xf>
    <xf numFmtId="0" fontId="14" fillId="2" borderId="32" xfId="0" applyFont="1" applyFill="1" applyBorder="1" applyAlignment="1">
      <alignment vertical="top"/>
    </xf>
    <xf numFmtId="0" fontId="9" fillId="0" borderId="79" xfId="0" applyFont="1" applyBorder="1" applyAlignment="1">
      <alignment horizontal="center" vertical="top"/>
    </xf>
    <xf numFmtId="49" fontId="9" fillId="0" borderId="108" xfId="0" applyNumberFormat="1" applyFont="1" applyBorder="1" applyAlignment="1">
      <alignment vertical="top"/>
    </xf>
    <xf numFmtId="49" fontId="9" fillId="0" borderId="80" xfId="0" applyNumberFormat="1" applyFont="1" applyBorder="1" applyAlignment="1">
      <alignment horizontal="center" vertical="top"/>
    </xf>
    <xf numFmtId="0" fontId="9" fillId="0" borderId="109" xfId="0" applyFont="1" applyBorder="1" applyAlignment="1">
      <alignment vertical="top"/>
    </xf>
    <xf numFmtId="0" fontId="9" fillId="0" borderId="110" xfId="0" applyFont="1" applyBorder="1" applyAlignment="1">
      <alignment horizontal="center" vertical="top" wrapText="1"/>
    </xf>
    <xf numFmtId="176" fontId="9" fillId="0" borderId="109" xfId="3" applyNumberFormat="1" applyFont="1" applyFill="1" applyBorder="1" applyAlignment="1">
      <alignment horizontal="right" vertical="top"/>
    </xf>
    <xf numFmtId="0" fontId="9" fillId="0" borderId="111" xfId="3" applyNumberFormat="1" applyFont="1" applyFill="1" applyBorder="1" applyAlignment="1">
      <alignment horizontal="center" vertical="top"/>
    </xf>
    <xf numFmtId="177" fontId="9" fillId="0" borderId="79" xfId="3" applyNumberFormat="1" applyFont="1" applyFill="1" applyBorder="1" applyAlignment="1">
      <alignment horizontal="center" vertical="top" wrapText="1"/>
    </xf>
    <xf numFmtId="177" fontId="9" fillId="0" borderId="109" xfId="3" applyNumberFormat="1" applyFont="1" applyFill="1" applyBorder="1" applyAlignment="1">
      <alignment horizontal="center" vertical="top" wrapText="1"/>
    </xf>
    <xf numFmtId="0" fontId="9" fillId="0" borderId="70" xfId="0" applyFont="1" applyBorder="1" applyAlignment="1">
      <alignment horizontal="center" vertical="top"/>
    </xf>
    <xf numFmtId="0" fontId="12" fillId="2" borderId="29" xfId="0" applyFont="1" applyFill="1" applyBorder="1" applyAlignment="1">
      <alignment vertical="top"/>
    </xf>
    <xf numFmtId="0" fontId="9" fillId="0" borderId="112" xfId="0" applyFont="1" applyBorder="1" applyAlignment="1">
      <alignment horizontal="center" vertical="top"/>
    </xf>
    <xf numFmtId="49" fontId="12" fillId="0" borderId="113" xfId="0" applyNumberFormat="1" applyFont="1" applyBorder="1" applyAlignment="1">
      <alignment vertical="top"/>
    </xf>
    <xf numFmtId="49" fontId="9" fillId="0" borderId="114" xfId="0" applyNumberFormat="1" applyFont="1" applyBorder="1" applyAlignment="1">
      <alignment horizontal="center" vertical="top"/>
    </xf>
    <xf numFmtId="0" fontId="12" fillId="0" borderId="115" xfId="0" applyFont="1" applyBorder="1" applyAlignment="1">
      <alignment vertical="top"/>
    </xf>
    <xf numFmtId="0" fontId="9" fillId="0" borderId="116" xfId="0" applyFont="1" applyBorder="1" applyAlignment="1">
      <alignment horizontal="center" vertical="top" wrapText="1"/>
    </xf>
    <xf numFmtId="176" fontId="9" fillId="0" borderId="115" xfId="3" applyNumberFormat="1" applyFont="1" applyFill="1" applyBorder="1" applyAlignment="1">
      <alignment horizontal="right" vertical="top"/>
    </xf>
    <xf numFmtId="0" fontId="9" fillId="0" borderId="117" xfId="3" applyNumberFormat="1" applyFont="1" applyFill="1" applyBorder="1" applyAlignment="1">
      <alignment horizontal="center" vertical="top"/>
    </xf>
    <xf numFmtId="0" fontId="9" fillId="0" borderId="117" xfId="3" applyNumberFormat="1" applyFont="1" applyFill="1" applyBorder="1" applyAlignment="1">
      <alignment horizontal="center" vertical="top" wrapText="1"/>
    </xf>
    <xf numFmtId="177" fontId="9" fillId="0" borderId="112" xfId="3" applyNumberFormat="1" applyFont="1" applyFill="1" applyBorder="1" applyAlignment="1">
      <alignment horizontal="center" vertical="top" wrapText="1"/>
    </xf>
    <xf numFmtId="177" fontId="9" fillId="0" borderId="115" xfId="3" applyNumberFormat="1" applyFont="1" applyFill="1" applyBorder="1" applyAlignment="1">
      <alignment horizontal="center" vertical="top" wrapText="1"/>
    </xf>
    <xf numFmtId="0" fontId="14" fillId="2" borderId="28" xfId="0" applyFont="1" applyFill="1" applyBorder="1" applyAlignment="1">
      <alignment vertical="top"/>
    </xf>
    <xf numFmtId="0" fontId="9" fillId="0" borderId="118" xfId="0" applyFont="1" applyBorder="1" applyAlignment="1">
      <alignment horizontal="center" vertical="top"/>
    </xf>
    <xf numFmtId="49" fontId="9" fillId="0" borderId="119" xfId="0" applyNumberFormat="1" applyFont="1" applyBorder="1" applyAlignment="1">
      <alignment vertical="top"/>
    </xf>
    <xf numFmtId="49" fontId="9" fillId="0" borderId="120" xfId="0" applyNumberFormat="1" applyFont="1" applyBorder="1" applyAlignment="1">
      <alignment horizontal="center" vertical="top"/>
    </xf>
    <xf numFmtId="0" fontId="9" fillId="0" borderId="121" xfId="0" applyFont="1" applyBorder="1" applyAlignment="1">
      <alignment vertical="top"/>
    </xf>
    <xf numFmtId="0" fontId="9" fillId="0" borderId="122" xfId="0" applyFont="1" applyBorder="1" applyAlignment="1">
      <alignment horizontal="center" vertical="top" wrapText="1"/>
    </xf>
    <xf numFmtId="176" fontId="9" fillId="0" borderId="121" xfId="3" applyNumberFormat="1" applyFont="1" applyFill="1" applyBorder="1" applyAlignment="1">
      <alignment horizontal="right" vertical="top"/>
    </xf>
    <xf numFmtId="0" fontId="9" fillId="0" borderId="123" xfId="3" applyNumberFormat="1" applyFont="1" applyFill="1" applyBorder="1" applyAlignment="1">
      <alignment horizontal="center" vertical="top"/>
    </xf>
    <xf numFmtId="0" fontId="9" fillId="0" borderId="123" xfId="3" applyNumberFormat="1" applyFont="1" applyFill="1" applyBorder="1" applyAlignment="1">
      <alignment horizontal="center" vertical="top" wrapText="1"/>
    </xf>
    <xf numFmtId="177" fontId="9" fillId="0" borderId="118" xfId="3" applyNumberFormat="1" applyFont="1" applyFill="1" applyBorder="1" applyAlignment="1">
      <alignment horizontal="center" vertical="top" wrapText="1"/>
    </xf>
    <xf numFmtId="177" fontId="9" fillId="0" borderId="121" xfId="3" applyNumberFormat="1" applyFont="1" applyFill="1" applyBorder="1" applyAlignment="1">
      <alignment horizontal="center" vertical="top" wrapText="1"/>
    </xf>
    <xf numFmtId="49" fontId="9" fillId="0" borderId="123" xfId="3" applyNumberFormat="1" applyFont="1" applyFill="1" applyBorder="1" applyAlignment="1">
      <alignment horizontal="left" vertical="top" wrapText="1"/>
    </xf>
    <xf numFmtId="0" fontId="14" fillId="2" borderId="41" xfId="0" applyFont="1" applyFill="1" applyBorder="1" applyAlignment="1">
      <alignment vertical="top"/>
    </xf>
    <xf numFmtId="0" fontId="9" fillId="0" borderId="124" xfId="0" applyFont="1" applyBorder="1" applyAlignment="1">
      <alignment horizontal="center" vertical="top"/>
    </xf>
    <xf numFmtId="49" fontId="9" fillId="0" borderId="125" xfId="0" applyNumberFormat="1" applyFont="1" applyBorder="1" applyAlignment="1">
      <alignment vertical="top"/>
    </xf>
    <xf numFmtId="49" fontId="9" fillId="0" borderId="126" xfId="0" applyNumberFormat="1" applyFont="1" applyBorder="1" applyAlignment="1">
      <alignment horizontal="center" vertical="top"/>
    </xf>
    <xf numFmtId="0" fontId="9" fillId="0" borderId="127" xfId="0" applyFont="1" applyBorder="1" applyAlignment="1">
      <alignment vertical="top"/>
    </xf>
    <xf numFmtId="0" fontId="9" fillId="0" borderId="128" xfId="0" applyFont="1" applyBorder="1" applyAlignment="1">
      <alignment horizontal="center" vertical="top" wrapText="1"/>
    </xf>
    <xf numFmtId="176" fontId="9" fillId="0" borderId="127" xfId="3" applyNumberFormat="1" applyFont="1" applyFill="1" applyBorder="1" applyAlignment="1">
      <alignment horizontal="right" vertical="top"/>
    </xf>
    <xf numFmtId="0" fontId="9" fillId="0" borderId="129" xfId="3" applyNumberFormat="1" applyFont="1" applyFill="1" applyBorder="1" applyAlignment="1">
      <alignment horizontal="center" vertical="top"/>
    </xf>
    <xf numFmtId="49" fontId="9" fillId="0" borderId="129" xfId="3" applyNumberFormat="1" applyFont="1" applyFill="1" applyBorder="1" applyAlignment="1">
      <alignment horizontal="left" vertical="top" wrapText="1"/>
    </xf>
    <xf numFmtId="177" fontId="9" fillId="0" borderId="124" xfId="3" applyNumberFormat="1" applyFont="1" applyFill="1" applyBorder="1" applyAlignment="1">
      <alignment horizontal="center" vertical="top" wrapText="1"/>
    </xf>
    <xf numFmtId="177" fontId="9" fillId="0" borderId="127" xfId="3" applyNumberFormat="1" applyFont="1" applyFill="1" applyBorder="1" applyAlignment="1">
      <alignment horizontal="center" vertical="top" wrapText="1"/>
    </xf>
    <xf numFmtId="176" fontId="9" fillId="0" borderId="23" xfId="3" applyNumberFormat="1" applyFont="1" applyFill="1" applyBorder="1" applyAlignment="1">
      <alignment horizontal="right" vertical="top"/>
    </xf>
    <xf numFmtId="0" fontId="9" fillId="0" borderId="64" xfId="0" applyFont="1" applyBorder="1" applyAlignment="1">
      <alignment horizontal="center" vertical="top" wrapText="1"/>
    </xf>
    <xf numFmtId="176" fontId="9" fillId="0" borderId="77" xfId="3" applyNumberFormat="1" applyFont="1" applyFill="1" applyBorder="1" applyAlignment="1">
      <alignment horizontal="right" vertical="top"/>
    </xf>
    <xf numFmtId="0" fontId="9" fillId="0" borderId="74" xfId="0" applyFont="1" applyBorder="1" applyAlignment="1">
      <alignment horizontal="center" vertical="top"/>
    </xf>
    <xf numFmtId="49" fontId="9" fillId="0" borderId="107" xfId="0" applyNumberFormat="1" applyFont="1" applyBorder="1" applyAlignment="1">
      <alignment vertical="top"/>
    </xf>
    <xf numFmtId="49" fontId="9" fillId="0" borderId="76" xfId="0" applyNumberFormat="1" applyFont="1" applyBorder="1" applyAlignment="1">
      <alignment horizontal="center" vertical="top"/>
    </xf>
    <xf numFmtId="0" fontId="9" fillId="0" borderId="77" xfId="0" applyFont="1" applyBorder="1" applyAlignment="1">
      <alignment vertical="top"/>
    </xf>
    <xf numFmtId="0" fontId="9" fillId="0" borderId="75" xfId="0" applyFont="1" applyBorder="1" applyAlignment="1">
      <alignment horizontal="center" vertical="top" wrapText="1"/>
    </xf>
    <xf numFmtId="0" fontId="9" fillId="0" borderId="78" xfId="3" applyNumberFormat="1" applyFont="1" applyFill="1" applyBorder="1" applyAlignment="1">
      <alignment horizontal="center" vertical="top"/>
    </xf>
    <xf numFmtId="0" fontId="9" fillId="0" borderId="78" xfId="3" applyNumberFormat="1" applyFont="1" applyFill="1" applyBorder="1" applyAlignment="1">
      <alignment horizontal="center" vertical="top" wrapText="1"/>
    </xf>
    <xf numFmtId="177" fontId="9" fillId="0" borderId="74" xfId="3" applyNumberFormat="1" applyFont="1" applyFill="1" applyBorder="1" applyAlignment="1">
      <alignment horizontal="center" vertical="top" wrapText="1"/>
    </xf>
    <xf numFmtId="177" fontId="9" fillId="0" borderId="77" xfId="3" applyNumberFormat="1" applyFont="1" applyFill="1" applyBorder="1" applyAlignment="1">
      <alignment horizontal="center" vertical="top" wrapText="1"/>
    </xf>
    <xf numFmtId="14" fontId="12" fillId="0" borderId="61" xfId="0" applyNumberFormat="1" applyFont="1" applyBorder="1" applyAlignment="1">
      <alignment vertical="top"/>
    </xf>
    <xf numFmtId="49" fontId="9" fillId="0" borderId="86" xfId="3" applyNumberFormat="1" applyFont="1" applyFill="1" applyBorder="1" applyAlignment="1">
      <alignment horizontal="left" vertical="top" wrapText="1"/>
    </xf>
    <xf numFmtId="0" fontId="12" fillId="2" borderId="35" xfId="0" applyFont="1" applyFill="1" applyBorder="1" applyAlignment="1">
      <alignment vertical="top"/>
    </xf>
    <xf numFmtId="0" fontId="9" fillId="0" borderId="15" xfId="0" applyFont="1" applyBorder="1" applyAlignment="1">
      <alignment horizontal="center" vertical="top"/>
    </xf>
    <xf numFmtId="49" fontId="12" fillId="0" borderId="35" xfId="0" applyNumberFormat="1" applyFont="1" applyBorder="1" applyAlignment="1">
      <alignment vertical="top"/>
    </xf>
    <xf numFmtId="49" fontId="9" fillId="0" borderId="1" xfId="0" applyNumberFormat="1" applyFont="1" applyBorder="1" applyAlignment="1">
      <alignment horizontal="center" vertical="top"/>
    </xf>
    <xf numFmtId="0" fontId="12" fillId="0" borderId="16" xfId="0" applyFont="1" applyBorder="1" applyAlignment="1">
      <alignment vertical="top"/>
    </xf>
    <xf numFmtId="0" fontId="9" fillId="0" borderId="30" xfId="0" applyFont="1" applyBorder="1" applyAlignment="1">
      <alignment horizontal="center" vertical="top" wrapText="1"/>
    </xf>
    <xf numFmtId="176" fontId="9" fillId="0" borderId="16" xfId="3" applyNumberFormat="1" applyFont="1" applyFill="1" applyBorder="1" applyAlignment="1">
      <alignment horizontal="right" vertical="top"/>
    </xf>
    <xf numFmtId="0" fontId="9" fillId="0" borderId="49" xfId="3" applyNumberFormat="1" applyFont="1" applyFill="1" applyBorder="1" applyAlignment="1">
      <alignment horizontal="center" vertical="top"/>
    </xf>
    <xf numFmtId="0" fontId="9" fillId="0" borderId="49" xfId="3" applyNumberFormat="1" applyFont="1" applyFill="1" applyBorder="1" applyAlignment="1">
      <alignment horizontal="center" vertical="top" wrapText="1"/>
    </xf>
    <xf numFmtId="177" fontId="9" fillId="0" borderId="15" xfId="3" applyNumberFormat="1" applyFont="1" applyFill="1" applyBorder="1" applyAlignment="1">
      <alignment horizontal="center" vertical="top" wrapText="1"/>
    </xf>
    <xf numFmtId="177" fontId="9" fillId="0" borderId="16" xfId="3" applyNumberFormat="1" applyFont="1" applyFill="1" applyBorder="1" applyAlignment="1">
      <alignment horizontal="center" vertical="top" wrapText="1"/>
    </xf>
    <xf numFmtId="0" fontId="15" fillId="2" borderId="0" xfId="0" applyFont="1" applyFill="1" applyAlignment="1">
      <alignment vertical="top"/>
    </xf>
    <xf numFmtId="49" fontId="12" fillId="0" borderId="107" xfId="0" applyNumberFormat="1" applyFont="1" applyBorder="1" applyAlignment="1">
      <alignment vertical="top"/>
    </xf>
    <xf numFmtId="0" fontId="12" fillId="0" borderId="77" xfId="0" applyFont="1" applyBorder="1" applyAlignment="1">
      <alignment vertical="top"/>
    </xf>
    <xf numFmtId="0" fontId="16" fillId="2" borderId="0" xfId="0" applyFont="1" applyFill="1" applyAlignment="1">
      <alignment vertical="top"/>
    </xf>
    <xf numFmtId="0" fontId="16" fillId="2" borderId="32" xfId="0" applyFont="1" applyFill="1" applyBorder="1" applyAlignment="1">
      <alignment vertical="top"/>
    </xf>
    <xf numFmtId="0" fontId="4" fillId="0" borderId="0" xfId="0" applyFont="1" applyAlignment="1">
      <alignment horizontal="center" vertical="top"/>
    </xf>
    <xf numFmtId="49" fontId="4" fillId="0" borderId="0" xfId="0" applyNumberFormat="1" applyFont="1" applyAlignment="1">
      <alignment horizontal="center" vertical="top"/>
    </xf>
    <xf numFmtId="0" fontId="4" fillId="0" borderId="0" xfId="0" applyFont="1" applyAlignment="1">
      <alignment vertical="top"/>
    </xf>
    <xf numFmtId="0" fontId="11" fillId="3" borderId="6" xfId="0" applyFont="1" applyFill="1" applyBorder="1" applyAlignment="1">
      <alignment vertical="top"/>
    </xf>
    <xf numFmtId="49" fontId="11" fillId="3" borderId="6" xfId="0" applyNumberFormat="1" applyFont="1" applyFill="1" applyBorder="1" applyAlignment="1">
      <alignment horizontal="center" vertical="top"/>
    </xf>
    <xf numFmtId="0" fontId="11" fillId="3" borderId="6" xfId="0" applyFont="1" applyFill="1" applyBorder="1" applyAlignment="1">
      <alignment horizontal="center" vertical="top"/>
    </xf>
    <xf numFmtId="0" fontId="11" fillId="3" borderId="7" xfId="0" applyFont="1" applyFill="1" applyBorder="1" applyAlignment="1">
      <alignment vertical="top"/>
    </xf>
    <xf numFmtId="49" fontId="11" fillId="3" borderId="7" xfId="0" applyNumberFormat="1" applyFont="1" applyFill="1" applyBorder="1" applyAlignment="1">
      <alignment vertical="top"/>
    </xf>
    <xf numFmtId="0" fontId="11" fillId="3" borderId="7" xfId="0" applyFont="1" applyFill="1" applyBorder="1" applyAlignment="1">
      <alignment horizontal="center" vertical="top"/>
    </xf>
    <xf numFmtId="0" fontId="11" fillId="3" borderId="1" xfId="0" applyFont="1" applyFill="1" applyBorder="1" applyAlignment="1">
      <alignment horizontal="left" vertical="top"/>
    </xf>
    <xf numFmtId="0" fontId="4" fillId="2" borderId="1" xfId="0" applyFont="1" applyFill="1" applyBorder="1" applyAlignment="1">
      <alignment horizontal="center" vertical="top"/>
    </xf>
    <xf numFmtId="180" fontId="4" fillId="0" borderId="1" xfId="0" applyNumberFormat="1" applyFont="1" applyBorder="1" applyAlignment="1">
      <alignment horizontal="center" vertical="top"/>
    </xf>
    <xf numFmtId="49" fontId="4" fillId="0" borderId="1" xfId="0" applyNumberFormat="1" applyFont="1" applyBorder="1" applyAlignment="1">
      <alignment horizontal="center" vertical="top"/>
    </xf>
    <xf numFmtId="0" fontId="4" fillId="0" borderId="1" xfId="0" applyFont="1" applyBorder="1" applyAlignment="1">
      <alignment vertical="top"/>
    </xf>
    <xf numFmtId="0" fontId="4" fillId="0" borderId="1" xfId="0" applyFont="1" applyBorder="1" applyAlignment="1">
      <alignment horizontal="center" vertical="top" wrapText="1"/>
    </xf>
    <xf numFmtId="49" fontId="4" fillId="0" borderId="1" xfId="0" applyNumberFormat="1" applyFont="1" applyBorder="1" applyAlignment="1">
      <alignment vertical="top"/>
    </xf>
    <xf numFmtId="0" fontId="11" fillId="3" borderId="20" xfId="0" applyFont="1" applyFill="1" applyBorder="1" applyAlignment="1">
      <alignment horizontal="center" vertical="top"/>
    </xf>
    <xf numFmtId="0" fontId="11" fillId="3" borderId="56" xfId="0" applyFont="1" applyFill="1" applyBorder="1" applyAlignment="1">
      <alignment horizontal="center" vertical="top"/>
    </xf>
    <xf numFmtId="0" fontId="11" fillId="3" borderId="21" xfId="0" applyFont="1" applyFill="1" applyBorder="1" applyAlignment="1">
      <alignment horizontal="center" vertical="top"/>
    </xf>
    <xf numFmtId="0" fontId="11" fillId="3" borderId="23" xfId="0" applyFont="1" applyFill="1" applyBorder="1" applyAlignment="1">
      <alignment horizontal="center" vertical="top"/>
    </xf>
    <xf numFmtId="0" fontId="10" fillId="4" borderId="20" xfId="0" applyFont="1" applyFill="1" applyBorder="1" applyAlignment="1">
      <alignment vertical="top"/>
    </xf>
    <xf numFmtId="0" fontId="4" fillId="0" borderId="11" xfId="0" applyFont="1" applyBorder="1" applyAlignment="1">
      <alignment vertical="top"/>
    </xf>
    <xf numFmtId="178" fontId="4" fillId="0" borderId="11" xfId="0" applyNumberFormat="1" applyFont="1" applyBorder="1" applyAlignment="1">
      <alignment vertical="top"/>
    </xf>
    <xf numFmtId="179" fontId="4" fillId="0" borderId="21" xfId="0" applyNumberFormat="1" applyFont="1" applyBorder="1" applyAlignment="1">
      <alignment vertical="top"/>
    </xf>
    <xf numFmtId="49" fontId="4" fillId="0" borderId="14" xfId="0" applyNumberFormat="1" applyFont="1" applyBorder="1" applyAlignment="1">
      <alignment vertical="top"/>
    </xf>
    <xf numFmtId="179" fontId="4" fillId="0" borderId="45" xfId="0" applyNumberFormat="1" applyFont="1" applyBorder="1" applyAlignment="1">
      <alignment horizontal="center" vertical="top" wrapText="1"/>
    </xf>
    <xf numFmtId="0" fontId="13" fillId="4" borderId="24" xfId="0" applyFont="1" applyFill="1" applyBorder="1" applyAlignment="1">
      <alignment vertical="top"/>
    </xf>
    <xf numFmtId="178" fontId="4" fillId="0" borderId="1" xfId="0" applyNumberFormat="1" applyFont="1" applyBorder="1" applyAlignment="1">
      <alignment vertical="top"/>
    </xf>
    <xf numFmtId="179" fontId="4" fillId="0" borderId="1" xfId="0" applyNumberFormat="1" applyFont="1" applyBorder="1" applyAlignment="1">
      <alignment vertical="top"/>
    </xf>
    <xf numFmtId="49" fontId="4" fillId="0" borderId="16" xfId="0" applyNumberFormat="1" applyFont="1" applyBorder="1" applyAlignment="1">
      <alignment vertical="top"/>
    </xf>
    <xf numFmtId="179" fontId="4" fillId="0" borderId="49" xfId="0" applyNumberFormat="1" applyFont="1" applyBorder="1" applyAlignment="1">
      <alignment horizontal="center" vertical="top" wrapText="1"/>
    </xf>
    <xf numFmtId="179" fontId="4" fillId="0" borderId="36" xfId="0" applyNumberFormat="1" applyFont="1" applyBorder="1" applyAlignment="1">
      <alignment vertical="top"/>
    </xf>
    <xf numFmtId="179" fontId="4" fillId="0" borderId="48" xfId="0" applyNumberFormat="1" applyFont="1" applyBorder="1" applyAlignment="1">
      <alignment horizontal="center" vertical="top" wrapText="1"/>
    </xf>
    <xf numFmtId="0" fontId="13" fillId="4" borderId="50" xfId="0" applyFont="1" applyFill="1" applyBorder="1" applyAlignment="1">
      <alignment vertical="top"/>
    </xf>
    <xf numFmtId="0" fontId="10" fillId="4" borderId="31" xfId="0" applyFont="1" applyFill="1" applyBorder="1" applyAlignment="1">
      <alignment horizontal="center" vertical="top"/>
    </xf>
    <xf numFmtId="178" fontId="10" fillId="4" borderId="18" xfId="0" applyNumberFormat="1" applyFont="1" applyFill="1" applyBorder="1" applyAlignment="1">
      <alignment vertical="top"/>
    </xf>
    <xf numFmtId="179" fontId="10" fillId="4" borderId="34" xfId="0" applyNumberFormat="1" applyFont="1" applyFill="1" applyBorder="1" applyAlignment="1">
      <alignment vertical="top"/>
    </xf>
    <xf numFmtId="49" fontId="4" fillId="4" borderId="19" xfId="0" applyNumberFormat="1" applyFont="1" applyFill="1" applyBorder="1" applyAlignment="1">
      <alignment vertical="top"/>
    </xf>
    <xf numFmtId="179" fontId="10" fillId="4" borderId="57" xfId="0" applyNumberFormat="1" applyFont="1" applyFill="1" applyBorder="1" applyAlignment="1">
      <alignment horizontal="center" vertical="top" wrapText="1"/>
    </xf>
    <xf numFmtId="0" fontId="10" fillId="4" borderId="24" xfId="0" applyFont="1" applyFill="1" applyBorder="1" applyAlignment="1">
      <alignment vertical="top"/>
    </xf>
    <xf numFmtId="0" fontId="4" fillId="0" borderId="7" xfId="0" applyFont="1" applyBorder="1" applyAlignment="1">
      <alignment vertical="top"/>
    </xf>
    <xf numFmtId="178" fontId="4" fillId="0" borderId="7" xfId="0" applyNumberFormat="1" applyFont="1" applyBorder="1" applyAlignment="1">
      <alignment vertical="top"/>
    </xf>
    <xf numFmtId="179" fontId="4" fillId="0" borderId="3" xfId="0" applyNumberFormat="1" applyFont="1" applyBorder="1" applyAlignment="1">
      <alignment vertical="top"/>
    </xf>
    <xf numFmtId="49" fontId="4" fillId="0" borderId="41" xfId="0" applyNumberFormat="1" applyFont="1" applyBorder="1" applyAlignment="1">
      <alignment vertical="top"/>
    </xf>
    <xf numFmtId="179" fontId="4" fillId="0" borderId="47" xfId="0" applyNumberFormat="1" applyFont="1" applyBorder="1" applyAlignment="1">
      <alignment horizontal="center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13" fillId="4" borderId="25" xfId="0" applyFont="1" applyFill="1" applyBorder="1" applyAlignment="1">
      <alignment vertical="top"/>
    </xf>
    <xf numFmtId="0" fontId="11" fillId="3" borderId="42" xfId="0" applyFont="1" applyFill="1" applyBorder="1" applyAlignment="1">
      <alignment horizontal="center" vertical="top"/>
    </xf>
    <xf numFmtId="0" fontId="4" fillId="0" borderId="0" xfId="0" applyFont="1" applyAlignment="1">
      <alignment horizontal="left" vertical="top"/>
    </xf>
    <xf numFmtId="0" fontId="18" fillId="0" borderId="0" xfId="0" applyFont="1" applyAlignment="1">
      <alignment horizontal="left" vertical="top" wrapText="1"/>
    </xf>
    <xf numFmtId="0" fontId="11" fillId="3" borderId="23" xfId="0" applyFont="1" applyFill="1" applyBorder="1" applyAlignment="1">
      <alignment horizontal="center" vertical="top" wrapText="1"/>
    </xf>
    <xf numFmtId="0" fontId="4" fillId="0" borderId="14" xfId="0" applyFont="1" applyBorder="1" applyAlignment="1">
      <alignment horizontal="center" vertical="top" wrapText="1"/>
    </xf>
    <xf numFmtId="0" fontId="4" fillId="0" borderId="16" xfId="0" applyFont="1" applyBorder="1" applyAlignment="1">
      <alignment horizontal="center" vertical="top" wrapText="1"/>
    </xf>
    <xf numFmtId="0" fontId="4" fillId="0" borderId="19" xfId="0" applyFont="1" applyBorder="1" applyAlignment="1">
      <alignment horizontal="center" vertical="top" wrapText="1"/>
    </xf>
    <xf numFmtId="0" fontId="4" fillId="0" borderId="0" xfId="0" applyFont="1" applyAlignment="1">
      <alignment horizontal="center" vertical="top" wrapText="1"/>
    </xf>
    <xf numFmtId="0" fontId="11" fillId="3" borderId="52" xfId="0" applyFont="1" applyFill="1" applyBorder="1" applyAlignment="1">
      <alignment vertical="top"/>
    </xf>
    <xf numFmtId="0" fontId="11" fillId="3" borderId="22" xfId="0" applyFont="1" applyFill="1" applyBorder="1" applyAlignment="1">
      <alignment vertical="top"/>
    </xf>
    <xf numFmtId="0" fontId="11" fillId="3" borderId="17" xfId="0" applyFont="1" applyFill="1" applyBorder="1" applyAlignment="1">
      <alignment horizontal="center" vertical="top"/>
    </xf>
    <xf numFmtId="0" fontId="11" fillId="3" borderId="19" xfId="0" applyFont="1" applyFill="1" applyBorder="1" applyAlignment="1">
      <alignment horizontal="center" vertical="top"/>
    </xf>
    <xf numFmtId="0" fontId="11" fillId="3" borderId="92" xfId="0" applyFont="1" applyFill="1" applyBorder="1" applyAlignment="1">
      <alignment vertical="top"/>
    </xf>
    <xf numFmtId="0" fontId="11" fillId="3" borderId="0" xfId="0" applyFont="1" applyFill="1" applyAlignment="1">
      <alignment vertical="top"/>
    </xf>
    <xf numFmtId="0" fontId="11" fillId="3" borderId="2" xfId="0" applyFont="1" applyFill="1" applyBorder="1" applyAlignment="1">
      <alignment vertical="top"/>
    </xf>
    <xf numFmtId="0" fontId="11" fillId="3" borderId="28" xfId="0" applyFont="1" applyFill="1" applyBorder="1" applyAlignment="1">
      <alignment vertical="top"/>
    </xf>
    <xf numFmtId="0" fontId="10" fillId="4" borderId="20" xfId="0" applyFont="1" applyFill="1" applyBorder="1" applyAlignment="1">
      <alignment vertical="top" wrapText="1"/>
    </xf>
    <xf numFmtId="0" fontId="10" fillId="2" borderId="21" xfId="0" applyFont="1" applyFill="1" applyBorder="1" applyAlignment="1">
      <alignment vertical="top"/>
    </xf>
    <xf numFmtId="0" fontId="10" fillId="0" borderId="87" xfId="0" applyFont="1" applyBorder="1" applyAlignment="1">
      <alignment vertical="top"/>
    </xf>
    <xf numFmtId="0" fontId="4" fillId="0" borderId="88" xfId="0" applyFont="1" applyBorder="1" applyAlignment="1">
      <alignment horizontal="center" vertical="top" wrapText="1"/>
    </xf>
    <xf numFmtId="0" fontId="4" fillId="0" borderId="88" xfId="0" applyFont="1" applyBorder="1" applyAlignment="1">
      <alignment horizontal="center" vertical="top"/>
    </xf>
    <xf numFmtId="0" fontId="4" fillId="0" borderId="93" xfId="0" applyFont="1" applyBorder="1" applyAlignment="1">
      <alignment vertical="top"/>
    </xf>
    <xf numFmtId="0" fontId="10" fillId="0" borderId="63" xfId="0" applyFont="1" applyBorder="1" applyAlignment="1">
      <alignment vertical="top"/>
    </xf>
    <xf numFmtId="0" fontId="4" fillId="0" borderId="65" xfId="0" applyFont="1" applyBorder="1" applyAlignment="1">
      <alignment horizontal="center" vertical="top" wrapText="1"/>
    </xf>
    <xf numFmtId="0" fontId="4" fillId="0" borderId="65" xfId="0" applyFont="1" applyBorder="1" applyAlignment="1">
      <alignment horizontal="center" vertical="top"/>
    </xf>
    <xf numFmtId="0" fontId="4" fillId="0" borderId="94" xfId="0" applyFont="1" applyBorder="1" applyAlignment="1">
      <alignment vertical="top"/>
    </xf>
    <xf numFmtId="0" fontId="10" fillId="0" borderId="79" xfId="0" applyFont="1" applyBorder="1" applyAlignment="1">
      <alignment vertical="top"/>
    </xf>
    <xf numFmtId="0" fontId="4" fillId="0" borderId="80" xfId="0" applyFont="1" applyBorder="1" applyAlignment="1">
      <alignment horizontal="center" vertical="top" wrapText="1"/>
    </xf>
    <xf numFmtId="0" fontId="4" fillId="0" borderId="80" xfId="0" applyFont="1" applyBorder="1" applyAlignment="1">
      <alignment horizontal="center" vertical="top"/>
    </xf>
    <xf numFmtId="0" fontId="4" fillId="0" borderId="96" xfId="0" applyFont="1" applyBorder="1" applyAlignment="1">
      <alignment vertical="top"/>
    </xf>
    <xf numFmtId="0" fontId="10" fillId="2" borderId="4" xfId="0" applyFont="1" applyFill="1" applyBorder="1" applyAlignment="1">
      <alignment vertical="top"/>
    </xf>
    <xf numFmtId="0" fontId="10" fillId="0" borderId="58" xfId="0" applyFont="1" applyBorder="1" applyAlignment="1">
      <alignment vertical="top"/>
    </xf>
    <xf numFmtId="0" fontId="4" fillId="0" borderId="60" xfId="0" applyFont="1" applyBorder="1" applyAlignment="1">
      <alignment horizontal="center" vertical="top" wrapText="1"/>
    </xf>
    <xf numFmtId="0" fontId="4" fillId="0" borderId="60" xfId="0" applyFont="1" applyBorder="1" applyAlignment="1">
      <alignment horizontal="center" vertical="top"/>
    </xf>
    <xf numFmtId="0" fontId="4" fillId="0" borderId="97" xfId="0" applyFont="1" applyBorder="1" applyAlignment="1">
      <alignment vertical="top"/>
    </xf>
    <xf numFmtId="0" fontId="10" fillId="0" borderId="69" xfId="0" applyFont="1" applyBorder="1" applyAlignment="1">
      <alignment vertical="top"/>
    </xf>
    <xf numFmtId="0" fontId="4" fillId="0" borderId="70" xfId="0" applyFont="1" applyBorder="1" applyAlignment="1">
      <alignment horizontal="center" vertical="top" wrapText="1"/>
    </xf>
    <xf numFmtId="0" fontId="4" fillId="0" borderId="70" xfId="0" applyFont="1" applyBorder="1" applyAlignment="1">
      <alignment horizontal="center" vertical="top"/>
    </xf>
    <xf numFmtId="0" fontId="4" fillId="0" borderId="95" xfId="0" applyFont="1" applyBorder="1" applyAlignment="1">
      <alignment vertical="top"/>
    </xf>
    <xf numFmtId="0" fontId="10" fillId="2" borderId="16" xfId="0" applyFont="1" applyFill="1" applyBorder="1" applyAlignment="1">
      <alignment vertical="top"/>
    </xf>
    <xf numFmtId="0" fontId="10" fillId="0" borderId="2" xfId="0" applyFont="1" applyBorder="1" applyAlignment="1">
      <alignment vertical="top"/>
    </xf>
    <xf numFmtId="0" fontId="4" fillId="0" borderId="8" xfId="0" applyFont="1" applyBorder="1" applyAlignment="1">
      <alignment horizontal="center" vertical="top" wrapText="1"/>
    </xf>
    <xf numFmtId="0" fontId="4" fillId="0" borderId="8" xfId="0" applyFont="1" applyBorder="1" applyAlignment="1">
      <alignment horizontal="center" vertical="top"/>
    </xf>
    <xf numFmtId="0" fontId="4" fillId="0" borderId="54" xfId="0" applyFont="1" applyBorder="1" applyAlignment="1">
      <alignment vertical="top"/>
    </xf>
    <xf numFmtId="0" fontId="10" fillId="0" borderId="82" xfId="0" applyFont="1" applyBorder="1" applyAlignment="1">
      <alignment vertical="top"/>
    </xf>
    <xf numFmtId="0" fontId="4" fillId="0" borderId="83" xfId="0" applyFont="1" applyBorder="1" applyAlignment="1">
      <alignment horizontal="center" vertical="top" wrapText="1"/>
    </xf>
    <xf numFmtId="0" fontId="4" fillId="0" borderId="83" xfId="0" applyFont="1" applyBorder="1" applyAlignment="1">
      <alignment horizontal="center" vertical="top"/>
    </xf>
    <xf numFmtId="0" fontId="4" fillId="0" borderId="98" xfId="0" applyFont="1" applyBorder="1" applyAlignment="1">
      <alignment vertical="top"/>
    </xf>
    <xf numFmtId="0" fontId="10" fillId="2" borderId="14" xfId="0" applyFont="1" applyFill="1" applyBorder="1" applyAlignment="1">
      <alignment vertical="top"/>
    </xf>
    <xf numFmtId="0" fontId="10" fillId="0" borderId="37" xfId="0" applyFont="1" applyBorder="1" applyAlignment="1">
      <alignment vertical="top"/>
    </xf>
    <xf numFmtId="0" fontId="4" fillId="0" borderId="7" xfId="0" applyFont="1" applyBorder="1" applyAlignment="1">
      <alignment horizontal="center" vertical="top" wrapText="1"/>
    </xf>
    <xf numFmtId="0" fontId="4" fillId="0" borderId="7" xfId="0" applyFont="1" applyBorder="1" applyAlignment="1">
      <alignment horizontal="center" vertical="top"/>
    </xf>
    <xf numFmtId="0" fontId="4" fillId="0" borderId="53" xfId="0" applyFont="1" applyBorder="1" applyAlignment="1">
      <alignment vertical="top"/>
    </xf>
    <xf numFmtId="0" fontId="10" fillId="2" borderId="19" xfId="0" applyFont="1" applyFill="1" applyBorder="1" applyAlignment="1">
      <alignment vertical="top"/>
    </xf>
    <xf numFmtId="0" fontId="10" fillId="0" borderId="5" xfId="0" applyFont="1" applyBorder="1" applyAlignment="1">
      <alignment vertical="top"/>
    </xf>
    <xf numFmtId="0" fontId="4" fillId="0" borderId="6" xfId="0" applyFont="1" applyBorder="1" applyAlignment="1">
      <alignment horizontal="center" vertical="top" wrapText="1"/>
    </xf>
    <xf numFmtId="0" fontId="4" fillId="0" borderId="6" xfId="0" applyFont="1" applyBorder="1" applyAlignment="1">
      <alignment horizontal="center" vertical="top"/>
    </xf>
    <xf numFmtId="0" fontId="4" fillId="0" borderId="99" xfId="0" applyFont="1" applyBorder="1" applyAlignment="1">
      <alignment vertical="top"/>
    </xf>
    <xf numFmtId="0" fontId="10" fillId="4" borderId="24" xfId="0" applyFont="1" applyFill="1" applyBorder="1" applyAlignment="1">
      <alignment vertical="top" wrapText="1"/>
    </xf>
    <xf numFmtId="0" fontId="10" fillId="2" borderId="3" xfId="0" applyFont="1" applyFill="1" applyBorder="1" applyAlignment="1">
      <alignment vertical="top"/>
    </xf>
    <xf numFmtId="0" fontId="10" fillId="0" borderId="74" xfId="0" applyFont="1" applyBorder="1" applyAlignment="1">
      <alignment vertical="top"/>
    </xf>
    <xf numFmtId="0" fontId="4" fillId="0" borderId="76" xfId="0" applyFont="1" applyBorder="1" applyAlignment="1">
      <alignment horizontal="center" vertical="top" wrapText="1"/>
    </xf>
    <xf numFmtId="0" fontId="4" fillId="0" borderId="76" xfId="0" applyFont="1" applyBorder="1" applyAlignment="1">
      <alignment horizontal="center" vertical="top"/>
    </xf>
    <xf numFmtId="0" fontId="4" fillId="0" borderId="101" xfId="0" applyFont="1" applyBorder="1" applyAlignment="1">
      <alignment vertical="top"/>
    </xf>
    <xf numFmtId="0" fontId="10" fillId="2" borderId="29" xfId="0" applyFont="1" applyFill="1" applyBorder="1" applyAlignment="1">
      <alignment vertical="top"/>
    </xf>
    <xf numFmtId="0" fontId="10" fillId="0" borderId="24" xfId="0" applyFont="1" applyBorder="1" applyAlignment="1">
      <alignment vertical="top"/>
    </xf>
    <xf numFmtId="0" fontId="10" fillId="0" borderId="25" xfId="0" applyFont="1" applyBorder="1" applyAlignment="1">
      <alignment vertical="top"/>
    </xf>
    <xf numFmtId="0" fontId="4" fillId="0" borderId="51" xfId="0" applyFont="1" applyBorder="1" applyAlignment="1">
      <alignment horizontal="center" vertical="top" wrapText="1"/>
    </xf>
    <xf numFmtId="0" fontId="4" fillId="0" borderId="51" xfId="0" applyFont="1" applyBorder="1" applyAlignment="1">
      <alignment horizontal="center" vertical="top"/>
    </xf>
    <xf numFmtId="0" fontId="4" fillId="0" borderId="55" xfId="0" applyFont="1" applyBorder="1" applyAlignment="1">
      <alignment vertical="top"/>
    </xf>
    <xf numFmtId="181" fontId="4" fillId="0" borderId="1" xfId="0" applyNumberFormat="1" applyFont="1" applyBorder="1" applyAlignment="1">
      <alignment horizontal="center" vertical="top"/>
    </xf>
    <xf numFmtId="49" fontId="9" fillId="0" borderId="46" xfId="3" applyNumberFormat="1" applyFont="1" applyFill="1" applyBorder="1" applyAlignment="1">
      <alignment horizontal="left" vertical="top" wrapText="1"/>
    </xf>
    <xf numFmtId="49" fontId="9" fillId="0" borderId="62" xfId="3" applyNumberFormat="1" applyFont="1" applyFill="1" applyBorder="1" applyAlignment="1">
      <alignment horizontal="left" vertical="top" wrapText="1"/>
    </xf>
    <xf numFmtId="49" fontId="9" fillId="0" borderId="91" xfId="3" applyNumberFormat="1" applyFont="1" applyFill="1" applyBorder="1" applyAlignment="1">
      <alignment horizontal="left" vertical="top" wrapText="1"/>
    </xf>
    <xf numFmtId="49" fontId="9" fillId="0" borderId="111" xfId="3" applyNumberFormat="1" applyFont="1" applyFill="1" applyBorder="1" applyAlignment="1">
      <alignment horizontal="left" vertical="top" wrapText="1"/>
    </xf>
    <xf numFmtId="49" fontId="9" fillId="0" borderId="117" xfId="3" applyNumberFormat="1" applyFont="1" applyFill="1" applyBorder="1" applyAlignment="1">
      <alignment horizontal="left" vertical="top" wrapText="1"/>
    </xf>
    <xf numFmtId="49" fontId="9" fillId="0" borderId="78" xfId="3" applyNumberFormat="1" applyFont="1" applyFill="1" applyBorder="1" applyAlignment="1">
      <alignment horizontal="left" vertical="top" wrapText="1"/>
    </xf>
    <xf numFmtId="49" fontId="9" fillId="0" borderId="49" xfId="3" applyNumberFormat="1" applyFont="1" applyFill="1" applyBorder="1" applyAlignment="1">
      <alignment horizontal="left" vertical="top" wrapText="1"/>
    </xf>
    <xf numFmtId="0" fontId="9" fillId="0" borderId="63" xfId="0" applyFont="1" applyBorder="1" applyAlignment="1">
      <alignment horizontal="center" vertical="top" wrapText="1"/>
    </xf>
    <xf numFmtId="0" fontId="9" fillId="0" borderId="87" xfId="0" applyFont="1" applyBorder="1" applyAlignment="1">
      <alignment horizontal="center" vertical="top" wrapText="1"/>
    </xf>
    <xf numFmtId="49" fontId="11" fillId="3" borderId="37" xfId="0" applyNumberFormat="1" applyFont="1" applyFill="1" applyBorder="1" applyAlignment="1">
      <alignment vertical="top"/>
    </xf>
    <xf numFmtId="0" fontId="12" fillId="4" borderId="42" xfId="0" applyFont="1" applyFill="1" applyBorder="1" applyAlignment="1">
      <alignment vertical="top" wrapText="1"/>
    </xf>
    <xf numFmtId="0" fontId="13" fillId="4" borderId="92" xfId="0" applyFont="1" applyFill="1" applyBorder="1" applyAlignment="1">
      <alignment vertical="top" wrapText="1"/>
    </xf>
    <xf numFmtId="0" fontId="13" fillId="4" borderId="50" xfId="0" applyFont="1" applyFill="1" applyBorder="1" applyAlignment="1">
      <alignment vertical="top" wrapText="1"/>
    </xf>
    <xf numFmtId="49" fontId="11" fillId="3" borderId="38" xfId="0" applyNumberFormat="1" applyFont="1" applyFill="1" applyBorder="1" applyAlignment="1">
      <alignment vertical="top"/>
    </xf>
    <xf numFmtId="49" fontId="11" fillId="3" borderId="36" xfId="0" applyNumberFormat="1" applyFont="1" applyFill="1" applyBorder="1" applyAlignment="1">
      <alignment horizontal="center" vertical="top"/>
    </xf>
    <xf numFmtId="0" fontId="11" fillId="3" borderId="43" xfId="0" applyFont="1" applyFill="1" applyBorder="1" applyAlignment="1">
      <alignment horizontal="center" vertical="top" wrapText="1"/>
    </xf>
    <xf numFmtId="0" fontId="9" fillId="0" borderId="0" xfId="0" applyFont="1" applyAlignment="1">
      <alignment vertical="top" wrapText="1"/>
    </xf>
    <xf numFmtId="0" fontId="9" fillId="0" borderId="0" xfId="0" applyFont="1" applyAlignment="1">
      <alignment horizontal="center" vertical="top" wrapText="1"/>
    </xf>
    <xf numFmtId="0" fontId="9" fillId="0" borderId="0" xfId="0" applyFont="1" applyAlignment="1">
      <alignment horizontal="left" vertical="top" wrapText="1"/>
    </xf>
    <xf numFmtId="0" fontId="11" fillId="3" borderId="45" xfId="0" applyFont="1" applyFill="1" applyBorder="1" applyAlignment="1">
      <alignment horizontal="center" vertical="top" wrapText="1"/>
    </xf>
    <xf numFmtId="0" fontId="11" fillId="3" borderId="27" xfId="0" applyFont="1" applyFill="1" applyBorder="1" applyAlignment="1">
      <alignment horizontal="center" vertical="top" wrapText="1"/>
    </xf>
    <xf numFmtId="0" fontId="11" fillId="3" borderId="47" xfId="0" applyFont="1" applyFill="1" applyBorder="1" applyAlignment="1">
      <alignment horizontal="center" vertical="top" wrapText="1"/>
    </xf>
    <xf numFmtId="0" fontId="9" fillId="0" borderId="130" xfId="0" applyFont="1" applyBorder="1" applyAlignment="1">
      <alignment vertical="top" wrapText="1"/>
    </xf>
    <xf numFmtId="49" fontId="9" fillId="0" borderId="88" xfId="0" applyNumberFormat="1" applyFont="1" applyBorder="1" applyAlignment="1">
      <alignment horizontal="center" vertical="top" wrapText="1"/>
    </xf>
    <xf numFmtId="0" fontId="9" fillId="0" borderId="88" xfId="0" quotePrefix="1" applyFont="1" applyBorder="1" applyAlignment="1">
      <alignment horizontal="center" vertical="top" wrapText="1"/>
    </xf>
    <xf numFmtId="0" fontId="9" fillId="0" borderId="89" xfId="0" applyFont="1" applyBorder="1" applyAlignment="1">
      <alignment vertical="top" wrapText="1"/>
    </xf>
    <xf numFmtId="0" fontId="9" fillId="0" borderId="64" xfId="0" applyFont="1" applyBorder="1" applyAlignment="1">
      <alignment vertical="top" wrapText="1"/>
    </xf>
    <xf numFmtId="49" fontId="9" fillId="0" borderId="65" xfId="0" applyNumberFormat="1" applyFont="1" applyBorder="1" applyAlignment="1">
      <alignment horizontal="center" vertical="top" wrapText="1"/>
    </xf>
    <xf numFmtId="0" fontId="9" fillId="0" borderId="65" xfId="0" quotePrefix="1" applyFont="1" applyBorder="1" applyAlignment="1">
      <alignment horizontal="center" vertical="top" wrapText="1"/>
    </xf>
    <xf numFmtId="0" fontId="9" fillId="0" borderId="66" xfId="0" applyFont="1" applyBorder="1" applyAlignment="1">
      <alignment vertical="top" wrapText="1"/>
    </xf>
    <xf numFmtId="49" fontId="9" fillId="0" borderId="103" xfId="0" applyNumberFormat="1" applyFont="1" applyBorder="1" applyAlignment="1">
      <alignment vertical="top" wrapText="1"/>
    </xf>
    <xf numFmtId="0" fontId="9" fillId="0" borderId="82" xfId="0" applyFont="1" applyBorder="1" applyAlignment="1">
      <alignment horizontal="center" vertical="top" wrapText="1"/>
    </xf>
    <xf numFmtId="49" fontId="9" fillId="0" borderId="105" xfId="0" applyNumberFormat="1" applyFont="1" applyBorder="1" applyAlignment="1">
      <alignment vertical="top" wrapText="1"/>
    </xf>
    <xf numFmtId="49" fontId="9" fillId="0" borderId="83" xfId="0" applyNumberFormat="1" applyFont="1" applyBorder="1" applyAlignment="1">
      <alignment horizontal="center" vertical="top" wrapText="1"/>
    </xf>
    <xf numFmtId="0" fontId="9" fillId="0" borderId="84" xfId="0" applyFont="1" applyBorder="1" applyAlignment="1">
      <alignment vertical="top" wrapText="1"/>
    </xf>
    <xf numFmtId="0" fontId="9" fillId="0" borderId="74" xfId="0" applyFont="1" applyBorder="1" applyAlignment="1">
      <alignment horizontal="center" vertical="top" wrapText="1"/>
    </xf>
    <xf numFmtId="49" fontId="9" fillId="0" borderId="107" xfId="0" applyNumberFormat="1" applyFont="1" applyBorder="1" applyAlignment="1">
      <alignment vertical="top" wrapText="1"/>
    </xf>
    <xf numFmtId="49" fontId="9" fillId="0" borderId="76" xfId="0" applyNumberFormat="1" applyFont="1" applyBorder="1" applyAlignment="1">
      <alignment horizontal="center" vertical="top" wrapText="1"/>
    </xf>
    <xf numFmtId="0" fontId="9" fillId="0" borderId="77" xfId="0" applyFont="1" applyBorder="1" applyAlignment="1">
      <alignment vertical="top" wrapText="1"/>
    </xf>
    <xf numFmtId="0" fontId="9" fillId="0" borderId="83" xfId="0" quotePrefix="1" applyFont="1" applyBorder="1" applyAlignment="1">
      <alignment horizontal="center" vertical="top" wrapText="1"/>
    </xf>
    <xf numFmtId="0" fontId="11" fillId="3" borderId="10" xfId="0" applyFont="1" applyFill="1" applyBorder="1" applyAlignment="1">
      <alignment horizontal="center" vertical="top" wrapText="1"/>
    </xf>
    <xf numFmtId="0" fontId="4" fillId="2" borderId="11" xfId="0" applyFont="1" applyFill="1" applyBorder="1" applyAlignment="1">
      <alignment horizontal="center" vertical="top" wrapText="1"/>
    </xf>
    <xf numFmtId="0" fontId="4" fillId="2" borderId="1" xfId="0" applyFont="1" applyFill="1" applyBorder="1" applyAlignment="1">
      <alignment horizontal="center" vertical="top" wrapText="1"/>
    </xf>
    <xf numFmtId="0" fontId="4" fillId="2" borderId="18" xfId="0" applyFont="1" applyFill="1" applyBorder="1" applyAlignment="1">
      <alignment horizontal="center" vertical="top" wrapText="1"/>
    </xf>
    <xf numFmtId="0" fontId="19" fillId="4" borderId="20" xfId="0" applyFont="1" applyFill="1" applyBorder="1" applyAlignment="1">
      <alignment vertical="top" wrapText="1"/>
    </xf>
    <xf numFmtId="0" fontId="20" fillId="4" borderId="24" xfId="0" applyFont="1" applyFill="1" applyBorder="1" applyAlignment="1">
      <alignment vertical="top" wrapText="1"/>
    </xf>
    <xf numFmtId="0" fontId="20" fillId="4" borderId="25" xfId="0" applyFont="1" applyFill="1" applyBorder="1" applyAlignment="1">
      <alignment vertical="top" wrapText="1"/>
    </xf>
    <xf numFmtId="0" fontId="9" fillId="0" borderId="88" xfId="0" applyFont="1" applyBorder="1" applyAlignment="1">
      <alignment vertical="top" wrapText="1"/>
    </xf>
    <xf numFmtId="0" fontId="9" fillId="0" borderId="65" xfId="0" applyFont="1" applyBorder="1" applyAlignment="1">
      <alignment vertical="top" wrapText="1"/>
    </xf>
    <xf numFmtId="0" fontId="9" fillId="0" borderId="83" xfId="0" applyFont="1" applyBorder="1" applyAlignment="1">
      <alignment vertical="top" wrapText="1"/>
    </xf>
    <xf numFmtId="0" fontId="9" fillId="0" borderId="76" xfId="0" applyFont="1" applyBorder="1" applyAlignment="1">
      <alignment vertical="top" wrapText="1"/>
    </xf>
    <xf numFmtId="0" fontId="9" fillId="0" borderId="88" xfId="0" quotePrefix="1" applyFont="1" applyBorder="1" applyAlignment="1">
      <alignment horizontal="left" vertical="top" wrapText="1"/>
    </xf>
    <xf numFmtId="0" fontId="9" fillId="0" borderId="65" xfId="0" quotePrefix="1" applyFont="1" applyBorder="1" applyAlignment="1">
      <alignment horizontal="left" vertical="top" wrapText="1"/>
    </xf>
    <xf numFmtId="0" fontId="9" fillId="0" borderId="83" xfId="0" quotePrefix="1" applyFont="1" applyBorder="1" applyAlignment="1">
      <alignment horizontal="left" vertical="top" wrapText="1"/>
    </xf>
    <xf numFmtId="0" fontId="9" fillId="0" borderId="76" xfId="0" quotePrefix="1" applyFont="1" applyBorder="1" applyAlignment="1">
      <alignment horizontal="left" vertical="top" wrapText="1"/>
    </xf>
    <xf numFmtId="0" fontId="4" fillId="0" borderId="1" xfId="0" applyFont="1" applyBorder="1" applyAlignment="1">
      <alignment horizontal="left" vertical="top"/>
    </xf>
    <xf numFmtId="0" fontId="17" fillId="0" borderId="1" xfId="0" applyFont="1" applyBorder="1" applyAlignment="1">
      <alignment horizontal="left" vertical="top"/>
    </xf>
    <xf numFmtId="0" fontId="9" fillId="5" borderId="91" xfId="3" applyNumberFormat="1" applyFont="1" applyFill="1" applyBorder="1" applyAlignment="1">
      <alignment horizontal="center" vertical="top" wrapText="1"/>
    </xf>
    <xf numFmtId="0" fontId="9" fillId="5" borderId="68" xfId="3" applyNumberFormat="1" applyFont="1" applyFill="1" applyBorder="1" applyAlignment="1">
      <alignment horizontal="center" vertical="top" wrapText="1"/>
    </xf>
    <xf numFmtId="0" fontId="9" fillId="5" borderId="86" xfId="3" applyNumberFormat="1" applyFont="1" applyFill="1" applyBorder="1" applyAlignment="1">
      <alignment horizontal="center" vertical="top" wrapText="1"/>
    </xf>
    <xf numFmtId="0" fontId="9" fillId="5" borderId="78" xfId="3" applyNumberFormat="1" applyFont="1" applyFill="1" applyBorder="1" applyAlignment="1">
      <alignment horizontal="center" vertical="top" wrapText="1"/>
    </xf>
    <xf numFmtId="0" fontId="11" fillId="3" borderId="17" xfId="0" applyFont="1" applyFill="1" applyBorder="1" applyAlignment="1">
      <alignment horizontal="center" vertical="top" wrapText="1"/>
    </xf>
    <xf numFmtId="0" fontId="11" fillId="3" borderId="18" xfId="0" applyFont="1" applyFill="1" applyBorder="1" applyAlignment="1">
      <alignment horizontal="center" vertical="top" wrapText="1"/>
    </xf>
    <xf numFmtId="0" fontId="11" fillId="3" borderId="19" xfId="0" applyFont="1" applyFill="1" applyBorder="1" applyAlignment="1">
      <alignment horizontal="center" vertical="top" wrapText="1"/>
    </xf>
    <xf numFmtId="0" fontId="9" fillId="5" borderId="131" xfId="0" applyFont="1" applyFill="1" applyBorder="1" applyAlignment="1">
      <alignment horizontal="center" vertical="top" wrapText="1"/>
    </xf>
    <xf numFmtId="0" fontId="9" fillId="5" borderId="93" xfId="3" applyNumberFormat="1" applyFont="1" applyFill="1" applyBorder="1" applyAlignment="1">
      <alignment horizontal="center" vertical="top" wrapText="1"/>
    </xf>
    <xf numFmtId="0" fontId="9" fillId="5" borderId="132" xfId="0" applyFont="1" applyFill="1" applyBorder="1" applyAlignment="1">
      <alignment horizontal="center" vertical="top" wrapText="1"/>
    </xf>
    <xf numFmtId="0" fontId="9" fillId="5" borderId="94" xfId="3" applyNumberFormat="1" applyFont="1" applyFill="1" applyBorder="1" applyAlignment="1">
      <alignment horizontal="center" vertical="top" wrapText="1"/>
    </xf>
    <xf numFmtId="0" fontId="9" fillId="5" borderId="134" xfId="0" applyFont="1" applyFill="1" applyBorder="1" applyAlignment="1">
      <alignment horizontal="center" vertical="top" wrapText="1"/>
    </xf>
    <xf numFmtId="0" fontId="9" fillId="5" borderId="98" xfId="3" applyNumberFormat="1" applyFont="1" applyFill="1" applyBorder="1" applyAlignment="1">
      <alignment horizontal="center" vertical="top" wrapText="1"/>
    </xf>
    <xf numFmtId="0" fontId="9" fillId="5" borderId="133" xfId="0" applyFont="1" applyFill="1" applyBorder="1" applyAlignment="1">
      <alignment horizontal="center" vertical="top" wrapText="1"/>
    </xf>
    <xf numFmtId="0" fontId="9" fillId="5" borderId="101" xfId="3" applyNumberFormat="1" applyFont="1" applyFill="1" applyBorder="1" applyAlignment="1">
      <alignment horizontal="center" vertical="top" wrapText="1"/>
    </xf>
    <xf numFmtId="0" fontId="9" fillId="4" borderId="1" xfId="0" applyFont="1" applyFill="1" applyBorder="1" applyAlignment="1">
      <alignment horizontal="center" vertical="top" wrapText="1"/>
    </xf>
    <xf numFmtId="0" fontId="12" fillId="0" borderId="1" xfId="0" applyFont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vertical="top" wrapText="1"/>
    </xf>
    <xf numFmtId="0" fontId="11" fillId="3" borderId="6" xfId="0" applyFont="1" applyFill="1" applyBorder="1" applyAlignment="1">
      <alignment horizontal="center" vertical="top" wrapText="1"/>
    </xf>
    <xf numFmtId="0" fontId="11" fillId="3" borderId="7" xfId="0" applyFont="1" applyFill="1" applyBorder="1" applyAlignment="1">
      <alignment horizontal="center" vertical="top" wrapText="1"/>
    </xf>
    <xf numFmtId="49" fontId="11" fillId="3" borderId="4" xfId="0" applyNumberFormat="1" applyFont="1" applyFill="1" applyBorder="1" applyAlignment="1">
      <alignment horizontal="center" vertical="top"/>
    </xf>
    <xf numFmtId="49" fontId="11" fillId="3" borderId="9" xfId="0" applyNumberFormat="1" applyFont="1" applyFill="1" applyBorder="1" applyAlignment="1">
      <alignment horizontal="center" vertical="top"/>
    </xf>
    <xf numFmtId="49" fontId="11" fillId="3" borderId="5" xfId="0" applyNumberFormat="1" applyFont="1" applyFill="1" applyBorder="1" applyAlignment="1">
      <alignment horizontal="center" vertical="top"/>
    </xf>
    <xf numFmtId="0" fontId="11" fillId="3" borderId="35" xfId="0" applyFont="1" applyFill="1" applyBorder="1" applyAlignment="1">
      <alignment horizontal="center" vertical="top"/>
    </xf>
    <xf numFmtId="0" fontId="11" fillId="3" borderId="40" xfId="0" applyFont="1" applyFill="1" applyBorder="1" applyAlignment="1">
      <alignment horizontal="center" vertical="top"/>
    </xf>
    <xf numFmtId="0" fontId="11" fillId="3" borderId="30" xfId="0" applyFont="1" applyFill="1" applyBorder="1" applyAlignment="1">
      <alignment horizontal="center" vertical="top"/>
    </xf>
    <xf numFmtId="0" fontId="11" fillId="3" borderId="10" xfId="0" applyFont="1" applyFill="1" applyBorder="1" applyAlignment="1">
      <alignment horizontal="center" vertical="top"/>
    </xf>
    <xf numFmtId="0" fontId="11" fillId="3" borderId="12" xfId="0" applyFont="1" applyFill="1" applyBorder="1" applyAlignment="1">
      <alignment horizontal="center" vertical="top"/>
    </xf>
    <xf numFmtId="0" fontId="11" fillId="3" borderId="43" xfId="0" applyFont="1" applyFill="1" applyBorder="1" applyAlignment="1">
      <alignment horizontal="center" vertical="top"/>
    </xf>
    <xf numFmtId="0" fontId="11" fillId="3" borderId="26" xfId="0" applyFont="1" applyFill="1" applyBorder="1" applyAlignment="1">
      <alignment horizontal="center" vertical="top"/>
    </xf>
    <xf numFmtId="0" fontId="11" fillId="3" borderId="33" xfId="0" applyFont="1" applyFill="1" applyBorder="1" applyAlignment="1">
      <alignment horizontal="center" vertical="top"/>
    </xf>
    <xf numFmtId="0" fontId="11" fillId="3" borderId="43" xfId="0" applyFont="1" applyFill="1" applyBorder="1" applyAlignment="1">
      <alignment horizontal="center" vertical="top" wrapText="1"/>
    </xf>
    <xf numFmtId="0" fontId="11" fillId="3" borderId="26" xfId="0" applyFont="1" applyFill="1" applyBorder="1" applyAlignment="1">
      <alignment horizontal="center" vertical="top" wrapText="1"/>
    </xf>
    <xf numFmtId="0" fontId="11" fillId="3" borderId="33" xfId="0" applyFont="1" applyFill="1" applyBorder="1" applyAlignment="1">
      <alignment horizontal="center" vertical="top" wrapText="1"/>
    </xf>
    <xf numFmtId="0" fontId="11" fillId="3" borderId="14" xfId="0" applyFont="1" applyFill="1" applyBorder="1" applyAlignment="1">
      <alignment horizontal="center" vertical="top"/>
    </xf>
    <xf numFmtId="0" fontId="11" fillId="3" borderId="42" xfId="0" applyFont="1" applyFill="1" applyBorder="1" applyAlignment="1">
      <alignment horizontal="center" vertical="top" wrapText="1"/>
    </xf>
    <xf numFmtId="0" fontId="11" fillId="3" borderId="22" xfId="0" applyFont="1" applyFill="1" applyBorder="1" applyAlignment="1">
      <alignment horizontal="center" vertical="top" wrapText="1"/>
    </xf>
  </cellXfs>
  <cellStyles count="10">
    <cellStyle name="쉼표 [0]" xfId="3" builtinId="6"/>
    <cellStyle name="쉼표 [0] 2" xfId="2" xr:uid="{45003987-6B87-4A11-BC34-B24611FAEB98}"/>
    <cellStyle name="쉼표 [0] 2 2" xfId="7" xr:uid="{197236BF-E45E-42A4-BD13-3DC2091FA172}"/>
    <cellStyle name="쉼표 [0] 3" xfId="5" xr:uid="{99348270-AEB1-4B49-B747-8F946FA1E947}"/>
    <cellStyle name="쉼표 [0] 3 2" xfId="9" xr:uid="{29E10D59-ECF1-4107-9592-D36B34465638}"/>
    <cellStyle name="쉼표 [0] 4" xfId="8" xr:uid="{F021709E-36B1-4904-8D33-B2E8DBF7445D}"/>
    <cellStyle name="표준" xfId="0" builtinId="0"/>
    <cellStyle name="표준 2" xfId="1" xr:uid="{694FF0B6-DC19-4C5C-9C1B-270C1F1629F6}"/>
    <cellStyle name="표준 2 2" xfId="6" xr:uid="{B4EC38D0-E6E8-492D-98FA-B9CE968EB8B3}"/>
    <cellStyle name="표준 3" xfId="4" xr:uid="{4B91D2E1-9482-4797-9278-9E76898D155B}"/>
  </cellStyles>
  <dxfs count="6"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AC74D6"/>
      <color rgb="FF0000FF"/>
      <color rgb="FF9933FF"/>
      <color rgb="FFFFFFCC"/>
      <color rgb="FFFF00FF"/>
      <color rgb="FFB5B8E1"/>
      <color rgb="FFAFB2DE"/>
      <color rgb="FF0066FF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3F5F53-1D20-4C66-8600-DA1D247EF223}">
  <sheetPr codeName="Sheet1">
    <tabColor rgb="FFFFFF00"/>
  </sheetPr>
  <dimension ref="B2:C16"/>
  <sheetViews>
    <sheetView workbookViewId="0">
      <selection activeCell="E14" sqref="E14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2"/>
    <col min="4" max="16384" width="9.140625" style="1"/>
  </cols>
  <sheetData>
    <row r="2" spans="2:3" ht="14.45" customHeight="1" x14ac:dyDescent="0.2">
      <c r="B2" s="4" t="s">
        <v>240</v>
      </c>
      <c r="C2" s="4" t="s">
        <v>241</v>
      </c>
    </row>
    <row r="3" spans="2:3" ht="14.45" customHeight="1" x14ac:dyDescent="0.2">
      <c r="B3" s="5" t="s">
        <v>242</v>
      </c>
      <c r="C3" s="5" t="s">
        <v>1634</v>
      </c>
    </row>
    <row r="5" spans="2:3" ht="14.45" customHeight="1" x14ac:dyDescent="0.2">
      <c r="B5" s="4" t="s">
        <v>127</v>
      </c>
    </row>
    <row r="6" spans="2:3" ht="14.45" customHeight="1" x14ac:dyDescent="0.2">
      <c r="B6" s="5" t="s">
        <v>21</v>
      </c>
    </row>
    <row r="7" spans="2:3" ht="14.45" customHeight="1" x14ac:dyDescent="0.2">
      <c r="B7" s="5" t="s">
        <v>1232</v>
      </c>
    </row>
    <row r="8" spans="2:3" ht="14.45" customHeight="1" x14ac:dyDescent="0.2">
      <c r="B8" s="5" t="s">
        <v>1648</v>
      </c>
    </row>
    <row r="9" spans="2:3" ht="14.45" customHeight="1" x14ac:dyDescent="0.2">
      <c r="B9" s="5" t="s">
        <v>1255</v>
      </c>
    </row>
    <row r="10" spans="2:3" ht="14.45" customHeight="1" x14ac:dyDescent="0.2">
      <c r="B10" s="5" t="s">
        <v>332</v>
      </c>
    </row>
    <row r="11" spans="2:3" ht="14.45" customHeight="1" x14ac:dyDescent="0.2">
      <c r="B11" s="5" t="s">
        <v>540</v>
      </c>
    </row>
    <row r="13" spans="2:3" ht="14.45" customHeight="1" x14ac:dyDescent="0.2">
      <c r="B13" s="4" t="s">
        <v>1350</v>
      </c>
    </row>
    <row r="14" spans="2:3" ht="14.45" customHeight="1" x14ac:dyDescent="0.2">
      <c r="B14" s="5" t="s">
        <v>1351</v>
      </c>
    </row>
    <row r="15" spans="2:3" ht="14.45" customHeight="1" x14ac:dyDescent="0.2">
      <c r="B15" s="5" t="s">
        <v>1352</v>
      </c>
    </row>
    <row r="16" spans="2:3" ht="14.45" customHeight="1" x14ac:dyDescent="0.2">
      <c r="B16" s="5" t="s">
        <v>1353</v>
      </c>
    </row>
  </sheetData>
  <phoneticPr fontId="3" type="noConversion"/>
  <dataValidations count="1">
    <dataValidation type="list" allowBlank="1" showInputMessage="1" showErrorMessage="1" sqref="C3" xr:uid="{B0C80A2C-197E-4266-B5CC-FFBFEE2E6267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52053D-6840-4F11-85E4-273300A555D9}">
  <sheetPr codeName="Sheet18">
    <pageSetUpPr fitToPage="1"/>
  </sheetPr>
  <dimension ref="B1:T310"/>
  <sheetViews>
    <sheetView showGridLines="0" tabSelected="1" zoomScaleNormal="100" workbookViewId="0">
      <pane ySplit="3" topLeftCell="A67" activePane="bottomLeft" state="frozen"/>
      <selection pane="bottomLeft" activeCell="E92" sqref="E92"/>
    </sheetView>
  </sheetViews>
  <sheetFormatPr defaultRowHeight="14.45" customHeight="1" x14ac:dyDescent="0.2"/>
  <cols>
    <col min="1" max="1" width="1.28515625" style="7" customWidth="1"/>
    <col min="2" max="2" width="33.7109375" style="7" customWidth="1"/>
    <col min="3" max="3" width="38.7109375" style="7" customWidth="1"/>
    <col min="4" max="4" width="4.7109375" style="8" customWidth="1"/>
    <col min="5" max="5" width="45" style="7" customWidth="1"/>
    <col min="6" max="6" width="2.7109375" style="8" customWidth="1"/>
    <col min="7" max="7" width="3.28515625" style="7" customWidth="1"/>
    <col min="8" max="8" width="84.7109375" style="7" customWidth="1"/>
    <col min="9" max="9" width="4.42578125" style="9" customWidth="1"/>
    <col min="10" max="10" width="7" style="9" customWidth="1"/>
    <col min="11" max="11" width="3.28515625" style="8" customWidth="1"/>
    <col min="12" max="12" width="19.7109375" style="8" customWidth="1"/>
    <col min="13" max="14" width="5.7109375" style="8" customWidth="1"/>
    <col min="15" max="15" width="6.28515625" style="8" customWidth="1"/>
    <col min="16" max="16" width="1.7109375" style="7" customWidth="1"/>
    <col min="17" max="17" width="13.7109375" style="7" customWidth="1"/>
    <col min="18" max="18" width="30.7109375" style="7" customWidth="1"/>
    <col min="19" max="19" width="6.7109375" style="7" customWidth="1"/>
    <col min="20" max="16384" width="9.140625" style="7"/>
  </cols>
  <sheetData>
    <row r="1" spans="2:20" ht="14.45" customHeight="1" thickBot="1" x14ac:dyDescent="0.25"/>
    <row r="2" spans="2:20" ht="14.45" customHeight="1" x14ac:dyDescent="0.2">
      <c r="B2" s="381" t="s">
        <v>3</v>
      </c>
      <c r="C2" s="382"/>
      <c r="D2" s="383" t="s">
        <v>57</v>
      </c>
      <c r="E2" s="384"/>
      <c r="F2" s="384"/>
      <c r="G2" s="384"/>
      <c r="H2" s="385"/>
      <c r="I2" s="384" t="s">
        <v>373</v>
      </c>
      <c r="J2" s="385"/>
      <c r="K2" s="10" t="s">
        <v>394</v>
      </c>
      <c r="L2" s="10" t="s">
        <v>409</v>
      </c>
      <c r="M2" s="383" t="s">
        <v>1381</v>
      </c>
      <c r="N2" s="385"/>
      <c r="O2" s="10" t="s">
        <v>1614</v>
      </c>
    </row>
    <row r="3" spans="2:20" ht="14.45" customHeight="1" thickBot="1" x14ac:dyDescent="0.25">
      <c r="B3" s="11" t="s">
        <v>0</v>
      </c>
      <c r="C3" s="12" t="s">
        <v>1</v>
      </c>
      <c r="D3" s="13" t="s">
        <v>127</v>
      </c>
      <c r="E3" s="12" t="s">
        <v>590</v>
      </c>
      <c r="F3" s="15"/>
      <c r="G3" s="14"/>
      <c r="H3" s="16" t="s">
        <v>591</v>
      </c>
      <c r="I3" s="17" t="s">
        <v>1228</v>
      </c>
      <c r="J3" s="16" t="s">
        <v>372</v>
      </c>
      <c r="K3" s="18"/>
      <c r="L3" s="18"/>
      <c r="M3" s="11" t="s">
        <v>238</v>
      </c>
      <c r="N3" s="16" t="s">
        <v>239</v>
      </c>
      <c r="O3" s="18"/>
      <c r="Q3" s="7" t="s">
        <v>1755</v>
      </c>
      <c r="R3" s="7" t="s">
        <v>1756</v>
      </c>
      <c r="S3" s="7" t="s">
        <v>1757</v>
      </c>
      <c r="T3" s="7" t="s">
        <v>1794</v>
      </c>
    </row>
    <row r="4" spans="2:20" ht="14.45" customHeight="1" x14ac:dyDescent="0.2">
      <c r="B4" s="19" t="s">
        <v>1476</v>
      </c>
      <c r="C4" s="20" t="s">
        <v>1477</v>
      </c>
      <c r="D4" s="21" t="s">
        <v>128</v>
      </c>
      <c r="E4" s="22" t="s">
        <v>213</v>
      </c>
      <c r="F4" s="23" t="s">
        <v>31</v>
      </c>
      <c r="G4" s="23" t="s">
        <v>1635</v>
      </c>
      <c r="H4" s="24" t="s">
        <v>129</v>
      </c>
      <c r="I4" s="25" t="s">
        <v>930</v>
      </c>
      <c r="J4" s="26">
        <v>1495</v>
      </c>
      <c r="K4" s="27" t="s">
        <v>1383</v>
      </c>
      <c r="L4" s="297"/>
      <c r="M4" s="29"/>
      <c r="N4" s="30"/>
      <c r="O4" s="28" t="str">
        <f t="shared" ref="O4:O66" si="0">B4&amp;"-"&amp;C4&amp;"-"&amp;G4</f>
        <v>제01장 노동법 총론-제01절 노동법의 법원-01</v>
      </c>
      <c r="Q4" s="7" t="str">
        <f t="shared" ref="Q4:Q66" si="1">E4&amp;"-"&amp;F4</f>
        <v>노동법 총론-1</v>
      </c>
      <c r="R4" s="7" t="str">
        <f t="shared" ref="R4:R66" si="2">I4</f>
        <v>열기2-01.노동법\01.본문\제01장 노동법 총론.제01절 노동법의 법원.txt</v>
      </c>
      <c r="S4" s="7" t="str">
        <f t="shared" ref="S4:S66" si="3">K4</f>
        <v>B</v>
      </c>
      <c r="T4" s="7" t="str">
        <f>H4</f>
        <v>노동법의 법원</v>
      </c>
    </row>
    <row r="5" spans="2:20" ht="14.45" customHeight="1" x14ac:dyDescent="0.2">
      <c r="B5" s="31" t="s">
        <v>1476</v>
      </c>
      <c r="C5" s="32" t="s">
        <v>1422</v>
      </c>
      <c r="D5" s="33" t="s">
        <v>128</v>
      </c>
      <c r="E5" s="34" t="s">
        <v>213</v>
      </c>
      <c r="F5" s="35" t="s">
        <v>31</v>
      </c>
      <c r="G5" s="35" t="s">
        <v>1635</v>
      </c>
      <c r="H5" s="36" t="s">
        <v>25</v>
      </c>
      <c r="I5" s="6" t="s">
        <v>931</v>
      </c>
      <c r="J5" s="37">
        <v>1973</v>
      </c>
      <c r="K5" s="38" t="s">
        <v>1383</v>
      </c>
      <c r="L5" s="298"/>
      <c r="M5" s="40"/>
      <c r="N5" s="41"/>
      <c r="O5" s="39" t="str">
        <f t="shared" si="0"/>
        <v>제01장 노동법 총론-제02절 법원의 경합-01</v>
      </c>
      <c r="Q5" s="7" t="str">
        <f t="shared" si="1"/>
        <v>노동법 총론-1</v>
      </c>
      <c r="R5" s="7" t="str">
        <f t="shared" si="2"/>
        <v>열기2-01.노동법\01.본문\제01장 노동법 총론.제02절 법원의 경합.txt</v>
      </c>
      <c r="S5" s="7" t="str">
        <f t="shared" si="3"/>
        <v>B</v>
      </c>
      <c r="T5" s="7" t="str">
        <f t="shared" ref="T5:T67" si="4">H5</f>
        <v>법원의 경합</v>
      </c>
    </row>
    <row r="6" spans="2:20" ht="14.45" customHeight="1" x14ac:dyDescent="0.2">
      <c r="B6" s="31" t="s">
        <v>1476</v>
      </c>
      <c r="C6" s="42" t="s">
        <v>1422</v>
      </c>
      <c r="D6" s="43" t="s">
        <v>1647</v>
      </c>
      <c r="E6" s="44" t="s">
        <v>1555</v>
      </c>
      <c r="F6" s="46" t="s">
        <v>31</v>
      </c>
      <c r="G6" s="45" t="s">
        <v>1636</v>
      </c>
      <c r="H6" s="47" t="s">
        <v>1360</v>
      </c>
      <c r="I6" s="48" t="s">
        <v>1649</v>
      </c>
      <c r="J6" s="49">
        <v>2226</v>
      </c>
      <c r="K6" s="50" t="s">
        <v>1383</v>
      </c>
      <c r="L6" s="68"/>
      <c r="M6" s="52"/>
      <c r="N6" s="53"/>
      <c r="O6" s="51" t="str">
        <f t="shared" si="0"/>
        <v>제01장 노동법 총론-제02절 법원의 경합-02</v>
      </c>
      <c r="Q6" s="7" t="str">
        <f t="shared" si="1"/>
        <v>1.02-1-1</v>
      </c>
      <c r="R6" s="7" t="str">
        <f t="shared" si="2"/>
        <v>열기2-01.노동법\02.문제\[모의][1][01.02-1]단체협약과 취업규칙의 충돌 시 유리한 취업규칙의 우선 적용 여부.txt</v>
      </c>
      <c r="S6" s="7" t="str">
        <f t="shared" si="3"/>
        <v>B</v>
      </c>
      <c r="T6" s="7" t="str">
        <f t="shared" si="4"/>
        <v>단체협약과 취업규칙의 충돌 시 유리한 취업규칙의 우선 적용 여부</v>
      </c>
    </row>
    <row r="7" spans="2:20" ht="14.45" customHeight="1" x14ac:dyDescent="0.2">
      <c r="B7" s="31" t="s">
        <v>1476</v>
      </c>
      <c r="C7" s="42" t="s">
        <v>1422</v>
      </c>
      <c r="D7" s="43" t="s">
        <v>1647</v>
      </c>
      <c r="E7" s="44" t="s">
        <v>1556</v>
      </c>
      <c r="F7" s="46" t="s">
        <v>31</v>
      </c>
      <c r="G7" s="45" t="s">
        <v>1637</v>
      </c>
      <c r="H7" s="47" t="s">
        <v>1359</v>
      </c>
      <c r="I7" s="48" t="s">
        <v>1650</v>
      </c>
      <c r="J7" s="49">
        <v>2921</v>
      </c>
      <c r="K7" s="50" t="s">
        <v>1383</v>
      </c>
      <c r="L7" s="68"/>
      <c r="M7" s="52"/>
      <c r="N7" s="53"/>
      <c r="O7" s="51" t="str">
        <f t="shared" si="0"/>
        <v>제01장 노동법 총론-제02절 법원의 경합-03</v>
      </c>
      <c r="Q7" s="7" t="str">
        <f t="shared" si="1"/>
        <v>1.02-2-1</v>
      </c>
      <c r="R7" s="7" t="str">
        <f t="shared" si="2"/>
        <v>열기2-01.노동법\02.문제\[모의][1][01.02-2]단체협약과 개별 근로계약 충돌 시 단체협약에 의한 근로조건 저하 가능성.txt</v>
      </c>
      <c r="S7" s="7" t="str">
        <f t="shared" si="3"/>
        <v>B</v>
      </c>
      <c r="T7" s="7" t="str">
        <f t="shared" si="4"/>
        <v>단체협약과 개별 근로계약 충돌 시 단체협약에 의한 근로조건 저하 가능성</v>
      </c>
    </row>
    <row r="8" spans="2:20" ht="14.45" customHeight="1" x14ac:dyDescent="0.2">
      <c r="B8" s="31" t="s">
        <v>1476</v>
      </c>
      <c r="C8" s="54" t="s">
        <v>1422</v>
      </c>
      <c r="D8" s="55" t="s">
        <v>308</v>
      </c>
      <c r="E8" s="56" t="s">
        <v>1502</v>
      </c>
      <c r="F8" s="58" t="s">
        <v>31</v>
      </c>
      <c r="G8" s="57" t="s">
        <v>1638</v>
      </c>
      <c r="H8" s="59" t="s">
        <v>334</v>
      </c>
      <c r="I8" s="60" t="s">
        <v>1261</v>
      </c>
      <c r="J8" s="61">
        <v>5182</v>
      </c>
      <c r="K8" s="62" t="s">
        <v>1383</v>
      </c>
      <c r="L8" s="100"/>
      <c r="M8" s="64"/>
      <c r="N8" s="65"/>
      <c r="O8" s="63" t="str">
        <f t="shared" si="0"/>
        <v>제01장 노동법 총론-제02절 법원의 경합-04</v>
      </c>
      <c r="Q8" s="7" t="str">
        <f t="shared" si="1"/>
        <v>서울고등법원 2024.10.11. 선고 2022누47966 판결-1</v>
      </c>
      <c r="R8" s="7" t="str">
        <f t="shared" si="2"/>
        <v>열기2-01.노동법\03.판례\[서울고등법원 2024.10.11. 선고 2022누47966 판결]사실상 노무에 종사하는 공무원(우정직)의 근무조건에 우선 적용되는 법규범.txt</v>
      </c>
      <c r="S8" s="7" t="str">
        <f t="shared" si="3"/>
        <v>B</v>
      </c>
      <c r="T8" s="7" t="str">
        <f t="shared" si="4"/>
        <v>사실상 노무에 종사하는 공무원(우정직)의 근무조건에 우선 적용되는 법규범</v>
      </c>
    </row>
    <row r="9" spans="2:20" ht="14.45" customHeight="1" x14ac:dyDescent="0.2">
      <c r="B9" s="31" t="s">
        <v>1476</v>
      </c>
      <c r="C9" s="32" t="s">
        <v>1423</v>
      </c>
      <c r="D9" s="33" t="s">
        <v>128</v>
      </c>
      <c r="E9" s="66" t="s">
        <v>213</v>
      </c>
      <c r="F9" s="35" t="s">
        <v>31</v>
      </c>
      <c r="G9" s="67" t="s">
        <v>1635</v>
      </c>
      <c r="H9" s="36" t="s">
        <v>330</v>
      </c>
      <c r="I9" s="6" t="s">
        <v>1418</v>
      </c>
      <c r="J9" s="37">
        <v>2282</v>
      </c>
      <c r="K9" s="38" t="s">
        <v>1348</v>
      </c>
      <c r="L9" s="298"/>
      <c r="M9" s="40"/>
      <c r="N9" s="41"/>
      <c r="O9" s="39" t="str">
        <f t="shared" si="0"/>
        <v>제01장 노동법 총론-제03절 근로기준법의 적용범위-01</v>
      </c>
      <c r="Q9" s="7" t="str">
        <f t="shared" si="1"/>
        <v>노동법 총론-1</v>
      </c>
      <c r="R9" s="7" t="str">
        <f t="shared" si="2"/>
        <v>열기2-01.노동법\01.본문\제01장 노동법 총론.제03절 근로기준법의 적용범위.txt</v>
      </c>
      <c r="S9" s="7" t="str">
        <f t="shared" si="3"/>
        <v>A</v>
      </c>
      <c r="T9" s="7" t="str">
        <f t="shared" si="4"/>
        <v>근로기준법의 적용범위</v>
      </c>
    </row>
    <row r="10" spans="2:20" ht="14.45" customHeight="1" x14ac:dyDescent="0.2">
      <c r="B10" s="31" t="s">
        <v>1476</v>
      </c>
      <c r="C10" s="42" t="s">
        <v>1423</v>
      </c>
      <c r="D10" s="43" t="s">
        <v>1647</v>
      </c>
      <c r="E10" s="44" t="s">
        <v>1581</v>
      </c>
      <c r="F10" s="46" t="s">
        <v>31</v>
      </c>
      <c r="G10" s="45" t="s">
        <v>1636</v>
      </c>
      <c r="H10" s="47" t="s">
        <v>1546</v>
      </c>
      <c r="I10" s="48" t="s">
        <v>1651</v>
      </c>
      <c r="J10" s="49">
        <v>2639</v>
      </c>
      <c r="K10" s="50" t="s">
        <v>1348</v>
      </c>
      <c r="L10" s="68"/>
      <c r="M10" s="52"/>
      <c r="N10" s="53">
        <v>46203</v>
      </c>
      <c r="O10" s="51" t="str">
        <f t="shared" si="0"/>
        <v>제01장 노동법 총론-제03절 근로기준법의 적용범위-02</v>
      </c>
      <c r="Q10" s="7" t="str">
        <f t="shared" si="1"/>
        <v>1.03-1-1</v>
      </c>
      <c r="R10" s="7" t="str">
        <f t="shared" si="2"/>
        <v>열기2-01.노동법\02.문제\[모의][1][01.03-1]동일 지배기업 산하 국내법인과 외국법인 한국영업소의 단일 사업장 인정 여부 및 해고 서면통지 적용 여부.txt</v>
      </c>
      <c r="S10" s="7" t="str">
        <f t="shared" si="3"/>
        <v>A</v>
      </c>
      <c r="T10" s="7" t="str">
        <f t="shared" si="4"/>
        <v>동일 지배기업 산하 국내법인과 외국법인 한국영업소의 단일 사업장 인정 여부 및 해고 서면통지 적용 여부★</v>
      </c>
    </row>
    <row r="11" spans="2:20" ht="14.45" customHeight="1" x14ac:dyDescent="0.2">
      <c r="B11" s="31" t="s">
        <v>1476</v>
      </c>
      <c r="C11" s="42" t="s">
        <v>1423</v>
      </c>
      <c r="D11" s="43" t="s">
        <v>1647</v>
      </c>
      <c r="E11" s="44" t="s">
        <v>1557</v>
      </c>
      <c r="F11" s="46" t="s">
        <v>31</v>
      </c>
      <c r="G11" s="45" t="s">
        <v>1637</v>
      </c>
      <c r="H11" s="47" t="s">
        <v>1545</v>
      </c>
      <c r="I11" s="48" t="s">
        <v>1652</v>
      </c>
      <c r="J11" s="49">
        <v>6292</v>
      </c>
      <c r="K11" s="50" t="s">
        <v>1348</v>
      </c>
      <c r="L11" s="68" t="s">
        <v>1711</v>
      </c>
      <c r="M11" s="52"/>
      <c r="N11" s="53">
        <v>46203</v>
      </c>
      <c r="O11" s="51" t="str">
        <f t="shared" si="0"/>
        <v>제01장 노동법 총론-제03절 근로기준법의 적용범위-03</v>
      </c>
      <c r="Q11" s="7" t="str">
        <f t="shared" si="1"/>
        <v>1.03-2-1</v>
      </c>
      <c r="R11" s="7" t="str">
        <f t="shared" si="2"/>
        <v>열기2-01.노동법\02.문제\[모의][1][01.03-2]국제근로관계에서 근로기준법상 상시 5인 이상 사업장 해당 여부 및 부당해고 구제신청의 적법성.txt</v>
      </c>
      <c r="S11" s="7" t="str">
        <f t="shared" si="3"/>
        <v>A</v>
      </c>
      <c r="T11" s="7" t="str">
        <f t="shared" si="4"/>
        <v>국제근로관계에서 근로기준법상 상시 5인 이상 사업장 해당 여부 및 부당해고 구제신청의 적법성★</v>
      </c>
    </row>
    <row r="12" spans="2:20" ht="14.45" customHeight="1" x14ac:dyDescent="0.2">
      <c r="B12" s="31" t="s">
        <v>1476</v>
      </c>
      <c r="C12" s="54" t="s">
        <v>1423</v>
      </c>
      <c r="D12" s="55" t="s">
        <v>308</v>
      </c>
      <c r="E12" s="56" t="s">
        <v>1503</v>
      </c>
      <c r="F12" s="58" t="s">
        <v>31</v>
      </c>
      <c r="G12" s="57" t="s">
        <v>1638</v>
      </c>
      <c r="H12" s="59" t="s">
        <v>1544</v>
      </c>
      <c r="I12" s="60" t="s">
        <v>1262</v>
      </c>
      <c r="J12" s="61">
        <v>6089</v>
      </c>
      <c r="K12" s="62" t="s">
        <v>1349</v>
      </c>
      <c r="L12" s="100"/>
      <c r="M12" s="64"/>
      <c r="N12" s="65"/>
      <c r="O12" s="63" t="str">
        <f t="shared" si="0"/>
        <v>제01장 노동법 총론-제03절 근로기준법의 적용범위-04</v>
      </c>
      <c r="Q12" s="7" t="str">
        <f t="shared" si="1"/>
        <v>대법원 2024.10.25. 선고 2023두37391 판결-1</v>
      </c>
      <c r="R12" s="7" t="str">
        <f t="shared" si="2"/>
        <v>열기2-01.노동법\03.판례\[대법원 2024.10.25. 선고 2023두37391 판결]국제근로관계에서 근로기준법이 적용되는 사업 또는 사업장의 판단 기준.txt</v>
      </c>
      <c r="S12" s="7" t="str">
        <f t="shared" si="3"/>
        <v>A</v>
      </c>
      <c r="T12" s="7" t="str">
        <f t="shared" si="4"/>
        <v>국제근로관계에서 근로기준법이 적용되는 사업 또는 사업장의 판단 기준★</v>
      </c>
    </row>
    <row r="13" spans="2:20" ht="14.45" customHeight="1" x14ac:dyDescent="0.2">
      <c r="B13" s="31" t="s">
        <v>1476</v>
      </c>
      <c r="C13" s="32" t="s">
        <v>1412</v>
      </c>
      <c r="D13" s="33" t="s">
        <v>21</v>
      </c>
      <c r="E13" s="69" t="s">
        <v>213</v>
      </c>
      <c r="F13" s="35" t="s">
        <v>31</v>
      </c>
      <c r="G13" s="35" t="s">
        <v>1635</v>
      </c>
      <c r="H13" s="36" t="s">
        <v>130</v>
      </c>
      <c r="I13" s="6" t="s">
        <v>932</v>
      </c>
      <c r="J13" s="37">
        <v>2677</v>
      </c>
      <c r="K13" s="38" t="s">
        <v>1383</v>
      </c>
      <c r="L13" s="298"/>
      <c r="M13" s="40"/>
      <c r="N13" s="41"/>
      <c r="O13" s="39" t="str">
        <f t="shared" si="0"/>
        <v>제01장 노동법 총론-제04절 근로기준법상 근로자-01</v>
      </c>
      <c r="Q13" s="7" t="str">
        <f t="shared" si="1"/>
        <v>노동법 총론-1</v>
      </c>
      <c r="R13" s="7" t="str">
        <f t="shared" si="2"/>
        <v>열기2-01.노동법\01.본문\제01장 노동법 총론.제04절 근로기준법상 근로자.txt</v>
      </c>
      <c r="S13" s="7" t="str">
        <f t="shared" si="3"/>
        <v>B</v>
      </c>
      <c r="T13" s="7" t="str">
        <f t="shared" si="4"/>
        <v>근로기준법상 근로자</v>
      </c>
    </row>
    <row r="14" spans="2:20" ht="14.45" customHeight="1" x14ac:dyDescent="0.2">
      <c r="B14" s="31" t="s">
        <v>1476</v>
      </c>
      <c r="C14" s="42" t="s">
        <v>1424</v>
      </c>
      <c r="D14" s="43" t="s">
        <v>1256</v>
      </c>
      <c r="E14" s="70" t="s">
        <v>1154</v>
      </c>
      <c r="F14" s="46" t="s">
        <v>31</v>
      </c>
      <c r="G14" s="46" t="s">
        <v>1636</v>
      </c>
      <c r="H14" s="47" t="s">
        <v>1306</v>
      </c>
      <c r="I14" s="48" t="s">
        <v>1307</v>
      </c>
      <c r="J14" s="49">
        <v>2406</v>
      </c>
      <c r="K14" s="50" t="s">
        <v>1383</v>
      </c>
      <c r="L14" s="68"/>
      <c r="M14" s="52"/>
      <c r="N14" s="53"/>
      <c r="O14" s="51" t="str">
        <f t="shared" si="0"/>
        <v>제01장 노동법 총론-제04절 근로기준법상 근로자-02</v>
      </c>
      <c r="Q14" s="7" t="str">
        <f t="shared" si="1"/>
        <v>2018-1-1-1</v>
      </c>
      <c r="R14" s="7" t="str">
        <f t="shared" si="2"/>
        <v>열기2-01.노동법\02.문제\[기출][1][2018-1-1]제조업체와 판매용역계약을 체결한 백화점 판매원의 근로기준법상 근로자 해당 여부.txt</v>
      </c>
      <c r="S14" s="7" t="str">
        <f t="shared" si="3"/>
        <v>B</v>
      </c>
      <c r="T14" s="7" t="str">
        <f t="shared" si="4"/>
        <v>제조업체와 판매용역계약을 체결한 백화점 판매원의 근로기준법상 근로자 해당 여부</v>
      </c>
    </row>
    <row r="15" spans="2:20" ht="14.45" customHeight="1" x14ac:dyDescent="0.2">
      <c r="B15" s="31" t="s">
        <v>1543</v>
      </c>
      <c r="C15" s="54" t="s">
        <v>1424</v>
      </c>
      <c r="D15" s="55" t="s">
        <v>332</v>
      </c>
      <c r="E15" s="71" t="s">
        <v>1504</v>
      </c>
      <c r="F15" s="58" t="s">
        <v>31</v>
      </c>
      <c r="G15" s="57" t="s">
        <v>1637</v>
      </c>
      <c r="H15" s="59" t="s">
        <v>333</v>
      </c>
      <c r="I15" s="60" t="s">
        <v>1263</v>
      </c>
      <c r="J15" s="61">
        <v>3097</v>
      </c>
      <c r="K15" s="62" t="s">
        <v>1383</v>
      </c>
      <c r="L15" s="100"/>
      <c r="M15" s="64"/>
      <c r="N15" s="65"/>
      <c r="O15" s="63" t="str">
        <f t="shared" si="0"/>
        <v>제01장 노동법 총론-제04절 근로기준법상 근로자-03</v>
      </c>
      <c r="Q15" s="7" t="str">
        <f t="shared" si="1"/>
        <v>서울중앙지방법원 2024.11.07. 선고 2022가합539881 판결-1</v>
      </c>
      <c r="R15" s="7" t="str">
        <f t="shared" si="2"/>
        <v>열기2-01.노동법\03.판례\[서울중앙지방법원 2024.11.07. 선고 2022가합539881 판결]유튜브 스태프의 근로자성과 도급근로자로서의 최저임금.txt</v>
      </c>
      <c r="S15" s="7" t="str">
        <f t="shared" si="3"/>
        <v>B</v>
      </c>
      <c r="T15" s="7" t="str">
        <f t="shared" si="4"/>
        <v>유튜브 스태프의 근로자성과 도급근로자로서의 최저임금</v>
      </c>
    </row>
    <row r="16" spans="2:20" ht="14.45" customHeight="1" x14ac:dyDescent="0.2">
      <c r="B16" s="31" t="s">
        <v>1476</v>
      </c>
      <c r="C16" s="72" t="s">
        <v>1478</v>
      </c>
      <c r="D16" s="33" t="s">
        <v>128</v>
      </c>
      <c r="E16" s="69" t="s">
        <v>213</v>
      </c>
      <c r="F16" s="35" t="s">
        <v>28</v>
      </c>
      <c r="G16" s="35" t="s">
        <v>1635</v>
      </c>
      <c r="H16" s="36" t="s">
        <v>1025</v>
      </c>
      <c r="I16" s="6" t="s">
        <v>933</v>
      </c>
      <c r="J16" s="37">
        <v>2620</v>
      </c>
      <c r="K16" s="38" t="s">
        <v>1382</v>
      </c>
      <c r="L16" s="298"/>
      <c r="M16" s="40"/>
      <c r="N16" s="41"/>
      <c r="O16" s="39" t="str">
        <f t="shared" si="0"/>
        <v>제01장 노동법 총론-제05절 노동조합법상 근로자-01</v>
      </c>
      <c r="Q16" s="7" t="str">
        <f t="shared" si="1"/>
        <v>노동법 총론-2</v>
      </c>
      <c r="R16" s="7" t="str">
        <f t="shared" si="2"/>
        <v>열기2-01.노동법\01.본문\제01장 노동법 총론.제05절 노조법상 근로자.txt</v>
      </c>
      <c r="S16" s="7" t="str">
        <f t="shared" si="3"/>
        <v>C</v>
      </c>
      <c r="T16" s="7" t="str">
        <f t="shared" si="4"/>
        <v>노동조합법상 근로자</v>
      </c>
    </row>
    <row r="17" spans="2:20" ht="14.45" customHeight="1" x14ac:dyDescent="0.2">
      <c r="B17" s="31" t="s">
        <v>1476</v>
      </c>
      <c r="C17" s="42" t="s">
        <v>1478</v>
      </c>
      <c r="D17" s="43" t="s">
        <v>1256</v>
      </c>
      <c r="E17" s="70" t="s">
        <v>1155</v>
      </c>
      <c r="F17" s="46" t="s">
        <v>28</v>
      </c>
      <c r="G17" s="46" t="s">
        <v>1636</v>
      </c>
      <c r="H17" s="47" t="s">
        <v>1019</v>
      </c>
      <c r="I17" s="48" t="s">
        <v>1020</v>
      </c>
      <c r="J17" s="49">
        <v>2591</v>
      </c>
      <c r="K17" s="50" t="s">
        <v>1382</v>
      </c>
      <c r="L17" s="68"/>
      <c r="M17" s="52"/>
      <c r="N17" s="53"/>
      <c r="O17" s="51" t="str">
        <f t="shared" si="0"/>
        <v>제01장 노동법 총론-제05절 노동조합법상 근로자-02</v>
      </c>
      <c r="Q17" s="7" t="str">
        <f t="shared" si="1"/>
        <v>2024-1-1-2</v>
      </c>
      <c r="R17" s="7" t="str">
        <f t="shared" si="2"/>
        <v>열기2-01.노동법\02.문제\[기출][2][2024-1-1]자동차 대리점에 근무하는 판매원의 노동조합법상 근로자성 판단 기준.txt</v>
      </c>
      <c r="S17" s="7" t="str">
        <f t="shared" si="3"/>
        <v>C</v>
      </c>
      <c r="T17" s="7" t="str">
        <f t="shared" si="4"/>
        <v>자동차 대리점에 근무하는 판매원의 노동조합법상 근로자성 판단 기준</v>
      </c>
    </row>
    <row r="18" spans="2:20" ht="14.45" customHeight="1" x14ac:dyDescent="0.2">
      <c r="B18" s="31" t="s">
        <v>1476</v>
      </c>
      <c r="C18" s="42" t="s">
        <v>1478</v>
      </c>
      <c r="D18" s="43" t="s">
        <v>308</v>
      </c>
      <c r="E18" s="73" t="s">
        <v>1505</v>
      </c>
      <c r="F18" s="46" t="s">
        <v>28</v>
      </c>
      <c r="G18" s="45" t="s">
        <v>1637</v>
      </c>
      <c r="H18" s="47" t="s">
        <v>344</v>
      </c>
      <c r="I18" s="48" t="s">
        <v>1264</v>
      </c>
      <c r="J18" s="49">
        <v>2330</v>
      </c>
      <c r="K18" s="50" t="s">
        <v>1382</v>
      </c>
      <c r="L18" s="68"/>
      <c r="M18" s="52"/>
      <c r="N18" s="53"/>
      <c r="O18" s="51" t="str">
        <f t="shared" si="0"/>
        <v>제01장 노동법 총론-제05절 노동조합법상 근로자-03</v>
      </c>
      <c r="Q18" s="7" t="str">
        <f t="shared" si="1"/>
        <v>부산지방법원 동부지원 2025.01.15. 선고 2023고단1327 판결]-2</v>
      </c>
      <c r="R18" s="7" t="str">
        <f t="shared" si="2"/>
        <v>열기2-01.노동법\03.판례\[부산지방법원 동부지원 2025.01.15. 선고 2023고단1327 판결]레미콘 지입차주의 노동조합법상 근로자 해당 여부.txt</v>
      </c>
      <c r="S18" s="7" t="str">
        <f t="shared" si="3"/>
        <v>C</v>
      </c>
      <c r="T18" s="7" t="str">
        <f t="shared" si="4"/>
        <v>레미콘 지입차주의 노동조합법상 근로자 해당 여부</v>
      </c>
    </row>
    <row r="19" spans="2:20" ht="14.45" customHeight="1" x14ac:dyDescent="0.2">
      <c r="B19" s="31" t="s">
        <v>1476</v>
      </c>
      <c r="C19" s="54" t="s">
        <v>1478</v>
      </c>
      <c r="D19" s="55" t="s">
        <v>308</v>
      </c>
      <c r="E19" s="71" t="s">
        <v>1506</v>
      </c>
      <c r="F19" s="58" t="s">
        <v>28</v>
      </c>
      <c r="G19" s="57" t="s">
        <v>1638</v>
      </c>
      <c r="H19" s="59" t="s">
        <v>1257</v>
      </c>
      <c r="I19" s="60" t="s">
        <v>1265</v>
      </c>
      <c r="J19" s="61">
        <v>3428</v>
      </c>
      <c r="K19" s="62" t="s">
        <v>1382</v>
      </c>
      <c r="L19" s="100"/>
      <c r="M19" s="64"/>
      <c r="N19" s="65"/>
      <c r="O19" s="63" t="str">
        <f t="shared" si="0"/>
        <v>제01장 노동법 총론-제05절 노동조합법상 근로자-04</v>
      </c>
      <c r="Q19" s="7" t="str">
        <f t="shared" si="1"/>
        <v>서울행정법원 2025.05.15. 선고 2023구합78255 판결-2</v>
      </c>
      <c r="R19" s="7" t="str">
        <f t="shared" si="2"/>
        <v>열기2-01.노동법\03.판례\[서울행정법원 2025.05.15. 선고 2023구합78255 판결]운송사업 위수탁계약 체결 후 상품을 슈퍼에 배송하는 지입 화물기사의 노조법상 근로자성.txt</v>
      </c>
      <c r="S19" s="7" t="str">
        <f t="shared" si="3"/>
        <v>C</v>
      </c>
      <c r="T19" s="7" t="str">
        <f t="shared" si="4"/>
        <v>운송사업 위수탁계약 체결 후 상품을 슈퍼에 배송하는 지입 화물기사의 노조법상 근로자성</v>
      </c>
    </row>
    <row r="20" spans="2:20" ht="14.45" customHeight="1" x14ac:dyDescent="0.2">
      <c r="B20" s="31" t="s">
        <v>1476</v>
      </c>
      <c r="C20" s="32" t="s">
        <v>1426</v>
      </c>
      <c r="D20" s="33" t="s">
        <v>128</v>
      </c>
      <c r="E20" s="69" t="s">
        <v>213</v>
      </c>
      <c r="F20" s="35" t="s">
        <v>31</v>
      </c>
      <c r="G20" s="35" t="s">
        <v>1635</v>
      </c>
      <c r="H20" s="36" t="s">
        <v>131</v>
      </c>
      <c r="I20" s="6" t="s">
        <v>934</v>
      </c>
      <c r="J20" s="37">
        <v>3288</v>
      </c>
      <c r="K20" s="38" t="s">
        <v>1383</v>
      </c>
      <c r="L20" s="298"/>
      <c r="M20" s="40"/>
      <c r="N20" s="41"/>
      <c r="O20" s="39" t="str">
        <f t="shared" si="0"/>
        <v>제01장 노동법 총론-제06절 근로기준법상 사용자-01</v>
      </c>
      <c r="Q20" s="7" t="str">
        <f t="shared" si="1"/>
        <v>노동법 총론-1</v>
      </c>
      <c r="R20" s="7" t="str">
        <f t="shared" si="2"/>
        <v>열기2-01.노동법\01.본문\제01장 노동법 총론.제06절 근로기준법상 사용자.txt</v>
      </c>
      <c r="S20" s="7" t="str">
        <f t="shared" si="3"/>
        <v>B</v>
      </c>
      <c r="T20" s="7" t="str">
        <f t="shared" si="4"/>
        <v>근로기준법상 사용자</v>
      </c>
    </row>
    <row r="21" spans="2:20" ht="14.45" customHeight="1" x14ac:dyDescent="0.2">
      <c r="B21" s="31" t="s">
        <v>1476</v>
      </c>
      <c r="C21" s="42" t="s">
        <v>1426</v>
      </c>
      <c r="D21" s="43" t="s">
        <v>1256</v>
      </c>
      <c r="E21" s="70" t="s">
        <v>1156</v>
      </c>
      <c r="F21" s="46" t="s">
        <v>31</v>
      </c>
      <c r="G21" s="46" t="s">
        <v>1636</v>
      </c>
      <c r="H21" s="47" t="s">
        <v>1022</v>
      </c>
      <c r="I21" s="48" t="s">
        <v>1023</v>
      </c>
      <c r="J21" s="49">
        <v>2909</v>
      </c>
      <c r="K21" s="50" t="s">
        <v>1383</v>
      </c>
      <c r="L21" s="68"/>
      <c r="M21" s="52"/>
      <c r="N21" s="53"/>
      <c r="O21" s="51" t="str">
        <f t="shared" si="0"/>
        <v>제01장 노동법 총론-제06절 근로기준법상 사용자-02</v>
      </c>
      <c r="Q21" s="7" t="str">
        <f t="shared" si="1"/>
        <v>2020-1-1-1</v>
      </c>
      <c r="R21" s="7" t="str">
        <f t="shared" si="2"/>
        <v>열기2-01.노동법\02.문제\[기출][1][2020-1-1]명목상 외주업체 소속 근로자의 실질적 사업주 판단 기준.txt</v>
      </c>
      <c r="S21" s="7" t="str">
        <f t="shared" si="3"/>
        <v>B</v>
      </c>
      <c r="T21" s="7" t="str">
        <f t="shared" si="4"/>
        <v>명목상 외주업체 소속 근로자의 실질적 사업주 판단 기준</v>
      </c>
    </row>
    <row r="22" spans="2:20" ht="14.45" customHeight="1" x14ac:dyDescent="0.2">
      <c r="B22" s="31" t="s">
        <v>1476</v>
      </c>
      <c r="C22" s="54" t="s">
        <v>1426</v>
      </c>
      <c r="D22" s="55" t="s">
        <v>308</v>
      </c>
      <c r="E22" s="71" t="s">
        <v>1507</v>
      </c>
      <c r="F22" s="58" t="s">
        <v>31</v>
      </c>
      <c r="G22" s="57" t="s">
        <v>1637</v>
      </c>
      <c r="H22" s="59" t="s">
        <v>331</v>
      </c>
      <c r="I22" s="60" t="s">
        <v>1266</v>
      </c>
      <c r="J22" s="61">
        <v>4150</v>
      </c>
      <c r="K22" s="62" t="s">
        <v>1383</v>
      </c>
      <c r="L22" s="100"/>
      <c r="M22" s="64"/>
      <c r="N22" s="65"/>
      <c r="O22" s="63" t="str">
        <f t="shared" si="0"/>
        <v>제01장 노동법 총론-제06절 근로기준법상 사용자-03</v>
      </c>
      <c r="Q22" s="7" t="str">
        <f t="shared" si="1"/>
        <v>서울고등법원 2024.11.08. 선고 2023누52910 판결-1</v>
      </c>
      <c r="R22" s="7" t="str">
        <f t="shared" si="2"/>
        <v>열기2-01.노동법\03.판례\[서울고등법원 2024.11.08. 선고 2023누52910 판결]도급인(화물운송회사)과 직접 계약을 하지 않은 운송기사에게 실질 권한 행사시 근로기준법상 관계.txt</v>
      </c>
      <c r="S22" s="7" t="str">
        <f t="shared" si="3"/>
        <v>B</v>
      </c>
      <c r="T22" s="7" t="str">
        <f t="shared" si="4"/>
        <v>도급인(화물운송회사)과 직접 계약을 하지 않은 운송기사에게 실질 권한 행사시 근로기준법상 관계</v>
      </c>
    </row>
    <row r="23" spans="2:20" ht="14.45" customHeight="1" x14ac:dyDescent="0.2">
      <c r="B23" s="31" t="s">
        <v>1476</v>
      </c>
      <c r="C23" s="32" t="s">
        <v>1479</v>
      </c>
      <c r="D23" s="33" t="s">
        <v>128</v>
      </c>
      <c r="E23" s="69" t="s">
        <v>213</v>
      </c>
      <c r="F23" s="35" t="s">
        <v>28</v>
      </c>
      <c r="G23" s="35" t="s">
        <v>1635</v>
      </c>
      <c r="H23" s="36" t="s">
        <v>1024</v>
      </c>
      <c r="I23" s="6" t="s">
        <v>935</v>
      </c>
      <c r="J23" s="37">
        <v>2050</v>
      </c>
      <c r="K23" s="38" t="s">
        <v>1383</v>
      </c>
      <c r="L23" s="298"/>
      <c r="M23" s="40"/>
      <c r="N23" s="41"/>
      <c r="O23" s="39" t="str">
        <f t="shared" si="0"/>
        <v>제01장 노동법 총론-제07절 노동조합법상 사용자-01</v>
      </c>
      <c r="Q23" s="7" t="str">
        <f t="shared" si="1"/>
        <v>노동법 총론-2</v>
      </c>
      <c r="R23" s="7" t="str">
        <f t="shared" si="2"/>
        <v>열기2-01.노동법\01.본문\제01장 노동법 총론.제07절 노조법상 사용자.txt</v>
      </c>
      <c r="S23" s="7" t="str">
        <f t="shared" si="3"/>
        <v>B</v>
      </c>
      <c r="T23" s="7" t="str">
        <f t="shared" si="4"/>
        <v>노동조합법상 사용자</v>
      </c>
    </row>
    <row r="24" spans="2:20" ht="14.45" customHeight="1" thickBot="1" x14ac:dyDescent="0.25">
      <c r="B24" s="74" t="s">
        <v>1476</v>
      </c>
      <c r="C24" s="75" t="s">
        <v>1479</v>
      </c>
      <c r="D24" s="76" t="s">
        <v>1256</v>
      </c>
      <c r="E24" s="77" t="s">
        <v>1157</v>
      </c>
      <c r="F24" s="78" t="s">
        <v>28</v>
      </c>
      <c r="G24" s="78" t="s">
        <v>1636</v>
      </c>
      <c r="H24" s="79" t="s">
        <v>1617</v>
      </c>
      <c r="I24" s="80" t="s">
        <v>923</v>
      </c>
      <c r="J24" s="81">
        <v>1707</v>
      </c>
      <c r="K24" s="82" t="s">
        <v>1348</v>
      </c>
      <c r="L24" s="161" t="s">
        <v>1618</v>
      </c>
      <c r="M24" s="84"/>
      <c r="N24" s="85"/>
      <c r="O24" s="83" t="str">
        <f t="shared" si="0"/>
        <v>제01장 노동법 총론-제07절 노동조합법상 사용자-02</v>
      </c>
      <c r="Q24" s="7" t="str">
        <f t="shared" si="1"/>
        <v>2019-2-2</v>
      </c>
      <c r="R24" s="7" t="str">
        <f t="shared" si="2"/>
        <v>열기2-01.노동법\02.문제\[기출][2][2019-2]부당노동행위의 주체로서 사용자 개념의 확장.txt</v>
      </c>
      <c r="S24" s="7" t="str">
        <f t="shared" si="3"/>
        <v>A</v>
      </c>
      <c r="T24" s="7" t="str">
        <f t="shared" si="4"/>
        <v>부당노동행위의 주체로서 사용자 개념의 확장</v>
      </c>
    </row>
    <row r="25" spans="2:20" ht="14.45" customHeight="1" x14ac:dyDescent="0.2">
      <c r="B25" s="19" t="s">
        <v>441</v>
      </c>
      <c r="C25" s="86" t="s">
        <v>461</v>
      </c>
      <c r="D25" s="87" t="s">
        <v>128</v>
      </c>
      <c r="E25" s="88" t="s">
        <v>132</v>
      </c>
      <c r="F25" s="89" t="s">
        <v>31</v>
      </c>
      <c r="G25" s="89" t="s">
        <v>1635</v>
      </c>
      <c r="H25" s="90" t="s">
        <v>214</v>
      </c>
      <c r="I25" s="91" t="s">
        <v>936</v>
      </c>
      <c r="J25" s="92">
        <v>2852</v>
      </c>
      <c r="K25" s="93" t="s">
        <v>1383</v>
      </c>
      <c r="L25" s="299"/>
      <c r="M25" s="95"/>
      <c r="N25" s="96"/>
      <c r="O25" s="94" t="str">
        <f t="shared" si="0"/>
        <v>제02장 근로관계의 성립-제01절 근로기준법의 기본원칙-01</v>
      </c>
      <c r="Q25" s="7" t="str">
        <f t="shared" si="1"/>
        <v>근로관계의 성립-1</v>
      </c>
      <c r="R25" s="7" t="str">
        <f t="shared" si="2"/>
        <v>열기2-01.노동법\01.본문\제02장 근로관계의 성립.제01절 근로기준법의 기본원칙.txt</v>
      </c>
      <c r="S25" s="7" t="str">
        <f t="shared" si="3"/>
        <v>B</v>
      </c>
      <c r="T25" s="7" t="str">
        <f t="shared" si="4"/>
        <v>근로기준법의 기본원칙</v>
      </c>
    </row>
    <row r="26" spans="2:20" ht="14.45" customHeight="1" x14ac:dyDescent="0.2">
      <c r="B26" s="31" t="s">
        <v>441</v>
      </c>
      <c r="C26" s="42" t="s">
        <v>461</v>
      </c>
      <c r="D26" s="43" t="s">
        <v>1256</v>
      </c>
      <c r="E26" s="70" t="s">
        <v>1158</v>
      </c>
      <c r="F26" s="46" t="s">
        <v>31</v>
      </c>
      <c r="G26" s="46" t="s">
        <v>1636</v>
      </c>
      <c r="H26" s="47" t="s">
        <v>1312</v>
      </c>
      <c r="I26" s="48" t="s">
        <v>1313</v>
      </c>
      <c r="J26" s="49">
        <v>1801</v>
      </c>
      <c r="K26" s="50" t="s">
        <v>1383</v>
      </c>
      <c r="L26" s="68"/>
      <c r="M26" s="52"/>
      <c r="N26" s="53"/>
      <c r="O26" s="51" t="str">
        <f t="shared" si="0"/>
        <v>제02장 근로관계의 성립-제01절 근로기준법의 기본원칙-02</v>
      </c>
      <c r="Q26" s="7" t="str">
        <f t="shared" si="1"/>
        <v>2012-2-1</v>
      </c>
      <c r="R26" s="7" t="str">
        <f t="shared" si="2"/>
        <v>열기2-01.노동법\02.문제\[기출][1][2012-2]중간착취의 배제 원칙의 의의, 요건, 중요성.txt</v>
      </c>
      <c r="S26" s="7" t="str">
        <f t="shared" si="3"/>
        <v>B</v>
      </c>
      <c r="T26" s="7" t="str">
        <f t="shared" si="4"/>
        <v>중간착취의 배제 원칙의 의의, 요건, 중요성</v>
      </c>
    </row>
    <row r="27" spans="2:20" ht="14.45" customHeight="1" x14ac:dyDescent="0.2">
      <c r="B27" s="31" t="s">
        <v>441</v>
      </c>
      <c r="C27" s="54" t="s">
        <v>461</v>
      </c>
      <c r="D27" s="55" t="s">
        <v>308</v>
      </c>
      <c r="E27" s="71" t="s">
        <v>1508</v>
      </c>
      <c r="F27" s="58" t="s">
        <v>31</v>
      </c>
      <c r="G27" s="57" t="s">
        <v>1637</v>
      </c>
      <c r="H27" s="59" t="s">
        <v>1355</v>
      </c>
      <c r="I27" s="60" t="s">
        <v>1267</v>
      </c>
      <c r="J27" s="61">
        <v>7092</v>
      </c>
      <c r="K27" s="62" t="s">
        <v>1383</v>
      </c>
      <c r="L27" s="100" t="s">
        <v>1629</v>
      </c>
      <c r="M27" s="64"/>
      <c r="N27" s="65"/>
      <c r="O27" s="63" t="str">
        <f t="shared" si="0"/>
        <v>제02장 근로관계의 성립-제01절 근로기준법의 기본원칙-03</v>
      </c>
      <c r="Q27" s="7" t="str">
        <f t="shared" si="1"/>
        <v>서울중앙지방법원 2025.02.18. 선고 2023나64678 판결-1</v>
      </c>
      <c r="R27" s="7" t="str">
        <f t="shared" si="2"/>
        <v>열기2-01.노동법\03.판례\[서울중앙지방법원 2025.02.18. 선고 2023나64678 판결]균등처우조항에서의 사회적 신분과 비교대상자의 의미와 판단기준.txt</v>
      </c>
      <c r="S27" s="7" t="str">
        <f t="shared" si="3"/>
        <v>B</v>
      </c>
      <c r="T27" s="7" t="str">
        <f t="shared" si="4"/>
        <v>균등처우조항에서의 사회적 신분과 비교대상자의 의미와 판단기준</v>
      </c>
    </row>
    <row r="28" spans="2:20" ht="14.45" customHeight="1" x14ac:dyDescent="0.2">
      <c r="B28" s="31" t="s">
        <v>441</v>
      </c>
      <c r="C28" s="32" t="s">
        <v>442</v>
      </c>
      <c r="D28" s="33" t="s">
        <v>128</v>
      </c>
      <c r="E28" s="69" t="s">
        <v>132</v>
      </c>
      <c r="F28" s="35" t="s">
        <v>31</v>
      </c>
      <c r="G28" s="35" t="s">
        <v>1635</v>
      </c>
      <c r="H28" s="36" t="s">
        <v>133</v>
      </c>
      <c r="I28" s="6" t="s">
        <v>937</v>
      </c>
      <c r="J28" s="37">
        <v>2955</v>
      </c>
      <c r="K28" s="38" t="s">
        <v>1383</v>
      </c>
      <c r="L28" s="298"/>
      <c r="M28" s="40"/>
      <c r="N28" s="41"/>
      <c r="O28" s="39" t="str">
        <f t="shared" si="0"/>
        <v>제02장 근로관계의 성립-제02절 근로계약의 체결-01</v>
      </c>
      <c r="Q28" s="7" t="str">
        <f t="shared" si="1"/>
        <v>근로관계의 성립-1</v>
      </c>
      <c r="R28" s="7" t="str">
        <f t="shared" si="2"/>
        <v>열기2-01.노동법\01.본문\제02장 근로관계의 성립.제02절 근로계약의 체결.txt</v>
      </c>
      <c r="S28" s="7" t="str">
        <f t="shared" si="3"/>
        <v>B</v>
      </c>
      <c r="T28" s="7" t="str">
        <f t="shared" si="4"/>
        <v>근로계약의 체결</v>
      </c>
    </row>
    <row r="29" spans="2:20" ht="14.45" customHeight="1" x14ac:dyDescent="0.2">
      <c r="B29" s="31" t="s">
        <v>441</v>
      </c>
      <c r="C29" s="42" t="s">
        <v>442</v>
      </c>
      <c r="D29" s="43" t="s">
        <v>1256</v>
      </c>
      <c r="E29" s="70" t="s">
        <v>59</v>
      </c>
      <c r="F29" s="46" t="s">
        <v>31</v>
      </c>
      <c r="G29" s="46" t="s">
        <v>1636</v>
      </c>
      <c r="H29" s="47" t="s">
        <v>1314</v>
      </c>
      <c r="I29" s="48" t="s">
        <v>1315</v>
      </c>
      <c r="J29" s="49">
        <v>1671</v>
      </c>
      <c r="K29" s="50" t="s">
        <v>1383</v>
      </c>
      <c r="L29" s="68"/>
      <c r="M29" s="52"/>
      <c r="N29" s="53"/>
      <c r="O29" s="51" t="str">
        <f t="shared" si="0"/>
        <v>제02장 근로관계의 성립-제02절 근로계약의 체결-02</v>
      </c>
      <c r="Q29" s="7" t="str">
        <f t="shared" si="1"/>
        <v>2009-2-1-1</v>
      </c>
      <c r="R29" s="7" t="str">
        <f t="shared" si="2"/>
        <v>열기2-01.노동법\02.문제\[기출][1][2009-2-1]근로기준법상 위약예정의 금지의 의의, 내용, 효력 및 법률관계.txt</v>
      </c>
      <c r="S29" s="7" t="str">
        <f t="shared" si="3"/>
        <v>B</v>
      </c>
      <c r="T29" s="7" t="str">
        <f t="shared" si="4"/>
        <v>근로기준법상 위약예정의 금지의 의의, 내용, 효력 및 법률관계</v>
      </c>
    </row>
    <row r="30" spans="2:20" ht="14.45" customHeight="1" x14ac:dyDescent="0.2">
      <c r="B30" s="31" t="s">
        <v>441</v>
      </c>
      <c r="C30" s="42" t="s">
        <v>442</v>
      </c>
      <c r="D30" s="43" t="s">
        <v>1256</v>
      </c>
      <c r="E30" s="70" t="s">
        <v>236</v>
      </c>
      <c r="F30" s="46" t="s">
        <v>31</v>
      </c>
      <c r="G30" s="46" t="s">
        <v>1637</v>
      </c>
      <c r="H30" s="47" t="s">
        <v>261</v>
      </c>
      <c r="I30" s="48" t="s">
        <v>924</v>
      </c>
      <c r="J30" s="49">
        <v>3523</v>
      </c>
      <c r="K30" s="50" t="s">
        <v>1383</v>
      </c>
      <c r="L30" s="68"/>
      <c r="M30" s="52"/>
      <c r="N30" s="53"/>
      <c r="O30" s="51" t="str">
        <f t="shared" si="0"/>
        <v>제02장 근로관계의 성립-제02절 근로계약의 체결-03</v>
      </c>
      <c r="Q30" s="7" t="str">
        <f t="shared" si="1"/>
        <v>2010-1-1</v>
      </c>
      <c r="R30" s="7" t="str">
        <f t="shared" si="2"/>
        <v>열기2-01.노동법\02.문제\[기출][1][2010-1]해외연수 후 의무근로기간 약정 위반 시 연수비용 반환의 적법성 및 퇴직금과 연수비용의 상계 가능성.txt</v>
      </c>
      <c r="S30" s="7" t="str">
        <f t="shared" si="3"/>
        <v>B</v>
      </c>
      <c r="T30" s="7" t="str">
        <f t="shared" si="4"/>
        <v>해외연수 후 의무근로기간 약정 위반 시 연수비용 반환의 적법성 및 퇴직금과 연수비용의 상계 가능성</v>
      </c>
    </row>
    <row r="31" spans="2:20" ht="14.45" customHeight="1" x14ac:dyDescent="0.2">
      <c r="B31" s="31" t="s">
        <v>441</v>
      </c>
      <c r="C31" s="54" t="s">
        <v>442</v>
      </c>
      <c r="D31" s="55" t="s">
        <v>1256</v>
      </c>
      <c r="E31" s="97" t="s">
        <v>58</v>
      </c>
      <c r="F31" s="58" t="s">
        <v>31</v>
      </c>
      <c r="G31" s="58" t="s">
        <v>1638</v>
      </c>
      <c r="H31" s="59" t="s">
        <v>1073</v>
      </c>
      <c r="I31" s="60" t="s">
        <v>1074</v>
      </c>
      <c r="J31" s="61">
        <v>2404</v>
      </c>
      <c r="K31" s="62" t="s">
        <v>1383</v>
      </c>
      <c r="L31" s="100"/>
      <c r="M31" s="64"/>
      <c r="N31" s="65"/>
      <c r="O31" s="63" t="str">
        <f t="shared" si="0"/>
        <v>제02장 근로관계의 성립-제02절 근로계약의 체결-04</v>
      </c>
      <c r="Q31" s="7" t="str">
        <f t="shared" si="1"/>
        <v>2019-1-2-1</v>
      </c>
      <c r="R31" s="7" t="str">
        <f t="shared" si="2"/>
        <v>열기2-01.노동법\02.문제\[기출][1][2019-1-2]중도 퇴사자 대상 사이닝보너스 반환 청구의 타당성.txt</v>
      </c>
      <c r="S31" s="7" t="str">
        <f t="shared" si="3"/>
        <v>B</v>
      </c>
      <c r="T31" s="7" t="str">
        <f t="shared" si="4"/>
        <v>중도 퇴사자 대상 사이닝보너스 반환 청구의 타당성</v>
      </c>
    </row>
    <row r="32" spans="2:20" ht="14.45" customHeight="1" x14ac:dyDescent="0.2">
      <c r="B32" s="31" t="s">
        <v>441</v>
      </c>
      <c r="C32" s="32" t="s">
        <v>452</v>
      </c>
      <c r="D32" s="33" t="s">
        <v>128</v>
      </c>
      <c r="E32" s="69" t="s">
        <v>132</v>
      </c>
      <c r="F32" s="35" t="s">
        <v>31</v>
      </c>
      <c r="G32" s="35" t="s">
        <v>1635</v>
      </c>
      <c r="H32" s="36" t="s">
        <v>134</v>
      </c>
      <c r="I32" s="6" t="s">
        <v>938</v>
      </c>
      <c r="J32" s="37">
        <v>2147</v>
      </c>
      <c r="K32" s="38" t="s">
        <v>1348</v>
      </c>
      <c r="L32" s="298"/>
      <c r="M32" s="40"/>
      <c r="N32" s="41"/>
      <c r="O32" s="39" t="str">
        <f t="shared" si="0"/>
        <v>제02장 근로관계의 성립-제03절 근로계약과 근로관계-01</v>
      </c>
      <c r="Q32" s="7" t="str">
        <f t="shared" si="1"/>
        <v>근로관계의 성립-1</v>
      </c>
      <c r="R32" s="7" t="str">
        <f t="shared" si="2"/>
        <v>열기2-01.노동법\01.본문\제02장 근로관계의 성립.제03절 근로계약과 근로관계.txt</v>
      </c>
      <c r="S32" s="7" t="str">
        <f t="shared" si="3"/>
        <v>A</v>
      </c>
      <c r="T32" s="7" t="str">
        <f t="shared" si="4"/>
        <v>근로계약과 근로관계</v>
      </c>
    </row>
    <row r="33" spans="2:20" ht="14.45" customHeight="1" x14ac:dyDescent="0.2">
      <c r="B33" s="31" t="s">
        <v>441</v>
      </c>
      <c r="C33" s="42" t="s">
        <v>452</v>
      </c>
      <c r="D33" s="43" t="s">
        <v>1256</v>
      </c>
      <c r="E33" s="70" t="s">
        <v>1116</v>
      </c>
      <c r="F33" s="46" t="s">
        <v>31</v>
      </c>
      <c r="G33" s="46" t="s">
        <v>1636</v>
      </c>
      <c r="H33" s="47" t="s">
        <v>1075</v>
      </c>
      <c r="I33" s="48" t="s">
        <v>1076</v>
      </c>
      <c r="J33" s="49">
        <v>1523</v>
      </c>
      <c r="K33" s="50" t="s">
        <v>1348</v>
      </c>
      <c r="L33" s="68"/>
      <c r="M33" s="52"/>
      <c r="N33" s="53">
        <v>46203</v>
      </c>
      <c r="O33" s="51" t="str">
        <f t="shared" si="0"/>
        <v>제02장 근로관계의 성립-제03절 근로계약과 근로관계-02</v>
      </c>
      <c r="Q33" s="7" t="str">
        <f t="shared" si="1"/>
        <v>2016-2-1</v>
      </c>
      <c r="R33" s="7" t="str">
        <f t="shared" si="2"/>
        <v>열기2-01.노동법\02.문제\[기출][1][2016-2]시용기간 만료 시 본채용 거부의 해고 여부 및 구두 통보의 정당성.txt</v>
      </c>
      <c r="S33" s="7" t="str">
        <f t="shared" si="3"/>
        <v>A</v>
      </c>
      <c r="T33" s="7" t="str">
        <f t="shared" si="4"/>
        <v>시용기간 만료 시 본채용 거부의 해고 여부 및 구두 통보의 정당성</v>
      </c>
    </row>
    <row r="34" spans="2:20" ht="14.45" customHeight="1" x14ac:dyDescent="0.2">
      <c r="B34" s="31" t="s">
        <v>441</v>
      </c>
      <c r="C34" s="42" t="s">
        <v>452</v>
      </c>
      <c r="D34" s="43" t="s">
        <v>308</v>
      </c>
      <c r="E34" s="73" t="s">
        <v>1509</v>
      </c>
      <c r="F34" s="46" t="s">
        <v>31</v>
      </c>
      <c r="G34" s="45" t="s">
        <v>1637</v>
      </c>
      <c r="H34" s="47" t="s">
        <v>1354</v>
      </c>
      <c r="I34" s="48" t="s">
        <v>1268</v>
      </c>
      <c r="J34" s="49">
        <v>2434</v>
      </c>
      <c r="K34" s="50" t="s">
        <v>1348</v>
      </c>
      <c r="L34" s="68" t="s">
        <v>1235</v>
      </c>
      <c r="M34" s="52"/>
      <c r="N34" s="53"/>
      <c r="O34" s="51" t="str">
        <f t="shared" si="0"/>
        <v>제02장 근로관계의 성립-제03절 근로계약과 근로관계-03</v>
      </c>
      <c r="Q34" s="7" t="str">
        <f t="shared" si="1"/>
        <v>광주고등법원 2025.06.12. 선고 2024나23049 판결-1</v>
      </c>
      <c r="R34" s="7" t="str">
        <f t="shared" si="2"/>
        <v>열기2-01.노동법\03.판례\[광주고등법원 2025.06.12. 선고 2024나23049 판결]기간제 근로계약으로 포장된 시용 근로계약.txt</v>
      </c>
      <c r="S34" s="7" t="str">
        <f t="shared" si="3"/>
        <v>A</v>
      </c>
      <c r="T34" s="7" t="str">
        <f t="shared" si="4"/>
        <v>기간제 근로계약으로 포장된 시용 근로계약</v>
      </c>
    </row>
    <row r="35" spans="2:20" ht="14.45" customHeight="1" x14ac:dyDescent="0.2">
      <c r="B35" s="31" t="s">
        <v>441</v>
      </c>
      <c r="C35" s="54" t="s">
        <v>452</v>
      </c>
      <c r="D35" s="55" t="s">
        <v>308</v>
      </c>
      <c r="E35" s="71" t="s">
        <v>1510</v>
      </c>
      <c r="F35" s="58" t="s">
        <v>31</v>
      </c>
      <c r="G35" s="57" t="s">
        <v>1638</v>
      </c>
      <c r="H35" s="59" t="s">
        <v>354</v>
      </c>
      <c r="I35" s="60" t="s">
        <v>1269</v>
      </c>
      <c r="J35" s="61">
        <v>1733</v>
      </c>
      <c r="K35" s="62" t="s">
        <v>1348</v>
      </c>
      <c r="L35" s="100"/>
      <c r="M35" s="64"/>
      <c r="N35" s="65"/>
      <c r="O35" s="63" t="str">
        <f t="shared" si="0"/>
        <v>제02장 근로관계의 성립-제03절 근로계약과 근로관계-04</v>
      </c>
      <c r="Q35" s="7" t="str">
        <f t="shared" si="1"/>
        <v>서울행정법원 2025.11.06. 선고 2024구합85373 판결-1</v>
      </c>
      <c r="R35" s="7" t="str">
        <f t="shared" si="2"/>
        <v>열기2-01.노동법\03.판례\[서울행정법원 2025.11.06. 선고 2024구합85373 판결]채용과정에서의 견습과 법적 판단.txt</v>
      </c>
      <c r="S35" s="7" t="str">
        <f t="shared" si="3"/>
        <v>A</v>
      </c>
      <c r="T35" s="7" t="str">
        <f t="shared" si="4"/>
        <v>채용과정에서의 견습과 법적 판단</v>
      </c>
    </row>
    <row r="36" spans="2:20" ht="14.45" customHeight="1" x14ac:dyDescent="0.2">
      <c r="B36" s="31" t="s">
        <v>441</v>
      </c>
      <c r="C36" s="32" t="s">
        <v>1428</v>
      </c>
      <c r="D36" s="33" t="s">
        <v>128</v>
      </c>
      <c r="E36" s="69" t="s">
        <v>132</v>
      </c>
      <c r="F36" s="35" t="s">
        <v>31</v>
      </c>
      <c r="G36" s="35" t="s">
        <v>1635</v>
      </c>
      <c r="H36" s="36" t="s">
        <v>135</v>
      </c>
      <c r="I36" s="6" t="s">
        <v>939</v>
      </c>
      <c r="J36" s="37">
        <v>3579</v>
      </c>
      <c r="K36" s="38" t="s">
        <v>1348</v>
      </c>
      <c r="L36" s="298"/>
      <c r="M36" s="40"/>
      <c r="N36" s="41"/>
      <c r="O36" s="39" t="str">
        <f t="shared" si="0"/>
        <v>제02장 근로관계의 성립-제04절 근로계약과 당사자의 권리 및 의무-01</v>
      </c>
      <c r="Q36" s="7" t="str">
        <f t="shared" si="1"/>
        <v>근로관계의 성립-1</v>
      </c>
      <c r="R36" s="7" t="str">
        <f t="shared" si="2"/>
        <v>열기2-01.노동법\01.본문\제02장 근로관계의 성립.제04절 근로계약과 당사자의 권리 및 의무.txt</v>
      </c>
      <c r="S36" s="7" t="str">
        <f t="shared" si="3"/>
        <v>A</v>
      </c>
      <c r="T36" s="7" t="str">
        <f t="shared" si="4"/>
        <v>근로계약과 당사자의 권리 및 의무</v>
      </c>
    </row>
    <row r="37" spans="2:20" ht="14.45" customHeight="1" x14ac:dyDescent="0.2">
      <c r="B37" s="31" t="s">
        <v>441</v>
      </c>
      <c r="C37" s="42" t="s">
        <v>1428</v>
      </c>
      <c r="D37" s="43" t="s">
        <v>1647</v>
      </c>
      <c r="E37" s="70" t="s">
        <v>1558</v>
      </c>
      <c r="F37" s="46" t="s">
        <v>31</v>
      </c>
      <c r="G37" s="46" t="s">
        <v>1636</v>
      </c>
      <c r="H37" s="47" t="s">
        <v>1016</v>
      </c>
      <c r="I37" s="48" t="s">
        <v>1653</v>
      </c>
      <c r="J37" s="49">
        <v>1989</v>
      </c>
      <c r="K37" s="50" t="s">
        <v>1348</v>
      </c>
      <c r="L37" s="68"/>
      <c r="M37" s="52"/>
      <c r="N37" s="53">
        <v>46203</v>
      </c>
      <c r="O37" s="51" t="str">
        <f t="shared" si="0"/>
        <v>제02장 근로관계의 성립-제04절 근로계약과 당사자의 권리 및 의무-02</v>
      </c>
      <c r="Q37" s="7" t="str">
        <f t="shared" si="1"/>
        <v>2.04-1-1</v>
      </c>
      <c r="R37" s="7" t="str">
        <f t="shared" si="2"/>
        <v>열기2-01.노동법\02.문제\[모의][1][02.04-1]경력 허위 기재가 근로계약의 효력에 미치는 영향과 회사의 조치에 대한 타당성 여부.txt</v>
      </c>
      <c r="S37" s="7" t="str">
        <f t="shared" si="3"/>
        <v>A</v>
      </c>
      <c r="T37" s="7" t="str">
        <f t="shared" si="4"/>
        <v>경력 허위 기재가 근로계약의 효력에 미치는 영향과 회사의 조치에 대한 타당성 여부</v>
      </c>
    </row>
    <row r="38" spans="2:20" ht="14.45" customHeight="1" x14ac:dyDescent="0.2">
      <c r="B38" s="31" t="s">
        <v>441</v>
      </c>
      <c r="C38" s="42" t="s">
        <v>1428</v>
      </c>
      <c r="D38" s="43" t="s">
        <v>1647</v>
      </c>
      <c r="E38" s="70" t="s">
        <v>1559</v>
      </c>
      <c r="F38" s="46" t="s">
        <v>31</v>
      </c>
      <c r="G38" s="46" t="s">
        <v>1637</v>
      </c>
      <c r="H38" s="47" t="s">
        <v>117</v>
      </c>
      <c r="I38" s="48" t="s">
        <v>1654</v>
      </c>
      <c r="J38" s="49">
        <v>2015</v>
      </c>
      <c r="K38" s="50" t="s">
        <v>1348</v>
      </c>
      <c r="L38" s="68"/>
      <c r="M38" s="52"/>
      <c r="N38" s="53">
        <v>46203</v>
      </c>
      <c r="O38" s="51" t="str">
        <f t="shared" si="0"/>
        <v>제02장 근로관계의 성립-제04절 근로계약과 당사자의 권리 및 의무-03</v>
      </c>
      <c r="Q38" s="7" t="str">
        <f t="shared" si="1"/>
        <v>2.04-2-1</v>
      </c>
      <c r="R38" s="7" t="str">
        <f t="shared" si="2"/>
        <v>열기2-01.노동법\02.문제\[모의][1][02.04-2]경업금지약정의 효력, 회사의 전직금지 청구 가능 여부.txt</v>
      </c>
      <c r="S38" s="7" t="str">
        <f t="shared" si="3"/>
        <v>A</v>
      </c>
      <c r="T38" s="7" t="str">
        <f t="shared" si="4"/>
        <v>경업금지약정의 효력, 회사의 전직금지 청구 가능 여부</v>
      </c>
    </row>
    <row r="39" spans="2:20" ht="14.45" customHeight="1" x14ac:dyDescent="0.2">
      <c r="B39" s="31" t="s">
        <v>441</v>
      </c>
      <c r="C39" s="42" t="s">
        <v>1428</v>
      </c>
      <c r="D39" s="43" t="s">
        <v>1647</v>
      </c>
      <c r="E39" s="70" t="s">
        <v>1560</v>
      </c>
      <c r="F39" s="46" t="s">
        <v>31</v>
      </c>
      <c r="G39" s="46" t="s">
        <v>1638</v>
      </c>
      <c r="H39" s="47" t="s">
        <v>118</v>
      </c>
      <c r="I39" s="48" t="s">
        <v>1655</v>
      </c>
      <c r="J39" s="49">
        <v>2153</v>
      </c>
      <c r="K39" s="50" t="s">
        <v>1348</v>
      </c>
      <c r="L39" s="68"/>
      <c r="M39" s="52"/>
      <c r="N39" s="53">
        <v>46203</v>
      </c>
      <c r="O39" s="51" t="str">
        <f t="shared" si="0"/>
        <v>제02장 근로관계의 성립-제04절 근로계약과 당사자의 권리 및 의무-04</v>
      </c>
      <c r="Q39" s="7" t="str">
        <f t="shared" si="1"/>
        <v>2.04-3-1</v>
      </c>
      <c r="R39" s="7" t="str">
        <f t="shared" si="2"/>
        <v>열기2-01.노동법\02.문제\[모의][1][02.04-3]기술적 영업비밀이 아닌 정보 유출에 대한 징계 및 손해배상 청구 가능 여부.txt</v>
      </c>
      <c r="S39" s="7" t="str">
        <f t="shared" si="3"/>
        <v>A</v>
      </c>
      <c r="T39" s="7" t="str">
        <f t="shared" si="4"/>
        <v>기술적 영업비밀이 아닌 정보 유출에 대한 징계 및 손해배상 청구 가능 여부</v>
      </c>
    </row>
    <row r="40" spans="2:20" ht="14.45" customHeight="1" thickBot="1" x14ac:dyDescent="0.25">
      <c r="B40" s="74" t="s">
        <v>441</v>
      </c>
      <c r="C40" s="75" t="s">
        <v>1428</v>
      </c>
      <c r="D40" s="76" t="s">
        <v>308</v>
      </c>
      <c r="E40" s="98" t="s">
        <v>1511</v>
      </c>
      <c r="F40" s="78" t="s">
        <v>31</v>
      </c>
      <c r="G40" s="99" t="s">
        <v>1639</v>
      </c>
      <c r="H40" s="79" t="s">
        <v>350</v>
      </c>
      <c r="I40" s="80" t="s">
        <v>1270</v>
      </c>
      <c r="J40" s="81">
        <v>2950</v>
      </c>
      <c r="K40" s="82" t="s">
        <v>1348</v>
      </c>
      <c r="L40" s="161"/>
      <c r="M40" s="84"/>
      <c r="N40" s="85"/>
      <c r="O40" s="83" t="str">
        <f t="shared" si="0"/>
        <v>제02장 근로관계의 성립-제04절 근로계약과 당사자의 권리 및 의무-05</v>
      </c>
      <c r="Q40" s="7" t="str">
        <f t="shared" si="1"/>
        <v>대법원 2025.07.03. 선고 2025다210741 판결-1</v>
      </c>
      <c r="R40" s="7" t="str">
        <f t="shared" si="2"/>
        <v>열기2-01.노동법\03.판례\[대법원 2025.07.03. 선고 2025다210741 판결]채용비리를 이유로 한 근로계약의 취소.txt</v>
      </c>
      <c r="S40" s="7" t="str">
        <f t="shared" si="3"/>
        <v>A</v>
      </c>
      <c r="T40" s="7" t="str">
        <f t="shared" si="4"/>
        <v>채용비리를 이유로 한 근로계약의 취소</v>
      </c>
    </row>
    <row r="41" spans="2:20" ht="14.45" customHeight="1" x14ac:dyDescent="0.2">
      <c r="B41" s="19" t="s">
        <v>443</v>
      </c>
      <c r="C41" s="86" t="s">
        <v>1480</v>
      </c>
      <c r="D41" s="87" t="s">
        <v>128</v>
      </c>
      <c r="E41" s="88" t="s">
        <v>136</v>
      </c>
      <c r="F41" s="89" t="s">
        <v>31</v>
      </c>
      <c r="G41" s="89" t="s">
        <v>1635</v>
      </c>
      <c r="H41" s="90" t="s">
        <v>137</v>
      </c>
      <c r="I41" s="91" t="s">
        <v>940</v>
      </c>
      <c r="J41" s="92">
        <v>2449</v>
      </c>
      <c r="K41" s="93" t="s">
        <v>1383</v>
      </c>
      <c r="L41" s="299"/>
      <c r="M41" s="95"/>
      <c r="N41" s="96"/>
      <c r="O41" s="94" t="str">
        <f t="shared" si="0"/>
        <v>제03장 임금-제01절 임금의 의의-01</v>
      </c>
      <c r="Q41" s="7" t="str">
        <f t="shared" si="1"/>
        <v>임금-1</v>
      </c>
      <c r="R41" s="7" t="str">
        <f t="shared" si="2"/>
        <v>열기2-01.노동법\01.본문\제03장 임금.제01절 임금의 의의.txt</v>
      </c>
      <c r="S41" s="7" t="str">
        <f t="shared" si="3"/>
        <v>B</v>
      </c>
      <c r="T41" s="7" t="str">
        <f t="shared" si="4"/>
        <v>임금의 의의</v>
      </c>
    </row>
    <row r="42" spans="2:20" ht="14.45" customHeight="1" x14ac:dyDescent="0.2">
      <c r="B42" s="31" t="s">
        <v>443</v>
      </c>
      <c r="C42" s="54" t="s">
        <v>1480</v>
      </c>
      <c r="D42" s="55" t="s">
        <v>308</v>
      </c>
      <c r="E42" s="71" t="s">
        <v>1512</v>
      </c>
      <c r="F42" s="58" t="s">
        <v>419</v>
      </c>
      <c r="G42" s="57" t="s">
        <v>1636</v>
      </c>
      <c r="H42" s="59" t="s">
        <v>1249</v>
      </c>
      <c r="I42" s="60" t="s">
        <v>1271</v>
      </c>
      <c r="J42" s="61">
        <v>2713</v>
      </c>
      <c r="K42" s="62" t="s">
        <v>1383</v>
      </c>
      <c r="L42" s="100"/>
      <c r="M42" s="64"/>
      <c r="N42" s="65"/>
      <c r="O42" s="63" t="str">
        <f t="shared" si="0"/>
        <v>제03장 임금-제01절 임금의 의의-02</v>
      </c>
      <c r="Q42" s="7" t="str">
        <f t="shared" si="1"/>
        <v>수원지방법원 성남지원 2025.07.15. 선고 2024가합204074 판결-1</v>
      </c>
      <c r="R42" s="7" t="str">
        <f t="shared" si="2"/>
        <v>열기2-01.노동법\03.판례\[수원지방법원 성남지원 2025.07.15. 선고 2024가합204074 판결]정년연장형 임금피크제의 유효성 판단.txt</v>
      </c>
      <c r="S42" s="7" t="str">
        <f t="shared" si="3"/>
        <v>B</v>
      </c>
      <c r="T42" s="7" t="str">
        <f t="shared" si="4"/>
        <v>정년연장형 임금피크제의 유효성 판단</v>
      </c>
    </row>
    <row r="43" spans="2:20" ht="14.45" customHeight="1" x14ac:dyDescent="0.2">
      <c r="B43" s="31" t="s">
        <v>443</v>
      </c>
      <c r="C43" s="32" t="s">
        <v>1429</v>
      </c>
      <c r="D43" s="33" t="s">
        <v>128</v>
      </c>
      <c r="E43" s="69" t="s">
        <v>136</v>
      </c>
      <c r="F43" s="35" t="s">
        <v>31</v>
      </c>
      <c r="G43" s="35" t="s">
        <v>1635</v>
      </c>
      <c r="H43" s="36" t="s">
        <v>138</v>
      </c>
      <c r="I43" s="6" t="s">
        <v>941</v>
      </c>
      <c r="J43" s="37">
        <v>2988</v>
      </c>
      <c r="K43" s="38" t="s">
        <v>1383</v>
      </c>
      <c r="L43" s="298"/>
      <c r="M43" s="40"/>
      <c r="N43" s="41"/>
      <c r="O43" s="39" t="str">
        <f t="shared" si="0"/>
        <v>제03장 임금-제02절 평균임금-01</v>
      </c>
      <c r="Q43" s="7" t="str">
        <f t="shared" si="1"/>
        <v>임금-1</v>
      </c>
      <c r="R43" s="7" t="str">
        <f t="shared" si="2"/>
        <v>열기2-01.노동법\01.본문\제03장 임금.제02절 평균임금.txt</v>
      </c>
      <c r="S43" s="7" t="str">
        <f t="shared" si="3"/>
        <v>B</v>
      </c>
      <c r="T43" s="7" t="str">
        <f t="shared" si="4"/>
        <v>평균임금</v>
      </c>
    </row>
    <row r="44" spans="2:20" ht="14.45" customHeight="1" x14ac:dyDescent="0.2">
      <c r="B44" s="31" t="s">
        <v>443</v>
      </c>
      <c r="C44" s="42" t="s">
        <v>1429</v>
      </c>
      <c r="D44" s="43" t="s">
        <v>1647</v>
      </c>
      <c r="E44" s="70" t="s">
        <v>1561</v>
      </c>
      <c r="F44" s="46" t="s">
        <v>31</v>
      </c>
      <c r="G44" s="46" t="s">
        <v>1636</v>
      </c>
      <c r="H44" s="47" t="s">
        <v>1361</v>
      </c>
      <c r="I44" s="48" t="s">
        <v>1656</v>
      </c>
      <c r="J44" s="49">
        <v>2475</v>
      </c>
      <c r="K44" s="50" t="s">
        <v>1383</v>
      </c>
      <c r="L44" s="68"/>
      <c r="M44" s="52"/>
      <c r="N44" s="53"/>
      <c r="O44" s="51" t="str">
        <f t="shared" si="0"/>
        <v>제03장 임금-제02절 평균임금-02</v>
      </c>
      <c r="Q44" s="7" t="str">
        <f t="shared" si="1"/>
        <v>3.02-1-1</v>
      </c>
      <c r="R44" s="7" t="str">
        <f t="shared" si="2"/>
        <v>열기2-01.노동법\02.문제\[모의][1][03.02-1]추석 상여금과 경영성과급의 임금성 및 평균임금 산입 여부.txt</v>
      </c>
      <c r="S44" s="7" t="str">
        <f t="shared" si="3"/>
        <v>B</v>
      </c>
      <c r="T44" s="7" t="str">
        <f t="shared" si="4"/>
        <v>추석 상여금과 경영성과급의 임금성 및 평균임금 산입 여부</v>
      </c>
    </row>
    <row r="45" spans="2:20" ht="14.45" customHeight="1" x14ac:dyDescent="0.2">
      <c r="B45" s="31" t="s">
        <v>443</v>
      </c>
      <c r="C45" s="54" t="s">
        <v>1429</v>
      </c>
      <c r="D45" s="55" t="s">
        <v>1647</v>
      </c>
      <c r="E45" s="97" t="s">
        <v>1562</v>
      </c>
      <c r="F45" s="58" t="s">
        <v>31</v>
      </c>
      <c r="G45" s="58" t="s">
        <v>1637</v>
      </c>
      <c r="H45" s="59" t="s">
        <v>96</v>
      </c>
      <c r="I45" s="60" t="s">
        <v>1657</v>
      </c>
      <c r="J45" s="61">
        <v>2320</v>
      </c>
      <c r="K45" s="62" t="s">
        <v>1383</v>
      </c>
      <c r="L45" s="100"/>
      <c r="M45" s="64"/>
      <c r="N45" s="65"/>
      <c r="O45" s="63" t="str">
        <f t="shared" si="0"/>
        <v>제03장 임금-제02절 평균임금-03</v>
      </c>
      <c r="Q45" s="7" t="str">
        <f t="shared" si="1"/>
        <v>3.02-2-1</v>
      </c>
      <c r="R45" s="7" t="str">
        <f t="shared" si="2"/>
        <v>열기2-01.노동법\02.문제\[모의][1][03.02-2]특수 기간의 평균임금 산정방법과 연차유급휴가 미사용 수당의 산입 방식.txt</v>
      </c>
      <c r="S45" s="7" t="str">
        <f t="shared" si="3"/>
        <v>B</v>
      </c>
      <c r="T45" s="7" t="str">
        <f t="shared" si="4"/>
        <v>특수 기간의 평균임금 산정방법과 연차유급휴가 미사용 수당의 산입 방식</v>
      </c>
    </row>
    <row r="46" spans="2:20" ht="14.45" customHeight="1" x14ac:dyDescent="0.2">
      <c r="B46" s="31" t="s">
        <v>443</v>
      </c>
      <c r="C46" s="32" t="s">
        <v>433</v>
      </c>
      <c r="D46" s="33" t="s">
        <v>128</v>
      </c>
      <c r="E46" s="69" t="s">
        <v>136</v>
      </c>
      <c r="F46" s="35" t="s">
        <v>31</v>
      </c>
      <c r="G46" s="35" t="s">
        <v>1635</v>
      </c>
      <c r="H46" s="36" t="s">
        <v>139</v>
      </c>
      <c r="I46" s="6" t="s">
        <v>942</v>
      </c>
      <c r="J46" s="37">
        <v>4550</v>
      </c>
      <c r="K46" s="38" t="s">
        <v>1382</v>
      </c>
      <c r="L46" s="298"/>
      <c r="M46" s="40"/>
      <c r="N46" s="41"/>
      <c r="O46" s="39" t="str">
        <f t="shared" si="0"/>
        <v>제03장 임금-제03절 통상임금-01</v>
      </c>
      <c r="Q46" s="7" t="str">
        <f t="shared" si="1"/>
        <v>임금-1</v>
      </c>
      <c r="R46" s="7" t="str">
        <f t="shared" si="2"/>
        <v>열기2-01.노동법\01.본문\제03장 임금.제03절 통상임금.txt</v>
      </c>
      <c r="S46" s="7" t="str">
        <f t="shared" si="3"/>
        <v>C</v>
      </c>
      <c r="T46" s="7" t="str">
        <f t="shared" si="4"/>
        <v>통상임금</v>
      </c>
    </row>
    <row r="47" spans="2:20" ht="14.45" customHeight="1" x14ac:dyDescent="0.2">
      <c r="B47" s="31" t="s">
        <v>443</v>
      </c>
      <c r="C47" s="42" t="s">
        <v>433</v>
      </c>
      <c r="D47" s="43" t="s">
        <v>1256</v>
      </c>
      <c r="E47" s="70" t="s">
        <v>62</v>
      </c>
      <c r="F47" s="46" t="s">
        <v>31</v>
      </c>
      <c r="G47" s="46" t="s">
        <v>1636</v>
      </c>
      <c r="H47" s="47" t="s">
        <v>29</v>
      </c>
      <c r="I47" s="48" t="s">
        <v>925</v>
      </c>
      <c r="J47" s="49">
        <v>2109</v>
      </c>
      <c r="K47" s="50" t="s">
        <v>1382</v>
      </c>
      <c r="L47" s="68"/>
      <c r="M47" s="52"/>
      <c r="N47" s="53"/>
      <c r="O47" s="51" t="str">
        <f t="shared" si="0"/>
        <v>제03장 임금-제03절 통상임금-02</v>
      </c>
      <c r="Q47" s="7" t="str">
        <f t="shared" si="1"/>
        <v>2012-1-1-1</v>
      </c>
      <c r="R47" s="7" t="str">
        <f t="shared" si="2"/>
        <v>열기2-01.노동법\02.문제\[기출][1][2012-1-1]통상임금 범위를 규정한 취업규칙 조항의 효력.txt</v>
      </c>
      <c r="S47" s="7" t="str">
        <f t="shared" si="3"/>
        <v>C</v>
      </c>
      <c r="T47" s="7" t="str">
        <f t="shared" si="4"/>
        <v>통상임금 범위를 규정한 취업규칙 조항의 효력</v>
      </c>
    </row>
    <row r="48" spans="2:20" ht="14.45" customHeight="1" x14ac:dyDescent="0.2">
      <c r="B48" s="31" t="s">
        <v>443</v>
      </c>
      <c r="C48" s="42" t="s">
        <v>433</v>
      </c>
      <c r="D48" s="43" t="s">
        <v>1256</v>
      </c>
      <c r="E48" s="70" t="s">
        <v>1012</v>
      </c>
      <c r="F48" s="46" t="s">
        <v>31</v>
      </c>
      <c r="G48" s="46" t="s">
        <v>1638</v>
      </c>
      <c r="H48" s="47" t="s">
        <v>1079</v>
      </c>
      <c r="I48" s="48" t="s">
        <v>1080</v>
      </c>
      <c r="J48" s="49">
        <v>1907</v>
      </c>
      <c r="K48" s="50" t="s">
        <v>1383</v>
      </c>
      <c r="L48" s="68"/>
      <c r="M48" s="52"/>
      <c r="N48" s="53"/>
      <c r="O48" s="51" t="str">
        <f t="shared" si="0"/>
        <v>제03장 임금-제03절 통상임금-04</v>
      </c>
      <c r="Q48" s="7" t="str">
        <f t="shared" si="1"/>
        <v>2018-1-2-1</v>
      </c>
      <c r="R48" s="7" t="str">
        <f t="shared" si="2"/>
        <v>열기2-01.노동법\02.문제\[기출][1][2018-1-2]판매용역계약을 체결한 판매원이 지급받은 수수료의 통상임금 해당 여부.txt</v>
      </c>
      <c r="S48" s="7" t="str">
        <f t="shared" si="3"/>
        <v>B</v>
      </c>
      <c r="T48" s="7" t="str">
        <f t="shared" si="4"/>
        <v>판매용역계약을 체결한 판매원이 지급받은 수수료의 통상임금 해당 여부</v>
      </c>
    </row>
    <row r="49" spans="2:20" ht="14.45" customHeight="1" x14ac:dyDescent="0.2">
      <c r="B49" s="31" t="s">
        <v>443</v>
      </c>
      <c r="C49" s="42" t="s">
        <v>433</v>
      </c>
      <c r="D49" s="43" t="s">
        <v>1256</v>
      </c>
      <c r="E49" s="70" t="s">
        <v>1159</v>
      </c>
      <c r="F49" s="46" t="s">
        <v>31</v>
      </c>
      <c r="G49" s="46" t="s">
        <v>1639</v>
      </c>
      <c r="H49" s="47" t="s">
        <v>1077</v>
      </c>
      <c r="I49" s="48" t="s">
        <v>1078</v>
      </c>
      <c r="J49" s="49">
        <v>1934</v>
      </c>
      <c r="K49" s="50" t="s">
        <v>1382</v>
      </c>
      <c r="L49" s="68" t="s">
        <v>1712</v>
      </c>
      <c r="M49" s="52"/>
      <c r="N49" s="53"/>
      <c r="O49" s="51" t="str">
        <f t="shared" si="0"/>
        <v>제03장 임금-제03절 통상임금-05</v>
      </c>
      <c r="Q49" s="7" t="str">
        <f t="shared" si="1"/>
        <v>2022-2-1</v>
      </c>
      <c r="R49" s="7" t="str">
        <f t="shared" si="2"/>
        <v>열기2-01.노동법\02.문제\[기출][1][2022-2]정기상여금의 고정성에 따른 통상임금 해당 여부.txt</v>
      </c>
      <c r="S49" s="7" t="str">
        <f t="shared" si="3"/>
        <v>C</v>
      </c>
      <c r="T49" s="7" t="str">
        <f t="shared" si="4"/>
        <v>정기상여금의 고정성에 따른 통상임금 해당 여부</v>
      </c>
    </row>
    <row r="50" spans="2:20" ht="14.45" customHeight="1" x14ac:dyDescent="0.2">
      <c r="B50" s="31" t="s">
        <v>443</v>
      </c>
      <c r="C50" s="42" t="s">
        <v>433</v>
      </c>
      <c r="D50" s="43" t="s">
        <v>1647</v>
      </c>
      <c r="E50" s="70" t="s">
        <v>1563</v>
      </c>
      <c r="F50" s="46" t="s">
        <v>31</v>
      </c>
      <c r="G50" s="46" t="s">
        <v>1640</v>
      </c>
      <c r="H50" s="47" t="s">
        <v>1407</v>
      </c>
      <c r="I50" s="48" t="s">
        <v>1658</v>
      </c>
      <c r="J50" s="49">
        <v>1644</v>
      </c>
      <c r="K50" s="50" t="s">
        <v>1348</v>
      </c>
      <c r="L50" s="68"/>
      <c r="M50" s="52"/>
      <c r="N50" s="53">
        <v>46207</v>
      </c>
      <c r="O50" s="51" t="str">
        <f t="shared" si="0"/>
        <v>제03장 임금-제03절 통상임금-06</v>
      </c>
      <c r="Q50" s="7" t="str">
        <f t="shared" si="1"/>
        <v>3.03-1-1</v>
      </c>
      <c r="R50" s="7" t="str">
        <f t="shared" si="2"/>
        <v>열기2-01.노동법\02.문제\[모의][1][03.03-1]통상임금 고정성 징표의 배제 여부 및 재직조건부 정기상여금의 통상임금 인정 여부.txt</v>
      </c>
      <c r="S50" s="7" t="str">
        <f t="shared" si="3"/>
        <v>A</v>
      </c>
      <c r="T50" s="7" t="str">
        <f t="shared" si="4"/>
        <v>통상임금 고정성 징표의 배제 여부 및 재직조건부 정기상여금의 통상임금 인정 여부★</v>
      </c>
    </row>
    <row r="51" spans="2:20" ht="14.45" customHeight="1" x14ac:dyDescent="0.2">
      <c r="B51" s="31" t="s">
        <v>443</v>
      </c>
      <c r="C51" s="42" t="s">
        <v>433</v>
      </c>
      <c r="D51" s="43" t="s">
        <v>1647</v>
      </c>
      <c r="E51" s="70" t="s">
        <v>1564</v>
      </c>
      <c r="F51" s="46" t="s">
        <v>31</v>
      </c>
      <c r="G51" s="46" t="s">
        <v>1641</v>
      </c>
      <c r="H51" s="47" t="s">
        <v>1408</v>
      </c>
      <c r="I51" s="48" t="s">
        <v>1659</v>
      </c>
      <c r="J51" s="49">
        <v>1737</v>
      </c>
      <c r="K51" s="50" t="s">
        <v>1348</v>
      </c>
      <c r="L51" s="68"/>
      <c r="M51" s="52"/>
      <c r="N51" s="53">
        <v>46207</v>
      </c>
      <c r="O51" s="51" t="str">
        <f t="shared" si="0"/>
        <v>제03장 임금-제03절 통상임금-07</v>
      </c>
      <c r="Q51" s="7" t="str">
        <f t="shared" si="1"/>
        <v>3.03-2-1</v>
      </c>
      <c r="R51" s="7" t="str">
        <f t="shared" si="2"/>
        <v>열기2-01.노동법\02.문제\[모의][1][03.03-2]일정 근무일수 충족 조건부 출근수당의 소정근로 대가성 관점에서의 통상임금 해당 여부.txt</v>
      </c>
      <c r="S51" s="7" t="str">
        <f t="shared" si="3"/>
        <v>A</v>
      </c>
      <c r="T51" s="7" t="str">
        <f t="shared" si="4"/>
        <v>일정 근무일수 충족 조건부 출근수당의 소정근로 대가성 관점에서의 통상임금 해당 여부★</v>
      </c>
    </row>
    <row r="52" spans="2:20" ht="14.45" customHeight="1" x14ac:dyDescent="0.2">
      <c r="B52" s="31" t="s">
        <v>443</v>
      </c>
      <c r="C52" s="54" t="s">
        <v>433</v>
      </c>
      <c r="D52" s="55" t="s">
        <v>308</v>
      </c>
      <c r="E52" s="71" t="s">
        <v>1513</v>
      </c>
      <c r="F52" s="58" t="s">
        <v>31</v>
      </c>
      <c r="G52" s="57" t="s">
        <v>1642</v>
      </c>
      <c r="H52" s="59" t="s">
        <v>1405</v>
      </c>
      <c r="I52" s="60" t="s">
        <v>1272</v>
      </c>
      <c r="J52" s="61">
        <v>5116</v>
      </c>
      <c r="K52" s="62" t="s">
        <v>1349</v>
      </c>
      <c r="L52" s="100"/>
      <c r="M52" s="64"/>
      <c r="N52" s="65">
        <v>46207</v>
      </c>
      <c r="O52" s="63" t="str">
        <f t="shared" si="0"/>
        <v>제03장 임금-제03절 통상임금-08</v>
      </c>
      <c r="Q52" s="7" t="str">
        <f t="shared" si="1"/>
        <v>대법원 2024.12.19. 선고 2020다247190 전원합의체 판결-1</v>
      </c>
      <c r="R52" s="7" t="str">
        <f t="shared" si="2"/>
        <v>열기2-01.노동법\03.판례\[대법원 2024.12.19. 선고 2020다247190 전원합의체 판결]통상임금의 판단기준에 관한 판례 법리의 변경.txt</v>
      </c>
      <c r="S52" s="7" t="str">
        <f t="shared" si="3"/>
        <v>A</v>
      </c>
      <c r="T52" s="7" t="str">
        <f t="shared" si="4"/>
        <v>통상임금의 판단기준에 관한 판례 법리의 변경★</v>
      </c>
    </row>
    <row r="53" spans="2:20" ht="14.45" customHeight="1" x14ac:dyDescent="0.2">
      <c r="B53" s="31" t="s">
        <v>443</v>
      </c>
      <c r="C53" s="32" t="s">
        <v>444</v>
      </c>
      <c r="D53" s="33" t="s">
        <v>128</v>
      </c>
      <c r="E53" s="69" t="s">
        <v>136</v>
      </c>
      <c r="F53" s="35" t="s">
        <v>31</v>
      </c>
      <c r="G53" s="35" t="s">
        <v>1635</v>
      </c>
      <c r="H53" s="36" t="s">
        <v>140</v>
      </c>
      <c r="I53" s="6" t="s">
        <v>943</v>
      </c>
      <c r="J53" s="37">
        <v>2984</v>
      </c>
      <c r="K53" s="38" t="s">
        <v>1383</v>
      </c>
      <c r="L53" s="298" t="s">
        <v>1582</v>
      </c>
      <c r="M53" s="40"/>
      <c r="N53" s="41"/>
      <c r="O53" s="39" t="str">
        <f t="shared" si="0"/>
        <v>제03장 임금-제04절 임금지급의 원칙-01</v>
      </c>
      <c r="Q53" s="7" t="str">
        <f t="shared" si="1"/>
        <v>임금-1</v>
      </c>
      <c r="R53" s="7" t="str">
        <f t="shared" si="2"/>
        <v>열기2-01.노동법\01.본문\제03장 임금.제04절 임금지급의 원칙.txt</v>
      </c>
      <c r="S53" s="7" t="str">
        <f t="shared" si="3"/>
        <v>B</v>
      </c>
      <c r="T53" s="7" t="str">
        <f t="shared" si="4"/>
        <v>임금지급의 원칙</v>
      </c>
    </row>
    <row r="54" spans="2:20" ht="14.45" customHeight="1" x14ac:dyDescent="0.2">
      <c r="B54" s="31" t="s">
        <v>443</v>
      </c>
      <c r="C54" s="42" t="s">
        <v>444</v>
      </c>
      <c r="D54" s="43" t="s">
        <v>1632</v>
      </c>
      <c r="E54" s="70" t="s">
        <v>236</v>
      </c>
      <c r="F54" s="46" t="s">
        <v>31</v>
      </c>
      <c r="G54" s="46" t="s">
        <v>1636</v>
      </c>
      <c r="H54" s="47" t="s">
        <v>261</v>
      </c>
      <c r="I54" s="48" t="s">
        <v>924</v>
      </c>
      <c r="J54" s="49">
        <v>3523</v>
      </c>
      <c r="K54" s="50" t="s">
        <v>1383</v>
      </c>
      <c r="L54" s="68" t="s">
        <v>1549</v>
      </c>
      <c r="M54" s="52"/>
      <c r="N54" s="53"/>
      <c r="O54" s="51" t="str">
        <f t="shared" si="0"/>
        <v>제03장 임금-제04절 임금지급의 원칙-02</v>
      </c>
      <c r="Q54" s="7" t="str">
        <f t="shared" si="1"/>
        <v>2010-1-1</v>
      </c>
      <c r="R54" s="7" t="str">
        <f t="shared" si="2"/>
        <v>열기2-01.노동법\02.문제\[기출][1][2010-1]해외연수 후 의무근로기간 약정 위반 시 연수비용 반환의 적법성 및 퇴직금과 연수비용의 상계 가능성.txt</v>
      </c>
      <c r="S54" s="7" t="str">
        <f t="shared" si="3"/>
        <v>B</v>
      </c>
      <c r="T54" s="7" t="str">
        <f t="shared" si="4"/>
        <v>해외연수 후 의무근로기간 약정 위반 시 연수비용 반환의 적법성 및 퇴직금과 연수비용의 상계 가능성</v>
      </c>
    </row>
    <row r="55" spans="2:20" ht="14.45" customHeight="1" x14ac:dyDescent="0.2">
      <c r="B55" s="31" t="s">
        <v>443</v>
      </c>
      <c r="C55" s="42" t="s">
        <v>444</v>
      </c>
      <c r="D55" s="43" t="s">
        <v>1256</v>
      </c>
      <c r="E55" s="70" t="s">
        <v>1160</v>
      </c>
      <c r="F55" s="46" t="s">
        <v>31</v>
      </c>
      <c r="G55" s="46" t="s">
        <v>1637</v>
      </c>
      <c r="H55" s="47" t="s">
        <v>1083</v>
      </c>
      <c r="I55" s="48" t="s">
        <v>1084</v>
      </c>
      <c r="J55" s="49">
        <v>1367</v>
      </c>
      <c r="K55" s="50" t="s">
        <v>1383</v>
      </c>
      <c r="L55" s="68"/>
      <c r="M55" s="52"/>
      <c r="N55" s="53">
        <v>46207</v>
      </c>
      <c r="O55" s="51" t="str">
        <f t="shared" si="0"/>
        <v>제03장 임금-제04절 임금지급의 원칙-03</v>
      </c>
      <c r="Q55" s="7" t="str">
        <f t="shared" si="1"/>
        <v>2014-2-1</v>
      </c>
      <c r="R55" s="7" t="str">
        <f t="shared" si="2"/>
        <v>열기2-01.노동법\02.문제\[기출][1][2014-2]근로자의 임금채권과 사용자의 채권 간 상계 가능성.txt</v>
      </c>
      <c r="S55" s="7" t="str">
        <f t="shared" si="3"/>
        <v>B</v>
      </c>
      <c r="T55" s="7" t="str">
        <f t="shared" si="4"/>
        <v>근로자의 임금채권과 사용자의 채권 간 상계 가능성</v>
      </c>
    </row>
    <row r="56" spans="2:20" ht="14.45" customHeight="1" x14ac:dyDescent="0.2">
      <c r="B56" s="31" t="s">
        <v>443</v>
      </c>
      <c r="C56" s="42" t="s">
        <v>444</v>
      </c>
      <c r="D56" s="43" t="s">
        <v>1256</v>
      </c>
      <c r="E56" s="70" t="s">
        <v>64</v>
      </c>
      <c r="F56" s="46" t="s">
        <v>31</v>
      </c>
      <c r="G56" s="46" t="s">
        <v>1638</v>
      </c>
      <c r="H56" s="47" t="s">
        <v>1081</v>
      </c>
      <c r="I56" s="48" t="s">
        <v>1082</v>
      </c>
      <c r="J56" s="49">
        <v>1503</v>
      </c>
      <c r="K56" s="50" t="s">
        <v>1383</v>
      </c>
      <c r="L56" s="68"/>
      <c r="M56" s="52"/>
      <c r="N56" s="53">
        <v>46207</v>
      </c>
      <c r="O56" s="51" t="str">
        <f t="shared" si="0"/>
        <v>제03장 임금-제04절 임금지급의 원칙-04</v>
      </c>
      <c r="Q56" s="7" t="str">
        <f t="shared" si="1"/>
        <v>2019-2-1</v>
      </c>
      <c r="R56" s="7" t="str">
        <f t="shared" si="2"/>
        <v>열기2-01.노동법\02.문제\[기출][1][2019-2]임금채권 양수자의 청구에 대한 사용자의 지급 의무.txt</v>
      </c>
      <c r="S56" s="7" t="str">
        <f t="shared" si="3"/>
        <v>B</v>
      </c>
      <c r="T56" s="7" t="str">
        <f t="shared" si="4"/>
        <v>임금채권 양수자의 청구에 대한 사용자의 지급 의무</v>
      </c>
    </row>
    <row r="57" spans="2:20" ht="14.45" customHeight="1" x14ac:dyDescent="0.2">
      <c r="B57" s="31" t="s">
        <v>443</v>
      </c>
      <c r="C57" s="54" t="s">
        <v>444</v>
      </c>
      <c r="D57" s="55" t="s">
        <v>308</v>
      </c>
      <c r="E57" s="71" t="s">
        <v>1514</v>
      </c>
      <c r="F57" s="58" t="s">
        <v>31</v>
      </c>
      <c r="G57" s="57" t="s">
        <v>1639</v>
      </c>
      <c r="H57" s="59" t="s">
        <v>347</v>
      </c>
      <c r="I57" s="60" t="s">
        <v>1273</v>
      </c>
      <c r="J57" s="61">
        <v>3650</v>
      </c>
      <c r="K57" s="62" t="s">
        <v>1383</v>
      </c>
      <c r="L57" s="100"/>
      <c r="M57" s="64"/>
      <c r="N57" s="65"/>
      <c r="O57" s="63" t="str">
        <f t="shared" si="0"/>
        <v>제03장 임금-제04절 임금지급의 원칙-05</v>
      </c>
      <c r="Q57" s="7" t="str">
        <f t="shared" si="1"/>
        <v>대법원 2025.06.12. 선고 2025다209645 판결-1</v>
      </c>
      <c r="R57" s="7" t="str">
        <f t="shared" si="2"/>
        <v>열기2-01.노동법\03.판례\[대법원 2025.06.12. 선고 2025다209645 판결]임금 대리수령 동의의 효력.txt</v>
      </c>
      <c r="S57" s="7" t="str">
        <f t="shared" si="3"/>
        <v>B</v>
      </c>
      <c r="T57" s="7" t="str">
        <f t="shared" si="4"/>
        <v>임금 대리수령 동의의 효력</v>
      </c>
    </row>
    <row r="58" spans="2:20" ht="14.45" customHeight="1" x14ac:dyDescent="0.2">
      <c r="B58" s="31" t="s">
        <v>443</v>
      </c>
      <c r="C58" s="32" t="s">
        <v>1430</v>
      </c>
      <c r="D58" s="33" t="s">
        <v>128</v>
      </c>
      <c r="E58" s="69" t="s">
        <v>136</v>
      </c>
      <c r="F58" s="35" t="s">
        <v>31</v>
      </c>
      <c r="G58" s="35" t="s">
        <v>1635</v>
      </c>
      <c r="H58" s="36" t="s">
        <v>141</v>
      </c>
      <c r="I58" s="6" t="s">
        <v>944</v>
      </c>
      <c r="J58" s="37">
        <v>2979</v>
      </c>
      <c r="K58" s="38" t="s">
        <v>1383</v>
      </c>
      <c r="L58" s="298"/>
      <c r="M58" s="40"/>
      <c r="N58" s="41"/>
      <c r="O58" s="39" t="str">
        <f t="shared" si="0"/>
        <v>제03장 임금-제05절 휴업수당-01</v>
      </c>
      <c r="Q58" s="7" t="str">
        <f t="shared" si="1"/>
        <v>임금-1</v>
      </c>
      <c r="R58" s="7" t="str">
        <f t="shared" si="2"/>
        <v>열기2-01.노동법\01.본문\제03장 임금.제05절 휴업수당.txt</v>
      </c>
      <c r="S58" s="7" t="str">
        <f t="shared" si="3"/>
        <v>B</v>
      </c>
      <c r="T58" s="7" t="str">
        <f t="shared" si="4"/>
        <v>휴업수당</v>
      </c>
    </row>
    <row r="59" spans="2:20" ht="14.45" customHeight="1" x14ac:dyDescent="0.2">
      <c r="B59" s="31" t="s">
        <v>443</v>
      </c>
      <c r="C59" s="42" t="s">
        <v>1430</v>
      </c>
      <c r="D59" s="43" t="s">
        <v>1647</v>
      </c>
      <c r="E59" s="70" t="s">
        <v>1565</v>
      </c>
      <c r="F59" s="46" t="s">
        <v>31</v>
      </c>
      <c r="G59" s="46" t="s">
        <v>1636</v>
      </c>
      <c r="H59" s="47" t="s">
        <v>1245</v>
      </c>
      <c r="I59" s="48" t="s">
        <v>1660</v>
      </c>
      <c r="J59" s="49">
        <v>1895</v>
      </c>
      <c r="K59" s="50" t="s">
        <v>1383</v>
      </c>
      <c r="L59" s="68"/>
      <c r="M59" s="52"/>
      <c r="N59" s="53"/>
      <c r="O59" s="51" t="str">
        <f t="shared" si="0"/>
        <v>제03장 임금-제05절 휴업수당-02</v>
      </c>
      <c r="Q59" s="7" t="str">
        <f t="shared" si="1"/>
        <v>3.05-1-1</v>
      </c>
      <c r="R59" s="7" t="str">
        <f t="shared" si="2"/>
        <v>열기2-01.노동법\02.문제\[모의][1][03.05-1]매출처 파업 및 창고 부족으로 인한 휴업의 사용자 귀책사유 해당 여부.txt</v>
      </c>
      <c r="S59" s="7" t="str">
        <f t="shared" si="3"/>
        <v>B</v>
      </c>
      <c r="T59" s="7" t="str">
        <f t="shared" si="4"/>
        <v>매출처 파업 및 창고 부족으로 인한 휴업의 사용자 귀책사유 해당 여부</v>
      </c>
    </row>
    <row r="60" spans="2:20" ht="14.45" customHeight="1" x14ac:dyDescent="0.2">
      <c r="B60" s="31" t="s">
        <v>443</v>
      </c>
      <c r="C60" s="54" t="s">
        <v>1430</v>
      </c>
      <c r="D60" s="55" t="s">
        <v>1647</v>
      </c>
      <c r="E60" s="97" t="s">
        <v>1566</v>
      </c>
      <c r="F60" s="58" t="s">
        <v>31</v>
      </c>
      <c r="G60" s="58" t="s">
        <v>1637</v>
      </c>
      <c r="H60" s="59" t="s">
        <v>283</v>
      </c>
      <c r="I60" s="60" t="s">
        <v>1661</v>
      </c>
      <c r="J60" s="61">
        <v>2154</v>
      </c>
      <c r="K60" s="62" t="s">
        <v>1383</v>
      </c>
      <c r="L60" s="100"/>
      <c r="M60" s="64"/>
      <c r="N60" s="65"/>
      <c r="O60" s="63" t="str">
        <f t="shared" si="0"/>
        <v>제03장 임금-제05절 휴업수당-03</v>
      </c>
      <c r="Q60" s="7" t="str">
        <f t="shared" si="1"/>
        <v>3.05-2-1</v>
      </c>
      <c r="R60" s="7" t="str">
        <f t="shared" si="2"/>
        <v>열기2-01.노동법\02.문제\[모의][1][03.05-2]노동위원회의 휴업수당 감액 승인이 취업규칙상 유리한 규정의 효력에 미치는 영향.txt</v>
      </c>
      <c r="S60" s="7" t="str">
        <f t="shared" si="3"/>
        <v>B</v>
      </c>
      <c r="T60" s="7" t="str">
        <f t="shared" si="4"/>
        <v>노동위원회의 휴업수당 감액 승인이 취업규칙상 유리한 규정의 효력에 미치는 영향</v>
      </c>
    </row>
    <row r="61" spans="2:20" ht="14.45" customHeight="1" x14ac:dyDescent="0.2">
      <c r="B61" s="31" t="s">
        <v>443</v>
      </c>
      <c r="C61" s="101" t="s">
        <v>475</v>
      </c>
      <c r="D61" s="33" t="s">
        <v>128</v>
      </c>
      <c r="E61" s="69" t="s">
        <v>136</v>
      </c>
      <c r="F61" s="35" t="s">
        <v>31</v>
      </c>
      <c r="G61" s="35" t="s">
        <v>1635</v>
      </c>
      <c r="H61" s="36" t="s">
        <v>142</v>
      </c>
      <c r="I61" s="6" t="s">
        <v>945</v>
      </c>
      <c r="J61" s="37">
        <v>2049</v>
      </c>
      <c r="K61" s="38" t="s">
        <v>1383</v>
      </c>
      <c r="L61" s="298"/>
      <c r="M61" s="40"/>
      <c r="N61" s="41"/>
      <c r="O61" s="39" t="str">
        <f t="shared" si="0"/>
        <v>제03장 임금-제06절 임금채권의 우선변제-01</v>
      </c>
      <c r="Q61" s="7" t="str">
        <f t="shared" si="1"/>
        <v>임금-1</v>
      </c>
      <c r="R61" s="7" t="str">
        <f t="shared" si="2"/>
        <v>열기2-01.노동법\01.본문\제03장 임금.제06절 임금채권의 우선변제.txt</v>
      </c>
      <c r="S61" s="7" t="str">
        <f t="shared" si="3"/>
        <v>B</v>
      </c>
      <c r="T61" s="7" t="str">
        <f t="shared" si="4"/>
        <v>임금채권의 우선변제</v>
      </c>
    </row>
    <row r="62" spans="2:20" ht="14.45" customHeight="1" x14ac:dyDescent="0.2">
      <c r="B62" s="31" t="s">
        <v>443</v>
      </c>
      <c r="C62" s="102" t="s">
        <v>475</v>
      </c>
      <c r="D62" s="43" t="s">
        <v>1647</v>
      </c>
      <c r="E62" s="70" t="s">
        <v>1567</v>
      </c>
      <c r="F62" s="46" t="s">
        <v>31</v>
      </c>
      <c r="G62" s="46" t="s">
        <v>1636</v>
      </c>
      <c r="H62" s="47" t="s">
        <v>1017</v>
      </c>
      <c r="I62" s="48" t="s">
        <v>1662</v>
      </c>
      <c r="J62" s="49">
        <v>2031</v>
      </c>
      <c r="K62" s="50" t="s">
        <v>1383</v>
      </c>
      <c r="L62" s="68"/>
      <c r="M62" s="52"/>
      <c r="N62" s="53"/>
      <c r="O62" s="51" t="str">
        <f t="shared" si="0"/>
        <v>제03장 임금-제06절 임금채권의 우선변제-02</v>
      </c>
      <c r="Q62" s="7" t="str">
        <f t="shared" si="1"/>
        <v>3.06-1-1</v>
      </c>
      <c r="R62" s="7" t="str">
        <f t="shared" si="2"/>
        <v>열기2-01.노동법\02.문제\[모의][1][03.06-1]최우선변제 임금채권의 범위와 근저당권 채권에 대한 우선권 및 구체적 변제액 산출.txt</v>
      </c>
      <c r="S62" s="7" t="str">
        <f t="shared" si="3"/>
        <v>B</v>
      </c>
      <c r="T62" s="7" t="str">
        <f t="shared" si="4"/>
        <v>최우선변제 임금채권의 범위와 근저당권 채권에 대한 우선권 및 구체적 변제액 산출</v>
      </c>
    </row>
    <row r="63" spans="2:20" ht="14.45" customHeight="1" thickBot="1" x14ac:dyDescent="0.25">
      <c r="B63" s="74" t="s">
        <v>443</v>
      </c>
      <c r="C63" s="103" t="s">
        <v>475</v>
      </c>
      <c r="D63" s="76" t="s">
        <v>1647</v>
      </c>
      <c r="E63" s="77" t="s">
        <v>1568</v>
      </c>
      <c r="F63" s="78" t="s">
        <v>31</v>
      </c>
      <c r="G63" s="78" t="s">
        <v>1637</v>
      </c>
      <c r="H63" s="79" t="s">
        <v>97</v>
      </c>
      <c r="I63" s="80" t="s">
        <v>1663</v>
      </c>
      <c r="J63" s="81">
        <v>2127</v>
      </c>
      <c r="K63" s="82" t="s">
        <v>1383</v>
      </c>
      <c r="L63" s="161"/>
      <c r="M63" s="84"/>
      <c r="N63" s="85"/>
      <c r="O63" s="83" t="str">
        <f t="shared" si="0"/>
        <v>제03장 임금-제06절 임금채권의 우선변제-03</v>
      </c>
      <c r="Q63" s="7" t="str">
        <f t="shared" si="1"/>
        <v>3.06-2-1</v>
      </c>
      <c r="R63" s="7" t="str">
        <f t="shared" si="2"/>
        <v>열기2-01.노동법\02.문제\[모의][1][03.06-2]나머지 임금 및 퇴직금 채권의 변제 순위와 조세・공과금 및 일반 채권과의 관계.txt</v>
      </c>
      <c r="S63" s="7" t="str">
        <f t="shared" si="3"/>
        <v>B</v>
      </c>
      <c r="T63" s="7" t="str">
        <f t="shared" si="4"/>
        <v>나머지 임금 및 퇴직금 채권의 변제 순위와 조세・공과금 및 일반 채권과의 관계</v>
      </c>
    </row>
    <row r="64" spans="2:20" ht="14.45" customHeight="1" x14ac:dyDescent="0.2">
      <c r="B64" s="19" t="s">
        <v>448</v>
      </c>
      <c r="C64" s="86" t="s">
        <v>1432</v>
      </c>
      <c r="D64" s="87" t="s">
        <v>128</v>
      </c>
      <c r="E64" s="88" t="s">
        <v>143</v>
      </c>
      <c r="F64" s="89" t="s">
        <v>31</v>
      </c>
      <c r="G64" s="89" t="s">
        <v>1635</v>
      </c>
      <c r="H64" s="90" t="s">
        <v>143</v>
      </c>
      <c r="I64" s="91" t="s">
        <v>946</v>
      </c>
      <c r="J64" s="92">
        <v>2459</v>
      </c>
      <c r="K64" s="93" t="s">
        <v>1383</v>
      </c>
      <c r="L64" s="299"/>
      <c r="M64" s="95"/>
      <c r="N64" s="96"/>
      <c r="O64" s="94" t="str">
        <f t="shared" si="0"/>
        <v>제04장 근로시간-제01절 근로시간-01</v>
      </c>
      <c r="Q64" s="7" t="str">
        <f t="shared" si="1"/>
        <v>근로시간-1</v>
      </c>
      <c r="R64" s="7" t="str">
        <f t="shared" si="2"/>
        <v>열기2-01.노동법\01.본문\제04장 근로시간.제01절 근로시간.txt</v>
      </c>
      <c r="S64" s="7" t="str">
        <f t="shared" si="3"/>
        <v>B</v>
      </c>
      <c r="T64" s="7" t="str">
        <f t="shared" si="4"/>
        <v>근로시간</v>
      </c>
    </row>
    <row r="65" spans="2:20" ht="14.45" customHeight="1" x14ac:dyDescent="0.2">
      <c r="B65" s="31" t="s">
        <v>448</v>
      </c>
      <c r="C65" s="42" t="s">
        <v>1432</v>
      </c>
      <c r="D65" s="43" t="s">
        <v>1647</v>
      </c>
      <c r="E65" s="70" t="s">
        <v>1569</v>
      </c>
      <c r="F65" s="46" t="s">
        <v>31</v>
      </c>
      <c r="G65" s="46" t="s">
        <v>1636</v>
      </c>
      <c r="H65" s="47" t="s">
        <v>1633</v>
      </c>
      <c r="I65" s="48" t="s">
        <v>1664</v>
      </c>
      <c r="J65" s="49">
        <v>2262</v>
      </c>
      <c r="K65" s="50" t="s">
        <v>1383</v>
      </c>
      <c r="L65" s="68"/>
      <c r="M65" s="52"/>
      <c r="N65" s="53"/>
      <c r="O65" s="51" t="str">
        <f t="shared" si="0"/>
        <v>제04장 근로시간-제01절 근로시간-02</v>
      </c>
      <c r="Q65" s="7" t="str">
        <f t="shared" si="1"/>
        <v>4.01-1-1</v>
      </c>
      <c r="R65" s="7" t="str">
        <f t="shared" si="2"/>
        <v>열기2-01.노동법\02.문제\[모의][1][04.01-1]근로기준법상 근로시간의 개념 및 판단 기준과 운행 전 준비 시간의 근로시간 해당 여부.txt</v>
      </c>
      <c r="S65" s="7" t="str">
        <f t="shared" si="3"/>
        <v>B</v>
      </c>
      <c r="T65" s="7" t="str">
        <f t="shared" si="4"/>
        <v>근로기준법상 근로시간의 개념 및 판단 기준과 운행 전 준비 시간의 근로시간 해당 여부</v>
      </c>
    </row>
    <row r="66" spans="2:20" ht="14.45" customHeight="1" x14ac:dyDescent="0.2">
      <c r="B66" s="31" t="s">
        <v>448</v>
      </c>
      <c r="C66" s="42" t="s">
        <v>1432</v>
      </c>
      <c r="D66" s="43" t="s">
        <v>1647</v>
      </c>
      <c r="E66" s="70" t="s">
        <v>1570</v>
      </c>
      <c r="F66" s="46" t="s">
        <v>31</v>
      </c>
      <c r="G66" s="46" t="s">
        <v>1637</v>
      </c>
      <c r="H66" s="47" t="s">
        <v>98</v>
      </c>
      <c r="I66" s="48" t="s">
        <v>1665</v>
      </c>
      <c r="J66" s="49">
        <v>2233</v>
      </c>
      <c r="K66" s="50" t="s">
        <v>1383</v>
      </c>
      <c r="L66" s="68"/>
      <c r="M66" s="52"/>
      <c r="N66" s="53"/>
      <c r="O66" s="51" t="str">
        <f t="shared" si="0"/>
        <v>제04장 근로시간-제01절 근로시간-03</v>
      </c>
      <c r="Q66" s="7" t="str">
        <f t="shared" si="1"/>
        <v>4.01-2-1</v>
      </c>
      <c r="R66" s="7" t="str">
        <f t="shared" si="2"/>
        <v>열기2-01.노동법\02.문제\[모의][1][04.01-2]운행 사이 대기시간의 법적 성격 판별 기준과 사안의 대기시간이 근로시간에 포함되는지 여부.txt</v>
      </c>
      <c r="S66" s="7" t="str">
        <f t="shared" si="3"/>
        <v>B</v>
      </c>
      <c r="T66" s="7" t="str">
        <f t="shared" si="4"/>
        <v>운행 사이 대기시간의 법적 성격 판별 기준과 사안의 대기시간이 근로시간에 포함되는지 여부</v>
      </c>
    </row>
    <row r="67" spans="2:20" ht="14.45" customHeight="1" x14ac:dyDescent="0.2">
      <c r="B67" s="31" t="s">
        <v>448</v>
      </c>
      <c r="C67" s="42" t="s">
        <v>1432</v>
      </c>
      <c r="D67" s="43" t="s">
        <v>308</v>
      </c>
      <c r="E67" s="73" t="s">
        <v>1515</v>
      </c>
      <c r="F67" s="46" t="s">
        <v>31</v>
      </c>
      <c r="G67" s="45" t="s">
        <v>1638</v>
      </c>
      <c r="H67" s="47" t="s">
        <v>307</v>
      </c>
      <c r="I67" s="48" t="s">
        <v>1274</v>
      </c>
      <c r="J67" s="49">
        <v>5008</v>
      </c>
      <c r="K67" s="50" t="s">
        <v>1383</v>
      </c>
      <c r="L67" s="68"/>
      <c r="M67" s="52"/>
      <c r="N67" s="53"/>
      <c r="O67" s="51" t="str">
        <f t="shared" ref="O67:O130" si="5">B67&amp;"-"&amp;C67&amp;"-"&amp;G67</f>
        <v>제04장 근로시간-제01절 근로시간-04</v>
      </c>
      <c r="Q67" s="7" t="str">
        <f t="shared" ref="Q67:Q130" si="6">E67&amp;"-"&amp;F67</f>
        <v>대법원 2024.11.14. 선고 2021다220062 판결-1</v>
      </c>
      <c r="R67" s="7" t="str">
        <f t="shared" ref="R67:R130" si="7">I67</f>
        <v>열기2-01.노동법\03.판례\[대법원 2024.11.14. 선고 2021다220062 판결]당직 및 콜 대기 시간의 근로시간 해당 여부.txt</v>
      </c>
      <c r="S67" s="7" t="str">
        <f t="shared" ref="S67:S130" si="8">K67</f>
        <v>B</v>
      </c>
      <c r="T67" s="7" t="str">
        <f t="shared" si="4"/>
        <v>당직 및 콜 대기 시간의 근로시간 해당 여부</v>
      </c>
    </row>
    <row r="68" spans="2:20" ht="14.45" customHeight="1" x14ac:dyDescent="0.2">
      <c r="B68" s="31" t="s">
        <v>448</v>
      </c>
      <c r="C68" s="42" t="s">
        <v>1432</v>
      </c>
      <c r="D68" s="43" t="s">
        <v>308</v>
      </c>
      <c r="E68" s="73" t="s">
        <v>1517</v>
      </c>
      <c r="F68" s="46" t="s">
        <v>31</v>
      </c>
      <c r="G68" s="45" t="s">
        <v>1639</v>
      </c>
      <c r="H68" s="47" t="s">
        <v>1258</v>
      </c>
      <c r="I68" s="48" t="s">
        <v>1276</v>
      </c>
      <c r="J68" s="49">
        <v>3515</v>
      </c>
      <c r="K68" s="50" t="s">
        <v>1383</v>
      </c>
      <c r="L68" s="68"/>
      <c r="M68" s="52"/>
      <c r="N68" s="53"/>
      <c r="O68" s="51" t="str">
        <f t="shared" si="5"/>
        <v>제04장 근로시간-제01절 근로시간-05</v>
      </c>
      <c r="Q68" s="7" t="str">
        <f t="shared" si="6"/>
        <v>대법원 2024.12.26. 선고 2023다200314 판결-1</v>
      </c>
      <c r="R68" s="7" t="str">
        <f t="shared" si="7"/>
        <v>열기2-01.노동법\03.판례\[대법원 2024.12.26. 선고 2023다200314 판결]도구 개념으로서의 소정근로시간.txt</v>
      </c>
      <c r="S68" s="7" t="str">
        <f t="shared" si="8"/>
        <v>B</v>
      </c>
      <c r="T68" s="7" t="str">
        <f t="shared" ref="T68:T131" si="9">H68</f>
        <v>도구 개념으로서의 소정근로시간</v>
      </c>
    </row>
    <row r="69" spans="2:20" ht="14.45" customHeight="1" x14ac:dyDescent="0.2">
      <c r="B69" s="31" t="s">
        <v>448</v>
      </c>
      <c r="C69" s="54" t="s">
        <v>1432</v>
      </c>
      <c r="D69" s="55" t="s">
        <v>308</v>
      </c>
      <c r="E69" s="71" t="s">
        <v>1516</v>
      </c>
      <c r="F69" s="58" t="s">
        <v>31</v>
      </c>
      <c r="G69" s="57" t="s">
        <v>1640</v>
      </c>
      <c r="H69" s="59" t="s">
        <v>355</v>
      </c>
      <c r="I69" s="60" t="s">
        <v>1275</v>
      </c>
      <c r="J69" s="61">
        <v>3294</v>
      </c>
      <c r="K69" s="62" t="s">
        <v>1383</v>
      </c>
      <c r="L69" s="100"/>
      <c r="M69" s="64"/>
      <c r="N69" s="65"/>
      <c r="O69" s="63" t="str">
        <f t="shared" si="5"/>
        <v>제04장 근로시간-제01절 근로시간-06</v>
      </c>
      <c r="Q69" s="7" t="str">
        <f t="shared" si="6"/>
        <v>전주지방법원 2025.07.17. 선고 2022가합52925 판결-1</v>
      </c>
      <c r="R69" s="7" t="str">
        <f t="shared" si="7"/>
        <v>열기2-01.노동법\03.판례\[전주지방법원 2025.07.17. 선고 2022가합52925 판결]대학교 강사의 강의시간 외 부수업무 시간까지 포함하여 주당 근로시간을 해석한 사례.txt</v>
      </c>
      <c r="S69" s="7" t="str">
        <f t="shared" si="8"/>
        <v>B</v>
      </c>
      <c r="T69" s="7" t="str">
        <f t="shared" si="9"/>
        <v>대학교 강사의 강의시간 외 부수업무 시간까지 포함하여 주당 근로시간을 해석한 사례</v>
      </c>
    </row>
    <row r="70" spans="2:20" ht="14.45" customHeight="1" x14ac:dyDescent="0.2">
      <c r="B70" s="31" t="s">
        <v>448</v>
      </c>
      <c r="C70" s="32" t="s">
        <v>474</v>
      </c>
      <c r="D70" s="33" t="s">
        <v>128</v>
      </c>
      <c r="E70" s="69" t="s">
        <v>143</v>
      </c>
      <c r="F70" s="35" t="s">
        <v>31</v>
      </c>
      <c r="G70" s="35" t="s">
        <v>1635</v>
      </c>
      <c r="H70" s="36" t="s">
        <v>144</v>
      </c>
      <c r="I70" s="6" t="s">
        <v>947</v>
      </c>
      <c r="J70" s="37">
        <v>2515</v>
      </c>
      <c r="K70" s="38" t="s">
        <v>1382</v>
      </c>
      <c r="L70" s="298"/>
      <c r="M70" s="40"/>
      <c r="N70" s="41"/>
      <c r="O70" s="39" t="str">
        <f t="shared" si="5"/>
        <v>제04장 근로시간-제02절 근로시간의 보호-01</v>
      </c>
      <c r="Q70" s="7" t="str">
        <f t="shared" si="6"/>
        <v>근로시간-1</v>
      </c>
      <c r="R70" s="7" t="str">
        <f t="shared" si="7"/>
        <v>열기2-01.노동법\01.본문\제04장 근로시간.제02절 근로시간의 보호.txt</v>
      </c>
      <c r="S70" s="7" t="str">
        <f t="shared" si="8"/>
        <v>C</v>
      </c>
      <c r="T70" s="7" t="str">
        <f t="shared" si="9"/>
        <v>근로시간의 보호</v>
      </c>
    </row>
    <row r="71" spans="2:20" ht="14.45" customHeight="1" x14ac:dyDescent="0.2">
      <c r="B71" s="31" t="s">
        <v>448</v>
      </c>
      <c r="C71" s="54" t="s">
        <v>474</v>
      </c>
      <c r="D71" s="55" t="s">
        <v>1256</v>
      </c>
      <c r="E71" s="97" t="s">
        <v>1161</v>
      </c>
      <c r="F71" s="58" t="s">
        <v>31</v>
      </c>
      <c r="G71" s="58" t="s">
        <v>1636</v>
      </c>
      <c r="H71" s="59" t="s">
        <v>1316</v>
      </c>
      <c r="I71" s="60" t="s">
        <v>1317</v>
      </c>
      <c r="J71" s="61">
        <v>1742</v>
      </c>
      <c r="K71" s="62" t="s">
        <v>1382</v>
      </c>
      <c r="L71" s="100"/>
      <c r="M71" s="64"/>
      <c r="N71" s="65"/>
      <c r="O71" s="63" t="str">
        <f t="shared" si="5"/>
        <v>제04장 근로시간-제02절 근로시간의 보호-02</v>
      </c>
      <c r="Q71" s="7" t="str">
        <f t="shared" si="6"/>
        <v>2008-2-2-1</v>
      </c>
      <c r="R71" s="7" t="str">
        <f t="shared" si="7"/>
        <v>열기2-01.노동법\02.문제\[기출][1][2008-2-2]근로기준법상 연장근로 제한의 원칙, 예외, 위반의 효과.txt</v>
      </c>
      <c r="S71" s="7" t="str">
        <f t="shared" si="8"/>
        <v>C</v>
      </c>
      <c r="T71" s="7" t="str">
        <f t="shared" si="9"/>
        <v>근로기준법상 연장근로 제한의 원칙, 예외, 위반의 효과</v>
      </c>
    </row>
    <row r="72" spans="2:20" ht="14.45" customHeight="1" x14ac:dyDescent="0.2">
      <c r="B72" s="31" t="s">
        <v>448</v>
      </c>
      <c r="C72" s="32" t="s">
        <v>464</v>
      </c>
      <c r="D72" s="33" t="s">
        <v>128</v>
      </c>
      <c r="E72" s="69" t="s">
        <v>143</v>
      </c>
      <c r="F72" s="35" t="s">
        <v>31</v>
      </c>
      <c r="G72" s="35" t="s">
        <v>1635</v>
      </c>
      <c r="H72" s="36" t="s">
        <v>145</v>
      </c>
      <c r="I72" s="6" t="s">
        <v>948</v>
      </c>
      <c r="J72" s="37">
        <v>3602</v>
      </c>
      <c r="K72" s="38" t="s">
        <v>1382</v>
      </c>
      <c r="L72" s="298"/>
      <c r="M72" s="40"/>
      <c r="N72" s="41"/>
      <c r="O72" s="39" t="str">
        <f t="shared" si="5"/>
        <v>제04장 근로시간-제03절 시간외근로-01</v>
      </c>
      <c r="Q72" s="7" t="str">
        <f t="shared" si="6"/>
        <v>근로시간-1</v>
      </c>
      <c r="R72" s="7" t="str">
        <f t="shared" si="7"/>
        <v>열기2-01.노동법\01.본문\제04장 근로시간.제03절 시간외근로.txt</v>
      </c>
      <c r="S72" s="7" t="str">
        <f t="shared" si="8"/>
        <v>C</v>
      </c>
      <c r="T72" s="7" t="str">
        <f t="shared" si="9"/>
        <v>시간외근로</v>
      </c>
    </row>
    <row r="73" spans="2:20" ht="14.45" customHeight="1" x14ac:dyDescent="0.2">
      <c r="B73" s="31" t="s">
        <v>448</v>
      </c>
      <c r="C73" s="54" t="s">
        <v>464</v>
      </c>
      <c r="D73" s="55" t="s">
        <v>1256</v>
      </c>
      <c r="E73" s="97" t="s">
        <v>1131</v>
      </c>
      <c r="F73" s="58" t="s">
        <v>31</v>
      </c>
      <c r="G73" s="58" t="s">
        <v>1636</v>
      </c>
      <c r="H73" s="59" t="s">
        <v>1330</v>
      </c>
      <c r="I73" s="60" t="s">
        <v>1331</v>
      </c>
      <c r="J73" s="61">
        <v>3091</v>
      </c>
      <c r="K73" s="62" t="s">
        <v>1382</v>
      </c>
      <c r="L73" s="100"/>
      <c r="M73" s="64"/>
      <c r="N73" s="65"/>
      <c r="O73" s="63" t="str">
        <f t="shared" si="5"/>
        <v>제04장 근로시간-제03절 시간외근로-02</v>
      </c>
      <c r="Q73" s="7" t="str">
        <f t="shared" si="6"/>
        <v>2011-1-1</v>
      </c>
      <c r="R73" s="7" t="str">
        <f t="shared" si="7"/>
        <v>열기2-01.노동법\02.문제\[기출][1][2011-1]포괄임금제의 의의, 유효요건, 유효성 판단 시 고려 사항.txt</v>
      </c>
      <c r="S73" s="7" t="str">
        <f t="shared" si="8"/>
        <v>C</v>
      </c>
      <c r="T73" s="7" t="str">
        <f t="shared" si="9"/>
        <v>포괄임금제의 의의, 유효요건, 유효성 판단 시 고려 사항</v>
      </c>
    </row>
    <row r="74" spans="2:20" ht="14.45" customHeight="1" x14ac:dyDescent="0.2">
      <c r="B74" s="31" t="s">
        <v>448</v>
      </c>
      <c r="C74" s="32" t="s">
        <v>1433</v>
      </c>
      <c r="D74" s="33" t="s">
        <v>128</v>
      </c>
      <c r="E74" s="69" t="s">
        <v>143</v>
      </c>
      <c r="F74" s="35" t="s">
        <v>31</v>
      </c>
      <c r="G74" s="35" t="s">
        <v>1635</v>
      </c>
      <c r="H74" s="36" t="s">
        <v>32</v>
      </c>
      <c r="I74" s="6" t="s">
        <v>949</v>
      </c>
      <c r="J74" s="37">
        <v>2353</v>
      </c>
      <c r="K74" s="38" t="s">
        <v>1382</v>
      </c>
      <c r="L74" s="298"/>
      <c r="M74" s="40"/>
      <c r="N74" s="41"/>
      <c r="O74" s="39" t="str">
        <f t="shared" si="5"/>
        <v>제04장 근로시간-제04절 휴게시간-01</v>
      </c>
      <c r="Q74" s="7" t="str">
        <f t="shared" si="6"/>
        <v>근로시간-1</v>
      </c>
      <c r="R74" s="7" t="str">
        <f t="shared" si="7"/>
        <v>열기2-01.노동법\01.본문\제04장 근로시간.제04절 휴게시간.txt</v>
      </c>
      <c r="S74" s="7" t="str">
        <f t="shared" si="8"/>
        <v>C</v>
      </c>
      <c r="T74" s="7" t="str">
        <f t="shared" si="9"/>
        <v>휴게시간</v>
      </c>
    </row>
    <row r="75" spans="2:20" ht="14.45" customHeight="1" x14ac:dyDescent="0.2">
      <c r="B75" s="31" t="s">
        <v>448</v>
      </c>
      <c r="C75" s="42" t="s">
        <v>1433</v>
      </c>
      <c r="D75" s="43" t="s">
        <v>1647</v>
      </c>
      <c r="E75" s="70" t="s">
        <v>1571</v>
      </c>
      <c r="F75" s="46" t="s">
        <v>31</v>
      </c>
      <c r="G75" s="46" t="s">
        <v>1636</v>
      </c>
      <c r="H75" s="47" t="s">
        <v>1362</v>
      </c>
      <c r="I75" s="48" t="s">
        <v>1666</v>
      </c>
      <c r="J75" s="49">
        <v>2381</v>
      </c>
      <c r="K75" s="50" t="s">
        <v>1382</v>
      </c>
      <c r="L75" s="68"/>
      <c r="M75" s="52"/>
      <c r="N75" s="53"/>
      <c r="O75" s="51" t="str">
        <f t="shared" si="5"/>
        <v>제04장 근로시간-제04절 휴게시간-02</v>
      </c>
      <c r="Q75" s="7" t="str">
        <f t="shared" si="6"/>
        <v>4.04-1-1</v>
      </c>
      <c r="R75" s="7" t="str">
        <f t="shared" si="7"/>
        <v>열기2-01.노동법\02.문제\[모의][1][04.04-1]근로기준법상 휴게시간의 의의와 자유이용의 원칙 및 장소적 제약이 가해진 휴게시간의 유효성.txt</v>
      </c>
      <c r="S75" s="7" t="str">
        <f t="shared" si="8"/>
        <v>C</v>
      </c>
      <c r="T75" s="7" t="str">
        <f t="shared" si="9"/>
        <v>근로기준법상 휴게시간의 의의와 자유이용의 원칙 및 장소적 제약이 가해진 휴게시간의 유효성</v>
      </c>
    </row>
    <row r="76" spans="2:20" ht="14.45" customHeight="1" x14ac:dyDescent="0.2">
      <c r="B76" s="31" t="s">
        <v>448</v>
      </c>
      <c r="C76" s="54" t="s">
        <v>1433</v>
      </c>
      <c r="D76" s="55" t="s">
        <v>1647</v>
      </c>
      <c r="E76" s="97" t="s">
        <v>1572</v>
      </c>
      <c r="F76" s="58" t="s">
        <v>31</v>
      </c>
      <c r="G76" s="58" t="s">
        <v>1637</v>
      </c>
      <c r="H76" s="59" t="s">
        <v>1379</v>
      </c>
      <c r="I76" s="60" t="s">
        <v>1667</v>
      </c>
      <c r="J76" s="61">
        <v>2339</v>
      </c>
      <c r="K76" s="62" t="s">
        <v>1382</v>
      </c>
      <c r="L76" s="100"/>
      <c r="M76" s="64"/>
      <c r="N76" s="65"/>
      <c r="O76" s="63" t="str">
        <f t="shared" si="5"/>
        <v>제04장 근로시간-제04절 휴게시간-03</v>
      </c>
      <c r="Q76" s="7" t="str">
        <f t="shared" si="6"/>
        <v>4.04-2-1</v>
      </c>
      <c r="R76" s="7" t="str">
        <f t="shared" si="7"/>
        <v>열기2-01.노동법\02.문제\[모의][1][04.04-2]휴게시간과 근로시간 구별 기준 및 근로자의 비상대기 상태에 대한 근로시간 포함 여부.txt</v>
      </c>
      <c r="S76" s="7" t="str">
        <f t="shared" si="8"/>
        <v>C</v>
      </c>
      <c r="T76" s="7" t="str">
        <f t="shared" si="9"/>
        <v>휴게시간과 근로시간 구별 기준 및 근로자의 비상대기 상태에 대한 근로시간 포함 여부</v>
      </c>
    </row>
    <row r="77" spans="2:20" ht="14.45" customHeight="1" x14ac:dyDescent="0.2">
      <c r="B77" s="31" t="s">
        <v>448</v>
      </c>
      <c r="C77" s="32" t="s">
        <v>1434</v>
      </c>
      <c r="D77" s="33" t="s">
        <v>128</v>
      </c>
      <c r="E77" s="69" t="s">
        <v>143</v>
      </c>
      <c r="F77" s="35" t="s">
        <v>31</v>
      </c>
      <c r="G77" s="35" t="s">
        <v>1635</v>
      </c>
      <c r="H77" s="36" t="s">
        <v>146</v>
      </c>
      <c r="I77" s="6" t="s">
        <v>950</v>
      </c>
      <c r="J77" s="37">
        <v>2513</v>
      </c>
      <c r="K77" s="38" t="s">
        <v>1382</v>
      </c>
      <c r="L77" s="298"/>
      <c r="M77" s="40"/>
      <c r="N77" s="41"/>
      <c r="O77" s="39" t="str">
        <f t="shared" si="5"/>
        <v>제04장 근로시간-제05절 휴일과 휴일근로-01</v>
      </c>
      <c r="Q77" s="7" t="str">
        <f t="shared" si="6"/>
        <v>근로시간-1</v>
      </c>
      <c r="R77" s="7" t="str">
        <f t="shared" si="7"/>
        <v>열기2-01.노동법\01.본문\제04장 근로시간.제05절 휴일과 휴일근로.txt</v>
      </c>
      <c r="S77" s="7" t="str">
        <f t="shared" si="8"/>
        <v>C</v>
      </c>
      <c r="T77" s="7" t="str">
        <f t="shared" si="9"/>
        <v>휴일과 휴일근로</v>
      </c>
    </row>
    <row r="78" spans="2:20" ht="14.45" customHeight="1" x14ac:dyDescent="0.2">
      <c r="B78" s="31" t="s">
        <v>448</v>
      </c>
      <c r="C78" s="42" t="s">
        <v>1434</v>
      </c>
      <c r="D78" s="43" t="s">
        <v>1647</v>
      </c>
      <c r="E78" s="70" t="s">
        <v>1573</v>
      </c>
      <c r="F78" s="46" t="s">
        <v>31</v>
      </c>
      <c r="G78" s="46" t="s">
        <v>1636</v>
      </c>
      <c r="H78" s="47" t="s">
        <v>1363</v>
      </c>
      <c r="I78" s="48" t="s">
        <v>1668</v>
      </c>
      <c r="J78" s="49">
        <v>2140</v>
      </c>
      <c r="K78" s="50" t="s">
        <v>1382</v>
      </c>
      <c r="L78" s="68"/>
      <c r="M78" s="52"/>
      <c r="N78" s="53"/>
      <c r="O78" s="51" t="str">
        <f t="shared" si="5"/>
        <v>제04장 근로시간-제05절 휴일과 휴일근로-02</v>
      </c>
      <c r="Q78" s="7" t="str">
        <f t="shared" si="6"/>
        <v>4.05-1-1</v>
      </c>
      <c r="R78" s="7" t="str">
        <f t="shared" si="7"/>
        <v>열기2-01.노동법\02.문제\[모의][1][04.05-1]휴일근로 명령의 유효요건과 개별적 동의 여부 및 근로자의 출근 거부에 따른 징계 사유의 정당성.txt</v>
      </c>
      <c r="S78" s="7" t="str">
        <f t="shared" si="8"/>
        <v>C</v>
      </c>
      <c r="T78" s="7" t="str">
        <f t="shared" si="9"/>
        <v>휴일근로 명령의 유효요건과 개별적 동의 여부 및 근로자의 출근 거부에 따른 징계 사유의 정당성</v>
      </c>
    </row>
    <row r="79" spans="2:20" ht="14.45" customHeight="1" x14ac:dyDescent="0.2">
      <c r="B79" s="31" t="s">
        <v>448</v>
      </c>
      <c r="C79" s="54" t="s">
        <v>1434</v>
      </c>
      <c r="D79" s="55" t="s">
        <v>1647</v>
      </c>
      <c r="E79" s="97" t="s">
        <v>1574</v>
      </c>
      <c r="F79" s="58" t="s">
        <v>31</v>
      </c>
      <c r="G79" s="58" t="s">
        <v>1637</v>
      </c>
      <c r="H79" s="59" t="s">
        <v>1364</v>
      </c>
      <c r="I79" s="60" t="s">
        <v>1669</v>
      </c>
      <c r="J79" s="61">
        <v>2081</v>
      </c>
      <c r="K79" s="62" t="s">
        <v>1382</v>
      </c>
      <c r="L79" s="100"/>
      <c r="M79" s="64"/>
      <c r="N79" s="65"/>
      <c r="O79" s="63" t="str">
        <f t="shared" si="5"/>
        <v>제04장 근로시간-제05절 휴일과 휴일근로-03</v>
      </c>
      <c r="Q79" s="7" t="str">
        <f t="shared" si="6"/>
        <v>4.05-2-1</v>
      </c>
      <c r="R79" s="7" t="str">
        <f t="shared" si="7"/>
        <v>열기2-01.노동법\02.문제\[모의][1][04.05-2]휴일근로 가산수당 지급 원칙과 중복할증에 관한 판례의 태도 및 회사의 임금 미지급의 타당성.txt</v>
      </c>
      <c r="S79" s="7" t="str">
        <f t="shared" si="8"/>
        <v>C</v>
      </c>
      <c r="T79" s="7" t="str">
        <f t="shared" si="9"/>
        <v>휴일근로 가산수당 지급 원칙과 중복할증에 관한 판례의 태도 및 회사의 임금 미지급의 타당성</v>
      </c>
    </row>
    <row r="80" spans="2:20" ht="14.45" customHeight="1" x14ac:dyDescent="0.2">
      <c r="B80" s="31" t="s">
        <v>448</v>
      </c>
      <c r="C80" s="32" t="s">
        <v>1326</v>
      </c>
      <c r="D80" s="33" t="s">
        <v>128</v>
      </c>
      <c r="E80" s="69" t="s">
        <v>143</v>
      </c>
      <c r="F80" s="35" t="s">
        <v>31</v>
      </c>
      <c r="G80" s="35" t="s">
        <v>1635</v>
      </c>
      <c r="H80" s="36" t="s">
        <v>39</v>
      </c>
      <c r="I80" s="6" t="s">
        <v>951</v>
      </c>
      <c r="J80" s="37">
        <v>4099</v>
      </c>
      <c r="K80" s="38" t="s">
        <v>1348</v>
      </c>
      <c r="L80" s="298"/>
      <c r="M80" s="40"/>
      <c r="N80" s="41"/>
      <c r="O80" s="39" t="str">
        <f t="shared" si="5"/>
        <v>제04장 근로시간-제06절 연차유급휴가-01</v>
      </c>
      <c r="Q80" s="7" t="str">
        <f t="shared" si="6"/>
        <v>근로시간-1</v>
      </c>
      <c r="R80" s="7" t="str">
        <f t="shared" si="7"/>
        <v>열기2-01.노동법\01.본문\제04장 근로시간.제06절 연차유급휴가.txt</v>
      </c>
      <c r="S80" s="7" t="str">
        <f t="shared" si="8"/>
        <v>A</v>
      </c>
      <c r="T80" s="7" t="str">
        <f t="shared" si="9"/>
        <v>연차유급휴가</v>
      </c>
    </row>
    <row r="81" spans="2:20" ht="14.45" customHeight="1" x14ac:dyDescent="0.2">
      <c r="B81" s="31" t="s">
        <v>448</v>
      </c>
      <c r="C81" s="102" t="s">
        <v>1326</v>
      </c>
      <c r="D81" s="43" t="s">
        <v>1256</v>
      </c>
      <c r="E81" s="70" t="s">
        <v>1162</v>
      </c>
      <c r="F81" s="46" t="s">
        <v>31</v>
      </c>
      <c r="G81" s="46" t="s">
        <v>1636</v>
      </c>
      <c r="H81" s="47" t="s">
        <v>1583</v>
      </c>
      <c r="I81" s="48" t="s">
        <v>1584</v>
      </c>
      <c r="J81" s="49">
        <v>2318</v>
      </c>
      <c r="K81" s="50" t="s">
        <v>1348</v>
      </c>
      <c r="L81" s="68" t="s">
        <v>1585</v>
      </c>
      <c r="M81" s="52"/>
      <c r="N81" s="53">
        <v>46207</v>
      </c>
      <c r="O81" s="51" t="str">
        <f t="shared" si="5"/>
        <v>제04장 근로시간-제06절 연차유급휴가-02</v>
      </c>
      <c r="Q81" s="7" t="str">
        <f t="shared" si="6"/>
        <v>2016-1-1-1</v>
      </c>
      <c r="R81" s="7" t="str">
        <f t="shared" si="7"/>
        <v>열기2-01.노동법\02.문제\[기출][1][2016-1-1]적법한 파업 참가 근로자의 출근율 및 연차유급휴가 일수 산정 방식과 회사 주장의 정당성.txt</v>
      </c>
      <c r="S81" s="7" t="str">
        <f t="shared" si="8"/>
        <v>A</v>
      </c>
      <c r="T81" s="7" t="str">
        <f t="shared" si="9"/>
        <v>적법한 파업 참가 근로자의 출근율 및 연차유급휴가 일수 산정 방식과 회사 주장의 정당성</v>
      </c>
    </row>
    <row r="82" spans="2:20" ht="14.45" customHeight="1" x14ac:dyDescent="0.2">
      <c r="B82" s="31" t="s">
        <v>448</v>
      </c>
      <c r="C82" s="102" t="s">
        <v>1326</v>
      </c>
      <c r="D82" s="43" t="s">
        <v>1647</v>
      </c>
      <c r="E82" s="70" t="s">
        <v>1575</v>
      </c>
      <c r="F82" s="46" t="s">
        <v>31</v>
      </c>
      <c r="G82" s="46" t="s">
        <v>1637</v>
      </c>
      <c r="H82" s="47" t="s">
        <v>1409</v>
      </c>
      <c r="I82" s="48" t="s">
        <v>1670</v>
      </c>
      <c r="J82" s="49">
        <v>2401</v>
      </c>
      <c r="K82" s="50" t="s">
        <v>1348</v>
      </c>
      <c r="L82" s="68" t="s">
        <v>1963</v>
      </c>
      <c r="M82" s="52"/>
      <c r="N82" s="53">
        <v>46207</v>
      </c>
      <c r="O82" s="51" t="str">
        <f t="shared" si="5"/>
        <v>제04장 근로시간-제06절 연차유급휴가-03</v>
      </c>
      <c r="Q82" s="7" t="str">
        <f t="shared" si="6"/>
        <v>4.06-1-1</v>
      </c>
      <c r="R82" s="7" t="str">
        <f t="shared" si="7"/>
        <v>열기2-01.노동법\02.문제\[모의][1][04.06-1]단체협약상 연차휴가 사전신청 요건의 유효성 및 반려 조치의 시기변경권 행사 적법성.txt</v>
      </c>
      <c r="S82" s="7" t="str">
        <f t="shared" si="8"/>
        <v>A</v>
      </c>
      <c r="T82" s="7" t="str">
        <f t="shared" si="9"/>
        <v>단체협약상 연차휴가 사전신청 요건의 유효성 및 반려 조치의 시기변경권 행사 적법성★</v>
      </c>
    </row>
    <row r="83" spans="2:20" ht="14.45" customHeight="1" x14ac:dyDescent="0.2">
      <c r="B83" s="31" t="s">
        <v>448</v>
      </c>
      <c r="C83" s="102" t="s">
        <v>1326</v>
      </c>
      <c r="D83" s="43" t="s">
        <v>1647</v>
      </c>
      <c r="E83" s="70" t="s">
        <v>1576</v>
      </c>
      <c r="F83" s="46" t="s">
        <v>31</v>
      </c>
      <c r="G83" s="46" t="s">
        <v>1638</v>
      </c>
      <c r="H83" s="47" t="s">
        <v>1410</v>
      </c>
      <c r="I83" s="48" t="s">
        <v>1671</v>
      </c>
      <c r="J83" s="49">
        <v>1791</v>
      </c>
      <c r="K83" s="50" t="s">
        <v>1348</v>
      </c>
      <c r="L83" s="68" t="s">
        <v>1713</v>
      </c>
      <c r="M83" s="52"/>
      <c r="N83" s="53">
        <v>46207</v>
      </c>
      <c r="O83" s="51" t="str">
        <f t="shared" si="5"/>
        <v>제04장 근로시간-제06절 연차유급휴가-04</v>
      </c>
      <c r="Q83" s="7" t="str">
        <f t="shared" si="6"/>
        <v>4.06-2-1</v>
      </c>
      <c r="R83" s="7" t="str">
        <f t="shared" si="7"/>
        <v>열기2-01.노동법\02.문제\[모의][1][04.06-2]연차휴가 반려 후 출근하지 않은 행위의 성격 및 이를 이유로 한 감봉 처분의 정당성.txt</v>
      </c>
      <c r="S83" s="7" t="str">
        <f t="shared" si="8"/>
        <v>A</v>
      </c>
      <c r="T83" s="7" t="str">
        <f t="shared" si="9"/>
        <v>연차휴가 반려 후 출근하지 않은 행위의 성격 및 이를 이유로 한 감봉 처분의 정당성★</v>
      </c>
    </row>
    <row r="84" spans="2:20" ht="14.45" customHeight="1" thickBot="1" x14ac:dyDescent="0.25">
      <c r="B84" s="74" t="s">
        <v>448</v>
      </c>
      <c r="C84" s="103" t="s">
        <v>1326</v>
      </c>
      <c r="D84" s="76" t="s">
        <v>308</v>
      </c>
      <c r="E84" s="98" t="s">
        <v>1518</v>
      </c>
      <c r="F84" s="78" t="s">
        <v>31</v>
      </c>
      <c r="G84" s="99" t="s">
        <v>1639</v>
      </c>
      <c r="H84" s="79" t="s">
        <v>1406</v>
      </c>
      <c r="I84" s="80" t="s">
        <v>1277</v>
      </c>
      <c r="J84" s="81">
        <v>4125</v>
      </c>
      <c r="K84" s="82" t="s">
        <v>1349</v>
      </c>
      <c r="L84" s="161"/>
      <c r="M84" s="84"/>
      <c r="N84" s="85"/>
      <c r="O84" s="83" t="str">
        <f t="shared" si="5"/>
        <v>제04장 근로시간-제06절 연차유급휴가-05</v>
      </c>
      <c r="Q84" s="7" t="str">
        <f t="shared" si="6"/>
        <v>대법원 2025.07.17. 선고 2021도11886 판결-1</v>
      </c>
      <c r="R84" s="7" t="str">
        <f t="shared" si="7"/>
        <v>열기2-01.노동법\03.판례\[대법원 2025.07.17. 선고 2021도11886 판결]연차유급휴가 시기변경권 행사의 적법성 판단기준.txt</v>
      </c>
      <c r="S84" s="7" t="str">
        <f t="shared" si="8"/>
        <v>A</v>
      </c>
      <c r="T84" s="7" t="str">
        <f t="shared" si="9"/>
        <v>연차유급휴가 시기변경권 행사의 적법성 판단기준★</v>
      </c>
    </row>
    <row r="85" spans="2:20" ht="14.45" customHeight="1" x14ac:dyDescent="0.2">
      <c r="B85" s="19" t="s">
        <v>434</v>
      </c>
      <c r="C85" s="20" t="s">
        <v>1481</v>
      </c>
      <c r="D85" s="21" t="s">
        <v>128</v>
      </c>
      <c r="E85" s="22" t="s">
        <v>9</v>
      </c>
      <c r="F85" s="23" t="s">
        <v>31</v>
      </c>
      <c r="G85" s="23" t="s">
        <v>1635</v>
      </c>
      <c r="H85" s="24" t="s">
        <v>147</v>
      </c>
      <c r="I85" s="25" t="s">
        <v>952</v>
      </c>
      <c r="J85" s="26">
        <v>2556</v>
      </c>
      <c r="K85" s="27" t="s">
        <v>1383</v>
      </c>
      <c r="L85" s="297"/>
      <c r="M85" s="29"/>
      <c r="N85" s="30"/>
      <c r="O85" s="28" t="str">
        <f t="shared" si="5"/>
        <v>제05장 취업규칙-제01절 취업규칙의 의의와 작성-01</v>
      </c>
      <c r="Q85" s="7" t="str">
        <f t="shared" si="6"/>
        <v>취업규칙-1</v>
      </c>
      <c r="R85" s="7" t="str">
        <f t="shared" si="7"/>
        <v>열기2-01.노동법\01.본문\제05장 취업규칙.제01절 취업규칙의 의의와 작성.txt</v>
      </c>
      <c r="S85" s="7" t="str">
        <f t="shared" si="8"/>
        <v>B</v>
      </c>
      <c r="T85" s="7" t="str">
        <f t="shared" si="9"/>
        <v>취업규칙의 의의와 작성</v>
      </c>
    </row>
    <row r="86" spans="2:20" ht="14.45" customHeight="1" x14ac:dyDescent="0.2">
      <c r="B86" s="31" t="s">
        <v>434</v>
      </c>
      <c r="C86" s="101" t="s">
        <v>455</v>
      </c>
      <c r="D86" s="33" t="s">
        <v>128</v>
      </c>
      <c r="E86" s="69" t="s">
        <v>9</v>
      </c>
      <c r="F86" s="35" t="s">
        <v>31</v>
      </c>
      <c r="G86" s="35" t="s">
        <v>1635</v>
      </c>
      <c r="H86" s="36" t="s">
        <v>148</v>
      </c>
      <c r="I86" s="6" t="s">
        <v>953</v>
      </c>
      <c r="J86" s="37">
        <v>3804</v>
      </c>
      <c r="K86" s="38" t="s">
        <v>1383</v>
      </c>
      <c r="L86" s="298"/>
      <c r="M86" s="40"/>
      <c r="N86" s="41"/>
      <c r="O86" s="39" t="str">
        <f t="shared" si="5"/>
        <v>제05장 취업규칙-제02절 취업규칙의 변경-01</v>
      </c>
      <c r="Q86" s="7" t="str">
        <f t="shared" si="6"/>
        <v>취업규칙-1</v>
      </c>
      <c r="R86" s="7" t="str">
        <f t="shared" si="7"/>
        <v>열기2-01.노동법\01.본문\제05장 취업규칙.제02절 취업규칙의 변경.txt</v>
      </c>
      <c r="S86" s="7" t="str">
        <f t="shared" si="8"/>
        <v>B</v>
      </c>
      <c r="T86" s="7" t="str">
        <f t="shared" si="9"/>
        <v>취업규칙의 변경</v>
      </c>
    </row>
    <row r="87" spans="2:20" ht="14.45" customHeight="1" x14ac:dyDescent="0.2">
      <c r="B87" s="31" t="s">
        <v>434</v>
      </c>
      <c r="C87" s="102" t="s">
        <v>455</v>
      </c>
      <c r="D87" s="43" t="s">
        <v>1256</v>
      </c>
      <c r="E87" s="70" t="s">
        <v>68</v>
      </c>
      <c r="F87" s="46" t="s">
        <v>31</v>
      </c>
      <c r="G87" s="46" t="s">
        <v>1636</v>
      </c>
      <c r="H87" s="47" t="s">
        <v>1091</v>
      </c>
      <c r="I87" s="48" t="s">
        <v>1092</v>
      </c>
      <c r="J87" s="49">
        <v>2178</v>
      </c>
      <c r="K87" s="50" t="s">
        <v>1383</v>
      </c>
      <c r="L87" s="68"/>
      <c r="M87" s="52"/>
      <c r="N87" s="53"/>
      <c r="O87" s="51" t="str">
        <f t="shared" si="5"/>
        <v>제05장 취업규칙-제02절 취업규칙의 변경-02</v>
      </c>
      <c r="Q87" s="7" t="str">
        <f t="shared" si="6"/>
        <v>2013-1-1-1</v>
      </c>
      <c r="R87" s="7" t="str">
        <f t="shared" si="7"/>
        <v>열기2-01.노동법\02.문제\[기출][1][2013-1-1]노사협의회 의결을 거친 인사규정(취업규칙) 변경의 효력.txt</v>
      </c>
      <c r="S87" s="7" t="str">
        <f t="shared" si="8"/>
        <v>B</v>
      </c>
      <c r="T87" s="7" t="str">
        <f t="shared" si="9"/>
        <v>노사협의회 의결을 거친 인사규정(취업규칙) 변경의 효력</v>
      </c>
    </row>
    <row r="88" spans="2:20" ht="14.45" customHeight="1" x14ac:dyDescent="0.2">
      <c r="B88" s="31" t="s">
        <v>434</v>
      </c>
      <c r="C88" s="102" t="s">
        <v>455</v>
      </c>
      <c r="D88" s="43" t="s">
        <v>1256</v>
      </c>
      <c r="E88" s="70" t="s">
        <v>69</v>
      </c>
      <c r="F88" s="46" t="s">
        <v>31</v>
      </c>
      <c r="G88" s="46" t="s">
        <v>1637</v>
      </c>
      <c r="H88" s="47" t="s">
        <v>1093</v>
      </c>
      <c r="I88" s="48" t="s">
        <v>1094</v>
      </c>
      <c r="J88" s="49">
        <v>2202</v>
      </c>
      <c r="K88" s="50" t="s">
        <v>1383</v>
      </c>
      <c r="L88" s="68"/>
      <c r="M88" s="52"/>
      <c r="N88" s="53"/>
      <c r="O88" s="51" t="str">
        <f t="shared" si="5"/>
        <v>제05장 취업규칙-제02절 취업규칙의 변경-03</v>
      </c>
      <c r="Q88" s="7" t="str">
        <f t="shared" si="6"/>
        <v>2013-1-2-1</v>
      </c>
      <c r="R88" s="7" t="str">
        <f t="shared" si="7"/>
        <v>열기2-01.노동법\02.문제\[기출][1][2013-1-2]노사협의회 의결을 거친 인사규정(취업규칙)을 근거로 한 퇴직 통보의 효력.txt</v>
      </c>
      <c r="S88" s="7" t="str">
        <f t="shared" si="8"/>
        <v>B</v>
      </c>
      <c r="T88" s="7" t="str">
        <f t="shared" si="9"/>
        <v>노사협의회 의결을 거친 인사규정(취업규칙)을 근거로 한 퇴직 통보의 효력</v>
      </c>
    </row>
    <row r="89" spans="2:20" ht="14.45" customHeight="1" x14ac:dyDescent="0.2">
      <c r="B89" s="31" t="s">
        <v>434</v>
      </c>
      <c r="C89" s="102" t="s">
        <v>455</v>
      </c>
      <c r="D89" s="43" t="s">
        <v>1256</v>
      </c>
      <c r="E89" s="70" t="s">
        <v>67</v>
      </c>
      <c r="F89" s="46" t="s">
        <v>31</v>
      </c>
      <c r="G89" s="46" t="s">
        <v>1638</v>
      </c>
      <c r="H89" s="47" t="s">
        <v>1089</v>
      </c>
      <c r="I89" s="48" t="s">
        <v>1090</v>
      </c>
      <c r="J89" s="49">
        <v>2080</v>
      </c>
      <c r="K89" s="50" t="s">
        <v>1383</v>
      </c>
      <c r="L89" s="68"/>
      <c r="M89" s="52"/>
      <c r="N89" s="53"/>
      <c r="O89" s="51" t="str">
        <f t="shared" si="5"/>
        <v>제05장 취업규칙-제02절 취업규칙의 변경-04</v>
      </c>
      <c r="Q89" s="7" t="str">
        <f t="shared" si="6"/>
        <v>2015-1-i-1</v>
      </c>
      <c r="R89" s="7" t="str">
        <f t="shared" si="7"/>
        <v>열기2-01.노동법\02.문제\[기출][1][2015-1-i]노동조합 동의 없이 개별 근로자의 동의로 변경한 인사규정의 효력.txt</v>
      </c>
      <c r="S89" s="7" t="str">
        <f t="shared" si="8"/>
        <v>B</v>
      </c>
      <c r="T89" s="7" t="str">
        <f t="shared" si="9"/>
        <v>노동조합 동의 없이 개별 근로자의 동의로 변경한 인사규정의 효력</v>
      </c>
    </row>
    <row r="90" spans="2:20" ht="14.45" customHeight="1" x14ac:dyDescent="0.2">
      <c r="B90" s="31" t="s">
        <v>434</v>
      </c>
      <c r="C90" s="102" t="s">
        <v>455</v>
      </c>
      <c r="D90" s="43" t="s">
        <v>1256</v>
      </c>
      <c r="E90" s="70" t="s">
        <v>1026</v>
      </c>
      <c r="F90" s="46" t="s">
        <v>31</v>
      </c>
      <c r="G90" s="46" t="s">
        <v>1639</v>
      </c>
      <c r="H90" s="47" t="s">
        <v>1085</v>
      </c>
      <c r="I90" s="48" t="s">
        <v>1086</v>
      </c>
      <c r="J90" s="49">
        <v>2170</v>
      </c>
      <c r="K90" s="50" t="s">
        <v>1383</v>
      </c>
      <c r="L90" s="68"/>
      <c r="M90" s="52"/>
      <c r="N90" s="53"/>
      <c r="O90" s="51" t="str">
        <f t="shared" si="5"/>
        <v>제05장 취업규칙-제02절 취업규칙의 변경-05</v>
      </c>
      <c r="Q90" s="7" t="str">
        <f t="shared" si="6"/>
        <v>2021-1-1-1</v>
      </c>
      <c r="R90" s="7" t="str">
        <f t="shared" si="7"/>
        <v>열기2-01.노동법\02.문제\[기출][1][2021-1-1]비조합원에 대한 불이익 취업규칙 적용의 효력.txt</v>
      </c>
      <c r="S90" s="7" t="str">
        <f t="shared" si="8"/>
        <v>B</v>
      </c>
      <c r="T90" s="7" t="str">
        <f t="shared" si="9"/>
        <v>비조합원에 대한 불이익 취업규칙 적용의 효력</v>
      </c>
    </row>
    <row r="91" spans="2:20" ht="14.45" customHeight="1" x14ac:dyDescent="0.2">
      <c r="B91" s="31" t="s">
        <v>434</v>
      </c>
      <c r="C91" s="102" t="s">
        <v>455</v>
      </c>
      <c r="D91" s="43" t="s">
        <v>1256</v>
      </c>
      <c r="E91" s="70" t="s">
        <v>1018</v>
      </c>
      <c r="F91" s="46" t="s">
        <v>31</v>
      </c>
      <c r="G91" s="46" t="s">
        <v>1640</v>
      </c>
      <c r="H91" s="47" t="s">
        <v>1087</v>
      </c>
      <c r="I91" s="48" t="s">
        <v>1088</v>
      </c>
      <c r="J91" s="49">
        <v>2215</v>
      </c>
      <c r="K91" s="50" t="s">
        <v>1383</v>
      </c>
      <c r="L91" s="68"/>
      <c r="M91" s="52"/>
      <c r="N91" s="53"/>
      <c r="O91" s="51" t="str">
        <f t="shared" si="5"/>
        <v>제05장 취업규칙-제02절 취업규칙의 변경-06</v>
      </c>
      <c r="Q91" s="7" t="str">
        <f t="shared" si="6"/>
        <v>2021-1-2-1</v>
      </c>
      <c r="R91" s="7" t="str">
        <f t="shared" si="7"/>
        <v>열기2-01.노동법\02.문제\[기출][1][2021-1-2]개별 근로자 대상 근로계약 대비 불이익 취업규칙의 동의 없는 적용 가능 여부.txt</v>
      </c>
      <c r="S91" s="7" t="str">
        <f t="shared" si="8"/>
        <v>B</v>
      </c>
      <c r="T91" s="7" t="str">
        <f t="shared" si="9"/>
        <v>개별 근로자 대상 근로계약 대비 불이익 취업규칙의 동의 없는 적용 가능 여부</v>
      </c>
    </row>
    <row r="92" spans="2:20" ht="14.45" customHeight="1" thickBot="1" x14ac:dyDescent="0.25">
      <c r="B92" s="74" t="s">
        <v>434</v>
      </c>
      <c r="C92" s="103" t="s">
        <v>455</v>
      </c>
      <c r="D92" s="76" t="s">
        <v>308</v>
      </c>
      <c r="E92" s="98" t="s">
        <v>1519</v>
      </c>
      <c r="F92" s="78" t="s">
        <v>31</v>
      </c>
      <c r="G92" s="99" t="s">
        <v>1641</v>
      </c>
      <c r="H92" s="79" t="s">
        <v>337</v>
      </c>
      <c r="I92" s="80" t="s">
        <v>1278</v>
      </c>
      <c r="J92" s="81">
        <v>4953</v>
      </c>
      <c r="K92" s="82" t="s">
        <v>1383</v>
      </c>
      <c r="L92" s="161"/>
      <c r="M92" s="84"/>
      <c r="N92" s="85"/>
      <c r="O92" s="83" t="str">
        <f t="shared" si="5"/>
        <v>제05장 취업규칙-제02절 취업규칙의 변경-07</v>
      </c>
      <c r="Q92" s="7" t="str">
        <f t="shared" si="6"/>
        <v>대법원 2025.02.20. 선고 2024다293092 판결-1</v>
      </c>
      <c r="R92" s="7" t="str">
        <f t="shared" si="7"/>
        <v>열기2-01.노동법\03.판례\[대법원 2025.02.20. 선고 2024다293092 판결]취업규칙의 변경이 근로자에게 불이익한지 여부를 판단하는 방식.txt</v>
      </c>
      <c r="S92" s="7" t="str">
        <f t="shared" si="8"/>
        <v>B</v>
      </c>
      <c r="T92" s="7" t="str">
        <f t="shared" si="9"/>
        <v>취업규칙의 변경이 근로자에게 불이익한지 여부를 판단하는 방식</v>
      </c>
    </row>
    <row r="93" spans="2:20" ht="14.45" customHeight="1" x14ac:dyDescent="0.2">
      <c r="B93" s="19" t="s">
        <v>427</v>
      </c>
      <c r="C93" s="86" t="s">
        <v>1482</v>
      </c>
      <c r="D93" s="87" t="s">
        <v>128</v>
      </c>
      <c r="E93" s="88" t="s">
        <v>43</v>
      </c>
      <c r="F93" s="89" t="s">
        <v>31</v>
      </c>
      <c r="G93" s="89" t="s">
        <v>1635</v>
      </c>
      <c r="H93" s="90" t="s">
        <v>12</v>
      </c>
      <c r="I93" s="91" t="s">
        <v>954</v>
      </c>
      <c r="J93" s="92">
        <v>2992</v>
      </c>
      <c r="K93" s="93" t="s">
        <v>1383</v>
      </c>
      <c r="L93" s="299"/>
      <c r="M93" s="95"/>
      <c r="N93" s="96"/>
      <c r="O93" s="94" t="str">
        <f t="shared" si="5"/>
        <v>제06장 인사처분-제01절 인사이동-01</v>
      </c>
      <c r="Q93" s="7" t="str">
        <f t="shared" si="6"/>
        <v>인사처분-1</v>
      </c>
      <c r="R93" s="7" t="str">
        <f t="shared" si="7"/>
        <v>열기2-01.노동법\01.본문\제06장 인사처분.제01절 인사이동.txt</v>
      </c>
      <c r="S93" s="7" t="str">
        <f t="shared" si="8"/>
        <v>B</v>
      </c>
      <c r="T93" s="7" t="str">
        <f t="shared" si="9"/>
        <v>인사이동</v>
      </c>
    </row>
    <row r="94" spans="2:20" ht="14.45" customHeight="1" x14ac:dyDescent="0.2">
      <c r="B94" s="31" t="s">
        <v>427</v>
      </c>
      <c r="C94" s="54" t="s">
        <v>1482</v>
      </c>
      <c r="D94" s="55" t="s">
        <v>308</v>
      </c>
      <c r="E94" s="71" t="s">
        <v>1520</v>
      </c>
      <c r="F94" s="58" t="s">
        <v>31</v>
      </c>
      <c r="G94" s="57" t="s">
        <v>1636</v>
      </c>
      <c r="H94" s="59" t="s">
        <v>339</v>
      </c>
      <c r="I94" s="60" t="s">
        <v>1279</v>
      </c>
      <c r="J94" s="61">
        <v>2929</v>
      </c>
      <c r="K94" s="62" t="s">
        <v>1383</v>
      </c>
      <c r="L94" s="100"/>
      <c r="M94" s="64"/>
      <c r="N94" s="65"/>
      <c r="O94" s="63" t="str">
        <f t="shared" si="5"/>
        <v>제06장 인사처분-제01절 인사이동-02</v>
      </c>
      <c r="Q94" s="7" t="str">
        <f t="shared" si="6"/>
        <v>서울행정법원 2025.03.20. 선고 2023구합86690 판결-1</v>
      </c>
      <c r="R94" s="7" t="str">
        <f t="shared" si="7"/>
        <v>열기2-01.노동법\03.판례\[서울행정법원 2025.03.20. 선고 2023구합86690 판결]부당인사명령의 판단 구조.txt</v>
      </c>
      <c r="S94" s="7" t="str">
        <f t="shared" si="8"/>
        <v>B</v>
      </c>
      <c r="T94" s="7" t="str">
        <f t="shared" si="9"/>
        <v>부당인사명령의 판단 구조</v>
      </c>
    </row>
    <row r="95" spans="2:20" ht="14.45" customHeight="1" x14ac:dyDescent="0.2">
      <c r="B95" s="31" t="s">
        <v>427</v>
      </c>
      <c r="C95" s="32" t="s">
        <v>1483</v>
      </c>
      <c r="D95" s="33" t="s">
        <v>128</v>
      </c>
      <c r="E95" s="69" t="s">
        <v>43</v>
      </c>
      <c r="F95" s="35" t="s">
        <v>31</v>
      </c>
      <c r="G95" s="35" t="s">
        <v>1635</v>
      </c>
      <c r="H95" s="36" t="s">
        <v>13</v>
      </c>
      <c r="I95" s="6" t="s">
        <v>955</v>
      </c>
      <c r="J95" s="37">
        <v>1423</v>
      </c>
      <c r="K95" s="38" t="s">
        <v>1383</v>
      </c>
      <c r="L95" s="298"/>
      <c r="M95" s="40"/>
      <c r="N95" s="41"/>
      <c r="O95" s="39" t="str">
        <f t="shared" si="5"/>
        <v>제06장 인사처분-제02절 전직-01</v>
      </c>
      <c r="Q95" s="7" t="str">
        <f t="shared" si="6"/>
        <v>인사처분-1</v>
      </c>
      <c r="R95" s="7" t="str">
        <f t="shared" si="7"/>
        <v>열기2-01.노동법\01.본문\제06장 인사처분.제02절 전직.txt</v>
      </c>
      <c r="S95" s="7" t="str">
        <f t="shared" si="8"/>
        <v>B</v>
      </c>
      <c r="T95" s="7" t="str">
        <f t="shared" si="9"/>
        <v>전직</v>
      </c>
    </row>
    <row r="96" spans="2:20" ht="14.45" customHeight="1" x14ac:dyDescent="0.2">
      <c r="B96" s="31" t="s">
        <v>427</v>
      </c>
      <c r="C96" s="54" t="s">
        <v>1483</v>
      </c>
      <c r="D96" s="55" t="s">
        <v>308</v>
      </c>
      <c r="E96" s="71" t="s">
        <v>1521</v>
      </c>
      <c r="F96" s="58" t="s">
        <v>31</v>
      </c>
      <c r="G96" s="57" t="s">
        <v>1636</v>
      </c>
      <c r="H96" s="59" t="s">
        <v>357</v>
      </c>
      <c r="I96" s="60" t="s">
        <v>1280</v>
      </c>
      <c r="J96" s="61">
        <v>3792</v>
      </c>
      <c r="K96" s="62" t="s">
        <v>1383</v>
      </c>
      <c r="L96" s="100"/>
      <c r="M96" s="64"/>
      <c r="N96" s="65"/>
      <c r="O96" s="63" t="str">
        <f t="shared" si="5"/>
        <v>제06장 인사처분-제02절 전직-02</v>
      </c>
      <c r="Q96" s="7" t="str">
        <f t="shared" si="6"/>
        <v>서울고등법원 2025.07.11. 선고 2024나2030688 판결-1</v>
      </c>
      <c r="R96" s="7" t="str">
        <f t="shared" si="7"/>
        <v>열기2-01.노동법\03.판례\[서울고등법원 2025.07.11. 선고 2024나2030688 판결]노동조합의 사전합의권 남용 법리와 근로계약 변경에 대한 개별 동의권 배제.txt</v>
      </c>
      <c r="S96" s="7" t="str">
        <f t="shared" si="8"/>
        <v>B</v>
      </c>
      <c r="T96" s="7" t="str">
        <f t="shared" si="9"/>
        <v>노동조합의 사전합의권 남용 법리와 근로계약 변경에 대한 개별 동의권 배제</v>
      </c>
    </row>
    <row r="97" spans="2:20" ht="14.45" customHeight="1" x14ac:dyDescent="0.2">
      <c r="B97" s="31" t="s">
        <v>427</v>
      </c>
      <c r="C97" s="32" t="s">
        <v>468</v>
      </c>
      <c r="D97" s="33" t="s">
        <v>128</v>
      </c>
      <c r="E97" s="69" t="s">
        <v>43</v>
      </c>
      <c r="F97" s="35" t="s">
        <v>31</v>
      </c>
      <c r="G97" s="35" t="s">
        <v>1635</v>
      </c>
      <c r="H97" s="36" t="s">
        <v>14</v>
      </c>
      <c r="I97" s="6" t="s">
        <v>956</v>
      </c>
      <c r="J97" s="37">
        <v>2854</v>
      </c>
      <c r="K97" s="38" t="s">
        <v>1383</v>
      </c>
      <c r="L97" s="298"/>
      <c r="M97" s="40"/>
      <c r="N97" s="41"/>
      <c r="O97" s="39" t="str">
        <f t="shared" si="5"/>
        <v>제06장 인사처분-제03절 전적-01</v>
      </c>
      <c r="Q97" s="7" t="str">
        <f t="shared" si="6"/>
        <v>인사처분-1</v>
      </c>
      <c r="R97" s="7" t="str">
        <f t="shared" si="7"/>
        <v>열기2-01.노동법\01.본문\제06장 인사처분.제03절 전적.txt</v>
      </c>
      <c r="S97" s="7" t="str">
        <f t="shared" si="8"/>
        <v>B</v>
      </c>
      <c r="T97" s="7" t="str">
        <f t="shared" si="9"/>
        <v>전적</v>
      </c>
    </row>
    <row r="98" spans="2:20" ht="14.45" customHeight="1" x14ac:dyDescent="0.2">
      <c r="B98" s="31" t="s">
        <v>427</v>
      </c>
      <c r="C98" s="54" t="s">
        <v>468</v>
      </c>
      <c r="D98" s="55" t="s">
        <v>1256</v>
      </c>
      <c r="E98" s="97" t="s">
        <v>1014</v>
      </c>
      <c r="F98" s="58" t="s">
        <v>31</v>
      </c>
      <c r="G98" s="58" t="s">
        <v>1636</v>
      </c>
      <c r="H98" s="59" t="s">
        <v>1328</v>
      </c>
      <c r="I98" s="60" t="s">
        <v>1329</v>
      </c>
      <c r="J98" s="61">
        <v>1510</v>
      </c>
      <c r="K98" s="62" t="s">
        <v>1383</v>
      </c>
      <c r="L98" s="100"/>
      <c r="M98" s="64"/>
      <c r="N98" s="65"/>
      <c r="O98" s="63" t="str">
        <f t="shared" si="5"/>
        <v>제06장 인사처분-제03절 전적-02</v>
      </c>
      <c r="Q98" s="7" t="str">
        <f t="shared" si="6"/>
        <v>2010-2-1</v>
      </c>
      <c r="R98" s="7" t="str">
        <f t="shared" si="7"/>
        <v>열기2-01.노동법\02.문제\[기출][1][2010-2]전적명령의 법적 성격, 유효요건, 남용 판단 기준.txt</v>
      </c>
      <c r="S98" s="7" t="str">
        <f t="shared" si="8"/>
        <v>B</v>
      </c>
      <c r="T98" s="7" t="str">
        <f t="shared" si="9"/>
        <v>전적명령의 법적 성격, 유효요건, 남용 판단 기준</v>
      </c>
    </row>
    <row r="99" spans="2:20" ht="14.45" customHeight="1" x14ac:dyDescent="0.2">
      <c r="B99" s="31" t="s">
        <v>427</v>
      </c>
      <c r="C99" s="32" t="s">
        <v>457</v>
      </c>
      <c r="D99" s="33" t="s">
        <v>128</v>
      </c>
      <c r="E99" s="69" t="s">
        <v>43</v>
      </c>
      <c r="F99" s="35" t="s">
        <v>31</v>
      </c>
      <c r="G99" s="35" t="s">
        <v>1635</v>
      </c>
      <c r="H99" s="36" t="s">
        <v>15</v>
      </c>
      <c r="I99" s="6" t="s">
        <v>957</v>
      </c>
      <c r="J99" s="37">
        <v>2836</v>
      </c>
      <c r="K99" s="38" t="s">
        <v>1383</v>
      </c>
      <c r="L99" s="298"/>
      <c r="M99" s="40"/>
      <c r="N99" s="41"/>
      <c r="O99" s="39" t="str">
        <f t="shared" si="5"/>
        <v>제06장 인사처분-제04절 휴직-01</v>
      </c>
      <c r="Q99" s="7" t="str">
        <f t="shared" si="6"/>
        <v>인사처분-1</v>
      </c>
      <c r="R99" s="7" t="str">
        <f t="shared" si="7"/>
        <v>열기2-01.노동법\01.본문\제06장 인사처분.제04절 휴직.txt</v>
      </c>
      <c r="S99" s="7" t="str">
        <f t="shared" si="8"/>
        <v>B</v>
      </c>
      <c r="T99" s="7" t="str">
        <f t="shared" si="9"/>
        <v>휴직</v>
      </c>
    </row>
    <row r="100" spans="2:20" ht="14.45" customHeight="1" x14ac:dyDescent="0.2">
      <c r="B100" s="31" t="s">
        <v>427</v>
      </c>
      <c r="C100" s="54" t="s">
        <v>457</v>
      </c>
      <c r="D100" s="55" t="s">
        <v>1256</v>
      </c>
      <c r="E100" s="97" t="s">
        <v>1013</v>
      </c>
      <c r="F100" s="58" t="s">
        <v>31</v>
      </c>
      <c r="G100" s="58" t="s">
        <v>1636</v>
      </c>
      <c r="H100" s="59" t="s">
        <v>1095</v>
      </c>
      <c r="I100" s="60" t="s">
        <v>1096</v>
      </c>
      <c r="J100" s="61">
        <v>2246</v>
      </c>
      <c r="K100" s="62" t="s">
        <v>1383</v>
      </c>
      <c r="L100" s="100"/>
      <c r="M100" s="64"/>
      <c r="N100" s="65"/>
      <c r="O100" s="63" t="str">
        <f t="shared" si="5"/>
        <v>제06장 인사처분-제04절 휴직-02</v>
      </c>
      <c r="Q100" s="7" t="str">
        <f t="shared" si="6"/>
        <v>2015-1-ii-1</v>
      </c>
      <c r="R100" s="7" t="str">
        <f t="shared" si="7"/>
        <v>열기2-01.노동법\02.문제\[기출][1][2015-1-ii]노동조합 동의 없이 개별 근로자의 동의로 변경한 인사규정을 근거로 한 휴직 명령 유지의 정당성.txt</v>
      </c>
      <c r="S100" s="7" t="str">
        <f t="shared" si="8"/>
        <v>B</v>
      </c>
      <c r="T100" s="7" t="str">
        <f t="shared" si="9"/>
        <v>노동조합 동의 없이 개별 근로자의 동의로 변경한 인사규정을 근거로 한 휴직 명령 유지의 정당성</v>
      </c>
    </row>
    <row r="101" spans="2:20" ht="14.45" customHeight="1" x14ac:dyDescent="0.2">
      <c r="B101" s="31" t="s">
        <v>427</v>
      </c>
      <c r="C101" s="32" t="s">
        <v>428</v>
      </c>
      <c r="D101" s="33" t="s">
        <v>128</v>
      </c>
      <c r="E101" s="69" t="s">
        <v>149</v>
      </c>
      <c r="F101" s="35" t="s">
        <v>31</v>
      </c>
      <c r="G101" s="35" t="s">
        <v>1635</v>
      </c>
      <c r="H101" s="36" t="s">
        <v>16</v>
      </c>
      <c r="I101" s="6" t="s">
        <v>958</v>
      </c>
      <c r="J101" s="37">
        <v>2535</v>
      </c>
      <c r="K101" s="38" t="s">
        <v>1383</v>
      </c>
      <c r="L101" s="298"/>
      <c r="M101" s="40"/>
      <c r="N101" s="41"/>
      <c r="O101" s="39" t="str">
        <f t="shared" si="5"/>
        <v>제06장 인사처분-제05절 징계-01</v>
      </c>
      <c r="Q101" s="7" t="str">
        <f t="shared" si="6"/>
        <v>인사처분-1</v>
      </c>
      <c r="R101" s="7" t="str">
        <f t="shared" si="7"/>
        <v>열기2-01.노동법\01.본문\제06장 인사처분.제05절 징계.txt</v>
      </c>
      <c r="S101" s="7" t="str">
        <f t="shared" si="8"/>
        <v>B</v>
      </c>
      <c r="T101" s="7" t="str">
        <f t="shared" si="9"/>
        <v>징계</v>
      </c>
    </row>
    <row r="102" spans="2:20" ht="14.45" customHeight="1" x14ac:dyDescent="0.2">
      <c r="B102" s="31" t="s">
        <v>427</v>
      </c>
      <c r="C102" s="54" t="s">
        <v>428</v>
      </c>
      <c r="D102" s="55" t="s">
        <v>1256</v>
      </c>
      <c r="E102" s="97" t="s">
        <v>1163</v>
      </c>
      <c r="F102" s="58" t="s">
        <v>31</v>
      </c>
      <c r="G102" s="58" t="s">
        <v>1636</v>
      </c>
      <c r="H102" s="59" t="s">
        <v>1347</v>
      </c>
      <c r="I102" s="60" t="s">
        <v>1097</v>
      </c>
      <c r="J102" s="61">
        <v>3520</v>
      </c>
      <c r="K102" s="62" t="s">
        <v>1383</v>
      </c>
      <c r="L102" s="100" t="s">
        <v>1711</v>
      </c>
      <c r="M102" s="64"/>
      <c r="N102" s="65"/>
      <c r="O102" s="63" t="str">
        <f t="shared" si="5"/>
        <v>제06장 인사처분-제05절 징계-02</v>
      </c>
      <c r="Q102" s="7" t="str">
        <f t="shared" si="6"/>
        <v>2023-1-2-1</v>
      </c>
      <c r="R102" s="7" t="str">
        <f t="shared" si="7"/>
        <v>열기2-01.노동법\02.문제\[기출][1][2023-1-2]절차의 흠결이 있는 징계의 효력에 대한 노조 대표자 주장의 타당성.txt</v>
      </c>
      <c r="S102" s="7" t="str">
        <f t="shared" si="8"/>
        <v>B</v>
      </c>
      <c r="T102" s="7" t="str">
        <f t="shared" si="9"/>
        <v>절차의 흠결이 있는 징계의 효력에 대한 노조 대표자 주장의 타당성+</v>
      </c>
    </row>
    <row r="103" spans="2:20" ht="14.45" customHeight="1" x14ac:dyDescent="0.2">
      <c r="B103" s="31" t="s">
        <v>427</v>
      </c>
      <c r="C103" s="101" t="s">
        <v>459</v>
      </c>
      <c r="D103" s="33" t="s">
        <v>128</v>
      </c>
      <c r="E103" s="69" t="s">
        <v>149</v>
      </c>
      <c r="F103" s="35" t="s">
        <v>31</v>
      </c>
      <c r="G103" s="35" t="s">
        <v>1635</v>
      </c>
      <c r="H103" s="36" t="s">
        <v>17</v>
      </c>
      <c r="I103" s="6" t="s">
        <v>959</v>
      </c>
      <c r="J103" s="37">
        <v>2891</v>
      </c>
      <c r="K103" s="38" t="s">
        <v>1383</v>
      </c>
      <c r="L103" s="298"/>
      <c r="M103" s="40"/>
      <c r="N103" s="41"/>
      <c r="O103" s="39" t="str">
        <f t="shared" si="5"/>
        <v>제06장 인사처분-제06절 직위해제(대기발령)-01</v>
      </c>
      <c r="Q103" s="7" t="str">
        <f t="shared" si="6"/>
        <v>인사처분-1</v>
      </c>
      <c r="R103" s="7" t="str">
        <f t="shared" si="7"/>
        <v>열기2-01.노동법\01.본문\제06장 인사처분.제06절 직위해제(대기발령).txt</v>
      </c>
      <c r="S103" s="7" t="str">
        <f t="shared" si="8"/>
        <v>B</v>
      </c>
      <c r="T103" s="7" t="str">
        <f t="shared" si="9"/>
        <v>직위해제(대기발령)</v>
      </c>
    </row>
    <row r="104" spans="2:20" ht="14.45" customHeight="1" thickBot="1" x14ac:dyDescent="0.25">
      <c r="B104" s="74" t="s">
        <v>427</v>
      </c>
      <c r="C104" s="103" t="s">
        <v>1887</v>
      </c>
      <c r="D104" s="76" t="s">
        <v>1256</v>
      </c>
      <c r="E104" s="77" t="s">
        <v>1164</v>
      </c>
      <c r="F104" s="78" t="s">
        <v>31</v>
      </c>
      <c r="G104" s="78" t="s">
        <v>1636</v>
      </c>
      <c r="H104" s="79" t="s">
        <v>1098</v>
      </c>
      <c r="I104" s="80" t="s">
        <v>1099</v>
      </c>
      <c r="J104" s="81">
        <v>2370</v>
      </c>
      <c r="K104" s="82" t="s">
        <v>1383</v>
      </c>
      <c r="L104" s="161"/>
      <c r="M104" s="84"/>
      <c r="N104" s="85"/>
      <c r="O104" s="83" t="str">
        <f t="shared" si="5"/>
        <v>제06장 인사처분-제06절 직위해제(대기발령)-02</v>
      </c>
      <c r="Q104" s="7" t="str">
        <f t="shared" si="6"/>
        <v>2014-1-1-1</v>
      </c>
      <c r="R104" s="7" t="str">
        <f t="shared" si="7"/>
        <v>열기2-01.노동법\02.문제\[기출][1][2014-1-1]근무성적 불량 직원에 대한 직위해제・대기발령 처분의 정당성.txt</v>
      </c>
      <c r="S104" s="7" t="str">
        <f t="shared" si="8"/>
        <v>B</v>
      </c>
      <c r="T104" s="7" t="str">
        <f t="shared" si="9"/>
        <v>근무성적 불량 직원에 대한 직위해제・대기발령 처분의 정당성</v>
      </c>
    </row>
    <row r="105" spans="2:20" ht="14.45" customHeight="1" x14ac:dyDescent="0.2">
      <c r="B105" s="19" t="s">
        <v>423</v>
      </c>
      <c r="C105" s="86" t="s">
        <v>424</v>
      </c>
      <c r="D105" s="87" t="s">
        <v>128</v>
      </c>
      <c r="E105" s="88" t="s">
        <v>150</v>
      </c>
      <c r="F105" s="89" t="s">
        <v>31</v>
      </c>
      <c r="G105" s="89" t="s">
        <v>1635</v>
      </c>
      <c r="H105" s="90" t="s">
        <v>18</v>
      </c>
      <c r="I105" s="91" t="s">
        <v>960</v>
      </c>
      <c r="J105" s="92">
        <v>2192</v>
      </c>
      <c r="K105" s="93" t="s">
        <v>1382</v>
      </c>
      <c r="L105" s="299"/>
      <c r="M105" s="95"/>
      <c r="N105" s="96"/>
      <c r="O105" s="94" t="str">
        <f t="shared" si="5"/>
        <v>제07장 근로관계의 이전-제01절 영업양도-01</v>
      </c>
      <c r="Q105" s="7" t="str">
        <f t="shared" si="6"/>
        <v>근로관계의 이전-1</v>
      </c>
      <c r="R105" s="7" t="str">
        <f t="shared" si="7"/>
        <v>열기2-01.노동법\01.본문\제07장 근로관계의 이전.제01절 영업양도.txt</v>
      </c>
      <c r="S105" s="7" t="str">
        <f t="shared" si="8"/>
        <v>C</v>
      </c>
      <c r="T105" s="7" t="str">
        <f t="shared" si="9"/>
        <v>영업양도</v>
      </c>
    </row>
    <row r="106" spans="2:20" ht="14.45" customHeight="1" x14ac:dyDescent="0.2">
      <c r="B106" s="31" t="s">
        <v>423</v>
      </c>
      <c r="C106" s="42" t="s">
        <v>424</v>
      </c>
      <c r="D106" s="43" t="s">
        <v>1256</v>
      </c>
      <c r="E106" s="70" t="s">
        <v>1165</v>
      </c>
      <c r="F106" s="46" t="s">
        <v>31</v>
      </c>
      <c r="G106" s="46" t="s">
        <v>1636</v>
      </c>
      <c r="H106" s="47" t="s">
        <v>1102</v>
      </c>
      <c r="I106" s="48" t="s">
        <v>1103</v>
      </c>
      <c r="J106" s="49">
        <v>2029</v>
      </c>
      <c r="K106" s="50" t="s">
        <v>1382</v>
      </c>
      <c r="L106" s="68"/>
      <c r="M106" s="52"/>
      <c r="N106" s="53"/>
      <c r="O106" s="51" t="str">
        <f t="shared" si="5"/>
        <v>제07장 근로관계의 이전-제01절 영업양도-02</v>
      </c>
      <c r="Q106" s="7" t="str">
        <f t="shared" si="6"/>
        <v>2013-2-1</v>
      </c>
      <c r="R106" s="7" t="str">
        <f t="shared" si="7"/>
        <v>열기2-01.노동법\02.문제\[기출][1][2013-2]영업양도 상황에서 근로관계 승계 거부 시 회사와 근로자의 법률 관계.txt</v>
      </c>
      <c r="S106" s="7" t="str">
        <f t="shared" si="8"/>
        <v>C</v>
      </c>
      <c r="T106" s="7" t="str">
        <f t="shared" si="9"/>
        <v>영업양도 상황에서 근로관계 승계 거부 시 회사와 근로자의 법률 관계</v>
      </c>
    </row>
    <row r="107" spans="2:20" ht="14.45" customHeight="1" x14ac:dyDescent="0.2">
      <c r="B107" s="31" t="s">
        <v>423</v>
      </c>
      <c r="C107" s="42" t="s">
        <v>424</v>
      </c>
      <c r="D107" s="43" t="s">
        <v>1256</v>
      </c>
      <c r="E107" s="70" t="s">
        <v>70</v>
      </c>
      <c r="F107" s="46" t="s">
        <v>31</v>
      </c>
      <c r="G107" s="46" t="s">
        <v>1637</v>
      </c>
      <c r="H107" s="47" t="s">
        <v>1100</v>
      </c>
      <c r="I107" s="48" t="s">
        <v>1101</v>
      </c>
      <c r="J107" s="49">
        <v>2945</v>
      </c>
      <c r="K107" s="50" t="s">
        <v>1382</v>
      </c>
      <c r="L107" s="68" t="s">
        <v>1725</v>
      </c>
      <c r="M107" s="52"/>
      <c r="N107" s="53"/>
      <c r="O107" s="51" t="str">
        <f t="shared" si="5"/>
        <v>제07장 근로관계의 이전-제01절 영업양도-03</v>
      </c>
      <c r="Q107" s="7" t="str">
        <f t="shared" si="6"/>
        <v>2024-1-2-1</v>
      </c>
      <c r="R107" s="7" t="str">
        <f t="shared" si="7"/>
        <v>열기2-01.노동법\02.문제\[기출][1][2024-1-2]영업양도 상황에서 회사 잔류를 희망한 근로자의 해고에 대한 정당성.txt</v>
      </c>
      <c r="S107" s="7" t="str">
        <f t="shared" si="8"/>
        <v>C</v>
      </c>
      <c r="T107" s="7" t="str">
        <f t="shared" si="9"/>
        <v>영업양도 상황에서 회사 잔류를 희망한 근로자의 해고에 대한 정당성</v>
      </c>
    </row>
    <row r="108" spans="2:20" ht="14.45" customHeight="1" x14ac:dyDescent="0.2">
      <c r="B108" s="31" t="s">
        <v>423</v>
      </c>
      <c r="C108" s="54" t="s">
        <v>424</v>
      </c>
      <c r="D108" s="55" t="s">
        <v>308</v>
      </c>
      <c r="E108" s="71" t="s">
        <v>1522</v>
      </c>
      <c r="F108" s="58" t="s">
        <v>31</v>
      </c>
      <c r="G108" s="57" t="s">
        <v>1638</v>
      </c>
      <c r="H108" s="59" t="s">
        <v>341</v>
      </c>
      <c r="I108" s="60" t="s">
        <v>1281</v>
      </c>
      <c r="J108" s="61">
        <v>2122</v>
      </c>
      <c r="K108" s="62" t="s">
        <v>1382</v>
      </c>
      <c r="L108" s="100"/>
      <c r="M108" s="64"/>
      <c r="N108" s="65"/>
      <c r="O108" s="63" t="str">
        <f t="shared" si="5"/>
        <v>제07장 근로관계의 이전-제01절 영업양도-04</v>
      </c>
      <c r="Q108" s="7" t="str">
        <f t="shared" si="6"/>
        <v>수원지방법원 안양지원 2025.02.20. 선고 2023가단113982 판결-1</v>
      </c>
      <c r="R108" s="7" t="str">
        <f t="shared" si="7"/>
        <v>열기2-01.노동법\03.판례\[수원지방법원 안양지원 2025.02.20. 선고 2023가단113982 판결]용역업체 간 고용승계 시 적용되는 근로조건.txt</v>
      </c>
      <c r="S108" s="7" t="str">
        <f t="shared" si="8"/>
        <v>C</v>
      </c>
      <c r="T108" s="7" t="str">
        <f t="shared" si="9"/>
        <v>용역업체 간 고용승계 시 적용되는 근로조건</v>
      </c>
    </row>
    <row r="109" spans="2:20" ht="14.45" customHeight="1" x14ac:dyDescent="0.2">
      <c r="B109" s="31" t="s">
        <v>423</v>
      </c>
      <c r="C109" s="32" t="s">
        <v>1436</v>
      </c>
      <c r="D109" s="33" t="s">
        <v>128</v>
      </c>
      <c r="E109" s="69" t="s">
        <v>150</v>
      </c>
      <c r="F109" s="35" t="s">
        <v>31</v>
      </c>
      <c r="G109" s="35" t="s">
        <v>1635</v>
      </c>
      <c r="H109" s="36" t="s">
        <v>20</v>
      </c>
      <c r="I109" s="6" t="s">
        <v>961</v>
      </c>
      <c r="J109" s="37">
        <v>1689</v>
      </c>
      <c r="K109" s="38" t="s">
        <v>1382</v>
      </c>
      <c r="L109" s="298"/>
      <c r="M109" s="40"/>
      <c r="N109" s="41"/>
      <c r="O109" s="39" t="str">
        <f t="shared" si="5"/>
        <v>제07장 근로관계의 이전-제02절 합병-01</v>
      </c>
      <c r="Q109" s="7" t="str">
        <f t="shared" si="6"/>
        <v>근로관계의 이전-1</v>
      </c>
      <c r="R109" s="7" t="str">
        <f t="shared" si="7"/>
        <v>열기2-01.노동법\01.본문\제07장 근로관계의 이전.제02절 합병.txt</v>
      </c>
      <c r="S109" s="7" t="str">
        <f t="shared" si="8"/>
        <v>C</v>
      </c>
      <c r="T109" s="7" t="str">
        <f t="shared" si="9"/>
        <v>합병</v>
      </c>
    </row>
    <row r="110" spans="2:20" ht="14.45" customHeight="1" x14ac:dyDescent="0.2">
      <c r="B110" s="31" t="s">
        <v>423</v>
      </c>
      <c r="C110" s="42" t="s">
        <v>1436</v>
      </c>
      <c r="D110" s="43" t="s">
        <v>1647</v>
      </c>
      <c r="E110" s="70" t="s">
        <v>1577</v>
      </c>
      <c r="F110" s="46" t="s">
        <v>31</v>
      </c>
      <c r="G110" s="46" t="s">
        <v>1636</v>
      </c>
      <c r="H110" s="47" t="s">
        <v>1365</v>
      </c>
      <c r="I110" s="48" t="s">
        <v>1672</v>
      </c>
      <c r="J110" s="49">
        <v>1746</v>
      </c>
      <c r="K110" s="50" t="s">
        <v>1382</v>
      </c>
      <c r="L110" s="68" t="s">
        <v>1725</v>
      </c>
      <c r="M110" s="52"/>
      <c r="N110" s="53"/>
      <c r="O110" s="51" t="str">
        <f t="shared" si="5"/>
        <v>제07장 근로관계의 이전-제02절 합병-02</v>
      </c>
      <c r="Q110" s="7" t="str">
        <f t="shared" si="6"/>
        <v>7.02-1-1</v>
      </c>
      <c r="R110" s="7" t="str">
        <f t="shared" si="7"/>
        <v>열기2-01.노동법\02.문제\[모의][1][07.02-1]기업 합병 시 특정 근로자에 대한 승계 거부 및 해고 통보의 법적 효력.txt</v>
      </c>
      <c r="S110" s="7" t="str">
        <f t="shared" si="8"/>
        <v>C</v>
      </c>
      <c r="T110" s="7" t="str">
        <f t="shared" si="9"/>
        <v>기업 합병 시 특정 근로자에 대한 승계 거부 및 해고 통보의 법적 효력</v>
      </c>
    </row>
    <row r="111" spans="2:20" ht="14.45" customHeight="1" x14ac:dyDescent="0.2">
      <c r="B111" s="31" t="s">
        <v>423</v>
      </c>
      <c r="C111" s="54" t="s">
        <v>1436</v>
      </c>
      <c r="D111" s="55" t="s">
        <v>1647</v>
      </c>
      <c r="E111" s="97" t="s">
        <v>1578</v>
      </c>
      <c r="F111" s="58" t="s">
        <v>31</v>
      </c>
      <c r="G111" s="58" t="s">
        <v>1637</v>
      </c>
      <c r="H111" s="59" t="s">
        <v>1366</v>
      </c>
      <c r="I111" s="60" t="s">
        <v>1673</v>
      </c>
      <c r="J111" s="61">
        <v>1821</v>
      </c>
      <c r="K111" s="62" t="s">
        <v>1382</v>
      </c>
      <c r="L111" s="100" t="s">
        <v>1703</v>
      </c>
      <c r="M111" s="64"/>
      <c r="N111" s="65"/>
      <c r="O111" s="63" t="str">
        <f t="shared" si="5"/>
        <v>제07장 근로관계의 이전-제02절 합병-03</v>
      </c>
      <c r="Q111" s="7" t="str">
        <f t="shared" si="6"/>
        <v>7.02-2-1</v>
      </c>
      <c r="R111" s="7" t="str">
        <f t="shared" si="7"/>
        <v>열기2-01.노동법\02.문제\[모의][1][07.02-2]기업 합병 후 근로조건의 일방적 변경 및 취업규칙 적용의 법적 효력.txt</v>
      </c>
      <c r="S111" s="7" t="str">
        <f t="shared" si="8"/>
        <v>C</v>
      </c>
      <c r="T111" s="7" t="str">
        <f t="shared" si="9"/>
        <v>기업 합병 후 근로조건의 일방적 변경 및 취업규칙 적용의 법적 효력</v>
      </c>
    </row>
    <row r="112" spans="2:20" ht="14.45" customHeight="1" x14ac:dyDescent="0.2">
      <c r="B112" s="31" t="s">
        <v>423</v>
      </c>
      <c r="C112" s="101" t="s">
        <v>458</v>
      </c>
      <c r="D112" s="33" t="s">
        <v>128</v>
      </c>
      <c r="E112" s="69" t="s">
        <v>150</v>
      </c>
      <c r="F112" s="35" t="s">
        <v>31</v>
      </c>
      <c r="G112" s="35" t="s">
        <v>1635</v>
      </c>
      <c r="H112" s="36" t="s">
        <v>19</v>
      </c>
      <c r="I112" s="6" t="s">
        <v>962</v>
      </c>
      <c r="J112" s="37">
        <v>1396</v>
      </c>
      <c r="K112" s="38" t="s">
        <v>1382</v>
      </c>
      <c r="L112" s="298"/>
      <c r="M112" s="40"/>
      <c r="N112" s="41"/>
      <c r="O112" s="39" t="str">
        <f t="shared" si="5"/>
        <v>제07장 근로관계의 이전-제03절 분할-01</v>
      </c>
      <c r="Q112" s="7" t="str">
        <f t="shared" si="6"/>
        <v>근로관계의 이전-1</v>
      </c>
      <c r="R112" s="7" t="str">
        <f t="shared" si="7"/>
        <v>열기2-01.노동법\01.본문\제07장 근로관계의 이전.제03절 분할.txt</v>
      </c>
      <c r="S112" s="7" t="str">
        <f t="shared" si="8"/>
        <v>C</v>
      </c>
      <c r="T112" s="7" t="str">
        <f t="shared" si="9"/>
        <v>분할</v>
      </c>
    </row>
    <row r="113" spans="2:20" ht="14.45" customHeight="1" thickBot="1" x14ac:dyDescent="0.25">
      <c r="B113" s="74" t="s">
        <v>423</v>
      </c>
      <c r="C113" s="103" t="s">
        <v>458</v>
      </c>
      <c r="D113" s="76" t="s">
        <v>1256</v>
      </c>
      <c r="E113" s="77" t="s">
        <v>1166</v>
      </c>
      <c r="F113" s="78" t="s">
        <v>31</v>
      </c>
      <c r="G113" s="78" t="s">
        <v>1636</v>
      </c>
      <c r="H113" s="79" t="s">
        <v>1621</v>
      </c>
      <c r="I113" s="80" t="s">
        <v>1622</v>
      </c>
      <c r="J113" s="81">
        <v>1568</v>
      </c>
      <c r="K113" s="82" t="s">
        <v>1382</v>
      </c>
      <c r="L113" s="161"/>
      <c r="M113" s="84"/>
      <c r="N113" s="85"/>
      <c r="O113" s="83" t="str">
        <f t="shared" si="5"/>
        <v>제07장 근로관계의 이전-제03절 분할-02</v>
      </c>
      <c r="Q113" s="7" t="str">
        <f t="shared" si="6"/>
        <v>2015-2-1</v>
      </c>
      <c r="R113" s="7" t="str">
        <f t="shared" si="7"/>
        <v>열기2-01.노동법\02.문제\[기출][1][2015-2]회사분할에 따른 근로관계 승계 시 개별 근로자의 거부권 행사 가능 여부.txt</v>
      </c>
      <c r="S113" s="7" t="str">
        <f t="shared" si="8"/>
        <v>C</v>
      </c>
      <c r="T113" s="7" t="str">
        <f t="shared" si="9"/>
        <v>회사분할에 따른 근로관계 승계 시 개별 근로자의 거부권 행사 가능 여부</v>
      </c>
    </row>
    <row r="114" spans="2:20" ht="14.45" customHeight="1" x14ac:dyDescent="0.2">
      <c r="B114" s="19" t="s">
        <v>498</v>
      </c>
      <c r="C114" s="86" t="s">
        <v>1484</v>
      </c>
      <c r="D114" s="87" t="s">
        <v>128</v>
      </c>
      <c r="E114" s="88" t="s">
        <v>151</v>
      </c>
      <c r="F114" s="89" t="s">
        <v>31</v>
      </c>
      <c r="G114" s="89" t="s">
        <v>1635</v>
      </c>
      <c r="H114" s="90" t="s">
        <v>161</v>
      </c>
      <c r="I114" s="91" t="s">
        <v>963</v>
      </c>
      <c r="J114" s="92">
        <v>2075</v>
      </c>
      <c r="K114" s="93" t="s">
        <v>1382</v>
      </c>
      <c r="L114" s="299"/>
      <c r="M114" s="95"/>
      <c r="N114" s="96"/>
      <c r="O114" s="94" t="str">
        <f t="shared" si="5"/>
        <v>제08장 근로관계의 종료-제01절 근로관계 종료의 유형-01</v>
      </c>
      <c r="Q114" s="7" t="str">
        <f t="shared" si="6"/>
        <v>근로관계의 종료-1</v>
      </c>
      <c r="R114" s="7" t="str">
        <f t="shared" si="7"/>
        <v>열기2-01.노동법\01.본문\제08장 근로관계의 종료.제01절 근로관계 종료의 유형.txt</v>
      </c>
      <c r="S114" s="7" t="str">
        <f t="shared" si="8"/>
        <v>C</v>
      </c>
      <c r="T114" s="7" t="str">
        <f t="shared" si="9"/>
        <v>근로관계 종료의 유형</v>
      </c>
    </row>
    <row r="115" spans="2:20" ht="14.45" customHeight="1" x14ac:dyDescent="0.2">
      <c r="B115" s="31" t="s">
        <v>414</v>
      </c>
      <c r="C115" s="54" t="s">
        <v>1484</v>
      </c>
      <c r="D115" s="55" t="s">
        <v>308</v>
      </c>
      <c r="E115" s="71" t="s">
        <v>1523</v>
      </c>
      <c r="F115" s="58" t="s">
        <v>419</v>
      </c>
      <c r="G115" s="57" t="s">
        <v>1636</v>
      </c>
      <c r="H115" s="59" t="s">
        <v>1250</v>
      </c>
      <c r="I115" s="60" t="s">
        <v>1282</v>
      </c>
      <c r="J115" s="61">
        <v>3135</v>
      </c>
      <c r="K115" s="62" t="s">
        <v>1382</v>
      </c>
      <c r="L115" s="100"/>
      <c r="M115" s="64"/>
      <c r="N115" s="65"/>
      <c r="O115" s="63" t="str">
        <f t="shared" si="5"/>
        <v>제08장 근로관계의 종료-제01절 근로관계 종료의 유형-02</v>
      </c>
      <c r="Q115" s="7" t="str">
        <f t="shared" si="6"/>
        <v>대법원 2025.10.16. 선고 2025다204730 판결-1</v>
      </c>
      <c r="R115" s="7" t="str">
        <f t="shared" si="7"/>
        <v>열기2-01.노동법\03.판례\[대법원 2025.10.16. 선고 2025다204730 판결]노동위원회 등에 제출하기 위해 상대방 동의 없이 녹음한 행위의 위법성 여부.txt</v>
      </c>
      <c r="S115" s="7" t="str">
        <f t="shared" si="8"/>
        <v>C</v>
      </c>
      <c r="T115" s="7" t="str">
        <f t="shared" si="9"/>
        <v>노동위원회 등에 제출하기 위해 상대방 동의 없이 녹음한 행위의 위법성 여부</v>
      </c>
    </row>
    <row r="116" spans="2:20" ht="14.45" customHeight="1" x14ac:dyDescent="0.2">
      <c r="B116" s="31" t="s">
        <v>414</v>
      </c>
      <c r="C116" s="32" t="s">
        <v>418</v>
      </c>
      <c r="D116" s="33" t="s">
        <v>128</v>
      </c>
      <c r="E116" s="69" t="s">
        <v>151</v>
      </c>
      <c r="F116" s="35" t="s">
        <v>31</v>
      </c>
      <c r="G116" s="35" t="s">
        <v>1635</v>
      </c>
      <c r="H116" s="36" t="s">
        <v>162</v>
      </c>
      <c r="I116" s="6" t="s">
        <v>964</v>
      </c>
      <c r="J116" s="37">
        <v>1950</v>
      </c>
      <c r="K116" s="38" t="s">
        <v>1383</v>
      </c>
      <c r="L116" s="298"/>
      <c r="M116" s="40"/>
      <c r="N116" s="41"/>
      <c r="O116" s="39" t="str">
        <f t="shared" si="5"/>
        <v>제08장 근로관계의 종료-제02절 해고의 실체적 정당성-01</v>
      </c>
      <c r="Q116" s="7" t="str">
        <f t="shared" si="6"/>
        <v>근로관계의 종료-1</v>
      </c>
      <c r="R116" s="7" t="str">
        <f t="shared" si="7"/>
        <v>열기2-01.노동법\01.본문\제08장 근로관계의 종료.제02절 해고의 실체적 정당성.txt</v>
      </c>
      <c r="S116" s="7" t="str">
        <f t="shared" si="8"/>
        <v>B</v>
      </c>
      <c r="T116" s="7" t="str">
        <f t="shared" si="9"/>
        <v>해고의 실체적 정당성</v>
      </c>
    </row>
    <row r="117" spans="2:20" ht="14.45" customHeight="1" x14ac:dyDescent="0.2">
      <c r="B117" s="31" t="s">
        <v>414</v>
      </c>
      <c r="C117" s="42" t="s">
        <v>418</v>
      </c>
      <c r="D117" s="43" t="s">
        <v>1256</v>
      </c>
      <c r="E117" s="70" t="s">
        <v>113</v>
      </c>
      <c r="F117" s="46" t="s">
        <v>31</v>
      </c>
      <c r="G117" s="46" t="s">
        <v>1636</v>
      </c>
      <c r="H117" s="47" t="s">
        <v>1332</v>
      </c>
      <c r="I117" s="48" t="s">
        <v>1333</v>
      </c>
      <c r="J117" s="49">
        <v>3580</v>
      </c>
      <c r="K117" s="50" t="s">
        <v>1383</v>
      </c>
      <c r="L117" s="68"/>
      <c r="M117" s="52"/>
      <c r="N117" s="53"/>
      <c r="O117" s="51" t="str">
        <f t="shared" si="5"/>
        <v>제08장 근로관계의 종료-제02절 해고의 실체적 정당성-02</v>
      </c>
      <c r="Q117" s="7" t="str">
        <f t="shared" si="6"/>
        <v>2008-1-1</v>
      </c>
      <c r="R117" s="7" t="str">
        <f t="shared" si="7"/>
        <v>열기2-01.노동법\02.문제\[기출][1][2008-1]경영상 이유에 의한 해고의 의의, 요건, 절차 및 구제, 재고용 의무.txt</v>
      </c>
      <c r="S117" s="7" t="str">
        <f t="shared" si="8"/>
        <v>B</v>
      </c>
      <c r="T117" s="7" t="str">
        <f t="shared" si="9"/>
        <v>경영상 이유에 의한 해고의 의의, 요건, 절차 및 구제, 재고용 의무</v>
      </c>
    </row>
    <row r="118" spans="2:20" ht="14.45" customHeight="1" x14ac:dyDescent="0.2">
      <c r="B118" s="31" t="s">
        <v>414</v>
      </c>
      <c r="C118" s="42" t="s">
        <v>418</v>
      </c>
      <c r="D118" s="43" t="s">
        <v>1256</v>
      </c>
      <c r="E118" s="70" t="s">
        <v>79</v>
      </c>
      <c r="F118" s="46" t="s">
        <v>31</v>
      </c>
      <c r="G118" s="46" t="s">
        <v>1637</v>
      </c>
      <c r="H118" s="47" t="s">
        <v>1623</v>
      </c>
      <c r="I118" s="48" t="s">
        <v>1624</v>
      </c>
      <c r="J118" s="49">
        <v>2766</v>
      </c>
      <c r="K118" s="50" t="s">
        <v>1383</v>
      </c>
      <c r="L118" s="68"/>
      <c r="M118" s="52"/>
      <c r="N118" s="53"/>
      <c r="O118" s="51" t="str">
        <f t="shared" si="5"/>
        <v>제08장 근로관계의 종료-제02절 해고의 실체적 정당성-03</v>
      </c>
      <c r="Q118" s="7" t="str">
        <f t="shared" si="6"/>
        <v>2014-1-2-1</v>
      </c>
      <c r="R118" s="7" t="str">
        <f t="shared" si="7"/>
        <v>열기2-01.노동법\02.문제\[기출][1][2014-1-2]직위해제 및 대기발령 이후 재발령 없이 당연퇴직된 처분의 정당성.txt</v>
      </c>
      <c r="S118" s="7" t="str">
        <f t="shared" si="8"/>
        <v>B</v>
      </c>
      <c r="T118" s="7" t="str">
        <f t="shared" si="9"/>
        <v>직위해제 및 대기발령 이후 재발령 없이 당연퇴직된 처분의 정당성</v>
      </c>
    </row>
    <row r="119" spans="2:20" ht="14.45" customHeight="1" x14ac:dyDescent="0.2">
      <c r="B119" s="31" t="s">
        <v>414</v>
      </c>
      <c r="C119" s="42" t="s">
        <v>418</v>
      </c>
      <c r="D119" s="43" t="s">
        <v>1256</v>
      </c>
      <c r="E119" s="70" t="s">
        <v>78</v>
      </c>
      <c r="F119" s="46" t="s">
        <v>31</v>
      </c>
      <c r="G119" s="46" t="s">
        <v>1638</v>
      </c>
      <c r="H119" s="47" t="s">
        <v>1114</v>
      </c>
      <c r="I119" s="48" t="s">
        <v>1115</v>
      </c>
      <c r="J119" s="49">
        <v>1795</v>
      </c>
      <c r="K119" s="50" t="s">
        <v>1383</v>
      </c>
      <c r="L119" s="68"/>
      <c r="M119" s="52"/>
      <c r="N119" s="53"/>
      <c r="O119" s="51" t="str">
        <f t="shared" si="5"/>
        <v>제08장 근로관계의 종료-제02절 해고의 실체적 정당성-04</v>
      </c>
      <c r="Q119" s="7" t="str">
        <f t="shared" si="6"/>
        <v>2016-1-2-1</v>
      </c>
      <c r="R119" s="7" t="str">
        <f t="shared" si="7"/>
        <v>열기2-01.노동법\02.문제\[기출][1][2016-1-2]이력서 허위 기재를 근거로 한 해고의 정당성.txt</v>
      </c>
      <c r="S119" s="7" t="str">
        <f t="shared" si="8"/>
        <v>B</v>
      </c>
      <c r="T119" s="7" t="str">
        <f t="shared" si="9"/>
        <v>이력서 허위 기재를 근거로 한 해고의 정당성</v>
      </c>
    </row>
    <row r="120" spans="2:20" ht="14.45" customHeight="1" x14ac:dyDescent="0.2">
      <c r="B120" s="31" t="s">
        <v>414</v>
      </c>
      <c r="C120" s="42" t="s">
        <v>418</v>
      </c>
      <c r="D120" s="43" t="s">
        <v>1256</v>
      </c>
      <c r="E120" s="70" t="s">
        <v>77</v>
      </c>
      <c r="F120" s="46" t="s">
        <v>31</v>
      </c>
      <c r="G120" s="46" t="s">
        <v>1639</v>
      </c>
      <c r="H120" s="47" t="s">
        <v>1112</v>
      </c>
      <c r="I120" s="48" t="s">
        <v>1113</v>
      </c>
      <c r="J120" s="49">
        <v>1707</v>
      </c>
      <c r="K120" s="50" t="s">
        <v>1383</v>
      </c>
      <c r="L120" s="68"/>
      <c r="M120" s="52"/>
      <c r="N120" s="53"/>
      <c r="O120" s="51" t="str">
        <f t="shared" si="5"/>
        <v>제08장 근로관계의 종료-제02절 해고의 실체적 정당성-05</v>
      </c>
      <c r="Q120" s="7" t="str">
        <f t="shared" si="6"/>
        <v>2017-1-1-1</v>
      </c>
      <c r="R120" s="7" t="str">
        <f t="shared" si="7"/>
        <v>열기2-01.노동법\02.문제\[기출][1][2017-1-1]확정되지 않은 징계사유로 단행된 해고의 정당성.txt</v>
      </c>
      <c r="S120" s="7" t="str">
        <f t="shared" si="8"/>
        <v>B</v>
      </c>
      <c r="T120" s="7" t="str">
        <f t="shared" si="9"/>
        <v>확정되지 않은 징계사유로 단행된 해고의 정당성</v>
      </c>
    </row>
    <row r="121" spans="2:20" ht="14.45" customHeight="1" x14ac:dyDescent="0.2">
      <c r="B121" s="31" t="s">
        <v>414</v>
      </c>
      <c r="C121" s="42" t="s">
        <v>418</v>
      </c>
      <c r="D121" s="43" t="s">
        <v>1256</v>
      </c>
      <c r="E121" s="70" t="s">
        <v>76</v>
      </c>
      <c r="F121" s="46" t="s">
        <v>31</v>
      </c>
      <c r="G121" s="46" t="s">
        <v>1640</v>
      </c>
      <c r="H121" s="47" t="s">
        <v>1108</v>
      </c>
      <c r="I121" s="48" t="s">
        <v>1109</v>
      </c>
      <c r="J121" s="49">
        <v>2736</v>
      </c>
      <c r="K121" s="50" t="s">
        <v>1383</v>
      </c>
      <c r="L121" s="68"/>
      <c r="M121" s="52"/>
      <c r="N121" s="53"/>
      <c r="O121" s="51" t="str">
        <f t="shared" si="5"/>
        <v>제08장 근로관계의 종료-제02절 해고의 실체적 정당성-06</v>
      </c>
      <c r="Q121" s="7" t="str">
        <f t="shared" si="6"/>
        <v>2019-1-1-1</v>
      </c>
      <c r="R121" s="7" t="str">
        <f t="shared" si="7"/>
        <v>열기2-01.노동법\02.문제\[기출][1][2019-1-1]경영상 이유에 의한 해고 대상자 선정 기준의 위법성.txt</v>
      </c>
      <c r="S121" s="7" t="str">
        <f t="shared" si="8"/>
        <v>B</v>
      </c>
      <c r="T121" s="7" t="str">
        <f t="shared" si="9"/>
        <v>경영상 이유에 의한 해고 대상자 선정 기준의 위법성</v>
      </c>
    </row>
    <row r="122" spans="2:20" ht="14.45" customHeight="1" x14ac:dyDescent="0.2">
      <c r="B122" s="31" t="s">
        <v>414</v>
      </c>
      <c r="C122" s="42" t="s">
        <v>418</v>
      </c>
      <c r="D122" s="43" t="s">
        <v>1256</v>
      </c>
      <c r="E122" s="70" t="s">
        <v>75</v>
      </c>
      <c r="F122" s="46" t="s">
        <v>31</v>
      </c>
      <c r="G122" s="46" t="s">
        <v>1641</v>
      </c>
      <c r="H122" s="47" t="s">
        <v>1588</v>
      </c>
      <c r="I122" s="48" t="s">
        <v>1589</v>
      </c>
      <c r="J122" s="49">
        <v>2722</v>
      </c>
      <c r="K122" s="50" t="s">
        <v>1383</v>
      </c>
      <c r="L122" s="68"/>
      <c r="M122" s="52"/>
      <c r="N122" s="53"/>
      <c r="O122" s="51" t="str">
        <f t="shared" si="5"/>
        <v>제08장 근로관계의 종료-제02절 해고의 실체적 정당성-07</v>
      </c>
      <c r="Q122" s="7" t="str">
        <f t="shared" si="6"/>
        <v>2022-1-1-1</v>
      </c>
      <c r="R122" s="7" t="str">
        <f t="shared" si="7"/>
        <v>열기2-01.노동법\02.문제\[기출][1][2022-1-1]근무성적 불량 저성과자 해고의 정당성 요건 및 해고처분의 타당성 여부.txt</v>
      </c>
      <c r="S122" s="7" t="str">
        <f t="shared" si="8"/>
        <v>B</v>
      </c>
      <c r="T122" s="7" t="str">
        <f t="shared" si="9"/>
        <v>근무성적 불량 저성과자 해고의 정당성 요건 및 해고처분의 타당성 여부</v>
      </c>
    </row>
    <row r="123" spans="2:20" ht="14.45" customHeight="1" x14ac:dyDescent="0.2">
      <c r="B123" s="31" t="s">
        <v>414</v>
      </c>
      <c r="C123" s="42" t="s">
        <v>418</v>
      </c>
      <c r="D123" s="43" t="s">
        <v>1256</v>
      </c>
      <c r="E123" s="70" t="s">
        <v>1167</v>
      </c>
      <c r="F123" s="46" t="s">
        <v>31</v>
      </c>
      <c r="G123" s="46" t="s">
        <v>1642</v>
      </c>
      <c r="H123" s="47" t="s">
        <v>1110</v>
      </c>
      <c r="I123" s="48" t="s">
        <v>1111</v>
      </c>
      <c r="J123" s="49">
        <v>2906</v>
      </c>
      <c r="K123" s="50" t="s">
        <v>1383</v>
      </c>
      <c r="L123" s="68"/>
      <c r="M123" s="52"/>
      <c r="N123" s="53"/>
      <c r="O123" s="51" t="str">
        <f t="shared" si="5"/>
        <v>제08장 근로관계의 종료-제02절 해고의 실체적 정당성-08</v>
      </c>
      <c r="Q123" s="7" t="str">
        <f t="shared" si="6"/>
        <v>2023-1-1-1</v>
      </c>
      <c r="R123" s="7" t="str">
        <f t="shared" si="7"/>
        <v>열기2-01.노동법\02.문제\[기출][1][2023-1-1]경영상 이유에 의한 해고 대상자 선정 기준에 대한 합리성 및 공정성.txt</v>
      </c>
      <c r="S123" s="7" t="str">
        <f t="shared" si="8"/>
        <v>B</v>
      </c>
      <c r="T123" s="7" t="str">
        <f t="shared" si="9"/>
        <v>경영상 이유에 의한 해고 대상자 선정 기준에 대한 합리성 및 공정성</v>
      </c>
    </row>
    <row r="124" spans="2:20" ht="14.45" customHeight="1" x14ac:dyDescent="0.2">
      <c r="B124" s="31" t="s">
        <v>414</v>
      </c>
      <c r="C124" s="42" t="s">
        <v>418</v>
      </c>
      <c r="D124" s="43" t="s">
        <v>1256</v>
      </c>
      <c r="E124" s="70" t="s">
        <v>1726</v>
      </c>
      <c r="F124" s="46" t="s">
        <v>419</v>
      </c>
      <c r="G124" s="46" t="s">
        <v>1727</v>
      </c>
      <c r="H124" s="47" t="s">
        <v>1732</v>
      </c>
      <c r="I124" s="48" t="s">
        <v>1733</v>
      </c>
      <c r="J124" s="49">
        <v>2945</v>
      </c>
      <c r="K124" s="50" t="s">
        <v>1382</v>
      </c>
      <c r="L124" s="68" t="s">
        <v>1728</v>
      </c>
      <c r="M124" s="52"/>
      <c r="N124" s="53"/>
      <c r="O124" s="51" t="str">
        <f t="shared" si="5"/>
        <v>제08장 근로관계의 종료-제02절 해고의 실체적 정당성-09</v>
      </c>
      <c r="Q124" s="7" t="str">
        <f t="shared" si="6"/>
        <v>2024-1-2-1</v>
      </c>
      <c r="R124" s="7" t="str">
        <f t="shared" si="7"/>
        <v>열기2-01.노동법\02.문제\[기출][1][2024-1-2]영업양도 상황에서 회사 잔류를 희망한 근로자의 해고에 대한 정당성.txt</v>
      </c>
      <c r="S124" s="7" t="str">
        <f t="shared" si="8"/>
        <v>C</v>
      </c>
      <c r="T124" s="7" t="str">
        <f t="shared" si="9"/>
        <v>영업양도 상황에서 회사 잔류를 희망한 근로자의 해고에 대한 정당성</v>
      </c>
    </row>
    <row r="125" spans="2:20" ht="14.45" customHeight="1" x14ac:dyDescent="0.2">
      <c r="B125" s="31" t="s">
        <v>414</v>
      </c>
      <c r="C125" s="42" t="s">
        <v>418</v>
      </c>
      <c r="D125" s="43" t="s">
        <v>1256</v>
      </c>
      <c r="E125" s="70" t="s">
        <v>72</v>
      </c>
      <c r="F125" s="46" t="s">
        <v>31</v>
      </c>
      <c r="G125" s="46" t="s">
        <v>453</v>
      </c>
      <c r="H125" s="47" t="s">
        <v>1104</v>
      </c>
      <c r="I125" s="48" t="s">
        <v>1105</v>
      </c>
      <c r="J125" s="49">
        <v>2027</v>
      </c>
      <c r="K125" s="50" t="s">
        <v>1383</v>
      </c>
      <c r="L125" s="68"/>
      <c r="M125" s="52"/>
      <c r="N125" s="53"/>
      <c r="O125" s="51" t="str">
        <f t="shared" si="5"/>
        <v>제08장 근로관계의 종료-제02절 해고의 실체적 정당성-10</v>
      </c>
      <c r="Q125" s="7" t="str">
        <f t="shared" si="6"/>
        <v>2025-1-1-1</v>
      </c>
      <c r="R125" s="7" t="str">
        <f t="shared" si="7"/>
        <v>열기2-01.노동법\02.문제\[기출][1][2025-1-1]우선재고용의무 위반에 따른 근로자 지위 인정 여부.txt</v>
      </c>
      <c r="S125" s="7" t="str">
        <f t="shared" si="8"/>
        <v>B</v>
      </c>
      <c r="T125" s="7" t="str">
        <f t="shared" si="9"/>
        <v>우선재고용의무 위반에 따른 근로자 지위 인정 여부</v>
      </c>
    </row>
    <row r="126" spans="2:20" ht="14.45" customHeight="1" x14ac:dyDescent="0.2">
      <c r="B126" s="31" t="s">
        <v>414</v>
      </c>
      <c r="C126" s="42" t="s">
        <v>418</v>
      </c>
      <c r="D126" s="43" t="s">
        <v>1256</v>
      </c>
      <c r="E126" s="70" t="s">
        <v>73</v>
      </c>
      <c r="F126" s="46" t="s">
        <v>31</v>
      </c>
      <c r="G126" s="46" t="s">
        <v>460</v>
      </c>
      <c r="H126" s="47" t="s">
        <v>1106</v>
      </c>
      <c r="I126" s="48" t="s">
        <v>1107</v>
      </c>
      <c r="J126" s="49">
        <v>2600</v>
      </c>
      <c r="K126" s="50" t="s">
        <v>1383</v>
      </c>
      <c r="L126" s="68"/>
      <c r="M126" s="52"/>
      <c r="N126" s="53"/>
      <c r="O126" s="51" t="str">
        <f t="shared" si="5"/>
        <v>제08장 근로관계의 종료-제02절 해고의 실체적 정당성-11</v>
      </c>
      <c r="Q126" s="7" t="str">
        <f t="shared" si="6"/>
        <v>2025-1-2-1</v>
      </c>
      <c r="R126" s="7" t="str">
        <f t="shared" si="7"/>
        <v>열기2-01.노동법\02.문제\[기출][1][2025-1-2]우선재고용의무 위반 시 손해배상의무의 발생 시점 및 배상액 산정 방식(중간수입공제).txt</v>
      </c>
      <c r="S126" s="7" t="str">
        <f t="shared" si="8"/>
        <v>B</v>
      </c>
      <c r="T126" s="7" t="str">
        <f t="shared" si="9"/>
        <v>우선재고용의무 위반 시 손해배상의무의 발생 시점 및 배상액 산정 방식(중간수입공제)</v>
      </c>
    </row>
    <row r="127" spans="2:20" ht="14.45" customHeight="1" x14ac:dyDescent="0.2">
      <c r="B127" s="31" t="s">
        <v>414</v>
      </c>
      <c r="C127" s="42" t="s">
        <v>418</v>
      </c>
      <c r="D127" s="104" t="s">
        <v>1647</v>
      </c>
      <c r="E127" s="105" t="s">
        <v>1704</v>
      </c>
      <c r="F127" s="106" t="s">
        <v>1705</v>
      </c>
      <c r="G127" s="106" t="s">
        <v>465</v>
      </c>
      <c r="H127" s="107" t="s">
        <v>1706</v>
      </c>
      <c r="I127" s="108" t="s">
        <v>1709</v>
      </c>
      <c r="J127" s="109">
        <v>3767</v>
      </c>
      <c r="K127" s="110" t="s">
        <v>1348</v>
      </c>
      <c r="L127" s="300"/>
      <c r="M127" s="111"/>
      <c r="N127" s="112"/>
      <c r="O127" s="51" t="str">
        <f t="shared" si="5"/>
        <v>제08장 근로관계의 종료-제02절 해고의 실체적 정당성-12</v>
      </c>
      <c r="Q127" s="7" t="str">
        <f t="shared" si="6"/>
        <v>8.02-1-1</v>
      </c>
      <c r="R127" s="7" t="str">
        <f t="shared" si="7"/>
        <v>열기2-01.노동법\02.문제\[모의][1][08.02-1]권고사직을 거부한 근로자에 대한 해고 방안.txt</v>
      </c>
      <c r="S127" s="7" t="str">
        <f t="shared" si="8"/>
        <v>A</v>
      </c>
      <c r="T127" s="7" t="str">
        <f t="shared" si="9"/>
        <v>권고사직을 거부한 근로자에 대한 해고 방안</v>
      </c>
    </row>
    <row r="128" spans="2:20" ht="14.45" customHeight="1" x14ac:dyDescent="0.2">
      <c r="B128" s="31" t="s">
        <v>414</v>
      </c>
      <c r="C128" s="54" t="s">
        <v>418</v>
      </c>
      <c r="D128" s="55" t="s">
        <v>308</v>
      </c>
      <c r="E128" s="71" t="s">
        <v>1524</v>
      </c>
      <c r="F128" s="58" t="s">
        <v>31</v>
      </c>
      <c r="G128" s="113">
        <v>13</v>
      </c>
      <c r="H128" s="59" t="s">
        <v>336</v>
      </c>
      <c r="I128" s="60" t="s">
        <v>1708</v>
      </c>
      <c r="J128" s="61">
        <v>2404</v>
      </c>
      <c r="K128" s="62" t="s">
        <v>1383</v>
      </c>
      <c r="L128" s="100"/>
      <c r="M128" s="64"/>
      <c r="N128" s="65"/>
      <c r="O128" s="63" t="str">
        <f t="shared" si="5"/>
        <v>제08장 근로관계의 종료-제02절 해고의 실체적 정당성-13</v>
      </c>
      <c r="Q128" s="7" t="str">
        <f t="shared" si="6"/>
        <v>서울중앙지방법원 2024.11.15. 선고 2023가합86650 판결-1</v>
      </c>
      <c r="R128" s="7" t="str">
        <f t="shared" si="7"/>
        <v>열기2-01.노동법\03.판례\[서울중앙지방법원 2024.11.15. 선고 2023가합86650 판결]경영상 이유에 의한 해고자에 대한 우선재고용의무의 요건인 ‘같은 업무’의 판단기준.txt</v>
      </c>
      <c r="S128" s="7" t="str">
        <f t="shared" si="8"/>
        <v>B</v>
      </c>
      <c r="T128" s="7" t="str">
        <f t="shared" si="9"/>
        <v>경영상 이유에 의한 해고자에 대한 우선재고용의무의 요건인 ‘같은 업무’의 판단기준</v>
      </c>
    </row>
    <row r="129" spans="2:20" ht="14.45" customHeight="1" x14ac:dyDescent="0.2">
      <c r="B129" s="31" t="s">
        <v>414</v>
      </c>
      <c r="C129" s="114" t="s">
        <v>432</v>
      </c>
      <c r="D129" s="115" t="s">
        <v>128</v>
      </c>
      <c r="E129" s="116" t="s">
        <v>151</v>
      </c>
      <c r="F129" s="117" t="s">
        <v>31</v>
      </c>
      <c r="G129" s="117" t="s">
        <v>1635</v>
      </c>
      <c r="H129" s="118" t="s">
        <v>163</v>
      </c>
      <c r="I129" s="119" t="s">
        <v>965</v>
      </c>
      <c r="J129" s="120">
        <v>2177</v>
      </c>
      <c r="K129" s="121" t="s">
        <v>1348</v>
      </c>
      <c r="L129" s="301"/>
      <c r="M129" s="123"/>
      <c r="N129" s="124"/>
      <c r="O129" s="122" t="str">
        <f t="shared" si="5"/>
        <v>제08장 근로관계의 종료-제03절 해고의 절차적 정당성-01</v>
      </c>
      <c r="Q129" s="7" t="str">
        <f t="shared" si="6"/>
        <v>근로관계의 종료-1</v>
      </c>
      <c r="R129" s="7" t="str">
        <f t="shared" si="7"/>
        <v>열기2-01.노동법\01.본문\제08장 근로관계의 종료.제03절 해고의 절차적 정당성.txt</v>
      </c>
      <c r="S129" s="7" t="str">
        <f t="shared" si="8"/>
        <v>A</v>
      </c>
      <c r="T129" s="7" t="str">
        <f t="shared" si="9"/>
        <v>해고의 절차적 정당성</v>
      </c>
    </row>
    <row r="130" spans="2:20" ht="14.45" customHeight="1" x14ac:dyDescent="0.2">
      <c r="B130" s="31" t="s">
        <v>414</v>
      </c>
      <c r="C130" s="125" t="s">
        <v>432</v>
      </c>
      <c r="D130" s="126" t="s">
        <v>1256</v>
      </c>
      <c r="E130" s="127" t="s">
        <v>82</v>
      </c>
      <c r="F130" s="128" t="s">
        <v>31</v>
      </c>
      <c r="G130" s="128" t="s">
        <v>1636</v>
      </c>
      <c r="H130" s="129" t="s">
        <v>1610</v>
      </c>
      <c r="I130" s="130" t="s">
        <v>1611</v>
      </c>
      <c r="J130" s="131">
        <v>3451</v>
      </c>
      <c r="K130" s="132" t="s">
        <v>1348</v>
      </c>
      <c r="L130" s="136"/>
      <c r="M130" s="134"/>
      <c r="N130" s="135">
        <v>46212</v>
      </c>
      <c r="O130" s="133" t="str">
        <f t="shared" si="5"/>
        <v>제08장 근로관계의 종료-제03절 해고의 절차적 정당성-02</v>
      </c>
      <c r="Q130" s="7" t="str">
        <f t="shared" si="6"/>
        <v>2009-1-1</v>
      </c>
      <c r="R130" s="7" t="str">
        <f t="shared" si="7"/>
        <v>열기2-01.노동법\02.문제\[기출][1][2009-1]해고의 예고와 해고의 서면 통지에 대한 의의, 내용, 예외, 법적 효과.txt</v>
      </c>
      <c r="S130" s="7" t="str">
        <f t="shared" si="8"/>
        <v>A</v>
      </c>
      <c r="T130" s="7" t="str">
        <f t="shared" si="9"/>
        <v>해고의 예고와 해고의 서면 통지에 대한 의의, 내용, 예외, 법적 효과</v>
      </c>
    </row>
    <row r="131" spans="2:20" ht="14.45" customHeight="1" x14ac:dyDescent="0.2">
      <c r="B131" s="31" t="s">
        <v>414</v>
      </c>
      <c r="C131" s="125" t="s">
        <v>432</v>
      </c>
      <c r="D131" s="126" t="s">
        <v>1256</v>
      </c>
      <c r="E131" s="127" t="s">
        <v>237</v>
      </c>
      <c r="F131" s="128" t="s">
        <v>31</v>
      </c>
      <c r="G131" s="128" t="s">
        <v>1637</v>
      </c>
      <c r="H131" s="129" t="s">
        <v>1117</v>
      </c>
      <c r="I131" s="130" t="s">
        <v>1118</v>
      </c>
      <c r="J131" s="131">
        <v>2588</v>
      </c>
      <c r="K131" s="132" t="s">
        <v>1348</v>
      </c>
      <c r="L131" s="136"/>
      <c r="M131" s="134"/>
      <c r="N131" s="135">
        <v>46212</v>
      </c>
      <c r="O131" s="133" t="str">
        <f t="shared" ref="O131:O195" si="10">B131&amp;"-"&amp;C131&amp;"-"&amp;G131</f>
        <v>제08장 근로관계의 종료-제03절 해고의 절차적 정당성-03</v>
      </c>
      <c r="Q131" s="7" t="str">
        <f t="shared" ref="Q131:Q195" si="11">E131&amp;"-"&amp;F131</f>
        <v>2011-2-1</v>
      </c>
      <c r="R131" s="7" t="str">
        <f t="shared" ref="R131:R195" si="12">I131</f>
        <v>열기2-01.노동법\02.문제\[기출][1][2011-2]기간제 근로자와 회사가 주장할 수 있는 해고 관련 노동법상 쟁점(해고의 절차 및 구제신청의 이익).txt</v>
      </c>
      <c r="S131" s="7" t="str">
        <f t="shared" ref="S131:S195" si="13">K131</f>
        <v>A</v>
      </c>
      <c r="T131" s="7" t="str">
        <f t="shared" si="9"/>
        <v>기간제 근로자와 회사가 주장할 수 있는 해고 관련 노동법상 쟁점(해고의 절차 및 구제신청의 이익)</v>
      </c>
    </row>
    <row r="132" spans="2:20" ht="14.45" customHeight="1" x14ac:dyDescent="0.2">
      <c r="B132" s="31" t="s">
        <v>414</v>
      </c>
      <c r="C132" s="125" t="s">
        <v>432</v>
      </c>
      <c r="D132" s="126" t="s">
        <v>1256</v>
      </c>
      <c r="E132" s="127" t="s">
        <v>79</v>
      </c>
      <c r="F132" s="128" t="s">
        <v>27</v>
      </c>
      <c r="G132" s="128" t="s">
        <v>1638</v>
      </c>
      <c r="H132" s="129" t="s">
        <v>1590</v>
      </c>
      <c r="I132" s="130" t="s">
        <v>1230</v>
      </c>
      <c r="J132" s="131">
        <v>1907</v>
      </c>
      <c r="K132" s="132" t="s">
        <v>1348</v>
      </c>
      <c r="L132" s="136"/>
      <c r="M132" s="134"/>
      <c r="N132" s="135"/>
      <c r="O132" s="133" t="str">
        <f t="shared" si="10"/>
        <v>제08장 근로관계의 종료-제03절 해고의 절차적 정당성-04</v>
      </c>
      <c r="Q132" s="7" t="str">
        <f t="shared" si="11"/>
        <v>2014-1-2-2</v>
      </c>
      <c r="R132" s="7" t="str">
        <f t="shared" si="12"/>
        <v>열기2-01.노동법\02.문제\[기출][2][2014-1-2]단체협약상 규정된 합의 없이 실시한 정리해고의 유효성.txt</v>
      </c>
      <c r="S132" s="7" t="str">
        <f t="shared" si="13"/>
        <v>A</v>
      </c>
      <c r="T132" s="7" t="str">
        <f t="shared" ref="T132:T196" si="14">H132</f>
        <v>단체협약상 규정된 합의 없이 실시한 정리해고의 유효성</v>
      </c>
    </row>
    <row r="133" spans="2:20" ht="14.45" customHeight="1" x14ac:dyDescent="0.2">
      <c r="B133" s="31" t="s">
        <v>414</v>
      </c>
      <c r="C133" s="125" t="s">
        <v>432</v>
      </c>
      <c r="D133" s="126" t="s">
        <v>1256</v>
      </c>
      <c r="E133" s="127" t="s">
        <v>1116</v>
      </c>
      <c r="F133" s="128" t="s">
        <v>31</v>
      </c>
      <c r="G133" s="128" t="s">
        <v>1639</v>
      </c>
      <c r="H133" s="129" t="s">
        <v>1075</v>
      </c>
      <c r="I133" s="130" t="s">
        <v>1076</v>
      </c>
      <c r="J133" s="131">
        <v>1523</v>
      </c>
      <c r="K133" s="132" t="s">
        <v>1348</v>
      </c>
      <c r="L133" s="136" t="s">
        <v>1549</v>
      </c>
      <c r="M133" s="134"/>
      <c r="N133" s="135">
        <v>46212</v>
      </c>
      <c r="O133" s="133" t="str">
        <f t="shared" si="10"/>
        <v>제08장 근로관계의 종료-제03절 해고의 절차적 정당성-05</v>
      </c>
      <c r="Q133" s="7" t="str">
        <f t="shared" si="11"/>
        <v>2016-2-1</v>
      </c>
      <c r="R133" s="7" t="str">
        <f t="shared" si="12"/>
        <v>열기2-01.노동법\02.문제\[기출][1][2016-2]시용기간 만료 시 본채용 거부의 해고 여부 및 구두 통보의 정당성.txt</v>
      </c>
      <c r="S133" s="7" t="str">
        <f t="shared" si="13"/>
        <v>A</v>
      </c>
      <c r="T133" s="7" t="str">
        <f t="shared" si="14"/>
        <v>시용기간 만료 시 본채용 거부의 해고 여부 및 구두 통보의 정당성</v>
      </c>
    </row>
    <row r="134" spans="2:20" ht="14.45" customHeight="1" x14ac:dyDescent="0.2">
      <c r="B134" s="31" t="s">
        <v>414</v>
      </c>
      <c r="C134" s="125" t="s">
        <v>432</v>
      </c>
      <c r="D134" s="126" t="s">
        <v>1256</v>
      </c>
      <c r="E134" s="127" t="s">
        <v>1168</v>
      </c>
      <c r="F134" s="128" t="s">
        <v>31</v>
      </c>
      <c r="G134" s="128" t="s">
        <v>1640</v>
      </c>
      <c r="H134" s="129" t="s">
        <v>1586</v>
      </c>
      <c r="I134" s="130" t="s">
        <v>1587</v>
      </c>
      <c r="J134" s="131">
        <v>2567</v>
      </c>
      <c r="K134" s="132" t="s">
        <v>1348</v>
      </c>
      <c r="L134" s="136"/>
      <c r="M134" s="134"/>
      <c r="N134" s="135">
        <v>46207</v>
      </c>
      <c r="O134" s="133" t="str">
        <f t="shared" si="10"/>
        <v>제08장 근로관계의 종료-제03절 해고의 절차적 정당성-06</v>
      </c>
      <c r="Q134" s="7" t="str">
        <f t="shared" si="11"/>
        <v>2022-1-2-1</v>
      </c>
      <c r="R134" s="7" t="str">
        <f t="shared" si="12"/>
        <v>열기2-01.노동법\02.문제\[기출][1][2022-1-2]근로자가 해고사유를 구두로 인지하고 있는 경우 해고통지서상 해고사유 기재 누락 시 근로기준법 위반 여부.txt</v>
      </c>
      <c r="S134" s="7" t="str">
        <f t="shared" si="13"/>
        <v>A</v>
      </c>
      <c r="T134" s="7" t="str">
        <f t="shared" si="14"/>
        <v>근로자가 해고사유를 구두로 인지하고 있는 경우 해고통지서상 해고사유 기재 누락 시 근로기준법 위반 여부</v>
      </c>
    </row>
    <row r="135" spans="2:20" ht="14.45" customHeight="1" x14ac:dyDescent="0.2">
      <c r="B135" s="31" t="s">
        <v>414</v>
      </c>
      <c r="C135" s="137" t="s">
        <v>432</v>
      </c>
      <c r="D135" s="138" t="s">
        <v>1647</v>
      </c>
      <c r="E135" s="139" t="s">
        <v>1704</v>
      </c>
      <c r="F135" s="140" t="s">
        <v>1705</v>
      </c>
      <c r="G135" s="140" t="s">
        <v>1707</v>
      </c>
      <c r="H135" s="141" t="s">
        <v>1706</v>
      </c>
      <c r="I135" s="142" t="s">
        <v>1709</v>
      </c>
      <c r="J135" s="143">
        <v>3767</v>
      </c>
      <c r="K135" s="144" t="s">
        <v>1348</v>
      </c>
      <c r="L135" s="145" t="s">
        <v>1710</v>
      </c>
      <c r="M135" s="146"/>
      <c r="N135" s="147"/>
      <c r="O135" s="133" t="str">
        <f t="shared" si="10"/>
        <v>제08장 근로관계의 종료-제03절 해고의 절차적 정당성-07</v>
      </c>
      <c r="Q135" s="7" t="str">
        <f t="shared" si="11"/>
        <v>8.02-1-1</v>
      </c>
      <c r="R135" s="7" t="str">
        <f t="shared" si="12"/>
        <v>열기2-01.노동법\02.문제\[모의][1][08.02-1]권고사직을 거부한 근로자에 대한 해고 방안.txt</v>
      </c>
      <c r="S135" s="7" t="str">
        <f t="shared" si="13"/>
        <v>A</v>
      </c>
      <c r="T135" s="7" t="str">
        <f t="shared" si="14"/>
        <v>권고사직을 거부한 근로자에 대한 해고 방안</v>
      </c>
    </row>
    <row r="136" spans="2:20" ht="14.45" customHeight="1" x14ac:dyDescent="0.2">
      <c r="B136" s="31" t="s">
        <v>414</v>
      </c>
      <c r="C136" s="101" t="s">
        <v>436</v>
      </c>
      <c r="D136" s="33" t="s">
        <v>128</v>
      </c>
      <c r="E136" s="69" t="s">
        <v>151</v>
      </c>
      <c r="F136" s="35" t="s">
        <v>31</v>
      </c>
      <c r="G136" s="35" t="s">
        <v>1635</v>
      </c>
      <c r="H136" s="36" t="s">
        <v>164</v>
      </c>
      <c r="I136" s="6" t="s">
        <v>966</v>
      </c>
      <c r="J136" s="37">
        <v>2533</v>
      </c>
      <c r="K136" s="38" t="s">
        <v>1382</v>
      </c>
      <c r="L136" s="298"/>
      <c r="M136" s="40"/>
      <c r="N136" s="41"/>
      <c r="O136" s="39" t="str">
        <f t="shared" si="10"/>
        <v>제08장 근로관계의 종료-제04절 부당해고의 구제-01</v>
      </c>
      <c r="Q136" s="7" t="str">
        <f t="shared" si="11"/>
        <v>근로관계의 종료-1</v>
      </c>
      <c r="R136" s="7" t="str">
        <f t="shared" si="12"/>
        <v>열기2-01.노동법\01.본문\제08장 근로관계의 종료.제04절 부당해고의 구제.txt</v>
      </c>
      <c r="S136" s="7" t="str">
        <f t="shared" si="13"/>
        <v>C</v>
      </c>
      <c r="T136" s="7" t="str">
        <f t="shared" si="14"/>
        <v>부당해고의 구제</v>
      </c>
    </row>
    <row r="137" spans="2:20" ht="14.45" customHeight="1" x14ac:dyDescent="0.2">
      <c r="B137" s="31" t="s">
        <v>414</v>
      </c>
      <c r="C137" s="102" t="s">
        <v>1437</v>
      </c>
      <c r="D137" s="151" t="s">
        <v>1256</v>
      </c>
      <c r="E137" s="152" t="s">
        <v>63</v>
      </c>
      <c r="F137" s="153" t="s">
        <v>419</v>
      </c>
      <c r="G137" s="153" t="s">
        <v>490</v>
      </c>
      <c r="H137" s="154" t="s">
        <v>1899</v>
      </c>
      <c r="I137" s="155" t="s">
        <v>1900</v>
      </c>
      <c r="J137" s="150">
        <v>4510</v>
      </c>
      <c r="K137" s="156" t="s">
        <v>1382</v>
      </c>
      <c r="L137" s="302" t="s">
        <v>1901</v>
      </c>
      <c r="M137" s="158"/>
      <c r="N137" s="159"/>
      <c r="O137" s="157" t="str">
        <f t="shared" si="10"/>
        <v>제08장 근로관계의 종료-제04절 부당해고의 구제-03</v>
      </c>
      <c r="Q137" s="7" t="str">
        <f t="shared" ref="Q137" si="15">E137&amp;"-"&amp;F137</f>
        <v>2012-1-2-1</v>
      </c>
      <c r="R137" s="7" t="str">
        <f t="shared" ref="R137" si="16">I137</f>
        <v>열기2-01.노동법\02.문제\[기출][1][2012-1-2]부당해고기간 중 지급받지 못한 개근 표창의 청구 가능성.txt</v>
      </c>
      <c r="S137" s="7" t="str">
        <f t="shared" ref="S137" si="17">K137</f>
        <v>C</v>
      </c>
      <c r="T137" s="7" t="str">
        <f t="shared" ref="T137" si="18">H137</f>
        <v>부당해고기간 중 지급받지 못한 개근 표창의 청구 가능성</v>
      </c>
    </row>
    <row r="138" spans="2:20" ht="14.45" customHeight="1" x14ac:dyDescent="0.2">
      <c r="B138" s="31" t="s">
        <v>414</v>
      </c>
      <c r="C138" s="102" t="s">
        <v>436</v>
      </c>
      <c r="D138" s="43" t="s">
        <v>1256</v>
      </c>
      <c r="E138" s="70" t="s">
        <v>284</v>
      </c>
      <c r="F138" s="46" t="s">
        <v>31</v>
      </c>
      <c r="G138" s="46" t="s">
        <v>1636</v>
      </c>
      <c r="H138" s="47" t="s">
        <v>1119</v>
      </c>
      <c r="I138" s="48" t="s">
        <v>1120</v>
      </c>
      <c r="J138" s="49">
        <v>1984</v>
      </c>
      <c r="K138" s="50" t="s">
        <v>1382</v>
      </c>
      <c r="L138" s="68"/>
      <c r="M138" s="52"/>
      <c r="N138" s="53"/>
      <c r="O138" s="51" t="str">
        <f t="shared" si="10"/>
        <v>제08장 근로관계의 종료-제04절 부당해고의 구제-02</v>
      </c>
      <c r="Q138" s="7" t="str">
        <f t="shared" si="11"/>
        <v>2021-2-1</v>
      </c>
      <c r="R138" s="7" t="str">
        <f t="shared" si="12"/>
        <v>열기2-01.노동법\02.문제\[기출][1][2021-2]정년 도달로 근로관계가 종료된 경우 부당해고 재심판정취소소송의 소의 이익 존부.txt</v>
      </c>
      <c r="S138" s="7" t="str">
        <f t="shared" si="13"/>
        <v>C</v>
      </c>
      <c r="T138" s="7" t="str">
        <f t="shared" si="14"/>
        <v>정년 도달로 근로관계가 종료된 경우 부당해고 재심판정취소소송의 소의 이익 존부</v>
      </c>
    </row>
    <row r="139" spans="2:20" ht="14.45" customHeight="1" x14ac:dyDescent="0.2">
      <c r="B139" s="31" t="s">
        <v>414</v>
      </c>
      <c r="C139" s="102" t="s">
        <v>436</v>
      </c>
      <c r="D139" s="43" t="s">
        <v>1256</v>
      </c>
      <c r="E139" s="70" t="s">
        <v>282</v>
      </c>
      <c r="F139" s="46" t="s">
        <v>31</v>
      </c>
      <c r="G139" s="46" t="s">
        <v>1637</v>
      </c>
      <c r="H139" s="47" t="s">
        <v>1625</v>
      </c>
      <c r="I139" s="48" t="s">
        <v>1626</v>
      </c>
      <c r="J139" s="49">
        <v>2661</v>
      </c>
      <c r="K139" s="50" t="s">
        <v>1382</v>
      </c>
      <c r="L139" s="68"/>
      <c r="M139" s="52"/>
      <c r="N139" s="53"/>
      <c r="O139" s="51" t="str">
        <f t="shared" si="10"/>
        <v>제08장 근로관계의 종료-제04절 부당해고의 구제-03</v>
      </c>
      <c r="Q139" s="7" t="str">
        <f t="shared" si="11"/>
        <v>2024-2-1</v>
      </c>
      <c r="R139" s="7" t="str">
        <f t="shared" si="12"/>
        <v>열기2-01.노동법\02.문제\[기출][1][2024-2]부당해고 기간 중 중간수입공제의 범위와 최종 임금상당액 산정.txt</v>
      </c>
      <c r="S139" s="7" t="str">
        <f t="shared" si="13"/>
        <v>C</v>
      </c>
      <c r="T139" s="7" t="str">
        <f t="shared" si="14"/>
        <v>부당해고 기간 중 중간수입공제의 범위와 최종 임금상당액 산정</v>
      </c>
    </row>
    <row r="140" spans="2:20" ht="14.45" customHeight="1" thickBot="1" x14ac:dyDescent="0.25">
      <c r="B140" s="74" t="s">
        <v>414</v>
      </c>
      <c r="C140" s="103" t="s">
        <v>436</v>
      </c>
      <c r="D140" s="76" t="s">
        <v>308</v>
      </c>
      <c r="E140" s="98" t="s">
        <v>1525</v>
      </c>
      <c r="F140" s="78" t="s">
        <v>31</v>
      </c>
      <c r="G140" s="99" t="s">
        <v>1638</v>
      </c>
      <c r="H140" s="79" t="s">
        <v>342</v>
      </c>
      <c r="I140" s="80" t="s">
        <v>1283</v>
      </c>
      <c r="J140" s="81">
        <v>5101</v>
      </c>
      <c r="K140" s="82" t="s">
        <v>1382</v>
      </c>
      <c r="L140" s="161"/>
      <c r="M140" s="84"/>
      <c r="N140" s="85"/>
      <c r="O140" s="83" t="str">
        <f t="shared" si="10"/>
        <v>제08장 근로관계의 종료-제04절 부당해고의 구제-04</v>
      </c>
      <c r="Q140" s="7" t="str">
        <f t="shared" si="11"/>
        <v>대법원 2025.03.13. 선고 2024두54683 판결-1</v>
      </c>
      <c r="R140" s="7" t="str">
        <f t="shared" si="12"/>
        <v>열기2-01.노동법\03.판례\[대법원 2025.03.13. 선고 2024두54683 판결]복직명령과 금전보상명령의 구제이익.txt</v>
      </c>
      <c r="S140" s="7" t="str">
        <f t="shared" si="13"/>
        <v>C</v>
      </c>
      <c r="T140" s="7" t="str">
        <f t="shared" si="14"/>
        <v>복직명령과 금전보상명령의 구제이익</v>
      </c>
    </row>
    <row r="141" spans="2:20" ht="14.45" customHeight="1" x14ac:dyDescent="0.2">
      <c r="B141" s="19" t="s">
        <v>421</v>
      </c>
      <c r="C141" s="86" t="s">
        <v>422</v>
      </c>
      <c r="D141" s="87" t="s">
        <v>128</v>
      </c>
      <c r="E141" s="88" t="s">
        <v>152</v>
      </c>
      <c r="F141" s="89" t="s">
        <v>31</v>
      </c>
      <c r="G141" s="89" t="s">
        <v>1635</v>
      </c>
      <c r="H141" s="90" t="s">
        <v>165</v>
      </c>
      <c r="I141" s="91" t="s">
        <v>967</v>
      </c>
      <c r="J141" s="92">
        <v>2206</v>
      </c>
      <c r="K141" s="93" t="s">
        <v>1382</v>
      </c>
      <c r="L141" s="299"/>
      <c r="M141" s="95"/>
      <c r="N141" s="96"/>
      <c r="O141" s="94" t="str">
        <f t="shared" si="10"/>
        <v>제09장 비정규근로자-제01절 기간제근로자-01</v>
      </c>
      <c r="Q141" s="7" t="str">
        <f t="shared" si="11"/>
        <v>비정규근로자-1</v>
      </c>
      <c r="R141" s="7" t="str">
        <f t="shared" si="12"/>
        <v>열기2-01.노동법\01.본문\제09장 비정규근로자.제01절 기간제근로자.txt</v>
      </c>
      <c r="S141" s="7" t="str">
        <f t="shared" si="13"/>
        <v>C</v>
      </c>
      <c r="T141" s="7" t="str">
        <f t="shared" si="14"/>
        <v>기간제근로자</v>
      </c>
    </row>
    <row r="142" spans="2:20" ht="14.45" customHeight="1" x14ac:dyDescent="0.2">
      <c r="B142" s="31" t="s">
        <v>421</v>
      </c>
      <c r="C142" s="42" t="s">
        <v>422</v>
      </c>
      <c r="D142" s="43" t="s">
        <v>1256</v>
      </c>
      <c r="E142" s="70" t="s">
        <v>237</v>
      </c>
      <c r="F142" s="46" t="s">
        <v>31</v>
      </c>
      <c r="G142" s="46" t="s">
        <v>1636</v>
      </c>
      <c r="H142" s="47" t="s">
        <v>1117</v>
      </c>
      <c r="I142" s="48" t="s">
        <v>1118</v>
      </c>
      <c r="J142" s="49">
        <v>2588</v>
      </c>
      <c r="K142" s="50" t="s">
        <v>1382</v>
      </c>
      <c r="L142" s="68" t="s">
        <v>1549</v>
      </c>
      <c r="M142" s="52"/>
      <c r="N142" s="53"/>
      <c r="O142" s="51" t="str">
        <f t="shared" si="10"/>
        <v>제09장 비정규근로자-제01절 기간제근로자-02</v>
      </c>
      <c r="Q142" s="7" t="str">
        <f t="shared" si="11"/>
        <v>2011-2-1</v>
      </c>
      <c r="R142" s="7" t="str">
        <f t="shared" si="12"/>
        <v>열기2-01.노동법\02.문제\[기출][1][2011-2]기간제 근로자와 회사가 주장할 수 있는 해고 관련 노동법상 쟁점(해고의 절차 및 구제신청의 이익).txt</v>
      </c>
      <c r="S142" s="7" t="str">
        <f t="shared" si="13"/>
        <v>C</v>
      </c>
      <c r="T142" s="7" t="str">
        <f t="shared" si="14"/>
        <v>기간제 근로자와 회사가 주장할 수 있는 해고 관련 노동법상 쟁점(해고의 절차 및 구제신청의 이익)</v>
      </c>
    </row>
    <row r="143" spans="2:20" ht="14.45" customHeight="1" x14ac:dyDescent="0.2">
      <c r="B143" s="31" t="s">
        <v>421</v>
      </c>
      <c r="C143" s="42" t="s">
        <v>422</v>
      </c>
      <c r="D143" s="43" t="s">
        <v>1256</v>
      </c>
      <c r="E143" s="70" t="s">
        <v>1169</v>
      </c>
      <c r="F143" s="46" t="s">
        <v>31</v>
      </c>
      <c r="G143" s="46" t="s">
        <v>1637</v>
      </c>
      <c r="H143" s="47" t="s">
        <v>1123</v>
      </c>
      <c r="I143" s="48" t="s">
        <v>1124</v>
      </c>
      <c r="J143" s="49">
        <v>1438</v>
      </c>
      <c r="K143" s="50" t="s">
        <v>1382</v>
      </c>
      <c r="L143" s="68"/>
      <c r="M143" s="52"/>
      <c r="N143" s="53"/>
      <c r="O143" s="51" t="str">
        <f t="shared" si="10"/>
        <v>제09장 비정규근로자-제01절 기간제근로자-03</v>
      </c>
      <c r="Q143" s="7" t="str">
        <f t="shared" si="11"/>
        <v>2018-2-1</v>
      </c>
      <c r="R143" s="7" t="str">
        <f t="shared" si="12"/>
        <v>열기2-01.노동법\02.문제\[기출][1][2018-2]기간제 근로계약 만료 시 사용자의 갱신거절이 부당해고에 해당하는지에 관한 판례법리.txt</v>
      </c>
      <c r="S143" s="7" t="str">
        <f t="shared" si="13"/>
        <v>C</v>
      </c>
      <c r="T143" s="7" t="str">
        <f t="shared" si="14"/>
        <v>기간제 근로계약 만료 시 사용자의 갱신거절이 부당해고에 해당하는지에 관한 판례법리</v>
      </c>
    </row>
    <row r="144" spans="2:20" ht="14.45" customHeight="1" x14ac:dyDescent="0.2">
      <c r="B144" s="31" t="s">
        <v>421</v>
      </c>
      <c r="C144" s="54" t="s">
        <v>422</v>
      </c>
      <c r="D144" s="55" t="s">
        <v>1256</v>
      </c>
      <c r="E144" s="97" t="s">
        <v>83</v>
      </c>
      <c r="F144" s="58" t="s">
        <v>31</v>
      </c>
      <c r="G144" s="58" t="s">
        <v>1638</v>
      </c>
      <c r="H144" s="59" t="s">
        <v>1121</v>
      </c>
      <c r="I144" s="60" t="s">
        <v>1122</v>
      </c>
      <c r="J144" s="61">
        <v>2990</v>
      </c>
      <c r="K144" s="62" t="s">
        <v>1382</v>
      </c>
      <c r="L144" s="100"/>
      <c r="M144" s="64"/>
      <c r="N144" s="65"/>
      <c r="O144" s="63" t="str">
        <f t="shared" si="10"/>
        <v>제09장 비정규근로자-제01절 기간제근로자-04</v>
      </c>
      <c r="Q144" s="7" t="str">
        <f t="shared" si="11"/>
        <v>2024-1-1-1</v>
      </c>
      <c r="R144" s="7" t="str">
        <f t="shared" si="12"/>
        <v>열기2-01.노동법\02.문제\[기출][1][2024-1-1]기간제 근로자에 대한 근무평가 결과에 기초한 갱신거절 통보의 정당성 여부.txt</v>
      </c>
      <c r="S144" s="7" t="str">
        <f t="shared" si="13"/>
        <v>C</v>
      </c>
      <c r="T144" s="7" t="str">
        <f t="shared" si="14"/>
        <v>기간제 근로자에 대한 근무평가 결과에 기초한 갱신거절 통보의 정당성 여부</v>
      </c>
    </row>
    <row r="145" spans="2:20" ht="14.45" customHeight="1" x14ac:dyDescent="0.2">
      <c r="B145" s="31" t="s">
        <v>421</v>
      </c>
      <c r="C145" s="32" t="s">
        <v>1439</v>
      </c>
      <c r="D145" s="33" t="s">
        <v>128</v>
      </c>
      <c r="E145" s="69" t="s">
        <v>152</v>
      </c>
      <c r="F145" s="35" t="s">
        <v>31</v>
      </c>
      <c r="G145" s="35" t="s">
        <v>1635</v>
      </c>
      <c r="H145" s="36" t="s">
        <v>166</v>
      </c>
      <c r="I145" s="6" t="s">
        <v>968</v>
      </c>
      <c r="J145" s="37">
        <v>2023</v>
      </c>
      <c r="K145" s="38" t="s">
        <v>1348</v>
      </c>
      <c r="L145" s="298"/>
      <c r="M145" s="40"/>
      <c r="N145" s="41"/>
      <c r="O145" s="39" t="str">
        <f t="shared" si="10"/>
        <v>제09장 비정규근로자-제02절 단시간근로자-01</v>
      </c>
      <c r="Q145" s="7" t="str">
        <f t="shared" si="11"/>
        <v>비정규근로자-1</v>
      </c>
      <c r="R145" s="7" t="str">
        <f t="shared" si="12"/>
        <v>열기2-01.노동법\01.본문\제09장 비정규근로자.제02절 단시간근로자.txt</v>
      </c>
      <c r="S145" s="7" t="str">
        <f t="shared" si="13"/>
        <v>A</v>
      </c>
      <c r="T145" s="7" t="str">
        <f t="shared" si="14"/>
        <v>단시간근로자</v>
      </c>
    </row>
    <row r="146" spans="2:20" ht="14.45" customHeight="1" x14ac:dyDescent="0.2">
      <c r="B146" s="31" t="s">
        <v>421</v>
      </c>
      <c r="C146" s="42" t="s">
        <v>1439</v>
      </c>
      <c r="D146" s="43" t="s">
        <v>1647</v>
      </c>
      <c r="E146" s="70" t="s">
        <v>1579</v>
      </c>
      <c r="F146" s="46" t="s">
        <v>31</v>
      </c>
      <c r="G146" s="46" t="s">
        <v>1636</v>
      </c>
      <c r="H146" s="47" t="s">
        <v>1367</v>
      </c>
      <c r="I146" s="48" t="s">
        <v>1674</v>
      </c>
      <c r="J146" s="49">
        <v>2051</v>
      </c>
      <c r="K146" s="50" t="s">
        <v>1349</v>
      </c>
      <c r="L146" s="68"/>
      <c r="M146" s="52"/>
      <c r="N146" s="53">
        <v>46212</v>
      </c>
      <c r="O146" s="51" t="str">
        <f t="shared" si="10"/>
        <v>제09장 비정규근로자-제02절 단시간근로자-02</v>
      </c>
      <c r="Q146" s="7" t="str">
        <f t="shared" si="11"/>
        <v>9.02-1-1</v>
      </c>
      <c r="R146" s="7" t="str">
        <f t="shared" si="12"/>
        <v>열기2-01.노동법\02.문제\[모의][1][09.02-1]단시간근로자의 초과근로 가산수당 지급 요건 및 근로자의 가산임금 청구권 인정 여부.txt</v>
      </c>
      <c r="S146" s="7" t="str">
        <f t="shared" si="13"/>
        <v>A</v>
      </c>
      <c r="T146" s="7" t="str">
        <f t="shared" si="14"/>
        <v>단시간근로자의 초과근로 가산수당 지급 요건 및 근로자의 가산임금 청구권 인정 여부</v>
      </c>
    </row>
    <row r="147" spans="2:20" ht="14.45" customHeight="1" x14ac:dyDescent="0.2">
      <c r="B147" s="31" t="s">
        <v>421</v>
      </c>
      <c r="C147" s="54" t="s">
        <v>1439</v>
      </c>
      <c r="D147" s="55" t="s">
        <v>1647</v>
      </c>
      <c r="E147" s="97" t="s">
        <v>1580</v>
      </c>
      <c r="F147" s="58" t="s">
        <v>31</v>
      </c>
      <c r="G147" s="58" t="s">
        <v>1637</v>
      </c>
      <c r="H147" s="59" t="s">
        <v>1368</v>
      </c>
      <c r="I147" s="60" t="s">
        <v>1675</v>
      </c>
      <c r="J147" s="61">
        <v>1973</v>
      </c>
      <c r="K147" s="62" t="s">
        <v>1349</v>
      </c>
      <c r="L147" s="100"/>
      <c r="M147" s="64"/>
      <c r="N147" s="65">
        <v>46212</v>
      </c>
      <c r="O147" s="63" t="str">
        <f t="shared" si="10"/>
        <v>제09장 비정규근로자-제02절 단시간근로자-03</v>
      </c>
      <c r="Q147" s="7" t="str">
        <f t="shared" si="11"/>
        <v>9.02-2-1</v>
      </c>
      <c r="R147" s="7" t="str">
        <f t="shared" si="12"/>
        <v>열기2-01.노동법\02.문제\[모의][1][09.02-2]차별적 처우 금지 원칙과 상여금 미지급의 합리적 이유 없는 차별 해당 여부.txt</v>
      </c>
      <c r="S147" s="7" t="str">
        <f t="shared" si="13"/>
        <v>A</v>
      </c>
      <c r="T147" s="7" t="str">
        <f t="shared" si="14"/>
        <v>차별적 처우 금지 원칙과 상여금 미지급의 합리적 이유 없는 차별 해당 여부</v>
      </c>
    </row>
    <row r="148" spans="2:20" ht="14.45" customHeight="1" x14ac:dyDescent="0.2">
      <c r="B148" s="31" t="s">
        <v>421</v>
      </c>
      <c r="C148" s="32" t="s">
        <v>429</v>
      </c>
      <c r="D148" s="33" t="s">
        <v>128</v>
      </c>
      <c r="E148" s="69" t="s">
        <v>152</v>
      </c>
      <c r="F148" s="35" t="s">
        <v>31</v>
      </c>
      <c r="G148" s="35" t="s">
        <v>1635</v>
      </c>
      <c r="H148" s="36" t="s">
        <v>167</v>
      </c>
      <c r="I148" s="6" t="s">
        <v>969</v>
      </c>
      <c r="J148" s="37">
        <v>1974</v>
      </c>
      <c r="K148" s="38" t="s">
        <v>1382</v>
      </c>
      <c r="L148" s="298"/>
      <c r="M148" s="40"/>
      <c r="N148" s="41"/>
      <c r="O148" s="39" t="str">
        <f t="shared" si="10"/>
        <v>제09장 비정규근로자-제03절 파견근로자-01</v>
      </c>
      <c r="Q148" s="7" t="str">
        <f t="shared" si="11"/>
        <v>비정규근로자-1</v>
      </c>
      <c r="R148" s="7" t="str">
        <f t="shared" si="12"/>
        <v>열기2-01.노동법\01.본문\제09장 비정규근로자.제03절 파견근로자.txt</v>
      </c>
      <c r="S148" s="7" t="str">
        <f t="shared" si="13"/>
        <v>C</v>
      </c>
      <c r="T148" s="7" t="str">
        <f t="shared" si="14"/>
        <v>파견근로자</v>
      </c>
    </row>
    <row r="149" spans="2:20" ht="14.45" customHeight="1" x14ac:dyDescent="0.2">
      <c r="B149" s="31" t="s">
        <v>421</v>
      </c>
      <c r="C149" s="42" t="s">
        <v>429</v>
      </c>
      <c r="D149" s="43" t="s">
        <v>1256</v>
      </c>
      <c r="E149" s="70" t="s">
        <v>1156</v>
      </c>
      <c r="F149" s="46" t="s">
        <v>31</v>
      </c>
      <c r="G149" s="46" t="s">
        <v>1636</v>
      </c>
      <c r="H149" s="47" t="s">
        <v>1022</v>
      </c>
      <c r="I149" s="48" t="s">
        <v>1023</v>
      </c>
      <c r="J149" s="49">
        <v>2909</v>
      </c>
      <c r="K149" s="50" t="s">
        <v>1382</v>
      </c>
      <c r="L149" s="68" t="s">
        <v>1549</v>
      </c>
      <c r="M149" s="52"/>
      <c r="N149" s="53"/>
      <c r="O149" s="51" t="str">
        <f t="shared" si="10"/>
        <v>제09장 비정규근로자-제03절 파견근로자-02</v>
      </c>
      <c r="Q149" s="7" t="str">
        <f t="shared" si="11"/>
        <v>2020-1-1-1</v>
      </c>
      <c r="R149" s="7" t="str">
        <f t="shared" si="12"/>
        <v>열기2-01.노동법\02.문제\[기출][1][2020-1-1]명목상 외주업체 소속 근로자의 실질적 사업주 판단 기준.txt</v>
      </c>
      <c r="S149" s="7" t="str">
        <f t="shared" si="13"/>
        <v>C</v>
      </c>
      <c r="T149" s="7" t="str">
        <f t="shared" si="14"/>
        <v>명목상 외주업체 소속 근로자의 실질적 사업주 판단 기준</v>
      </c>
    </row>
    <row r="150" spans="2:20" ht="14.45" customHeight="1" x14ac:dyDescent="0.2">
      <c r="B150" s="31" t="s">
        <v>421</v>
      </c>
      <c r="C150" s="42" t="s">
        <v>429</v>
      </c>
      <c r="D150" s="43" t="s">
        <v>1256</v>
      </c>
      <c r="E150" s="70" t="s">
        <v>85</v>
      </c>
      <c r="F150" s="46" t="s">
        <v>31</v>
      </c>
      <c r="G150" s="46" t="s">
        <v>1637</v>
      </c>
      <c r="H150" s="47" t="s">
        <v>1627</v>
      </c>
      <c r="I150" s="48" t="s">
        <v>1628</v>
      </c>
      <c r="J150" s="49">
        <v>2695</v>
      </c>
      <c r="K150" s="50" t="s">
        <v>1382</v>
      </c>
      <c r="L150" s="68"/>
      <c r="M150" s="52"/>
      <c r="N150" s="53"/>
      <c r="O150" s="51" t="str">
        <f t="shared" si="10"/>
        <v>제09장 비정규근로자-제03절 파견근로자-03</v>
      </c>
      <c r="Q150" s="7" t="str">
        <f t="shared" si="11"/>
        <v>2020-1-2-1</v>
      </c>
      <c r="R150" s="7" t="str">
        <f t="shared" si="12"/>
        <v>열기2-01.노동법\02.문제\[기출][1][2020-1-2]통행료 수납원의 근로자파견 여부 및 무허가 파견에 따른 직접고용의무.txt</v>
      </c>
      <c r="S150" s="7" t="str">
        <f t="shared" si="13"/>
        <v>C</v>
      </c>
      <c r="T150" s="7" t="str">
        <f t="shared" si="14"/>
        <v>통행료 수납원의 근로자파견 여부 및 무허가 파견에 따른 직접고용의무</v>
      </c>
    </row>
    <row r="151" spans="2:20" ht="14.45" customHeight="1" x14ac:dyDescent="0.2">
      <c r="B151" s="31" t="s">
        <v>421</v>
      </c>
      <c r="C151" s="42" t="s">
        <v>429</v>
      </c>
      <c r="D151" s="43" t="s">
        <v>1256</v>
      </c>
      <c r="E151" s="70" t="s">
        <v>84</v>
      </c>
      <c r="F151" s="46" t="s">
        <v>31</v>
      </c>
      <c r="G151" s="46" t="s">
        <v>1638</v>
      </c>
      <c r="H151" s="47" t="s">
        <v>1125</v>
      </c>
      <c r="I151" s="48" t="s">
        <v>1126</v>
      </c>
      <c r="J151" s="49">
        <v>1761</v>
      </c>
      <c r="K151" s="50" t="s">
        <v>1382</v>
      </c>
      <c r="L151" s="68"/>
      <c r="M151" s="52"/>
      <c r="N151" s="53"/>
      <c r="O151" s="51" t="str">
        <f t="shared" si="10"/>
        <v>제09장 비정규근로자-제03절 파견근로자-04</v>
      </c>
      <c r="Q151" s="7" t="str">
        <f t="shared" si="11"/>
        <v>2023-2-1</v>
      </c>
      <c r="R151" s="7" t="str">
        <f t="shared" si="12"/>
        <v>열기2-01.노동법\02.문제\[기출][1][2023-2]근로계약관계의 실질적 사용자 및 계약의 형태(도급, 전적, 파견)에 따른 직접고용의무 판단.txt</v>
      </c>
      <c r="S151" s="7" t="str">
        <f t="shared" si="13"/>
        <v>C</v>
      </c>
      <c r="T151" s="7" t="str">
        <f t="shared" si="14"/>
        <v>근로계약관계의 실질적 사용자 및 계약의 형태(도급, 전적, 파견)에 따른 직접고용의무 판단</v>
      </c>
    </row>
    <row r="152" spans="2:20" ht="14.45" customHeight="1" x14ac:dyDescent="0.2">
      <c r="B152" s="31" t="s">
        <v>421</v>
      </c>
      <c r="C152" s="42" t="s">
        <v>429</v>
      </c>
      <c r="D152" s="43" t="s">
        <v>308</v>
      </c>
      <c r="E152" s="73" t="s">
        <v>1527</v>
      </c>
      <c r="F152" s="46" t="s">
        <v>31</v>
      </c>
      <c r="G152" s="45" t="s">
        <v>1639</v>
      </c>
      <c r="H152" s="47" t="s">
        <v>346</v>
      </c>
      <c r="I152" s="48" t="s">
        <v>1285</v>
      </c>
      <c r="J152" s="49">
        <v>2606</v>
      </c>
      <c r="K152" s="50" t="s">
        <v>1382</v>
      </c>
      <c r="L152" s="68"/>
      <c r="M152" s="52"/>
      <c r="N152" s="53"/>
      <c r="O152" s="51" t="str">
        <f t="shared" si="10"/>
        <v>제09장 비정규근로자-제03절 파견근로자-05</v>
      </c>
      <c r="Q152" s="7" t="str">
        <f t="shared" si="11"/>
        <v>대법원 2025.06.12. 선고 2022다166, 2022다173(병합), 2022다180(병합) 판결-1</v>
      </c>
      <c r="R152" s="7" t="str">
        <f t="shared" si="12"/>
        <v>열기2-01.노동법\03.판례\[대법원 2025.06.12. 선고 2022다166, 2022다173(병합), 2022다180(병합) 판결]근로자파견관계 판단의 판단기준.txt</v>
      </c>
      <c r="S152" s="7" t="str">
        <f t="shared" si="13"/>
        <v>C</v>
      </c>
      <c r="T152" s="7" t="str">
        <f t="shared" si="14"/>
        <v>근로자파견관계 판단의 판단기준</v>
      </c>
    </row>
    <row r="153" spans="2:20" ht="14.45" customHeight="1" x14ac:dyDescent="0.2">
      <c r="B153" s="31" t="s">
        <v>421</v>
      </c>
      <c r="C153" s="54" t="s">
        <v>429</v>
      </c>
      <c r="D153" s="55" t="s">
        <v>308</v>
      </c>
      <c r="E153" s="71" t="s">
        <v>1526</v>
      </c>
      <c r="F153" s="58" t="s">
        <v>31</v>
      </c>
      <c r="G153" s="57" t="s">
        <v>1640</v>
      </c>
      <c r="H153" s="59" t="s">
        <v>343</v>
      </c>
      <c r="I153" s="60" t="s">
        <v>1284</v>
      </c>
      <c r="J153" s="61">
        <v>4099</v>
      </c>
      <c r="K153" s="62" t="s">
        <v>1382</v>
      </c>
      <c r="L153" s="100"/>
      <c r="M153" s="64"/>
      <c r="N153" s="65"/>
      <c r="O153" s="63" t="str">
        <f t="shared" si="10"/>
        <v>제09장 비정규근로자-제03절 파견근로자-06</v>
      </c>
      <c r="Q153" s="7" t="str">
        <f t="shared" si="11"/>
        <v>서울고등법원 2025.01.10. 선고 2024나2008315 판결-1</v>
      </c>
      <c r="R153" s="7" t="str">
        <f t="shared" si="12"/>
        <v>열기2-01.노동법\03.판례\[서울고등법원 2025.01.10. 선고 2024나2008315 판결]임원수행기사 도급 업무의 파견 해당 여부.txt</v>
      </c>
      <c r="S153" s="7" t="str">
        <f t="shared" si="13"/>
        <v>C</v>
      </c>
      <c r="T153" s="7" t="str">
        <f t="shared" si="14"/>
        <v>임원수행기사 도급 업무의 파견 해당 여부</v>
      </c>
    </row>
    <row r="154" spans="2:20" ht="14.45" customHeight="1" x14ac:dyDescent="0.2">
      <c r="B154" s="31" t="s">
        <v>421</v>
      </c>
      <c r="C154" s="101" t="s">
        <v>1485</v>
      </c>
      <c r="D154" s="33" t="s">
        <v>128</v>
      </c>
      <c r="E154" s="69" t="s">
        <v>152</v>
      </c>
      <c r="F154" s="35" t="s">
        <v>31</v>
      </c>
      <c r="G154" s="35" t="s">
        <v>1635</v>
      </c>
      <c r="H154" s="36" t="s">
        <v>168</v>
      </c>
      <c r="I154" s="6" t="s">
        <v>970</v>
      </c>
      <c r="J154" s="37">
        <v>2657</v>
      </c>
      <c r="K154" s="38" t="s">
        <v>1383</v>
      </c>
      <c r="L154" s="298"/>
      <c r="M154" s="40"/>
      <c r="N154" s="41"/>
      <c r="O154" s="39" t="str">
        <f t="shared" si="10"/>
        <v>제09장 비정규근로자-제04절 차별 시정-01</v>
      </c>
      <c r="Q154" s="7" t="str">
        <f t="shared" si="11"/>
        <v>비정규근로자-1</v>
      </c>
      <c r="R154" s="7" t="str">
        <f t="shared" si="12"/>
        <v>열기2-01.노동법\01.본문\제09장 비정규근로자.제04절 차별시정.txt</v>
      </c>
      <c r="S154" s="7" t="str">
        <f t="shared" si="13"/>
        <v>B</v>
      </c>
      <c r="T154" s="7" t="str">
        <f t="shared" si="14"/>
        <v>차별시정</v>
      </c>
    </row>
    <row r="155" spans="2:20" ht="14.45" customHeight="1" x14ac:dyDescent="0.2">
      <c r="B155" s="31" t="s">
        <v>421</v>
      </c>
      <c r="C155" s="102" t="s">
        <v>1485</v>
      </c>
      <c r="D155" s="43" t="s">
        <v>1256</v>
      </c>
      <c r="E155" s="70" t="s">
        <v>1170</v>
      </c>
      <c r="F155" s="46" t="s">
        <v>31</v>
      </c>
      <c r="G155" s="46" t="s">
        <v>1636</v>
      </c>
      <c r="H155" s="47" t="s">
        <v>1015</v>
      </c>
      <c r="I155" s="48" t="s">
        <v>926</v>
      </c>
      <c r="J155" s="49">
        <v>3591</v>
      </c>
      <c r="K155" s="50" t="s">
        <v>1383</v>
      </c>
      <c r="L155" s="68" t="s">
        <v>1753</v>
      </c>
      <c r="M155" s="52"/>
      <c r="N155" s="53"/>
      <c r="O155" s="51" t="str">
        <f t="shared" si="10"/>
        <v>제09장 비정규근로자-제04절 차별 시정-02</v>
      </c>
      <c r="Q155" s="7" t="str">
        <f t="shared" si="11"/>
        <v>2017-2-1</v>
      </c>
      <c r="R155" s="7" t="str">
        <f t="shared" si="12"/>
        <v>열기2-01.노동법\02.문제\[기출][1][2017-2]계약직에서 정규직으로 전환된 근로자에 대한 경력 인정 차별의 정당성 여부.txt</v>
      </c>
      <c r="S155" s="7" t="str">
        <f t="shared" si="13"/>
        <v>B</v>
      </c>
      <c r="T155" s="7" t="str">
        <f t="shared" si="14"/>
        <v>계약직에서 정규직으로 전환된 근로자에 대한 경력 인정 차별의 정당성 여부</v>
      </c>
    </row>
    <row r="156" spans="2:20" ht="14.45" customHeight="1" thickBot="1" x14ac:dyDescent="0.25">
      <c r="B156" s="74" t="s">
        <v>421</v>
      </c>
      <c r="C156" s="103" t="s">
        <v>1485</v>
      </c>
      <c r="D156" s="76" t="s">
        <v>308</v>
      </c>
      <c r="E156" s="98" t="s">
        <v>1528</v>
      </c>
      <c r="F156" s="78" t="s">
        <v>31</v>
      </c>
      <c r="G156" s="99" t="s">
        <v>1637</v>
      </c>
      <c r="H156" s="79" t="s">
        <v>329</v>
      </c>
      <c r="I156" s="80" t="s">
        <v>1286</v>
      </c>
      <c r="J156" s="81">
        <v>4718</v>
      </c>
      <c r="K156" s="82" t="s">
        <v>1383</v>
      </c>
      <c r="L156" s="161"/>
      <c r="M156" s="84"/>
      <c r="N156" s="85"/>
      <c r="O156" s="83" t="str">
        <f t="shared" si="10"/>
        <v>제09장 비정규근로자-제04절 차별 시정-03</v>
      </c>
      <c r="Q156" s="7" t="str">
        <f t="shared" si="11"/>
        <v>서울중앙지방법원 2024.10.24. 선고 2022가합557780 판결-1</v>
      </c>
      <c r="R156" s="7" t="str">
        <f t="shared" si="12"/>
        <v>열기2-01.노동법\03.판례\[서울중앙지방법원 2024.10.24. 선고 2022가합557780 판결]체험형・채용형 인턴에게 성과급을 미지급한 것이 차별적 처우인가.txt</v>
      </c>
      <c r="S156" s="7" t="str">
        <f t="shared" si="13"/>
        <v>B</v>
      </c>
      <c r="T156" s="7" t="str">
        <f t="shared" si="14"/>
        <v>체험형・채용형 인턴에게 성과급을 미지급한 것이 차별적 처우인가</v>
      </c>
    </row>
    <row r="157" spans="2:20" ht="14.45" customHeight="1" x14ac:dyDescent="0.2">
      <c r="B157" s="19" t="s">
        <v>398</v>
      </c>
      <c r="C157" s="86" t="s">
        <v>439</v>
      </c>
      <c r="D157" s="87" t="s">
        <v>128</v>
      </c>
      <c r="E157" s="88" t="s">
        <v>153</v>
      </c>
      <c r="F157" s="89" t="s">
        <v>31</v>
      </c>
      <c r="G157" s="89" t="s">
        <v>1635</v>
      </c>
      <c r="H157" s="90" t="s">
        <v>46</v>
      </c>
      <c r="I157" s="91" t="s">
        <v>971</v>
      </c>
      <c r="J157" s="92">
        <v>1313</v>
      </c>
      <c r="K157" s="93" t="s">
        <v>1348</v>
      </c>
      <c r="L157" s="299"/>
      <c r="M157" s="95"/>
      <c r="N157" s="96"/>
      <c r="O157" s="94" t="str">
        <f t="shared" si="10"/>
        <v>제10장 업무상 재해 등-제01절 업무상 재해-01</v>
      </c>
      <c r="Q157" s="7" t="str">
        <f t="shared" si="11"/>
        <v>업무상 재해 등-1</v>
      </c>
      <c r="R157" s="7" t="str">
        <f t="shared" si="12"/>
        <v>열기2-01.노동법\01.본문\제10장 업무상 재해 등.제01절 업무상 재해.txt</v>
      </c>
      <c r="S157" s="7" t="str">
        <f t="shared" si="13"/>
        <v>A</v>
      </c>
      <c r="T157" s="7" t="str">
        <f t="shared" si="14"/>
        <v>업무상 재해</v>
      </c>
    </row>
    <row r="158" spans="2:20" ht="14.45" customHeight="1" x14ac:dyDescent="0.2">
      <c r="B158" s="31" t="s">
        <v>398</v>
      </c>
      <c r="C158" s="42" t="s">
        <v>439</v>
      </c>
      <c r="D158" s="43" t="s">
        <v>1256</v>
      </c>
      <c r="E158" s="70" t="s">
        <v>537</v>
      </c>
      <c r="F158" s="46" t="s">
        <v>419</v>
      </c>
      <c r="G158" s="46" t="s">
        <v>1636</v>
      </c>
      <c r="H158" s="47" t="s">
        <v>538</v>
      </c>
      <c r="I158" s="48" t="s">
        <v>927</v>
      </c>
      <c r="J158" s="49">
        <v>1755</v>
      </c>
      <c r="K158" s="50" t="s">
        <v>1382</v>
      </c>
      <c r="L158" s="68"/>
      <c r="M158" s="52"/>
      <c r="N158" s="53"/>
      <c r="O158" s="51" t="str">
        <f t="shared" si="10"/>
        <v>제10장 업무상 재해 등-제01절 업무상 재해-02</v>
      </c>
      <c r="Q158" s="7" t="str">
        <f t="shared" si="11"/>
        <v>2008-2-1-1</v>
      </c>
      <c r="R158" s="7" t="str">
        <f t="shared" si="12"/>
        <v>열기2-01.노동법\02.문제\[기출][1][2008-2-1]근로기준법과 민법・산업재해보상보험법 간의 재해보상 관계.txt</v>
      </c>
      <c r="S158" s="7" t="str">
        <f t="shared" si="13"/>
        <v>C</v>
      </c>
      <c r="T158" s="7" t="str">
        <f t="shared" si="14"/>
        <v>근로기준법과 민법・산업재해보상보험법 간의 재해보상 관계</v>
      </c>
    </row>
    <row r="159" spans="2:20" ht="14.45" customHeight="1" x14ac:dyDescent="0.2">
      <c r="B159" s="31" t="s">
        <v>398</v>
      </c>
      <c r="C159" s="42" t="s">
        <v>439</v>
      </c>
      <c r="D159" s="43" t="s">
        <v>1256</v>
      </c>
      <c r="E159" s="70" t="s">
        <v>1171</v>
      </c>
      <c r="F159" s="46" t="s">
        <v>31</v>
      </c>
      <c r="G159" s="46" t="s">
        <v>1637</v>
      </c>
      <c r="H159" s="47" t="s">
        <v>1612</v>
      </c>
      <c r="I159" s="48" t="s">
        <v>1613</v>
      </c>
      <c r="J159" s="49">
        <v>1960</v>
      </c>
      <c r="K159" s="50" t="s">
        <v>1383</v>
      </c>
      <c r="L159" s="68"/>
      <c r="M159" s="52"/>
      <c r="N159" s="53">
        <v>46212</v>
      </c>
      <c r="O159" s="51" t="str">
        <f t="shared" si="10"/>
        <v>제10장 업무상 재해 등-제01절 업무상 재해-03</v>
      </c>
      <c r="Q159" s="7" t="str">
        <f t="shared" si="11"/>
        <v>2020-2-1</v>
      </c>
      <c r="R159" s="7" t="str">
        <f t="shared" si="12"/>
        <v>열기2-01.노동법\02.문제\[기출][1][2020-2]산업재해보상보험법상 2차 회식의 업무상 재해 인정 여부.txt</v>
      </c>
      <c r="S159" s="7" t="str">
        <f t="shared" si="13"/>
        <v>B</v>
      </c>
      <c r="T159" s="7" t="str">
        <f t="shared" si="14"/>
        <v>산업재해보상보험법상 2차 회식의 업무상 재해 인정 여부</v>
      </c>
    </row>
    <row r="160" spans="2:20" ht="14.45" customHeight="1" x14ac:dyDescent="0.2">
      <c r="B160" s="31" t="s">
        <v>398</v>
      </c>
      <c r="C160" s="54" t="s">
        <v>439</v>
      </c>
      <c r="D160" s="55" t="s">
        <v>308</v>
      </c>
      <c r="E160" s="71" t="s">
        <v>1529</v>
      </c>
      <c r="F160" s="58" t="s">
        <v>419</v>
      </c>
      <c r="G160" s="57" t="s">
        <v>1638</v>
      </c>
      <c r="H160" s="59" t="s">
        <v>539</v>
      </c>
      <c r="I160" s="60" t="s">
        <v>1287</v>
      </c>
      <c r="J160" s="61">
        <v>3041</v>
      </c>
      <c r="K160" s="62" t="s">
        <v>1382</v>
      </c>
      <c r="L160" s="100"/>
      <c r="M160" s="64"/>
      <c r="N160" s="65"/>
      <c r="O160" s="63" t="str">
        <f t="shared" si="10"/>
        <v>제10장 업무상 재해 등-제01절 업무상 재해-04</v>
      </c>
      <c r="Q160" s="7" t="str">
        <f t="shared" si="11"/>
        <v>대법원 2024.11.21. 선고 2021다255853 판결-1</v>
      </c>
      <c r="R160" s="7" t="str">
        <f t="shared" si="12"/>
        <v>열기2-01.노동법\03.판례\[대법원 2024.11.21. 선고 2021다255853 판결]직무상유족연금과 손해배상의 조정 ; ‘공제 후 상속’ → ‘상속 후 공제’로 변경.txt</v>
      </c>
      <c r="S160" s="7" t="str">
        <f t="shared" si="13"/>
        <v>C</v>
      </c>
      <c r="T160" s="7" t="str">
        <f t="shared" si="14"/>
        <v>직무상유족연금과 손해배상의 조정 : 공제 후 상속 → 상속 후 공제로 변경</v>
      </c>
    </row>
    <row r="161" spans="2:20" ht="14.45" customHeight="1" x14ac:dyDescent="0.2">
      <c r="B161" s="31" t="s">
        <v>398</v>
      </c>
      <c r="C161" s="32" t="s">
        <v>1440</v>
      </c>
      <c r="D161" s="33" t="s">
        <v>128</v>
      </c>
      <c r="E161" s="69" t="s">
        <v>153</v>
      </c>
      <c r="F161" s="35" t="s">
        <v>31</v>
      </c>
      <c r="G161" s="35" t="s">
        <v>1635</v>
      </c>
      <c r="H161" s="36" t="s">
        <v>231</v>
      </c>
      <c r="I161" s="6" t="s">
        <v>972</v>
      </c>
      <c r="J161" s="37">
        <v>1902</v>
      </c>
      <c r="K161" s="38" t="s">
        <v>1383</v>
      </c>
      <c r="L161" s="298"/>
      <c r="M161" s="40"/>
      <c r="N161" s="41"/>
      <c r="O161" s="39" t="str">
        <f t="shared" si="10"/>
        <v>제10장 업무상 재해 등-제02절 업무상 사고-01</v>
      </c>
      <c r="Q161" s="7" t="str">
        <f t="shared" si="11"/>
        <v>업무상 재해 등-1</v>
      </c>
      <c r="R161" s="7" t="str">
        <f t="shared" si="12"/>
        <v>열기2-01.노동법\01.본문\제10장 업무상 재해 등.제02절 업무상 사고.txt</v>
      </c>
      <c r="S161" s="7" t="str">
        <f t="shared" si="13"/>
        <v>B</v>
      </c>
      <c r="T161" s="7" t="str">
        <f t="shared" si="14"/>
        <v>업무상 사고</v>
      </c>
    </row>
    <row r="162" spans="2:20" ht="14.45" customHeight="1" x14ac:dyDescent="0.2">
      <c r="B162" s="31" t="s">
        <v>398</v>
      </c>
      <c r="C162" s="42" t="s">
        <v>1440</v>
      </c>
      <c r="D162" s="43" t="s">
        <v>1647</v>
      </c>
      <c r="E162" s="70" t="s">
        <v>1200</v>
      </c>
      <c r="F162" s="46" t="s">
        <v>31</v>
      </c>
      <c r="G162" s="46" t="s">
        <v>1636</v>
      </c>
      <c r="H162" s="47" t="s">
        <v>1369</v>
      </c>
      <c r="I162" s="48" t="s">
        <v>1676</v>
      </c>
      <c r="J162" s="49">
        <v>2095</v>
      </c>
      <c r="K162" s="50" t="s">
        <v>1383</v>
      </c>
      <c r="L162" s="68"/>
      <c r="M162" s="52"/>
      <c r="N162" s="53">
        <v>46212</v>
      </c>
      <c r="O162" s="51" t="str">
        <f t="shared" si="10"/>
        <v>제10장 업무상 재해 등-제02절 업무상 사고-02</v>
      </c>
      <c r="Q162" s="7" t="str">
        <f t="shared" si="11"/>
        <v>10.02-1-1</v>
      </c>
      <c r="R162" s="7" t="str">
        <f t="shared" si="12"/>
        <v>열기2-01.노동법\02.문제\[모의][1][10.02-1]근로자의 오토바이 사고에 대한 출퇴근 재해 인정 여부 및 법적 근거.txt</v>
      </c>
      <c r="S162" s="7" t="str">
        <f t="shared" si="13"/>
        <v>B</v>
      </c>
      <c r="T162" s="7" t="str">
        <f t="shared" si="14"/>
        <v>근로자의 오토바이 사고에 대한 출퇴근 재해 인정 여부 및 법적 근거</v>
      </c>
    </row>
    <row r="163" spans="2:20" ht="14.45" customHeight="1" x14ac:dyDescent="0.2">
      <c r="B163" s="31" t="s">
        <v>398</v>
      </c>
      <c r="C163" s="54" t="s">
        <v>1440</v>
      </c>
      <c r="D163" s="55" t="s">
        <v>1647</v>
      </c>
      <c r="E163" s="97" t="s">
        <v>1201</v>
      </c>
      <c r="F163" s="58" t="s">
        <v>31</v>
      </c>
      <c r="G163" s="58" t="s">
        <v>1637</v>
      </c>
      <c r="H163" s="59" t="s">
        <v>1370</v>
      </c>
      <c r="I163" s="60" t="s">
        <v>1677</v>
      </c>
      <c r="J163" s="61">
        <v>2326</v>
      </c>
      <c r="K163" s="62" t="s">
        <v>1383</v>
      </c>
      <c r="L163" s="100"/>
      <c r="M163" s="64"/>
      <c r="N163" s="65"/>
      <c r="O163" s="63" t="str">
        <f t="shared" si="10"/>
        <v>제10장 업무상 재해 등-제02절 업무상 사고-03</v>
      </c>
      <c r="Q163" s="7" t="str">
        <f t="shared" si="11"/>
        <v>10.02-2-1</v>
      </c>
      <c r="R163" s="7" t="str">
        <f t="shared" si="12"/>
        <v>열기2-01.노동법\02.문제\[모의][1][10.02-2]근로자의 2차 회식 중 사고에 대한 업무상 재해 인정 여부.txt</v>
      </c>
      <c r="S163" s="7" t="str">
        <f t="shared" si="13"/>
        <v>B</v>
      </c>
      <c r="T163" s="7" t="str">
        <f t="shared" si="14"/>
        <v>근로자의 2차 회식 중 사고에 대한 업무상 재해 인정 여부</v>
      </c>
    </row>
    <row r="164" spans="2:20" ht="14.45" customHeight="1" x14ac:dyDescent="0.2">
      <c r="B164" s="31" t="s">
        <v>398</v>
      </c>
      <c r="C164" s="32" t="s">
        <v>1441</v>
      </c>
      <c r="D164" s="33" t="s">
        <v>128</v>
      </c>
      <c r="E164" s="69" t="s">
        <v>153</v>
      </c>
      <c r="F164" s="35" t="s">
        <v>31</v>
      </c>
      <c r="G164" s="35" t="s">
        <v>1635</v>
      </c>
      <c r="H164" s="36" t="s">
        <v>169</v>
      </c>
      <c r="I164" s="6" t="s">
        <v>973</v>
      </c>
      <c r="J164" s="37">
        <v>1816</v>
      </c>
      <c r="K164" s="38" t="s">
        <v>1383</v>
      </c>
      <c r="L164" s="298"/>
      <c r="M164" s="40"/>
      <c r="N164" s="41"/>
      <c r="O164" s="39" t="str">
        <f t="shared" si="10"/>
        <v>제10장 업무상 재해 등-제03절 업무상 질병-01</v>
      </c>
      <c r="Q164" s="7" t="str">
        <f t="shared" si="11"/>
        <v>업무상 재해 등-1</v>
      </c>
      <c r="R164" s="7" t="str">
        <f t="shared" si="12"/>
        <v>열기2-01.노동법\01.본문\제10장 업무상 재해 등.제03절 업무상 질병.txt</v>
      </c>
      <c r="S164" s="7" t="str">
        <f t="shared" si="13"/>
        <v>B</v>
      </c>
      <c r="T164" s="7" t="str">
        <f t="shared" si="14"/>
        <v>업무상 질병</v>
      </c>
    </row>
    <row r="165" spans="2:20" ht="14.45" customHeight="1" x14ac:dyDescent="0.2">
      <c r="B165" s="31" t="s">
        <v>398</v>
      </c>
      <c r="C165" s="42" t="s">
        <v>1441</v>
      </c>
      <c r="D165" s="43" t="s">
        <v>1647</v>
      </c>
      <c r="E165" s="70" t="s">
        <v>1202</v>
      </c>
      <c r="F165" s="46" t="s">
        <v>31</v>
      </c>
      <c r="G165" s="46" t="s">
        <v>1636</v>
      </c>
      <c r="H165" s="47" t="s">
        <v>1371</v>
      </c>
      <c r="I165" s="48" t="s">
        <v>1678</v>
      </c>
      <c r="J165" s="49">
        <v>2126</v>
      </c>
      <c r="K165" s="50" t="s">
        <v>1383</v>
      </c>
      <c r="L165" s="68"/>
      <c r="M165" s="52"/>
      <c r="N165" s="53"/>
      <c r="O165" s="51" t="str">
        <f t="shared" si="10"/>
        <v>제10장 업무상 재해 등-제03절 업무상 질병-02</v>
      </c>
      <c r="Q165" s="7" t="str">
        <f t="shared" si="11"/>
        <v>10.03-1-1</v>
      </c>
      <c r="R165" s="7" t="str">
        <f t="shared" si="12"/>
        <v>열기2-01.노동법\02.문제\[모의][1][10.03-1]근로자의 만성 근로 및 단기 과로에 따른 뇌출혈의 업무상 질병 인정 여부.txt</v>
      </c>
      <c r="S165" s="7" t="str">
        <f t="shared" si="13"/>
        <v>B</v>
      </c>
      <c r="T165" s="7" t="str">
        <f t="shared" si="14"/>
        <v>근로자의 만성 근로 및 단기 과로에 따른 뇌출혈의 업무상 질병 인정 여부</v>
      </c>
    </row>
    <row r="166" spans="2:20" ht="14.45" customHeight="1" x14ac:dyDescent="0.2">
      <c r="B166" s="31" t="s">
        <v>398</v>
      </c>
      <c r="C166" s="54" t="s">
        <v>1441</v>
      </c>
      <c r="D166" s="55" t="s">
        <v>1647</v>
      </c>
      <c r="E166" s="97" t="s">
        <v>1203</v>
      </c>
      <c r="F166" s="58" t="s">
        <v>31</v>
      </c>
      <c r="G166" s="58" t="s">
        <v>1637</v>
      </c>
      <c r="H166" s="59" t="s">
        <v>1372</v>
      </c>
      <c r="I166" s="60" t="s">
        <v>1679</v>
      </c>
      <c r="J166" s="61">
        <v>1878</v>
      </c>
      <c r="K166" s="62" t="s">
        <v>1383</v>
      </c>
      <c r="L166" s="100"/>
      <c r="M166" s="64"/>
      <c r="N166" s="65"/>
      <c r="O166" s="63" t="str">
        <f t="shared" si="10"/>
        <v>제10장 업무상 재해 등-제03절 업무상 질병-03</v>
      </c>
      <c r="Q166" s="7" t="str">
        <f t="shared" si="11"/>
        <v>10.03-2-1</v>
      </c>
      <c r="R166" s="7" t="str">
        <f t="shared" si="12"/>
        <v>열기2-01.노동법\02.문제\[모의][1][10.03-2]근로자의 직장 내 괴롭힘으로 인한 우울증의 업무상 질병 인정 여부.txt</v>
      </c>
      <c r="S166" s="7" t="str">
        <f t="shared" si="13"/>
        <v>B</v>
      </c>
      <c r="T166" s="7" t="str">
        <f t="shared" si="14"/>
        <v>근로자의 직장 내 괴롭힘으로 인한 우울증의 업무상 질병 인정 여부</v>
      </c>
    </row>
    <row r="167" spans="2:20" ht="14.45" customHeight="1" x14ac:dyDescent="0.2">
      <c r="B167" s="31" t="s">
        <v>398</v>
      </c>
      <c r="C167" s="32" t="s">
        <v>1442</v>
      </c>
      <c r="D167" s="33" t="s">
        <v>21</v>
      </c>
      <c r="E167" s="69" t="s">
        <v>153</v>
      </c>
      <c r="F167" s="35" t="s">
        <v>31</v>
      </c>
      <c r="G167" s="35" t="s">
        <v>1635</v>
      </c>
      <c r="H167" s="36" t="s">
        <v>311</v>
      </c>
      <c r="I167" s="6" t="s">
        <v>974</v>
      </c>
      <c r="J167" s="37">
        <v>1610</v>
      </c>
      <c r="K167" s="38" t="s">
        <v>1383</v>
      </c>
      <c r="L167" s="298"/>
      <c r="M167" s="40"/>
      <c r="N167" s="41"/>
      <c r="O167" s="39" t="str">
        <f t="shared" si="10"/>
        <v>제10장 업무상 재해 등-제04절 출퇴근 재해-01</v>
      </c>
      <c r="Q167" s="7" t="str">
        <f t="shared" si="11"/>
        <v>업무상 재해 등-1</v>
      </c>
      <c r="R167" s="7" t="str">
        <f t="shared" si="12"/>
        <v>열기2-01.노동법\01.본문\제10장 업무상 재해 등.제04절 출퇴근 재해.txt</v>
      </c>
      <c r="S167" s="7" t="str">
        <f t="shared" si="13"/>
        <v>B</v>
      </c>
      <c r="T167" s="7" t="str">
        <f t="shared" si="14"/>
        <v>출퇴근 재해</v>
      </c>
    </row>
    <row r="168" spans="2:20" ht="14.45" customHeight="1" x14ac:dyDescent="0.2">
      <c r="B168" s="31" t="s">
        <v>398</v>
      </c>
      <c r="C168" s="102" t="s">
        <v>1442</v>
      </c>
      <c r="D168" s="43" t="s">
        <v>1647</v>
      </c>
      <c r="E168" s="70" t="s">
        <v>1204</v>
      </c>
      <c r="F168" s="46" t="s">
        <v>31</v>
      </c>
      <c r="G168" s="46" t="s">
        <v>1636</v>
      </c>
      <c r="H168" s="47" t="s">
        <v>313</v>
      </c>
      <c r="I168" s="48" t="s">
        <v>1680</v>
      </c>
      <c r="J168" s="49">
        <v>1895</v>
      </c>
      <c r="K168" s="50" t="s">
        <v>1383</v>
      </c>
      <c r="L168" s="68"/>
      <c r="M168" s="52"/>
      <c r="N168" s="53"/>
      <c r="O168" s="51" t="str">
        <f t="shared" si="10"/>
        <v>제10장 업무상 재해 등-제04절 출퇴근 재해-02</v>
      </c>
      <c r="Q168" s="7" t="str">
        <f t="shared" si="11"/>
        <v>10.04-1-1</v>
      </c>
      <c r="R168" s="7" t="str">
        <f t="shared" si="12"/>
        <v>열기2-01.노동법\02.문제\[모의][1][10.04-1]출근 중 제3자의 신호 위반 사고로 발생한 부상의 업무상 재해 인정 여부.txt</v>
      </c>
      <c r="S168" s="7" t="str">
        <f t="shared" si="13"/>
        <v>B</v>
      </c>
      <c r="T168" s="7" t="str">
        <f t="shared" si="14"/>
        <v>출근 중 제3자의 신호 위반 사고로 발생한 부상의 업무상 재해 인정 여부</v>
      </c>
    </row>
    <row r="169" spans="2:20" ht="14.45" customHeight="1" thickBot="1" x14ac:dyDescent="0.25">
      <c r="B169" s="74" t="s">
        <v>398</v>
      </c>
      <c r="C169" s="103" t="s">
        <v>1442</v>
      </c>
      <c r="D169" s="76" t="s">
        <v>1647</v>
      </c>
      <c r="E169" s="77" t="s">
        <v>1205</v>
      </c>
      <c r="F169" s="78" t="s">
        <v>31</v>
      </c>
      <c r="G169" s="78" t="s">
        <v>1637</v>
      </c>
      <c r="H169" s="79" t="s">
        <v>312</v>
      </c>
      <c r="I169" s="80" t="s">
        <v>1681</v>
      </c>
      <c r="J169" s="81">
        <v>1947</v>
      </c>
      <c r="K169" s="82" t="s">
        <v>1383</v>
      </c>
      <c r="L169" s="161"/>
      <c r="M169" s="84"/>
      <c r="N169" s="85"/>
      <c r="O169" s="83" t="str">
        <f t="shared" si="10"/>
        <v>제10장 업무상 재해 등-제04절 출퇴근 재해-03</v>
      </c>
      <c r="Q169" s="7" t="str">
        <f t="shared" si="11"/>
        <v>10.04-2-1</v>
      </c>
      <c r="R169" s="7" t="str">
        <f t="shared" si="12"/>
        <v>열기2-01.노동법\02.문제\[모의][1][10.04-2]제3자 가해로 인한 출퇴근 재해 시 산재급여와 손해배상의 조정 및 구상 관계.txt</v>
      </c>
      <c r="S169" s="7" t="str">
        <f t="shared" si="13"/>
        <v>B</v>
      </c>
      <c r="T169" s="7" t="str">
        <f t="shared" si="14"/>
        <v>제3자 가해로 인한 출퇴근 재해 시 산재급여와 손해배상의 조정 및 구상 관계</v>
      </c>
    </row>
    <row r="170" spans="2:20" ht="14.45" customHeight="1" x14ac:dyDescent="0.2">
      <c r="B170" s="19" t="s">
        <v>399</v>
      </c>
      <c r="C170" s="86" t="s">
        <v>487</v>
      </c>
      <c r="D170" s="87" t="s">
        <v>128</v>
      </c>
      <c r="E170" s="88" t="s">
        <v>154</v>
      </c>
      <c r="F170" s="89" t="s">
        <v>28</v>
      </c>
      <c r="G170" s="89" t="s">
        <v>1635</v>
      </c>
      <c r="H170" s="90" t="s">
        <v>170</v>
      </c>
      <c r="I170" s="91" t="s">
        <v>975</v>
      </c>
      <c r="J170" s="148">
        <v>2093</v>
      </c>
      <c r="K170" s="93" t="s">
        <v>1348</v>
      </c>
      <c r="L170" s="299"/>
      <c r="M170" s="95"/>
      <c r="N170" s="96"/>
      <c r="O170" s="94" t="str">
        <f t="shared" si="10"/>
        <v>제11장 노동조합-제01절 노동조합의 설립요건-01</v>
      </c>
      <c r="Q170" s="7" t="str">
        <f t="shared" si="11"/>
        <v>노동조합-2</v>
      </c>
      <c r="R170" s="7" t="str">
        <f t="shared" si="12"/>
        <v>열기2-01.노동법\01.본문\제11장 노동조합.제01절 노동조합의 설립요건.txt</v>
      </c>
      <c r="S170" s="7" t="str">
        <f t="shared" si="13"/>
        <v>A</v>
      </c>
      <c r="T170" s="7" t="str">
        <f t="shared" si="14"/>
        <v>노동조합의 설립요건</v>
      </c>
    </row>
    <row r="171" spans="2:20" ht="14.45" customHeight="1" x14ac:dyDescent="0.2">
      <c r="B171" s="31" t="s">
        <v>399</v>
      </c>
      <c r="C171" s="42" t="s">
        <v>487</v>
      </c>
      <c r="D171" s="43" t="s">
        <v>1256</v>
      </c>
      <c r="E171" s="70" t="s">
        <v>90</v>
      </c>
      <c r="F171" s="46">
        <v>2</v>
      </c>
      <c r="G171" s="46" t="s">
        <v>1636</v>
      </c>
      <c r="H171" s="47" t="s">
        <v>1334</v>
      </c>
      <c r="I171" s="149" t="s">
        <v>1335</v>
      </c>
      <c r="J171" s="49">
        <v>1696</v>
      </c>
      <c r="K171" s="50" t="s">
        <v>1348</v>
      </c>
      <c r="L171" s="68"/>
      <c r="M171" s="52"/>
      <c r="N171" s="53"/>
      <c r="O171" s="51" t="str">
        <f t="shared" si="10"/>
        <v>제11장 노동조합-제01절 노동조합의 설립요건-02</v>
      </c>
      <c r="Q171" s="7" t="str">
        <f t="shared" si="11"/>
        <v>2009-3-2</v>
      </c>
      <c r="R171" s="7" t="str">
        <f t="shared" si="12"/>
        <v>열기2-01.노동법\02.문제\[기출][2][2009-3]노동조합 가입 자격의 기본 원칙, 제한의 허용 범위, 한계 및 위반 시 효과.txt</v>
      </c>
      <c r="S171" s="7" t="str">
        <f t="shared" si="13"/>
        <v>A</v>
      </c>
      <c r="T171" s="7" t="str">
        <f t="shared" si="14"/>
        <v>노동조합 가입 자격의 기본 원칙, 제한의 허용 범위, 한계 및 위반 시 효과</v>
      </c>
    </row>
    <row r="172" spans="2:20" ht="14.45" customHeight="1" x14ac:dyDescent="0.2">
      <c r="B172" s="31" t="s">
        <v>399</v>
      </c>
      <c r="C172" s="42" t="s">
        <v>487</v>
      </c>
      <c r="D172" s="43" t="s">
        <v>1256</v>
      </c>
      <c r="E172" s="70" t="s">
        <v>1158</v>
      </c>
      <c r="F172" s="46">
        <v>2</v>
      </c>
      <c r="G172" s="46" t="s">
        <v>1637</v>
      </c>
      <c r="H172" s="47" t="s">
        <v>1029</v>
      </c>
      <c r="I172" s="48" t="s">
        <v>1030</v>
      </c>
      <c r="J172" s="150">
        <v>2025</v>
      </c>
      <c r="K172" s="50" t="s">
        <v>1348</v>
      </c>
      <c r="L172" s="68"/>
      <c r="M172" s="52"/>
      <c r="N172" s="53"/>
      <c r="O172" s="51" t="str">
        <f t="shared" si="10"/>
        <v>제11장 노동조합-제01절 노동조합의 설립요건-03</v>
      </c>
      <c r="Q172" s="7" t="str">
        <f t="shared" si="11"/>
        <v>2012-2-2</v>
      </c>
      <c r="R172" s="7" t="str">
        <f t="shared" si="12"/>
        <v>열기2-01.노동법\02.문제\[기출][2][2012-2]노동조합법상 노동조합 참가가 금지되는 사용자 및 그 이익대표자의 범위와 판단 기준.txt</v>
      </c>
      <c r="S172" s="7" t="str">
        <f t="shared" si="13"/>
        <v>A</v>
      </c>
      <c r="T172" s="7" t="str">
        <f t="shared" si="14"/>
        <v>노동조합법상 노동조합 참가가 금지되는 사용자 및 그 이익대표자의 범위와 판단 기준</v>
      </c>
    </row>
    <row r="173" spans="2:20" ht="14.45" customHeight="1" x14ac:dyDescent="0.2">
      <c r="B173" s="31" t="s">
        <v>399</v>
      </c>
      <c r="C173" s="54" t="s">
        <v>487</v>
      </c>
      <c r="D173" s="55" t="s">
        <v>1256</v>
      </c>
      <c r="E173" s="97" t="s">
        <v>1026</v>
      </c>
      <c r="F173" s="58" t="s">
        <v>28</v>
      </c>
      <c r="G173" s="58" t="s">
        <v>1638</v>
      </c>
      <c r="H173" s="59" t="s">
        <v>1027</v>
      </c>
      <c r="I173" s="60" t="s">
        <v>1028</v>
      </c>
      <c r="J173" s="61">
        <v>2292</v>
      </c>
      <c r="K173" s="62" t="s">
        <v>1348</v>
      </c>
      <c r="L173" s="100"/>
      <c r="M173" s="64"/>
      <c r="N173" s="65"/>
      <c r="O173" s="63" t="str">
        <f t="shared" si="10"/>
        <v>제11장 노동조합-제01절 노동조합의 설립요건-04</v>
      </c>
      <c r="Q173" s="7" t="str">
        <f t="shared" si="11"/>
        <v>2021-1-1-2</v>
      </c>
      <c r="R173" s="7" t="str">
        <f t="shared" si="12"/>
        <v>열기2-01.노동법\02.문제\[기출][2][2021-1-1]설립신고를 하지 않은 초기업 노동조합 지부의 단체협약 체결 당사자 지위 인정 여부.txt</v>
      </c>
      <c r="S173" s="7" t="str">
        <f t="shared" si="13"/>
        <v>A</v>
      </c>
      <c r="T173" s="7" t="str">
        <f t="shared" si="14"/>
        <v>설립신고를 하지 않은 초기업 노동조합 지부의 단체협약 체결 당사자 지위 인정 여부</v>
      </c>
    </row>
    <row r="174" spans="2:20" ht="14.45" customHeight="1" x14ac:dyDescent="0.2">
      <c r="B174" s="31" t="s">
        <v>399</v>
      </c>
      <c r="C174" s="32" t="s">
        <v>1443</v>
      </c>
      <c r="D174" s="33" t="s">
        <v>128</v>
      </c>
      <c r="E174" s="69" t="s">
        <v>154</v>
      </c>
      <c r="F174" s="35" t="s">
        <v>28</v>
      </c>
      <c r="G174" s="35" t="s">
        <v>1635</v>
      </c>
      <c r="H174" s="36" t="s">
        <v>171</v>
      </c>
      <c r="I174" s="6" t="s">
        <v>976</v>
      </c>
      <c r="J174" s="37">
        <v>1484</v>
      </c>
      <c r="K174" s="38" t="s">
        <v>1348</v>
      </c>
      <c r="L174" s="298"/>
      <c r="M174" s="40"/>
      <c r="N174" s="41"/>
      <c r="O174" s="39" t="str">
        <f t="shared" si="10"/>
        <v>제11장 노동조합-제02절 조합원의 지위 및 권리・의무-01</v>
      </c>
      <c r="Q174" s="7" t="str">
        <f t="shared" si="11"/>
        <v>노동조합-2</v>
      </c>
      <c r="R174" s="7" t="str">
        <f t="shared" si="12"/>
        <v>열기2-01.노동법\01.본문\제11장 노동조합.제02절 조합원의 지위 및 권리・의무.txt</v>
      </c>
      <c r="S174" s="7" t="str">
        <f t="shared" si="13"/>
        <v>A</v>
      </c>
      <c r="T174" s="7" t="str">
        <f t="shared" si="14"/>
        <v>조합원의 지위 및 권리・의무</v>
      </c>
    </row>
    <row r="175" spans="2:20" ht="14.45" customHeight="1" x14ac:dyDescent="0.2">
      <c r="B175" s="31" t="s">
        <v>399</v>
      </c>
      <c r="C175" s="42" t="s">
        <v>1443</v>
      </c>
      <c r="D175" s="43" t="s">
        <v>1647</v>
      </c>
      <c r="E175" s="70" t="s">
        <v>1206</v>
      </c>
      <c r="F175" s="46" t="s">
        <v>28</v>
      </c>
      <c r="G175" s="46" t="s">
        <v>1636</v>
      </c>
      <c r="H175" s="47" t="s">
        <v>99</v>
      </c>
      <c r="I175" s="48" t="s">
        <v>1682</v>
      </c>
      <c r="J175" s="49">
        <v>1870</v>
      </c>
      <c r="K175" s="50" t="s">
        <v>1348</v>
      </c>
      <c r="L175" s="68"/>
      <c r="M175" s="52"/>
      <c r="N175" s="53"/>
      <c r="O175" s="51" t="str">
        <f t="shared" si="10"/>
        <v>제11장 노동조합-제02절 조합원의 지위 및 권리・의무-02</v>
      </c>
      <c r="Q175" s="7" t="str">
        <f t="shared" si="11"/>
        <v>11.02-1-2</v>
      </c>
      <c r="R175" s="7" t="str">
        <f t="shared" si="12"/>
        <v>열기2-01.노동법\02.문제\[모의][2][11.02-1]유니언 숍 조항을 근거로 한 탈퇴 후 타 노조 가입자 해고의 정당성.txt</v>
      </c>
      <c r="S175" s="7" t="str">
        <f t="shared" si="13"/>
        <v>A</v>
      </c>
      <c r="T175" s="7" t="str">
        <f t="shared" si="14"/>
        <v>유니언 숍 조항을 근거로 한 탈퇴 후 타 노조 가입자 해고의 정당성</v>
      </c>
    </row>
    <row r="176" spans="2:20" ht="14.45" customHeight="1" x14ac:dyDescent="0.2">
      <c r="B176" s="31" t="s">
        <v>399</v>
      </c>
      <c r="C176" s="54" t="s">
        <v>1443</v>
      </c>
      <c r="D176" s="55" t="s">
        <v>1647</v>
      </c>
      <c r="E176" s="97" t="s">
        <v>1207</v>
      </c>
      <c r="F176" s="58" t="s">
        <v>28</v>
      </c>
      <c r="G176" s="58" t="s">
        <v>1637</v>
      </c>
      <c r="H176" s="59" t="s">
        <v>100</v>
      </c>
      <c r="I176" s="60" t="s">
        <v>1683</v>
      </c>
      <c r="J176" s="61">
        <v>1909</v>
      </c>
      <c r="K176" s="62" t="s">
        <v>1348</v>
      </c>
      <c r="L176" s="100"/>
      <c r="M176" s="64"/>
      <c r="N176" s="65"/>
      <c r="O176" s="63" t="str">
        <f t="shared" si="10"/>
        <v>제11장 노동조합-제02절 조합원의 지위 및 권리・의무-03</v>
      </c>
      <c r="Q176" s="7" t="str">
        <f t="shared" si="11"/>
        <v>11.02-2-2</v>
      </c>
      <c r="R176" s="7" t="str">
        <f t="shared" si="12"/>
        <v>열기2-01.노동법\02.문제\[모의][2][11.02-2]조합비 미납을 이유로 한 조합원 선거권 제한의 적법성.txt</v>
      </c>
      <c r="S176" s="7" t="str">
        <f t="shared" si="13"/>
        <v>A</v>
      </c>
      <c r="T176" s="7" t="str">
        <f t="shared" si="14"/>
        <v>조합비 미납을 이유로 한 조합원 선거권 제한의 적법성</v>
      </c>
    </row>
    <row r="177" spans="2:20" ht="14.45" customHeight="1" x14ac:dyDescent="0.2">
      <c r="B177" s="31" t="s">
        <v>399</v>
      </c>
      <c r="C177" s="32" t="s">
        <v>1444</v>
      </c>
      <c r="D177" s="33" t="s">
        <v>128</v>
      </c>
      <c r="E177" s="69" t="s">
        <v>154</v>
      </c>
      <c r="F177" s="35" t="s">
        <v>28</v>
      </c>
      <c r="G177" s="35" t="s">
        <v>1635</v>
      </c>
      <c r="H177" s="36" t="s">
        <v>172</v>
      </c>
      <c r="I177" s="6" t="s">
        <v>977</v>
      </c>
      <c r="J177" s="37">
        <v>1794</v>
      </c>
      <c r="K177" s="38" t="s">
        <v>1348</v>
      </c>
      <c r="L177" s="298"/>
      <c r="M177" s="40"/>
      <c r="N177" s="41"/>
      <c r="O177" s="39" t="str">
        <f t="shared" si="10"/>
        <v>제11장 노동조합-제03절 노동조합의 기구-01</v>
      </c>
      <c r="Q177" s="7" t="str">
        <f t="shared" si="11"/>
        <v>노동조합-2</v>
      </c>
      <c r="R177" s="7" t="str">
        <f t="shared" si="12"/>
        <v>열기2-01.노동법\01.본문\제11장 노동조합.제03절 노동조합의 기구.txt</v>
      </c>
      <c r="S177" s="7" t="str">
        <f t="shared" si="13"/>
        <v>A</v>
      </c>
      <c r="T177" s="7" t="str">
        <f t="shared" si="14"/>
        <v>노동조합의 기구</v>
      </c>
    </row>
    <row r="178" spans="2:20" ht="14.45" customHeight="1" x14ac:dyDescent="0.2">
      <c r="B178" s="31" t="s">
        <v>399</v>
      </c>
      <c r="C178" s="42" t="s">
        <v>1444</v>
      </c>
      <c r="D178" s="43" t="s">
        <v>1647</v>
      </c>
      <c r="E178" s="70" t="s">
        <v>1208</v>
      </c>
      <c r="F178" s="46" t="s">
        <v>28</v>
      </c>
      <c r="G178" s="46" t="s">
        <v>1636</v>
      </c>
      <c r="H178" s="47" t="s">
        <v>101</v>
      </c>
      <c r="I178" s="48" t="s">
        <v>1684</v>
      </c>
      <c r="J178" s="49">
        <v>2156</v>
      </c>
      <c r="K178" s="50" t="s">
        <v>1348</v>
      </c>
      <c r="L178" s="68"/>
      <c r="M178" s="52"/>
      <c r="N178" s="53"/>
      <c r="O178" s="51" t="str">
        <f t="shared" si="10"/>
        <v>제11장 노동조합-제03절 노동조합의 기구-02</v>
      </c>
      <c r="Q178" s="7" t="str">
        <f t="shared" si="11"/>
        <v>11.03-1-2</v>
      </c>
      <c r="R178" s="7" t="str">
        <f t="shared" si="12"/>
        <v>열기2-01.노동법\02.문제\[모의][2][11.03-1]대의원회 의결 없이 총회에서 이루어진 단체협약안 의결의 정당성.txt</v>
      </c>
      <c r="S178" s="7" t="str">
        <f t="shared" si="13"/>
        <v>A</v>
      </c>
      <c r="T178" s="7" t="str">
        <f t="shared" si="14"/>
        <v>대의원회 의결 없이 총회에서 이루어진 단체협약안 의결의 정당성</v>
      </c>
    </row>
    <row r="179" spans="2:20" ht="14.45" customHeight="1" x14ac:dyDescent="0.2">
      <c r="B179" s="31" t="s">
        <v>399</v>
      </c>
      <c r="C179" s="54" t="s">
        <v>1444</v>
      </c>
      <c r="D179" s="55" t="s">
        <v>1647</v>
      </c>
      <c r="E179" s="97" t="s">
        <v>1209</v>
      </c>
      <c r="F179" s="58" t="s">
        <v>28</v>
      </c>
      <c r="G179" s="58" t="s">
        <v>1637</v>
      </c>
      <c r="H179" s="59" t="s">
        <v>102</v>
      </c>
      <c r="I179" s="60" t="s">
        <v>1685</v>
      </c>
      <c r="J179" s="61">
        <v>2125</v>
      </c>
      <c r="K179" s="62" t="s">
        <v>1348</v>
      </c>
      <c r="L179" s="100"/>
      <c r="M179" s="64"/>
      <c r="N179" s="65"/>
      <c r="O179" s="63" t="str">
        <f t="shared" si="10"/>
        <v>제11장 노동조합-제03절 노동조합의 기구-03</v>
      </c>
      <c r="Q179" s="7" t="str">
        <f t="shared" si="11"/>
        <v>11.03-2-2</v>
      </c>
      <c r="R179" s="7" t="str">
        <f t="shared" si="12"/>
        <v>열기2-01.노동법\02.문제\[모의][2][11.03-2]총회 의결 정족수 충족 여부 및 위원장 해임결의의 유효성.txt</v>
      </c>
      <c r="S179" s="7" t="str">
        <f t="shared" si="13"/>
        <v>A</v>
      </c>
      <c r="T179" s="7" t="str">
        <f t="shared" si="14"/>
        <v>총회 의결 정족수 충족 여부 및 위원장 해임결의의 유효성</v>
      </c>
    </row>
    <row r="180" spans="2:20" ht="14.45" customHeight="1" x14ac:dyDescent="0.2">
      <c r="B180" s="31" t="s">
        <v>399</v>
      </c>
      <c r="C180" s="32" t="s">
        <v>1486</v>
      </c>
      <c r="D180" s="33" t="s">
        <v>128</v>
      </c>
      <c r="E180" s="69" t="s">
        <v>154</v>
      </c>
      <c r="F180" s="35" t="s">
        <v>28</v>
      </c>
      <c r="G180" s="35" t="s">
        <v>1635</v>
      </c>
      <c r="H180" s="36" t="s">
        <v>173</v>
      </c>
      <c r="I180" s="6" t="s">
        <v>978</v>
      </c>
      <c r="J180" s="37">
        <v>2128</v>
      </c>
      <c r="K180" s="38" t="s">
        <v>1348</v>
      </c>
      <c r="L180" s="298"/>
      <c r="M180" s="40"/>
      <c r="N180" s="41"/>
      <c r="O180" s="39" t="str">
        <f t="shared" si="10"/>
        <v>제11장 노동조합-제04절 조합활동의 정당성-01</v>
      </c>
      <c r="Q180" s="7" t="str">
        <f t="shared" si="11"/>
        <v>노동조합-2</v>
      </c>
      <c r="R180" s="7" t="str">
        <f t="shared" si="12"/>
        <v>열기2-01.노동법\01.본문\제11장 노동조합.제04절 조합활동의 정당성.txt</v>
      </c>
      <c r="S180" s="7" t="str">
        <f t="shared" si="13"/>
        <v>A</v>
      </c>
      <c r="T180" s="7" t="str">
        <f t="shared" si="14"/>
        <v>조합활동의 정당성</v>
      </c>
    </row>
    <row r="181" spans="2:20" ht="14.45" customHeight="1" x14ac:dyDescent="0.2">
      <c r="B181" s="31" t="s">
        <v>399</v>
      </c>
      <c r="C181" s="54" t="s">
        <v>1486</v>
      </c>
      <c r="D181" s="55" t="s">
        <v>1256</v>
      </c>
      <c r="E181" s="97" t="s">
        <v>1159</v>
      </c>
      <c r="F181" s="58">
        <v>2</v>
      </c>
      <c r="G181" s="58" t="s">
        <v>1636</v>
      </c>
      <c r="H181" s="59" t="s">
        <v>1031</v>
      </c>
      <c r="I181" s="60" t="s">
        <v>1032</v>
      </c>
      <c r="J181" s="61">
        <v>1671</v>
      </c>
      <c r="K181" s="62" t="s">
        <v>1348</v>
      </c>
      <c r="L181" s="100"/>
      <c r="M181" s="64"/>
      <c r="N181" s="65"/>
      <c r="O181" s="63" t="str">
        <f t="shared" si="10"/>
        <v>제11장 노동조합-제04절 조합활동의 정당성-02</v>
      </c>
      <c r="Q181" s="7" t="str">
        <f t="shared" si="11"/>
        <v>2022-2-2</v>
      </c>
      <c r="R181" s="7" t="str">
        <f t="shared" si="12"/>
        <v>열기2-01.노동법\02.문제\[기출][2][2022-2]산업안전보건법 위반 증거수집 목적의 생산공장 출입이 정당한 조합활동에 해당하는지 여부.txt</v>
      </c>
      <c r="S181" s="7" t="str">
        <f t="shared" si="13"/>
        <v>A</v>
      </c>
      <c r="T181" s="7" t="str">
        <f t="shared" si="14"/>
        <v>산업안전보건법 위반 증거수집 목적의 생산공장 출입이 정당한 조합활동에 해당하는지 여부</v>
      </c>
    </row>
    <row r="182" spans="2:20" ht="14.45" customHeight="1" x14ac:dyDescent="0.2">
      <c r="B182" s="31" t="s">
        <v>399</v>
      </c>
      <c r="C182" s="32" t="s">
        <v>516</v>
      </c>
      <c r="D182" s="33" t="s">
        <v>128</v>
      </c>
      <c r="E182" s="69" t="s">
        <v>154</v>
      </c>
      <c r="F182" s="35" t="s">
        <v>28</v>
      </c>
      <c r="G182" s="35" t="s">
        <v>1635</v>
      </c>
      <c r="H182" s="36" t="s">
        <v>174</v>
      </c>
      <c r="I182" s="6" t="s">
        <v>979</v>
      </c>
      <c r="J182" s="37">
        <v>1874</v>
      </c>
      <c r="K182" s="38" t="s">
        <v>1348</v>
      </c>
      <c r="L182" s="298"/>
      <c r="M182" s="40"/>
      <c r="N182" s="41"/>
      <c r="O182" s="39" t="str">
        <f t="shared" si="10"/>
        <v>제11장 노동조합-제05절 사용자의 편의제공-01</v>
      </c>
      <c r="Q182" s="7" t="str">
        <f t="shared" si="11"/>
        <v>노동조합-2</v>
      </c>
      <c r="R182" s="7" t="str">
        <f t="shared" si="12"/>
        <v>열기2-01.노동법\01.본문\제11장 노동조합.제05절 사용자의 편의제공.txt</v>
      </c>
      <c r="S182" s="7" t="str">
        <f t="shared" si="13"/>
        <v>A</v>
      </c>
      <c r="T182" s="7" t="str">
        <f t="shared" si="14"/>
        <v>사용자의 편의제공</v>
      </c>
    </row>
    <row r="183" spans="2:20" ht="14.45" customHeight="1" x14ac:dyDescent="0.2">
      <c r="B183" s="31" t="s">
        <v>399</v>
      </c>
      <c r="C183" s="42" t="s">
        <v>516</v>
      </c>
      <c r="D183" s="43" t="s">
        <v>1647</v>
      </c>
      <c r="E183" s="70" t="s">
        <v>1210</v>
      </c>
      <c r="F183" s="46" t="s">
        <v>28</v>
      </c>
      <c r="G183" s="46" t="s">
        <v>1636</v>
      </c>
      <c r="H183" s="47" t="s">
        <v>103</v>
      </c>
      <c r="I183" s="48" t="s">
        <v>1686</v>
      </c>
      <c r="J183" s="49">
        <v>2350</v>
      </c>
      <c r="K183" s="50" t="s">
        <v>1348</v>
      </c>
      <c r="L183" s="68"/>
      <c r="M183" s="52"/>
      <c r="N183" s="53"/>
      <c r="O183" s="51" t="str">
        <f t="shared" si="10"/>
        <v>제11장 노동조합-제05절 사용자의 편의제공-02</v>
      </c>
      <c r="Q183" s="7" t="str">
        <f t="shared" si="11"/>
        <v>11.05-1-2</v>
      </c>
      <c r="R183" s="7" t="str">
        <f t="shared" si="12"/>
        <v>열기2-01.노동법\02.문제\[모의][2][11.05-1]사용자의 노조 전임자 급여 지급 및 운영비 원조 행위의 부당노동행위 성립 여부와 단체협약의 효력.txt</v>
      </c>
      <c r="S183" s="7" t="str">
        <f t="shared" si="13"/>
        <v>A</v>
      </c>
      <c r="T183" s="7" t="str">
        <f t="shared" si="14"/>
        <v>사용자의 노조 전임자 급여 지급 및 운영비 원조 행위의 부당노동행위 성립 여부와 단체협약의 효력</v>
      </c>
    </row>
    <row r="184" spans="2:20" ht="14.45" customHeight="1" x14ac:dyDescent="0.2">
      <c r="B184" s="31" t="s">
        <v>399</v>
      </c>
      <c r="C184" s="54" t="s">
        <v>516</v>
      </c>
      <c r="D184" s="55" t="s">
        <v>1647</v>
      </c>
      <c r="E184" s="97" t="s">
        <v>1211</v>
      </c>
      <c r="F184" s="58" t="s">
        <v>28</v>
      </c>
      <c r="G184" s="58" t="s">
        <v>1637</v>
      </c>
      <c r="H184" s="59" t="s">
        <v>104</v>
      </c>
      <c r="I184" s="60" t="s">
        <v>1687</v>
      </c>
      <c r="J184" s="61">
        <v>2472</v>
      </c>
      <c r="K184" s="62" t="s">
        <v>1348</v>
      </c>
      <c r="L184" s="100"/>
      <c r="M184" s="64"/>
      <c r="N184" s="65"/>
      <c r="O184" s="63" t="str">
        <f t="shared" si="10"/>
        <v>제11장 노동조합-제05절 사용자의 편의제공-03</v>
      </c>
      <c r="Q184" s="7" t="str">
        <f t="shared" si="11"/>
        <v>11.05-2-2</v>
      </c>
      <c r="R184" s="7" t="str">
        <f t="shared" si="12"/>
        <v>열기2-01.노동법\02.문제\[모의][2][11.05-2]근로시간 면제 제도(Time-Off)의 한도 초과 약정의 효력 및 급여 지급의 법적 쟁점.txt</v>
      </c>
      <c r="S184" s="7" t="str">
        <f t="shared" si="13"/>
        <v>A</v>
      </c>
      <c r="T184" s="7" t="str">
        <f t="shared" si="14"/>
        <v>근로시간 면제 제도(Time-Off)의 한도 초과 약정의 효력 및 급여 지급의 법적 쟁점</v>
      </c>
    </row>
    <row r="185" spans="2:20" ht="14.45" customHeight="1" x14ac:dyDescent="0.2">
      <c r="B185" s="31" t="s">
        <v>399</v>
      </c>
      <c r="C185" s="32" t="s">
        <v>1498</v>
      </c>
      <c r="D185" s="33" t="s">
        <v>128</v>
      </c>
      <c r="E185" s="69" t="s">
        <v>154</v>
      </c>
      <c r="F185" s="35" t="s">
        <v>28</v>
      </c>
      <c r="G185" s="35" t="s">
        <v>1635</v>
      </c>
      <c r="H185" s="36" t="s">
        <v>175</v>
      </c>
      <c r="I185" s="6" t="s">
        <v>980</v>
      </c>
      <c r="J185" s="37">
        <v>1933</v>
      </c>
      <c r="K185" s="38" t="s">
        <v>1348</v>
      </c>
      <c r="L185" s="298"/>
      <c r="M185" s="40"/>
      <c r="N185" s="41"/>
      <c r="O185" s="39" t="str">
        <f t="shared" si="10"/>
        <v>제11장 노동조합-제06절 노동조합의 내부통제권-01</v>
      </c>
      <c r="Q185" s="7" t="str">
        <f t="shared" si="11"/>
        <v>노동조합-2</v>
      </c>
      <c r="R185" s="7" t="str">
        <f t="shared" si="12"/>
        <v>열기2-01.노동법\01.본문\제11장 노동조합.제06절 노동조합의 내부통제권.txt</v>
      </c>
      <c r="S185" s="7" t="str">
        <f t="shared" si="13"/>
        <v>A</v>
      </c>
      <c r="T185" s="7" t="str">
        <f t="shared" si="14"/>
        <v>노동조합의 내부통제권</v>
      </c>
    </row>
    <row r="186" spans="2:20" ht="14.45" customHeight="1" x14ac:dyDescent="0.2">
      <c r="B186" s="31" t="s">
        <v>399</v>
      </c>
      <c r="C186" s="54" t="s">
        <v>1498</v>
      </c>
      <c r="D186" s="55" t="s">
        <v>1256</v>
      </c>
      <c r="E186" s="97" t="s">
        <v>1165</v>
      </c>
      <c r="F186" s="58">
        <v>2</v>
      </c>
      <c r="G186" s="58" t="s">
        <v>1636</v>
      </c>
      <c r="H186" s="59" t="s">
        <v>1033</v>
      </c>
      <c r="I186" s="60" t="s">
        <v>1034</v>
      </c>
      <c r="J186" s="61">
        <v>1964</v>
      </c>
      <c r="K186" s="62" t="s">
        <v>1348</v>
      </c>
      <c r="L186" s="100"/>
      <c r="M186" s="64"/>
      <c r="N186" s="65"/>
      <c r="O186" s="63" t="str">
        <f t="shared" si="10"/>
        <v>제11장 노동조합-제06절 노동조합의 내부통제권-02</v>
      </c>
      <c r="Q186" s="7" t="str">
        <f t="shared" si="11"/>
        <v>2013-2-2</v>
      </c>
      <c r="R186" s="7" t="str">
        <f t="shared" si="12"/>
        <v>열기2-01.노동법\02.문제\[기출][2][2013-2]조합의 지지 정당 결정에 반하여 다른 정당을 지지한 조합원에 대한 제명처분의 효력.txt</v>
      </c>
      <c r="S186" s="7" t="str">
        <f t="shared" si="13"/>
        <v>A</v>
      </c>
      <c r="T186" s="7" t="str">
        <f t="shared" si="14"/>
        <v>조합의 지지 정당 결정에 반하여 다른 정당을 지지한 조합원에 대한 제명처분의 효력</v>
      </c>
    </row>
    <row r="187" spans="2:20" ht="14.45" customHeight="1" x14ac:dyDescent="0.2">
      <c r="B187" s="31" t="s">
        <v>399</v>
      </c>
      <c r="C187" s="32" t="s">
        <v>1810</v>
      </c>
      <c r="D187" s="33" t="s">
        <v>128</v>
      </c>
      <c r="E187" s="69" t="s">
        <v>154</v>
      </c>
      <c r="F187" s="35" t="s">
        <v>28</v>
      </c>
      <c r="G187" s="35" t="s">
        <v>1635</v>
      </c>
      <c r="H187" s="36" t="s">
        <v>1811</v>
      </c>
      <c r="I187" s="6" t="s">
        <v>1812</v>
      </c>
      <c r="J187" s="37">
        <v>1435</v>
      </c>
      <c r="K187" s="38" t="s">
        <v>1348</v>
      </c>
      <c r="L187" s="298"/>
      <c r="M187" s="40"/>
      <c r="N187" s="41"/>
      <c r="O187" s="39" t="str">
        <f t="shared" si="10"/>
        <v>제11장 노동조합-제07절 노동조합의 합병・해산・조직변경-01</v>
      </c>
      <c r="Q187" s="7" t="str">
        <f t="shared" si="11"/>
        <v>노동조합-2</v>
      </c>
      <c r="R187" s="7" t="str">
        <f t="shared" si="12"/>
        <v>열기2-01.노동법\01.본문\제11장 노동조합.제07절 노동조합의 합병・해산・조직변경.txt</v>
      </c>
      <c r="S187" s="7" t="str">
        <f t="shared" si="13"/>
        <v>A</v>
      </c>
      <c r="T187" s="7" t="str">
        <f t="shared" si="14"/>
        <v>노동조합의 합병・해산・조직변경</v>
      </c>
    </row>
    <row r="188" spans="2:20" ht="14.45" customHeight="1" thickBot="1" x14ac:dyDescent="0.25">
      <c r="B188" s="74" t="s">
        <v>399</v>
      </c>
      <c r="C188" s="103" t="s">
        <v>1810</v>
      </c>
      <c r="D188" s="76" t="s">
        <v>1256</v>
      </c>
      <c r="E188" s="77" t="s">
        <v>1172</v>
      </c>
      <c r="F188" s="78">
        <v>2</v>
      </c>
      <c r="G188" s="78" t="s">
        <v>1636</v>
      </c>
      <c r="H188" s="79" t="s">
        <v>1035</v>
      </c>
      <c r="I188" s="80" t="s">
        <v>1036</v>
      </c>
      <c r="J188" s="81">
        <v>2449</v>
      </c>
      <c r="K188" s="82" t="s">
        <v>1348</v>
      </c>
      <c r="L188" s="161"/>
      <c r="M188" s="84"/>
      <c r="N188" s="85"/>
      <c r="O188" s="83" t="str">
        <f t="shared" si="10"/>
        <v>제11장 노동조합-제07절 노동조합의 합병・해산・조직변경-02</v>
      </c>
      <c r="Q188" s="7" t="str">
        <f t="shared" si="11"/>
        <v>2019-1-2-2</v>
      </c>
      <c r="R188" s="7" t="str">
        <f t="shared" si="12"/>
        <v>열기2-01.노동법\02.문제\[기출][2][2019-1-2]초기업 노동조합 지회의 기업별 노동조합 조직형태 변경 결의의 유효성 여부.txt</v>
      </c>
      <c r="S188" s="7" t="str">
        <f t="shared" si="13"/>
        <v>A</v>
      </c>
      <c r="T188" s="7" t="str">
        <f t="shared" si="14"/>
        <v>초기업 노동조합 지회의 기업별 노동조합 조직형태 변경 결의의 유효성 여부</v>
      </c>
    </row>
    <row r="189" spans="2:20" ht="14.45" customHeight="1" x14ac:dyDescent="0.2">
      <c r="B189" s="19" t="s">
        <v>400</v>
      </c>
      <c r="C189" s="86" t="s">
        <v>1594</v>
      </c>
      <c r="D189" s="87" t="s">
        <v>128</v>
      </c>
      <c r="E189" s="88" t="s">
        <v>155</v>
      </c>
      <c r="F189" s="89" t="s">
        <v>28</v>
      </c>
      <c r="G189" s="89" t="s">
        <v>1635</v>
      </c>
      <c r="H189" s="90" t="s">
        <v>176</v>
      </c>
      <c r="I189" s="91" t="s">
        <v>982</v>
      </c>
      <c r="J189" s="92">
        <v>1504</v>
      </c>
      <c r="K189" s="93" t="s">
        <v>1348</v>
      </c>
      <c r="L189" s="299"/>
      <c r="M189" s="95"/>
      <c r="N189" s="96"/>
      <c r="O189" s="94" t="str">
        <f t="shared" si="10"/>
        <v>제12장 단체교섭-제01절 단체교섭의 당사자-01</v>
      </c>
      <c r="Q189" s="7" t="str">
        <f t="shared" si="11"/>
        <v>단체교섭-2</v>
      </c>
      <c r="R189" s="7" t="str">
        <f t="shared" si="12"/>
        <v>열기2-01.노동법\01.본문\제12장 단체교섭.제01절 단체교섭의 당사자.txt</v>
      </c>
      <c r="S189" s="7" t="str">
        <f t="shared" si="13"/>
        <v>A</v>
      </c>
      <c r="T189" s="7" t="str">
        <f t="shared" si="14"/>
        <v>단체교섭의 당사자</v>
      </c>
    </row>
    <row r="190" spans="2:20" ht="14.45" customHeight="1" x14ac:dyDescent="0.2">
      <c r="B190" s="31" t="s">
        <v>400</v>
      </c>
      <c r="C190" s="42" t="s">
        <v>502</v>
      </c>
      <c r="D190" s="151" t="s">
        <v>1256</v>
      </c>
      <c r="E190" s="152" t="s">
        <v>82</v>
      </c>
      <c r="F190" s="153">
        <v>2</v>
      </c>
      <c r="G190" s="153" t="s">
        <v>1636</v>
      </c>
      <c r="H190" s="154" t="s">
        <v>1129</v>
      </c>
      <c r="I190" s="155" t="s">
        <v>1130</v>
      </c>
      <c r="J190" s="150">
        <v>3694</v>
      </c>
      <c r="K190" s="156" t="s">
        <v>1348</v>
      </c>
      <c r="L190" s="302"/>
      <c r="M190" s="158"/>
      <c r="N190" s="159"/>
      <c r="O190" s="157" t="str">
        <f t="shared" si="10"/>
        <v>제12장 단체교섭-제01절 단체교섭의 당사자-02</v>
      </c>
      <c r="Q190" s="7" t="str">
        <f t="shared" si="11"/>
        <v>2009-1-2</v>
      </c>
      <c r="R190" s="7" t="str">
        <f t="shared" si="12"/>
        <v>열기2-01.노동법\02.문제\[기출][2][2009-1]도급 또는 파견 계약 관계에서 노조법상 사용자로서 단체교섭 의무 부담 여부.txt</v>
      </c>
      <c r="S190" s="7" t="str">
        <f t="shared" si="13"/>
        <v>A</v>
      </c>
      <c r="T190" s="7" t="str">
        <f t="shared" si="14"/>
        <v>도급 또는 파견 계약 관계에서 노조법상 사용자로서 단체교섭 의무 부담 여부</v>
      </c>
    </row>
    <row r="191" spans="2:20" ht="14.45" customHeight="1" x14ac:dyDescent="0.2">
      <c r="B191" s="31" t="s">
        <v>400</v>
      </c>
      <c r="C191" s="42" t="s">
        <v>502</v>
      </c>
      <c r="D191" s="43" t="s">
        <v>1256</v>
      </c>
      <c r="E191" s="70" t="s">
        <v>1131</v>
      </c>
      <c r="F191" s="46">
        <v>2</v>
      </c>
      <c r="G191" s="46" t="s">
        <v>1637</v>
      </c>
      <c r="H191" s="47" t="s">
        <v>1127</v>
      </c>
      <c r="I191" s="48" t="s">
        <v>1128</v>
      </c>
      <c r="J191" s="49">
        <v>3441</v>
      </c>
      <c r="K191" s="50" t="s">
        <v>1348</v>
      </c>
      <c r="L191" s="68"/>
      <c r="M191" s="52"/>
      <c r="N191" s="53"/>
      <c r="O191" s="51" t="str">
        <f t="shared" si="10"/>
        <v>제12장 단체교섭-제01절 단체교섭의 당사자-03</v>
      </c>
      <c r="Q191" s="7" t="str">
        <f t="shared" si="11"/>
        <v>2011-1-2</v>
      </c>
      <c r="R191" s="7" t="str">
        <f t="shared" si="12"/>
        <v>열기2-01.노동법\02.문제\[기출][2][2011-1]산별노동조합 지회의 단체교섭 주체성 인정 여부, 사업부 매각 결정(경영권)의 단체교섭 대상성 여부.txt</v>
      </c>
      <c r="S191" s="7" t="str">
        <f t="shared" si="13"/>
        <v>A</v>
      </c>
      <c r="T191" s="7" t="str">
        <f t="shared" si="14"/>
        <v>산별노동조합 지회의 단체교섭 주체성 인정 여부, 사업부 매각 결정(경영권)의 단체교섭 대상성 여부</v>
      </c>
    </row>
    <row r="192" spans="2:20" ht="14.45" customHeight="1" x14ac:dyDescent="0.2">
      <c r="B192" s="31" t="s">
        <v>400</v>
      </c>
      <c r="C192" s="42" t="s">
        <v>1594</v>
      </c>
      <c r="D192" s="43" t="s">
        <v>1256</v>
      </c>
      <c r="E192" s="70" t="s">
        <v>1591</v>
      </c>
      <c r="F192" s="46" t="s">
        <v>27</v>
      </c>
      <c r="G192" s="46" t="s">
        <v>1638</v>
      </c>
      <c r="H192" s="47" t="s">
        <v>1592</v>
      </c>
      <c r="I192" s="48" t="s">
        <v>1231</v>
      </c>
      <c r="J192" s="49">
        <v>2292</v>
      </c>
      <c r="K192" s="50" t="s">
        <v>1348</v>
      </c>
      <c r="L192" s="68" t="s">
        <v>1549</v>
      </c>
      <c r="M192" s="52"/>
      <c r="N192" s="53"/>
      <c r="O192" s="51" t="str">
        <f t="shared" si="10"/>
        <v>제12장 단체교섭-제01절 단체교섭의 당사자-04</v>
      </c>
      <c r="Q192" s="7" t="str">
        <f t="shared" si="11"/>
        <v>2021-1-1-2</v>
      </c>
      <c r="R192" s="7" t="str">
        <f t="shared" si="12"/>
        <v>열기2-01.노동법\02.문제\[기출][2][2021-1-1]설립신고를 하지 않은 초기업 노동조합 지부의 단체협약 체결 당사자 지위 인정 여부.txt</v>
      </c>
      <c r="S192" s="7" t="str">
        <f t="shared" si="13"/>
        <v>A</v>
      </c>
      <c r="T192" s="7" t="str">
        <f t="shared" si="14"/>
        <v>설립신고를 하지 않은 초기업 노동조합 지부의 단체협약 체결 당사자 지위 인정 여부</v>
      </c>
    </row>
    <row r="193" spans="2:20" ht="14.45" customHeight="1" x14ac:dyDescent="0.2">
      <c r="B193" s="31" t="s">
        <v>400</v>
      </c>
      <c r="C193" s="42" t="s">
        <v>502</v>
      </c>
      <c r="D193" s="43" t="s">
        <v>308</v>
      </c>
      <c r="E193" s="73" t="s">
        <v>1530</v>
      </c>
      <c r="F193" s="46" t="s">
        <v>28</v>
      </c>
      <c r="G193" s="45" t="s">
        <v>1639</v>
      </c>
      <c r="H193" s="47" t="s">
        <v>1356</v>
      </c>
      <c r="I193" s="48" t="s">
        <v>1288</v>
      </c>
      <c r="J193" s="49">
        <v>3135</v>
      </c>
      <c r="K193" s="50" t="s">
        <v>1348</v>
      </c>
      <c r="L193" s="68"/>
      <c r="M193" s="52"/>
      <c r="N193" s="53"/>
      <c r="O193" s="51" t="str">
        <f t="shared" si="10"/>
        <v>제12장 단체교섭-제01절 단체교섭의 당사자-05</v>
      </c>
      <c r="Q193" s="7" t="str">
        <f t="shared" si="11"/>
        <v>서울행정법원 2025.07.25. 선고 2022구합69230 판결-2</v>
      </c>
      <c r="R193" s="7" t="str">
        <f t="shared" si="12"/>
        <v>열기2-01.노동법\03.판례\[서울행정법원 2025.07.25. 선고 2022구합69230 판결]원하청교섭 시 원청사의 단체교섭의무 판단방법, 그리고 노란봉투법.txt</v>
      </c>
      <c r="S193" s="7" t="str">
        <f t="shared" si="13"/>
        <v>A</v>
      </c>
      <c r="T193" s="7" t="str">
        <f t="shared" si="14"/>
        <v>원하청교섭 시 원청사의 단체교섭의무 판단방법, 그리고 노란봉투법</v>
      </c>
    </row>
    <row r="194" spans="2:20" ht="14.45" customHeight="1" x14ac:dyDescent="0.2">
      <c r="B194" s="31" t="s">
        <v>400</v>
      </c>
      <c r="C194" s="54" t="s">
        <v>502</v>
      </c>
      <c r="D194" s="55" t="s">
        <v>308</v>
      </c>
      <c r="E194" s="71" t="s">
        <v>1531</v>
      </c>
      <c r="F194" s="58" t="s">
        <v>28</v>
      </c>
      <c r="G194" s="57" t="s">
        <v>1640</v>
      </c>
      <c r="H194" s="59" t="s">
        <v>353</v>
      </c>
      <c r="I194" s="60" t="s">
        <v>1289</v>
      </c>
      <c r="J194" s="61">
        <v>3184</v>
      </c>
      <c r="K194" s="62" t="s">
        <v>1383</v>
      </c>
      <c r="L194" s="100"/>
      <c r="M194" s="64"/>
      <c r="N194" s="65"/>
      <c r="O194" s="63" t="str">
        <f t="shared" si="10"/>
        <v>제12장 단체교섭-제01절 단체교섭의 당사자-06</v>
      </c>
      <c r="Q194" s="7" t="str">
        <f t="shared" si="11"/>
        <v>서울행정법원 2025.10.30. 선고 2024구합72896 판결-2</v>
      </c>
      <c r="R194" s="7" t="str">
        <f t="shared" si="12"/>
        <v>열기2-01.노동법\03.판례\[서울행정법원 2025.10.30. 선고 2024구합72896 판결]백화점・면세점의 입점(판매)노동과 단체교섭 상대방.txt</v>
      </c>
      <c r="S194" s="7" t="str">
        <f t="shared" si="13"/>
        <v>B</v>
      </c>
      <c r="T194" s="7" t="str">
        <f t="shared" si="14"/>
        <v>백화점・면세점의 입점(판매)노동과 단체교섭 상대방</v>
      </c>
    </row>
    <row r="195" spans="2:20" ht="14.45" customHeight="1" x14ac:dyDescent="0.2">
      <c r="B195" s="31" t="s">
        <v>400</v>
      </c>
      <c r="C195" s="32" t="s">
        <v>1446</v>
      </c>
      <c r="D195" s="33" t="s">
        <v>128</v>
      </c>
      <c r="E195" s="69" t="s">
        <v>155</v>
      </c>
      <c r="F195" s="35" t="s">
        <v>28</v>
      </c>
      <c r="G195" s="35" t="s">
        <v>1635</v>
      </c>
      <c r="H195" s="36" t="s">
        <v>177</v>
      </c>
      <c r="I195" s="6" t="s">
        <v>983</v>
      </c>
      <c r="J195" s="37">
        <v>1707</v>
      </c>
      <c r="K195" s="38" t="s">
        <v>1382</v>
      </c>
      <c r="L195" s="298"/>
      <c r="M195" s="40"/>
      <c r="N195" s="41"/>
      <c r="O195" s="39" t="str">
        <f t="shared" si="10"/>
        <v>제12장 단체교섭-제02절 단체교섭의 담당자-01</v>
      </c>
      <c r="Q195" s="7" t="str">
        <f t="shared" si="11"/>
        <v>단체교섭-2</v>
      </c>
      <c r="R195" s="7" t="str">
        <f t="shared" si="12"/>
        <v>열기2-01.노동법\01.본문\제12장 단체교섭.제02절 단체교섭의 담당자.txt</v>
      </c>
      <c r="S195" s="7" t="str">
        <f t="shared" si="13"/>
        <v>C</v>
      </c>
      <c r="T195" s="7" t="str">
        <f t="shared" si="14"/>
        <v>단체교섭의 담당자</v>
      </c>
    </row>
    <row r="196" spans="2:20" ht="14.45" customHeight="1" x14ac:dyDescent="0.2">
      <c r="B196" s="31" t="s">
        <v>400</v>
      </c>
      <c r="C196" s="54" t="s">
        <v>1446</v>
      </c>
      <c r="D196" s="55" t="s">
        <v>1256</v>
      </c>
      <c r="E196" s="97" t="s">
        <v>1167</v>
      </c>
      <c r="F196" s="58">
        <v>2</v>
      </c>
      <c r="G196" s="58" t="s">
        <v>1636</v>
      </c>
      <c r="H196" s="59" t="s">
        <v>1246</v>
      </c>
      <c r="I196" s="60" t="s">
        <v>1247</v>
      </c>
      <c r="J196" s="61">
        <v>2438</v>
      </c>
      <c r="K196" s="62" t="s">
        <v>1382</v>
      </c>
      <c r="L196" s="100"/>
      <c r="M196" s="64"/>
      <c r="N196" s="65"/>
      <c r="O196" s="63" t="str">
        <f t="shared" ref="O196:O259" si="19">B196&amp;"-"&amp;C196&amp;"-"&amp;G196</f>
        <v>제12장 단체교섭-제02절 단체교섭의 담당자-02</v>
      </c>
      <c r="Q196" s="7" t="str">
        <f t="shared" ref="Q196:Q259" si="20">E196&amp;"-"&amp;F196</f>
        <v>2023-1-1-2</v>
      </c>
      <c r="R196" s="7" t="str">
        <f t="shared" ref="R196:R259" si="21">I196</f>
        <v>열기2-01.노동법\02.문제\[기출][2][2023-1-1]사용자의 직장폐쇄 중 수임 상급단체의 단체교섭 요구를 계속적으로 거부한 행위의 부당노동행위 성립 여부.txt</v>
      </c>
      <c r="S196" s="7" t="str">
        <f t="shared" ref="S196:S259" si="22">K196</f>
        <v>C</v>
      </c>
      <c r="T196" s="7" t="str">
        <f t="shared" si="14"/>
        <v>사용자의 직장폐쇄 중 수임 상급단체의 단체교섭 요구를 계속적으로 거부한 행위의 부당노동행위 성립 여부</v>
      </c>
    </row>
    <row r="197" spans="2:20" ht="14.45" customHeight="1" x14ac:dyDescent="0.2">
      <c r="B197" s="31" t="s">
        <v>400</v>
      </c>
      <c r="C197" s="32" t="s">
        <v>503</v>
      </c>
      <c r="D197" s="33" t="s">
        <v>128</v>
      </c>
      <c r="E197" s="69" t="s">
        <v>155</v>
      </c>
      <c r="F197" s="35" t="s">
        <v>28</v>
      </c>
      <c r="G197" s="35" t="s">
        <v>1635</v>
      </c>
      <c r="H197" s="36" t="s">
        <v>178</v>
      </c>
      <c r="I197" s="6" t="s">
        <v>984</v>
      </c>
      <c r="J197" s="37">
        <v>2088</v>
      </c>
      <c r="K197" s="38" t="s">
        <v>1348</v>
      </c>
      <c r="L197" s="298"/>
      <c r="M197" s="40"/>
      <c r="N197" s="41"/>
      <c r="O197" s="39" t="str">
        <f t="shared" si="19"/>
        <v>제12장 단체교섭-제03절 단체교섭의 대상-01</v>
      </c>
      <c r="Q197" s="7" t="str">
        <f t="shared" si="20"/>
        <v>단체교섭-2</v>
      </c>
      <c r="R197" s="7" t="str">
        <f t="shared" si="21"/>
        <v>열기2-01.노동법\01.본문\제12장 단체교섭.제03절 단체교섭의 대상.txt</v>
      </c>
      <c r="S197" s="7" t="str">
        <f t="shared" si="22"/>
        <v>A</v>
      </c>
      <c r="T197" s="7" t="str">
        <f t="shared" ref="T197:T260" si="23">H197</f>
        <v>단체교섭의 대상</v>
      </c>
    </row>
    <row r="198" spans="2:20" ht="14.45" customHeight="1" x14ac:dyDescent="0.2">
      <c r="B198" s="31" t="s">
        <v>400</v>
      </c>
      <c r="C198" s="42" t="s">
        <v>503</v>
      </c>
      <c r="D198" s="43" t="s">
        <v>1256</v>
      </c>
      <c r="E198" s="70" t="s">
        <v>80</v>
      </c>
      <c r="F198" s="46">
        <v>2</v>
      </c>
      <c r="G198" s="46" t="s">
        <v>1636</v>
      </c>
      <c r="H198" s="47" t="s">
        <v>235</v>
      </c>
      <c r="I198" s="48" t="s">
        <v>928</v>
      </c>
      <c r="J198" s="49">
        <v>3447</v>
      </c>
      <c r="K198" s="50" t="s">
        <v>1383</v>
      </c>
      <c r="L198" s="68"/>
      <c r="M198" s="52"/>
      <c r="N198" s="53"/>
      <c r="O198" s="51" t="str">
        <f t="shared" si="19"/>
        <v>제12장 단체교섭-제03절 단체교섭의 대상-02</v>
      </c>
      <c r="Q198" s="7" t="str">
        <f t="shared" si="20"/>
        <v>2008-1-2</v>
      </c>
      <c r="R198" s="7" t="str">
        <f t="shared" si="21"/>
        <v>열기2-01.노동법\02.문제\[기출][2][2008-1]단체협약상 동의조항의 효력(노동조합의 동의권에 대한 범위), 경영권에 대한 단체교섭의 대상성.txt</v>
      </c>
      <c r="S198" s="7" t="str">
        <f t="shared" si="22"/>
        <v>B</v>
      </c>
      <c r="T198" s="7" t="str">
        <f t="shared" si="23"/>
        <v>단체협약상 동의조항의 효력(노동조합의 동의권에 대한 범위), 경영권에 대한 단체교섭의 대상성</v>
      </c>
    </row>
    <row r="199" spans="2:20" ht="14.45" customHeight="1" x14ac:dyDescent="0.2">
      <c r="B199" s="31" t="s">
        <v>400</v>
      </c>
      <c r="C199" s="42" t="s">
        <v>503</v>
      </c>
      <c r="D199" s="43" t="s">
        <v>1256</v>
      </c>
      <c r="E199" s="70" t="s">
        <v>1131</v>
      </c>
      <c r="F199" s="46">
        <v>2</v>
      </c>
      <c r="G199" s="46" t="s">
        <v>1637</v>
      </c>
      <c r="H199" s="47" t="s">
        <v>1127</v>
      </c>
      <c r="I199" s="48" t="s">
        <v>1128</v>
      </c>
      <c r="J199" s="49">
        <v>3441</v>
      </c>
      <c r="K199" s="50" t="s">
        <v>1348</v>
      </c>
      <c r="L199" s="68" t="s">
        <v>1549</v>
      </c>
      <c r="M199" s="52"/>
      <c r="N199" s="53"/>
      <c r="O199" s="51" t="str">
        <f t="shared" si="19"/>
        <v>제12장 단체교섭-제03절 단체교섭의 대상-03</v>
      </c>
      <c r="Q199" s="7" t="str">
        <f t="shared" si="20"/>
        <v>2011-1-2</v>
      </c>
      <c r="R199" s="7" t="str">
        <f t="shared" si="21"/>
        <v>열기2-01.노동법\02.문제\[기출][2][2011-1]산별노동조합 지회의 단체교섭 주체성 인정 여부, 사업부 매각 결정(경영권)의 단체교섭 대상성 여부.txt</v>
      </c>
      <c r="S199" s="7" t="str">
        <f t="shared" si="22"/>
        <v>A</v>
      </c>
      <c r="T199" s="7" t="str">
        <f t="shared" si="23"/>
        <v>산별노동조합 지회의 단체교섭 주체성 인정 여부, 사업부 매각 결정(경영권)의 단체교섭 대상성 여부</v>
      </c>
    </row>
    <row r="200" spans="2:20" ht="14.45" customHeight="1" x14ac:dyDescent="0.2">
      <c r="B200" s="31" t="s">
        <v>400</v>
      </c>
      <c r="C200" s="54" t="s">
        <v>503</v>
      </c>
      <c r="D200" s="55" t="s">
        <v>308</v>
      </c>
      <c r="E200" s="71" t="s">
        <v>1532</v>
      </c>
      <c r="F200" s="58" t="s">
        <v>28</v>
      </c>
      <c r="G200" s="57" t="s">
        <v>1638</v>
      </c>
      <c r="H200" s="59" t="s">
        <v>348</v>
      </c>
      <c r="I200" s="60" t="s">
        <v>1290</v>
      </c>
      <c r="J200" s="61">
        <v>2867</v>
      </c>
      <c r="K200" s="62" t="s">
        <v>1348</v>
      </c>
      <c r="L200" s="100"/>
      <c r="M200" s="64"/>
      <c r="N200" s="65"/>
      <c r="O200" s="63" t="str">
        <f t="shared" si="19"/>
        <v>제12장 단체교섭-제03절 단체교섭의 대상-04</v>
      </c>
      <c r="Q200" s="7" t="str">
        <f t="shared" si="20"/>
        <v>대법원 2025.07.03. 선고 2023다251718 판결-2</v>
      </c>
      <c r="R200" s="7" t="str">
        <f t="shared" si="21"/>
        <v>열기2-01.노동법\03.판례\[대법원 2025.07.03. 선고 2023다251718 판결]과거 근로조건에 대한 단체교섭의 유의미성.txt</v>
      </c>
      <c r="S200" s="7" t="str">
        <f t="shared" si="22"/>
        <v>A</v>
      </c>
      <c r="T200" s="7" t="str">
        <f t="shared" si="23"/>
        <v>과거 근로조건에 대한 단체교섭의 유의미성</v>
      </c>
    </row>
    <row r="201" spans="2:20" ht="14.45" customHeight="1" x14ac:dyDescent="0.2">
      <c r="B201" s="31" t="s">
        <v>400</v>
      </c>
      <c r="C201" s="32" t="s">
        <v>1499</v>
      </c>
      <c r="D201" s="33" t="s">
        <v>128</v>
      </c>
      <c r="E201" s="69" t="s">
        <v>155</v>
      </c>
      <c r="F201" s="35" t="s">
        <v>28</v>
      </c>
      <c r="G201" s="35" t="s">
        <v>1635</v>
      </c>
      <c r="H201" s="36" t="s">
        <v>179</v>
      </c>
      <c r="I201" s="6" t="s">
        <v>985</v>
      </c>
      <c r="J201" s="37">
        <v>2317</v>
      </c>
      <c r="K201" s="38" t="s">
        <v>1382</v>
      </c>
      <c r="L201" s="298"/>
      <c r="M201" s="40"/>
      <c r="N201" s="41"/>
      <c r="O201" s="39" t="str">
        <f t="shared" si="19"/>
        <v>제12장 단체교섭-제04절 교섭창구단일화제도-01</v>
      </c>
      <c r="Q201" s="7" t="str">
        <f t="shared" si="20"/>
        <v>단체교섭-2</v>
      </c>
      <c r="R201" s="7" t="str">
        <f t="shared" si="21"/>
        <v>열기2-01.노동법\01.본문\제12장 단체교섭.제04절 교섭창구단일화제도.txt</v>
      </c>
      <c r="S201" s="7" t="str">
        <f t="shared" si="22"/>
        <v>C</v>
      </c>
      <c r="T201" s="7" t="str">
        <f t="shared" si="23"/>
        <v>교섭창구단일화제도</v>
      </c>
    </row>
    <row r="202" spans="2:20" ht="14.45" customHeight="1" x14ac:dyDescent="0.2">
      <c r="B202" s="31" t="s">
        <v>400</v>
      </c>
      <c r="C202" s="42" t="s">
        <v>1499</v>
      </c>
      <c r="D202" s="43" t="s">
        <v>1256</v>
      </c>
      <c r="E202" s="70" t="s">
        <v>86</v>
      </c>
      <c r="F202" s="46">
        <v>2</v>
      </c>
      <c r="G202" s="46" t="s">
        <v>1636</v>
      </c>
      <c r="H202" s="47" t="s">
        <v>1251</v>
      </c>
      <c r="I202" s="48" t="s">
        <v>1252</v>
      </c>
      <c r="J202" s="49">
        <v>1629</v>
      </c>
      <c r="K202" s="50" t="s">
        <v>1382</v>
      </c>
      <c r="L202" s="68"/>
      <c r="M202" s="52"/>
      <c r="N202" s="53"/>
      <c r="O202" s="51" t="str">
        <f t="shared" si="19"/>
        <v>제12장 단체교섭-제04절 교섭창구단일화제도-02</v>
      </c>
      <c r="Q202" s="7" t="str">
        <f t="shared" si="20"/>
        <v>2020-2-2</v>
      </c>
      <c r="R202" s="7" t="str">
        <f t="shared" si="21"/>
        <v>열기2-01.노동법\02.문제\[기출][2][2020-2]소수노조 대상 노조사무실 미제공의 공정대표의무 위반 여부.txt</v>
      </c>
      <c r="S202" s="7" t="str">
        <f t="shared" si="22"/>
        <v>C</v>
      </c>
      <c r="T202" s="7" t="str">
        <f t="shared" si="23"/>
        <v>소수노조 대상 노조사무실 미제공의 공정대표의무 위반 여부</v>
      </c>
    </row>
    <row r="203" spans="2:20" ht="14.45" customHeight="1" x14ac:dyDescent="0.2">
      <c r="B203" s="31" t="s">
        <v>400</v>
      </c>
      <c r="C203" s="42" t="s">
        <v>1499</v>
      </c>
      <c r="D203" s="43" t="s">
        <v>1256</v>
      </c>
      <c r="E203" s="70" t="s">
        <v>282</v>
      </c>
      <c r="F203" s="46">
        <v>2</v>
      </c>
      <c r="G203" s="46" t="s">
        <v>1637</v>
      </c>
      <c r="H203" s="47" t="s">
        <v>1134</v>
      </c>
      <c r="I203" s="48" t="s">
        <v>1135</v>
      </c>
      <c r="J203" s="49">
        <v>2438</v>
      </c>
      <c r="K203" s="50" t="s">
        <v>1382</v>
      </c>
      <c r="L203" s="68"/>
      <c r="M203" s="52"/>
      <c r="N203" s="53"/>
      <c r="O203" s="51" t="str">
        <f t="shared" si="19"/>
        <v>제12장 단체교섭-제04절 교섭창구단일화제도-03</v>
      </c>
      <c r="Q203" s="7" t="str">
        <f t="shared" si="20"/>
        <v>2024-2-2</v>
      </c>
      <c r="R203" s="7" t="str">
        <f t="shared" si="21"/>
        <v>열기2-01.노동법\02.문제\[기출][2][2024-2]교섭대표노동조합의 공정대표의무 위반 여부.txt</v>
      </c>
      <c r="S203" s="7" t="str">
        <f t="shared" si="22"/>
        <v>C</v>
      </c>
      <c r="T203" s="7" t="str">
        <f t="shared" si="23"/>
        <v>교섭대표노동조합의 공정대표의무 위반 여부</v>
      </c>
    </row>
    <row r="204" spans="2:20" ht="14.45" customHeight="1" x14ac:dyDescent="0.2">
      <c r="B204" s="31" t="s">
        <v>400</v>
      </c>
      <c r="C204" s="42" t="s">
        <v>1499</v>
      </c>
      <c r="D204" s="43" t="s">
        <v>1256</v>
      </c>
      <c r="E204" s="70" t="s">
        <v>72</v>
      </c>
      <c r="F204" s="46">
        <v>2</v>
      </c>
      <c r="G204" s="46" t="s">
        <v>1638</v>
      </c>
      <c r="H204" s="47" t="s">
        <v>1132</v>
      </c>
      <c r="I204" s="48" t="s">
        <v>1133</v>
      </c>
      <c r="J204" s="49">
        <v>2636</v>
      </c>
      <c r="K204" s="50" t="s">
        <v>1382</v>
      </c>
      <c r="L204" s="68"/>
      <c r="M204" s="52"/>
      <c r="N204" s="53"/>
      <c r="O204" s="51" t="str">
        <f t="shared" si="19"/>
        <v>제12장 단체교섭-제04절 교섭창구단일화제도-04</v>
      </c>
      <c r="Q204" s="7" t="str">
        <f t="shared" si="20"/>
        <v>2025-1-1-2</v>
      </c>
      <c r="R204" s="7" t="str">
        <f t="shared" si="21"/>
        <v>열기2-01.노동법\02.문제\[기출][2][2025-1-1]직군이 다른 노동조합(사무직과 생산직)의 교섭단위 분리 신청 인정 여부.txt</v>
      </c>
      <c r="S204" s="7" t="str">
        <f t="shared" si="22"/>
        <v>C</v>
      </c>
      <c r="T204" s="7" t="str">
        <f t="shared" si="23"/>
        <v>직군이 다른 노동조합(사무직과 생산직)의 교섭단위 분리 신청 인정 여부</v>
      </c>
    </row>
    <row r="205" spans="2:20" ht="14.45" customHeight="1" x14ac:dyDescent="0.2">
      <c r="B205" s="31" t="s">
        <v>400</v>
      </c>
      <c r="C205" s="42" t="s">
        <v>1499</v>
      </c>
      <c r="D205" s="43" t="s">
        <v>308</v>
      </c>
      <c r="E205" s="73" t="s">
        <v>1533</v>
      </c>
      <c r="F205" s="46" t="s">
        <v>28</v>
      </c>
      <c r="G205" s="45" t="s">
        <v>1639</v>
      </c>
      <c r="H205" s="47" t="s">
        <v>345</v>
      </c>
      <c r="I205" s="48" t="s">
        <v>1291</v>
      </c>
      <c r="J205" s="49">
        <v>3388</v>
      </c>
      <c r="K205" s="50" t="s">
        <v>1382</v>
      </c>
      <c r="L205" s="68"/>
      <c r="M205" s="52"/>
      <c r="N205" s="53"/>
      <c r="O205" s="51" t="str">
        <f t="shared" si="19"/>
        <v>제12장 단체교섭-제04절 교섭창구단일화제도-05</v>
      </c>
      <c r="Q205" s="7" t="str">
        <f t="shared" si="20"/>
        <v>대법원 2025.05.15. 선고 2022두64693 판결-2</v>
      </c>
      <c r="R205" s="7" t="str">
        <f t="shared" si="21"/>
        <v>열기2-01.노동법\03.판례\[대법원 2025.05.15. 선고 2022두64693 판결]복수노조에 대한 차량 지원 관련 사용자의 공정대표의무.txt</v>
      </c>
      <c r="S205" s="7" t="str">
        <f t="shared" si="22"/>
        <v>C</v>
      </c>
      <c r="T205" s="7" t="str">
        <f t="shared" si="23"/>
        <v>복수노조에 대한 차량 지원 관련 사용자의 공정대표의무</v>
      </c>
    </row>
    <row r="206" spans="2:20" ht="14.45" customHeight="1" x14ac:dyDescent="0.2">
      <c r="B206" s="31" t="s">
        <v>400</v>
      </c>
      <c r="C206" s="54" t="s">
        <v>1499</v>
      </c>
      <c r="D206" s="55" t="s">
        <v>308</v>
      </c>
      <c r="E206" s="71" t="s">
        <v>1534</v>
      </c>
      <c r="F206" s="58" t="s">
        <v>28</v>
      </c>
      <c r="G206" s="57" t="s">
        <v>1640</v>
      </c>
      <c r="H206" s="59" t="s">
        <v>349</v>
      </c>
      <c r="I206" s="60" t="s">
        <v>1292</v>
      </c>
      <c r="J206" s="61">
        <v>3803</v>
      </c>
      <c r="K206" s="62" t="s">
        <v>1382</v>
      </c>
      <c r="L206" s="100"/>
      <c r="M206" s="64"/>
      <c r="N206" s="65"/>
      <c r="O206" s="63" t="str">
        <f t="shared" si="19"/>
        <v>제12장 단체교섭-제04절 교섭창구단일화제도-06</v>
      </c>
      <c r="Q206" s="7" t="str">
        <f t="shared" si="20"/>
        <v>대법원 2025.07.18. 선고 2023두61370 판결-2</v>
      </c>
      <c r="R206" s="7" t="str">
        <f t="shared" si="21"/>
        <v>열기2-01.노동법\03.판례\[대법원 2025.07.18. 선고 2023두61370 판결]징계위원회 구성에 대한 공정대표의무의 효력.txt</v>
      </c>
      <c r="S206" s="7" t="str">
        <f t="shared" si="22"/>
        <v>C</v>
      </c>
      <c r="T206" s="7" t="str">
        <f t="shared" si="23"/>
        <v>징계위원회 구성에 대한 공정대표의무의 효력</v>
      </c>
    </row>
    <row r="207" spans="2:20" ht="14.45" customHeight="1" x14ac:dyDescent="0.2">
      <c r="B207" s="31" t="s">
        <v>400</v>
      </c>
      <c r="C207" s="32" t="s">
        <v>1500</v>
      </c>
      <c r="D207" s="33" t="s">
        <v>128</v>
      </c>
      <c r="E207" s="69" t="s">
        <v>155</v>
      </c>
      <c r="F207" s="35" t="s">
        <v>28</v>
      </c>
      <c r="G207" s="35" t="s">
        <v>1635</v>
      </c>
      <c r="H207" s="160" t="s">
        <v>180</v>
      </c>
      <c r="I207" s="6" t="s">
        <v>986</v>
      </c>
      <c r="J207" s="37">
        <v>2137</v>
      </c>
      <c r="K207" s="38" t="s">
        <v>1382</v>
      </c>
      <c r="L207" s="298"/>
      <c r="M207" s="40"/>
      <c r="N207" s="41"/>
      <c r="O207" s="39" t="str">
        <f t="shared" si="19"/>
        <v>제12장 단체교섭-제05절 인준투표제-01</v>
      </c>
      <c r="Q207" s="7" t="str">
        <f t="shared" si="20"/>
        <v>단체교섭-2</v>
      </c>
      <c r="R207" s="7" t="str">
        <f t="shared" si="21"/>
        <v>열기2-01.노동법\01.본문\제12장 단체교섭.제05절 인준투표제.txt</v>
      </c>
      <c r="S207" s="7" t="str">
        <f t="shared" si="22"/>
        <v>C</v>
      </c>
      <c r="T207" s="7" t="str">
        <f t="shared" si="23"/>
        <v>인준투표제</v>
      </c>
    </row>
    <row r="208" spans="2:20" ht="14.45" customHeight="1" x14ac:dyDescent="0.2">
      <c r="B208" s="31" t="s">
        <v>400</v>
      </c>
      <c r="C208" s="54" t="s">
        <v>1500</v>
      </c>
      <c r="D208" s="55" t="s">
        <v>1256</v>
      </c>
      <c r="E208" s="97" t="s">
        <v>1163</v>
      </c>
      <c r="F208" s="58">
        <v>2</v>
      </c>
      <c r="G208" s="58" t="s">
        <v>1636</v>
      </c>
      <c r="H208" s="59" t="s">
        <v>1619</v>
      </c>
      <c r="I208" s="60" t="s">
        <v>1620</v>
      </c>
      <c r="J208" s="61">
        <v>2385</v>
      </c>
      <c r="K208" s="62" t="s">
        <v>1382</v>
      </c>
      <c r="L208" s="100"/>
      <c r="M208" s="64"/>
      <c r="N208" s="65"/>
      <c r="O208" s="63" t="str">
        <f t="shared" si="19"/>
        <v>제12장 단체교섭-제05절 인준투표제-02</v>
      </c>
      <c r="Q208" s="7" t="str">
        <f t="shared" si="20"/>
        <v>2023-1-2-2</v>
      </c>
      <c r="R208" s="7" t="str">
        <f t="shared" si="21"/>
        <v>열기2-01.노동법\02.문제\[기출][2][2023-1-2]노동조합 대표자가 규약 절차를 위반하여 체결한 단체협약의 법적 효력.txt</v>
      </c>
      <c r="S208" s="7" t="str">
        <f t="shared" si="22"/>
        <v>C</v>
      </c>
      <c r="T208" s="7" t="str">
        <f t="shared" si="23"/>
        <v>노동조합 대표자가 규약 절차를 위반하여 체결한 단체협약의 법적 효력</v>
      </c>
    </row>
    <row r="209" spans="2:20" ht="14.45" customHeight="1" x14ac:dyDescent="0.2">
      <c r="B209" s="31" t="s">
        <v>400</v>
      </c>
      <c r="C209" s="32" t="s">
        <v>1447</v>
      </c>
      <c r="D209" s="33" t="s">
        <v>128</v>
      </c>
      <c r="E209" s="69" t="s">
        <v>155</v>
      </c>
      <c r="F209" s="35" t="s">
        <v>28</v>
      </c>
      <c r="G209" s="35" t="s">
        <v>1635</v>
      </c>
      <c r="H209" s="36" t="s">
        <v>181</v>
      </c>
      <c r="I209" s="6" t="s">
        <v>987</v>
      </c>
      <c r="J209" s="37">
        <v>1512</v>
      </c>
      <c r="K209" s="38" t="s">
        <v>1348</v>
      </c>
      <c r="L209" s="298"/>
      <c r="M209" s="40"/>
      <c r="N209" s="41"/>
      <c r="O209" s="39" t="str">
        <f t="shared" si="19"/>
        <v>제12장 단체교섭-제06절 성실교섭의무-01</v>
      </c>
      <c r="Q209" s="7" t="str">
        <f t="shared" si="20"/>
        <v>단체교섭-2</v>
      </c>
      <c r="R209" s="7" t="str">
        <f t="shared" si="21"/>
        <v>열기2-01.노동법\01.본문\제12장 단체교섭.제06절 성실교섭의무.txt</v>
      </c>
      <c r="S209" s="7" t="str">
        <f t="shared" si="22"/>
        <v>A</v>
      </c>
      <c r="T209" s="7" t="str">
        <f t="shared" si="23"/>
        <v>성실교섭의무</v>
      </c>
    </row>
    <row r="210" spans="2:20" ht="14.45" customHeight="1" x14ac:dyDescent="0.2">
      <c r="B210" s="31" t="s">
        <v>400</v>
      </c>
      <c r="C210" s="102" t="s">
        <v>1447</v>
      </c>
      <c r="D210" s="43" t="s">
        <v>1647</v>
      </c>
      <c r="E210" s="70" t="s">
        <v>1212</v>
      </c>
      <c r="F210" s="46" t="s">
        <v>28</v>
      </c>
      <c r="G210" s="46" t="s">
        <v>1636</v>
      </c>
      <c r="H210" s="47" t="s">
        <v>1248</v>
      </c>
      <c r="I210" s="48" t="s">
        <v>1688</v>
      </c>
      <c r="J210" s="49">
        <v>2196</v>
      </c>
      <c r="K210" s="50" t="s">
        <v>1348</v>
      </c>
      <c r="L210" s="68" t="s">
        <v>1760</v>
      </c>
      <c r="M210" s="52"/>
      <c r="N210" s="53"/>
      <c r="O210" s="51" t="str">
        <f t="shared" si="19"/>
        <v>제12장 단체교섭-제06절 성실교섭의무-02</v>
      </c>
      <c r="Q210" s="7" t="str">
        <f t="shared" si="20"/>
        <v>12.06-1-2</v>
      </c>
      <c r="R210" s="7" t="str">
        <f t="shared" si="21"/>
        <v>열기2-01.노동법\02.문제\[모의][2][12.06-1]단체교섭 중 사용자의 구체적 대안 제시 거부 및 경영 자료 제공 거부의 부당노동행위 성립 여부.txt</v>
      </c>
      <c r="S210" s="7" t="str">
        <f t="shared" si="22"/>
        <v>A</v>
      </c>
      <c r="T210" s="7" t="str">
        <f t="shared" si="23"/>
        <v>단체교섭 중 사용자의 구체적 대안 제시 거부 및 경영 자료 제공 거부의 부당노동행위 성립 여부</v>
      </c>
    </row>
    <row r="211" spans="2:20" ht="14.45" customHeight="1" thickBot="1" x14ac:dyDescent="0.25">
      <c r="B211" s="74" t="s">
        <v>400</v>
      </c>
      <c r="C211" s="103" t="s">
        <v>1447</v>
      </c>
      <c r="D211" s="76" t="s">
        <v>1647</v>
      </c>
      <c r="E211" s="77" t="s">
        <v>1213</v>
      </c>
      <c r="F211" s="78" t="s">
        <v>28</v>
      </c>
      <c r="G211" s="78" t="s">
        <v>1637</v>
      </c>
      <c r="H211" s="79" t="s">
        <v>105</v>
      </c>
      <c r="I211" s="80" t="s">
        <v>1689</v>
      </c>
      <c r="J211" s="81">
        <v>2516</v>
      </c>
      <c r="K211" s="82" t="s">
        <v>1348</v>
      </c>
      <c r="L211" s="161" t="s">
        <v>1760</v>
      </c>
      <c r="M211" s="84"/>
      <c r="N211" s="85"/>
      <c r="O211" s="83" t="str">
        <f t="shared" si="19"/>
        <v>제12장 단체교섭-제06절 성실교섭의무-03</v>
      </c>
      <c r="Q211" s="7" t="str">
        <f t="shared" si="20"/>
        <v>12.06-2-2</v>
      </c>
      <c r="R211" s="7" t="str">
        <f t="shared" si="21"/>
        <v>열기2-01.노동법\02.문제\[모의][2][12.06-2]교섭 권한 없는 자로의 위임 및 교섭 불참과 성실교섭의무 위반의 판단 기준.txt</v>
      </c>
      <c r="S211" s="7" t="str">
        <f t="shared" si="22"/>
        <v>A</v>
      </c>
      <c r="T211" s="7" t="str">
        <f t="shared" si="23"/>
        <v>교섭 권한 없는 자로의 위임 및 교섭 불참과 성실교섭의무 위반의 판단 기준</v>
      </c>
    </row>
    <row r="212" spans="2:20" ht="14.45" customHeight="1" x14ac:dyDescent="0.2">
      <c r="B212" s="19" t="s">
        <v>401</v>
      </c>
      <c r="C212" s="20" t="s">
        <v>1488</v>
      </c>
      <c r="D212" s="21" t="s">
        <v>128</v>
      </c>
      <c r="E212" s="22" t="s">
        <v>157</v>
      </c>
      <c r="F212" s="23" t="s">
        <v>28</v>
      </c>
      <c r="G212" s="23" t="s">
        <v>1635</v>
      </c>
      <c r="H212" s="24" t="s">
        <v>592</v>
      </c>
      <c r="I212" s="25" t="s">
        <v>988</v>
      </c>
      <c r="J212" s="26">
        <v>980</v>
      </c>
      <c r="K212" s="27" t="s">
        <v>1383</v>
      </c>
      <c r="L212" s="297"/>
      <c r="M212" s="29"/>
      <c r="N212" s="30"/>
      <c r="O212" s="28" t="str">
        <f t="shared" si="19"/>
        <v>제13장 단체협약-제01절 단체협약의 서설-01</v>
      </c>
      <c r="Q212" s="7" t="str">
        <f t="shared" si="20"/>
        <v>단체협약-2</v>
      </c>
      <c r="R212" s="7" t="str">
        <f t="shared" si="21"/>
        <v>열기2-01.노동법\01.본문\제13장 단체협약.제01절 단체협약의 서설.txt</v>
      </c>
      <c r="S212" s="7" t="str">
        <f t="shared" si="22"/>
        <v>B</v>
      </c>
      <c r="T212" s="7" t="str">
        <f t="shared" si="23"/>
        <v>단체협약의 서설</v>
      </c>
    </row>
    <row r="213" spans="2:20" ht="14.45" customHeight="1" x14ac:dyDescent="0.2">
      <c r="B213" s="31" t="s">
        <v>401</v>
      </c>
      <c r="C213" s="32" t="s">
        <v>1448</v>
      </c>
      <c r="D213" s="33" t="s">
        <v>128</v>
      </c>
      <c r="E213" s="69" t="s">
        <v>157</v>
      </c>
      <c r="F213" s="35" t="s">
        <v>28</v>
      </c>
      <c r="G213" s="35" t="s">
        <v>1635</v>
      </c>
      <c r="H213" s="36" t="s">
        <v>182</v>
      </c>
      <c r="I213" s="6" t="s">
        <v>989</v>
      </c>
      <c r="J213" s="37">
        <v>1017</v>
      </c>
      <c r="K213" s="38" t="s">
        <v>1383</v>
      </c>
      <c r="L213" s="298"/>
      <c r="M213" s="40"/>
      <c r="N213" s="41"/>
      <c r="O213" s="39" t="str">
        <f t="shared" si="19"/>
        <v>제13장 단체협약-제02절 단체협약의 성립-01</v>
      </c>
      <c r="Q213" s="7" t="str">
        <f t="shared" si="20"/>
        <v>단체협약-2</v>
      </c>
      <c r="R213" s="7" t="str">
        <f t="shared" si="21"/>
        <v>열기2-01.노동법\01.본문\제13장 단체협약.제02절 단체협약의 성립.txt</v>
      </c>
      <c r="S213" s="7" t="str">
        <f t="shared" si="22"/>
        <v>B</v>
      </c>
      <c r="T213" s="7" t="str">
        <f t="shared" si="23"/>
        <v>단체협약의 성립</v>
      </c>
    </row>
    <row r="214" spans="2:20" ht="14.45" customHeight="1" x14ac:dyDescent="0.2">
      <c r="B214" s="31" t="s">
        <v>401</v>
      </c>
      <c r="C214" s="42" t="s">
        <v>1448</v>
      </c>
      <c r="D214" s="43" t="s">
        <v>1647</v>
      </c>
      <c r="E214" s="70" t="s">
        <v>1214</v>
      </c>
      <c r="F214" s="46" t="s">
        <v>28</v>
      </c>
      <c r="G214" s="46" t="s">
        <v>1636</v>
      </c>
      <c r="H214" s="47" t="s">
        <v>106</v>
      </c>
      <c r="I214" s="48" t="s">
        <v>1690</v>
      </c>
      <c r="J214" s="49">
        <v>2330</v>
      </c>
      <c r="K214" s="50" t="s">
        <v>1383</v>
      </c>
      <c r="L214" s="68"/>
      <c r="M214" s="52"/>
      <c r="N214" s="53"/>
      <c r="O214" s="51" t="str">
        <f t="shared" si="19"/>
        <v>제13장 단체협약-제02절 단체협약의 성립-02</v>
      </c>
      <c r="Q214" s="7" t="str">
        <f t="shared" si="20"/>
        <v>13.02-1-2</v>
      </c>
      <c r="R214" s="7" t="str">
        <f t="shared" si="21"/>
        <v>열기2-01.노동법\02.문제\[모의][2][13.02-1]단체협약의 성립요건인 서면 작성 및 서명・날인의 법적 의미와 자필 서명의 효력.txt</v>
      </c>
      <c r="S214" s="7" t="str">
        <f t="shared" si="22"/>
        <v>B</v>
      </c>
      <c r="T214" s="7" t="str">
        <f t="shared" si="23"/>
        <v>단체협약의 성립요건인 서면 작성 및 서명・날인의 법적 의미와 자필 서명의 효력</v>
      </c>
    </row>
    <row r="215" spans="2:20" ht="14.45" customHeight="1" x14ac:dyDescent="0.2">
      <c r="B215" s="31" t="s">
        <v>401</v>
      </c>
      <c r="C215" s="54" t="s">
        <v>1448</v>
      </c>
      <c r="D215" s="55" t="s">
        <v>1647</v>
      </c>
      <c r="E215" s="97" t="s">
        <v>1215</v>
      </c>
      <c r="F215" s="58" t="s">
        <v>28</v>
      </c>
      <c r="G215" s="58" t="s">
        <v>1637</v>
      </c>
      <c r="H215" s="59" t="s">
        <v>107</v>
      </c>
      <c r="I215" s="60" t="s">
        <v>1691</v>
      </c>
      <c r="J215" s="61">
        <v>2171</v>
      </c>
      <c r="K215" s="62" t="s">
        <v>1383</v>
      </c>
      <c r="L215" s="100" t="s">
        <v>1720</v>
      </c>
      <c r="M215" s="64"/>
      <c r="N215" s="65"/>
      <c r="O215" s="63" t="str">
        <f t="shared" si="19"/>
        <v>제13장 단체협약-제02절 단체협약의 성립-03</v>
      </c>
      <c r="Q215" s="7" t="str">
        <f t="shared" si="20"/>
        <v>13.02-2-2</v>
      </c>
      <c r="R215" s="7" t="str">
        <f t="shared" si="21"/>
        <v>열기2-01.노동법\02.문제\[모의][2][13.02-2]조합원 인준투표 부결이 단체협약의 성립 및 효력 발생에 미치는 영향.txt</v>
      </c>
      <c r="S215" s="7" t="str">
        <f t="shared" si="22"/>
        <v>B</v>
      </c>
      <c r="T215" s="7" t="str">
        <f t="shared" si="23"/>
        <v>조합원 인준투표 부결이 단체협약의 성립 및 효력 발생에 미치는 영향</v>
      </c>
    </row>
    <row r="216" spans="2:20" ht="14.45" customHeight="1" x14ac:dyDescent="0.2">
      <c r="B216" s="31" t="s">
        <v>401</v>
      </c>
      <c r="C216" s="32" t="s">
        <v>484</v>
      </c>
      <c r="D216" s="33" t="s">
        <v>128</v>
      </c>
      <c r="E216" s="69" t="s">
        <v>157</v>
      </c>
      <c r="F216" s="35" t="s">
        <v>28</v>
      </c>
      <c r="G216" s="35" t="s">
        <v>1635</v>
      </c>
      <c r="H216" s="36" t="s">
        <v>183</v>
      </c>
      <c r="I216" s="6" t="s">
        <v>990</v>
      </c>
      <c r="J216" s="37">
        <v>1943</v>
      </c>
      <c r="K216" s="38" t="s">
        <v>1382</v>
      </c>
      <c r="L216" s="298"/>
      <c r="M216" s="40"/>
      <c r="N216" s="41"/>
      <c r="O216" s="39" t="str">
        <f t="shared" si="19"/>
        <v>제13장 단체협약-제03절 단체협약의 효력-01</v>
      </c>
      <c r="Q216" s="7" t="str">
        <f t="shared" si="20"/>
        <v>단체협약-2</v>
      </c>
      <c r="R216" s="7" t="str">
        <f t="shared" si="21"/>
        <v>열기2-01.노동법\01.본문\제13장 단체협약.제03절 단체협약의 효력.txt</v>
      </c>
      <c r="S216" s="7" t="str">
        <f t="shared" si="22"/>
        <v>C</v>
      </c>
      <c r="T216" s="7" t="str">
        <f t="shared" si="23"/>
        <v>단체협약의 효력</v>
      </c>
    </row>
    <row r="217" spans="2:20" ht="14.45" customHeight="1" x14ac:dyDescent="0.2">
      <c r="B217" s="31" t="s">
        <v>401</v>
      </c>
      <c r="C217" s="42" t="s">
        <v>484</v>
      </c>
      <c r="D217" s="43" t="s">
        <v>1256</v>
      </c>
      <c r="E217" s="70" t="s">
        <v>62</v>
      </c>
      <c r="F217" s="46">
        <v>2</v>
      </c>
      <c r="G217" s="46" t="s">
        <v>1636</v>
      </c>
      <c r="H217" s="47" t="s">
        <v>1136</v>
      </c>
      <c r="I217" s="48" t="s">
        <v>1137</v>
      </c>
      <c r="J217" s="49">
        <v>2009</v>
      </c>
      <c r="K217" s="50" t="s">
        <v>1382</v>
      </c>
      <c r="L217" s="68" t="s">
        <v>1761</v>
      </c>
      <c r="M217" s="52"/>
      <c r="N217" s="53"/>
      <c r="O217" s="51" t="str">
        <f t="shared" si="19"/>
        <v>제13장 단체협약-제03절 단체협약의 효력-02</v>
      </c>
      <c r="Q217" s="7" t="str">
        <f t="shared" si="20"/>
        <v>2012-1-1-2</v>
      </c>
      <c r="R217" s="7" t="str">
        <f t="shared" si="21"/>
        <v>열기2-01.노동법\02.문제\[기출][2][2012-1-1]특별노사합의를 통한 고정상여금 미지급 결정의 효력 및 조합원 개별 동의의 필요성 여부.txt</v>
      </c>
      <c r="S217" s="7" t="str">
        <f t="shared" si="22"/>
        <v>C</v>
      </c>
      <c r="T217" s="7" t="str">
        <f t="shared" si="23"/>
        <v>특별노사합의를 통한 고정상여금 미지급 결정의 효력 및 조합원 개별 동의의 필요성 여부</v>
      </c>
    </row>
    <row r="218" spans="2:20" ht="14.45" customHeight="1" x14ac:dyDescent="0.2">
      <c r="B218" s="31" t="s">
        <v>401</v>
      </c>
      <c r="C218" s="42" t="s">
        <v>484</v>
      </c>
      <c r="D218" s="43" t="s">
        <v>1256</v>
      </c>
      <c r="E218" s="70" t="s">
        <v>63</v>
      </c>
      <c r="F218" s="46">
        <v>2</v>
      </c>
      <c r="G218" s="46" t="s">
        <v>1637</v>
      </c>
      <c r="H218" s="47" t="s">
        <v>1138</v>
      </c>
      <c r="I218" s="48" t="s">
        <v>1139</v>
      </c>
      <c r="J218" s="49">
        <v>2019</v>
      </c>
      <c r="K218" s="50" t="s">
        <v>1382</v>
      </c>
      <c r="L218" s="68"/>
      <c r="M218" s="52"/>
      <c r="N218" s="53"/>
      <c r="O218" s="51" t="str">
        <f t="shared" si="19"/>
        <v>제13장 단체협약-제03절 단체협약의 효력-03</v>
      </c>
      <c r="Q218" s="7" t="str">
        <f t="shared" si="20"/>
        <v>2012-1-2-2</v>
      </c>
      <c r="R218" s="7" t="str">
        <f t="shared" si="21"/>
        <v>열기2-01.노동법\02.문제\[기출][2][2012-1-2]특별노사합의를 통한 무단결근 면직기준 단축의 효력 및 조합원에 대한 적용 정당성 여부.txt</v>
      </c>
      <c r="S218" s="7" t="str">
        <f t="shared" si="22"/>
        <v>C</v>
      </c>
      <c r="T218" s="7" t="str">
        <f t="shared" si="23"/>
        <v>특별노사합의를 통한 무단결근 면직기준 단축의 효력 및 조합원에 대한 적용 정당성 여부</v>
      </c>
    </row>
    <row r="219" spans="2:20" ht="14.45" customHeight="1" x14ac:dyDescent="0.2">
      <c r="B219" s="31" t="s">
        <v>401</v>
      </c>
      <c r="C219" s="42" t="s">
        <v>484</v>
      </c>
      <c r="D219" s="43" t="s">
        <v>1256</v>
      </c>
      <c r="E219" s="70" t="s">
        <v>60</v>
      </c>
      <c r="F219" s="46">
        <v>2</v>
      </c>
      <c r="G219" s="46" t="s">
        <v>1638</v>
      </c>
      <c r="H219" s="47" t="s">
        <v>1253</v>
      </c>
      <c r="I219" s="48" t="s">
        <v>1254</v>
      </c>
      <c r="J219" s="49">
        <v>1844</v>
      </c>
      <c r="K219" s="50" t="s">
        <v>1382</v>
      </c>
      <c r="L219" s="68"/>
      <c r="M219" s="52"/>
      <c r="N219" s="53"/>
      <c r="O219" s="51" t="str">
        <f t="shared" si="19"/>
        <v>제13장 단체협약-제03절 단체협약의 효력-04</v>
      </c>
      <c r="Q219" s="7" t="str">
        <f t="shared" si="20"/>
        <v>2016-2-2</v>
      </c>
      <c r="R219" s="7" t="str">
        <f t="shared" si="21"/>
        <v>열기2-01.노동법\02.문제\[기출][2][2016-2]비조합원에 대한 징계처분 시 단체협약상 재심절차 준수 필요 여부.txt</v>
      </c>
      <c r="S219" s="7" t="str">
        <f t="shared" si="22"/>
        <v>C</v>
      </c>
      <c r="T219" s="7" t="str">
        <f t="shared" si="23"/>
        <v>비조합원에 대한 징계처분 시 단체협약상 재심절차 준수 필요 여부</v>
      </c>
    </row>
    <row r="220" spans="2:20" ht="14.45" customHeight="1" x14ac:dyDescent="0.2">
      <c r="B220" s="31" t="s">
        <v>401</v>
      </c>
      <c r="C220" s="54" t="s">
        <v>484</v>
      </c>
      <c r="D220" s="55" t="s">
        <v>1256</v>
      </c>
      <c r="E220" s="97" t="s">
        <v>1173</v>
      </c>
      <c r="F220" s="58">
        <v>2</v>
      </c>
      <c r="G220" s="58" t="s">
        <v>1639</v>
      </c>
      <c r="H220" s="59" t="s">
        <v>1643</v>
      </c>
      <c r="I220" s="60" t="s">
        <v>1644</v>
      </c>
      <c r="J220" s="61">
        <v>2260</v>
      </c>
      <c r="K220" s="62" t="s">
        <v>1382</v>
      </c>
      <c r="L220" s="100"/>
      <c r="M220" s="64"/>
      <c r="N220" s="65"/>
      <c r="O220" s="63" t="str">
        <f t="shared" si="19"/>
        <v>제13장 단체협약-제03절 단체협약의 효력-05</v>
      </c>
      <c r="Q220" s="7" t="str">
        <f t="shared" si="20"/>
        <v>2023-2-2</v>
      </c>
      <c r="R220" s="7" t="str">
        <f t="shared" si="21"/>
        <v>열기2-01.노동법\02.문제\[기출][2][2023-2]개별 동의 없는 불이익 단체협약의 규범적 효력과 기득이익의 관계.txt</v>
      </c>
      <c r="S220" s="7" t="str">
        <f t="shared" si="22"/>
        <v>C</v>
      </c>
      <c r="T220" s="7" t="str">
        <f t="shared" si="23"/>
        <v>개별 동의 없는 불이익 단체협약의 규범적 효력과 기득이익의 관계</v>
      </c>
    </row>
    <row r="221" spans="2:20" ht="14.45" customHeight="1" x14ac:dyDescent="0.2">
      <c r="B221" s="31" t="s">
        <v>401</v>
      </c>
      <c r="C221" s="32" t="s">
        <v>1449</v>
      </c>
      <c r="D221" s="33" t="s">
        <v>128</v>
      </c>
      <c r="E221" s="69" t="s">
        <v>156</v>
      </c>
      <c r="F221" s="35" t="s">
        <v>28</v>
      </c>
      <c r="G221" s="35" t="s">
        <v>1635</v>
      </c>
      <c r="H221" s="36" t="s">
        <v>184</v>
      </c>
      <c r="I221" s="6" t="s">
        <v>991</v>
      </c>
      <c r="J221" s="37">
        <v>1930</v>
      </c>
      <c r="K221" s="38" t="s">
        <v>1383</v>
      </c>
      <c r="L221" s="298"/>
      <c r="M221" s="40"/>
      <c r="N221" s="41"/>
      <c r="O221" s="39" t="str">
        <f t="shared" si="19"/>
        <v>제13장 단체협약-제04절 평화의무-01</v>
      </c>
      <c r="Q221" s="7" t="str">
        <f t="shared" si="20"/>
        <v>단체협약-2</v>
      </c>
      <c r="R221" s="7" t="str">
        <f t="shared" si="21"/>
        <v>열기2-01.노동법\01.본문\제13장 단체협약.제04절 평화의무.txt</v>
      </c>
      <c r="S221" s="7" t="str">
        <f t="shared" si="22"/>
        <v>B</v>
      </c>
      <c r="T221" s="7" t="str">
        <f t="shared" si="23"/>
        <v>평화의무</v>
      </c>
    </row>
    <row r="222" spans="2:20" ht="14.45" customHeight="1" x14ac:dyDescent="0.2">
      <c r="B222" s="31" t="s">
        <v>401</v>
      </c>
      <c r="C222" s="42" t="s">
        <v>1449</v>
      </c>
      <c r="D222" s="43" t="s">
        <v>1647</v>
      </c>
      <c r="E222" s="70" t="s">
        <v>1216</v>
      </c>
      <c r="F222" s="46" t="s">
        <v>28</v>
      </c>
      <c r="G222" s="46" t="s">
        <v>1636</v>
      </c>
      <c r="H222" s="47" t="s">
        <v>108</v>
      </c>
      <c r="I222" s="48" t="s">
        <v>1692</v>
      </c>
      <c r="J222" s="49">
        <v>2061</v>
      </c>
      <c r="K222" s="50" t="s">
        <v>1383</v>
      </c>
      <c r="L222" s="68"/>
      <c r="M222" s="52"/>
      <c r="N222" s="53"/>
      <c r="O222" s="51" t="str">
        <f t="shared" si="19"/>
        <v>제13장 단체협약-제04절 평화의무-02</v>
      </c>
      <c r="Q222" s="7" t="str">
        <f t="shared" si="20"/>
        <v>13.04-1-2</v>
      </c>
      <c r="R222" s="7" t="str">
        <f t="shared" si="21"/>
        <v>열기2-01.노동법\02.문제\[모의][2][13.04-1]평화의무의 개념, 근거 및 명시적 조항 부재 시 인정 여부.txt</v>
      </c>
      <c r="S222" s="7" t="str">
        <f t="shared" si="22"/>
        <v>B</v>
      </c>
      <c r="T222" s="7" t="str">
        <f t="shared" si="23"/>
        <v>평화의무의 개념, 근거 및 명시적 조항 부재 시 인정 여부</v>
      </c>
    </row>
    <row r="223" spans="2:20" ht="14.45" customHeight="1" x14ac:dyDescent="0.2">
      <c r="B223" s="31" t="s">
        <v>401</v>
      </c>
      <c r="C223" s="54" t="s">
        <v>1449</v>
      </c>
      <c r="D223" s="55" t="s">
        <v>1647</v>
      </c>
      <c r="E223" s="97" t="s">
        <v>1217</v>
      </c>
      <c r="F223" s="58" t="s">
        <v>28</v>
      </c>
      <c r="G223" s="58" t="s">
        <v>1637</v>
      </c>
      <c r="H223" s="59" t="s">
        <v>109</v>
      </c>
      <c r="I223" s="60" t="s">
        <v>1693</v>
      </c>
      <c r="J223" s="61">
        <v>2267</v>
      </c>
      <c r="K223" s="62" t="s">
        <v>1383</v>
      </c>
      <c r="L223" s="100"/>
      <c r="M223" s="64"/>
      <c r="N223" s="65"/>
      <c r="O223" s="63" t="str">
        <f t="shared" si="19"/>
        <v>제13장 단체협약-제04절 평화의무-03</v>
      </c>
      <c r="Q223" s="7" t="str">
        <f t="shared" si="20"/>
        <v>13.04-2-2</v>
      </c>
      <c r="R223" s="7" t="str">
        <f t="shared" si="21"/>
        <v>열기2-01.노동법\02.문제\[모의][2][13.04-2]평화의무 위반 쟁의행위의 정당성 유무 및 법적 책임.txt</v>
      </c>
      <c r="S223" s="7" t="str">
        <f t="shared" si="22"/>
        <v>B</v>
      </c>
      <c r="T223" s="7" t="str">
        <f t="shared" si="23"/>
        <v>평화의무 위반 쟁의행위의 정당성 유무 및 법적 책임</v>
      </c>
    </row>
    <row r="224" spans="2:20" ht="14.45" customHeight="1" x14ac:dyDescent="0.2">
      <c r="B224" s="31" t="s">
        <v>401</v>
      </c>
      <c r="C224" s="32" t="s">
        <v>496</v>
      </c>
      <c r="D224" s="33" t="s">
        <v>128</v>
      </c>
      <c r="E224" s="69" t="s">
        <v>156</v>
      </c>
      <c r="F224" s="35" t="s">
        <v>28</v>
      </c>
      <c r="G224" s="35" t="s">
        <v>1635</v>
      </c>
      <c r="H224" s="36" t="s">
        <v>185</v>
      </c>
      <c r="I224" s="6" t="s">
        <v>992</v>
      </c>
      <c r="J224" s="37">
        <v>1642</v>
      </c>
      <c r="K224" s="38" t="s">
        <v>1383</v>
      </c>
      <c r="L224" s="298"/>
      <c r="M224" s="40"/>
      <c r="N224" s="41"/>
      <c r="O224" s="39" t="str">
        <f t="shared" si="19"/>
        <v>제13장 단체협약-제05절 단체협약의 해석-01</v>
      </c>
      <c r="Q224" s="7" t="str">
        <f t="shared" si="20"/>
        <v>단체협약-2</v>
      </c>
      <c r="R224" s="7" t="str">
        <f t="shared" si="21"/>
        <v>열기2-01.노동법\01.본문\제13장 단체협약.제05절 단체협약의 해석.txt</v>
      </c>
      <c r="S224" s="7" t="str">
        <f t="shared" si="22"/>
        <v>B</v>
      </c>
      <c r="T224" s="7" t="str">
        <f t="shared" si="23"/>
        <v>단체협약의 해석</v>
      </c>
    </row>
    <row r="225" spans="2:20" ht="14.45" customHeight="1" x14ac:dyDescent="0.2">
      <c r="B225" s="31" t="s">
        <v>401</v>
      </c>
      <c r="C225" s="54" t="s">
        <v>496</v>
      </c>
      <c r="D225" s="55" t="s">
        <v>1256</v>
      </c>
      <c r="E225" s="97" t="s">
        <v>1164</v>
      </c>
      <c r="F225" s="58">
        <v>2</v>
      </c>
      <c r="G225" s="58" t="s">
        <v>1636</v>
      </c>
      <c r="H225" s="59" t="s">
        <v>1140</v>
      </c>
      <c r="I225" s="60" t="s">
        <v>1141</v>
      </c>
      <c r="J225" s="61">
        <v>1866</v>
      </c>
      <c r="K225" s="62" t="s">
        <v>1383</v>
      </c>
      <c r="L225" s="100"/>
      <c r="M225" s="64"/>
      <c r="N225" s="65"/>
      <c r="O225" s="63" t="str">
        <f t="shared" si="19"/>
        <v>제13장 단체협약-제05절 단체협약의 해석-02</v>
      </c>
      <c r="Q225" s="7" t="str">
        <f t="shared" si="20"/>
        <v>2014-1-1-2</v>
      </c>
      <c r="R225" s="7" t="str">
        <f t="shared" si="21"/>
        <v>열기2-01.노동법\02.문제\[기출][2][2014-1-1]특별단체협약상 정리해고에 대한 합의 조항을 협의로 변형 해석할 수 있는지 여부.txt</v>
      </c>
      <c r="S225" s="7" t="str">
        <f t="shared" si="22"/>
        <v>B</v>
      </c>
      <c r="T225" s="7" t="str">
        <f t="shared" si="23"/>
        <v>특별단체협약상 정리해고에 대한 합의 조항을 협의로 변형 해석할 수 있는지 여부</v>
      </c>
    </row>
    <row r="226" spans="2:20" ht="14.45" customHeight="1" x14ac:dyDescent="0.2">
      <c r="B226" s="31" t="s">
        <v>401</v>
      </c>
      <c r="C226" s="32" t="s">
        <v>508</v>
      </c>
      <c r="D226" s="33" t="s">
        <v>128</v>
      </c>
      <c r="E226" s="69" t="s">
        <v>156</v>
      </c>
      <c r="F226" s="35" t="s">
        <v>28</v>
      </c>
      <c r="G226" s="35" t="s">
        <v>1635</v>
      </c>
      <c r="H226" s="36" t="s">
        <v>186</v>
      </c>
      <c r="I226" s="6" t="s">
        <v>993</v>
      </c>
      <c r="J226" s="37">
        <v>2103</v>
      </c>
      <c r="K226" s="38" t="s">
        <v>1383</v>
      </c>
      <c r="L226" s="298"/>
      <c r="M226" s="40"/>
      <c r="N226" s="41"/>
      <c r="O226" s="39" t="str">
        <f t="shared" si="19"/>
        <v>제13장 단체협약-제06절 단체협약의 중요조항-01</v>
      </c>
      <c r="Q226" s="7" t="str">
        <f t="shared" si="20"/>
        <v>단체협약-2</v>
      </c>
      <c r="R226" s="7" t="str">
        <f t="shared" si="21"/>
        <v>열기2-01.노동법\01.본문\제13장 단체협약.제06절 단체협약의 중요조항.txt</v>
      </c>
      <c r="S226" s="7" t="str">
        <f t="shared" si="22"/>
        <v>B</v>
      </c>
      <c r="T226" s="7" t="str">
        <f t="shared" si="23"/>
        <v>단체협약의 중요조항</v>
      </c>
    </row>
    <row r="227" spans="2:20" ht="14.45" customHeight="1" x14ac:dyDescent="0.2">
      <c r="B227" s="31" t="s">
        <v>401</v>
      </c>
      <c r="C227" s="54" t="s">
        <v>508</v>
      </c>
      <c r="D227" s="55" t="s">
        <v>1256</v>
      </c>
      <c r="E227" s="97" t="s">
        <v>113</v>
      </c>
      <c r="F227" s="58">
        <v>2</v>
      </c>
      <c r="G227" s="58" t="s">
        <v>1636</v>
      </c>
      <c r="H227" s="59" t="s">
        <v>235</v>
      </c>
      <c r="I227" s="60" t="s">
        <v>928</v>
      </c>
      <c r="J227" s="61">
        <v>3447</v>
      </c>
      <c r="K227" s="62" t="s">
        <v>1383</v>
      </c>
      <c r="L227" s="100" t="s">
        <v>1549</v>
      </c>
      <c r="M227" s="64"/>
      <c r="N227" s="65"/>
      <c r="O227" s="63" t="str">
        <f t="shared" si="19"/>
        <v>제13장 단체협약-제06절 단체협약의 중요조항-02</v>
      </c>
      <c r="Q227" s="7" t="str">
        <f t="shared" si="20"/>
        <v>2008-1-2</v>
      </c>
      <c r="R227" s="7" t="str">
        <f t="shared" si="21"/>
        <v>열기2-01.노동법\02.문제\[기출][2][2008-1]단체협약상 동의조항의 효력(노동조합의 동의권에 대한 범위), 경영권에 대한 단체교섭의 대상성.txt</v>
      </c>
      <c r="S227" s="7" t="str">
        <f t="shared" si="22"/>
        <v>B</v>
      </c>
      <c r="T227" s="7" t="str">
        <f t="shared" si="23"/>
        <v>단체협약상 동의조항의 효력(노동조합의 동의권에 대한 범위), 경영권에 대한 단체교섭의 대상성</v>
      </c>
    </row>
    <row r="228" spans="2:20" ht="14.45" customHeight="1" x14ac:dyDescent="0.2">
      <c r="B228" s="31" t="s">
        <v>401</v>
      </c>
      <c r="C228" s="32" t="s">
        <v>1450</v>
      </c>
      <c r="D228" s="33" t="s">
        <v>128</v>
      </c>
      <c r="E228" s="69" t="s">
        <v>156</v>
      </c>
      <c r="F228" s="35" t="s">
        <v>28</v>
      </c>
      <c r="G228" s="35" t="s">
        <v>1635</v>
      </c>
      <c r="H228" s="36" t="s">
        <v>187</v>
      </c>
      <c r="I228" s="6" t="s">
        <v>994</v>
      </c>
      <c r="J228" s="37">
        <v>1260</v>
      </c>
      <c r="K228" s="38" t="s">
        <v>1383</v>
      </c>
      <c r="L228" s="298"/>
      <c r="M228" s="40"/>
      <c r="N228" s="41"/>
      <c r="O228" s="39" t="str">
        <f t="shared" si="19"/>
        <v>제13장 단체협약-제07절 단체협약의 효력확장-01</v>
      </c>
      <c r="Q228" s="7" t="str">
        <f t="shared" si="20"/>
        <v>단체협약-2</v>
      </c>
      <c r="R228" s="7" t="str">
        <f t="shared" si="21"/>
        <v>열기2-01.노동법\01.본문\제13장 단체협약.제07절 단체협약의 효력확장.txt</v>
      </c>
      <c r="S228" s="7" t="str">
        <f t="shared" si="22"/>
        <v>B</v>
      </c>
      <c r="T228" s="7" t="str">
        <f t="shared" si="23"/>
        <v>단체협약의 효력확장</v>
      </c>
    </row>
    <row r="229" spans="2:20" ht="14.45" customHeight="1" x14ac:dyDescent="0.2">
      <c r="B229" s="31" t="s">
        <v>401</v>
      </c>
      <c r="C229" s="42" t="s">
        <v>1450</v>
      </c>
      <c r="D229" s="43" t="s">
        <v>1647</v>
      </c>
      <c r="E229" s="70" t="s">
        <v>1218</v>
      </c>
      <c r="F229" s="46" t="s">
        <v>28</v>
      </c>
      <c r="G229" s="46" t="s">
        <v>1636</v>
      </c>
      <c r="H229" s="47" t="s">
        <v>1762</v>
      </c>
      <c r="I229" s="48" t="s">
        <v>1763</v>
      </c>
      <c r="J229" s="49">
        <v>2410</v>
      </c>
      <c r="K229" s="50" t="s">
        <v>1383</v>
      </c>
      <c r="L229" s="68"/>
      <c r="M229" s="52"/>
      <c r="N229" s="53"/>
      <c r="O229" s="51" t="str">
        <f t="shared" si="19"/>
        <v>제13장 단체협약-제07절 단체협약의 효력확장-02</v>
      </c>
      <c r="Q229" s="7" t="str">
        <f t="shared" si="20"/>
        <v>13.07-1-2</v>
      </c>
      <c r="R229" s="7" t="str">
        <f t="shared" si="21"/>
        <v>열기2-01.노동법\02.문제\[모의][2][13.07-1]사업장 단위 효력확장 제도의 의의 및 취지, 생산직 비조합원에 대한 요건 충족 여부.txt</v>
      </c>
      <c r="S229" s="7" t="str">
        <f t="shared" si="22"/>
        <v>B</v>
      </c>
      <c r="T229" s="7" t="str">
        <f t="shared" si="23"/>
        <v>사업장 단위 효력확장 제도의 의의 및 취지, 생산직 비조합원에 대한 요건 충족 여부</v>
      </c>
    </row>
    <row r="230" spans="2:20" ht="14.45" customHeight="1" x14ac:dyDescent="0.2">
      <c r="B230" s="31" t="s">
        <v>401</v>
      </c>
      <c r="C230" s="54" t="s">
        <v>1450</v>
      </c>
      <c r="D230" s="55" t="s">
        <v>1647</v>
      </c>
      <c r="E230" s="97" t="s">
        <v>1219</v>
      </c>
      <c r="F230" s="58" t="s">
        <v>28</v>
      </c>
      <c r="G230" s="58" t="s">
        <v>1637</v>
      </c>
      <c r="H230" s="59" t="s">
        <v>110</v>
      </c>
      <c r="I230" s="60" t="s">
        <v>1694</v>
      </c>
      <c r="J230" s="61">
        <v>2062</v>
      </c>
      <c r="K230" s="62" t="s">
        <v>1383</v>
      </c>
      <c r="L230" s="100"/>
      <c r="M230" s="64"/>
      <c r="N230" s="65"/>
      <c r="O230" s="63" t="str">
        <f t="shared" si="19"/>
        <v>제13장 단체협약-제07절 단체협약의 효력확장-03</v>
      </c>
      <c r="Q230" s="7" t="str">
        <f t="shared" si="20"/>
        <v>13.07-2-2</v>
      </c>
      <c r="R230" s="7" t="str">
        <f t="shared" si="21"/>
        <v>열기2-01.노동법\02.문제\[모의][2][13.07-2]사무직 근로자에 대한 효력확장 여부 및 확장의 범위(채무적 부분 포함 여부).txt</v>
      </c>
      <c r="S230" s="7" t="str">
        <f t="shared" si="22"/>
        <v>B</v>
      </c>
      <c r="T230" s="7" t="str">
        <f t="shared" si="23"/>
        <v>사무직 근로자에 대한 효력확장 여부 및 확장의 범위(채무적 부분 포함 여부)</v>
      </c>
    </row>
    <row r="231" spans="2:20" ht="14.45" customHeight="1" x14ac:dyDescent="0.2">
      <c r="B231" s="31" t="s">
        <v>401</v>
      </c>
      <c r="C231" s="32" t="s">
        <v>489</v>
      </c>
      <c r="D231" s="33" t="s">
        <v>128</v>
      </c>
      <c r="E231" s="69" t="s">
        <v>157</v>
      </c>
      <c r="F231" s="35" t="s">
        <v>28</v>
      </c>
      <c r="G231" s="35" t="s">
        <v>1635</v>
      </c>
      <c r="H231" s="36" t="s">
        <v>188</v>
      </c>
      <c r="I231" s="6" t="s">
        <v>995</v>
      </c>
      <c r="J231" s="37">
        <v>1397</v>
      </c>
      <c r="K231" s="38" t="s">
        <v>1348</v>
      </c>
      <c r="L231" s="298"/>
      <c r="M231" s="40"/>
      <c r="N231" s="41"/>
      <c r="O231" s="39" t="str">
        <f t="shared" si="19"/>
        <v>제13장 단체협약-제08절 단체협약의 실효 및 실효 후의 근로관계-01</v>
      </c>
      <c r="Q231" s="7" t="str">
        <f t="shared" si="20"/>
        <v>단체협약-2</v>
      </c>
      <c r="R231" s="7" t="str">
        <f t="shared" si="21"/>
        <v>열기2-01.노동법\01.본문\제13장 단체협약.제08절 단체협약의 실효 및 실효 후의 근로관계.txt</v>
      </c>
      <c r="S231" s="7" t="str">
        <f t="shared" si="22"/>
        <v>A</v>
      </c>
      <c r="T231" s="7" t="str">
        <f t="shared" si="23"/>
        <v>단체협약의 실효 및 실효 후의 근로관계</v>
      </c>
    </row>
    <row r="232" spans="2:20" ht="14.45" customHeight="1" x14ac:dyDescent="0.2">
      <c r="B232" s="31" t="s">
        <v>401</v>
      </c>
      <c r="C232" s="102" t="s">
        <v>489</v>
      </c>
      <c r="D232" s="43" t="s">
        <v>1256</v>
      </c>
      <c r="E232" s="70" t="s">
        <v>91</v>
      </c>
      <c r="F232" s="46">
        <v>2</v>
      </c>
      <c r="G232" s="46" t="s">
        <v>1636</v>
      </c>
      <c r="H232" s="47" t="s">
        <v>1142</v>
      </c>
      <c r="I232" s="48" t="s">
        <v>1143</v>
      </c>
      <c r="J232" s="49">
        <v>6951</v>
      </c>
      <c r="K232" s="50" t="s">
        <v>1348</v>
      </c>
      <c r="L232" s="68" t="s">
        <v>1711</v>
      </c>
      <c r="M232" s="52"/>
      <c r="N232" s="53"/>
      <c r="O232" s="51" t="str">
        <f t="shared" si="19"/>
        <v>제13장 단체협약-제08절 단체협약의 실효 및 실효 후의 근로관계-02</v>
      </c>
      <c r="Q232" s="7" t="str">
        <f t="shared" si="20"/>
        <v>2010-1-2</v>
      </c>
      <c r="R232" s="7" t="str">
        <f t="shared" si="21"/>
        <v>열기2-01.노동법\02.문제\[기출][2][2010-1]단체협약 만료 후 법정연장기간 내에 노동조합과의 사전합의 없이 행해진 해고의 효력.txt</v>
      </c>
      <c r="S232" s="7" t="str">
        <f t="shared" si="22"/>
        <v>A</v>
      </c>
      <c r="T232" s="7" t="str">
        <f t="shared" si="23"/>
        <v>단체협약 만료 후 법정연장기간 내에 노동조합과의 사전합의 없이 행해진 해고의 효력</v>
      </c>
    </row>
    <row r="233" spans="2:20" ht="14.45" customHeight="1" thickBot="1" x14ac:dyDescent="0.25">
      <c r="B233" s="74" t="s">
        <v>401</v>
      </c>
      <c r="C233" s="103" t="s">
        <v>489</v>
      </c>
      <c r="D233" s="76" t="s">
        <v>1256</v>
      </c>
      <c r="E233" s="77" t="s">
        <v>1018</v>
      </c>
      <c r="F233" s="78">
        <v>2</v>
      </c>
      <c r="G233" s="78" t="s">
        <v>1637</v>
      </c>
      <c r="H233" s="79" t="s">
        <v>1645</v>
      </c>
      <c r="I233" s="80" t="s">
        <v>1646</v>
      </c>
      <c r="J233" s="81">
        <v>2772</v>
      </c>
      <c r="K233" s="82" t="s">
        <v>1348</v>
      </c>
      <c r="L233" s="161"/>
      <c r="M233" s="84"/>
      <c r="N233" s="85"/>
      <c r="O233" s="83" t="str">
        <f t="shared" si="19"/>
        <v>제13장 단체협약-제08절 단체협약의 실효 및 실효 후의 근로관계-03</v>
      </c>
      <c r="Q233" s="7" t="str">
        <f t="shared" si="20"/>
        <v>2021-1-2-2</v>
      </c>
      <c r="R233" s="7" t="str">
        <f t="shared" si="21"/>
        <v>열기2-01.노동법\02.문제\[기출][2][2021-1-2]자동연장된 단체협약의 해지권 제한 약정의 효력 및 해지 통보의 유효성.txt</v>
      </c>
      <c r="S233" s="7" t="str">
        <f t="shared" si="22"/>
        <v>A</v>
      </c>
      <c r="T233" s="7" t="str">
        <f t="shared" si="23"/>
        <v>자동연장된 단체협약의 해지권 제한 약정의 효력 및 해지 통보의 유효성</v>
      </c>
    </row>
    <row r="234" spans="2:20" ht="14.45" customHeight="1" x14ac:dyDescent="0.2">
      <c r="B234" s="19" t="s">
        <v>402</v>
      </c>
      <c r="C234" s="86" t="s">
        <v>499</v>
      </c>
      <c r="D234" s="87" t="s">
        <v>128</v>
      </c>
      <c r="E234" s="88" t="s">
        <v>158</v>
      </c>
      <c r="F234" s="89" t="s">
        <v>28</v>
      </c>
      <c r="G234" s="89" t="s">
        <v>1635</v>
      </c>
      <c r="H234" s="90" t="s">
        <v>189</v>
      </c>
      <c r="I234" s="91" t="s">
        <v>996</v>
      </c>
      <c r="J234" s="92">
        <v>1171</v>
      </c>
      <c r="K234" s="93" t="s">
        <v>1348</v>
      </c>
      <c r="L234" s="299"/>
      <c r="M234" s="95"/>
      <c r="N234" s="96"/>
      <c r="O234" s="94" t="str">
        <f t="shared" si="19"/>
        <v>제14장 쟁의행위-제01절 쟁의행위 주체의 정당성-01</v>
      </c>
      <c r="Q234" s="7" t="str">
        <f t="shared" si="20"/>
        <v>쟁의행위-2</v>
      </c>
      <c r="R234" s="7" t="str">
        <f t="shared" si="21"/>
        <v>열기2-01.노동법\01.본문\제14장 쟁의행위.제01절 쟁의행위 주체의 정당성.txt</v>
      </c>
      <c r="S234" s="7" t="str">
        <f t="shared" si="22"/>
        <v>A</v>
      </c>
      <c r="T234" s="7" t="str">
        <f t="shared" si="23"/>
        <v>쟁의행위 주체의 정당성</v>
      </c>
    </row>
    <row r="235" spans="2:20" ht="14.45" customHeight="1" x14ac:dyDescent="0.2">
      <c r="B235" s="31" t="s">
        <v>402</v>
      </c>
      <c r="C235" s="54" t="s">
        <v>499</v>
      </c>
      <c r="D235" s="55" t="s">
        <v>1256</v>
      </c>
      <c r="E235" s="97" t="s">
        <v>1174</v>
      </c>
      <c r="F235" s="58">
        <v>2</v>
      </c>
      <c r="G235" s="58" t="s">
        <v>1636</v>
      </c>
      <c r="H235" s="59" t="s">
        <v>1770</v>
      </c>
      <c r="I235" s="60" t="s">
        <v>1771</v>
      </c>
      <c r="J235" s="61">
        <v>2164</v>
      </c>
      <c r="K235" s="62" t="s">
        <v>1348</v>
      </c>
      <c r="L235" s="100"/>
      <c r="M235" s="64"/>
      <c r="N235" s="65"/>
      <c r="O235" s="63" t="str">
        <f t="shared" si="19"/>
        <v>제14장 쟁의행위-제01절 쟁의행위 주체의 정당성-02</v>
      </c>
      <c r="Q235" s="7" t="str">
        <f t="shared" si="20"/>
        <v>2013-1-1-2</v>
      </c>
      <c r="R235" s="7" t="str">
        <f t="shared" si="21"/>
        <v>열기2-01.노동법\02.문제\[기출][2][2013-1-1]설립 미신고 지부노동조합의 쟁의행위에 대한 주체의 정당성.txt</v>
      </c>
      <c r="S235" s="7" t="str">
        <f t="shared" si="22"/>
        <v>A</v>
      </c>
      <c r="T235" s="7" t="str">
        <f t="shared" si="23"/>
        <v>설립 미신고 지부노동조합의 쟁의행위에 대한 주체의 정당성</v>
      </c>
    </row>
    <row r="236" spans="2:20" ht="14.45" customHeight="1" x14ac:dyDescent="0.2">
      <c r="B236" s="31" t="s">
        <v>402</v>
      </c>
      <c r="C236" s="32" t="s">
        <v>491</v>
      </c>
      <c r="D236" s="33" t="s">
        <v>128</v>
      </c>
      <c r="E236" s="69" t="s">
        <v>158</v>
      </c>
      <c r="F236" s="35" t="s">
        <v>28</v>
      </c>
      <c r="G236" s="35" t="s">
        <v>1635</v>
      </c>
      <c r="H236" s="36" t="s">
        <v>190</v>
      </c>
      <c r="I236" s="6" t="s">
        <v>997</v>
      </c>
      <c r="J236" s="37">
        <v>2061</v>
      </c>
      <c r="K236" s="38" t="s">
        <v>1348</v>
      </c>
      <c r="L236" s="298"/>
      <c r="M236" s="40"/>
      <c r="N236" s="41"/>
      <c r="O236" s="39" t="str">
        <f t="shared" si="19"/>
        <v>제14장 쟁의행위-제02절 쟁의행위 목적의 정당성-01</v>
      </c>
      <c r="Q236" s="7" t="str">
        <f t="shared" si="20"/>
        <v>쟁의행위-2</v>
      </c>
      <c r="R236" s="7" t="str">
        <f t="shared" si="21"/>
        <v>열기2-01.노동법\01.본문\제14장 쟁의행위.제02절 쟁의행위 목적의 정당성.txt</v>
      </c>
      <c r="S236" s="7" t="str">
        <f t="shared" si="22"/>
        <v>A</v>
      </c>
      <c r="T236" s="7" t="str">
        <f t="shared" si="23"/>
        <v>쟁의행위 목적의 정당성</v>
      </c>
    </row>
    <row r="237" spans="2:20" ht="14.45" customHeight="1" x14ac:dyDescent="0.2">
      <c r="B237" s="31" t="s">
        <v>402</v>
      </c>
      <c r="C237" s="42" t="s">
        <v>491</v>
      </c>
      <c r="D237" s="43" t="s">
        <v>1256</v>
      </c>
      <c r="E237" s="70" t="s">
        <v>1175</v>
      </c>
      <c r="F237" s="46">
        <v>2</v>
      </c>
      <c r="G237" s="46" t="s">
        <v>1636</v>
      </c>
      <c r="H237" s="47" t="s">
        <v>1769</v>
      </c>
      <c r="I237" s="48" t="s">
        <v>1772</v>
      </c>
      <c r="J237" s="49">
        <v>2053</v>
      </c>
      <c r="K237" s="50" t="s">
        <v>1348</v>
      </c>
      <c r="L237" s="68"/>
      <c r="M237" s="52"/>
      <c r="N237" s="53"/>
      <c r="O237" s="51" t="str">
        <f t="shared" si="19"/>
        <v>제14장 쟁의행위-제02절 쟁의행위 목적의 정당성-02</v>
      </c>
      <c r="Q237" s="7" t="str">
        <f t="shared" si="20"/>
        <v>2013-1-2-2</v>
      </c>
      <c r="R237" s="7" t="str">
        <f t="shared" si="21"/>
        <v>열기2-01.노동법\02.문제\[기출][2][2013-1-2]설립 미신고 지부노동조합의 쟁의행위에 대한 목적의 정당성.txt</v>
      </c>
      <c r="S237" s="7" t="str">
        <f t="shared" si="22"/>
        <v>A</v>
      </c>
      <c r="T237" s="7" t="str">
        <f t="shared" si="23"/>
        <v>설립 미신고 지부노동조합의 쟁의행위에 대한 목적의 정당성</v>
      </c>
    </row>
    <row r="238" spans="2:20" ht="14.45" customHeight="1" x14ac:dyDescent="0.2">
      <c r="B238" s="31" t="s">
        <v>402</v>
      </c>
      <c r="C238" s="54" t="s">
        <v>491</v>
      </c>
      <c r="D238" s="55" t="s">
        <v>1256</v>
      </c>
      <c r="E238" s="97" t="s">
        <v>284</v>
      </c>
      <c r="F238" s="58">
        <v>2</v>
      </c>
      <c r="G238" s="58" t="s">
        <v>1637</v>
      </c>
      <c r="H238" s="59" t="s">
        <v>1144</v>
      </c>
      <c r="I238" s="60" t="s">
        <v>1145</v>
      </c>
      <c r="J238" s="61">
        <v>2416</v>
      </c>
      <c r="K238" s="62" t="s">
        <v>1348</v>
      </c>
      <c r="L238" s="100" t="s">
        <v>1773</v>
      </c>
      <c r="M238" s="64"/>
      <c r="N238" s="65"/>
      <c r="O238" s="63" t="str">
        <f t="shared" si="19"/>
        <v>제14장 쟁의행위-제02절 쟁의행위 목적의 정당성-03</v>
      </c>
      <c r="Q238" s="7" t="str">
        <f t="shared" si="20"/>
        <v>2021-2-2</v>
      </c>
      <c r="R238" s="7" t="str">
        <f t="shared" si="21"/>
        <v>열기2-01.노동법\02.문제\[기출][2][2021-2]임금협약의 유효기간 중 재교섭을 요구하며 개시한 파업의 정당성 여부.txt</v>
      </c>
      <c r="S238" s="7" t="str">
        <f t="shared" si="22"/>
        <v>A</v>
      </c>
      <c r="T238" s="7" t="str">
        <f t="shared" si="23"/>
        <v>임금협약의 유효기간 중 재교섭을 요구하며 개시한 파업의 정당성 여부</v>
      </c>
    </row>
    <row r="239" spans="2:20" ht="14.45" customHeight="1" x14ac:dyDescent="0.2">
      <c r="B239" s="31" t="s">
        <v>402</v>
      </c>
      <c r="C239" s="32" t="s">
        <v>505</v>
      </c>
      <c r="D239" s="33" t="s">
        <v>128</v>
      </c>
      <c r="E239" s="69" t="s">
        <v>158</v>
      </c>
      <c r="F239" s="35" t="s">
        <v>28</v>
      </c>
      <c r="G239" s="35" t="s">
        <v>1635</v>
      </c>
      <c r="H239" s="36" t="s">
        <v>191</v>
      </c>
      <c r="I239" s="6" t="s">
        <v>998</v>
      </c>
      <c r="J239" s="37">
        <v>2341</v>
      </c>
      <c r="K239" s="38" t="s">
        <v>1348</v>
      </c>
      <c r="L239" s="298"/>
      <c r="M239" s="40"/>
      <c r="N239" s="41"/>
      <c r="O239" s="39" t="str">
        <f t="shared" si="19"/>
        <v>제14장 쟁의행위-제03절 쟁의행위 시기・절차의 정당성-01</v>
      </c>
      <c r="Q239" s="7" t="str">
        <f t="shared" si="20"/>
        <v>쟁의행위-2</v>
      </c>
      <c r="R239" s="7" t="str">
        <f t="shared" si="21"/>
        <v>열기2-01.노동법\01.본문\제14장 쟁의행위.제03절 쟁의행위 시기・절차의 정당성.txt</v>
      </c>
      <c r="S239" s="7" t="str">
        <f t="shared" si="22"/>
        <v>A</v>
      </c>
      <c r="T239" s="7" t="str">
        <f t="shared" si="23"/>
        <v>쟁의행위 시기・절차의 정당성</v>
      </c>
    </row>
    <row r="240" spans="2:20" ht="14.45" customHeight="1" x14ac:dyDescent="0.2">
      <c r="B240" s="31" t="s">
        <v>402</v>
      </c>
      <c r="C240" s="54" t="s">
        <v>505</v>
      </c>
      <c r="D240" s="55" t="s">
        <v>1256</v>
      </c>
      <c r="E240" s="97" t="s">
        <v>1014</v>
      </c>
      <c r="F240" s="58">
        <v>2</v>
      </c>
      <c r="G240" s="58" t="s">
        <v>1636</v>
      </c>
      <c r="H240" s="59" t="s">
        <v>1336</v>
      </c>
      <c r="I240" s="60" t="s">
        <v>1337</v>
      </c>
      <c r="J240" s="61">
        <v>1517</v>
      </c>
      <c r="K240" s="62" t="s">
        <v>1348</v>
      </c>
      <c r="L240" s="100"/>
      <c r="M240" s="64"/>
      <c r="N240" s="65"/>
      <c r="O240" s="63" t="str">
        <f t="shared" si="19"/>
        <v>제14장 쟁의행위-제03절 쟁의행위 시기・절차의 정당성-02</v>
      </c>
      <c r="Q240" s="7" t="str">
        <f t="shared" si="20"/>
        <v>2010-2-2</v>
      </c>
      <c r="R240" s="7" t="str">
        <f t="shared" si="21"/>
        <v>열기2-01.노동법\02.문제\[기출][2][2010-2]노동조합 쟁의행위의 절차적 정당성의 요건, 절차 위반 시 효력.txt</v>
      </c>
      <c r="S240" s="7" t="str">
        <f t="shared" si="22"/>
        <v>A</v>
      </c>
      <c r="T240" s="7" t="str">
        <f t="shared" si="23"/>
        <v>노동조합 쟁의행위의 절차적 정당성의 요건, 절차 위반 시 효력</v>
      </c>
    </row>
    <row r="241" spans="2:20" ht="14.45" customHeight="1" x14ac:dyDescent="0.2">
      <c r="B241" s="31" t="s">
        <v>402</v>
      </c>
      <c r="C241" s="32" t="s">
        <v>1451</v>
      </c>
      <c r="D241" s="33" t="s">
        <v>128</v>
      </c>
      <c r="E241" s="69" t="s">
        <v>158</v>
      </c>
      <c r="F241" s="35" t="s">
        <v>28</v>
      </c>
      <c r="G241" s="35" t="s">
        <v>1635</v>
      </c>
      <c r="H241" s="36" t="s">
        <v>192</v>
      </c>
      <c r="I241" s="6" t="s">
        <v>999</v>
      </c>
      <c r="J241" s="37">
        <v>1750</v>
      </c>
      <c r="K241" s="38" t="s">
        <v>1348</v>
      </c>
      <c r="L241" s="298"/>
      <c r="M241" s="40"/>
      <c r="N241" s="41"/>
      <c r="O241" s="39" t="str">
        <f t="shared" si="19"/>
        <v>제14장 쟁의행위-제04절 쟁의행위 수단・방법의 정당성-01</v>
      </c>
      <c r="Q241" s="7" t="str">
        <f t="shared" si="20"/>
        <v>쟁의행위-2</v>
      </c>
      <c r="R241" s="7" t="str">
        <f t="shared" si="21"/>
        <v>열기2-01.노동법\01.본문\제14장 쟁의행위.제04절 쟁의행위 수단・방법의 정당성.txt</v>
      </c>
      <c r="S241" s="7" t="str">
        <f t="shared" si="22"/>
        <v>A</v>
      </c>
      <c r="T241" s="7" t="str">
        <f t="shared" si="23"/>
        <v>쟁의행위 수단・방법의 정당성</v>
      </c>
    </row>
    <row r="242" spans="2:20" ht="14.45" customHeight="1" x14ac:dyDescent="0.2">
      <c r="B242" s="31" t="s">
        <v>402</v>
      </c>
      <c r="C242" s="42" t="s">
        <v>1451</v>
      </c>
      <c r="D242" s="43" t="s">
        <v>1256</v>
      </c>
      <c r="E242" s="70" t="s">
        <v>1169</v>
      </c>
      <c r="F242" s="46">
        <v>2</v>
      </c>
      <c r="G242" s="46" t="s">
        <v>1637</v>
      </c>
      <c r="H242" s="47" t="s">
        <v>1146</v>
      </c>
      <c r="I242" s="48" t="s">
        <v>1147</v>
      </c>
      <c r="J242" s="49">
        <v>1562</v>
      </c>
      <c r="K242" s="50" t="s">
        <v>1348</v>
      </c>
      <c r="L242" s="68" t="s">
        <v>1783</v>
      </c>
      <c r="M242" s="52"/>
      <c r="N242" s="53"/>
      <c r="O242" s="51" t="str">
        <f t="shared" si="19"/>
        <v>제14장 쟁의행위-제04절 쟁의행위 수단・방법의 정당성-03</v>
      </c>
      <c r="Q242" s="7" t="str">
        <f t="shared" si="20"/>
        <v>2018-2-2</v>
      </c>
      <c r="R242" s="7" t="str">
        <f t="shared" si="21"/>
        <v>열기2-01.노동법\02.문제\[기출][2][2018-2]직장폐쇄 후 조합원들의 임원회의실 점거 지속 및 퇴거요구 불응에 따른 정당성 상실 여부.txt</v>
      </c>
      <c r="S242" s="7" t="str">
        <f t="shared" si="22"/>
        <v>A</v>
      </c>
      <c r="T242" s="7" t="str">
        <f t="shared" si="23"/>
        <v>직장폐쇄 후 조합원들의 임원회의실 점거 지속 및 퇴거요구 불응에 따른 정당성 상실 여부</v>
      </c>
    </row>
    <row r="243" spans="2:20" ht="14.45" customHeight="1" x14ac:dyDescent="0.2">
      <c r="B243" s="31" t="s">
        <v>402</v>
      </c>
      <c r="C243" s="54" t="s">
        <v>1451</v>
      </c>
      <c r="D243" s="55" t="s">
        <v>1256</v>
      </c>
      <c r="E243" s="97" t="s">
        <v>75</v>
      </c>
      <c r="F243" s="58">
        <v>2</v>
      </c>
      <c r="G243" s="58" t="s">
        <v>1638</v>
      </c>
      <c r="H243" s="59" t="s">
        <v>1785</v>
      </c>
      <c r="I243" s="60" t="s">
        <v>1786</v>
      </c>
      <c r="J243" s="61">
        <v>2638</v>
      </c>
      <c r="K243" s="62" t="s">
        <v>1348</v>
      </c>
      <c r="L243" s="100"/>
      <c r="M243" s="64"/>
      <c r="N243" s="65"/>
      <c r="O243" s="63" t="str">
        <f t="shared" si="19"/>
        <v>제14장 쟁의행위-제04절 쟁의행위 수단・방법의 정당성-04</v>
      </c>
      <c r="Q243" s="7" t="str">
        <f t="shared" si="20"/>
        <v>2022-1-1-2</v>
      </c>
      <c r="R243" s="7" t="str">
        <f t="shared" si="21"/>
        <v>열기2-01.노동법\02.문제\[기출][2][2022-1-1]원청 사업장에서 쟁의행위를 실시한 하청 노동조합에 대한 퇴거불응죄 성립 여부.txt</v>
      </c>
      <c r="S243" s="7" t="str">
        <f t="shared" si="22"/>
        <v>A</v>
      </c>
      <c r="T243" s="7" t="str">
        <f t="shared" si="23"/>
        <v>원청 사업장에서 쟁의행위를 실시한 하청 노동조합에 대한 퇴거불응죄 성립 여부</v>
      </c>
    </row>
    <row r="244" spans="2:20" ht="14.45" customHeight="1" x14ac:dyDescent="0.2">
      <c r="B244" s="31" t="s">
        <v>402</v>
      </c>
      <c r="C244" s="32" t="s">
        <v>494</v>
      </c>
      <c r="D244" s="33" t="s">
        <v>128</v>
      </c>
      <c r="E244" s="69" t="s">
        <v>158</v>
      </c>
      <c r="F244" s="35" t="s">
        <v>28</v>
      </c>
      <c r="G244" s="35" t="s">
        <v>1635</v>
      </c>
      <c r="H244" s="36" t="s">
        <v>193</v>
      </c>
      <c r="I244" s="6" t="s">
        <v>1000</v>
      </c>
      <c r="J244" s="37">
        <v>1601</v>
      </c>
      <c r="K244" s="38" t="s">
        <v>1348</v>
      </c>
      <c r="L244" s="298"/>
      <c r="M244" s="40"/>
      <c r="N244" s="41"/>
      <c r="O244" s="39" t="str">
        <f t="shared" si="19"/>
        <v>제14장 쟁의행위-제05절 준법투쟁-01</v>
      </c>
      <c r="Q244" s="7" t="str">
        <f t="shared" si="20"/>
        <v>쟁의행위-2</v>
      </c>
      <c r="R244" s="7" t="str">
        <f t="shared" si="21"/>
        <v>열기2-01.노동법\01.본문\제14장 쟁의행위.제05절 준법투쟁.txt</v>
      </c>
      <c r="S244" s="7" t="str">
        <f t="shared" si="22"/>
        <v>A</v>
      </c>
      <c r="T244" s="7" t="str">
        <f t="shared" si="23"/>
        <v>준법투쟁</v>
      </c>
    </row>
    <row r="245" spans="2:20" ht="14.45" customHeight="1" x14ac:dyDescent="0.2">
      <c r="B245" s="31" t="s">
        <v>402</v>
      </c>
      <c r="C245" s="42" t="s">
        <v>494</v>
      </c>
      <c r="D245" s="43" t="s">
        <v>1256</v>
      </c>
      <c r="E245" s="70" t="s">
        <v>237</v>
      </c>
      <c r="F245" s="46">
        <v>2</v>
      </c>
      <c r="G245" s="46" t="s">
        <v>1636</v>
      </c>
      <c r="H245" s="47" t="s">
        <v>1338</v>
      </c>
      <c r="I245" s="48" t="s">
        <v>1339</v>
      </c>
      <c r="J245" s="49">
        <v>1864</v>
      </c>
      <c r="K245" s="50" t="s">
        <v>1348</v>
      </c>
      <c r="L245" s="68"/>
      <c r="M245" s="52"/>
      <c r="N245" s="53"/>
      <c r="O245" s="51" t="str">
        <f t="shared" si="19"/>
        <v>제14장 쟁의행위-제05절 준법투쟁-02</v>
      </c>
      <c r="Q245" s="7" t="str">
        <f t="shared" si="20"/>
        <v>2011-2-2</v>
      </c>
      <c r="R245" s="7" t="str">
        <f t="shared" si="21"/>
        <v>열기2-01.노동법\02.문제\[기출][2][2011-2]준법투쟁의 개념과 법적 성격, 유형, 관련 판례법리, 효과 및 활용.txt</v>
      </c>
      <c r="S245" s="7" t="str">
        <f t="shared" si="22"/>
        <v>A</v>
      </c>
      <c r="T245" s="7" t="str">
        <f t="shared" si="23"/>
        <v>준법투쟁의 개념과 법적 성격, 유형, 관련 판례법리, 효과 및 활용</v>
      </c>
    </row>
    <row r="246" spans="2:20" ht="14.45" customHeight="1" x14ac:dyDescent="0.2">
      <c r="B246" s="31" t="s">
        <v>402</v>
      </c>
      <c r="C246" s="54" t="s">
        <v>494</v>
      </c>
      <c r="D246" s="55" t="s">
        <v>1256</v>
      </c>
      <c r="E246" s="97" t="s">
        <v>77</v>
      </c>
      <c r="F246" s="58">
        <v>2</v>
      </c>
      <c r="G246" s="58" t="s">
        <v>1637</v>
      </c>
      <c r="H246" s="59" t="s">
        <v>1630</v>
      </c>
      <c r="I246" s="60" t="s">
        <v>1631</v>
      </c>
      <c r="J246" s="61">
        <v>1927</v>
      </c>
      <c r="K246" s="62" t="s">
        <v>1348</v>
      </c>
      <c r="L246" s="100"/>
      <c r="M246" s="64"/>
      <c r="N246" s="65"/>
      <c r="O246" s="63" t="str">
        <f t="shared" si="19"/>
        <v>제14장 쟁의행위-제05절 준법투쟁-03</v>
      </c>
      <c r="Q246" s="7" t="str">
        <f t="shared" si="20"/>
        <v>2017-1-1-2</v>
      </c>
      <c r="R246" s="7" t="str">
        <f t="shared" si="21"/>
        <v>열기2-01.노동법\02.문제\[기출][2][2017-1-1]관행적 연장근로에 대한 집단적 거부가 노조법상 쟁의행위에 해당하는지 여부.txt</v>
      </c>
      <c r="S246" s="7" t="str">
        <f t="shared" si="22"/>
        <v>A</v>
      </c>
      <c r="T246" s="7" t="str">
        <f t="shared" si="23"/>
        <v>관행적 연장근로에 대한 집단적 거부가 노조법상 쟁의행위에 해당하는지 여부</v>
      </c>
    </row>
    <row r="247" spans="2:20" ht="14.45" customHeight="1" x14ac:dyDescent="0.2">
      <c r="B247" s="31" t="s">
        <v>402</v>
      </c>
      <c r="C247" s="32" t="s">
        <v>1781</v>
      </c>
      <c r="D247" s="33" t="s">
        <v>128</v>
      </c>
      <c r="E247" s="69" t="s">
        <v>158</v>
      </c>
      <c r="F247" s="35" t="s">
        <v>28</v>
      </c>
      <c r="G247" s="35" t="s">
        <v>1635</v>
      </c>
      <c r="H247" s="36" t="s">
        <v>194</v>
      </c>
      <c r="I247" s="6" t="s">
        <v>1001</v>
      </c>
      <c r="J247" s="37">
        <v>1876</v>
      </c>
      <c r="K247" s="38" t="s">
        <v>1348</v>
      </c>
      <c r="L247" s="298"/>
      <c r="M247" s="40"/>
      <c r="N247" s="41"/>
      <c r="O247" s="39" t="str">
        <f t="shared" si="19"/>
        <v>제14장 쟁의행위-제06절 사용자의 쟁의행위-01</v>
      </c>
      <c r="Q247" s="7" t="str">
        <f t="shared" si="20"/>
        <v>쟁의행위-2</v>
      </c>
      <c r="R247" s="7" t="str">
        <f t="shared" si="21"/>
        <v>열기2-01.노동법\01.본문\제14장 쟁의행위.제06절 사용자의 쟁의행위.txt</v>
      </c>
      <c r="S247" s="7" t="str">
        <f t="shared" si="22"/>
        <v>A</v>
      </c>
      <c r="T247" s="7" t="str">
        <f t="shared" si="23"/>
        <v>사용자의 쟁의행위</v>
      </c>
    </row>
    <row r="248" spans="2:20" ht="14.45" customHeight="1" x14ac:dyDescent="0.2">
      <c r="B248" s="31" t="s">
        <v>485</v>
      </c>
      <c r="C248" s="42" t="s">
        <v>1781</v>
      </c>
      <c r="D248" s="151" t="s">
        <v>1256</v>
      </c>
      <c r="E248" s="152" t="s">
        <v>92</v>
      </c>
      <c r="F248" s="153">
        <v>2</v>
      </c>
      <c r="G248" s="153" t="s">
        <v>486</v>
      </c>
      <c r="H248" s="154" t="s">
        <v>1775</v>
      </c>
      <c r="I248" s="155" t="s">
        <v>1779</v>
      </c>
      <c r="J248" s="150">
        <v>1686</v>
      </c>
      <c r="K248" s="156" t="s">
        <v>1348</v>
      </c>
      <c r="L248" s="302" t="s">
        <v>1782</v>
      </c>
      <c r="M248" s="158"/>
      <c r="N248" s="159"/>
      <c r="O248" s="157" t="s">
        <v>1780</v>
      </c>
      <c r="Q248" s="7" t="str">
        <f t="shared" ref="Q248" si="24">E248&amp;"-"&amp;F248</f>
        <v>2009-2-2</v>
      </c>
      <c r="R248" s="7" t="str">
        <f t="shared" ref="R248" si="25">I248</f>
        <v>열기2-01.노동법\02.문제\[기출][2][2009-2]직장점거 중 단행된 사용자의 직장폐쇄에 따른 법률적 효과.txt</v>
      </c>
      <c r="S248" s="7" t="str">
        <f t="shared" ref="S248" si="26">K248</f>
        <v>A</v>
      </c>
      <c r="T248" s="7" t="str">
        <f t="shared" si="23"/>
        <v>직장점거 중 단행된 사용자의 직장폐쇄에 따른 법률적 효과</v>
      </c>
    </row>
    <row r="249" spans="2:20" ht="14.45" customHeight="1" x14ac:dyDescent="0.2">
      <c r="B249" s="31" t="s">
        <v>402</v>
      </c>
      <c r="C249" s="42" t="s">
        <v>493</v>
      </c>
      <c r="D249" s="43" t="s">
        <v>1256</v>
      </c>
      <c r="E249" s="70" t="s">
        <v>71</v>
      </c>
      <c r="F249" s="46">
        <v>2</v>
      </c>
      <c r="G249" s="46" t="s">
        <v>426</v>
      </c>
      <c r="H249" s="47" t="s">
        <v>1150</v>
      </c>
      <c r="I249" s="48" t="s">
        <v>1151</v>
      </c>
      <c r="J249" s="49">
        <v>1304</v>
      </c>
      <c r="K249" s="50" t="s">
        <v>1348</v>
      </c>
      <c r="L249" s="68"/>
      <c r="M249" s="52"/>
      <c r="N249" s="53"/>
      <c r="O249" s="51" t="str">
        <f t="shared" si="19"/>
        <v>제14장 쟁의행위-제06절 사용자의 쟁의행위-03</v>
      </c>
      <c r="Q249" s="7" t="str">
        <f t="shared" si="20"/>
        <v>2015-2-2</v>
      </c>
      <c r="R249" s="7" t="str">
        <f t="shared" si="21"/>
        <v>열기2-01.노동법\02.문제\[기출][2][2015-2]사용자의 정당한 직장폐쇄의 개념, 요건, 법적 효과.txt</v>
      </c>
      <c r="S249" s="7" t="str">
        <f t="shared" si="22"/>
        <v>A</v>
      </c>
      <c r="T249" s="7" t="str">
        <f t="shared" si="23"/>
        <v>사용자의 정당한 직장폐쇄의 개념, 요건, 법적 효과</v>
      </c>
    </row>
    <row r="250" spans="2:20" ht="14.45" customHeight="1" x14ac:dyDescent="0.2">
      <c r="B250" s="31" t="s">
        <v>402</v>
      </c>
      <c r="C250" s="42" t="s">
        <v>493</v>
      </c>
      <c r="D250" s="43" t="s">
        <v>1256</v>
      </c>
      <c r="E250" s="70" t="s">
        <v>1176</v>
      </c>
      <c r="F250" s="46">
        <v>2</v>
      </c>
      <c r="G250" s="46" t="s">
        <v>430</v>
      </c>
      <c r="H250" s="47" t="s">
        <v>1148</v>
      </c>
      <c r="I250" s="48" t="s">
        <v>1149</v>
      </c>
      <c r="J250" s="49">
        <v>2300</v>
      </c>
      <c r="K250" s="50" t="s">
        <v>1348</v>
      </c>
      <c r="L250" s="68"/>
      <c r="M250" s="52"/>
      <c r="N250" s="53"/>
      <c r="O250" s="51" t="str">
        <f t="shared" si="19"/>
        <v>제14장 쟁의행위-제06절 사용자의 쟁의행위-04</v>
      </c>
      <c r="Q250" s="7" t="str">
        <f t="shared" si="20"/>
        <v>2017-1-2-2</v>
      </c>
      <c r="R250" s="7" t="str">
        <f t="shared" si="21"/>
        <v>열기2-01.노동법\02.문제\[기출][2][2017-1-2]근로자의 집단적 연장근로 거부 및 태업에 대응하여 단행한 사용자의 직장폐쇄 개시 및 유지의 정당성 여부.txt</v>
      </c>
      <c r="S250" s="7" t="str">
        <f t="shared" si="22"/>
        <v>A</v>
      </c>
      <c r="T250" s="7" t="str">
        <f t="shared" si="23"/>
        <v>근로자의 집단적 연장근로 거부 및 태업에 대응하여 단행한 사용자의 직장폐쇄 개시 및 유지의 정당성 여부</v>
      </c>
    </row>
    <row r="251" spans="2:20" ht="14.45" customHeight="1" x14ac:dyDescent="0.2">
      <c r="B251" s="31" t="s">
        <v>402</v>
      </c>
      <c r="C251" s="42" t="s">
        <v>493</v>
      </c>
      <c r="D251" s="43" t="s">
        <v>1256</v>
      </c>
      <c r="E251" s="70" t="s">
        <v>76</v>
      </c>
      <c r="F251" s="46">
        <v>2</v>
      </c>
      <c r="G251" s="46" t="s">
        <v>431</v>
      </c>
      <c r="H251" s="47" t="s">
        <v>1615</v>
      </c>
      <c r="I251" s="48" t="s">
        <v>1616</v>
      </c>
      <c r="J251" s="49">
        <v>2228</v>
      </c>
      <c r="K251" s="50" t="s">
        <v>1348</v>
      </c>
      <c r="L251" s="68"/>
      <c r="M251" s="52"/>
      <c r="N251" s="53"/>
      <c r="O251" s="51" t="str">
        <f t="shared" si="19"/>
        <v>제14장 쟁의행위-제06절 사용자의 쟁의행위-05</v>
      </c>
      <c r="Q251" s="7" t="str">
        <f t="shared" si="20"/>
        <v>2019-1-1-2</v>
      </c>
      <c r="R251" s="7" t="str">
        <f t="shared" si="21"/>
        <v>열기2-01.노동법\02.문제\[기출][2][2019-1-1]직장폐쇄를 단행하며 노조사무실 출입을 전면 금지한 행위의 정당성 여부.txt</v>
      </c>
      <c r="S251" s="7" t="str">
        <f t="shared" si="22"/>
        <v>A</v>
      </c>
      <c r="T251" s="7" t="str">
        <f t="shared" si="23"/>
        <v>직장폐쇄를 단행하며 노조사무실 출입을 전면 금지한 행위의 정당성 여부</v>
      </c>
    </row>
    <row r="252" spans="2:20" ht="14.45" customHeight="1" x14ac:dyDescent="0.2">
      <c r="B252" s="31" t="s">
        <v>402</v>
      </c>
      <c r="C252" s="54" t="s">
        <v>493</v>
      </c>
      <c r="D252" s="55" t="s">
        <v>308</v>
      </c>
      <c r="E252" s="71" t="s">
        <v>1535</v>
      </c>
      <c r="F252" s="58" t="s">
        <v>28</v>
      </c>
      <c r="G252" s="57" t="s">
        <v>435</v>
      </c>
      <c r="H252" s="59" t="s">
        <v>351</v>
      </c>
      <c r="I252" s="60" t="s">
        <v>1293</v>
      </c>
      <c r="J252" s="61">
        <v>4559</v>
      </c>
      <c r="K252" s="62" t="s">
        <v>1348</v>
      </c>
      <c r="L252" s="100"/>
      <c r="M252" s="64"/>
      <c r="N252" s="65"/>
      <c r="O252" s="63" t="str">
        <f t="shared" si="19"/>
        <v>제14장 쟁의행위-제06절 사용자의 쟁의행위-06</v>
      </c>
      <c r="Q252" s="7" t="str">
        <f t="shared" si="20"/>
        <v>춘천지방법원 2025.07.09. 선고 2024나33324 판결-2</v>
      </c>
      <c r="R252" s="7" t="str">
        <f t="shared" si="21"/>
        <v>열기2-01.노동법\03.판례\[춘천지방법원 2025.07.09. 선고 2024나33324 판결]업무복귀 의사표시 이후에도 유지된 집화중단조치(직장폐쇄)의 위법성.txt</v>
      </c>
      <c r="S252" s="7" t="str">
        <f t="shared" si="22"/>
        <v>A</v>
      </c>
      <c r="T252" s="7" t="str">
        <f t="shared" si="23"/>
        <v>업무복귀 의사표시 이후에도 유지된 집화중단조치(직장폐쇄)의 위법성</v>
      </c>
    </row>
    <row r="253" spans="2:20" ht="14.45" customHeight="1" x14ac:dyDescent="0.2">
      <c r="B253" s="31" t="s">
        <v>402</v>
      </c>
      <c r="C253" s="32" t="s">
        <v>1452</v>
      </c>
      <c r="D253" s="33" t="s">
        <v>128</v>
      </c>
      <c r="E253" s="69" t="s">
        <v>158</v>
      </c>
      <c r="F253" s="35" t="s">
        <v>28</v>
      </c>
      <c r="G253" s="35" t="s">
        <v>1635</v>
      </c>
      <c r="H253" s="36" t="s">
        <v>195</v>
      </c>
      <c r="I253" s="6" t="s">
        <v>1002</v>
      </c>
      <c r="J253" s="37">
        <v>1751</v>
      </c>
      <c r="K253" s="38" t="s">
        <v>1383</v>
      </c>
      <c r="L253" s="298"/>
      <c r="M253" s="40"/>
      <c r="N253" s="41"/>
      <c r="O253" s="39" t="str">
        <f t="shared" si="19"/>
        <v>제14장 쟁의행위-제07절 불법쟁의행위와 법적 책임-01</v>
      </c>
      <c r="Q253" s="7" t="str">
        <f t="shared" si="20"/>
        <v>쟁의행위-2</v>
      </c>
      <c r="R253" s="7" t="str">
        <f t="shared" si="21"/>
        <v>열기2-01.노동법\01.본문\제14장 쟁의행위.제07절 불법쟁의행위와 법적 책임.txt</v>
      </c>
      <c r="S253" s="7" t="str">
        <f t="shared" si="22"/>
        <v>B</v>
      </c>
      <c r="T253" s="7" t="str">
        <f t="shared" si="23"/>
        <v>불법쟁의행위와 법적 책임</v>
      </c>
    </row>
    <row r="254" spans="2:20" ht="14.45" customHeight="1" x14ac:dyDescent="0.2">
      <c r="B254" s="31" t="s">
        <v>402</v>
      </c>
      <c r="C254" s="42" t="s">
        <v>1452</v>
      </c>
      <c r="D254" s="43" t="s">
        <v>1647</v>
      </c>
      <c r="E254" s="70" t="s">
        <v>1220</v>
      </c>
      <c r="F254" s="46" t="s">
        <v>28</v>
      </c>
      <c r="G254" s="46" t="s">
        <v>1636</v>
      </c>
      <c r="H254" s="47" t="s">
        <v>1373</v>
      </c>
      <c r="I254" s="48" t="s">
        <v>1695</v>
      </c>
      <c r="J254" s="49">
        <v>2429</v>
      </c>
      <c r="K254" s="50" t="s">
        <v>1383</v>
      </c>
      <c r="L254" s="68" t="s">
        <v>1721</v>
      </c>
      <c r="M254" s="52"/>
      <c r="N254" s="53"/>
      <c r="O254" s="51" t="str">
        <f t="shared" si="19"/>
        <v>제14장 쟁의행위-제07절 불법쟁의행위와 법적 책임-02</v>
      </c>
      <c r="Q254" s="7" t="str">
        <f t="shared" si="20"/>
        <v>14.07-1-2</v>
      </c>
      <c r="R254" s="7" t="str">
        <f t="shared" si="21"/>
        <v>열기2-01.노동법\02.문제\[모의][2][14.07-1]쟁의행위의 정당성 결여 판단 및 민사상 손해배상 책임의 주체와 책임의 성질.txt</v>
      </c>
      <c r="S254" s="7" t="str">
        <f t="shared" si="22"/>
        <v>B</v>
      </c>
      <c r="T254" s="7" t="str">
        <f t="shared" si="23"/>
        <v>쟁의행위의 정당성 결여 판단 및 민사상 손해배상 책임의 주체와 책임의 성질</v>
      </c>
    </row>
    <row r="255" spans="2:20" ht="14.45" customHeight="1" x14ac:dyDescent="0.2">
      <c r="B255" s="31" t="s">
        <v>402</v>
      </c>
      <c r="C255" s="54" t="s">
        <v>1452</v>
      </c>
      <c r="D255" s="55" t="s">
        <v>1647</v>
      </c>
      <c r="E255" s="97" t="s">
        <v>1221</v>
      </c>
      <c r="F255" s="58" t="s">
        <v>28</v>
      </c>
      <c r="G255" s="58" t="s">
        <v>1637</v>
      </c>
      <c r="H255" s="59" t="s">
        <v>1374</v>
      </c>
      <c r="I255" s="60" t="s">
        <v>1696</v>
      </c>
      <c r="J255" s="61">
        <v>2212</v>
      </c>
      <c r="K255" s="62" t="s">
        <v>1383</v>
      </c>
      <c r="L255" s="100"/>
      <c r="M255" s="64"/>
      <c r="N255" s="65"/>
      <c r="O255" s="63" t="str">
        <f t="shared" si="19"/>
        <v>제14장 쟁의행위-제07절 불법쟁의행위와 법적 책임-03</v>
      </c>
      <c r="Q255" s="7" t="str">
        <f t="shared" si="20"/>
        <v>14.07-2-2</v>
      </c>
      <c r="R255" s="7" t="str">
        <f t="shared" si="21"/>
        <v>열기2-01.노동법\02.문제\[모의][2][14.07-2]책임 제한의 개별화 원칙 적용 여부와 구체적인 판단 기준.txt</v>
      </c>
      <c r="S255" s="7" t="str">
        <f t="shared" si="22"/>
        <v>B</v>
      </c>
      <c r="T255" s="7" t="str">
        <f t="shared" si="23"/>
        <v>책임 제한의 개별화 원칙 적용 여부와 구체적인 판단 기준</v>
      </c>
    </row>
    <row r="256" spans="2:20" ht="14.45" customHeight="1" x14ac:dyDescent="0.2">
      <c r="B256" s="31" t="s">
        <v>402</v>
      </c>
      <c r="C256" s="32" t="s">
        <v>1453</v>
      </c>
      <c r="D256" s="33" t="s">
        <v>128</v>
      </c>
      <c r="E256" s="69" t="s">
        <v>158</v>
      </c>
      <c r="F256" s="35" t="s">
        <v>28</v>
      </c>
      <c r="G256" s="35" t="s">
        <v>1635</v>
      </c>
      <c r="H256" s="36" t="s">
        <v>196</v>
      </c>
      <c r="I256" s="6" t="s">
        <v>1003</v>
      </c>
      <c r="J256" s="37">
        <v>1803</v>
      </c>
      <c r="K256" s="38" t="s">
        <v>1383</v>
      </c>
      <c r="L256" s="298"/>
      <c r="M256" s="40"/>
      <c r="N256" s="41"/>
      <c r="O256" s="39" t="str">
        <f t="shared" si="19"/>
        <v>제14장 쟁의행위-제08절 쟁의행위와 노사당사자 간의 법률관계-01</v>
      </c>
      <c r="Q256" s="7" t="str">
        <f t="shared" si="20"/>
        <v>쟁의행위-2</v>
      </c>
      <c r="R256" s="7" t="str">
        <f t="shared" si="21"/>
        <v>열기2-01.노동법\01.본문\제14장 쟁의행위.제08절 쟁의행위와 노사당사자 간의 법률관계.txt</v>
      </c>
      <c r="S256" s="7" t="str">
        <f t="shared" si="22"/>
        <v>B</v>
      </c>
      <c r="T256" s="7" t="str">
        <f t="shared" si="23"/>
        <v>쟁의행위와 노사당사자 간의 법률관계</v>
      </c>
    </row>
    <row r="257" spans="2:20" ht="14.45" customHeight="1" x14ac:dyDescent="0.2">
      <c r="B257" s="31" t="s">
        <v>402</v>
      </c>
      <c r="C257" s="42" t="s">
        <v>1453</v>
      </c>
      <c r="D257" s="43" t="s">
        <v>1647</v>
      </c>
      <c r="E257" s="70" t="s">
        <v>1222</v>
      </c>
      <c r="F257" s="46" t="s">
        <v>28</v>
      </c>
      <c r="G257" s="46" t="s">
        <v>1636</v>
      </c>
      <c r="H257" s="47" t="s">
        <v>1375</v>
      </c>
      <c r="I257" s="48" t="s">
        <v>1697</v>
      </c>
      <c r="J257" s="49">
        <v>2002</v>
      </c>
      <c r="K257" s="50" t="s">
        <v>1383</v>
      </c>
      <c r="L257" s="68" t="s">
        <v>1792</v>
      </c>
      <c r="M257" s="52"/>
      <c r="N257" s="53"/>
      <c r="O257" s="51" t="str">
        <f t="shared" si="19"/>
        <v>제14장 쟁의행위-제08절 쟁의행위와 노사당사자 간의 법률관계-02</v>
      </c>
      <c r="Q257" s="7" t="str">
        <f t="shared" si="20"/>
        <v>14.08-1-2</v>
      </c>
      <c r="R257" s="7" t="str">
        <f t="shared" si="21"/>
        <v>열기2-01.노동법\02.문제\[모의][2][14.08-1]정당한 쟁의행위 기간 중 가족수당 및 근속수당 지급 의무 여부(무노동 무임금 원칙 적용 범위).txt</v>
      </c>
      <c r="S257" s="7" t="str">
        <f t="shared" si="22"/>
        <v>B</v>
      </c>
      <c r="T257" s="7" t="str">
        <f t="shared" si="23"/>
        <v>정당한 쟁의행위 기간 중 가족수당 및 근속수당 지급 의무 여부(무노동 무임금 원칙 적용 범위)</v>
      </c>
    </row>
    <row r="258" spans="2:20" ht="14.45" customHeight="1" x14ac:dyDescent="0.2">
      <c r="B258" s="31" t="s">
        <v>402</v>
      </c>
      <c r="C258" s="54" t="s">
        <v>1453</v>
      </c>
      <c r="D258" s="55" t="s">
        <v>1647</v>
      </c>
      <c r="E258" s="97" t="s">
        <v>1223</v>
      </c>
      <c r="F258" s="58" t="s">
        <v>28</v>
      </c>
      <c r="G258" s="58" t="s">
        <v>1637</v>
      </c>
      <c r="H258" s="59" t="s">
        <v>1376</v>
      </c>
      <c r="I258" s="60" t="s">
        <v>1698</v>
      </c>
      <c r="J258" s="61">
        <v>2373</v>
      </c>
      <c r="K258" s="62" t="s">
        <v>1383</v>
      </c>
      <c r="L258" s="100" t="s">
        <v>1722</v>
      </c>
      <c r="M258" s="64"/>
      <c r="N258" s="65"/>
      <c r="O258" s="63" t="str">
        <f t="shared" si="19"/>
        <v>제14장 쟁의행위-제08절 쟁의행위와 노사당사자 간의 법률관계-03</v>
      </c>
      <c r="Q258" s="7" t="str">
        <f t="shared" si="20"/>
        <v>14.08-2-2</v>
      </c>
      <c r="R258" s="7" t="str">
        <f t="shared" si="21"/>
        <v>열기2-01.노동법\02.문제\[모의][2][14.08-2]쟁의행위 및 징계(정직) 기간의 연차휴가 산정 시 출근지수 처리 방식.txt</v>
      </c>
      <c r="S258" s="7" t="str">
        <f t="shared" si="22"/>
        <v>B</v>
      </c>
      <c r="T258" s="7" t="str">
        <f t="shared" si="23"/>
        <v>쟁의행위 및 징계(정직) 기간의 연차휴가 산정 시 출근지수 처리 방식</v>
      </c>
    </row>
    <row r="259" spans="2:20" ht="14.45" customHeight="1" x14ac:dyDescent="0.2">
      <c r="B259" s="31" t="s">
        <v>402</v>
      </c>
      <c r="C259" s="32" t="s">
        <v>1454</v>
      </c>
      <c r="D259" s="33" t="s">
        <v>128</v>
      </c>
      <c r="E259" s="69" t="s">
        <v>158</v>
      </c>
      <c r="F259" s="35" t="s">
        <v>28</v>
      </c>
      <c r="G259" s="35" t="s">
        <v>1635</v>
      </c>
      <c r="H259" s="36" t="s">
        <v>197</v>
      </c>
      <c r="I259" s="6" t="s">
        <v>1004</v>
      </c>
      <c r="J259" s="37">
        <v>1941</v>
      </c>
      <c r="K259" s="38" t="s">
        <v>1383</v>
      </c>
      <c r="L259" s="298"/>
      <c r="M259" s="40"/>
      <c r="N259" s="41"/>
      <c r="O259" s="39" t="str">
        <f t="shared" si="19"/>
        <v>제14장 쟁의행위-제09절 안전보호시설과 필수유지업무-01</v>
      </c>
      <c r="Q259" s="7" t="str">
        <f t="shared" si="20"/>
        <v>쟁의행위-2</v>
      </c>
      <c r="R259" s="7" t="str">
        <f t="shared" si="21"/>
        <v>열기2-01.노동법\01.본문\제14장 쟁의행위.제09절 안전보호시설과 필수유지업무.txt</v>
      </c>
      <c r="S259" s="7" t="str">
        <f t="shared" si="22"/>
        <v>B</v>
      </c>
      <c r="T259" s="7" t="str">
        <f t="shared" si="23"/>
        <v>안전보호시설과 필수유지업무</v>
      </c>
    </row>
    <row r="260" spans="2:20" ht="14.45" customHeight="1" x14ac:dyDescent="0.2">
      <c r="B260" s="31" t="s">
        <v>402</v>
      </c>
      <c r="C260" s="42" t="s">
        <v>1454</v>
      </c>
      <c r="D260" s="43" t="s">
        <v>1647</v>
      </c>
      <c r="E260" s="70" t="s">
        <v>1224</v>
      </c>
      <c r="F260" s="46" t="s">
        <v>28</v>
      </c>
      <c r="G260" s="46" t="s">
        <v>1636</v>
      </c>
      <c r="H260" s="47" t="s">
        <v>1377</v>
      </c>
      <c r="I260" s="48" t="s">
        <v>1699</v>
      </c>
      <c r="J260" s="49">
        <v>2253</v>
      </c>
      <c r="K260" s="50" t="s">
        <v>1383</v>
      </c>
      <c r="L260" s="68"/>
      <c r="M260" s="52"/>
      <c r="N260" s="53"/>
      <c r="O260" s="51" t="str">
        <f t="shared" ref="O260:O310" si="27">B260&amp;"-"&amp;C260&amp;"-"&amp;G260</f>
        <v>제14장 쟁의행위-제09절 안전보호시설과 필수유지업무-02</v>
      </c>
      <c r="Q260" s="7" t="str">
        <f t="shared" ref="Q260:Q310" si="28">E260&amp;"-"&amp;F260</f>
        <v>14.09-1-2</v>
      </c>
      <c r="R260" s="7" t="str">
        <f t="shared" ref="R260:R310" si="29">I260</f>
        <v>열기2-01.노동법\02.문제\[모의][2][14.09-1]안전보호시설의 정의와 쟁의행위 제한 취지 및 중앙제어실 파업 동참 행위의 정당성 여부.txt</v>
      </c>
      <c r="S260" s="7" t="str">
        <f t="shared" ref="S260:S310" si="30">K260</f>
        <v>B</v>
      </c>
      <c r="T260" s="7" t="str">
        <f t="shared" si="23"/>
        <v>안전보호시설의 정의와 쟁의행위 제한 취지 및 중앙제어실 파업 동참 행위의 정당성 여부</v>
      </c>
    </row>
    <row r="261" spans="2:20" ht="14.45" customHeight="1" x14ac:dyDescent="0.2">
      <c r="B261" s="31" t="s">
        <v>402</v>
      </c>
      <c r="C261" s="54" t="s">
        <v>1454</v>
      </c>
      <c r="D261" s="55" t="s">
        <v>1647</v>
      </c>
      <c r="E261" s="97" t="s">
        <v>1225</v>
      </c>
      <c r="F261" s="58" t="s">
        <v>28</v>
      </c>
      <c r="G261" s="58" t="s">
        <v>1637</v>
      </c>
      <c r="H261" s="59" t="s">
        <v>111</v>
      </c>
      <c r="I261" s="60" t="s">
        <v>1700</v>
      </c>
      <c r="J261" s="61">
        <v>2214</v>
      </c>
      <c r="K261" s="62" t="s">
        <v>1383</v>
      </c>
      <c r="L261" s="100"/>
      <c r="M261" s="64"/>
      <c r="N261" s="65"/>
      <c r="O261" s="63" t="str">
        <f t="shared" si="27"/>
        <v>제14장 쟁의행위-제09절 안전보호시설과 필수유지업무-03</v>
      </c>
      <c r="Q261" s="7" t="str">
        <f t="shared" si="28"/>
        <v>14.09-2-2</v>
      </c>
      <c r="R261" s="7" t="str">
        <f t="shared" si="29"/>
        <v>열기2-01.노동법\02.문제\[모의][2][14.09-2]필수유지업무 제도의 적용 범위・절차 및 일반 사업장에서의 사용자 일방 지정 가능성.txt</v>
      </c>
      <c r="S261" s="7" t="str">
        <f t="shared" si="30"/>
        <v>B</v>
      </c>
      <c r="T261" s="7" t="str">
        <f t="shared" ref="T261:T310" si="31">H261</f>
        <v>필수유지업무 제도의 적용 범위・절차 및 일반 사업장에서의 사용자 일방 지정 가능성</v>
      </c>
    </row>
    <row r="262" spans="2:20" ht="14.45" customHeight="1" x14ac:dyDescent="0.2">
      <c r="B262" s="31" t="s">
        <v>402</v>
      </c>
      <c r="C262" s="32" t="s">
        <v>403</v>
      </c>
      <c r="D262" s="33" t="s">
        <v>128</v>
      </c>
      <c r="E262" s="69" t="s">
        <v>158</v>
      </c>
      <c r="F262" s="35" t="s">
        <v>28</v>
      </c>
      <c r="G262" s="35" t="s">
        <v>1635</v>
      </c>
      <c r="H262" s="36" t="s">
        <v>198</v>
      </c>
      <c r="I262" s="6" t="s">
        <v>1005</v>
      </c>
      <c r="J262" s="37">
        <v>1786</v>
      </c>
      <c r="K262" s="38" t="s">
        <v>1348</v>
      </c>
      <c r="L262" s="298"/>
      <c r="M262" s="40"/>
      <c r="N262" s="41"/>
      <c r="O262" s="39" t="str">
        <f t="shared" si="27"/>
        <v>제14장 쟁의행위-제10절 쟁의기간 중 대체근로의 제한-01</v>
      </c>
      <c r="Q262" s="7" t="str">
        <f t="shared" si="28"/>
        <v>쟁의행위-2</v>
      </c>
      <c r="R262" s="7" t="str">
        <f t="shared" si="29"/>
        <v>열기2-01.노동법\01.본문\제14장 쟁의행위.제10절 쟁의기간 중 대체근로의 제한.txt</v>
      </c>
      <c r="S262" s="7" t="str">
        <f t="shared" si="30"/>
        <v>A</v>
      </c>
      <c r="T262" s="7" t="str">
        <f t="shared" si="31"/>
        <v>쟁의기간 중 대체근로의 제한</v>
      </c>
    </row>
    <row r="263" spans="2:20" ht="14.45" customHeight="1" x14ac:dyDescent="0.2">
      <c r="B263" s="31" t="s">
        <v>402</v>
      </c>
      <c r="C263" s="102" t="s">
        <v>403</v>
      </c>
      <c r="D263" s="43" t="s">
        <v>1256</v>
      </c>
      <c r="E263" s="70" t="s">
        <v>93</v>
      </c>
      <c r="F263" s="46">
        <v>2</v>
      </c>
      <c r="G263" s="46" t="s">
        <v>1636</v>
      </c>
      <c r="H263" s="47" t="s">
        <v>1340</v>
      </c>
      <c r="I263" s="48" t="s">
        <v>1341</v>
      </c>
      <c r="J263" s="49">
        <v>1602</v>
      </c>
      <c r="K263" s="50" t="s">
        <v>1348</v>
      </c>
      <c r="L263" s="68"/>
      <c r="M263" s="52"/>
      <c r="N263" s="53"/>
      <c r="O263" s="51" t="str">
        <f t="shared" si="27"/>
        <v>제14장 쟁의행위-제10절 쟁의기간 중 대체근로의 제한-02</v>
      </c>
      <c r="Q263" s="7" t="str">
        <f t="shared" si="28"/>
        <v>2008-2-2</v>
      </c>
      <c r="R263" s="7" t="str">
        <f t="shared" si="29"/>
        <v>열기2-01.노동법\02.문제\[기출][2][2008-2]쟁의행위 기간 중 사용자의 채용 제한의 원칙, 필수공익사업의 특례, 위반 시 쟁점.txt</v>
      </c>
      <c r="S263" s="7" t="str">
        <f t="shared" si="30"/>
        <v>A</v>
      </c>
      <c r="T263" s="7" t="str">
        <f t="shared" si="31"/>
        <v>쟁의행위 기간 중 사용자의 채용 제한의 원칙, 필수공익사업의 특례, 위반 시 쟁점</v>
      </c>
    </row>
    <row r="264" spans="2:20" ht="14.45" customHeight="1" x14ac:dyDescent="0.2">
      <c r="B264" s="31" t="s">
        <v>402</v>
      </c>
      <c r="C264" s="102" t="s">
        <v>403</v>
      </c>
      <c r="D264" s="43" t="s">
        <v>1256</v>
      </c>
      <c r="E264" s="70" t="s">
        <v>1156</v>
      </c>
      <c r="F264" s="46">
        <v>2</v>
      </c>
      <c r="G264" s="46" t="s">
        <v>1637</v>
      </c>
      <c r="H264" s="47" t="s">
        <v>1179</v>
      </c>
      <c r="I264" s="48" t="s">
        <v>1180</v>
      </c>
      <c r="J264" s="49">
        <v>4081</v>
      </c>
      <c r="K264" s="50" t="s">
        <v>1348</v>
      </c>
      <c r="L264" s="68" t="s">
        <v>1717</v>
      </c>
      <c r="M264" s="52"/>
      <c r="N264" s="53"/>
      <c r="O264" s="51" t="str">
        <f t="shared" si="27"/>
        <v>제14장 쟁의행위-제10절 쟁의기간 중 대체근로의 제한-03</v>
      </c>
      <c r="Q264" s="7" t="str">
        <f t="shared" si="28"/>
        <v>2020-1-1-2</v>
      </c>
      <c r="R264" s="7" t="str">
        <f t="shared" si="29"/>
        <v>열기2-01.노동법\02.문제\[기출][2][2020-1-1]대체인력 투입이 대체근로 제한에 위배되어 위법한지 여부.txt</v>
      </c>
      <c r="S264" s="7" t="str">
        <f t="shared" si="30"/>
        <v>A</v>
      </c>
      <c r="T264" s="7" t="str">
        <f t="shared" si="31"/>
        <v>대체인력 투입이 대체근로 제한에 위배되어 위법한지 여부</v>
      </c>
    </row>
    <row r="265" spans="2:20" ht="14.45" customHeight="1" x14ac:dyDescent="0.2">
      <c r="B265" s="31" t="s">
        <v>402</v>
      </c>
      <c r="C265" s="102" t="s">
        <v>403</v>
      </c>
      <c r="D265" s="43" t="s">
        <v>1256</v>
      </c>
      <c r="E265" s="70" t="s">
        <v>85</v>
      </c>
      <c r="F265" s="46">
        <v>2</v>
      </c>
      <c r="G265" s="46" t="s">
        <v>1638</v>
      </c>
      <c r="H265" s="47" t="s">
        <v>1184</v>
      </c>
      <c r="I265" s="48" t="s">
        <v>1181</v>
      </c>
      <c r="J265" s="49">
        <v>3964</v>
      </c>
      <c r="K265" s="50" t="s">
        <v>1348</v>
      </c>
      <c r="L265" s="68" t="s">
        <v>1717</v>
      </c>
      <c r="M265" s="52"/>
      <c r="N265" s="53"/>
      <c r="O265" s="51" t="str">
        <f t="shared" si="27"/>
        <v>제14장 쟁의행위-제10절 쟁의기간 중 대체근로의 제한-04</v>
      </c>
      <c r="Q265" s="7" t="str">
        <f t="shared" si="28"/>
        <v>2020-1-2-2</v>
      </c>
      <c r="R265" s="7" t="str">
        <f t="shared" si="29"/>
        <v>열기2-01.노동법\02.문제\[기출][2][2020-1-2]대체인력 투입의 지배・개입 부당노동행위 성립 여부.txt</v>
      </c>
      <c r="S265" s="7" t="str">
        <f t="shared" si="30"/>
        <v>A</v>
      </c>
      <c r="T265" s="7" t="str">
        <f t="shared" si="31"/>
        <v>대체인력 투입의 지배・개입 부당노동행위 성립 여부</v>
      </c>
    </row>
    <row r="266" spans="2:20" ht="14.45" customHeight="1" thickBot="1" x14ac:dyDescent="0.25">
      <c r="B266" s="74" t="s">
        <v>402</v>
      </c>
      <c r="C266" s="103" t="s">
        <v>403</v>
      </c>
      <c r="D266" s="76" t="s">
        <v>1256</v>
      </c>
      <c r="E266" s="77" t="s">
        <v>81</v>
      </c>
      <c r="F266" s="78">
        <v>2</v>
      </c>
      <c r="G266" s="78" t="s">
        <v>1639</v>
      </c>
      <c r="H266" s="79" t="s">
        <v>1153</v>
      </c>
      <c r="I266" s="80" t="s">
        <v>1152</v>
      </c>
      <c r="J266" s="81">
        <v>2595</v>
      </c>
      <c r="K266" s="82" t="s">
        <v>1348</v>
      </c>
      <c r="L266" s="161"/>
      <c r="M266" s="84"/>
      <c r="N266" s="85"/>
      <c r="O266" s="83" t="str">
        <f t="shared" si="27"/>
        <v>제14장 쟁의행위-제10절 쟁의기간 중 대체근로의 제한-05</v>
      </c>
      <c r="Q266" s="7" t="str">
        <f t="shared" si="28"/>
        <v>2022-1-2-2</v>
      </c>
      <c r="R266" s="7" t="str">
        <f t="shared" si="29"/>
        <v>열기2-01.노동법\02.문제\[기출][2][2022-1-2]용역업체의 대체근로 저지행위에 대한 형사상 위법성 여부.txt</v>
      </c>
      <c r="S266" s="7" t="str">
        <f t="shared" si="30"/>
        <v>A</v>
      </c>
      <c r="T266" s="7" t="str">
        <f t="shared" si="31"/>
        <v>용역업체의 대체근로 저지행위에 대한 형사상 위법성 여부</v>
      </c>
    </row>
    <row r="267" spans="2:20" ht="14.45" customHeight="1" x14ac:dyDescent="0.2">
      <c r="B267" s="19" t="s">
        <v>404</v>
      </c>
      <c r="C267" s="20" t="s">
        <v>1466</v>
      </c>
      <c r="D267" s="21" t="s">
        <v>128</v>
      </c>
      <c r="E267" s="22" t="s">
        <v>159</v>
      </c>
      <c r="F267" s="23" t="s">
        <v>28</v>
      </c>
      <c r="G267" s="23" t="s">
        <v>1635</v>
      </c>
      <c r="H267" s="24" t="s">
        <v>199</v>
      </c>
      <c r="I267" s="25" t="s">
        <v>1006</v>
      </c>
      <c r="J267" s="26">
        <v>1603</v>
      </c>
      <c r="K267" s="27" t="s">
        <v>1383</v>
      </c>
      <c r="L267" s="297"/>
      <c r="M267" s="29"/>
      <c r="N267" s="30"/>
      <c r="O267" s="28" t="str">
        <f t="shared" si="27"/>
        <v>제15장 부당노동행위-제01절 부당노동행위제도의 의의-01</v>
      </c>
      <c r="Q267" s="7" t="str">
        <f t="shared" si="28"/>
        <v>부당노동행위-2</v>
      </c>
      <c r="R267" s="7" t="str">
        <f t="shared" si="29"/>
        <v>열기2-01.노동법\01.본문\제15장 부당노동행위.제01절 부당노동행위제도의 의의.txt</v>
      </c>
      <c r="S267" s="7" t="str">
        <f t="shared" si="30"/>
        <v>B</v>
      </c>
      <c r="T267" s="7" t="str">
        <f t="shared" si="31"/>
        <v>부당노동행위제도의 의의</v>
      </c>
    </row>
    <row r="268" spans="2:20" ht="14.45" customHeight="1" x14ac:dyDescent="0.2">
      <c r="B268" s="31" t="s">
        <v>404</v>
      </c>
      <c r="C268" s="32" t="s">
        <v>481</v>
      </c>
      <c r="D268" s="33" t="s">
        <v>128</v>
      </c>
      <c r="E268" s="69" t="s">
        <v>159</v>
      </c>
      <c r="F268" s="35" t="s">
        <v>28</v>
      </c>
      <c r="G268" s="35" t="s">
        <v>1636</v>
      </c>
      <c r="H268" s="36" t="s">
        <v>310</v>
      </c>
      <c r="I268" s="6" t="s">
        <v>1007</v>
      </c>
      <c r="J268" s="37">
        <v>2020</v>
      </c>
      <c r="K268" s="38" t="s">
        <v>1382</v>
      </c>
      <c r="L268" s="298"/>
      <c r="M268" s="40"/>
      <c r="N268" s="41"/>
      <c r="O268" s="39" t="str">
        <f t="shared" si="27"/>
        <v>제15장 부당노동행위-제02절 불이익취급-02</v>
      </c>
      <c r="Q268" s="7" t="str">
        <f t="shared" si="28"/>
        <v>부당노동행위-2</v>
      </c>
      <c r="R268" s="7" t="str">
        <f t="shared" si="29"/>
        <v>열기2-01.노동법\01.본문\제15장 부당노동행위.제02절 불이익취급.txt</v>
      </c>
      <c r="S268" s="7" t="str">
        <f t="shared" si="30"/>
        <v>C</v>
      </c>
      <c r="T268" s="7" t="str">
        <f t="shared" si="31"/>
        <v>불이익취급</v>
      </c>
    </row>
    <row r="269" spans="2:20" ht="14.45" customHeight="1" x14ac:dyDescent="0.2">
      <c r="B269" s="31" t="s">
        <v>404</v>
      </c>
      <c r="C269" s="42" t="s">
        <v>481</v>
      </c>
      <c r="D269" s="43" t="s">
        <v>1256</v>
      </c>
      <c r="E269" s="70" t="s">
        <v>94</v>
      </c>
      <c r="F269" s="46">
        <v>2</v>
      </c>
      <c r="G269" s="46" t="s">
        <v>1637</v>
      </c>
      <c r="H269" s="47" t="s">
        <v>1187</v>
      </c>
      <c r="I269" s="48" t="s">
        <v>1188</v>
      </c>
      <c r="J269" s="49">
        <v>4101</v>
      </c>
      <c r="K269" s="50" t="s">
        <v>1382</v>
      </c>
      <c r="L269" s="68"/>
      <c r="M269" s="52"/>
      <c r="N269" s="53"/>
      <c r="O269" s="51" t="str">
        <f t="shared" si="27"/>
        <v>제15장 부당노동행위-제02절 불이익취급-03</v>
      </c>
      <c r="Q269" s="7" t="str">
        <f t="shared" si="28"/>
        <v>2015-1-2</v>
      </c>
      <c r="R269" s="7" t="str">
        <f t="shared" si="29"/>
        <v>열기2-01.노동법\02.문제\[기출][2][2015-1]사내 무단 유인물 배포를 이유로 한 징계해고의 정당성 및 불이익취급 부당노동행위 성립 여부.txt</v>
      </c>
      <c r="S269" s="7" t="str">
        <f t="shared" si="30"/>
        <v>C</v>
      </c>
      <c r="T269" s="7" t="str">
        <f t="shared" si="31"/>
        <v>사내 무단 유인물 배포를 이유로 한 징계해고의 정당성 및 불이익취급 부당노동행위 성립 여부</v>
      </c>
    </row>
    <row r="270" spans="2:20" ht="14.45" customHeight="1" x14ac:dyDescent="0.2">
      <c r="B270" s="31" t="s">
        <v>404</v>
      </c>
      <c r="C270" s="42" t="s">
        <v>481</v>
      </c>
      <c r="D270" s="43" t="s">
        <v>1256</v>
      </c>
      <c r="E270" s="70" t="s">
        <v>1177</v>
      </c>
      <c r="F270" s="46">
        <v>2</v>
      </c>
      <c r="G270" s="46" t="s">
        <v>1638</v>
      </c>
      <c r="H270" s="47" t="s">
        <v>1185</v>
      </c>
      <c r="I270" s="48" t="s">
        <v>1186</v>
      </c>
      <c r="J270" s="49">
        <v>2151</v>
      </c>
      <c r="K270" s="50" t="s">
        <v>1382</v>
      </c>
      <c r="L270" s="68"/>
      <c r="M270" s="52"/>
      <c r="N270" s="53"/>
      <c r="O270" s="51" t="str">
        <f t="shared" si="27"/>
        <v>제15장 부당노동행위-제02절 불이익취급-04</v>
      </c>
      <c r="Q270" s="7" t="str">
        <f t="shared" si="28"/>
        <v>2016-1-2-2</v>
      </c>
      <c r="R270" s="7" t="str">
        <f t="shared" si="29"/>
        <v>열기2-01.노동법\02.문제\[기출][2][2016-1-2]정리해고의 불이익 취급 부당노동행위 성립에 관한 입증책임의 소재 및 구체적인 입증방법.txt</v>
      </c>
      <c r="S270" s="7" t="str">
        <f t="shared" si="30"/>
        <v>C</v>
      </c>
      <c r="T270" s="7" t="str">
        <f t="shared" si="31"/>
        <v>정리해고의 불이익 취급 부당노동행위 성립에 관한 입증책임의 소재 및 구체적인 입증방법</v>
      </c>
    </row>
    <row r="271" spans="2:20" ht="14.45" customHeight="1" x14ac:dyDescent="0.2">
      <c r="B271" s="31" t="s">
        <v>404</v>
      </c>
      <c r="C271" s="54" t="s">
        <v>481</v>
      </c>
      <c r="D271" s="55" t="s">
        <v>1256</v>
      </c>
      <c r="E271" s="97" t="s">
        <v>70</v>
      </c>
      <c r="F271" s="58">
        <v>2</v>
      </c>
      <c r="G271" s="58" t="s">
        <v>1639</v>
      </c>
      <c r="H271" s="59" t="s">
        <v>1182</v>
      </c>
      <c r="I271" s="60" t="s">
        <v>1183</v>
      </c>
      <c r="J271" s="61">
        <v>2810</v>
      </c>
      <c r="K271" s="62" t="s">
        <v>1382</v>
      </c>
      <c r="L271" s="100"/>
      <c r="M271" s="64"/>
      <c r="N271" s="65"/>
      <c r="O271" s="63" t="str">
        <f t="shared" si="27"/>
        <v>제15장 부당노동행위-제02절 불이익취급-05</v>
      </c>
      <c r="Q271" s="7" t="str">
        <f t="shared" si="28"/>
        <v>2024-1-2-2</v>
      </c>
      <c r="R271" s="7" t="str">
        <f t="shared" si="29"/>
        <v>열기2-01.노동법\02.문제\[기출][2][2024-1-2]카마스터들에 대한 용역계약 해지의 불이익 취급 부당노동행위 성립 여부 및 사유 정당성.txt</v>
      </c>
      <c r="S271" s="7" t="str">
        <f t="shared" si="30"/>
        <v>C</v>
      </c>
      <c r="T271" s="7" t="str">
        <f t="shared" si="31"/>
        <v>카마스터들에 대한 용역계약 해지의 불이익 취급 부당노동행위 성립 여부 및 사유 정당성</v>
      </c>
    </row>
    <row r="272" spans="2:20" ht="14.45" customHeight="1" x14ac:dyDescent="0.2">
      <c r="B272" s="31" t="s">
        <v>404</v>
      </c>
      <c r="C272" s="32" t="s">
        <v>1455</v>
      </c>
      <c r="D272" s="33" t="s">
        <v>128</v>
      </c>
      <c r="E272" s="69" t="s">
        <v>159</v>
      </c>
      <c r="F272" s="35" t="s">
        <v>28</v>
      </c>
      <c r="G272" s="35" t="s">
        <v>1635</v>
      </c>
      <c r="H272" s="36" t="s">
        <v>200</v>
      </c>
      <c r="I272" s="6" t="s">
        <v>1008</v>
      </c>
      <c r="J272" s="37">
        <v>1686</v>
      </c>
      <c r="K272" s="38" t="s">
        <v>1348</v>
      </c>
      <c r="L272" s="298"/>
      <c r="M272" s="40"/>
      <c r="N272" s="41"/>
      <c r="O272" s="39" t="str">
        <f t="shared" si="27"/>
        <v>제15장 부당노동행위-제03절 반조합계약(비열계약, 황견계약)-01</v>
      </c>
      <c r="Q272" s="7" t="str">
        <f t="shared" si="28"/>
        <v>부당노동행위-2</v>
      </c>
      <c r="R272" s="7" t="str">
        <f t="shared" si="29"/>
        <v>열기2-01.노동법\01.본문\제15장 부당노동행위.제03절 반조합계약(비열계약, 황견계약).txt</v>
      </c>
      <c r="S272" s="7" t="str">
        <f t="shared" si="30"/>
        <v>A</v>
      </c>
      <c r="T272" s="7" t="str">
        <f t="shared" si="31"/>
        <v>반조합계약(비열계약, 황견계약)</v>
      </c>
    </row>
    <row r="273" spans="2:20" ht="14.45" customHeight="1" x14ac:dyDescent="0.2">
      <c r="B273" s="31" t="s">
        <v>404</v>
      </c>
      <c r="C273" s="42" t="s">
        <v>1455</v>
      </c>
      <c r="D273" s="43" t="s">
        <v>1647</v>
      </c>
      <c r="E273" s="70" t="s">
        <v>1226</v>
      </c>
      <c r="F273" s="46" t="s">
        <v>28</v>
      </c>
      <c r="G273" s="46" t="s">
        <v>1636</v>
      </c>
      <c r="H273" s="47" t="s">
        <v>112</v>
      </c>
      <c r="I273" s="48" t="s">
        <v>1701</v>
      </c>
      <c r="J273" s="49">
        <v>2140</v>
      </c>
      <c r="K273" s="50" t="s">
        <v>1348</v>
      </c>
      <c r="L273" s="68"/>
      <c r="M273" s="52"/>
      <c r="N273" s="53"/>
      <c r="O273" s="51" t="str">
        <f t="shared" si="27"/>
        <v>제15장 부당노동행위-제03절 반조합계약(비열계약, 황견계약)-02</v>
      </c>
      <c r="Q273" s="7" t="str">
        <f t="shared" si="28"/>
        <v>15.03-1-2</v>
      </c>
      <c r="R273" s="7" t="str">
        <f t="shared" si="29"/>
        <v>열기2-01.노동법\02.문제\[모의][2][15.03-1]유니온 숍 조항의 성립 요건 및 소수 노조 조합원에 대한 효력 범위.txt</v>
      </c>
      <c r="S273" s="7" t="str">
        <f t="shared" si="30"/>
        <v>A</v>
      </c>
      <c r="T273" s="7" t="str">
        <f t="shared" si="31"/>
        <v>유니온 숍 조항의 성립 요건 및 소수 노조 조합원에 대한 효력 범위</v>
      </c>
    </row>
    <row r="274" spans="2:20" ht="14.45" customHeight="1" x14ac:dyDescent="0.2">
      <c r="B274" s="31" t="s">
        <v>404</v>
      </c>
      <c r="C274" s="54" t="s">
        <v>1455</v>
      </c>
      <c r="D274" s="55" t="s">
        <v>1647</v>
      </c>
      <c r="E274" s="97" t="s">
        <v>1227</v>
      </c>
      <c r="F274" s="58" t="s">
        <v>28</v>
      </c>
      <c r="G274" s="58" t="s">
        <v>1637</v>
      </c>
      <c r="H274" s="59" t="s">
        <v>1378</v>
      </c>
      <c r="I274" s="60" t="s">
        <v>1702</v>
      </c>
      <c r="J274" s="61">
        <v>2538</v>
      </c>
      <c r="K274" s="62" t="s">
        <v>1348</v>
      </c>
      <c r="L274" s="100"/>
      <c r="M274" s="64"/>
      <c r="N274" s="65"/>
      <c r="O274" s="63" t="str">
        <f t="shared" si="27"/>
        <v>제15장 부당노동행위-제03절 반조합계약(비열계약, 황견계약)-03</v>
      </c>
      <c r="Q274" s="7" t="str">
        <f t="shared" si="28"/>
        <v>15.03-2-2</v>
      </c>
      <c r="R274" s="7" t="str">
        <f t="shared" si="29"/>
        <v>열기2-01.노동법\02.문제\[모의][2][15.03-2]탈퇴 후 신규 노조 설립 준비 중인 근로자에 대한 해고의 부당노동행위 및 부당해고 해당 여부.txt</v>
      </c>
      <c r="S274" s="7" t="str">
        <f t="shared" si="30"/>
        <v>A</v>
      </c>
      <c r="T274" s="7" t="str">
        <f t="shared" si="31"/>
        <v>탈퇴 후 신규 노조 설립 준비 중인 근로자에 대한 해고의 부당노동행위 및 부당해고 해당 여부</v>
      </c>
    </row>
    <row r="275" spans="2:20" ht="14.45" customHeight="1" x14ac:dyDescent="0.2">
      <c r="B275" s="31" t="s">
        <v>404</v>
      </c>
      <c r="C275" s="32" t="s">
        <v>482</v>
      </c>
      <c r="D275" s="33" t="s">
        <v>128</v>
      </c>
      <c r="E275" s="69" t="s">
        <v>159</v>
      </c>
      <c r="F275" s="35" t="s">
        <v>28</v>
      </c>
      <c r="G275" s="35" t="s">
        <v>1635</v>
      </c>
      <c r="H275" s="36" t="s">
        <v>201</v>
      </c>
      <c r="I275" s="6" t="s">
        <v>1009</v>
      </c>
      <c r="J275" s="37">
        <v>1806</v>
      </c>
      <c r="K275" s="38" t="s">
        <v>1382</v>
      </c>
      <c r="L275" s="298"/>
      <c r="M275" s="40"/>
      <c r="N275" s="41"/>
      <c r="O275" s="39" t="str">
        <f t="shared" si="27"/>
        <v>제15장 부당노동행위-제04절 단체교섭의 거부・해태-01</v>
      </c>
      <c r="Q275" s="7" t="str">
        <f t="shared" si="28"/>
        <v>부당노동행위-2</v>
      </c>
      <c r="R275" s="7" t="str">
        <f t="shared" si="29"/>
        <v>열기2-01.노동법\01.본문\제15장 부당노동행위.제04절 단체교섭의 거부・해태.txt</v>
      </c>
      <c r="S275" s="7" t="str">
        <f t="shared" si="30"/>
        <v>C</v>
      </c>
      <c r="T275" s="7" t="str">
        <f t="shared" si="31"/>
        <v>단체교섭의 거부・해태</v>
      </c>
    </row>
    <row r="276" spans="2:20" ht="14.45" customHeight="1" x14ac:dyDescent="0.2">
      <c r="B276" s="31" t="s">
        <v>404</v>
      </c>
      <c r="C276" s="42" t="s">
        <v>482</v>
      </c>
      <c r="D276" s="43" t="s">
        <v>1256</v>
      </c>
      <c r="E276" s="70" t="s">
        <v>1154</v>
      </c>
      <c r="F276" s="46">
        <v>2</v>
      </c>
      <c r="G276" s="46" t="s">
        <v>1636</v>
      </c>
      <c r="H276" s="47" t="s">
        <v>1189</v>
      </c>
      <c r="I276" s="48" t="s">
        <v>1190</v>
      </c>
      <c r="J276" s="49">
        <v>1997</v>
      </c>
      <c r="K276" s="50" t="s">
        <v>1382</v>
      </c>
      <c r="L276" s="68"/>
      <c r="M276" s="52"/>
      <c r="N276" s="53"/>
      <c r="O276" s="51" t="str">
        <f t="shared" si="27"/>
        <v>제15장 부당노동행위-제04절 단체교섭의 거부・해태-02</v>
      </c>
      <c r="Q276" s="7" t="str">
        <f t="shared" si="28"/>
        <v>2018-1-1-2</v>
      </c>
      <c r="R276" s="7" t="str">
        <f t="shared" si="29"/>
        <v>열기2-01.노동법\02.문제\[기출][2][2018-1-1]규약상 교섭안 마련 및 조합원 총의 수렴 조항을 이유로 한 사용자의 단체교섭 거부의 정당성 여부.txt</v>
      </c>
      <c r="S276" s="7" t="str">
        <f t="shared" si="30"/>
        <v>C</v>
      </c>
      <c r="T276" s="7" t="str">
        <f t="shared" si="31"/>
        <v>규약상 교섭안 마련 및 조합원 총의 수렴 조항을 이유로 한 사용자의 단체교섭 거부의 정당성 여부</v>
      </c>
    </row>
    <row r="277" spans="2:20" ht="14.45" customHeight="1" x14ac:dyDescent="0.2">
      <c r="B277" s="31" t="s">
        <v>404</v>
      </c>
      <c r="C277" s="42" t="s">
        <v>482</v>
      </c>
      <c r="D277" s="43" t="s">
        <v>1256</v>
      </c>
      <c r="E277" s="70" t="s">
        <v>61</v>
      </c>
      <c r="F277" s="46">
        <v>2</v>
      </c>
      <c r="G277" s="46" t="s">
        <v>1637</v>
      </c>
      <c r="H277" s="47" t="s">
        <v>1191</v>
      </c>
      <c r="I277" s="48" t="s">
        <v>1192</v>
      </c>
      <c r="J277" s="49">
        <v>2538</v>
      </c>
      <c r="K277" s="50" t="s">
        <v>1382</v>
      </c>
      <c r="L277" s="68"/>
      <c r="M277" s="52"/>
      <c r="N277" s="53"/>
      <c r="O277" s="51" t="str">
        <f t="shared" si="27"/>
        <v>제15장 부당노동행위-제04절 단체교섭의 거부・해태-03</v>
      </c>
      <c r="Q277" s="7" t="str">
        <f t="shared" si="28"/>
        <v>2018-1-2-2</v>
      </c>
      <c r="R277" s="7" t="str">
        <f t="shared" si="29"/>
        <v>열기2-01.노동법\02.문제\[기출][2][2018-1-2]법원의 가처분 결정 이후 사용자의 단체교섭 계속 거부의 불법행위 성립 여부.txt</v>
      </c>
      <c r="S277" s="7" t="str">
        <f t="shared" si="30"/>
        <v>C</v>
      </c>
      <c r="T277" s="7" t="str">
        <f t="shared" si="31"/>
        <v>법원의 가처분 결정 이후 사용자의 단체교섭 계속 거부의 불법행위 성립 여부</v>
      </c>
    </row>
    <row r="278" spans="2:20" ht="14.45" customHeight="1" x14ac:dyDescent="0.2">
      <c r="B278" s="31" t="s">
        <v>404</v>
      </c>
      <c r="C278" s="42" t="s">
        <v>482</v>
      </c>
      <c r="D278" s="43" t="s">
        <v>1256</v>
      </c>
      <c r="E278" s="70" t="s">
        <v>74</v>
      </c>
      <c r="F278" s="46">
        <v>2</v>
      </c>
      <c r="G278" s="46" t="s">
        <v>1638</v>
      </c>
      <c r="H278" s="47" t="s">
        <v>1246</v>
      </c>
      <c r="I278" s="48" t="s">
        <v>1247</v>
      </c>
      <c r="J278" s="49">
        <v>2438</v>
      </c>
      <c r="K278" s="50" t="s">
        <v>1382</v>
      </c>
      <c r="L278" s="68" t="s">
        <v>1549</v>
      </c>
      <c r="M278" s="52"/>
      <c r="N278" s="53"/>
      <c r="O278" s="51" t="str">
        <f t="shared" si="27"/>
        <v>제15장 부당노동행위-제04절 단체교섭의 거부・해태-04</v>
      </c>
      <c r="Q278" s="7" t="str">
        <f t="shared" si="28"/>
        <v>2023-1-1-2</v>
      </c>
      <c r="R278" s="7" t="str">
        <f t="shared" si="29"/>
        <v>열기2-01.노동법\02.문제\[기출][2][2023-1-1]사용자의 직장폐쇄 중 수임 상급단체의 단체교섭 요구를 계속적으로 거부한 행위의 부당노동행위 성립 여부.txt</v>
      </c>
      <c r="S278" s="7" t="str">
        <f t="shared" si="30"/>
        <v>C</v>
      </c>
      <c r="T278" s="7" t="str">
        <f t="shared" si="31"/>
        <v>사용자의 직장폐쇄 중 수임 상급단체의 단체교섭 요구를 계속적으로 거부한 행위의 부당노동행위 성립 여부</v>
      </c>
    </row>
    <row r="279" spans="2:20" ht="14.45" customHeight="1" x14ac:dyDescent="0.2">
      <c r="B279" s="31" t="s">
        <v>404</v>
      </c>
      <c r="C279" s="54" t="s">
        <v>482</v>
      </c>
      <c r="D279" s="55" t="s">
        <v>308</v>
      </c>
      <c r="E279" s="71" t="s">
        <v>1536</v>
      </c>
      <c r="F279" s="58" t="s">
        <v>28</v>
      </c>
      <c r="G279" s="57" t="s">
        <v>1639</v>
      </c>
      <c r="H279" s="59" t="s">
        <v>1259</v>
      </c>
      <c r="I279" s="60" t="s">
        <v>1260</v>
      </c>
      <c r="J279" s="61">
        <v>2276</v>
      </c>
      <c r="K279" s="62" t="s">
        <v>1382</v>
      </c>
      <c r="L279" s="100"/>
      <c r="M279" s="64"/>
      <c r="N279" s="65"/>
      <c r="O279" s="63" t="str">
        <f t="shared" si="27"/>
        <v>제15장 부당노동행위-제04절 단체교섭의 거부・해태-05</v>
      </c>
      <c r="Q279" s="7" t="str">
        <f t="shared" si="28"/>
        <v>광주고등법원 2025.02.05. 자 2024라1091 결정-2</v>
      </c>
      <c r="R279" s="7" t="str">
        <f t="shared" si="29"/>
        <v>열기2-01.노동법\03.판례\[광주고등법원 2025.02.05. 자 2024라1091 결정]단체교섭응낙가처분의 인정 여부.txt</v>
      </c>
      <c r="S279" s="7" t="str">
        <f t="shared" si="30"/>
        <v>C</v>
      </c>
      <c r="T279" s="7" t="str">
        <f t="shared" si="31"/>
        <v>단체교섭응낙가처분의 인정 여부</v>
      </c>
    </row>
    <row r="280" spans="2:20" ht="14.45" customHeight="1" x14ac:dyDescent="0.2">
      <c r="B280" s="31" t="s">
        <v>404</v>
      </c>
      <c r="C280" s="32" t="s">
        <v>492</v>
      </c>
      <c r="D280" s="33" t="s">
        <v>128</v>
      </c>
      <c r="E280" s="69" t="s">
        <v>159</v>
      </c>
      <c r="F280" s="35" t="s">
        <v>28</v>
      </c>
      <c r="G280" s="35" t="s">
        <v>1635</v>
      </c>
      <c r="H280" s="36" t="s">
        <v>202</v>
      </c>
      <c r="I280" s="6" t="s">
        <v>1010</v>
      </c>
      <c r="J280" s="37">
        <v>2379</v>
      </c>
      <c r="K280" s="38" t="s">
        <v>1348</v>
      </c>
      <c r="L280" s="298"/>
      <c r="M280" s="40"/>
      <c r="N280" s="41"/>
      <c r="O280" s="39" t="str">
        <f t="shared" si="27"/>
        <v>제15장 부당노동행위-제05절 지배・개입-01</v>
      </c>
      <c r="Q280" s="7" t="str">
        <f t="shared" si="28"/>
        <v>부당노동행위-2</v>
      </c>
      <c r="R280" s="7" t="str">
        <f t="shared" si="29"/>
        <v>열기2-01.노동법\01.본문\제15장 부당노동행위.제05절 지배・개입.txt</v>
      </c>
      <c r="S280" s="7" t="str">
        <f t="shared" si="30"/>
        <v>A</v>
      </c>
      <c r="T280" s="7" t="str">
        <f t="shared" si="31"/>
        <v>지배・개입</v>
      </c>
    </row>
    <row r="281" spans="2:20" ht="14.45" customHeight="1" x14ac:dyDescent="0.2">
      <c r="B281" s="31" t="s">
        <v>404</v>
      </c>
      <c r="C281" s="42" t="s">
        <v>492</v>
      </c>
      <c r="D281" s="43" t="s">
        <v>1256</v>
      </c>
      <c r="E281" s="70" t="s">
        <v>65</v>
      </c>
      <c r="F281" s="46">
        <v>2</v>
      </c>
      <c r="G281" s="46" t="s">
        <v>1636</v>
      </c>
      <c r="H281" s="47" t="s">
        <v>30</v>
      </c>
      <c r="I281" s="48" t="s">
        <v>929</v>
      </c>
      <c r="J281" s="49">
        <v>2130</v>
      </c>
      <c r="K281" s="50" t="s">
        <v>1348</v>
      </c>
      <c r="L281" s="68"/>
      <c r="M281" s="52"/>
      <c r="N281" s="53"/>
      <c r="O281" s="51" t="str">
        <f t="shared" si="27"/>
        <v>제15장 부당노동행위-제05절 지배・개입-02</v>
      </c>
      <c r="Q281" s="7" t="str">
        <f t="shared" si="28"/>
        <v>2014-2-2</v>
      </c>
      <c r="R281" s="7" t="str">
        <f t="shared" si="29"/>
        <v>열기2-01.노동법\02.문제\[기출][2][2014-2]사용자의 언론의 자유와 부당노동행위의 관계.txt</v>
      </c>
      <c r="S281" s="7" t="str">
        <f t="shared" si="30"/>
        <v>A</v>
      </c>
      <c r="T281" s="7" t="str">
        <f t="shared" si="31"/>
        <v>사용자의 언론의 자유와 부당노동행위의 관계</v>
      </c>
    </row>
    <row r="282" spans="2:20" ht="14.45" customHeight="1" x14ac:dyDescent="0.2">
      <c r="B282" s="31" t="s">
        <v>404</v>
      </c>
      <c r="C282" s="42" t="s">
        <v>492</v>
      </c>
      <c r="D282" s="43" t="s">
        <v>1256</v>
      </c>
      <c r="E282" s="70" t="s">
        <v>66</v>
      </c>
      <c r="F282" s="46">
        <v>2</v>
      </c>
      <c r="G282" s="46" t="s">
        <v>1637</v>
      </c>
      <c r="H282" s="47" t="s">
        <v>1397</v>
      </c>
      <c r="I282" s="48" t="s">
        <v>1398</v>
      </c>
      <c r="J282" s="49">
        <v>1996</v>
      </c>
      <c r="K282" s="50" t="s">
        <v>1348</v>
      </c>
      <c r="L282" s="68"/>
      <c r="M282" s="52"/>
      <c r="N282" s="53"/>
      <c r="O282" s="51" t="str">
        <f t="shared" si="27"/>
        <v>제15장 부당노동행위-제05절 지배・개입-03</v>
      </c>
      <c r="Q282" s="7" t="str">
        <f t="shared" si="28"/>
        <v>2016-1-1-2</v>
      </c>
      <c r="R282" s="7" t="str">
        <f t="shared" si="29"/>
        <v>열기2-01.노동법\02.문제\[기출][2][2016-1-1]무효인 단체협약을 근거로 지급되던 노동조합 운영비 지급 중단의 정당성.txt</v>
      </c>
      <c r="S282" s="7" t="str">
        <f t="shared" si="30"/>
        <v>A</v>
      </c>
      <c r="T282" s="7" t="str">
        <f t="shared" si="31"/>
        <v>무효인 단체협약을 근거로 지급되던 노동조합 운영비 지급 중단의 정당성</v>
      </c>
    </row>
    <row r="283" spans="2:20" ht="14.45" customHeight="1" x14ac:dyDescent="0.2">
      <c r="B283" s="31" t="s">
        <v>404</v>
      </c>
      <c r="C283" s="42" t="s">
        <v>492</v>
      </c>
      <c r="D283" s="43" t="s">
        <v>1256</v>
      </c>
      <c r="E283" s="70" t="s">
        <v>1170</v>
      </c>
      <c r="F283" s="46">
        <v>2</v>
      </c>
      <c r="G283" s="46" t="s">
        <v>1638</v>
      </c>
      <c r="H283" s="47" t="s">
        <v>1193</v>
      </c>
      <c r="I283" s="48" t="s">
        <v>1194</v>
      </c>
      <c r="J283" s="49">
        <v>1607</v>
      </c>
      <c r="K283" s="50" t="s">
        <v>1348</v>
      </c>
      <c r="L283" s="68"/>
      <c r="M283" s="52"/>
      <c r="N283" s="53"/>
      <c r="O283" s="51" t="str">
        <f t="shared" si="27"/>
        <v>제15장 부당노동행위-제05절 지배・개입-04</v>
      </c>
      <c r="Q283" s="7" t="str">
        <f t="shared" si="28"/>
        <v>2017-2-2</v>
      </c>
      <c r="R283" s="7" t="str">
        <f t="shared" si="29"/>
        <v>열기2-01.노동법\02.문제\[기출][2][2017-2]근로시간면제한도를 현저히 초과하여 체결한 단체협약의 부당노동행위 성립 여부.txt</v>
      </c>
      <c r="S283" s="7" t="str">
        <f t="shared" si="30"/>
        <v>A</v>
      </c>
      <c r="T283" s="7" t="str">
        <f t="shared" si="31"/>
        <v>근로시간면제한도를 현저히 초과하여 체결한 단체협약의 부당노동행위 성립 여부</v>
      </c>
    </row>
    <row r="284" spans="2:20" ht="14.45" customHeight="1" x14ac:dyDescent="0.2">
      <c r="B284" s="31" t="s">
        <v>404</v>
      </c>
      <c r="C284" s="54" t="s">
        <v>492</v>
      </c>
      <c r="D284" s="55" t="s">
        <v>1256</v>
      </c>
      <c r="E284" s="97" t="s">
        <v>85</v>
      </c>
      <c r="F284" s="58">
        <v>2</v>
      </c>
      <c r="G284" s="58" t="s">
        <v>1639</v>
      </c>
      <c r="H284" s="59" t="s">
        <v>1184</v>
      </c>
      <c r="I284" s="60" t="s">
        <v>1181</v>
      </c>
      <c r="J284" s="61">
        <v>3964</v>
      </c>
      <c r="K284" s="62" t="s">
        <v>1348</v>
      </c>
      <c r="L284" s="100" t="s">
        <v>1718</v>
      </c>
      <c r="M284" s="64"/>
      <c r="N284" s="65"/>
      <c r="O284" s="63" t="str">
        <f t="shared" si="27"/>
        <v>제15장 부당노동행위-제05절 지배・개입-05</v>
      </c>
      <c r="Q284" s="7" t="str">
        <f t="shared" si="28"/>
        <v>2020-1-2-2</v>
      </c>
      <c r="R284" s="7" t="str">
        <f t="shared" si="29"/>
        <v>열기2-01.노동법\02.문제\[기출][2][2020-1-2]대체인력 투입의 지배・개입 부당노동행위 성립 여부.txt</v>
      </c>
      <c r="S284" s="7" t="str">
        <f t="shared" si="30"/>
        <v>A</v>
      </c>
      <c r="T284" s="7" t="str">
        <f t="shared" si="31"/>
        <v>대체인력 투입의 지배・개입 부당노동행위 성립 여부</v>
      </c>
    </row>
    <row r="285" spans="2:20" ht="14.45" customHeight="1" x14ac:dyDescent="0.2">
      <c r="B285" s="31" t="s">
        <v>404</v>
      </c>
      <c r="C285" s="32" t="s">
        <v>467</v>
      </c>
      <c r="D285" s="33" t="s">
        <v>128</v>
      </c>
      <c r="E285" s="69" t="s">
        <v>159</v>
      </c>
      <c r="F285" s="35" t="s">
        <v>28</v>
      </c>
      <c r="G285" s="35" t="s">
        <v>1635</v>
      </c>
      <c r="H285" s="36" t="s">
        <v>203</v>
      </c>
      <c r="I285" s="6" t="s">
        <v>1011</v>
      </c>
      <c r="J285" s="37">
        <v>1204</v>
      </c>
      <c r="K285" s="38" t="s">
        <v>1382</v>
      </c>
      <c r="L285" s="298"/>
      <c r="M285" s="40"/>
      <c r="N285" s="41"/>
      <c r="O285" s="39" t="str">
        <f t="shared" si="27"/>
        <v>제15장 부당노동행위-제06절 부당노동행위에 대한 구제-01</v>
      </c>
      <c r="Q285" s="7" t="str">
        <f t="shared" si="28"/>
        <v>부당노동행위-2</v>
      </c>
      <c r="R285" s="7" t="str">
        <f t="shared" si="29"/>
        <v>열기2-01.노동법\01.본문\제15장 부당노동행위.제06절 부당노동행위에 대한 구제.txt</v>
      </c>
      <c r="S285" s="7" t="str">
        <f t="shared" si="30"/>
        <v>C</v>
      </c>
      <c r="T285" s="7" t="str">
        <f t="shared" si="31"/>
        <v>부당노동행위에 대한 구제</v>
      </c>
    </row>
    <row r="286" spans="2:20" ht="14.45" customHeight="1" x14ac:dyDescent="0.2">
      <c r="B286" s="31" t="s">
        <v>404</v>
      </c>
      <c r="C286" s="102" t="s">
        <v>467</v>
      </c>
      <c r="D286" s="43" t="s">
        <v>1256</v>
      </c>
      <c r="E286" s="70" t="s">
        <v>237</v>
      </c>
      <c r="F286" s="46" t="s">
        <v>31</v>
      </c>
      <c r="G286" s="46" t="s">
        <v>1636</v>
      </c>
      <c r="H286" s="47" t="s">
        <v>1117</v>
      </c>
      <c r="I286" s="48" t="s">
        <v>1118</v>
      </c>
      <c r="J286" s="49">
        <v>2588</v>
      </c>
      <c r="K286" s="50" t="s">
        <v>1382</v>
      </c>
      <c r="L286" s="68" t="s">
        <v>1552</v>
      </c>
      <c r="M286" s="52"/>
      <c r="N286" s="53"/>
      <c r="O286" s="51" t="str">
        <f t="shared" si="27"/>
        <v>제15장 부당노동행위-제06절 부당노동행위에 대한 구제-02</v>
      </c>
      <c r="Q286" s="7" t="str">
        <f t="shared" si="28"/>
        <v>2011-2-1</v>
      </c>
      <c r="R286" s="7" t="str">
        <f t="shared" si="29"/>
        <v>열기2-01.노동법\02.문제\[기출][1][2011-2]기간제 근로자와 회사가 주장할 수 있는 해고 관련 노동법상 쟁점(해고의 절차 및 구제신청의 이익).txt</v>
      </c>
      <c r="S286" s="7" t="str">
        <f t="shared" si="30"/>
        <v>C</v>
      </c>
      <c r="T286" s="7" t="str">
        <f t="shared" si="31"/>
        <v>기간제 근로자와 회사가 주장할 수 있는 해고 관련 노동법상 쟁점(해고의 절차 및 구제신청의 이익)</v>
      </c>
    </row>
    <row r="287" spans="2:20" ht="14.45" customHeight="1" x14ac:dyDescent="0.2">
      <c r="B287" s="31" t="s">
        <v>404</v>
      </c>
      <c r="C287" s="102" t="s">
        <v>467</v>
      </c>
      <c r="D287" s="43" t="s">
        <v>1256</v>
      </c>
      <c r="E287" s="70" t="s">
        <v>1178</v>
      </c>
      <c r="F287" s="46">
        <v>2</v>
      </c>
      <c r="G287" s="46" t="s">
        <v>1637</v>
      </c>
      <c r="H287" s="47" t="s">
        <v>1342</v>
      </c>
      <c r="I287" s="48" t="s">
        <v>1195</v>
      </c>
      <c r="J287" s="49">
        <v>4082</v>
      </c>
      <c r="K287" s="50" t="s">
        <v>1382</v>
      </c>
      <c r="L287" s="68" t="s">
        <v>1711</v>
      </c>
      <c r="M287" s="52"/>
      <c r="N287" s="53"/>
      <c r="O287" s="51" t="str">
        <f t="shared" si="27"/>
        <v>제15장 부당노동행위-제06절 부당노동행위에 대한 구제-03</v>
      </c>
      <c r="Q287" s="7" t="str">
        <f t="shared" si="28"/>
        <v>2025-1-2-2</v>
      </c>
      <c r="R287" s="7" t="str">
        <f t="shared" si="29"/>
        <v>열기2-01.노동법\02.문제\[기출][2][2025-1-2]하위 인사고과 부여 및 이에 따른 임금 감액의 부당노동행위 구제신청기간 도과 여부.txt</v>
      </c>
      <c r="S287" s="7" t="str">
        <f t="shared" si="30"/>
        <v>C</v>
      </c>
      <c r="T287" s="7" t="str">
        <f t="shared" si="31"/>
        <v>하위 인사고과 부여 및 이에 따른 임금 감액의 부당노동행위 구제신청기간 도과 여부+</v>
      </c>
    </row>
    <row r="288" spans="2:20" ht="14.45" customHeight="1" x14ac:dyDescent="0.2">
      <c r="B288" s="31" t="s">
        <v>404</v>
      </c>
      <c r="C288" s="102" t="s">
        <v>467</v>
      </c>
      <c r="D288" s="43" t="s">
        <v>308</v>
      </c>
      <c r="E288" s="73" t="s">
        <v>1537</v>
      </c>
      <c r="F288" s="46" t="s">
        <v>28</v>
      </c>
      <c r="G288" s="45" t="s">
        <v>1638</v>
      </c>
      <c r="H288" s="47" t="s">
        <v>340</v>
      </c>
      <c r="I288" s="48" t="s">
        <v>1294</v>
      </c>
      <c r="J288" s="49">
        <v>4716</v>
      </c>
      <c r="K288" s="50" t="s">
        <v>1382</v>
      </c>
      <c r="L288" s="68"/>
      <c r="M288" s="52"/>
      <c r="N288" s="53"/>
      <c r="O288" s="51" t="str">
        <f t="shared" si="27"/>
        <v>제15장 부당노동행위-제06절 부당노동행위에 대한 구제-04</v>
      </c>
      <c r="Q288" s="7" t="str">
        <f t="shared" si="28"/>
        <v>대법원 2025.04.03. 선고 2023두41864, 41871 판결-2</v>
      </c>
      <c r="R288" s="7" t="str">
        <f t="shared" si="29"/>
        <v>열기2-01.노동법\03.판례\[대법원 2025.04.03. 선고 2023두41864, 41871 판결]차별적 인사고과에 대한 부당노동행위 구제신청기간의 산정기준과 방법(계속하는 행위).txt</v>
      </c>
      <c r="S288" s="7" t="str">
        <f t="shared" si="30"/>
        <v>C</v>
      </c>
      <c r="T288" s="7" t="str">
        <f t="shared" si="31"/>
        <v>차별적 인사고과에 대한 부당노동행위 구제신청기간의 산정기준과 방법(계속하는 행위)</v>
      </c>
    </row>
    <row r="289" spans="2:20" ht="14.45" customHeight="1" thickBot="1" x14ac:dyDescent="0.25">
      <c r="B289" s="74" t="s">
        <v>404</v>
      </c>
      <c r="C289" s="103" t="s">
        <v>467</v>
      </c>
      <c r="D289" s="76" t="s">
        <v>308</v>
      </c>
      <c r="E289" s="98" t="s">
        <v>1538</v>
      </c>
      <c r="F289" s="78" t="s">
        <v>28</v>
      </c>
      <c r="G289" s="99" t="s">
        <v>1639</v>
      </c>
      <c r="H289" s="79" t="s">
        <v>352</v>
      </c>
      <c r="I289" s="80" t="s">
        <v>1295</v>
      </c>
      <c r="J289" s="81">
        <v>4592</v>
      </c>
      <c r="K289" s="82" t="s">
        <v>1382</v>
      </c>
      <c r="L289" s="161"/>
      <c r="M289" s="84"/>
      <c r="N289" s="85"/>
      <c r="O289" s="83" t="str">
        <f t="shared" si="27"/>
        <v>제15장 부당노동행위-제06절 부당노동행위에 대한 구제-05</v>
      </c>
      <c r="Q289" s="7" t="str">
        <f t="shared" si="28"/>
        <v>서울행정법원 2025.08.29. 선고 2024구합65959 판결-2</v>
      </c>
      <c r="R289" s="7" t="str">
        <f t="shared" si="29"/>
        <v>열기2-01.노동법\03.판례\[서울행정법원 2025.08.29. 선고 2024구합65959 판결]승진 탈락과 이로 인한 임금상 불이익의 부당노동행위.txt</v>
      </c>
      <c r="S289" s="7" t="str">
        <f t="shared" si="30"/>
        <v>C</v>
      </c>
      <c r="T289" s="7" t="str">
        <f t="shared" si="31"/>
        <v>승진 탈락과 이로 인한 임금상 불이익의 부당노동행위</v>
      </c>
    </row>
    <row r="290" spans="2:20" ht="14.45" customHeight="1" x14ac:dyDescent="0.2">
      <c r="B290" s="19" t="s">
        <v>420</v>
      </c>
      <c r="C290" s="20" t="s">
        <v>1489</v>
      </c>
      <c r="D290" s="21" t="s">
        <v>518</v>
      </c>
      <c r="E290" s="22" t="s">
        <v>160</v>
      </c>
      <c r="F290" s="23" t="s">
        <v>31</v>
      </c>
      <c r="G290" s="23" t="s">
        <v>1635</v>
      </c>
      <c r="H290" s="24" t="s">
        <v>396</v>
      </c>
      <c r="I290" s="25" t="s">
        <v>1234</v>
      </c>
      <c r="J290" s="26">
        <v>28665</v>
      </c>
      <c r="K290" s="27" t="s">
        <v>1382</v>
      </c>
      <c r="L290" s="297"/>
      <c r="M290" s="29"/>
      <c r="N290" s="30"/>
      <c r="O290" s="28" t="str">
        <f t="shared" si="27"/>
        <v>제16장 부속법령-제01절 근기법-01</v>
      </c>
      <c r="Q290" s="7" t="str">
        <f t="shared" si="28"/>
        <v>부속법령-1</v>
      </c>
      <c r="R290" s="7" t="str">
        <f t="shared" si="29"/>
        <v>열기3-01.관련법령\01.노동법1\01-1.근로기준법(법률).txt</v>
      </c>
      <c r="S290" s="7" t="str">
        <f t="shared" si="30"/>
        <v>C</v>
      </c>
      <c r="T290" s="7" t="str">
        <f t="shared" si="31"/>
        <v>근로기준법</v>
      </c>
    </row>
    <row r="291" spans="2:20" ht="14.45" customHeight="1" x14ac:dyDescent="0.2">
      <c r="B291" s="31" t="s">
        <v>420</v>
      </c>
      <c r="C291" s="162" t="s">
        <v>1490</v>
      </c>
      <c r="D291" s="163" t="s">
        <v>518</v>
      </c>
      <c r="E291" s="164" t="s">
        <v>519</v>
      </c>
      <c r="F291" s="165" t="s">
        <v>31</v>
      </c>
      <c r="G291" s="165" t="s">
        <v>1635</v>
      </c>
      <c r="H291" s="166" t="s">
        <v>520</v>
      </c>
      <c r="I291" s="167" t="s">
        <v>1040</v>
      </c>
      <c r="J291" s="168">
        <v>12360</v>
      </c>
      <c r="K291" s="169" t="s">
        <v>1382</v>
      </c>
      <c r="L291" s="303"/>
      <c r="M291" s="171"/>
      <c r="N291" s="172"/>
      <c r="O291" s="170" t="str">
        <f t="shared" si="27"/>
        <v>제16장 부속법령-제02절 파견법-01</v>
      </c>
      <c r="Q291" s="7" t="str">
        <f t="shared" si="28"/>
        <v>부속법령-1</v>
      </c>
      <c r="R291" s="7" t="str">
        <f t="shared" si="29"/>
        <v>열기3-01.관련법령\01.노동법1\07-1.파견근로자 보호 등에 관한 법률(법률).txt</v>
      </c>
      <c r="S291" s="7" t="str">
        <f t="shared" si="30"/>
        <v>C</v>
      </c>
      <c r="T291" s="7" t="str">
        <f t="shared" si="31"/>
        <v>파견근로자 보호 등에 관한 법률</v>
      </c>
    </row>
    <row r="292" spans="2:20" ht="14.45" customHeight="1" x14ac:dyDescent="0.2">
      <c r="B292" s="31" t="s">
        <v>420</v>
      </c>
      <c r="C292" s="162" t="s">
        <v>1491</v>
      </c>
      <c r="D292" s="163" t="s">
        <v>518</v>
      </c>
      <c r="E292" s="164" t="s">
        <v>160</v>
      </c>
      <c r="F292" s="165" t="s">
        <v>31</v>
      </c>
      <c r="G292" s="165" t="s">
        <v>1635</v>
      </c>
      <c r="H292" s="166" t="s">
        <v>206</v>
      </c>
      <c r="I292" s="167" t="s">
        <v>1043</v>
      </c>
      <c r="J292" s="168">
        <v>5710</v>
      </c>
      <c r="K292" s="169" t="s">
        <v>1382</v>
      </c>
      <c r="L292" s="303"/>
      <c r="M292" s="171"/>
      <c r="N292" s="172"/>
      <c r="O292" s="170" t="str">
        <f t="shared" si="27"/>
        <v>제16장 부속법령-제03절 기단법-01</v>
      </c>
      <c r="Q292" s="7" t="str">
        <f t="shared" si="28"/>
        <v>부속법령-1</v>
      </c>
      <c r="R292" s="7" t="str">
        <f t="shared" si="29"/>
        <v>열기3-01.관련법령\01.노동법1\11-1.기간제 및 단시간근로자 보호 등에 관한 법률(법률).txt</v>
      </c>
      <c r="S292" s="7" t="str">
        <f t="shared" si="30"/>
        <v>C</v>
      </c>
      <c r="T292" s="7" t="str">
        <f t="shared" si="31"/>
        <v>기간제 및 단시간근로자 보호 등에 관한 법률</v>
      </c>
    </row>
    <row r="293" spans="2:20" ht="14.45" customHeight="1" x14ac:dyDescent="0.2">
      <c r="B293" s="31" t="s">
        <v>420</v>
      </c>
      <c r="C293" s="32" t="s">
        <v>1492</v>
      </c>
      <c r="D293" s="33" t="s">
        <v>518</v>
      </c>
      <c r="E293" s="69" t="s">
        <v>160</v>
      </c>
      <c r="F293" s="35" t="s">
        <v>31</v>
      </c>
      <c r="G293" s="35" t="s">
        <v>1635</v>
      </c>
      <c r="H293" s="36" t="s">
        <v>204</v>
      </c>
      <c r="I293" s="6" t="s">
        <v>1046</v>
      </c>
      <c r="J293" s="37">
        <v>64350</v>
      </c>
      <c r="K293" s="38" t="s">
        <v>1382</v>
      </c>
      <c r="L293" s="298"/>
      <c r="M293" s="40"/>
      <c r="N293" s="41"/>
      <c r="O293" s="39" t="str">
        <f t="shared" si="27"/>
        <v>제16장 부속법령-제04절 산안법-01</v>
      </c>
      <c r="Q293" s="7" t="str">
        <f t="shared" si="28"/>
        <v>부속법령-1</v>
      </c>
      <c r="R293" s="7" t="str">
        <f t="shared" si="29"/>
        <v>열기3-01.관련법령\01.노동법1\03-1.산업안전보건법(법률).txt</v>
      </c>
      <c r="S293" s="7" t="str">
        <f t="shared" si="30"/>
        <v>C</v>
      </c>
      <c r="T293" s="7" t="str">
        <f t="shared" si="31"/>
        <v>산업안전보건법</v>
      </c>
    </row>
    <row r="294" spans="2:20" ht="14.45" customHeight="1" x14ac:dyDescent="0.2">
      <c r="B294" s="31" t="s">
        <v>420</v>
      </c>
      <c r="C294" s="42" t="s">
        <v>1492</v>
      </c>
      <c r="D294" s="43" t="s">
        <v>1256</v>
      </c>
      <c r="E294" s="70" t="s">
        <v>87</v>
      </c>
      <c r="F294" s="46" t="s">
        <v>31</v>
      </c>
      <c r="G294" s="46" t="s">
        <v>1636</v>
      </c>
      <c r="H294" s="47" t="s">
        <v>1196</v>
      </c>
      <c r="I294" s="48" t="s">
        <v>1197</v>
      </c>
      <c r="J294" s="49">
        <v>2716</v>
      </c>
      <c r="K294" s="50" t="s">
        <v>1382</v>
      </c>
      <c r="L294" s="68"/>
      <c r="M294" s="52"/>
      <c r="N294" s="53"/>
      <c r="O294" s="51" t="str">
        <f t="shared" si="27"/>
        <v>제16장 부속법령-제04절 산안법-02</v>
      </c>
      <c r="Q294" s="7" t="str">
        <f t="shared" si="28"/>
        <v>2025-2-1</v>
      </c>
      <c r="R294" s="7" t="str">
        <f t="shared" si="29"/>
        <v>열기2-01.노동법\02.문제\[기출][1][2025-2]화학물질 누출 사고에 따른 근로자 및 노동조합 위원장의 작업중지권 행사의 정당성 여부.txt</v>
      </c>
      <c r="S294" s="7" t="str">
        <f t="shared" si="30"/>
        <v>C</v>
      </c>
      <c r="T294" s="7" t="str">
        <f t="shared" si="31"/>
        <v>화학물질 누출 사고에 따른 근로자 및 노동조합 위원장의 작업중지권 행사의 정당성 여부</v>
      </c>
    </row>
    <row r="295" spans="2:20" ht="14.45" customHeight="1" x14ac:dyDescent="0.2">
      <c r="B295" s="31" t="s">
        <v>420</v>
      </c>
      <c r="C295" s="42" t="s">
        <v>1492</v>
      </c>
      <c r="D295" s="43" t="s">
        <v>308</v>
      </c>
      <c r="E295" s="73" t="s">
        <v>1539</v>
      </c>
      <c r="F295" s="46" t="s">
        <v>31</v>
      </c>
      <c r="G295" s="45" t="s">
        <v>1637</v>
      </c>
      <c r="H295" s="47" t="s">
        <v>309</v>
      </c>
      <c r="I295" s="48" t="s">
        <v>1296</v>
      </c>
      <c r="J295" s="49">
        <v>3065</v>
      </c>
      <c r="K295" s="50" t="s">
        <v>1382</v>
      </c>
      <c r="L295" s="68"/>
      <c r="M295" s="52"/>
      <c r="N295" s="53"/>
      <c r="O295" s="51" t="str">
        <f t="shared" si="27"/>
        <v>제16장 부속법령-제04절 산안법-03</v>
      </c>
      <c r="Q295" s="7" t="str">
        <f t="shared" si="28"/>
        <v>대법원 2024.11.14. 선고 2023도14674 판결-1</v>
      </c>
      <c r="R295" s="7" t="str">
        <f t="shared" si="29"/>
        <v>열기2-01.노동법\03.판례\[대법원 2024.11.14. 선고 2023도14674 판결]산업안전보건법상 건설공사발주자와 도급인의 구별 기준.txt</v>
      </c>
      <c r="S295" s="7" t="str">
        <f t="shared" si="30"/>
        <v>C</v>
      </c>
      <c r="T295" s="7" t="str">
        <f t="shared" si="31"/>
        <v>산업안전보건법상 건설공사발주자와 도급인의 구별 기준</v>
      </c>
    </row>
    <row r="296" spans="2:20" ht="14.45" customHeight="1" x14ac:dyDescent="0.2">
      <c r="B296" s="31" t="s">
        <v>420</v>
      </c>
      <c r="C296" s="54" t="s">
        <v>1492</v>
      </c>
      <c r="D296" s="55" t="s">
        <v>308</v>
      </c>
      <c r="E296" s="71" t="s">
        <v>1540</v>
      </c>
      <c r="F296" s="58" t="s">
        <v>31</v>
      </c>
      <c r="G296" s="57" t="s">
        <v>1638</v>
      </c>
      <c r="H296" s="59" t="s">
        <v>356</v>
      </c>
      <c r="I296" s="60" t="s">
        <v>1297</v>
      </c>
      <c r="J296" s="61">
        <v>3751</v>
      </c>
      <c r="K296" s="62" t="s">
        <v>1382</v>
      </c>
      <c r="L296" s="100"/>
      <c r="M296" s="64"/>
      <c r="N296" s="65"/>
      <c r="O296" s="63" t="str">
        <f t="shared" si="27"/>
        <v>제16장 부속법령-제04절 산안법-04</v>
      </c>
      <c r="Q296" s="7" t="str">
        <f t="shared" si="28"/>
        <v>대법원 2025.09.26. 선고 2025도10267 판결-1</v>
      </c>
      <c r="R296" s="7" t="str">
        <f t="shared" si="29"/>
        <v>열기2-01.노동법\03.판례\[대법원 2025.09.26. 선고 2025도10267 판결]안전 의무 위반으로 인한 근로자 사망 사고에서의 산업안전보건법, 중대재해 처벌 등에 관한 법률 위반 판단.txt</v>
      </c>
      <c r="S296" s="7" t="str">
        <f t="shared" si="30"/>
        <v>C</v>
      </c>
      <c r="T296" s="7" t="str">
        <f t="shared" si="31"/>
        <v>안전 의무 위반으로 인한 근로자 사망 사고에서의 산업안전보건법, 중대재해 처벌 등에 관한 법률 위반 판단</v>
      </c>
    </row>
    <row r="297" spans="2:20" ht="14.45" customHeight="1" x14ac:dyDescent="0.2">
      <c r="B297" s="31" t="s">
        <v>420</v>
      </c>
      <c r="C297" s="162" t="s">
        <v>1493</v>
      </c>
      <c r="D297" s="163" t="s">
        <v>518</v>
      </c>
      <c r="E297" s="164" t="s">
        <v>160</v>
      </c>
      <c r="F297" s="165" t="s">
        <v>31</v>
      </c>
      <c r="G297" s="165" t="s">
        <v>1635</v>
      </c>
      <c r="H297" s="166" t="s">
        <v>212</v>
      </c>
      <c r="I297" s="167" t="s">
        <v>1049</v>
      </c>
      <c r="J297" s="168">
        <v>44743</v>
      </c>
      <c r="K297" s="169" t="s">
        <v>1382</v>
      </c>
      <c r="L297" s="303"/>
      <c r="M297" s="171"/>
      <c r="N297" s="172"/>
      <c r="O297" s="170" t="str">
        <f t="shared" si="27"/>
        <v>제16장 부속법령-제05절 산재법-01</v>
      </c>
      <c r="Q297" s="7" t="str">
        <f t="shared" si="28"/>
        <v>부속법령-1</v>
      </c>
      <c r="R297" s="7" t="str">
        <f t="shared" si="29"/>
        <v>열기3-01.관련법령\04.사회보험법\03-1.산업재해보상보험법(법률).txt</v>
      </c>
      <c r="S297" s="7" t="str">
        <f t="shared" si="30"/>
        <v>C</v>
      </c>
      <c r="T297" s="7" t="str">
        <f t="shared" si="31"/>
        <v>산업재해보상보험법</v>
      </c>
    </row>
    <row r="298" spans="2:20" ht="14.45" customHeight="1" x14ac:dyDescent="0.2">
      <c r="B298" s="31" t="s">
        <v>420</v>
      </c>
      <c r="C298" s="32" t="s">
        <v>1494</v>
      </c>
      <c r="D298" s="33" t="s">
        <v>518</v>
      </c>
      <c r="E298" s="69" t="s">
        <v>160</v>
      </c>
      <c r="F298" s="35" t="s">
        <v>31</v>
      </c>
      <c r="G298" s="35" t="s">
        <v>1635</v>
      </c>
      <c r="H298" s="36" t="s">
        <v>211</v>
      </c>
      <c r="I298" s="6" t="s">
        <v>1052</v>
      </c>
      <c r="J298" s="37">
        <v>46832</v>
      </c>
      <c r="K298" s="38" t="s">
        <v>1382</v>
      </c>
      <c r="L298" s="298"/>
      <c r="M298" s="40"/>
      <c r="N298" s="41"/>
      <c r="O298" s="39" t="str">
        <f t="shared" si="27"/>
        <v>제16장 부속법령-제06절 고보법-01</v>
      </c>
      <c r="Q298" s="7" t="str">
        <f t="shared" si="28"/>
        <v>부속법령-1</v>
      </c>
      <c r="R298" s="7" t="str">
        <f t="shared" si="29"/>
        <v>열기3-01.관련법령\04.사회보험법\02-1.고용보험법(법률).txt</v>
      </c>
      <c r="S298" s="7" t="str">
        <f t="shared" si="30"/>
        <v>C</v>
      </c>
      <c r="T298" s="7" t="str">
        <f t="shared" si="31"/>
        <v>고용보험법</v>
      </c>
    </row>
    <row r="299" spans="2:20" ht="14.45" customHeight="1" x14ac:dyDescent="0.2">
      <c r="B299" s="31" t="s">
        <v>420</v>
      </c>
      <c r="C299" s="42" t="s">
        <v>1494</v>
      </c>
      <c r="D299" s="43" t="s">
        <v>1256</v>
      </c>
      <c r="E299" s="70" t="s">
        <v>89</v>
      </c>
      <c r="F299" s="46" t="s">
        <v>31</v>
      </c>
      <c r="G299" s="46" t="s">
        <v>1636</v>
      </c>
      <c r="H299" s="47" t="s">
        <v>1343</v>
      </c>
      <c r="I299" s="48" t="s">
        <v>1344</v>
      </c>
      <c r="J299" s="49">
        <v>1696</v>
      </c>
      <c r="K299" s="50" t="s">
        <v>1383</v>
      </c>
      <c r="L299" s="68"/>
      <c r="M299" s="52"/>
      <c r="N299" s="53"/>
      <c r="O299" s="51" t="str">
        <f t="shared" si="27"/>
        <v>제16장 부속법령-제06절 고보법-02</v>
      </c>
      <c r="Q299" s="7" t="str">
        <f t="shared" si="28"/>
        <v>2009-2-2-1</v>
      </c>
      <c r="R299" s="7" t="str">
        <f t="shared" si="29"/>
        <v>열기2-01.노동법\02.문제\[기출][1][2009-2-2]고용보험법상 육아휴직 급여의 의의, 지급 요건, 지급 기간 및 금액, 특례 및 기타 사항.txt</v>
      </c>
      <c r="S299" s="7" t="str">
        <f t="shared" si="30"/>
        <v>B</v>
      </c>
      <c r="T299" s="7" t="str">
        <f t="shared" si="31"/>
        <v>고용보험법상 육아휴직 급여의 의의, 지급 요건, 지급 기간 및 금액, 특례 및 기타 사항</v>
      </c>
    </row>
    <row r="300" spans="2:20" ht="14.45" customHeight="1" x14ac:dyDescent="0.2">
      <c r="B300" s="31" t="s">
        <v>420</v>
      </c>
      <c r="C300" s="54" t="s">
        <v>1494</v>
      </c>
      <c r="D300" s="55" t="s">
        <v>308</v>
      </c>
      <c r="E300" s="71" t="s">
        <v>1541</v>
      </c>
      <c r="F300" s="58" t="s">
        <v>31</v>
      </c>
      <c r="G300" s="57" t="s">
        <v>1637</v>
      </c>
      <c r="H300" s="59" t="s">
        <v>338</v>
      </c>
      <c r="I300" s="60" t="s">
        <v>1298</v>
      </c>
      <c r="J300" s="61">
        <v>3174</v>
      </c>
      <c r="K300" s="62" t="s">
        <v>1383</v>
      </c>
      <c r="L300" s="100"/>
      <c r="M300" s="64"/>
      <c r="N300" s="65"/>
      <c r="O300" s="63" t="str">
        <f t="shared" si="27"/>
        <v>제16장 부속법령-제06절 고보법-03</v>
      </c>
      <c r="Q300" s="7" t="str">
        <f t="shared" si="28"/>
        <v>헌법재판소 2025.04.10. 선고 2021헌마1362 결정-1</v>
      </c>
      <c r="R300" s="7" t="str">
        <f t="shared" si="29"/>
        <v>열기2-01.노동법\03.판례\[헌법재판소 2025.04.10. 선고 2021헌마1362 결정]육아휴직급여 사후지급금 제도(고보법 시행령) 위헌 여부.txt</v>
      </c>
      <c r="S300" s="7" t="str">
        <f t="shared" si="30"/>
        <v>B</v>
      </c>
      <c r="T300" s="7" t="str">
        <f t="shared" si="31"/>
        <v>육아휴직급여 사후지급금 제도(고보법 시행령) 위헌 여부</v>
      </c>
    </row>
    <row r="301" spans="2:20" ht="14.45" customHeight="1" x14ac:dyDescent="0.2">
      <c r="B301" s="31" t="s">
        <v>420</v>
      </c>
      <c r="C301" s="162" t="s">
        <v>1495</v>
      </c>
      <c r="D301" s="163" t="s">
        <v>518</v>
      </c>
      <c r="E301" s="164" t="s">
        <v>160</v>
      </c>
      <c r="F301" s="165" t="s">
        <v>28</v>
      </c>
      <c r="G301" s="165" t="s">
        <v>1635</v>
      </c>
      <c r="H301" s="166" t="s">
        <v>397</v>
      </c>
      <c r="I301" s="167" t="s">
        <v>1055</v>
      </c>
      <c r="J301" s="168">
        <v>21870</v>
      </c>
      <c r="K301" s="169" t="s">
        <v>1382</v>
      </c>
      <c r="L301" s="303"/>
      <c r="M301" s="171"/>
      <c r="N301" s="172"/>
      <c r="O301" s="170" t="str">
        <f t="shared" si="27"/>
        <v>제16장 부속법령-제07절 노조법-01</v>
      </c>
      <c r="Q301" s="7" t="str">
        <f t="shared" si="28"/>
        <v>부속법령-2</v>
      </c>
      <c r="R301" s="7" t="str">
        <f t="shared" si="29"/>
        <v>열기3-01.관련법령\02.노동법2\01-1.노동조합 및 노동관계조정법(법률).txt</v>
      </c>
      <c r="S301" s="7" t="str">
        <f t="shared" si="30"/>
        <v>C</v>
      </c>
      <c r="T301" s="7" t="str">
        <f t="shared" si="31"/>
        <v>노동조합 및 노동관계조정법</v>
      </c>
    </row>
    <row r="302" spans="2:20" ht="14.45" customHeight="1" x14ac:dyDescent="0.2">
      <c r="B302" s="31" t="s">
        <v>420</v>
      </c>
      <c r="C302" s="162" t="s">
        <v>1496</v>
      </c>
      <c r="D302" s="163" t="s">
        <v>518</v>
      </c>
      <c r="E302" s="164" t="s">
        <v>160</v>
      </c>
      <c r="F302" s="165" t="s">
        <v>28</v>
      </c>
      <c r="G302" s="165" t="s">
        <v>1636</v>
      </c>
      <c r="H302" s="166" t="s">
        <v>208</v>
      </c>
      <c r="I302" s="167" t="s">
        <v>1058</v>
      </c>
      <c r="J302" s="168">
        <v>4918</v>
      </c>
      <c r="K302" s="169" t="s">
        <v>1382</v>
      </c>
      <c r="L302" s="303"/>
      <c r="M302" s="171"/>
      <c r="N302" s="172"/>
      <c r="O302" s="170" t="str">
        <f t="shared" si="27"/>
        <v>제16장 부속법령-제08절 근참법-02</v>
      </c>
      <c r="Q302" s="7" t="str">
        <f t="shared" si="28"/>
        <v>부속법령-2</v>
      </c>
      <c r="R302" s="7" t="str">
        <f t="shared" si="29"/>
        <v>열기3-01.관련법령\02.노동법2\03-1.근로자참여 및 협력증진에 관한 법률(법률).txt</v>
      </c>
      <c r="S302" s="7" t="str">
        <f t="shared" si="30"/>
        <v>C</v>
      </c>
      <c r="T302" s="7" t="str">
        <f t="shared" si="31"/>
        <v>근로자참여 및 협력증진에 관한 법률</v>
      </c>
    </row>
    <row r="303" spans="2:20" ht="14.45" customHeight="1" x14ac:dyDescent="0.2">
      <c r="B303" s="31" t="s">
        <v>420</v>
      </c>
      <c r="C303" s="32" t="s">
        <v>1497</v>
      </c>
      <c r="D303" s="33" t="s">
        <v>518</v>
      </c>
      <c r="E303" s="69" t="s">
        <v>160</v>
      </c>
      <c r="F303" s="35" t="s">
        <v>28</v>
      </c>
      <c r="G303" s="35" t="s">
        <v>1635</v>
      </c>
      <c r="H303" s="36" t="s">
        <v>207</v>
      </c>
      <c r="I303" s="6" t="s">
        <v>1061</v>
      </c>
      <c r="J303" s="37">
        <v>11248</v>
      </c>
      <c r="K303" s="38" t="s">
        <v>1382</v>
      </c>
      <c r="L303" s="298"/>
      <c r="M303" s="40"/>
      <c r="N303" s="41"/>
      <c r="O303" s="39" t="str">
        <f t="shared" si="27"/>
        <v>제16장 부속법령-제09절 노위법-01</v>
      </c>
      <c r="Q303" s="7" t="str">
        <f t="shared" si="28"/>
        <v>부속법령-2</v>
      </c>
      <c r="R303" s="7" t="str">
        <f t="shared" si="29"/>
        <v>열기3-01.관련법령\02.노동법2\02-1.노동위원회법(법률).txt</v>
      </c>
      <c r="S303" s="7" t="str">
        <f t="shared" si="30"/>
        <v>C</v>
      </c>
      <c r="T303" s="7" t="str">
        <f t="shared" si="31"/>
        <v>노동위원회법</v>
      </c>
    </row>
    <row r="304" spans="2:20" ht="14.45" customHeight="1" x14ac:dyDescent="0.2">
      <c r="B304" s="31" t="s">
        <v>420</v>
      </c>
      <c r="C304" s="54" t="s">
        <v>1497</v>
      </c>
      <c r="D304" s="55" t="s">
        <v>1256</v>
      </c>
      <c r="E304" s="97" t="s">
        <v>95</v>
      </c>
      <c r="F304" s="58">
        <v>2</v>
      </c>
      <c r="G304" s="58" t="s">
        <v>1636</v>
      </c>
      <c r="H304" s="59" t="s">
        <v>1345</v>
      </c>
      <c r="I304" s="60" t="s">
        <v>1346</v>
      </c>
      <c r="J304" s="61">
        <v>1491</v>
      </c>
      <c r="K304" s="62" t="s">
        <v>1382</v>
      </c>
      <c r="L304" s="100"/>
      <c r="M304" s="64"/>
      <c r="N304" s="65"/>
      <c r="O304" s="63" t="str">
        <f t="shared" si="27"/>
        <v>제16장 부속법령-제09절 노위법-02</v>
      </c>
      <c r="Q304" s="7" t="str">
        <f t="shared" si="28"/>
        <v>2008-3-2</v>
      </c>
      <c r="R304" s="7" t="str">
        <f t="shared" si="29"/>
        <v>열기2-01.노동법\02.문제\[기출][2][2008-3]노동위원회의 관할(사건 관할, 지역 관할).txt</v>
      </c>
      <c r="S304" s="7" t="str">
        <f t="shared" si="30"/>
        <v>C</v>
      </c>
      <c r="T304" s="7" t="str">
        <f t="shared" si="31"/>
        <v>노동위원회의 관할(사건 관할, 지역 관할)</v>
      </c>
    </row>
    <row r="305" spans="2:20" ht="14.45" customHeight="1" x14ac:dyDescent="0.2">
      <c r="B305" s="31" t="s">
        <v>420</v>
      </c>
      <c r="C305" s="162" t="s">
        <v>588</v>
      </c>
      <c r="D305" s="163" t="s">
        <v>518</v>
      </c>
      <c r="E305" s="164" t="s">
        <v>160</v>
      </c>
      <c r="F305" s="165" t="s">
        <v>28</v>
      </c>
      <c r="G305" s="165" t="s">
        <v>1635</v>
      </c>
      <c r="H305" s="166" t="s">
        <v>210</v>
      </c>
      <c r="I305" s="167" t="s">
        <v>1064</v>
      </c>
      <c r="J305" s="168">
        <v>5863</v>
      </c>
      <c r="K305" s="169" t="s">
        <v>1382</v>
      </c>
      <c r="L305" s="303"/>
      <c r="M305" s="171"/>
      <c r="N305" s="172"/>
      <c r="O305" s="170" t="str">
        <f t="shared" si="27"/>
        <v>제16장 부속법령-제10절 공노법-01</v>
      </c>
      <c r="Q305" s="7" t="str">
        <f t="shared" si="28"/>
        <v>부속법령-2</v>
      </c>
      <c r="R305" s="7" t="str">
        <f t="shared" si="29"/>
        <v>열기3-01.관련법령\02.노동법2\05-1.공무원의 노동조합 설립 및 운영 등에 관한 법률(법률).txt</v>
      </c>
      <c r="S305" s="7" t="str">
        <f t="shared" si="30"/>
        <v>C</v>
      </c>
      <c r="T305" s="7" t="str">
        <f t="shared" si="31"/>
        <v>공무원의 노동조합 설립 및 운영 등에 관한 법률</v>
      </c>
    </row>
    <row r="306" spans="2:20" ht="14.45" customHeight="1" x14ac:dyDescent="0.2">
      <c r="B306" s="31" t="s">
        <v>420</v>
      </c>
      <c r="C306" s="32" t="s">
        <v>589</v>
      </c>
      <c r="D306" s="33" t="s">
        <v>518</v>
      </c>
      <c r="E306" s="69" t="s">
        <v>160</v>
      </c>
      <c r="F306" s="35" t="s">
        <v>28</v>
      </c>
      <c r="G306" s="35" t="s">
        <v>1635</v>
      </c>
      <c r="H306" s="36" t="s">
        <v>209</v>
      </c>
      <c r="I306" s="6" t="s">
        <v>1067</v>
      </c>
      <c r="J306" s="37">
        <v>5026</v>
      </c>
      <c r="K306" s="38" t="s">
        <v>1382</v>
      </c>
      <c r="L306" s="298"/>
      <c r="M306" s="40"/>
      <c r="N306" s="41"/>
      <c r="O306" s="39" t="str">
        <f t="shared" si="27"/>
        <v>제16장 부속법령-제11절 교노법-01</v>
      </c>
      <c r="Q306" s="7" t="str">
        <f t="shared" si="28"/>
        <v>부속법령-2</v>
      </c>
      <c r="R306" s="7" t="str">
        <f t="shared" si="29"/>
        <v>열기3-01.관련법령\02.노동법2\04-1.교원의 노동조합 설립 및 운영 등에 관한 법률(법률).txt</v>
      </c>
      <c r="S306" s="7" t="str">
        <f t="shared" si="30"/>
        <v>C</v>
      </c>
      <c r="T306" s="7" t="str">
        <f t="shared" si="31"/>
        <v>교원의 노동조합 설립 및 운영 등에 관한 법률</v>
      </c>
    </row>
    <row r="307" spans="2:20" ht="14.45" customHeight="1" x14ac:dyDescent="0.2">
      <c r="B307" s="31" t="s">
        <v>420</v>
      </c>
      <c r="C307" s="54" t="s">
        <v>589</v>
      </c>
      <c r="D307" s="55" t="s">
        <v>1256</v>
      </c>
      <c r="E307" s="97" t="s">
        <v>87</v>
      </c>
      <c r="F307" s="58">
        <v>2</v>
      </c>
      <c r="G307" s="58" t="s">
        <v>1636</v>
      </c>
      <c r="H307" s="59" t="s">
        <v>1399</v>
      </c>
      <c r="I307" s="60" t="s">
        <v>1400</v>
      </c>
      <c r="J307" s="61">
        <v>3510</v>
      </c>
      <c r="K307" s="62" t="s">
        <v>1382</v>
      </c>
      <c r="L307" s="100" t="s">
        <v>1857</v>
      </c>
      <c r="M307" s="64"/>
      <c r="N307" s="65"/>
      <c r="O307" s="63" t="str">
        <f t="shared" si="27"/>
        <v>제16장 부속법령-제11절 교노법-02</v>
      </c>
      <c r="Q307" s="7" t="str">
        <f t="shared" si="28"/>
        <v>2025-2-2</v>
      </c>
      <c r="R307" s="7" t="str">
        <f t="shared" si="29"/>
        <v>열기2-01.노동법\02.문제\[기출][2][2025-2]중재재정 조항의 교원노조법상 단체교섭 대상 여부.txt</v>
      </c>
      <c r="S307" s="7" t="str">
        <f t="shared" si="30"/>
        <v>C</v>
      </c>
      <c r="T307" s="7" t="str">
        <f t="shared" si="31"/>
        <v>중재재정 조항의 교원노조법상 단체교섭 대상 여부</v>
      </c>
    </row>
    <row r="308" spans="2:20" ht="14.45" customHeight="1" x14ac:dyDescent="0.2">
      <c r="B308" s="31" t="s">
        <v>420</v>
      </c>
      <c r="C308" s="173" t="s">
        <v>1404</v>
      </c>
      <c r="D308" s="151" t="s">
        <v>518</v>
      </c>
      <c r="E308" s="174" t="s">
        <v>160</v>
      </c>
      <c r="F308" s="153" t="s">
        <v>31</v>
      </c>
      <c r="G308" s="153" t="s">
        <v>1635</v>
      </c>
      <c r="H308" s="175" t="s">
        <v>205</v>
      </c>
      <c r="I308" s="155" t="s">
        <v>1070</v>
      </c>
      <c r="J308" s="150">
        <v>23704</v>
      </c>
      <c r="K308" s="156" t="s">
        <v>1382</v>
      </c>
      <c r="L308" s="302"/>
      <c r="M308" s="158"/>
      <c r="N308" s="159"/>
      <c r="O308" s="157" t="str">
        <f t="shared" si="27"/>
        <v>제16장 부속법령-제12절 근퇴법-01</v>
      </c>
      <c r="Q308" s="7" t="str">
        <f t="shared" si="28"/>
        <v>부속법령-1</v>
      </c>
      <c r="R308" s="7" t="str">
        <f t="shared" si="29"/>
        <v>열기3-01.관련법령\01.노동법1\10-1.근로자퇴직급여 보장법(법률).txt</v>
      </c>
      <c r="S308" s="7" t="str">
        <f t="shared" si="30"/>
        <v>C</v>
      </c>
      <c r="T308" s="7" t="str">
        <f t="shared" si="31"/>
        <v>근로자퇴직급여 보장법</v>
      </c>
    </row>
    <row r="309" spans="2:20" ht="14.45" customHeight="1" x14ac:dyDescent="0.2">
      <c r="B309" s="31" t="s">
        <v>420</v>
      </c>
      <c r="C309" s="176" t="s">
        <v>1404</v>
      </c>
      <c r="D309" s="43" t="s">
        <v>1256</v>
      </c>
      <c r="E309" s="70" t="s">
        <v>88</v>
      </c>
      <c r="F309" s="46" t="s">
        <v>31</v>
      </c>
      <c r="G309" s="46" t="s">
        <v>1636</v>
      </c>
      <c r="H309" s="47" t="s">
        <v>1198</v>
      </c>
      <c r="I309" s="48" t="s">
        <v>1199</v>
      </c>
      <c r="J309" s="49">
        <v>1577</v>
      </c>
      <c r="K309" s="50" t="s">
        <v>1382</v>
      </c>
      <c r="L309" s="68" t="s">
        <v>1758</v>
      </c>
      <c r="M309" s="52"/>
      <c r="N309" s="53"/>
      <c r="O309" s="51" t="str">
        <f t="shared" si="27"/>
        <v>제16장 부속법령-제12절 근퇴법-02</v>
      </c>
      <c r="Q309" s="7" t="str">
        <f t="shared" si="28"/>
        <v>2017-1-2-1</v>
      </c>
      <c r="R309" s="7" t="str">
        <f t="shared" si="29"/>
        <v>열기2-01.노동법\02.문제\[기출][1][2017-1-2]매월 균분하여 지급받은 퇴직금 분할 약정의 효력.txt</v>
      </c>
      <c r="S309" s="7" t="str">
        <f t="shared" si="30"/>
        <v>C</v>
      </c>
      <c r="T309" s="7" t="str">
        <f t="shared" si="31"/>
        <v>매월 균분하여 지급받은 퇴직금 분할 약정의 효력</v>
      </c>
    </row>
    <row r="310" spans="2:20" ht="14.45" customHeight="1" thickBot="1" x14ac:dyDescent="0.25">
      <c r="B310" s="74" t="s">
        <v>420</v>
      </c>
      <c r="C310" s="177" t="s">
        <v>1404</v>
      </c>
      <c r="D310" s="76" t="s">
        <v>308</v>
      </c>
      <c r="E310" s="98" t="s">
        <v>1542</v>
      </c>
      <c r="F310" s="78" t="s">
        <v>31</v>
      </c>
      <c r="G310" s="99" t="s">
        <v>1637</v>
      </c>
      <c r="H310" s="79" t="s">
        <v>335</v>
      </c>
      <c r="I310" s="80" t="s">
        <v>1299</v>
      </c>
      <c r="J310" s="81">
        <v>4412</v>
      </c>
      <c r="K310" s="82" t="s">
        <v>1382</v>
      </c>
      <c r="L310" s="161"/>
      <c r="M310" s="84"/>
      <c r="N310" s="85"/>
      <c r="O310" s="83" t="str">
        <f t="shared" si="27"/>
        <v>제16장 부속법령-제12절 근퇴법-03</v>
      </c>
      <c r="Q310" s="7" t="str">
        <f t="shared" si="28"/>
        <v>서울고등법원(춘천재판부) 2024.12.12. 선고 2024나1090 판결-1</v>
      </c>
      <c r="R310" s="7" t="str">
        <f t="shared" si="29"/>
        <v>열기2-01.노동법\03.판례\[서울고등법원(춘천재판부) 2024.12.12. 선고 2024나1090 판결]직접 고용된 파견근로자의 퇴직금 기산일에 관한 합의의 법적 성격과 효력.txt</v>
      </c>
      <c r="S310" s="7" t="str">
        <f t="shared" si="30"/>
        <v>C</v>
      </c>
      <c r="T310" s="7" t="str">
        <f t="shared" si="31"/>
        <v>직접 고용된 파견근로자의 퇴직금 기산일에 관한 합의의 법적 성격과 효력</v>
      </c>
    </row>
  </sheetData>
  <autoFilter ref="B3:T310" xr:uid="{F152053D-6840-4F11-85E4-273300A555D9}"/>
  <mergeCells count="4">
    <mergeCell ref="B2:C2"/>
    <mergeCell ref="D2:H2"/>
    <mergeCell ref="I2:J2"/>
    <mergeCell ref="M2:N2"/>
  </mergeCells>
  <phoneticPr fontId="3" type="noConversion"/>
  <conditionalFormatting sqref="B4:O310">
    <cfRule type="expression" dxfId="4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00F4D31-A5E2-4EE1-A95B-A4E09BAAB1F8}">
          <x14:formula1>
            <xm:f>설정!$B$6:$B$11</xm:f>
          </x14:formula1>
          <xm:sqref>D4:D310</xm:sqref>
        </x14:dataValidation>
        <x14:dataValidation type="list" allowBlank="1" showInputMessage="1" showErrorMessage="1" xr:uid="{09F2EFEA-CA94-4533-BC22-C18504AF3834}">
          <x14:formula1>
            <xm:f>설정!$B$14:$B$16</xm:f>
          </x14:formula1>
          <xm:sqref>K4:K310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D2A85A-1492-4F35-8DAE-CAFFA8F33E4C}">
  <sheetPr codeName="Sheet16"/>
  <dimension ref="A2:U174"/>
  <sheetViews>
    <sheetView showGridLines="0" workbookViewId="0">
      <pane ySplit="3" topLeftCell="A4" activePane="bottomLeft" state="frozen"/>
      <selection pane="bottomLeft" activeCell="K7" sqref="K7"/>
    </sheetView>
  </sheetViews>
  <sheetFormatPr defaultRowHeight="14.45" customHeight="1" x14ac:dyDescent="0.2"/>
  <cols>
    <col min="1" max="1" width="1.28515625" style="180" customWidth="1"/>
    <col min="2" max="2" width="3.7109375" style="178" customWidth="1"/>
    <col min="3" max="4" width="5.7109375" style="179" customWidth="1"/>
    <col min="5" max="6" width="3.7109375" style="179" customWidth="1"/>
    <col min="7" max="7" width="37" style="180" customWidth="1"/>
    <col min="8" max="8" width="3.7109375" style="178" customWidth="1"/>
    <col min="9" max="9" width="42.7109375" style="178" customWidth="1"/>
    <col min="10" max="10" width="3.7109375" style="178" customWidth="1"/>
    <col min="11" max="11" width="91.7109375" style="180" customWidth="1"/>
    <col min="12" max="13" width="4.42578125" style="180" customWidth="1"/>
    <col min="14" max="14" width="3.28515625" style="178" customWidth="1"/>
    <col min="15" max="15" width="24.42578125" style="180" customWidth="1"/>
    <col min="16" max="19" width="6.7109375" style="180" customWidth="1"/>
    <col min="20" max="20" width="1.7109375" style="180" customWidth="1"/>
    <col min="21" max="16384" width="9.140625" style="180"/>
  </cols>
  <sheetData>
    <row r="2" spans="1:21" ht="14.45" customHeight="1" x14ac:dyDescent="0.2">
      <c r="B2" s="181" t="s">
        <v>405</v>
      </c>
      <c r="C2" s="182" t="s">
        <v>406</v>
      </c>
      <c r="D2" s="375" t="s">
        <v>407</v>
      </c>
      <c r="E2" s="376"/>
      <c r="F2" s="377"/>
      <c r="G2" s="378" t="s">
        <v>3</v>
      </c>
      <c r="H2" s="379"/>
      <c r="I2" s="379"/>
      <c r="J2" s="380"/>
      <c r="K2" s="183" t="s">
        <v>408</v>
      </c>
      <c r="L2" s="183" t="s">
        <v>1229</v>
      </c>
      <c r="M2" s="183" t="s">
        <v>1233</v>
      </c>
      <c r="N2" s="183" t="s">
        <v>1962</v>
      </c>
      <c r="O2" s="183" t="s">
        <v>409</v>
      </c>
      <c r="P2" s="378" t="s">
        <v>476</v>
      </c>
      <c r="Q2" s="379"/>
      <c r="R2" s="379"/>
      <c r="S2" s="379"/>
    </row>
    <row r="3" spans="1:21" ht="14.45" customHeight="1" x14ac:dyDescent="0.2">
      <c r="B3" s="184"/>
      <c r="C3" s="185"/>
      <c r="D3" s="311"/>
      <c r="E3" s="310" t="s">
        <v>1754</v>
      </c>
      <c r="F3" s="306"/>
      <c r="G3" s="378" t="s">
        <v>0</v>
      </c>
      <c r="H3" s="380"/>
      <c r="I3" s="378" t="s">
        <v>1</v>
      </c>
      <c r="J3" s="380"/>
      <c r="K3" s="184"/>
      <c r="L3" s="186"/>
      <c r="M3" s="186"/>
      <c r="N3" s="186"/>
      <c r="O3" s="184"/>
      <c r="P3" s="187" t="s">
        <v>1300</v>
      </c>
      <c r="Q3" s="187" t="s">
        <v>1724</v>
      </c>
      <c r="R3" s="187" t="s">
        <v>410</v>
      </c>
      <c r="S3" s="187" t="s">
        <v>411</v>
      </c>
      <c r="U3" s="180" t="s">
        <v>1755</v>
      </c>
    </row>
    <row r="4" spans="1:21" s="3" customFormat="1" ht="14.45" customHeight="1" x14ac:dyDescent="0.2">
      <c r="A4" s="180"/>
      <c r="B4" s="188">
        <f t="shared" ref="B4:B35" si="0">ROW()-3</f>
        <v>1</v>
      </c>
      <c r="C4" s="296">
        <v>15.03</v>
      </c>
      <c r="D4" s="190" t="s">
        <v>31</v>
      </c>
      <c r="E4" s="190" t="s">
        <v>27</v>
      </c>
      <c r="F4" s="190" t="s">
        <v>28</v>
      </c>
      <c r="G4" s="191" t="s">
        <v>479</v>
      </c>
      <c r="H4" s="190" t="s">
        <v>469</v>
      </c>
      <c r="I4" s="352" t="s">
        <v>1455</v>
      </c>
      <c r="J4" s="190" t="s">
        <v>415</v>
      </c>
      <c r="K4" s="191" t="str">
        <f>VLOOKUP(U4,통합목록!$Q$4:$T$310,4,0)</f>
        <v>유니온 숍 조항의 성립 요건 및 소수 노조 조합원에 대한 효력 범위</v>
      </c>
      <c r="L4" s="192" t="str">
        <f>VLOOKUP(U4,통합목록!$Q$4:$T$310,2,0)</f>
        <v>열기2-01.노동법\02.문제\[모의][2][15.03-1]유니온 숍 조항의 성립 요건 및 소수 노조 조합원에 대한 효력 범위.txt</v>
      </c>
      <c r="M4" s="192" t="s">
        <v>1647</v>
      </c>
      <c r="N4" s="192" t="str">
        <f>VLOOKUP(U4,통합목록!$Q$4:$S$310,3,0)</f>
        <v>A</v>
      </c>
      <c r="O4" s="193"/>
      <c r="P4" s="192" t="str">
        <f t="shared" ref="P4:P35" si="1">G4&amp;"&gt;"&amp;H4&amp;"&gt;"&amp;D4&amp;"&gt;"&amp;O4</f>
        <v>제15장 부당노동행위&gt;13&gt;1&gt;</v>
      </c>
      <c r="Q4" s="192" t="str">
        <f t="shared" ref="Q4:Q35" si="2">G4&amp;"&gt;"&amp;I4&amp;"&gt;"&amp;J4</f>
        <v>제15장 부당노동행위&gt;제03절 반조합계약(비열계약, 황견계약)&gt;01</v>
      </c>
      <c r="R4" s="192" t="str">
        <f t="shared" ref="R4:R35" si="3">E4&amp;"&gt;"&amp;M4&amp;"&gt;"&amp;C4&amp;"&gt;"&amp;F4</f>
        <v>2&gt;모의&gt;15.03&gt;2</v>
      </c>
      <c r="S4" s="192" t="str">
        <f t="shared" ref="S4:S35" si="4">E4&amp;"&gt;"&amp;M4&amp;"&gt;"&amp;C4&amp;"&gt;"&amp;D4</f>
        <v>2&gt;모의&gt;15.03&gt;1</v>
      </c>
      <c r="T4" s="180"/>
      <c r="U4" s="3" t="str">
        <f t="shared" ref="U4:U35" si="5">C4&amp;"-"&amp;D4&amp;"-"&amp;E4</f>
        <v>15.03-1-2</v>
      </c>
    </row>
    <row r="5" spans="1:21" s="3" customFormat="1" ht="14.45" customHeight="1" x14ac:dyDescent="0.2">
      <c r="A5" s="180"/>
      <c r="B5" s="188">
        <f t="shared" si="0"/>
        <v>2</v>
      </c>
      <c r="C5" s="296">
        <v>15.03</v>
      </c>
      <c r="D5" s="190" t="s">
        <v>28</v>
      </c>
      <c r="E5" s="190" t="s">
        <v>27</v>
      </c>
      <c r="F5" s="190" t="s">
        <v>31</v>
      </c>
      <c r="G5" s="191" t="s">
        <v>479</v>
      </c>
      <c r="H5" s="190" t="s">
        <v>472</v>
      </c>
      <c r="I5" s="352" t="s">
        <v>1455</v>
      </c>
      <c r="J5" s="190" t="s">
        <v>417</v>
      </c>
      <c r="K5" s="191" t="str">
        <f>VLOOKUP(U5,통합목록!$Q$4:$T$310,4,0)</f>
        <v>탈퇴 후 신규 노조 설립 준비 중인 근로자에 대한 해고의 부당노동행위 및 부당해고 해당 여부</v>
      </c>
      <c r="L5" s="192" t="str">
        <f>VLOOKUP(U5,통합목록!$Q$4:$T$310,2,0)</f>
        <v>열기2-01.노동법\02.문제\[모의][2][15.03-2]탈퇴 후 신규 노조 설립 준비 중인 근로자에 대한 해고의 부당노동행위 및 부당해고 해당 여부.txt</v>
      </c>
      <c r="M5" s="192" t="s">
        <v>1647</v>
      </c>
      <c r="N5" s="192" t="str">
        <f>VLOOKUP(U5,통합목록!$Q$4:$S$310,3,0)</f>
        <v>A</v>
      </c>
      <c r="O5" s="193"/>
      <c r="P5" s="192" t="str">
        <f t="shared" si="1"/>
        <v>제15장 부당노동행위&gt;14&gt;2&gt;</v>
      </c>
      <c r="Q5" s="192" t="str">
        <f t="shared" si="2"/>
        <v>제15장 부당노동행위&gt;제03절 반조합계약(비열계약, 황견계약)&gt;02</v>
      </c>
      <c r="R5" s="192" t="str">
        <f t="shared" si="3"/>
        <v>2&gt;모의&gt;15.03&gt;1</v>
      </c>
      <c r="S5" s="192" t="str">
        <f t="shared" si="4"/>
        <v>2&gt;모의&gt;15.03&gt;2</v>
      </c>
      <c r="T5" s="180"/>
      <c r="U5" s="3" t="str">
        <f t="shared" si="5"/>
        <v>15.03-2-2</v>
      </c>
    </row>
    <row r="6" spans="1:21" s="3" customFormat="1" ht="14.45" customHeight="1" x14ac:dyDescent="0.2">
      <c r="A6" s="180"/>
      <c r="B6" s="188">
        <f t="shared" si="0"/>
        <v>3</v>
      </c>
      <c r="C6" s="296">
        <v>14.09</v>
      </c>
      <c r="D6" s="190" t="s">
        <v>31</v>
      </c>
      <c r="E6" s="190" t="s">
        <v>27</v>
      </c>
      <c r="F6" s="190" t="s">
        <v>28</v>
      </c>
      <c r="G6" s="191" t="s">
        <v>485</v>
      </c>
      <c r="H6" s="190" t="s">
        <v>510</v>
      </c>
      <c r="I6" s="352" t="s">
        <v>1454</v>
      </c>
      <c r="J6" s="190" t="s">
        <v>415</v>
      </c>
      <c r="K6" s="191" t="str">
        <f>VLOOKUP(U6,통합목록!$Q$4:$T$310,4,0)</f>
        <v>안전보호시설의 정의와 쟁의행위 제한 취지 및 중앙제어실 파업 동참 행위의 정당성 여부</v>
      </c>
      <c r="L6" s="192" t="str">
        <f>VLOOKUP(U6,통합목록!$Q$4:$T$310,2,0)</f>
        <v>열기2-01.노동법\02.문제\[모의][2][14.09-1]안전보호시설의 정의와 쟁의행위 제한 취지 및 중앙제어실 파업 동참 행위의 정당성 여부.txt</v>
      </c>
      <c r="M6" s="192" t="s">
        <v>1647</v>
      </c>
      <c r="N6" s="192" t="str">
        <f>VLOOKUP(U6,통합목록!$Q$4:$S$310,3,0)</f>
        <v>B</v>
      </c>
      <c r="O6" s="193"/>
      <c r="P6" s="192" t="str">
        <f t="shared" si="1"/>
        <v>제14장 쟁의행위&gt;23&gt;1&gt;</v>
      </c>
      <c r="Q6" s="192" t="str">
        <f t="shared" si="2"/>
        <v>제14장 쟁의행위&gt;제09절 안전보호시설과 필수유지업무&gt;01</v>
      </c>
      <c r="R6" s="192" t="str">
        <f t="shared" si="3"/>
        <v>2&gt;모의&gt;14.09&gt;2</v>
      </c>
      <c r="S6" s="192" t="str">
        <f t="shared" si="4"/>
        <v>2&gt;모의&gt;14.09&gt;1</v>
      </c>
      <c r="T6" s="180"/>
      <c r="U6" s="3" t="str">
        <f t="shared" si="5"/>
        <v>14.09-1-2</v>
      </c>
    </row>
    <row r="7" spans="1:21" s="3" customFormat="1" ht="14.45" customHeight="1" x14ac:dyDescent="0.2">
      <c r="A7" s="180"/>
      <c r="B7" s="188">
        <f t="shared" si="0"/>
        <v>4</v>
      </c>
      <c r="C7" s="296">
        <v>14.09</v>
      </c>
      <c r="D7" s="190" t="s">
        <v>28</v>
      </c>
      <c r="E7" s="190" t="s">
        <v>27</v>
      </c>
      <c r="F7" s="190" t="s">
        <v>31</v>
      </c>
      <c r="G7" s="191" t="s">
        <v>485</v>
      </c>
      <c r="H7" s="190" t="s">
        <v>511</v>
      </c>
      <c r="I7" s="352" t="s">
        <v>1454</v>
      </c>
      <c r="J7" s="190" t="s">
        <v>417</v>
      </c>
      <c r="K7" s="191" t="str">
        <f>VLOOKUP(U7,통합목록!$Q$4:$T$310,4,0)</f>
        <v>필수유지업무 제도의 적용 범위・절차 및 일반 사업장에서의 사용자 일방 지정 가능성</v>
      </c>
      <c r="L7" s="192" t="str">
        <f>VLOOKUP(U7,통합목록!$Q$4:$T$310,2,0)</f>
        <v>열기2-01.노동법\02.문제\[모의][2][14.09-2]필수유지업무 제도의 적용 범위・절차 및 일반 사업장에서의 사용자 일방 지정 가능성.txt</v>
      </c>
      <c r="M7" s="192" t="s">
        <v>1647</v>
      </c>
      <c r="N7" s="192" t="str">
        <f>VLOOKUP(U7,통합목록!$Q$4:$S$310,3,0)</f>
        <v>B</v>
      </c>
      <c r="O7" s="193"/>
      <c r="P7" s="192" t="str">
        <f t="shared" si="1"/>
        <v>제14장 쟁의행위&gt;24&gt;2&gt;</v>
      </c>
      <c r="Q7" s="192" t="str">
        <f t="shared" si="2"/>
        <v>제14장 쟁의행위&gt;제09절 안전보호시설과 필수유지업무&gt;02</v>
      </c>
      <c r="R7" s="192" t="str">
        <f t="shared" si="3"/>
        <v>2&gt;모의&gt;14.09&gt;1</v>
      </c>
      <c r="S7" s="192" t="str">
        <f t="shared" si="4"/>
        <v>2&gt;모의&gt;14.09&gt;2</v>
      </c>
      <c r="T7" s="180"/>
      <c r="U7" s="3" t="str">
        <f t="shared" si="5"/>
        <v>14.09-2-2</v>
      </c>
    </row>
    <row r="8" spans="1:21" s="3" customFormat="1" ht="14.45" customHeight="1" x14ac:dyDescent="0.2">
      <c r="A8" s="180"/>
      <c r="B8" s="188">
        <f t="shared" si="0"/>
        <v>5</v>
      </c>
      <c r="C8" s="296">
        <v>14.08</v>
      </c>
      <c r="D8" s="190" t="s">
        <v>31</v>
      </c>
      <c r="E8" s="190" t="s">
        <v>27</v>
      </c>
      <c r="F8" s="190" t="s">
        <v>28</v>
      </c>
      <c r="G8" s="191" t="s">
        <v>485</v>
      </c>
      <c r="H8" s="190" t="s">
        <v>512</v>
      </c>
      <c r="I8" s="352" t="s">
        <v>1453</v>
      </c>
      <c r="J8" s="190" t="s">
        <v>415</v>
      </c>
      <c r="K8" s="191" t="str">
        <f>VLOOKUP(U8,통합목록!$Q$4:$T$310,4,0)</f>
        <v>정당한 쟁의행위 기간 중 가족수당 및 근속수당 지급 의무 여부(무노동 무임금 원칙 적용 범위)</v>
      </c>
      <c r="L8" s="192" t="str">
        <f>VLOOKUP(U8,통합목록!$Q$4:$T$310,2,0)</f>
        <v>열기2-01.노동법\02.문제\[모의][2][14.08-1]정당한 쟁의행위 기간 중 가족수당 및 근속수당 지급 의무 여부(무노동 무임금 원칙 적용 범위).txt</v>
      </c>
      <c r="M8" s="192" t="s">
        <v>1647</v>
      </c>
      <c r="N8" s="192" t="str">
        <f>VLOOKUP(U8,통합목록!$Q$4:$S$310,3,0)</f>
        <v>B</v>
      </c>
      <c r="O8" s="193"/>
      <c r="P8" s="192" t="str">
        <f t="shared" si="1"/>
        <v>제14장 쟁의행위&gt;21&gt;1&gt;</v>
      </c>
      <c r="Q8" s="192" t="str">
        <f t="shared" si="2"/>
        <v>제14장 쟁의행위&gt;제08절 쟁의행위와 노사당사자 간의 법률관계&gt;01</v>
      </c>
      <c r="R8" s="192" t="str">
        <f t="shared" si="3"/>
        <v>2&gt;모의&gt;14.08&gt;2</v>
      </c>
      <c r="S8" s="192" t="str">
        <f t="shared" si="4"/>
        <v>2&gt;모의&gt;14.08&gt;1</v>
      </c>
      <c r="T8" s="180"/>
      <c r="U8" s="3" t="str">
        <f t="shared" si="5"/>
        <v>14.08-1-2</v>
      </c>
    </row>
    <row r="9" spans="1:21" s="3" customFormat="1" ht="14.45" customHeight="1" x14ac:dyDescent="0.2">
      <c r="A9" s="180"/>
      <c r="B9" s="188">
        <f t="shared" si="0"/>
        <v>6</v>
      </c>
      <c r="C9" s="296">
        <v>14.08</v>
      </c>
      <c r="D9" s="190" t="s">
        <v>28</v>
      </c>
      <c r="E9" s="190" t="s">
        <v>27</v>
      </c>
      <c r="F9" s="190" t="s">
        <v>31</v>
      </c>
      <c r="G9" s="191" t="s">
        <v>485</v>
      </c>
      <c r="H9" s="190" t="s">
        <v>513</v>
      </c>
      <c r="I9" s="352" t="s">
        <v>1453</v>
      </c>
      <c r="J9" s="190" t="s">
        <v>417</v>
      </c>
      <c r="K9" s="191" t="str">
        <f>VLOOKUP(U9,통합목록!$Q$4:$T$310,4,0)</f>
        <v>쟁의행위 및 징계(정직) 기간의 연차휴가 산정 시 출근지수 처리 방식</v>
      </c>
      <c r="L9" s="192" t="str">
        <f>VLOOKUP(U9,통합목록!$Q$4:$T$310,2,0)</f>
        <v>열기2-01.노동법\02.문제\[모의][2][14.08-2]쟁의행위 및 징계(정직) 기간의 연차휴가 산정 시 출근지수 처리 방식.txt</v>
      </c>
      <c r="M9" s="192" t="s">
        <v>1647</v>
      </c>
      <c r="N9" s="192" t="str">
        <f>VLOOKUP(U9,통합목록!$Q$4:$S$310,3,0)</f>
        <v>B</v>
      </c>
      <c r="O9" s="193"/>
      <c r="P9" s="192" t="str">
        <f t="shared" si="1"/>
        <v>제14장 쟁의행위&gt;22&gt;2&gt;</v>
      </c>
      <c r="Q9" s="192" t="str">
        <f t="shared" si="2"/>
        <v>제14장 쟁의행위&gt;제08절 쟁의행위와 노사당사자 간의 법률관계&gt;02</v>
      </c>
      <c r="R9" s="192" t="str">
        <f t="shared" si="3"/>
        <v>2&gt;모의&gt;14.08&gt;1</v>
      </c>
      <c r="S9" s="192" t="str">
        <f t="shared" si="4"/>
        <v>2&gt;모의&gt;14.08&gt;2</v>
      </c>
      <c r="T9" s="180"/>
      <c r="U9" s="3" t="str">
        <f t="shared" si="5"/>
        <v>14.08-2-2</v>
      </c>
    </row>
    <row r="10" spans="1:21" s="3" customFormat="1" ht="14.45" customHeight="1" x14ac:dyDescent="0.2">
      <c r="A10" s="180"/>
      <c r="B10" s="188">
        <f t="shared" si="0"/>
        <v>7</v>
      </c>
      <c r="C10" s="296">
        <v>14.07</v>
      </c>
      <c r="D10" s="190" t="s">
        <v>31</v>
      </c>
      <c r="E10" s="190" t="s">
        <v>27</v>
      </c>
      <c r="F10" s="190" t="s">
        <v>28</v>
      </c>
      <c r="G10" s="191" t="s">
        <v>485</v>
      </c>
      <c r="H10" s="190" t="s">
        <v>514</v>
      </c>
      <c r="I10" s="352" t="s">
        <v>1452</v>
      </c>
      <c r="J10" s="190" t="s">
        <v>415</v>
      </c>
      <c r="K10" s="191" t="str">
        <f>VLOOKUP(U10,통합목록!$Q$4:$T$310,4,0)</f>
        <v>쟁의행위의 정당성 결여 판단 및 민사상 손해배상 책임의 주체와 책임의 성질</v>
      </c>
      <c r="L10" s="192" t="str">
        <f>VLOOKUP(U10,통합목록!$Q$4:$T$310,2,0)</f>
        <v>열기2-01.노동법\02.문제\[모의][2][14.07-1]쟁의행위의 정당성 결여 판단 및 민사상 손해배상 책임의 주체와 책임의 성질.txt</v>
      </c>
      <c r="M10" s="192" t="s">
        <v>1647</v>
      </c>
      <c r="N10" s="192" t="str">
        <f>VLOOKUP(U10,통합목록!$Q$4:$S$310,3,0)</f>
        <v>B</v>
      </c>
      <c r="O10" s="193"/>
      <c r="P10" s="192" t="str">
        <f t="shared" si="1"/>
        <v>제14장 쟁의행위&gt;19&gt;1&gt;</v>
      </c>
      <c r="Q10" s="192" t="str">
        <f t="shared" si="2"/>
        <v>제14장 쟁의행위&gt;제07절 불법쟁의행위와 법적 책임&gt;01</v>
      </c>
      <c r="R10" s="192" t="str">
        <f t="shared" si="3"/>
        <v>2&gt;모의&gt;14.07&gt;2</v>
      </c>
      <c r="S10" s="192" t="str">
        <f t="shared" si="4"/>
        <v>2&gt;모의&gt;14.07&gt;1</v>
      </c>
      <c r="T10" s="180"/>
      <c r="U10" s="3" t="str">
        <f t="shared" si="5"/>
        <v>14.07-1-2</v>
      </c>
    </row>
    <row r="11" spans="1:21" s="3" customFormat="1" ht="14.45" customHeight="1" x14ac:dyDescent="0.2">
      <c r="A11" s="180"/>
      <c r="B11" s="188">
        <f t="shared" si="0"/>
        <v>8</v>
      </c>
      <c r="C11" s="296">
        <v>14.07</v>
      </c>
      <c r="D11" s="190" t="s">
        <v>28</v>
      </c>
      <c r="E11" s="190" t="s">
        <v>27</v>
      </c>
      <c r="F11" s="190" t="s">
        <v>31</v>
      </c>
      <c r="G11" s="191" t="s">
        <v>485</v>
      </c>
      <c r="H11" s="190" t="s">
        <v>515</v>
      </c>
      <c r="I11" s="352" t="s">
        <v>1452</v>
      </c>
      <c r="J11" s="190" t="s">
        <v>417</v>
      </c>
      <c r="K11" s="191" t="str">
        <f>VLOOKUP(U11,통합목록!$Q$4:$T$310,4,0)</f>
        <v>책임 제한의 개별화 원칙 적용 여부와 구체적인 판단 기준</v>
      </c>
      <c r="L11" s="192" t="str">
        <f>VLOOKUP(U11,통합목록!$Q$4:$T$310,2,0)</f>
        <v>열기2-01.노동법\02.문제\[모의][2][14.07-2]책임 제한의 개별화 원칙 적용 여부와 구체적인 판단 기준.txt</v>
      </c>
      <c r="M11" s="192" t="s">
        <v>1647</v>
      </c>
      <c r="N11" s="192" t="str">
        <f>VLOOKUP(U11,통합목록!$Q$4:$S$310,3,0)</f>
        <v>B</v>
      </c>
      <c r="O11" s="193"/>
      <c r="P11" s="192" t="str">
        <f t="shared" si="1"/>
        <v>제14장 쟁의행위&gt;20&gt;2&gt;</v>
      </c>
      <c r="Q11" s="192" t="str">
        <f t="shared" si="2"/>
        <v>제14장 쟁의행위&gt;제07절 불법쟁의행위와 법적 책임&gt;02</v>
      </c>
      <c r="R11" s="192" t="str">
        <f t="shared" si="3"/>
        <v>2&gt;모의&gt;14.07&gt;1</v>
      </c>
      <c r="S11" s="192" t="str">
        <f t="shared" si="4"/>
        <v>2&gt;모의&gt;14.07&gt;2</v>
      </c>
      <c r="T11" s="180"/>
      <c r="U11" s="3" t="str">
        <f t="shared" si="5"/>
        <v>14.07-2-2</v>
      </c>
    </row>
    <row r="12" spans="1:21" s="3" customFormat="1" ht="14.45" customHeight="1" x14ac:dyDescent="0.2">
      <c r="A12" s="180"/>
      <c r="B12" s="188">
        <f t="shared" si="0"/>
        <v>9</v>
      </c>
      <c r="C12" s="296">
        <v>13.07</v>
      </c>
      <c r="D12" s="190" t="s">
        <v>31</v>
      </c>
      <c r="E12" s="190" t="s">
        <v>27</v>
      </c>
      <c r="F12" s="190" t="s">
        <v>28</v>
      </c>
      <c r="G12" s="191" t="s">
        <v>488</v>
      </c>
      <c r="H12" s="190" t="s">
        <v>469</v>
      </c>
      <c r="I12" s="352" t="s">
        <v>1450</v>
      </c>
      <c r="J12" s="190" t="s">
        <v>415</v>
      </c>
      <c r="K12" s="191" t="str">
        <f>VLOOKUP(U12,통합목록!$Q$4:$T$310,4,0)</f>
        <v>사업장 단위 효력확장 제도의 의의 및 취지, 생산직 비조합원에 대한 요건 충족 여부</v>
      </c>
      <c r="L12" s="192" t="str">
        <f>VLOOKUP(U12,통합목록!$Q$4:$T$310,2,0)</f>
        <v>열기2-01.노동법\02.문제\[모의][2][13.07-1]사업장 단위 효력확장 제도의 의의 및 취지, 생산직 비조합원에 대한 요건 충족 여부.txt</v>
      </c>
      <c r="M12" s="192" t="s">
        <v>1647</v>
      </c>
      <c r="N12" s="192" t="str">
        <f>VLOOKUP(U12,통합목록!$Q$4:$S$310,3,0)</f>
        <v>B</v>
      </c>
      <c r="O12" s="193"/>
      <c r="P12" s="192" t="str">
        <f t="shared" si="1"/>
        <v>제13장 단체협약&gt;13&gt;1&gt;</v>
      </c>
      <c r="Q12" s="192" t="str">
        <f t="shared" si="2"/>
        <v>제13장 단체협약&gt;제07절 단체협약의 효력확장&gt;01</v>
      </c>
      <c r="R12" s="192" t="str">
        <f t="shared" si="3"/>
        <v>2&gt;모의&gt;13.07&gt;2</v>
      </c>
      <c r="S12" s="192" t="str">
        <f t="shared" si="4"/>
        <v>2&gt;모의&gt;13.07&gt;1</v>
      </c>
      <c r="T12" s="180"/>
      <c r="U12" s="3" t="str">
        <f t="shared" si="5"/>
        <v>13.07-1-2</v>
      </c>
    </row>
    <row r="13" spans="1:21" s="3" customFormat="1" ht="14.45" customHeight="1" x14ac:dyDescent="0.2">
      <c r="A13" s="180"/>
      <c r="B13" s="188">
        <f t="shared" si="0"/>
        <v>10</v>
      </c>
      <c r="C13" s="296">
        <v>13.07</v>
      </c>
      <c r="D13" s="190" t="s">
        <v>28</v>
      </c>
      <c r="E13" s="190" t="s">
        <v>27</v>
      </c>
      <c r="F13" s="190" t="s">
        <v>31</v>
      </c>
      <c r="G13" s="191" t="s">
        <v>488</v>
      </c>
      <c r="H13" s="190" t="s">
        <v>472</v>
      </c>
      <c r="I13" s="352" t="s">
        <v>1450</v>
      </c>
      <c r="J13" s="190" t="s">
        <v>417</v>
      </c>
      <c r="K13" s="191" t="str">
        <f>VLOOKUP(U13,통합목록!$Q$4:$T$310,4,0)</f>
        <v>사무직 근로자에 대한 효력확장 여부 및 확장의 범위(채무적 부분 포함 여부)</v>
      </c>
      <c r="L13" s="192" t="str">
        <f>VLOOKUP(U13,통합목록!$Q$4:$T$310,2,0)</f>
        <v>열기2-01.노동법\02.문제\[모의][2][13.07-2]사무직 근로자에 대한 효력확장 여부 및 확장의 범위(채무적 부분 포함 여부).txt</v>
      </c>
      <c r="M13" s="192" t="s">
        <v>1647</v>
      </c>
      <c r="N13" s="192" t="str">
        <f>VLOOKUP(U13,통합목록!$Q$4:$S$310,3,0)</f>
        <v>B</v>
      </c>
      <c r="O13" s="193"/>
      <c r="P13" s="192" t="str">
        <f t="shared" si="1"/>
        <v>제13장 단체협약&gt;14&gt;2&gt;</v>
      </c>
      <c r="Q13" s="192" t="str">
        <f t="shared" si="2"/>
        <v>제13장 단체협약&gt;제07절 단체협약의 효력확장&gt;02</v>
      </c>
      <c r="R13" s="192" t="str">
        <f t="shared" si="3"/>
        <v>2&gt;모의&gt;13.07&gt;1</v>
      </c>
      <c r="S13" s="192" t="str">
        <f t="shared" si="4"/>
        <v>2&gt;모의&gt;13.07&gt;2</v>
      </c>
      <c r="T13" s="180"/>
      <c r="U13" s="3" t="str">
        <f t="shared" si="5"/>
        <v>13.07-2-2</v>
      </c>
    </row>
    <row r="14" spans="1:21" s="3" customFormat="1" ht="14.45" customHeight="1" x14ac:dyDescent="0.2">
      <c r="A14" s="180"/>
      <c r="B14" s="188">
        <f t="shared" si="0"/>
        <v>11</v>
      </c>
      <c r="C14" s="296">
        <v>13.04</v>
      </c>
      <c r="D14" s="190" t="s">
        <v>31</v>
      </c>
      <c r="E14" s="190" t="s">
        <v>27</v>
      </c>
      <c r="F14" s="190" t="s">
        <v>28</v>
      </c>
      <c r="G14" s="191" t="s">
        <v>488</v>
      </c>
      <c r="H14" s="190" t="s">
        <v>460</v>
      </c>
      <c r="I14" s="352" t="s">
        <v>1449</v>
      </c>
      <c r="J14" s="190" t="s">
        <v>415</v>
      </c>
      <c r="K14" s="191" t="str">
        <f>VLOOKUP(U14,통합목록!$Q$4:$T$310,4,0)</f>
        <v>평화의무의 개념, 근거 및 명시적 조항 부재 시 인정 여부</v>
      </c>
      <c r="L14" s="192" t="str">
        <f>VLOOKUP(U14,통합목록!$Q$4:$T$310,2,0)</f>
        <v>열기2-01.노동법\02.문제\[모의][2][13.04-1]평화의무의 개념, 근거 및 명시적 조항 부재 시 인정 여부.txt</v>
      </c>
      <c r="M14" s="192" t="s">
        <v>1647</v>
      </c>
      <c r="N14" s="192" t="str">
        <f>VLOOKUP(U14,통합목록!$Q$4:$S$310,3,0)</f>
        <v>B</v>
      </c>
      <c r="O14" s="193"/>
      <c r="P14" s="192" t="str">
        <f t="shared" si="1"/>
        <v>제13장 단체협약&gt;11&gt;1&gt;</v>
      </c>
      <c r="Q14" s="192" t="str">
        <f t="shared" si="2"/>
        <v>제13장 단체협약&gt;제04절 평화의무&gt;01</v>
      </c>
      <c r="R14" s="192" t="str">
        <f t="shared" si="3"/>
        <v>2&gt;모의&gt;13.04&gt;2</v>
      </c>
      <c r="S14" s="192" t="str">
        <f t="shared" si="4"/>
        <v>2&gt;모의&gt;13.04&gt;1</v>
      </c>
      <c r="T14" s="180"/>
      <c r="U14" s="3" t="str">
        <f t="shared" si="5"/>
        <v>13.04-1-2</v>
      </c>
    </row>
    <row r="15" spans="1:21" s="3" customFormat="1" ht="14.45" customHeight="1" x14ac:dyDescent="0.2">
      <c r="A15" s="180"/>
      <c r="B15" s="188">
        <f t="shared" si="0"/>
        <v>12</v>
      </c>
      <c r="C15" s="296">
        <v>13.04</v>
      </c>
      <c r="D15" s="190" t="s">
        <v>28</v>
      </c>
      <c r="E15" s="190" t="s">
        <v>27</v>
      </c>
      <c r="F15" s="190" t="s">
        <v>31</v>
      </c>
      <c r="G15" s="191" t="s">
        <v>488</v>
      </c>
      <c r="H15" s="190" t="s">
        <v>465</v>
      </c>
      <c r="I15" s="352" t="s">
        <v>1449</v>
      </c>
      <c r="J15" s="190" t="s">
        <v>417</v>
      </c>
      <c r="K15" s="191" t="str">
        <f>VLOOKUP(U15,통합목록!$Q$4:$T$310,4,0)</f>
        <v>평화의무 위반 쟁의행위의 정당성 유무 및 법적 책임</v>
      </c>
      <c r="L15" s="192" t="str">
        <f>VLOOKUP(U15,통합목록!$Q$4:$T$310,2,0)</f>
        <v>열기2-01.노동법\02.문제\[모의][2][13.04-2]평화의무 위반 쟁의행위의 정당성 유무 및 법적 책임.txt</v>
      </c>
      <c r="M15" s="192" t="s">
        <v>1647</v>
      </c>
      <c r="N15" s="192" t="str">
        <f>VLOOKUP(U15,통합목록!$Q$4:$S$310,3,0)</f>
        <v>B</v>
      </c>
      <c r="O15" s="193"/>
      <c r="P15" s="192" t="str">
        <f t="shared" si="1"/>
        <v>제13장 단체협약&gt;12&gt;2&gt;</v>
      </c>
      <c r="Q15" s="192" t="str">
        <f t="shared" si="2"/>
        <v>제13장 단체협약&gt;제04절 평화의무&gt;02</v>
      </c>
      <c r="R15" s="192" t="str">
        <f t="shared" si="3"/>
        <v>2&gt;모의&gt;13.04&gt;1</v>
      </c>
      <c r="S15" s="192" t="str">
        <f t="shared" si="4"/>
        <v>2&gt;모의&gt;13.04&gt;2</v>
      </c>
      <c r="T15" s="180"/>
      <c r="U15" s="3" t="str">
        <f t="shared" si="5"/>
        <v>13.04-2-2</v>
      </c>
    </row>
    <row r="16" spans="1:21" s="3" customFormat="1" ht="14.45" customHeight="1" x14ac:dyDescent="0.2">
      <c r="A16" s="180"/>
      <c r="B16" s="188">
        <f t="shared" si="0"/>
        <v>13</v>
      </c>
      <c r="C16" s="296">
        <v>13.02</v>
      </c>
      <c r="D16" s="190" t="s">
        <v>31</v>
      </c>
      <c r="E16" s="190" t="s">
        <v>27</v>
      </c>
      <c r="F16" s="190" t="s">
        <v>28</v>
      </c>
      <c r="G16" s="191" t="s">
        <v>488</v>
      </c>
      <c r="H16" s="190" t="s">
        <v>450</v>
      </c>
      <c r="I16" s="352" t="s">
        <v>1448</v>
      </c>
      <c r="J16" s="190" t="s">
        <v>415</v>
      </c>
      <c r="K16" s="191" t="str">
        <f>VLOOKUP(U16,통합목록!$Q$4:$T$310,4,0)</f>
        <v>단체협약의 성립요건인 서면 작성 및 서명・날인의 법적 의미와 자필 서명의 효력</v>
      </c>
      <c r="L16" s="192" t="str">
        <f>VLOOKUP(U16,통합목록!$Q$4:$T$310,2,0)</f>
        <v>열기2-01.노동법\02.문제\[모의][2][13.02-1]단체협약의 성립요건인 서면 작성 및 서명・날인의 법적 의미와 자필 서명의 효력.txt</v>
      </c>
      <c r="M16" s="192" t="s">
        <v>1647</v>
      </c>
      <c r="N16" s="192" t="str">
        <f>VLOOKUP(U16,통합목록!$Q$4:$S$310,3,0)</f>
        <v>B</v>
      </c>
      <c r="O16" s="193"/>
      <c r="P16" s="192" t="str">
        <f t="shared" si="1"/>
        <v>제13장 단체협약&gt;09&gt;1&gt;</v>
      </c>
      <c r="Q16" s="192" t="str">
        <f t="shared" si="2"/>
        <v>제13장 단체협약&gt;제02절 단체협약의 성립&gt;01</v>
      </c>
      <c r="R16" s="192" t="str">
        <f t="shared" si="3"/>
        <v>2&gt;모의&gt;13.02&gt;2</v>
      </c>
      <c r="S16" s="192" t="str">
        <f t="shared" si="4"/>
        <v>2&gt;모의&gt;13.02&gt;1</v>
      </c>
      <c r="T16" s="180"/>
      <c r="U16" s="3" t="str">
        <f t="shared" si="5"/>
        <v>13.02-1-2</v>
      </c>
    </row>
    <row r="17" spans="1:21" s="3" customFormat="1" ht="14.45" customHeight="1" x14ac:dyDescent="0.2">
      <c r="A17" s="180"/>
      <c r="B17" s="188">
        <f t="shared" si="0"/>
        <v>14</v>
      </c>
      <c r="C17" s="296">
        <v>13.02</v>
      </c>
      <c r="D17" s="190" t="s">
        <v>28</v>
      </c>
      <c r="E17" s="190" t="s">
        <v>27</v>
      </c>
      <c r="F17" s="190" t="s">
        <v>31</v>
      </c>
      <c r="G17" s="191" t="s">
        <v>488</v>
      </c>
      <c r="H17" s="190" t="s">
        <v>453</v>
      </c>
      <c r="I17" s="352" t="s">
        <v>1448</v>
      </c>
      <c r="J17" s="190" t="s">
        <v>417</v>
      </c>
      <c r="K17" s="191" t="str">
        <f>VLOOKUP(U17,통합목록!$Q$4:$T$310,4,0)</f>
        <v>조합원 인준투표 부결이 단체협약의 성립 및 효력 발생에 미치는 영향</v>
      </c>
      <c r="L17" s="192" t="str">
        <f>VLOOKUP(U17,통합목록!$Q$4:$T$310,2,0)</f>
        <v>열기2-01.노동법\02.문제\[모의][2][13.02-2]조합원 인준투표 부결이 단체협약의 성립 및 효력 발생에 미치는 영향.txt</v>
      </c>
      <c r="M17" s="192" t="s">
        <v>1647</v>
      </c>
      <c r="N17" s="192" t="str">
        <f>VLOOKUP(U17,통합목록!$Q$4:$S$310,3,0)</f>
        <v>B</v>
      </c>
      <c r="O17" s="193"/>
      <c r="P17" s="192" t="str">
        <f t="shared" si="1"/>
        <v>제13장 단체협약&gt;10&gt;2&gt;</v>
      </c>
      <c r="Q17" s="192" t="str">
        <f t="shared" si="2"/>
        <v>제13장 단체협약&gt;제02절 단체협약의 성립&gt;02</v>
      </c>
      <c r="R17" s="192" t="str">
        <f t="shared" si="3"/>
        <v>2&gt;모의&gt;13.02&gt;1</v>
      </c>
      <c r="S17" s="192" t="str">
        <f t="shared" si="4"/>
        <v>2&gt;모의&gt;13.02&gt;2</v>
      </c>
      <c r="T17" s="180"/>
      <c r="U17" s="3" t="str">
        <f t="shared" si="5"/>
        <v>13.02-2-2</v>
      </c>
    </row>
    <row r="18" spans="1:21" s="3" customFormat="1" ht="14.45" customHeight="1" x14ac:dyDescent="0.2">
      <c r="A18" s="180"/>
      <c r="B18" s="188">
        <f t="shared" si="0"/>
        <v>15</v>
      </c>
      <c r="C18" s="296">
        <v>12.06</v>
      </c>
      <c r="D18" s="190" t="s">
        <v>31</v>
      </c>
      <c r="E18" s="190" t="s">
        <v>27</v>
      </c>
      <c r="F18" s="190" t="s">
        <v>28</v>
      </c>
      <c r="G18" s="191" t="s">
        <v>477</v>
      </c>
      <c r="H18" s="190" t="s">
        <v>460</v>
      </c>
      <c r="I18" s="352" t="s">
        <v>1447</v>
      </c>
      <c r="J18" s="190" t="s">
        <v>415</v>
      </c>
      <c r="K18" s="191" t="str">
        <f>VLOOKUP(U18,통합목록!$Q$4:$T$310,4,0)</f>
        <v>단체교섭 중 사용자의 구체적 대안 제시 거부 및 경영 자료 제공 거부의 부당노동행위 성립 여부</v>
      </c>
      <c r="L18" s="192" t="str">
        <f>VLOOKUP(U18,통합목록!$Q$4:$T$310,2,0)</f>
        <v>열기2-01.노동법\02.문제\[모의][2][12.06-1]단체교섭 중 사용자의 구체적 대안 제시 거부 및 경영 자료 제공 거부의 부당노동행위 성립 여부.txt</v>
      </c>
      <c r="M18" s="192" t="s">
        <v>1647</v>
      </c>
      <c r="N18" s="192" t="str">
        <f>VLOOKUP(U18,통합목록!$Q$4:$S$310,3,0)</f>
        <v>A</v>
      </c>
      <c r="O18" s="193"/>
      <c r="P18" s="192" t="str">
        <f t="shared" si="1"/>
        <v>제12장 단체교섭&gt;11&gt;1&gt;</v>
      </c>
      <c r="Q18" s="192" t="str">
        <f t="shared" si="2"/>
        <v>제12장 단체교섭&gt;제06절 성실교섭의무&gt;01</v>
      </c>
      <c r="R18" s="192" t="str">
        <f t="shared" si="3"/>
        <v>2&gt;모의&gt;12.06&gt;2</v>
      </c>
      <c r="S18" s="192" t="str">
        <f t="shared" si="4"/>
        <v>2&gt;모의&gt;12.06&gt;1</v>
      </c>
      <c r="T18" s="180"/>
      <c r="U18" s="3" t="str">
        <f t="shared" si="5"/>
        <v>12.06-1-2</v>
      </c>
    </row>
    <row r="19" spans="1:21" s="3" customFormat="1" ht="14.45" customHeight="1" x14ac:dyDescent="0.2">
      <c r="A19" s="180"/>
      <c r="B19" s="188">
        <f t="shared" si="0"/>
        <v>16</v>
      </c>
      <c r="C19" s="296">
        <v>12.06</v>
      </c>
      <c r="D19" s="190" t="s">
        <v>28</v>
      </c>
      <c r="E19" s="190" t="s">
        <v>27</v>
      </c>
      <c r="F19" s="190" t="s">
        <v>31</v>
      </c>
      <c r="G19" s="191" t="s">
        <v>477</v>
      </c>
      <c r="H19" s="190" t="s">
        <v>465</v>
      </c>
      <c r="I19" s="352" t="s">
        <v>1447</v>
      </c>
      <c r="J19" s="190" t="s">
        <v>417</v>
      </c>
      <c r="K19" s="191" t="str">
        <f>VLOOKUP(U19,통합목록!$Q$4:$T$310,4,0)</f>
        <v>교섭 권한 없는 자로의 위임 및 교섭 불참과 성실교섭의무 위반의 판단 기준</v>
      </c>
      <c r="L19" s="192" t="str">
        <f>VLOOKUP(U19,통합목록!$Q$4:$T$310,2,0)</f>
        <v>열기2-01.노동법\02.문제\[모의][2][12.06-2]교섭 권한 없는 자로의 위임 및 교섭 불참과 성실교섭의무 위반의 판단 기준.txt</v>
      </c>
      <c r="M19" s="192" t="s">
        <v>1647</v>
      </c>
      <c r="N19" s="192" t="str">
        <f>VLOOKUP(U19,통합목록!$Q$4:$S$310,3,0)</f>
        <v>A</v>
      </c>
      <c r="O19" s="193"/>
      <c r="P19" s="192" t="str">
        <f t="shared" si="1"/>
        <v>제12장 단체교섭&gt;12&gt;2&gt;</v>
      </c>
      <c r="Q19" s="192" t="str">
        <f t="shared" si="2"/>
        <v>제12장 단체교섭&gt;제06절 성실교섭의무&gt;02</v>
      </c>
      <c r="R19" s="192" t="str">
        <f t="shared" si="3"/>
        <v>2&gt;모의&gt;12.06&gt;1</v>
      </c>
      <c r="S19" s="192" t="str">
        <f t="shared" si="4"/>
        <v>2&gt;모의&gt;12.06&gt;2</v>
      </c>
      <c r="T19" s="180"/>
      <c r="U19" s="3" t="str">
        <f t="shared" si="5"/>
        <v>12.06-2-2</v>
      </c>
    </row>
    <row r="20" spans="1:21" s="3" customFormat="1" ht="14.45" customHeight="1" x14ac:dyDescent="0.2">
      <c r="A20" s="180"/>
      <c r="B20" s="188">
        <f t="shared" si="0"/>
        <v>17</v>
      </c>
      <c r="C20" s="296">
        <v>11.05</v>
      </c>
      <c r="D20" s="190" t="s">
        <v>31</v>
      </c>
      <c r="E20" s="190" t="s">
        <v>27</v>
      </c>
      <c r="F20" s="190" t="s">
        <v>28</v>
      </c>
      <c r="G20" s="191" t="s">
        <v>1600</v>
      </c>
      <c r="H20" s="190" t="s">
        <v>460</v>
      </c>
      <c r="I20" s="352" t="s">
        <v>1445</v>
      </c>
      <c r="J20" s="190" t="s">
        <v>415</v>
      </c>
      <c r="K20" s="191" t="str">
        <f>VLOOKUP(U20,통합목록!$Q$4:$T$310,4,0)</f>
        <v>사용자의 노조 전임자 급여 지급 및 운영비 원조 행위의 부당노동행위 성립 여부와 단체협약의 효력</v>
      </c>
      <c r="L20" s="192" t="str">
        <f>VLOOKUP(U20,통합목록!$Q$4:$T$310,2,0)</f>
        <v>열기2-01.노동법\02.문제\[모의][2][11.05-1]사용자의 노조 전임자 급여 지급 및 운영비 원조 행위의 부당노동행위 성립 여부와 단체협약의 효력.txt</v>
      </c>
      <c r="M20" s="192" t="s">
        <v>1647</v>
      </c>
      <c r="N20" s="192" t="str">
        <f>VLOOKUP(U20,통합목록!$Q$4:$S$310,3,0)</f>
        <v>A</v>
      </c>
      <c r="O20" s="193"/>
      <c r="P20" s="192" t="str">
        <f t="shared" si="1"/>
        <v>제11장 노동조합&gt;11&gt;1&gt;</v>
      </c>
      <c r="Q20" s="192" t="str">
        <f t="shared" si="2"/>
        <v>제11장 노동조합&gt;제05절 사용자의 편의제공&gt;01</v>
      </c>
      <c r="R20" s="192" t="str">
        <f t="shared" si="3"/>
        <v>2&gt;모의&gt;11.05&gt;2</v>
      </c>
      <c r="S20" s="192" t="str">
        <f t="shared" si="4"/>
        <v>2&gt;모의&gt;11.05&gt;1</v>
      </c>
      <c r="T20" s="180"/>
      <c r="U20" s="3" t="str">
        <f t="shared" si="5"/>
        <v>11.05-1-2</v>
      </c>
    </row>
    <row r="21" spans="1:21" s="3" customFormat="1" ht="14.45" customHeight="1" x14ac:dyDescent="0.2">
      <c r="A21" s="180"/>
      <c r="B21" s="188">
        <f t="shared" si="0"/>
        <v>18</v>
      </c>
      <c r="C21" s="296">
        <v>11.05</v>
      </c>
      <c r="D21" s="190" t="s">
        <v>28</v>
      </c>
      <c r="E21" s="190" t="s">
        <v>27</v>
      </c>
      <c r="F21" s="190" t="s">
        <v>31</v>
      </c>
      <c r="G21" s="191" t="s">
        <v>1600</v>
      </c>
      <c r="H21" s="190" t="s">
        <v>465</v>
      </c>
      <c r="I21" s="352" t="s">
        <v>1445</v>
      </c>
      <c r="J21" s="190" t="s">
        <v>417</v>
      </c>
      <c r="K21" s="191" t="str">
        <f>VLOOKUP(U21,통합목록!$Q$4:$T$310,4,0)</f>
        <v>근로시간 면제 제도(Time-Off)의 한도 초과 약정의 효력 및 급여 지급의 법적 쟁점</v>
      </c>
      <c r="L21" s="192" t="str">
        <f>VLOOKUP(U21,통합목록!$Q$4:$T$310,2,0)</f>
        <v>열기2-01.노동법\02.문제\[모의][2][11.05-2]근로시간 면제 제도(Time-Off)의 한도 초과 약정의 효력 및 급여 지급의 법적 쟁점.txt</v>
      </c>
      <c r="M21" s="192" t="s">
        <v>1647</v>
      </c>
      <c r="N21" s="192" t="str">
        <f>VLOOKUP(U21,통합목록!$Q$4:$S$310,3,0)</f>
        <v>A</v>
      </c>
      <c r="O21" s="193"/>
      <c r="P21" s="192" t="str">
        <f t="shared" si="1"/>
        <v>제11장 노동조합&gt;12&gt;2&gt;</v>
      </c>
      <c r="Q21" s="192" t="str">
        <f t="shared" si="2"/>
        <v>제11장 노동조합&gt;제05절 사용자의 편의제공&gt;02</v>
      </c>
      <c r="R21" s="192" t="str">
        <f t="shared" si="3"/>
        <v>2&gt;모의&gt;11.05&gt;1</v>
      </c>
      <c r="S21" s="192" t="str">
        <f t="shared" si="4"/>
        <v>2&gt;모의&gt;11.05&gt;2</v>
      </c>
      <c r="T21" s="180"/>
      <c r="U21" s="3" t="str">
        <f t="shared" si="5"/>
        <v>11.05-2-2</v>
      </c>
    </row>
    <row r="22" spans="1:21" s="3" customFormat="1" ht="14.45" customHeight="1" x14ac:dyDescent="0.2">
      <c r="A22" s="180"/>
      <c r="B22" s="188">
        <f t="shared" si="0"/>
        <v>19</v>
      </c>
      <c r="C22" s="296">
        <v>11.03</v>
      </c>
      <c r="D22" s="190" t="s">
        <v>31</v>
      </c>
      <c r="E22" s="190" t="s">
        <v>27</v>
      </c>
      <c r="F22" s="190" t="s">
        <v>28</v>
      </c>
      <c r="G22" s="191" t="s">
        <v>1600</v>
      </c>
      <c r="H22" s="190" t="s">
        <v>450</v>
      </c>
      <c r="I22" s="352" t="s">
        <v>1444</v>
      </c>
      <c r="J22" s="190" t="s">
        <v>415</v>
      </c>
      <c r="K22" s="191" t="str">
        <f>VLOOKUP(U22,통합목록!$Q$4:$T$310,4,0)</f>
        <v>대의원회 의결 없이 총회에서 이루어진 단체협약안 의결의 정당성</v>
      </c>
      <c r="L22" s="192" t="str">
        <f>VLOOKUP(U22,통합목록!$Q$4:$T$310,2,0)</f>
        <v>열기2-01.노동법\02.문제\[모의][2][11.03-1]대의원회 의결 없이 총회에서 이루어진 단체협약안 의결의 정당성.txt</v>
      </c>
      <c r="M22" s="192" t="s">
        <v>1647</v>
      </c>
      <c r="N22" s="192" t="str">
        <f>VLOOKUP(U22,통합목록!$Q$4:$S$310,3,0)</f>
        <v>A</v>
      </c>
      <c r="O22" s="193"/>
      <c r="P22" s="192" t="str">
        <f t="shared" si="1"/>
        <v>제11장 노동조합&gt;09&gt;1&gt;</v>
      </c>
      <c r="Q22" s="192" t="str">
        <f t="shared" si="2"/>
        <v>제11장 노동조합&gt;제03절 노동조합의 기구&gt;01</v>
      </c>
      <c r="R22" s="192" t="str">
        <f t="shared" si="3"/>
        <v>2&gt;모의&gt;11.03&gt;2</v>
      </c>
      <c r="S22" s="192" t="str">
        <f t="shared" si="4"/>
        <v>2&gt;모의&gt;11.03&gt;1</v>
      </c>
      <c r="T22" s="180"/>
      <c r="U22" s="3" t="str">
        <f t="shared" si="5"/>
        <v>11.03-1-2</v>
      </c>
    </row>
    <row r="23" spans="1:21" s="3" customFormat="1" ht="14.45" customHeight="1" x14ac:dyDescent="0.2">
      <c r="A23" s="180"/>
      <c r="B23" s="188">
        <f t="shared" si="0"/>
        <v>20</v>
      </c>
      <c r="C23" s="296">
        <v>11.03</v>
      </c>
      <c r="D23" s="190" t="s">
        <v>28</v>
      </c>
      <c r="E23" s="190" t="s">
        <v>27</v>
      </c>
      <c r="F23" s="190" t="s">
        <v>31</v>
      </c>
      <c r="G23" s="191" t="s">
        <v>1600</v>
      </c>
      <c r="H23" s="190" t="s">
        <v>453</v>
      </c>
      <c r="I23" s="352" t="s">
        <v>1444</v>
      </c>
      <c r="J23" s="190" t="s">
        <v>417</v>
      </c>
      <c r="K23" s="191" t="str">
        <f>VLOOKUP(U23,통합목록!$Q$4:$T$310,4,0)</f>
        <v>총회 의결 정족수 충족 여부 및 위원장 해임결의의 유효성</v>
      </c>
      <c r="L23" s="192" t="str">
        <f>VLOOKUP(U23,통합목록!$Q$4:$T$310,2,0)</f>
        <v>열기2-01.노동법\02.문제\[모의][2][11.03-2]총회 의결 정족수 충족 여부 및 위원장 해임결의의 유효성.txt</v>
      </c>
      <c r="M23" s="192" t="s">
        <v>1647</v>
      </c>
      <c r="N23" s="192" t="str">
        <f>VLOOKUP(U23,통합목록!$Q$4:$S$310,3,0)</f>
        <v>A</v>
      </c>
      <c r="O23" s="193"/>
      <c r="P23" s="192" t="str">
        <f t="shared" si="1"/>
        <v>제11장 노동조합&gt;10&gt;2&gt;</v>
      </c>
      <c r="Q23" s="192" t="str">
        <f t="shared" si="2"/>
        <v>제11장 노동조합&gt;제03절 노동조합의 기구&gt;02</v>
      </c>
      <c r="R23" s="192" t="str">
        <f t="shared" si="3"/>
        <v>2&gt;모의&gt;11.03&gt;1</v>
      </c>
      <c r="S23" s="192" t="str">
        <f t="shared" si="4"/>
        <v>2&gt;모의&gt;11.03&gt;2</v>
      </c>
      <c r="T23" s="180"/>
      <c r="U23" s="3" t="str">
        <f t="shared" si="5"/>
        <v>11.03-2-2</v>
      </c>
    </row>
    <row r="24" spans="1:21" s="3" customFormat="1" ht="14.45" customHeight="1" x14ac:dyDescent="0.2">
      <c r="A24" s="180"/>
      <c r="B24" s="188">
        <f t="shared" si="0"/>
        <v>21</v>
      </c>
      <c r="C24" s="296">
        <v>11.02</v>
      </c>
      <c r="D24" s="190" t="s">
        <v>31</v>
      </c>
      <c r="E24" s="190" t="s">
        <v>27</v>
      </c>
      <c r="F24" s="190" t="s">
        <v>28</v>
      </c>
      <c r="G24" s="191" t="s">
        <v>1600</v>
      </c>
      <c r="H24" s="190" t="s">
        <v>440</v>
      </c>
      <c r="I24" s="352" t="s">
        <v>1443</v>
      </c>
      <c r="J24" s="190" t="s">
        <v>415</v>
      </c>
      <c r="K24" s="191" t="str">
        <f>VLOOKUP(U24,통합목록!$Q$4:$T$310,4,0)</f>
        <v>유니언 숍 조항을 근거로 한 탈퇴 후 타 노조 가입자 해고의 정당성</v>
      </c>
      <c r="L24" s="192" t="str">
        <f>VLOOKUP(U24,통합목록!$Q$4:$T$310,2,0)</f>
        <v>열기2-01.노동법\02.문제\[모의][2][11.02-1]유니언 숍 조항을 근거로 한 탈퇴 후 타 노조 가입자 해고의 정당성.txt</v>
      </c>
      <c r="M24" s="192" t="s">
        <v>1647</v>
      </c>
      <c r="N24" s="192" t="str">
        <f>VLOOKUP(U24,통합목록!$Q$4:$S$310,3,0)</f>
        <v>A</v>
      </c>
      <c r="O24" s="193"/>
      <c r="P24" s="192" t="str">
        <f t="shared" si="1"/>
        <v>제11장 노동조합&gt;07&gt;1&gt;</v>
      </c>
      <c r="Q24" s="192" t="str">
        <f t="shared" si="2"/>
        <v>제11장 노동조합&gt;제02절 조합원의 지위 및 권리・의무&gt;01</v>
      </c>
      <c r="R24" s="192" t="str">
        <f t="shared" si="3"/>
        <v>2&gt;모의&gt;11.02&gt;2</v>
      </c>
      <c r="S24" s="192" t="str">
        <f t="shared" si="4"/>
        <v>2&gt;모의&gt;11.02&gt;1</v>
      </c>
      <c r="T24" s="180"/>
      <c r="U24" s="3" t="str">
        <f t="shared" si="5"/>
        <v>11.02-1-2</v>
      </c>
    </row>
    <row r="25" spans="1:21" s="3" customFormat="1" ht="14.45" customHeight="1" x14ac:dyDescent="0.2">
      <c r="A25" s="180"/>
      <c r="B25" s="188">
        <f t="shared" si="0"/>
        <v>22</v>
      </c>
      <c r="C25" s="296">
        <v>11.02</v>
      </c>
      <c r="D25" s="190" t="s">
        <v>28</v>
      </c>
      <c r="E25" s="190" t="s">
        <v>27</v>
      </c>
      <c r="F25" s="190" t="s">
        <v>31</v>
      </c>
      <c r="G25" s="191" t="s">
        <v>1600</v>
      </c>
      <c r="H25" s="190" t="s">
        <v>447</v>
      </c>
      <c r="I25" s="352" t="s">
        <v>1443</v>
      </c>
      <c r="J25" s="190" t="s">
        <v>417</v>
      </c>
      <c r="K25" s="191" t="str">
        <f>VLOOKUP(U25,통합목록!$Q$4:$T$310,4,0)</f>
        <v>조합비 미납을 이유로 한 조합원 선거권 제한의 적법성</v>
      </c>
      <c r="L25" s="192" t="str">
        <f>VLOOKUP(U25,통합목록!$Q$4:$T$310,2,0)</f>
        <v>열기2-01.노동법\02.문제\[모의][2][11.02-2]조합비 미납을 이유로 한 조합원 선거권 제한의 적법성.txt</v>
      </c>
      <c r="M25" s="192" t="s">
        <v>1647</v>
      </c>
      <c r="N25" s="192" t="str">
        <f>VLOOKUP(U25,통합목록!$Q$4:$S$310,3,0)</f>
        <v>A</v>
      </c>
      <c r="O25" s="193"/>
      <c r="P25" s="192" t="str">
        <f t="shared" si="1"/>
        <v>제11장 노동조합&gt;08&gt;2&gt;</v>
      </c>
      <c r="Q25" s="192" t="str">
        <f t="shared" si="2"/>
        <v>제11장 노동조합&gt;제02절 조합원의 지위 및 권리・의무&gt;02</v>
      </c>
      <c r="R25" s="192" t="str">
        <f t="shared" si="3"/>
        <v>2&gt;모의&gt;11.02&gt;1</v>
      </c>
      <c r="S25" s="192" t="str">
        <f t="shared" si="4"/>
        <v>2&gt;모의&gt;11.02&gt;2</v>
      </c>
      <c r="T25" s="180"/>
      <c r="U25" s="3" t="str">
        <f t="shared" si="5"/>
        <v>11.02-2-2</v>
      </c>
    </row>
    <row r="26" spans="1:21" ht="14.45" customHeight="1" x14ac:dyDescent="0.2">
      <c r="B26" s="188">
        <f t="shared" si="0"/>
        <v>23</v>
      </c>
      <c r="C26" s="189">
        <v>2025</v>
      </c>
      <c r="D26" s="190" t="s">
        <v>412</v>
      </c>
      <c r="E26" s="190" t="s">
        <v>27</v>
      </c>
      <c r="F26" s="190" t="s">
        <v>413</v>
      </c>
      <c r="G26" s="191" t="s">
        <v>477</v>
      </c>
      <c r="H26" s="190" t="s">
        <v>415</v>
      </c>
      <c r="I26" s="352" t="s">
        <v>478</v>
      </c>
      <c r="J26" s="190" t="s">
        <v>415</v>
      </c>
      <c r="K26" s="191" t="str">
        <f>VLOOKUP(U26,통합목록!$Q$4:$T$310,4,0)</f>
        <v>직군이 다른 노동조합(사무직과 생산직)의 교섭단위 분리 신청 인정 여부</v>
      </c>
      <c r="L26" s="192" t="str">
        <f>VLOOKUP(U26,통합목록!$Q$4:$T$310,2,0)</f>
        <v>열기2-01.노동법\02.문제\[기출][2][2025-1-1]직군이 다른 노동조합(사무직과 생산직)의 교섭단위 분리 신청 인정 여부.txt</v>
      </c>
      <c r="M26" s="192" t="s">
        <v>1232</v>
      </c>
      <c r="N26" s="192" t="str">
        <f>VLOOKUP(U26,통합목록!$Q$4:$S$310,3,0)</f>
        <v>C</v>
      </c>
      <c r="O26" s="193"/>
      <c r="P26" s="192" t="str">
        <f t="shared" si="1"/>
        <v>제12장 단체교섭&gt;01&gt;1-1&gt;</v>
      </c>
      <c r="Q26" s="192" t="str">
        <f t="shared" si="2"/>
        <v>제12장 단체교섭&gt;제04절 교섭창구단일화제도&gt;01</v>
      </c>
      <c r="R26" s="192" t="str">
        <f t="shared" si="3"/>
        <v>2&gt;기출&gt;2025&gt;3</v>
      </c>
      <c r="S26" s="192" t="str">
        <f t="shared" si="4"/>
        <v>2&gt;기출&gt;2025&gt;1-1</v>
      </c>
      <c r="T26" s="3"/>
      <c r="U26" s="3" t="str">
        <f t="shared" si="5"/>
        <v>2025-1-1-2</v>
      </c>
    </row>
    <row r="27" spans="1:21" ht="14.45" customHeight="1" x14ac:dyDescent="0.2">
      <c r="B27" s="188">
        <f t="shared" si="0"/>
        <v>24</v>
      </c>
      <c r="C27" s="189">
        <v>2025</v>
      </c>
      <c r="D27" s="190" t="s">
        <v>416</v>
      </c>
      <c r="E27" s="190" t="s">
        <v>27</v>
      </c>
      <c r="F27" s="190" t="s">
        <v>27</v>
      </c>
      <c r="G27" s="191" t="s">
        <v>479</v>
      </c>
      <c r="H27" s="190" t="s">
        <v>1384</v>
      </c>
      <c r="I27" s="352" t="s">
        <v>480</v>
      </c>
      <c r="J27" s="190" t="s">
        <v>415</v>
      </c>
      <c r="K27" s="191" t="str">
        <f>VLOOKUP(U27,통합목록!$Q$4:$T$310,4,0)</f>
        <v>하위 인사고과 부여 및 이에 따른 임금 감액의 부당노동행위 구제신청기간 도과 여부+</v>
      </c>
      <c r="L27" s="192" t="str">
        <f>VLOOKUP(U27,통합목록!$Q$4:$T$310,2,0)</f>
        <v>열기2-01.노동법\02.문제\[기출][2][2025-1-2]하위 인사고과 부여 및 이에 따른 임금 감액의 부당노동행위 구제신청기간 도과 여부.txt</v>
      </c>
      <c r="M27" s="192" t="s">
        <v>1232</v>
      </c>
      <c r="N27" s="192" t="str">
        <f>VLOOKUP(U27,통합목록!$Q$4:$S$310,3,0)</f>
        <v>C</v>
      </c>
      <c r="O27" s="193" t="s">
        <v>1396</v>
      </c>
      <c r="P27" s="192" t="str">
        <f t="shared" si="1"/>
        <v>제15장 부당노동행위&gt;01&gt;1-2&gt;계속되는 행위</v>
      </c>
      <c r="Q27" s="192" t="str">
        <f t="shared" si="2"/>
        <v>제15장 부당노동행위&gt;제06절 부당노동행위에 대한 구제&gt;01</v>
      </c>
      <c r="R27" s="192" t="str">
        <f t="shared" si="3"/>
        <v>2&gt;기출&gt;2025&gt;2</v>
      </c>
      <c r="S27" s="192" t="str">
        <f t="shared" si="4"/>
        <v>2&gt;기출&gt;2025&gt;1-2</v>
      </c>
      <c r="T27" s="3"/>
      <c r="U27" s="3" t="str">
        <f t="shared" si="5"/>
        <v>2025-1-2-2</v>
      </c>
    </row>
    <row r="28" spans="1:21" ht="14.45" customHeight="1" x14ac:dyDescent="0.2">
      <c r="B28" s="188">
        <f t="shared" si="0"/>
        <v>25</v>
      </c>
      <c r="C28" s="189">
        <v>2025</v>
      </c>
      <c r="D28" s="190" t="s">
        <v>27</v>
      </c>
      <c r="E28" s="190" t="s">
        <v>27</v>
      </c>
      <c r="F28" s="190" t="s">
        <v>31</v>
      </c>
      <c r="G28" s="191" t="s">
        <v>1380</v>
      </c>
      <c r="H28" s="190" t="s">
        <v>417</v>
      </c>
      <c r="I28" s="352" t="s">
        <v>1456</v>
      </c>
      <c r="J28" s="190" t="s">
        <v>415</v>
      </c>
      <c r="K28" s="191" t="str">
        <f>VLOOKUP(U28,통합목록!$Q$4:$T$310,4,0)</f>
        <v>중재재정 조항의 교원노조법상 단체교섭 대상 여부</v>
      </c>
      <c r="L28" s="192" t="str">
        <f>VLOOKUP(U28,통합목록!$Q$4:$T$310,2,0)</f>
        <v>열기2-01.노동법\02.문제\[기출][2][2025-2]중재재정 조항의 교원노조법상 단체교섭 대상 여부.txt</v>
      </c>
      <c r="M28" s="192" t="s">
        <v>1232</v>
      </c>
      <c r="N28" s="192" t="str">
        <f>VLOOKUP(U28,통합목록!$Q$4:$S$310,3,0)</f>
        <v>C</v>
      </c>
      <c r="O28" s="193"/>
      <c r="P28" s="192" t="str">
        <f t="shared" si="1"/>
        <v>제16장 부속법령&gt;02&gt;2&gt;</v>
      </c>
      <c r="Q28" s="192" t="str">
        <f t="shared" si="2"/>
        <v>제16장 부속법령&gt;제11절 교노법&gt;01</v>
      </c>
      <c r="R28" s="192" t="str">
        <f t="shared" si="3"/>
        <v>2&gt;기출&gt;2025&gt;1</v>
      </c>
      <c r="S28" s="192" t="str">
        <f t="shared" si="4"/>
        <v>2&gt;기출&gt;2025&gt;2</v>
      </c>
      <c r="T28" s="3"/>
      <c r="U28" s="3" t="str">
        <f t="shared" si="5"/>
        <v>2025-2-2</v>
      </c>
    </row>
    <row r="29" spans="1:21" ht="14.45" customHeight="1" x14ac:dyDescent="0.2">
      <c r="B29" s="188">
        <f t="shared" si="0"/>
        <v>26</v>
      </c>
      <c r="C29" s="189">
        <v>2024</v>
      </c>
      <c r="D29" s="190" t="s">
        <v>412</v>
      </c>
      <c r="E29" s="190" t="s">
        <v>28</v>
      </c>
      <c r="F29" s="190" t="s">
        <v>413</v>
      </c>
      <c r="G29" s="191" t="s">
        <v>1476</v>
      </c>
      <c r="H29" s="190" t="s">
        <v>415</v>
      </c>
      <c r="I29" s="352" t="s">
        <v>1478</v>
      </c>
      <c r="J29" s="190" t="s">
        <v>415</v>
      </c>
      <c r="K29" s="191" t="str">
        <f>VLOOKUP(U29,통합목록!$Q$4:$T$310,4,0)</f>
        <v>자동차 대리점에 근무하는 판매원의 노동조합법상 근로자성 판단 기준</v>
      </c>
      <c r="L29" s="192" t="str">
        <f>VLOOKUP(U29,통합목록!$Q$4:$T$310,2,0)</f>
        <v>열기2-01.노동법\02.문제\[기출][2][2024-1-1]자동차 대리점에 근무하는 판매원의 노동조합법상 근로자성 판단 기준.txt</v>
      </c>
      <c r="M29" s="192" t="s">
        <v>1232</v>
      </c>
      <c r="N29" s="192" t="str">
        <f>VLOOKUP(U29,통합목록!$Q$4:$S$310,3,0)</f>
        <v>C</v>
      </c>
      <c r="O29" s="193"/>
      <c r="P29" s="192" t="str">
        <f t="shared" si="1"/>
        <v>제01장 노동법 총론&gt;01&gt;1-1&gt;</v>
      </c>
      <c r="Q29" s="192" t="str">
        <f t="shared" si="2"/>
        <v>제01장 노동법 총론&gt;제05절 노동조합법상 근로자&gt;01</v>
      </c>
      <c r="R29" s="192" t="str">
        <f t="shared" si="3"/>
        <v>2&gt;기출&gt;2024&gt;3</v>
      </c>
      <c r="S29" s="192" t="str">
        <f t="shared" si="4"/>
        <v>2&gt;기출&gt;2024&gt;1-1</v>
      </c>
      <c r="T29" s="3"/>
      <c r="U29" s="3" t="str">
        <f t="shared" si="5"/>
        <v>2024-1-1-2</v>
      </c>
    </row>
    <row r="30" spans="1:21" ht="14.45" customHeight="1" x14ac:dyDescent="0.2">
      <c r="B30" s="188">
        <f t="shared" si="0"/>
        <v>27</v>
      </c>
      <c r="C30" s="189">
        <v>2024</v>
      </c>
      <c r="D30" s="190" t="s">
        <v>416</v>
      </c>
      <c r="E30" s="190" t="s">
        <v>27</v>
      </c>
      <c r="F30" s="190" t="s">
        <v>27</v>
      </c>
      <c r="G30" s="191" t="s">
        <v>479</v>
      </c>
      <c r="H30" s="190" t="s">
        <v>1385</v>
      </c>
      <c r="I30" s="352" t="s">
        <v>481</v>
      </c>
      <c r="J30" s="190" t="s">
        <v>415</v>
      </c>
      <c r="K30" s="191" t="str">
        <f>VLOOKUP(U30,통합목록!$Q$4:$T$310,4,0)</f>
        <v>카마스터들에 대한 용역계약 해지의 불이익 취급 부당노동행위 성립 여부 및 사유 정당성</v>
      </c>
      <c r="L30" s="192" t="str">
        <f>VLOOKUP(U30,통합목록!$Q$4:$T$310,2,0)</f>
        <v>열기2-01.노동법\02.문제\[기출][2][2024-1-2]카마스터들에 대한 용역계약 해지의 불이익 취급 부당노동행위 성립 여부 및 사유 정당성.txt</v>
      </c>
      <c r="M30" s="192" t="s">
        <v>1232</v>
      </c>
      <c r="N30" s="192" t="str">
        <f>VLOOKUP(U30,통합목록!$Q$4:$S$310,3,0)</f>
        <v>C</v>
      </c>
      <c r="O30" s="193"/>
      <c r="P30" s="192" t="str">
        <f t="shared" si="1"/>
        <v>제15장 부당노동행위&gt;02&gt;1-2&gt;</v>
      </c>
      <c r="Q30" s="192" t="str">
        <f t="shared" si="2"/>
        <v>제15장 부당노동행위&gt;제02절 불이익취급&gt;01</v>
      </c>
      <c r="R30" s="192" t="str">
        <f t="shared" si="3"/>
        <v>2&gt;기출&gt;2024&gt;2</v>
      </c>
      <c r="S30" s="192" t="str">
        <f t="shared" si="4"/>
        <v>2&gt;기출&gt;2024&gt;1-2</v>
      </c>
      <c r="T30" s="3"/>
      <c r="U30" s="3" t="str">
        <f t="shared" si="5"/>
        <v>2024-1-2-2</v>
      </c>
    </row>
    <row r="31" spans="1:21" ht="14.45" customHeight="1" x14ac:dyDescent="0.2">
      <c r="B31" s="188">
        <f t="shared" si="0"/>
        <v>28</v>
      </c>
      <c r="C31" s="189">
        <v>2024</v>
      </c>
      <c r="D31" s="190" t="s">
        <v>27</v>
      </c>
      <c r="E31" s="190" t="s">
        <v>27</v>
      </c>
      <c r="F31" s="190" t="s">
        <v>419</v>
      </c>
      <c r="G31" s="191" t="s">
        <v>477</v>
      </c>
      <c r="H31" s="190" t="s">
        <v>417</v>
      </c>
      <c r="I31" s="352" t="s">
        <v>478</v>
      </c>
      <c r="J31" s="190" t="s">
        <v>417</v>
      </c>
      <c r="K31" s="191" t="str">
        <f>VLOOKUP(U31,통합목록!$Q$4:$T$310,4,0)</f>
        <v>교섭대표노동조합의 공정대표의무 위반 여부</v>
      </c>
      <c r="L31" s="192" t="str">
        <f>VLOOKUP(U31,통합목록!$Q$4:$T$310,2,0)</f>
        <v>열기2-01.노동법\02.문제\[기출][2][2024-2]교섭대표노동조합의 공정대표의무 위반 여부.txt</v>
      </c>
      <c r="M31" s="192" t="s">
        <v>1232</v>
      </c>
      <c r="N31" s="192" t="str">
        <f>VLOOKUP(U31,통합목록!$Q$4:$S$310,3,0)</f>
        <v>C</v>
      </c>
      <c r="O31" s="193"/>
      <c r="P31" s="192" t="str">
        <f t="shared" si="1"/>
        <v>제12장 단체교섭&gt;02&gt;2&gt;</v>
      </c>
      <c r="Q31" s="192" t="str">
        <f t="shared" si="2"/>
        <v>제12장 단체교섭&gt;제04절 교섭창구단일화제도&gt;02</v>
      </c>
      <c r="R31" s="192" t="str">
        <f t="shared" si="3"/>
        <v>2&gt;기출&gt;2024&gt;1</v>
      </c>
      <c r="S31" s="192" t="str">
        <f t="shared" si="4"/>
        <v>2&gt;기출&gt;2024&gt;2</v>
      </c>
      <c r="T31" s="3"/>
      <c r="U31" s="3" t="str">
        <f t="shared" si="5"/>
        <v>2024-2-2</v>
      </c>
    </row>
    <row r="32" spans="1:21" ht="14.45" customHeight="1" x14ac:dyDescent="0.2">
      <c r="B32" s="188">
        <f t="shared" si="0"/>
        <v>29</v>
      </c>
      <c r="C32" s="189">
        <v>2023</v>
      </c>
      <c r="D32" s="190" t="s">
        <v>412</v>
      </c>
      <c r="E32" s="190" t="s">
        <v>27</v>
      </c>
      <c r="F32" s="190" t="s">
        <v>1548</v>
      </c>
      <c r="G32" s="191" t="s">
        <v>477</v>
      </c>
      <c r="H32" s="190" t="s">
        <v>426</v>
      </c>
      <c r="I32" s="352" t="s">
        <v>1446</v>
      </c>
      <c r="J32" s="190" t="s">
        <v>415</v>
      </c>
      <c r="K32" s="191" t="str">
        <f>VLOOKUP(U32,통합목록!$Q$4:$T$310,4,0)</f>
        <v>사용자의 직장폐쇄 중 수임 상급단체의 단체교섭 요구를 계속적으로 거부한 행위의 부당노동행위 성립 여부</v>
      </c>
      <c r="L32" s="192" t="str">
        <f>VLOOKUP(U32,통합목록!$Q$4:$T$310,2,0)</f>
        <v>열기2-01.노동법\02.문제\[기출][2][2023-1-1]사용자의 직장폐쇄 중 수임 상급단체의 단체교섭 요구를 계속적으로 거부한 행위의 부당노동행위 성립 여부.txt</v>
      </c>
      <c r="M32" s="192" t="s">
        <v>1232</v>
      </c>
      <c r="N32" s="192" t="str">
        <f>VLOOKUP(U32,통합목록!$Q$4:$S$310,3,0)</f>
        <v>C</v>
      </c>
      <c r="O32" s="193"/>
      <c r="P32" s="192" t="str">
        <f t="shared" si="1"/>
        <v>제12장 단체교섭&gt;03&gt;1-1&gt;</v>
      </c>
      <c r="Q32" s="192" t="str">
        <f t="shared" si="2"/>
        <v>제12장 단체교섭&gt;제02절 단체교섭의 담당자&gt;01</v>
      </c>
      <c r="R32" s="192" t="str">
        <f t="shared" si="3"/>
        <v>2&gt;기출&gt;2023&gt;4</v>
      </c>
      <c r="S32" s="192" t="str">
        <f t="shared" si="4"/>
        <v>2&gt;기출&gt;2023&gt;1-1</v>
      </c>
      <c r="T32" s="3"/>
      <c r="U32" s="3" t="str">
        <f t="shared" si="5"/>
        <v>2023-1-1-2</v>
      </c>
    </row>
    <row r="33" spans="2:21" ht="14.45" customHeight="1" x14ac:dyDescent="0.2">
      <c r="B33" s="188">
        <f t="shared" si="0"/>
        <v>30</v>
      </c>
      <c r="C33" s="189">
        <v>2023</v>
      </c>
      <c r="D33" s="190" t="s">
        <v>412</v>
      </c>
      <c r="E33" s="190" t="s">
        <v>27</v>
      </c>
      <c r="F33" s="190" t="s">
        <v>1547</v>
      </c>
      <c r="G33" s="191" t="s">
        <v>1818</v>
      </c>
      <c r="H33" s="190" t="s">
        <v>1386</v>
      </c>
      <c r="I33" s="352" t="s">
        <v>1819</v>
      </c>
      <c r="J33" s="190" t="s">
        <v>415</v>
      </c>
      <c r="K33" s="191" t="str">
        <f>VLOOKUP(U33,통합목록!$Q$4:$T$310,4,0)</f>
        <v>사용자의 직장폐쇄 중 수임 상급단체의 단체교섭 요구를 계속적으로 거부한 행위의 부당노동행위 성립 여부</v>
      </c>
      <c r="L33" s="192" t="str">
        <f>VLOOKUP(U33,통합목록!$Q$4:$T$310,2,0)</f>
        <v>열기2-01.노동법\02.문제\[기출][2][2023-1-1]사용자의 직장폐쇄 중 수임 상급단체의 단체교섭 요구를 계속적으로 거부한 행위의 부당노동행위 성립 여부.txt</v>
      </c>
      <c r="M33" s="192" t="s">
        <v>1232</v>
      </c>
      <c r="N33" s="192" t="str">
        <f>VLOOKUP(U33,통합목록!$Q$4:$S$310,3,0)</f>
        <v>C</v>
      </c>
      <c r="O33" s="193"/>
      <c r="P33" s="192" t="str">
        <f t="shared" si="1"/>
        <v>제15장 부당노동행위&gt;03&gt;1-1&gt;</v>
      </c>
      <c r="Q33" s="192" t="str">
        <f t="shared" si="2"/>
        <v>제15장 부당노동행위&gt;제04절 단체교섭의 거부・해태&gt;01</v>
      </c>
      <c r="R33" s="192" t="str">
        <f t="shared" si="3"/>
        <v>2&gt;기출&gt;2023&gt;3</v>
      </c>
      <c r="S33" s="192" t="str">
        <f t="shared" si="4"/>
        <v>2&gt;기출&gt;2023&gt;1-1</v>
      </c>
      <c r="T33" s="3"/>
      <c r="U33" s="3" t="str">
        <f t="shared" si="5"/>
        <v>2023-1-1-2</v>
      </c>
    </row>
    <row r="34" spans="2:21" ht="14.45" customHeight="1" x14ac:dyDescent="0.2">
      <c r="B34" s="188">
        <f t="shared" si="0"/>
        <v>31</v>
      </c>
      <c r="C34" s="189">
        <v>2023</v>
      </c>
      <c r="D34" s="190" t="s">
        <v>416</v>
      </c>
      <c r="E34" s="190" t="s">
        <v>27</v>
      </c>
      <c r="F34" s="190" t="s">
        <v>27</v>
      </c>
      <c r="G34" s="191" t="s">
        <v>477</v>
      </c>
      <c r="H34" s="190" t="s">
        <v>430</v>
      </c>
      <c r="I34" s="352" t="s">
        <v>483</v>
      </c>
      <c r="J34" s="190" t="s">
        <v>415</v>
      </c>
      <c r="K34" s="191" t="str">
        <f>VLOOKUP(U34,통합목록!$Q$4:$T$310,4,0)</f>
        <v>노동조합 대표자가 규약 절차를 위반하여 체결한 단체협약의 법적 효력</v>
      </c>
      <c r="L34" s="192" t="str">
        <f>VLOOKUP(U34,통합목록!$Q$4:$T$310,2,0)</f>
        <v>열기2-01.노동법\02.문제\[기출][2][2023-1-2]노동조합 대표자가 규약 절차를 위반하여 체결한 단체협약의 법적 효력.txt</v>
      </c>
      <c r="M34" s="192" t="s">
        <v>1232</v>
      </c>
      <c r="N34" s="192" t="str">
        <f>VLOOKUP(U34,통합목록!$Q$4:$S$310,3,0)</f>
        <v>C</v>
      </c>
      <c r="O34" s="193"/>
      <c r="P34" s="192" t="str">
        <f t="shared" si="1"/>
        <v>제12장 단체교섭&gt;04&gt;1-2&gt;</v>
      </c>
      <c r="Q34" s="192" t="str">
        <f t="shared" si="2"/>
        <v>제12장 단체교섭&gt;제05절 인준투표제&gt;01</v>
      </c>
      <c r="R34" s="192" t="str">
        <f t="shared" si="3"/>
        <v>2&gt;기출&gt;2023&gt;2</v>
      </c>
      <c r="S34" s="192" t="str">
        <f t="shared" si="4"/>
        <v>2&gt;기출&gt;2023&gt;1-2</v>
      </c>
      <c r="T34" s="3"/>
      <c r="U34" s="3" t="str">
        <f t="shared" si="5"/>
        <v>2023-1-2-2</v>
      </c>
    </row>
    <row r="35" spans="2:21" ht="14.45" customHeight="1" x14ac:dyDescent="0.2">
      <c r="B35" s="188">
        <f t="shared" si="0"/>
        <v>32</v>
      </c>
      <c r="C35" s="189">
        <v>2023</v>
      </c>
      <c r="D35" s="190" t="s">
        <v>27</v>
      </c>
      <c r="E35" s="190" t="s">
        <v>27</v>
      </c>
      <c r="F35" s="190" t="s">
        <v>419</v>
      </c>
      <c r="G35" s="191" t="s">
        <v>488</v>
      </c>
      <c r="H35" s="190" t="s">
        <v>415</v>
      </c>
      <c r="I35" s="352" t="s">
        <v>484</v>
      </c>
      <c r="J35" s="190" t="s">
        <v>415</v>
      </c>
      <c r="K35" s="191" t="str">
        <f>VLOOKUP(U35,통합목록!$Q$4:$T$310,4,0)</f>
        <v>개별 동의 없는 불이익 단체협약의 규범적 효력과 기득이익의 관계</v>
      </c>
      <c r="L35" s="192" t="str">
        <f>VLOOKUP(U35,통합목록!$Q$4:$T$310,2,0)</f>
        <v>열기2-01.노동법\02.문제\[기출][2][2023-2]개별 동의 없는 불이익 단체협약의 규범적 효력과 기득이익의 관계.txt</v>
      </c>
      <c r="M35" s="192" t="s">
        <v>1232</v>
      </c>
      <c r="N35" s="192" t="str">
        <f>VLOOKUP(U35,통합목록!$Q$4:$S$310,3,0)</f>
        <v>C</v>
      </c>
      <c r="O35" s="193"/>
      <c r="P35" s="192" t="str">
        <f t="shared" si="1"/>
        <v>제13장 단체협약&gt;01&gt;2&gt;</v>
      </c>
      <c r="Q35" s="192" t="str">
        <f t="shared" si="2"/>
        <v>제13장 단체협약&gt;제03절 단체협약의 효력&gt;01</v>
      </c>
      <c r="R35" s="192" t="str">
        <f t="shared" si="3"/>
        <v>2&gt;기출&gt;2023&gt;1</v>
      </c>
      <c r="S35" s="192" t="str">
        <f t="shared" si="4"/>
        <v>2&gt;기출&gt;2023&gt;2</v>
      </c>
      <c r="T35" s="3"/>
      <c r="U35" s="3" t="str">
        <f t="shared" si="5"/>
        <v>2023-2-2</v>
      </c>
    </row>
    <row r="36" spans="2:21" ht="14.45" customHeight="1" x14ac:dyDescent="0.2">
      <c r="B36" s="188">
        <f t="shared" ref="B36:B67" si="6">ROW()-3</f>
        <v>33</v>
      </c>
      <c r="C36" s="189">
        <v>2022</v>
      </c>
      <c r="D36" s="190" t="s">
        <v>412</v>
      </c>
      <c r="E36" s="190" t="s">
        <v>27</v>
      </c>
      <c r="F36" s="190" t="s">
        <v>413</v>
      </c>
      <c r="G36" s="191" t="s">
        <v>485</v>
      </c>
      <c r="H36" s="190" t="s">
        <v>415</v>
      </c>
      <c r="I36" s="352" t="s">
        <v>1451</v>
      </c>
      <c r="J36" s="190" t="s">
        <v>415</v>
      </c>
      <c r="K36" s="191" t="str">
        <f>VLOOKUP(U36,통합목록!$Q$4:$T$310,4,0)</f>
        <v>원청 사업장에서 쟁의행위를 실시한 하청 노동조합에 대한 퇴거불응죄 성립 여부</v>
      </c>
      <c r="L36" s="192" t="str">
        <f>VLOOKUP(U36,통합목록!$Q$4:$T$310,2,0)</f>
        <v>열기2-01.노동법\02.문제\[기출][2][2022-1-1]원청 사업장에서 쟁의행위를 실시한 하청 노동조합에 대한 퇴거불응죄 성립 여부.txt</v>
      </c>
      <c r="M36" s="192" t="s">
        <v>1232</v>
      </c>
      <c r="N36" s="192" t="str">
        <f>VLOOKUP(U36,통합목록!$Q$4:$S$310,3,0)</f>
        <v>A</v>
      </c>
      <c r="O36" s="193"/>
      <c r="P36" s="192" t="str">
        <f t="shared" ref="P36:P67" si="7">G36&amp;"&gt;"&amp;H36&amp;"&gt;"&amp;D36&amp;"&gt;"&amp;O36</f>
        <v>제14장 쟁의행위&gt;01&gt;1-1&gt;</v>
      </c>
      <c r="Q36" s="192" t="str">
        <f t="shared" ref="Q36:Q67" si="8">G36&amp;"&gt;"&amp;I36&amp;"&gt;"&amp;J36</f>
        <v>제14장 쟁의행위&gt;제04절 쟁의행위 수단・방법의 정당성&gt;01</v>
      </c>
      <c r="R36" s="192" t="str">
        <f t="shared" ref="R36:R67" si="9">E36&amp;"&gt;"&amp;M36&amp;"&gt;"&amp;C36&amp;"&gt;"&amp;F36</f>
        <v>2&gt;기출&gt;2022&gt;3</v>
      </c>
      <c r="S36" s="192" t="str">
        <f t="shared" ref="S36:S67" si="10">E36&amp;"&gt;"&amp;M36&amp;"&gt;"&amp;C36&amp;"&gt;"&amp;D36</f>
        <v>2&gt;기출&gt;2022&gt;1-1</v>
      </c>
      <c r="T36" s="3"/>
      <c r="U36" s="3" t="str">
        <f t="shared" ref="U36:U67" si="11">C36&amp;"-"&amp;D36&amp;"-"&amp;E36</f>
        <v>2022-1-1-2</v>
      </c>
    </row>
    <row r="37" spans="2:21" ht="14.45" customHeight="1" x14ac:dyDescent="0.2">
      <c r="B37" s="188">
        <f t="shared" si="6"/>
        <v>34</v>
      </c>
      <c r="C37" s="189">
        <v>2022</v>
      </c>
      <c r="D37" s="190" t="s">
        <v>416</v>
      </c>
      <c r="E37" s="190" t="s">
        <v>27</v>
      </c>
      <c r="F37" s="190" t="s">
        <v>27</v>
      </c>
      <c r="G37" s="191" t="s">
        <v>485</v>
      </c>
      <c r="H37" s="190" t="s">
        <v>486</v>
      </c>
      <c r="I37" s="352" t="s">
        <v>2</v>
      </c>
      <c r="J37" s="190" t="s">
        <v>415</v>
      </c>
      <c r="K37" s="191" t="str">
        <f>VLOOKUP(U37,통합목록!$Q$4:$T$310,4,0)</f>
        <v>용역업체의 대체근로 저지행위에 대한 형사상 위법성 여부</v>
      </c>
      <c r="L37" s="192" t="str">
        <f>VLOOKUP(U37,통합목록!$Q$4:$T$310,2,0)</f>
        <v>열기2-01.노동법\02.문제\[기출][2][2022-1-2]용역업체의 대체근로 저지행위에 대한 형사상 위법성 여부.txt</v>
      </c>
      <c r="M37" s="192" t="s">
        <v>1232</v>
      </c>
      <c r="N37" s="192" t="str">
        <f>VLOOKUP(U37,통합목록!$Q$4:$S$310,3,0)</f>
        <v>A</v>
      </c>
      <c r="O37" s="193" t="s">
        <v>1717</v>
      </c>
      <c r="P37" s="192" t="str">
        <f t="shared" si="7"/>
        <v>제14장 쟁의행위&gt;02&gt;1-2&gt;보충 포함</v>
      </c>
      <c r="Q37" s="192" t="str">
        <f t="shared" si="8"/>
        <v>제14장 쟁의행위&gt;제10절 쟁의기간 중 대체근로의 제한&gt;01</v>
      </c>
      <c r="R37" s="192" t="str">
        <f t="shared" si="9"/>
        <v>2&gt;기출&gt;2022&gt;2</v>
      </c>
      <c r="S37" s="192" t="str">
        <f t="shared" si="10"/>
        <v>2&gt;기출&gt;2022&gt;1-2</v>
      </c>
      <c r="T37" s="3"/>
      <c r="U37" s="3" t="str">
        <f t="shared" si="11"/>
        <v>2022-1-2-2</v>
      </c>
    </row>
    <row r="38" spans="2:21" ht="14.45" customHeight="1" x14ac:dyDescent="0.2">
      <c r="B38" s="188">
        <f t="shared" si="6"/>
        <v>35</v>
      </c>
      <c r="C38" s="189">
        <v>2022</v>
      </c>
      <c r="D38" s="190" t="s">
        <v>27</v>
      </c>
      <c r="E38" s="190" t="s">
        <v>27</v>
      </c>
      <c r="F38" s="190" t="s">
        <v>419</v>
      </c>
      <c r="G38" s="191" t="s">
        <v>1600</v>
      </c>
      <c r="H38" s="190" t="s">
        <v>415</v>
      </c>
      <c r="I38" s="352" t="s">
        <v>1486</v>
      </c>
      <c r="J38" s="190" t="s">
        <v>415</v>
      </c>
      <c r="K38" s="191" t="str">
        <f>VLOOKUP(U38,통합목록!$Q$4:$T$310,4,0)</f>
        <v>산업안전보건법 위반 증거수집 목적의 생산공장 출입이 정당한 조합활동에 해당하는지 여부</v>
      </c>
      <c r="L38" s="192" t="str">
        <f>VLOOKUP(U38,통합목록!$Q$4:$T$310,2,0)</f>
        <v>열기2-01.노동법\02.문제\[기출][2][2022-2]산업안전보건법 위반 증거수집 목적의 생산공장 출입이 정당한 조합활동에 해당하는지 여부.txt</v>
      </c>
      <c r="M38" s="192" t="s">
        <v>1232</v>
      </c>
      <c r="N38" s="192" t="str">
        <f>VLOOKUP(U38,통합목록!$Q$4:$S$310,3,0)</f>
        <v>A</v>
      </c>
      <c r="O38" s="193"/>
      <c r="P38" s="192" t="str">
        <f t="shared" si="7"/>
        <v>제11장 노동조합&gt;01&gt;2&gt;</v>
      </c>
      <c r="Q38" s="192" t="str">
        <f t="shared" si="8"/>
        <v>제11장 노동조합&gt;제04절 조합활동의 정당성&gt;01</v>
      </c>
      <c r="R38" s="192" t="str">
        <f t="shared" si="9"/>
        <v>2&gt;기출&gt;2022&gt;1</v>
      </c>
      <c r="S38" s="192" t="str">
        <f t="shared" si="10"/>
        <v>2&gt;기출&gt;2022&gt;2</v>
      </c>
      <c r="T38" s="3"/>
      <c r="U38" s="3" t="str">
        <f t="shared" si="11"/>
        <v>2022-2-2</v>
      </c>
    </row>
    <row r="39" spans="2:21" ht="14.45" customHeight="1" x14ac:dyDescent="0.2">
      <c r="B39" s="188">
        <f t="shared" si="6"/>
        <v>36</v>
      </c>
      <c r="C39" s="189">
        <v>2021</v>
      </c>
      <c r="D39" s="190" t="s">
        <v>412</v>
      </c>
      <c r="E39" s="190" t="s">
        <v>27</v>
      </c>
      <c r="F39" s="190" t="s">
        <v>1596</v>
      </c>
      <c r="G39" s="191" t="s">
        <v>1600</v>
      </c>
      <c r="H39" s="190" t="s">
        <v>417</v>
      </c>
      <c r="I39" s="352" t="s">
        <v>487</v>
      </c>
      <c r="J39" s="190" t="s">
        <v>415</v>
      </c>
      <c r="K39" s="191" t="str">
        <f>VLOOKUP(U39,통합목록!$Q$4:$T$310,4,0)</f>
        <v>설립신고를 하지 않은 초기업 노동조합 지부의 단체협약 체결 당사자 지위 인정 여부</v>
      </c>
      <c r="L39" s="192" t="str">
        <f>VLOOKUP(U39,통합목록!$Q$4:$T$310,2,0)</f>
        <v>열기2-01.노동법\02.문제\[기출][2][2021-1-1]설립신고를 하지 않은 초기업 노동조합 지부의 단체협약 체결 당사자 지위 인정 여부.txt</v>
      </c>
      <c r="M39" s="192" t="s">
        <v>1232</v>
      </c>
      <c r="N39" s="192" t="str">
        <f>VLOOKUP(U39,통합목록!$Q$4:$S$310,3,0)</f>
        <v>A</v>
      </c>
      <c r="O39" s="193"/>
      <c r="P39" s="192" t="str">
        <f t="shared" si="7"/>
        <v>제11장 노동조합&gt;02&gt;1-1&gt;</v>
      </c>
      <c r="Q39" s="192" t="str">
        <f t="shared" si="8"/>
        <v>제11장 노동조합&gt;제01절 노동조합의 설립요건&gt;01</v>
      </c>
      <c r="R39" s="192" t="str">
        <f t="shared" si="9"/>
        <v>2&gt;기출&gt;2021&gt;4</v>
      </c>
      <c r="S39" s="192" t="str">
        <f t="shared" si="10"/>
        <v>2&gt;기출&gt;2021&gt;1-1</v>
      </c>
      <c r="T39" s="3"/>
      <c r="U39" s="3" t="str">
        <f t="shared" si="11"/>
        <v>2021-1-1-2</v>
      </c>
    </row>
    <row r="40" spans="2:21" ht="14.45" customHeight="1" x14ac:dyDescent="0.2">
      <c r="B40" s="188">
        <f t="shared" si="6"/>
        <v>37</v>
      </c>
      <c r="C40" s="189">
        <v>2021</v>
      </c>
      <c r="D40" s="190" t="s">
        <v>412</v>
      </c>
      <c r="E40" s="190" t="s">
        <v>27</v>
      </c>
      <c r="F40" s="190" t="s">
        <v>413</v>
      </c>
      <c r="G40" s="191" t="s">
        <v>1820</v>
      </c>
      <c r="H40" s="190" t="s">
        <v>1595</v>
      </c>
      <c r="I40" s="352" t="s">
        <v>1821</v>
      </c>
      <c r="J40" s="190" t="s">
        <v>1593</v>
      </c>
      <c r="K40" s="191" t="str">
        <f>VLOOKUP(U40,통합목록!$Q$4:$T$310,4,0)</f>
        <v>설립신고를 하지 않은 초기업 노동조합 지부의 단체협약 체결 당사자 지위 인정 여부</v>
      </c>
      <c r="L40" s="192" t="str">
        <f>VLOOKUP(U40,통합목록!$Q$4:$T$310,2,0)</f>
        <v>열기2-01.노동법\02.문제\[기출][2][2021-1-1]설립신고를 하지 않은 초기업 노동조합 지부의 단체협약 체결 당사자 지위 인정 여부.txt</v>
      </c>
      <c r="M40" s="192" t="s">
        <v>1256</v>
      </c>
      <c r="N40" s="192" t="str">
        <f>VLOOKUP(U40,통합목록!$Q$4:$S$310,3,0)</f>
        <v>A</v>
      </c>
      <c r="O40" s="193"/>
      <c r="P40" s="192" t="str">
        <f t="shared" si="7"/>
        <v>제12장 단체교섭&gt;05&gt;1-1&gt;</v>
      </c>
      <c r="Q40" s="192" t="str">
        <f t="shared" si="8"/>
        <v>제12장 단체교섭&gt;제01절 단체교섭의 당사자&gt;01</v>
      </c>
      <c r="R40" s="192" t="str">
        <f t="shared" si="9"/>
        <v>2&gt;기출&gt;2021&gt;3</v>
      </c>
      <c r="S40" s="192" t="str">
        <f t="shared" si="10"/>
        <v>2&gt;기출&gt;2021&gt;1-1</v>
      </c>
      <c r="T40" s="3"/>
      <c r="U40" s="3" t="str">
        <f t="shared" si="11"/>
        <v>2021-1-1-2</v>
      </c>
    </row>
    <row r="41" spans="2:21" ht="14.45" customHeight="1" x14ac:dyDescent="0.2">
      <c r="B41" s="188">
        <f t="shared" si="6"/>
        <v>38</v>
      </c>
      <c r="C41" s="189">
        <v>2021</v>
      </c>
      <c r="D41" s="190" t="s">
        <v>416</v>
      </c>
      <c r="E41" s="190" t="s">
        <v>27</v>
      </c>
      <c r="F41" s="190" t="s">
        <v>27</v>
      </c>
      <c r="G41" s="191" t="s">
        <v>488</v>
      </c>
      <c r="H41" s="190" t="s">
        <v>417</v>
      </c>
      <c r="I41" s="352" t="s">
        <v>489</v>
      </c>
      <c r="J41" s="190" t="s">
        <v>415</v>
      </c>
      <c r="K41" s="191" t="str">
        <f>VLOOKUP(U41,통합목록!$Q$4:$T$310,4,0)</f>
        <v>자동연장된 단체협약의 해지권 제한 약정의 효력 및 해지 통보의 유효성</v>
      </c>
      <c r="L41" s="192" t="str">
        <f>VLOOKUP(U41,통합목록!$Q$4:$T$310,2,0)</f>
        <v>열기2-01.노동법\02.문제\[기출][2][2021-1-2]자동연장된 단체협약의 해지권 제한 약정의 효력 및 해지 통보의 유효성.txt</v>
      </c>
      <c r="M41" s="192" t="s">
        <v>1232</v>
      </c>
      <c r="N41" s="192" t="str">
        <f>VLOOKUP(U41,통합목록!$Q$4:$S$310,3,0)</f>
        <v>A</v>
      </c>
      <c r="O41" s="193"/>
      <c r="P41" s="192" t="str">
        <f t="shared" si="7"/>
        <v>제13장 단체협약&gt;02&gt;1-2&gt;</v>
      </c>
      <c r="Q41" s="192" t="str">
        <f t="shared" si="8"/>
        <v>제13장 단체협약&gt;제08절 단체협약의 실효 및 실효 후의 근로관계&gt;01</v>
      </c>
      <c r="R41" s="192" t="str">
        <f t="shared" si="9"/>
        <v>2&gt;기출&gt;2021&gt;2</v>
      </c>
      <c r="S41" s="192" t="str">
        <f t="shared" si="10"/>
        <v>2&gt;기출&gt;2021&gt;1-2</v>
      </c>
      <c r="T41" s="3"/>
      <c r="U41" s="3" t="str">
        <f t="shared" si="11"/>
        <v>2021-1-2-2</v>
      </c>
    </row>
    <row r="42" spans="2:21" ht="14.45" customHeight="1" x14ac:dyDescent="0.2">
      <c r="B42" s="188">
        <f t="shared" si="6"/>
        <v>39</v>
      </c>
      <c r="C42" s="189">
        <v>2021</v>
      </c>
      <c r="D42" s="190" t="s">
        <v>27</v>
      </c>
      <c r="E42" s="190" t="s">
        <v>27</v>
      </c>
      <c r="F42" s="190" t="s">
        <v>419</v>
      </c>
      <c r="G42" s="191" t="s">
        <v>485</v>
      </c>
      <c r="H42" s="190" t="s">
        <v>490</v>
      </c>
      <c r="I42" s="352" t="s">
        <v>491</v>
      </c>
      <c r="J42" s="190" t="s">
        <v>415</v>
      </c>
      <c r="K42" s="191" t="str">
        <f>VLOOKUP(U42,통합목록!$Q$4:$T$310,4,0)</f>
        <v>임금협약의 유효기간 중 재교섭을 요구하며 개시한 파업의 정당성 여부</v>
      </c>
      <c r="L42" s="192" t="str">
        <f>VLOOKUP(U42,통합목록!$Q$4:$T$310,2,0)</f>
        <v>열기2-01.노동법\02.문제\[기출][2][2021-2]임금협약의 유효기간 중 재교섭을 요구하며 개시한 파업의 정당성 여부.txt</v>
      </c>
      <c r="M42" s="192" t="s">
        <v>1232</v>
      </c>
      <c r="N42" s="192" t="str">
        <f>VLOOKUP(U42,통합목록!$Q$4:$S$310,3,0)</f>
        <v>A</v>
      </c>
      <c r="O42" s="193"/>
      <c r="P42" s="192" t="str">
        <f t="shared" si="7"/>
        <v>제14장 쟁의행위&gt;03&gt;2&gt;</v>
      </c>
      <c r="Q42" s="192" t="str">
        <f t="shared" si="8"/>
        <v>제14장 쟁의행위&gt;제02절 쟁의행위 목적의 정당성&gt;01</v>
      </c>
      <c r="R42" s="192" t="str">
        <f t="shared" si="9"/>
        <v>2&gt;기출&gt;2021&gt;1</v>
      </c>
      <c r="S42" s="192" t="str">
        <f t="shared" si="10"/>
        <v>2&gt;기출&gt;2021&gt;2</v>
      </c>
      <c r="T42" s="3"/>
      <c r="U42" s="3" t="str">
        <f t="shared" si="11"/>
        <v>2021-2-2</v>
      </c>
    </row>
    <row r="43" spans="2:21" ht="14.45" customHeight="1" x14ac:dyDescent="0.2">
      <c r="B43" s="188">
        <f t="shared" si="6"/>
        <v>40</v>
      </c>
      <c r="C43" s="189">
        <v>2020</v>
      </c>
      <c r="D43" s="190" t="s">
        <v>412</v>
      </c>
      <c r="E43" s="190" t="s">
        <v>27</v>
      </c>
      <c r="F43" s="190" t="s">
        <v>437</v>
      </c>
      <c r="G43" s="191" t="s">
        <v>485</v>
      </c>
      <c r="H43" s="190" t="s">
        <v>430</v>
      </c>
      <c r="I43" s="352" t="s">
        <v>2</v>
      </c>
      <c r="J43" s="190" t="s">
        <v>417</v>
      </c>
      <c r="K43" s="191" t="str">
        <f>VLOOKUP(U43,통합목록!$Q$4:$T$310,4,0)</f>
        <v>대체인력 투입이 대체근로 제한에 위배되어 위법한지 여부</v>
      </c>
      <c r="L43" s="192" t="str">
        <f>VLOOKUP(U43,통합목록!$Q$4:$T$310,2,0)</f>
        <v>열기2-01.노동법\02.문제\[기출][2][2020-1-1]대체인력 투입이 대체근로 제한에 위배되어 위법한지 여부.txt</v>
      </c>
      <c r="M43" s="192" t="s">
        <v>1232</v>
      </c>
      <c r="N43" s="192" t="str">
        <f>VLOOKUP(U43,통합목록!$Q$4:$S$310,3,0)</f>
        <v>A</v>
      </c>
      <c r="O43" s="193" t="s">
        <v>1717</v>
      </c>
      <c r="P43" s="192" t="str">
        <f t="shared" si="7"/>
        <v>제14장 쟁의행위&gt;04&gt;1-1&gt;보충 포함</v>
      </c>
      <c r="Q43" s="192" t="str">
        <f t="shared" si="8"/>
        <v>제14장 쟁의행위&gt;제10절 쟁의기간 중 대체근로의 제한&gt;02</v>
      </c>
      <c r="R43" s="192" t="str">
        <f t="shared" si="9"/>
        <v>2&gt;기출&gt;2020&gt;4</v>
      </c>
      <c r="S43" s="192" t="str">
        <f t="shared" si="10"/>
        <v>2&gt;기출&gt;2020&gt;1-1</v>
      </c>
      <c r="T43" s="3"/>
      <c r="U43" s="3" t="str">
        <f t="shared" si="11"/>
        <v>2020-1-1-2</v>
      </c>
    </row>
    <row r="44" spans="2:21" ht="14.45" customHeight="1" x14ac:dyDescent="0.2">
      <c r="B44" s="188">
        <f t="shared" si="6"/>
        <v>41</v>
      </c>
      <c r="C44" s="189">
        <v>2020</v>
      </c>
      <c r="D44" s="190" t="s">
        <v>416</v>
      </c>
      <c r="E44" s="190" t="s">
        <v>27</v>
      </c>
      <c r="F44" s="190" t="s">
        <v>1547</v>
      </c>
      <c r="G44" s="191" t="s">
        <v>485</v>
      </c>
      <c r="H44" s="190" t="s">
        <v>431</v>
      </c>
      <c r="I44" s="352" t="s">
        <v>2</v>
      </c>
      <c r="J44" s="190" t="s">
        <v>426</v>
      </c>
      <c r="K44" s="191" t="str">
        <f>VLOOKUP(U44,통합목록!$Q$4:$T$310,4,0)</f>
        <v>대체인력 투입의 지배・개입 부당노동행위 성립 여부</v>
      </c>
      <c r="L44" s="192" t="str">
        <f>VLOOKUP(U44,통합목록!$Q$4:$T$310,2,0)</f>
        <v>열기2-01.노동법\02.문제\[기출][2][2020-1-2]대체인력 투입의 지배・개입 부당노동행위 성립 여부.txt</v>
      </c>
      <c r="M44" s="192" t="s">
        <v>1232</v>
      </c>
      <c r="N44" s="192" t="str">
        <f>VLOOKUP(U44,통합목록!$Q$4:$S$310,3,0)</f>
        <v>A</v>
      </c>
      <c r="O44" s="193" t="s">
        <v>1717</v>
      </c>
      <c r="P44" s="192" t="str">
        <f t="shared" si="7"/>
        <v>제14장 쟁의행위&gt;05&gt;1-2&gt;보충 포함</v>
      </c>
      <c r="Q44" s="192" t="str">
        <f t="shared" si="8"/>
        <v>제14장 쟁의행위&gt;제10절 쟁의기간 중 대체근로의 제한&gt;03</v>
      </c>
      <c r="R44" s="192" t="str">
        <f t="shared" si="9"/>
        <v>2&gt;기출&gt;2020&gt;3</v>
      </c>
      <c r="S44" s="192" t="str">
        <f t="shared" si="10"/>
        <v>2&gt;기출&gt;2020&gt;1-2</v>
      </c>
      <c r="T44" s="3"/>
      <c r="U44" s="3" t="str">
        <f t="shared" si="11"/>
        <v>2020-1-2-2</v>
      </c>
    </row>
    <row r="45" spans="2:21" ht="14.45" customHeight="1" x14ac:dyDescent="0.2">
      <c r="B45" s="188">
        <f t="shared" si="6"/>
        <v>42</v>
      </c>
      <c r="C45" s="189">
        <v>2020</v>
      </c>
      <c r="D45" s="190" t="s">
        <v>416</v>
      </c>
      <c r="E45" s="190" t="s">
        <v>27</v>
      </c>
      <c r="F45" s="190" t="s">
        <v>1550</v>
      </c>
      <c r="G45" s="191" t="s">
        <v>1818</v>
      </c>
      <c r="H45" s="190" t="s">
        <v>1387</v>
      </c>
      <c r="I45" s="352" t="s">
        <v>1822</v>
      </c>
      <c r="J45" s="190" t="s">
        <v>415</v>
      </c>
      <c r="K45" s="191" t="str">
        <f>VLOOKUP(U45,통합목록!$Q$4:$T$310,4,0)</f>
        <v>대체인력 투입의 지배・개입 부당노동행위 성립 여부</v>
      </c>
      <c r="L45" s="192" t="str">
        <f>VLOOKUP(U45,통합목록!$Q$4:$T$310,2,0)</f>
        <v>열기2-01.노동법\02.문제\[기출][2][2020-1-2]대체인력 투입의 지배・개입 부당노동행위 성립 여부.txt</v>
      </c>
      <c r="M45" s="192" t="s">
        <v>1232</v>
      </c>
      <c r="N45" s="192" t="str">
        <f>VLOOKUP(U45,통합목록!$Q$4:$S$310,3,0)</f>
        <v>A</v>
      </c>
      <c r="O45" s="193" t="s">
        <v>1717</v>
      </c>
      <c r="P45" s="192" t="str">
        <f t="shared" si="7"/>
        <v>제15장 부당노동행위&gt;04&gt;1-2&gt;보충 포함</v>
      </c>
      <c r="Q45" s="192" t="str">
        <f t="shared" si="8"/>
        <v>제15장 부당노동행위&gt;제05절 지배・개입&gt;01</v>
      </c>
      <c r="R45" s="192" t="str">
        <f t="shared" si="9"/>
        <v>2&gt;기출&gt;2020&gt;2</v>
      </c>
      <c r="S45" s="192" t="str">
        <f t="shared" si="10"/>
        <v>2&gt;기출&gt;2020&gt;1-2</v>
      </c>
      <c r="T45" s="3"/>
      <c r="U45" s="3" t="str">
        <f t="shared" si="11"/>
        <v>2020-1-2-2</v>
      </c>
    </row>
    <row r="46" spans="2:21" ht="14.45" customHeight="1" x14ac:dyDescent="0.2">
      <c r="B46" s="188">
        <f t="shared" si="6"/>
        <v>43</v>
      </c>
      <c r="C46" s="189">
        <v>2020</v>
      </c>
      <c r="D46" s="190" t="s">
        <v>27</v>
      </c>
      <c r="E46" s="190" t="s">
        <v>27</v>
      </c>
      <c r="F46" s="190" t="s">
        <v>419</v>
      </c>
      <c r="G46" s="191" t="s">
        <v>477</v>
      </c>
      <c r="H46" s="190" t="s">
        <v>435</v>
      </c>
      <c r="I46" s="352" t="s">
        <v>478</v>
      </c>
      <c r="J46" s="190" t="s">
        <v>426</v>
      </c>
      <c r="K46" s="191" t="str">
        <f>VLOOKUP(U46,통합목록!$Q$4:$T$310,4,0)</f>
        <v>소수노조 대상 노조사무실 미제공의 공정대표의무 위반 여부</v>
      </c>
      <c r="L46" s="192" t="str">
        <f>VLOOKUP(U46,통합목록!$Q$4:$T$310,2,0)</f>
        <v>열기2-01.노동법\02.문제\[기출][2][2020-2]소수노조 대상 노조사무실 미제공의 공정대표의무 위반 여부.txt</v>
      </c>
      <c r="M46" s="192" t="s">
        <v>1232</v>
      </c>
      <c r="N46" s="192" t="str">
        <f>VLOOKUP(U46,통합목록!$Q$4:$S$310,3,0)</f>
        <v>C</v>
      </c>
      <c r="O46" s="193"/>
      <c r="P46" s="192" t="str">
        <f t="shared" si="7"/>
        <v>제12장 단체교섭&gt;06&gt;2&gt;</v>
      </c>
      <c r="Q46" s="192" t="str">
        <f t="shared" si="8"/>
        <v>제12장 단체교섭&gt;제04절 교섭창구단일화제도&gt;03</v>
      </c>
      <c r="R46" s="192" t="str">
        <f t="shared" si="9"/>
        <v>2&gt;기출&gt;2020&gt;1</v>
      </c>
      <c r="S46" s="192" t="str">
        <f t="shared" si="10"/>
        <v>2&gt;기출&gt;2020&gt;2</v>
      </c>
      <c r="T46" s="3"/>
      <c r="U46" s="3" t="str">
        <f t="shared" si="11"/>
        <v>2020-2-2</v>
      </c>
    </row>
    <row r="47" spans="2:21" ht="14.45" customHeight="1" x14ac:dyDescent="0.2">
      <c r="B47" s="188">
        <f t="shared" si="6"/>
        <v>44</v>
      </c>
      <c r="C47" s="189">
        <v>2019</v>
      </c>
      <c r="D47" s="190" t="s">
        <v>412</v>
      </c>
      <c r="E47" s="190" t="s">
        <v>27</v>
      </c>
      <c r="F47" s="190" t="s">
        <v>413</v>
      </c>
      <c r="G47" s="191" t="s">
        <v>485</v>
      </c>
      <c r="H47" s="190" t="s">
        <v>435</v>
      </c>
      <c r="I47" s="352" t="s">
        <v>493</v>
      </c>
      <c r="J47" s="190" t="s">
        <v>415</v>
      </c>
      <c r="K47" s="191" t="str">
        <f>VLOOKUP(U47,통합목록!$Q$4:$T$310,4,0)</f>
        <v>직장폐쇄를 단행하며 노조사무실 출입을 전면 금지한 행위의 정당성 여부</v>
      </c>
      <c r="L47" s="192" t="str">
        <f>VLOOKUP(U47,통합목록!$Q$4:$T$310,2,0)</f>
        <v>열기2-01.노동법\02.문제\[기출][2][2019-1-1]직장폐쇄를 단행하며 노조사무실 출입을 전면 금지한 행위의 정당성 여부.txt</v>
      </c>
      <c r="M47" s="192" t="s">
        <v>1232</v>
      </c>
      <c r="N47" s="192" t="str">
        <f>VLOOKUP(U47,통합목록!$Q$4:$S$310,3,0)</f>
        <v>A</v>
      </c>
      <c r="O47" s="193"/>
      <c r="P47" s="192" t="str">
        <f t="shared" si="7"/>
        <v>제14장 쟁의행위&gt;06&gt;1-1&gt;</v>
      </c>
      <c r="Q47" s="192" t="str">
        <f t="shared" si="8"/>
        <v>제14장 쟁의행위&gt;제06절 사용자의 쟁의행위&gt;01</v>
      </c>
      <c r="R47" s="192" t="str">
        <f t="shared" si="9"/>
        <v>2&gt;기출&gt;2019&gt;3</v>
      </c>
      <c r="S47" s="192" t="str">
        <f t="shared" si="10"/>
        <v>2&gt;기출&gt;2019&gt;1-1</v>
      </c>
      <c r="T47" s="3"/>
      <c r="U47" s="3" t="str">
        <f t="shared" si="11"/>
        <v>2019-1-1-2</v>
      </c>
    </row>
    <row r="48" spans="2:21" ht="14.45" customHeight="1" x14ac:dyDescent="0.2">
      <c r="B48" s="188">
        <f t="shared" si="6"/>
        <v>45</v>
      </c>
      <c r="C48" s="189">
        <v>2019</v>
      </c>
      <c r="D48" s="190" t="s">
        <v>416</v>
      </c>
      <c r="E48" s="190" t="s">
        <v>27</v>
      </c>
      <c r="F48" s="190" t="s">
        <v>27</v>
      </c>
      <c r="G48" s="191" t="s">
        <v>1600</v>
      </c>
      <c r="H48" s="190" t="s">
        <v>426</v>
      </c>
      <c r="I48" s="352" t="s">
        <v>1817</v>
      </c>
      <c r="J48" s="190" t="s">
        <v>415</v>
      </c>
      <c r="K48" s="191" t="str">
        <f>VLOOKUP(U48,통합목록!$Q$4:$T$310,4,0)</f>
        <v>초기업 노동조합 지회의 기업별 노동조합 조직형태 변경 결의의 유효성 여부</v>
      </c>
      <c r="L48" s="192" t="str">
        <f>VLOOKUP(U48,통합목록!$Q$4:$T$310,2,0)</f>
        <v>열기2-01.노동법\02.문제\[기출][2][2019-1-2]초기업 노동조합 지회의 기업별 노동조합 조직형태 변경 결의의 유효성 여부.txt</v>
      </c>
      <c r="M48" s="192" t="s">
        <v>1232</v>
      </c>
      <c r="N48" s="192" t="str">
        <f>VLOOKUP(U48,통합목록!$Q$4:$S$310,3,0)</f>
        <v>A</v>
      </c>
      <c r="O48" s="193"/>
      <c r="P48" s="192" t="str">
        <f t="shared" si="7"/>
        <v>제11장 노동조합&gt;03&gt;1-2&gt;</v>
      </c>
      <c r="Q48" s="192" t="str">
        <f t="shared" si="8"/>
        <v>제11장 노동조합&gt;제07절 노동조합의 합병・해산・조직변경&gt;01</v>
      </c>
      <c r="R48" s="192" t="str">
        <f t="shared" si="9"/>
        <v>2&gt;기출&gt;2019&gt;2</v>
      </c>
      <c r="S48" s="192" t="str">
        <f t="shared" si="10"/>
        <v>2&gt;기출&gt;2019&gt;1-2</v>
      </c>
      <c r="U48" s="3" t="str">
        <f t="shared" si="11"/>
        <v>2019-1-2-2</v>
      </c>
    </row>
    <row r="49" spans="2:21" ht="14.45" customHeight="1" x14ac:dyDescent="0.2">
      <c r="B49" s="188">
        <f t="shared" si="6"/>
        <v>46</v>
      </c>
      <c r="C49" s="189">
        <v>2019</v>
      </c>
      <c r="D49" s="190" t="s">
        <v>27</v>
      </c>
      <c r="E49" s="190" t="s">
        <v>27</v>
      </c>
      <c r="F49" s="190" t="s">
        <v>419</v>
      </c>
      <c r="G49" s="191" t="s">
        <v>1476</v>
      </c>
      <c r="H49" s="190" t="s">
        <v>426</v>
      </c>
      <c r="I49" s="352" t="s">
        <v>1479</v>
      </c>
      <c r="J49" s="190" t="s">
        <v>415</v>
      </c>
      <c r="K49" s="191" t="str">
        <f>VLOOKUP(U49,통합목록!$Q$4:$T$310,4,0)</f>
        <v>부당노동행위의 주체로서 사용자 개념의 확장</v>
      </c>
      <c r="L49" s="192" t="str">
        <f>VLOOKUP(U49,통합목록!$Q$4:$T$310,2,0)</f>
        <v>열기2-01.노동법\02.문제\[기출][2][2019-2]부당노동행위의 주체로서 사용자 개념의 확장.txt</v>
      </c>
      <c r="M49" s="192" t="s">
        <v>1232</v>
      </c>
      <c r="N49" s="192" t="str">
        <f>VLOOKUP(U49,통합목록!$Q$4:$S$310,3,0)</f>
        <v>A</v>
      </c>
      <c r="O49" s="193"/>
      <c r="P49" s="192" t="str">
        <f t="shared" si="7"/>
        <v>제01장 노동법 총론&gt;03&gt;2&gt;</v>
      </c>
      <c r="Q49" s="192" t="str">
        <f t="shared" si="8"/>
        <v>제01장 노동법 총론&gt;제07절 노동조합법상 사용자&gt;01</v>
      </c>
      <c r="R49" s="192" t="str">
        <f t="shared" si="9"/>
        <v>2&gt;기출&gt;2019&gt;1</v>
      </c>
      <c r="S49" s="192" t="str">
        <f t="shared" si="10"/>
        <v>2&gt;기출&gt;2019&gt;2</v>
      </c>
      <c r="U49" s="3" t="str">
        <f t="shared" si="11"/>
        <v>2019-2-2</v>
      </c>
    </row>
    <row r="50" spans="2:21" ht="14.45" customHeight="1" x14ac:dyDescent="0.2">
      <c r="B50" s="188">
        <f t="shared" si="6"/>
        <v>47</v>
      </c>
      <c r="C50" s="189">
        <v>2018</v>
      </c>
      <c r="D50" s="190" t="s">
        <v>412</v>
      </c>
      <c r="E50" s="190" t="s">
        <v>27</v>
      </c>
      <c r="F50" s="190" t="s">
        <v>413</v>
      </c>
      <c r="G50" s="191" t="s">
        <v>479</v>
      </c>
      <c r="H50" s="190" t="s">
        <v>1388</v>
      </c>
      <c r="I50" s="352" t="s">
        <v>482</v>
      </c>
      <c r="J50" s="190" t="s">
        <v>417</v>
      </c>
      <c r="K50" s="191" t="str">
        <f>VLOOKUP(U50,통합목록!$Q$4:$T$310,4,0)</f>
        <v>규약상 교섭안 마련 및 조합원 총의 수렴 조항을 이유로 한 사용자의 단체교섭 거부의 정당성 여부</v>
      </c>
      <c r="L50" s="192" t="str">
        <f>VLOOKUP(U50,통합목록!$Q$4:$T$310,2,0)</f>
        <v>열기2-01.노동법\02.문제\[기출][2][2018-1-1]규약상 교섭안 마련 및 조합원 총의 수렴 조항을 이유로 한 사용자의 단체교섭 거부의 정당성 여부.txt</v>
      </c>
      <c r="M50" s="192" t="s">
        <v>1232</v>
      </c>
      <c r="N50" s="192" t="str">
        <f>VLOOKUP(U50,통합목록!$Q$4:$S$310,3,0)</f>
        <v>C</v>
      </c>
      <c r="O50" s="193"/>
      <c r="P50" s="192" t="str">
        <f t="shared" si="7"/>
        <v>제15장 부당노동행위&gt;05&gt;1-1&gt;</v>
      </c>
      <c r="Q50" s="192" t="str">
        <f t="shared" si="8"/>
        <v>제15장 부당노동행위&gt;제04절 단체교섭의 거부・해태&gt;02</v>
      </c>
      <c r="R50" s="192" t="str">
        <f t="shared" si="9"/>
        <v>2&gt;기출&gt;2018&gt;3</v>
      </c>
      <c r="S50" s="192" t="str">
        <f t="shared" si="10"/>
        <v>2&gt;기출&gt;2018&gt;1-1</v>
      </c>
      <c r="U50" s="3" t="str">
        <f t="shared" si="11"/>
        <v>2018-1-1-2</v>
      </c>
    </row>
    <row r="51" spans="2:21" ht="14.45" customHeight="1" x14ac:dyDescent="0.2">
      <c r="B51" s="188">
        <f t="shared" si="6"/>
        <v>48</v>
      </c>
      <c r="C51" s="189">
        <v>2018</v>
      </c>
      <c r="D51" s="190" t="s">
        <v>416</v>
      </c>
      <c r="E51" s="190" t="s">
        <v>27</v>
      </c>
      <c r="F51" s="190" t="s">
        <v>27</v>
      </c>
      <c r="G51" s="191" t="s">
        <v>479</v>
      </c>
      <c r="H51" s="190" t="s">
        <v>1389</v>
      </c>
      <c r="I51" s="352" t="s">
        <v>482</v>
      </c>
      <c r="J51" s="190" t="s">
        <v>426</v>
      </c>
      <c r="K51" s="191" t="str">
        <f>VLOOKUP(U51,통합목록!$Q$4:$T$310,4,0)</f>
        <v>법원의 가처분 결정 이후 사용자의 단체교섭 계속 거부의 불법행위 성립 여부</v>
      </c>
      <c r="L51" s="192" t="str">
        <f>VLOOKUP(U51,통합목록!$Q$4:$T$310,2,0)</f>
        <v>열기2-01.노동법\02.문제\[기출][2][2018-1-2]법원의 가처분 결정 이후 사용자의 단체교섭 계속 거부의 불법행위 성립 여부.txt</v>
      </c>
      <c r="M51" s="192" t="s">
        <v>1232</v>
      </c>
      <c r="N51" s="192" t="str">
        <f>VLOOKUP(U51,통합목록!$Q$4:$S$310,3,0)</f>
        <v>C</v>
      </c>
      <c r="O51" s="193"/>
      <c r="P51" s="192" t="str">
        <f t="shared" si="7"/>
        <v>제15장 부당노동행위&gt;06&gt;1-2&gt;</v>
      </c>
      <c r="Q51" s="192" t="str">
        <f t="shared" si="8"/>
        <v>제15장 부당노동행위&gt;제04절 단체교섭의 거부・해태&gt;03</v>
      </c>
      <c r="R51" s="192" t="str">
        <f t="shared" si="9"/>
        <v>2&gt;기출&gt;2018&gt;2</v>
      </c>
      <c r="S51" s="192" t="str">
        <f t="shared" si="10"/>
        <v>2&gt;기출&gt;2018&gt;1-2</v>
      </c>
      <c r="U51" s="3" t="str">
        <f t="shared" si="11"/>
        <v>2018-1-2-2</v>
      </c>
    </row>
    <row r="52" spans="2:21" ht="14.45" customHeight="1" x14ac:dyDescent="0.2">
      <c r="B52" s="188">
        <f t="shared" si="6"/>
        <v>49</v>
      </c>
      <c r="C52" s="189">
        <v>2018</v>
      </c>
      <c r="D52" s="190" t="s">
        <v>28</v>
      </c>
      <c r="E52" s="190" t="s">
        <v>27</v>
      </c>
      <c r="F52" s="190" t="s">
        <v>31</v>
      </c>
      <c r="G52" s="191" t="s">
        <v>485</v>
      </c>
      <c r="H52" s="190" t="s">
        <v>440</v>
      </c>
      <c r="I52" s="352" t="s">
        <v>1451</v>
      </c>
      <c r="J52" s="190" t="s">
        <v>417</v>
      </c>
      <c r="K52" s="191" t="str">
        <f>VLOOKUP(U52,통합목록!$Q$4:$T$310,4,0)</f>
        <v>직장폐쇄 후 조합원들의 임원회의실 점거 지속 및 퇴거요구 불응에 따른 정당성 상실 여부</v>
      </c>
      <c r="L52" s="192" t="str">
        <f>VLOOKUP(U52,통합목록!$Q$4:$T$310,2,0)</f>
        <v>열기2-01.노동법\02.문제\[기출][2][2018-2]직장폐쇄 후 조합원들의 임원회의실 점거 지속 및 퇴거요구 불응에 따른 정당성 상실 여부.txt</v>
      </c>
      <c r="M52" s="192" t="s">
        <v>1232</v>
      </c>
      <c r="N52" s="192" t="str">
        <f>VLOOKUP(U52,통합목록!$Q$4:$S$310,3,0)</f>
        <v>A</v>
      </c>
      <c r="O52" s="193" t="s">
        <v>1784</v>
      </c>
      <c r="P52" s="192" t="str">
        <f t="shared" si="7"/>
        <v>제14장 쟁의행위&gt;07&gt;2&gt;제6절과 연관</v>
      </c>
      <c r="Q52" s="192" t="str">
        <f t="shared" si="8"/>
        <v>제14장 쟁의행위&gt;제04절 쟁의행위 수단・방법의 정당성&gt;02</v>
      </c>
      <c r="R52" s="192" t="str">
        <f t="shared" si="9"/>
        <v>2&gt;기출&gt;2018&gt;1</v>
      </c>
      <c r="S52" s="192" t="str">
        <f t="shared" si="10"/>
        <v>2&gt;기출&gt;2018&gt;2</v>
      </c>
      <c r="U52" s="3" t="str">
        <f t="shared" si="11"/>
        <v>2018-2-2</v>
      </c>
    </row>
    <row r="53" spans="2:21" ht="14.45" customHeight="1" x14ac:dyDescent="0.2">
      <c r="B53" s="188">
        <f t="shared" si="6"/>
        <v>50</v>
      </c>
      <c r="C53" s="189">
        <v>2017</v>
      </c>
      <c r="D53" s="190" t="s">
        <v>412</v>
      </c>
      <c r="E53" s="190" t="s">
        <v>27</v>
      </c>
      <c r="F53" s="190" t="s">
        <v>413</v>
      </c>
      <c r="G53" s="191" t="s">
        <v>485</v>
      </c>
      <c r="H53" s="190" t="s">
        <v>450</v>
      </c>
      <c r="I53" s="352" t="s">
        <v>494</v>
      </c>
      <c r="J53" s="190" t="s">
        <v>415</v>
      </c>
      <c r="K53" s="191" t="str">
        <f>VLOOKUP(U53,통합목록!$Q$4:$T$310,4,0)</f>
        <v>관행적 연장근로에 대한 집단적 거부가 노조법상 쟁의행위에 해당하는지 여부</v>
      </c>
      <c r="L53" s="192" t="str">
        <f>VLOOKUP(U53,통합목록!$Q$4:$T$310,2,0)</f>
        <v>열기2-01.노동법\02.문제\[기출][2][2017-1-1]관행적 연장근로에 대한 집단적 거부가 노조법상 쟁의행위에 해당하는지 여부.txt</v>
      </c>
      <c r="M53" s="192" t="s">
        <v>1232</v>
      </c>
      <c r="N53" s="192" t="str">
        <f>VLOOKUP(U53,통합목록!$Q$4:$S$310,3,0)</f>
        <v>A</v>
      </c>
      <c r="O53" s="193"/>
      <c r="P53" s="192" t="str">
        <f t="shared" si="7"/>
        <v>제14장 쟁의행위&gt;09&gt;1-1&gt;</v>
      </c>
      <c r="Q53" s="192" t="str">
        <f t="shared" si="8"/>
        <v>제14장 쟁의행위&gt;제05절 준법투쟁&gt;01</v>
      </c>
      <c r="R53" s="192" t="str">
        <f t="shared" si="9"/>
        <v>2&gt;기출&gt;2017&gt;3</v>
      </c>
      <c r="S53" s="192" t="str">
        <f t="shared" si="10"/>
        <v>2&gt;기출&gt;2017&gt;1-1</v>
      </c>
      <c r="U53" s="3" t="str">
        <f t="shared" si="11"/>
        <v>2017-1-1-2</v>
      </c>
    </row>
    <row r="54" spans="2:21" ht="14.45" customHeight="1" x14ac:dyDescent="0.2">
      <c r="B54" s="188">
        <f t="shared" si="6"/>
        <v>51</v>
      </c>
      <c r="C54" s="189">
        <v>2017</v>
      </c>
      <c r="D54" s="190" t="s">
        <v>416</v>
      </c>
      <c r="E54" s="190" t="s">
        <v>27</v>
      </c>
      <c r="F54" s="190" t="s">
        <v>27</v>
      </c>
      <c r="G54" s="191" t="s">
        <v>485</v>
      </c>
      <c r="H54" s="190" t="s">
        <v>453</v>
      </c>
      <c r="I54" s="352" t="s">
        <v>493</v>
      </c>
      <c r="J54" s="190" t="s">
        <v>417</v>
      </c>
      <c r="K54" s="191" t="str">
        <f>VLOOKUP(U54,통합목록!$Q$4:$T$310,4,0)</f>
        <v>근로자의 집단적 연장근로 거부 및 태업에 대응하여 단행한 사용자의 직장폐쇄 개시 및 유지의 정당성 여부</v>
      </c>
      <c r="L54" s="192" t="str">
        <f>VLOOKUP(U54,통합목록!$Q$4:$T$310,2,0)</f>
        <v>열기2-01.노동법\02.문제\[기출][2][2017-1-2]근로자의 집단적 연장근로 거부 및 태업에 대응하여 단행한 사용자의 직장폐쇄 개시 및 유지의 정당성 여부.txt</v>
      </c>
      <c r="M54" s="192" t="s">
        <v>1232</v>
      </c>
      <c r="N54" s="192" t="str">
        <f>VLOOKUP(U54,통합목록!$Q$4:$S$310,3,0)</f>
        <v>A</v>
      </c>
      <c r="O54" s="193"/>
      <c r="P54" s="192" t="str">
        <f t="shared" si="7"/>
        <v>제14장 쟁의행위&gt;10&gt;1-2&gt;</v>
      </c>
      <c r="Q54" s="192" t="str">
        <f t="shared" si="8"/>
        <v>제14장 쟁의행위&gt;제06절 사용자의 쟁의행위&gt;02</v>
      </c>
      <c r="R54" s="192" t="str">
        <f t="shared" si="9"/>
        <v>2&gt;기출&gt;2017&gt;2</v>
      </c>
      <c r="S54" s="192" t="str">
        <f t="shared" si="10"/>
        <v>2&gt;기출&gt;2017&gt;1-2</v>
      </c>
      <c r="U54" s="3" t="str">
        <f t="shared" si="11"/>
        <v>2017-1-2-2</v>
      </c>
    </row>
    <row r="55" spans="2:21" ht="14.45" customHeight="1" x14ac:dyDescent="0.2">
      <c r="B55" s="188">
        <f t="shared" si="6"/>
        <v>52</v>
      </c>
      <c r="C55" s="189">
        <v>2017</v>
      </c>
      <c r="D55" s="190" t="s">
        <v>27</v>
      </c>
      <c r="E55" s="190" t="s">
        <v>27</v>
      </c>
      <c r="F55" s="190" t="s">
        <v>419</v>
      </c>
      <c r="G55" s="191" t="s">
        <v>479</v>
      </c>
      <c r="H55" s="190" t="s">
        <v>1390</v>
      </c>
      <c r="I55" s="352" t="s">
        <v>492</v>
      </c>
      <c r="J55" s="190" t="s">
        <v>417</v>
      </c>
      <c r="K55" s="191" t="str">
        <f>VLOOKUP(U55,통합목록!$Q$4:$T$310,4,0)</f>
        <v>근로시간면제한도를 현저히 초과하여 체결한 단체협약의 부당노동행위 성립 여부</v>
      </c>
      <c r="L55" s="192" t="str">
        <f>VLOOKUP(U55,통합목록!$Q$4:$T$310,2,0)</f>
        <v>열기2-01.노동법\02.문제\[기출][2][2017-2]근로시간면제한도를 현저히 초과하여 체결한 단체협약의 부당노동행위 성립 여부.txt</v>
      </c>
      <c r="M55" s="192" t="s">
        <v>1232</v>
      </c>
      <c r="N55" s="192" t="str">
        <f>VLOOKUP(U55,통합목록!$Q$4:$S$310,3,0)</f>
        <v>A</v>
      </c>
      <c r="O55" s="193"/>
      <c r="P55" s="192" t="str">
        <f t="shared" si="7"/>
        <v>제15장 부당노동행위&gt;07&gt;2&gt;</v>
      </c>
      <c r="Q55" s="192" t="str">
        <f t="shared" si="8"/>
        <v>제15장 부당노동행위&gt;제05절 지배・개입&gt;02</v>
      </c>
      <c r="R55" s="192" t="str">
        <f t="shared" si="9"/>
        <v>2&gt;기출&gt;2017&gt;1</v>
      </c>
      <c r="S55" s="192" t="str">
        <f t="shared" si="10"/>
        <v>2&gt;기출&gt;2017&gt;2</v>
      </c>
      <c r="U55" s="3" t="str">
        <f t="shared" si="11"/>
        <v>2017-2-2</v>
      </c>
    </row>
    <row r="56" spans="2:21" ht="14.45" customHeight="1" x14ac:dyDescent="0.2">
      <c r="B56" s="188">
        <f t="shared" si="6"/>
        <v>53</v>
      </c>
      <c r="C56" s="189">
        <v>2016</v>
      </c>
      <c r="D56" s="190" t="s">
        <v>412</v>
      </c>
      <c r="E56" s="190" t="s">
        <v>27</v>
      </c>
      <c r="F56" s="190" t="s">
        <v>413</v>
      </c>
      <c r="G56" s="191" t="s">
        <v>479</v>
      </c>
      <c r="H56" s="190" t="s">
        <v>1391</v>
      </c>
      <c r="I56" s="352" t="s">
        <v>492</v>
      </c>
      <c r="J56" s="190" t="s">
        <v>426</v>
      </c>
      <c r="K56" s="191" t="str">
        <f>VLOOKUP(U56,통합목록!$Q$4:$T$310,4,0)</f>
        <v>무효인 단체협약을 근거로 지급되던 노동조합 운영비 지급 중단의 정당성</v>
      </c>
      <c r="L56" s="192" t="str">
        <f>VLOOKUP(U56,통합목록!$Q$4:$T$310,2,0)</f>
        <v>열기2-01.노동법\02.문제\[기출][2][2016-1-1]무효인 단체협약을 근거로 지급되던 노동조합 운영비 지급 중단의 정당성.txt</v>
      </c>
      <c r="M56" s="192" t="s">
        <v>1232</v>
      </c>
      <c r="N56" s="192" t="str">
        <f>VLOOKUP(U56,통합목록!$Q$4:$S$310,3,0)</f>
        <v>A</v>
      </c>
      <c r="O56" s="193"/>
      <c r="P56" s="192" t="str">
        <f t="shared" si="7"/>
        <v>제15장 부당노동행위&gt;08&gt;1-1&gt;</v>
      </c>
      <c r="Q56" s="192" t="str">
        <f t="shared" si="8"/>
        <v>제15장 부당노동행위&gt;제05절 지배・개입&gt;03</v>
      </c>
      <c r="R56" s="192" t="str">
        <f t="shared" si="9"/>
        <v>2&gt;기출&gt;2016&gt;3</v>
      </c>
      <c r="S56" s="192" t="str">
        <f t="shared" si="10"/>
        <v>2&gt;기출&gt;2016&gt;1-1</v>
      </c>
      <c r="U56" s="3" t="str">
        <f t="shared" si="11"/>
        <v>2016-1-1-2</v>
      </c>
    </row>
    <row r="57" spans="2:21" ht="14.45" customHeight="1" x14ac:dyDescent="0.2">
      <c r="B57" s="188">
        <f t="shared" si="6"/>
        <v>54</v>
      </c>
      <c r="C57" s="189">
        <v>2016</v>
      </c>
      <c r="D57" s="190" t="s">
        <v>416</v>
      </c>
      <c r="E57" s="190" t="s">
        <v>27</v>
      </c>
      <c r="F57" s="190" t="s">
        <v>27</v>
      </c>
      <c r="G57" s="191" t="s">
        <v>479</v>
      </c>
      <c r="H57" s="190" t="s">
        <v>1392</v>
      </c>
      <c r="I57" s="352" t="s">
        <v>481</v>
      </c>
      <c r="J57" s="190" t="s">
        <v>417</v>
      </c>
      <c r="K57" s="191" t="str">
        <f>VLOOKUP(U57,통합목록!$Q$4:$T$310,4,0)</f>
        <v>정리해고의 불이익 취급 부당노동행위 성립에 관한 입증책임의 소재 및 구체적인 입증방법</v>
      </c>
      <c r="L57" s="192" t="str">
        <f>VLOOKUP(U57,통합목록!$Q$4:$T$310,2,0)</f>
        <v>열기2-01.노동법\02.문제\[기출][2][2016-1-2]정리해고의 불이익 취급 부당노동행위 성립에 관한 입증책임의 소재 및 구체적인 입증방법.txt</v>
      </c>
      <c r="M57" s="192" t="s">
        <v>1232</v>
      </c>
      <c r="N57" s="192" t="str">
        <f>VLOOKUP(U57,통합목록!$Q$4:$S$310,3,0)</f>
        <v>C</v>
      </c>
      <c r="O57" s="193"/>
      <c r="P57" s="192" t="str">
        <f t="shared" si="7"/>
        <v>제15장 부당노동행위&gt;09&gt;1-2&gt;</v>
      </c>
      <c r="Q57" s="192" t="str">
        <f t="shared" si="8"/>
        <v>제15장 부당노동행위&gt;제02절 불이익취급&gt;02</v>
      </c>
      <c r="R57" s="192" t="str">
        <f t="shared" si="9"/>
        <v>2&gt;기출&gt;2016&gt;2</v>
      </c>
      <c r="S57" s="192" t="str">
        <f t="shared" si="10"/>
        <v>2&gt;기출&gt;2016&gt;1-2</v>
      </c>
      <c r="U57" s="3" t="str">
        <f t="shared" si="11"/>
        <v>2016-1-2-2</v>
      </c>
    </row>
    <row r="58" spans="2:21" ht="14.45" customHeight="1" x14ac:dyDescent="0.2">
      <c r="B58" s="188">
        <f t="shared" si="6"/>
        <v>55</v>
      </c>
      <c r="C58" s="189">
        <v>2016</v>
      </c>
      <c r="D58" s="190" t="s">
        <v>27</v>
      </c>
      <c r="E58" s="190" t="s">
        <v>27</v>
      </c>
      <c r="F58" s="190" t="s">
        <v>419</v>
      </c>
      <c r="G58" s="191" t="s">
        <v>488</v>
      </c>
      <c r="H58" s="190" t="s">
        <v>426</v>
      </c>
      <c r="I58" s="352" t="s">
        <v>484</v>
      </c>
      <c r="J58" s="190" t="s">
        <v>417</v>
      </c>
      <c r="K58" s="191" t="str">
        <f>VLOOKUP(U58,통합목록!$Q$4:$T$310,4,0)</f>
        <v>비조합원에 대한 징계처분 시 단체협약상 재심절차 준수 필요 여부</v>
      </c>
      <c r="L58" s="192" t="str">
        <f>VLOOKUP(U58,통합목록!$Q$4:$T$310,2,0)</f>
        <v>열기2-01.노동법\02.문제\[기출][2][2016-2]비조합원에 대한 징계처분 시 단체협약상 재심절차 준수 필요 여부.txt</v>
      </c>
      <c r="M58" s="192" t="s">
        <v>1232</v>
      </c>
      <c r="N58" s="192" t="str">
        <f>VLOOKUP(U58,통합목록!$Q$4:$S$310,3,0)</f>
        <v>C</v>
      </c>
      <c r="O58" s="193" t="s">
        <v>495</v>
      </c>
      <c r="P58" s="192" t="str">
        <f t="shared" si="7"/>
        <v>제13장 단체협약&gt;03&gt;2&gt;노조법 제35조</v>
      </c>
      <c r="Q58" s="192" t="str">
        <f t="shared" si="8"/>
        <v>제13장 단체협약&gt;제03절 단체협약의 효력&gt;02</v>
      </c>
      <c r="R58" s="192" t="str">
        <f t="shared" si="9"/>
        <v>2&gt;기출&gt;2016&gt;1</v>
      </c>
      <c r="S58" s="192" t="str">
        <f t="shared" si="10"/>
        <v>2&gt;기출&gt;2016&gt;2</v>
      </c>
      <c r="U58" s="3" t="str">
        <f t="shared" si="11"/>
        <v>2016-2-2</v>
      </c>
    </row>
    <row r="59" spans="2:21" ht="14.45" customHeight="1" x14ac:dyDescent="0.2">
      <c r="B59" s="188">
        <f t="shared" si="6"/>
        <v>56</v>
      </c>
      <c r="C59" s="189">
        <v>2015</v>
      </c>
      <c r="D59" s="190" t="s">
        <v>419</v>
      </c>
      <c r="E59" s="190" t="s">
        <v>27</v>
      </c>
      <c r="F59" s="190" t="s">
        <v>27</v>
      </c>
      <c r="G59" s="191" t="s">
        <v>479</v>
      </c>
      <c r="H59" s="190" t="s">
        <v>1393</v>
      </c>
      <c r="I59" s="352" t="s">
        <v>481</v>
      </c>
      <c r="J59" s="190" t="s">
        <v>426</v>
      </c>
      <c r="K59" s="191" t="str">
        <f>VLOOKUP(U59,통합목록!$Q$4:$T$310,4,0)</f>
        <v>사내 무단 유인물 배포를 이유로 한 징계해고의 정당성 및 불이익취급 부당노동행위 성립 여부</v>
      </c>
      <c r="L59" s="192" t="str">
        <f>VLOOKUP(U59,통합목록!$Q$4:$T$310,2,0)</f>
        <v>열기2-01.노동법\02.문제\[기출][2][2015-1]사내 무단 유인물 배포를 이유로 한 징계해고의 정당성 및 불이익취급 부당노동행위 성립 여부.txt</v>
      </c>
      <c r="M59" s="192" t="s">
        <v>1232</v>
      </c>
      <c r="N59" s="192" t="str">
        <f>VLOOKUP(U59,통합목록!$Q$4:$S$310,3,0)</f>
        <v>C</v>
      </c>
      <c r="O59" s="193"/>
      <c r="P59" s="192" t="str">
        <f t="shared" si="7"/>
        <v>제15장 부당노동행위&gt;10&gt;1&gt;</v>
      </c>
      <c r="Q59" s="192" t="str">
        <f t="shared" si="8"/>
        <v>제15장 부당노동행위&gt;제02절 불이익취급&gt;03</v>
      </c>
      <c r="R59" s="192" t="str">
        <f t="shared" si="9"/>
        <v>2&gt;기출&gt;2015&gt;2</v>
      </c>
      <c r="S59" s="192" t="str">
        <f t="shared" si="10"/>
        <v>2&gt;기출&gt;2015&gt;1</v>
      </c>
      <c r="U59" s="3" t="str">
        <f t="shared" si="11"/>
        <v>2015-1-2</v>
      </c>
    </row>
    <row r="60" spans="2:21" ht="14.45" customHeight="1" x14ac:dyDescent="0.2">
      <c r="B60" s="188">
        <f t="shared" si="6"/>
        <v>57</v>
      </c>
      <c r="C60" s="189">
        <v>2015</v>
      </c>
      <c r="D60" s="190" t="s">
        <v>27</v>
      </c>
      <c r="E60" s="190" t="s">
        <v>27</v>
      </c>
      <c r="F60" s="190" t="s">
        <v>419</v>
      </c>
      <c r="G60" s="191" t="s">
        <v>485</v>
      </c>
      <c r="H60" s="190" t="s">
        <v>460</v>
      </c>
      <c r="I60" s="352" t="s">
        <v>493</v>
      </c>
      <c r="J60" s="190" t="s">
        <v>426</v>
      </c>
      <c r="K60" s="191" t="str">
        <f>VLOOKUP(U60,통합목록!$Q$4:$T$310,4,0)</f>
        <v>사용자의 정당한 직장폐쇄의 개념, 요건, 법적 효과</v>
      </c>
      <c r="L60" s="192" t="str">
        <f>VLOOKUP(U60,통합목록!$Q$4:$T$310,2,0)</f>
        <v>열기2-01.노동법\02.문제\[기출][2][2015-2]사용자의 정당한 직장폐쇄의 개념, 요건, 법적 효과.txt</v>
      </c>
      <c r="M60" s="192" t="s">
        <v>1232</v>
      </c>
      <c r="N60" s="192" t="str">
        <f>VLOOKUP(U60,통합목록!$Q$4:$S$310,3,0)</f>
        <v>A</v>
      </c>
      <c r="O60" s="193"/>
      <c r="P60" s="192" t="str">
        <f t="shared" si="7"/>
        <v>제14장 쟁의행위&gt;11&gt;2&gt;</v>
      </c>
      <c r="Q60" s="192" t="str">
        <f t="shared" si="8"/>
        <v>제14장 쟁의행위&gt;제06절 사용자의 쟁의행위&gt;03</v>
      </c>
      <c r="R60" s="192" t="str">
        <f t="shared" si="9"/>
        <v>2&gt;기출&gt;2015&gt;1</v>
      </c>
      <c r="S60" s="192" t="str">
        <f t="shared" si="10"/>
        <v>2&gt;기출&gt;2015&gt;2</v>
      </c>
      <c r="U60" s="3" t="str">
        <f t="shared" si="11"/>
        <v>2015-2-2</v>
      </c>
    </row>
    <row r="61" spans="2:21" ht="14.45" customHeight="1" x14ac:dyDescent="0.2">
      <c r="B61" s="188">
        <f t="shared" si="6"/>
        <v>58</v>
      </c>
      <c r="C61" s="189">
        <v>2014</v>
      </c>
      <c r="D61" s="190" t="s">
        <v>412</v>
      </c>
      <c r="E61" s="190" t="s">
        <v>27</v>
      </c>
      <c r="F61" s="190" t="s">
        <v>446</v>
      </c>
      <c r="G61" s="191" t="s">
        <v>488</v>
      </c>
      <c r="H61" s="190" t="s">
        <v>430</v>
      </c>
      <c r="I61" s="352" t="s">
        <v>496</v>
      </c>
      <c r="J61" s="190" t="s">
        <v>415</v>
      </c>
      <c r="K61" s="191" t="str">
        <f>VLOOKUP(U61,통합목록!$Q$4:$T$310,4,0)</f>
        <v>특별단체협약상 정리해고에 대한 합의 조항을 협의로 변형 해석할 수 있는지 여부</v>
      </c>
      <c r="L61" s="192" t="str">
        <f>VLOOKUP(U61,통합목록!$Q$4:$T$310,2,0)</f>
        <v>열기2-01.노동법\02.문제\[기출][2][2014-1-1]특별단체협약상 정리해고에 대한 합의 조항을 협의로 변형 해석할 수 있는지 여부.txt</v>
      </c>
      <c r="M61" s="192" t="s">
        <v>1232</v>
      </c>
      <c r="N61" s="192" t="str">
        <f>VLOOKUP(U61,통합목록!$Q$4:$S$310,3,0)</f>
        <v>B</v>
      </c>
      <c r="O61" s="193"/>
      <c r="P61" s="192" t="str">
        <f t="shared" si="7"/>
        <v>제13장 단체협약&gt;04&gt;1-1&gt;</v>
      </c>
      <c r="Q61" s="192" t="str">
        <f t="shared" si="8"/>
        <v>제13장 단체협약&gt;제05절 단체협약의 해석&gt;01</v>
      </c>
      <c r="R61" s="192" t="str">
        <f t="shared" si="9"/>
        <v>2&gt;기출&gt;2014&gt;3</v>
      </c>
      <c r="S61" s="192" t="str">
        <f t="shared" si="10"/>
        <v>2&gt;기출&gt;2014&gt;1-1</v>
      </c>
      <c r="U61" s="3" t="str">
        <f t="shared" si="11"/>
        <v>2014-1-1-2</v>
      </c>
    </row>
    <row r="62" spans="2:21" ht="14.45" customHeight="1" x14ac:dyDescent="0.2">
      <c r="B62" s="188">
        <f t="shared" si="6"/>
        <v>59</v>
      </c>
      <c r="C62" s="189">
        <v>2014</v>
      </c>
      <c r="D62" s="190" t="s">
        <v>497</v>
      </c>
      <c r="E62" s="190" t="s">
        <v>27</v>
      </c>
      <c r="F62" s="190" t="s">
        <v>28</v>
      </c>
      <c r="G62" s="191" t="s">
        <v>414</v>
      </c>
      <c r="H62" s="190" t="s">
        <v>472</v>
      </c>
      <c r="I62" s="352" t="s">
        <v>432</v>
      </c>
      <c r="J62" s="190" t="s">
        <v>426</v>
      </c>
      <c r="K62" s="191" t="str">
        <f>VLOOKUP(U62,통합목록!$Q$4:$T$310,4,0)</f>
        <v>단체협약상 규정된 합의 없이 실시한 정리해고의 유효성</v>
      </c>
      <c r="L62" s="192" t="str">
        <f>VLOOKUP(U62,통합목록!$Q$4:$T$310,2,0)</f>
        <v>열기2-01.노동법\02.문제\[기출][2][2014-1-2]단체협약상 규정된 합의 없이 실시한 정리해고의 유효성.txt</v>
      </c>
      <c r="M62" s="192" t="s">
        <v>1232</v>
      </c>
      <c r="N62" s="192" t="str">
        <f>VLOOKUP(U62,통합목록!$Q$4:$S$310,3,0)</f>
        <v>A</v>
      </c>
      <c r="O62" s="193"/>
      <c r="P62" s="192" t="str">
        <f t="shared" si="7"/>
        <v>제08장 근로관계의 종료&gt;14&gt;1-2&gt;</v>
      </c>
      <c r="Q62" s="192" t="str">
        <f t="shared" si="8"/>
        <v>제08장 근로관계의 종료&gt;제03절 해고의 절차적 정당성&gt;03</v>
      </c>
      <c r="R62" s="192" t="str">
        <f t="shared" si="9"/>
        <v>2&gt;기출&gt;2014&gt;2</v>
      </c>
      <c r="S62" s="192" t="str">
        <f t="shared" si="10"/>
        <v>2&gt;기출&gt;2014&gt;1-2</v>
      </c>
      <c r="U62" s="3" t="str">
        <f t="shared" si="11"/>
        <v>2014-1-2-2</v>
      </c>
    </row>
    <row r="63" spans="2:21" ht="14.45" customHeight="1" x14ac:dyDescent="0.2">
      <c r="B63" s="188">
        <f t="shared" si="6"/>
        <v>60</v>
      </c>
      <c r="C63" s="189">
        <v>2014</v>
      </c>
      <c r="D63" s="190" t="s">
        <v>27</v>
      </c>
      <c r="E63" s="190" t="s">
        <v>27</v>
      </c>
      <c r="F63" s="190" t="s">
        <v>31</v>
      </c>
      <c r="G63" s="191" t="s">
        <v>479</v>
      </c>
      <c r="H63" s="190" t="s">
        <v>1394</v>
      </c>
      <c r="I63" s="352" t="s">
        <v>492</v>
      </c>
      <c r="J63" s="190" t="s">
        <v>430</v>
      </c>
      <c r="K63" s="191" t="str">
        <f>VLOOKUP(U63,통합목록!$Q$4:$T$310,4,0)</f>
        <v>사용자의 언론의 자유와 부당노동행위의 관계</v>
      </c>
      <c r="L63" s="192" t="str">
        <f>VLOOKUP(U63,통합목록!$Q$4:$T$310,2,0)</f>
        <v>열기2-01.노동법\02.문제\[기출][2][2014-2]사용자의 언론의 자유와 부당노동행위의 관계.txt</v>
      </c>
      <c r="M63" s="192" t="s">
        <v>1232</v>
      </c>
      <c r="N63" s="192" t="str">
        <f>VLOOKUP(U63,통합목록!$Q$4:$S$310,3,0)</f>
        <v>A</v>
      </c>
      <c r="O63" s="193"/>
      <c r="P63" s="192" t="str">
        <f t="shared" si="7"/>
        <v>제15장 부당노동행위&gt;11&gt;2&gt;</v>
      </c>
      <c r="Q63" s="192" t="str">
        <f t="shared" si="8"/>
        <v>제15장 부당노동행위&gt;제05절 지배・개입&gt;04</v>
      </c>
      <c r="R63" s="192" t="str">
        <f t="shared" si="9"/>
        <v>2&gt;기출&gt;2014&gt;1</v>
      </c>
      <c r="S63" s="192" t="str">
        <f t="shared" si="10"/>
        <v>2&gt;기출&gt;2014&gt;2</v>
      </c>
      <c r="U63" s="3" t="str">
        <f t="shared" si="11"/>
        <v>2014-2-2</v>
      </c>
    </row>
    <row r="64" spans="2:21" ht="14.45" customHeight="1" x14ac:dyDescent="0.2">
      <c r="B64" s="188">
        <f t="shared" si="6"/>
        <v>61</v>
      </c>
      <c r="C64" s="189">
        <v>2013</v>
      </c>
      <c r="D64" s="190" t="s">
        <v>412</v>
      </c>
      <c r="E64" s="190" t="s">
        <v>27</v>
      </c>
      <c r="F64" s="190" t="s">
        <v>413</v>
      </c>
      <c r="G64" s="191" t="s">
        <v>485</v>
      </c>
      <c r="H64" s="190" t="s">
        <v>465</v>
      </c>
      <c r="I64" s="352" t="s">
        <v>499</v>
      </c>
      <c r="J64" s="190" t="s">
        <v>415</v>
      </c>
      <c r="K64" s="191" t="str">
        <f>VLOOKUP(U64,통합목록!$Q$4:$T$310,4,0)</f>
        <v>설립 미신고 지부노동조합의 쟁의행위에 대한 주체의 정당성</v>
      </c>
      <c r="L64" s="192" t="str">
        <f>VLOOKUP(U64,통합목록!$Q$4:$T$310,2,0)</f>
        <v>열기2-01.노동법\02.문제\[기출][2][2013-1-1]설립 미신고 지부노동조합의 쟁의행위에 대한 주체의 정당성.txt</v>
      </c>
      <c r="M64" s="192" t="s">
        <v>1232</v>
      </c>
      <c r="N64" s="192" t="str">
        <f>VLOOKUP(U64,통합목록!$Q$4:$S$310,3,0)</f>
        <v>A</v>
      </c>
      <c r="O64" s="193"/>
      <c r="P64" s="192" t="str">
        <f t="shared" si="7"/>
        <v>제14장 쟁의행위&gt;12&gt;1-1&gt;</v>
      </c>
      <c r="Q64" s="192" t="str">
        <f t="shared" si="8"/>
        <v>제14장 쟁의행위&gt;제01절 쟁의행위 주체의 정당성&gt;01</v>
      </c>
      <c r="R64" s="192" t="str">
        <f t="shared" si="9"/>
        <v>2&gt;기출&gt;2013&gt;3</v>
      </c>
      <c r="S64" s="192" t="str">
        <f t="shared" si="10"/>
        <v>2&gt;기출&gt;2013&gt;1-1</v>
      </c>
      <c r="U64" s="3" t="str">
        <f t="shared" si="11"/>
        <v>2013-1-1-2</v>
      </c>
    </row>
    <row r="65" spans="2:21" ht="14.45" customHeight="1" x14ac:dyDescent="0.2">
      <c r="B65" s="188">
        <f t="shared" si="6"/>
        <v>62</v>
      </c>
      <c r="C65" s="189">
        <v>2013</v>
      </c>
      <c r="D65" s="190" t="s">
        <v>416</v>
      </c>
      <c r="E65" s="190" t="s">
        <v>27</v>
      </c>
      <c r="F65" s="190" t="s">
        <v>27</v>
      </c>
      <c r="G65" s="191" t="s">
        <v>485</v>
      </c>
      <c r="H65" s="190" t="s">
        <v>469</v>
      </c>
      <c r="I65" s="352" t="s">
        <v>491</v>
      </c>
      <c r="J65" s="190" t="s">
        <v>417</v>
      </c>
      <c r="K65" s="191" t="str">
        <f>VLOOKUP(U65,통합목록!$Q$4:$T$310,4,0)</f>
        <v>설립 미신고 지부노동조합의 쟁의행위에 대한 목적의 정당성</v>
      </c>
      <c r="L65" s="192" t="str">
        <f>VLOOKUP(U65,통합목록!$Q$4:$T$310,2,0)</f>
        <v>열기2-01.노동법\02.문제\[기출][2][2013-1-2]설립 미신고 지부노동조합의 쟁의행위에 대한 목적의 정당성.txt</v>
      </c>
      <c r="M65" s="192" t="s">
        <v>1232</v>
      </c>
      <c r="N65" s="192" t="str">
        <f>VLOOKUP(U65,통합목록!$Q$4:$S$310,3,0)</f>
        <v>A</v>
      </c>
      <c r="O65" s="193"/>
      <c r="P65" s="192" t="str">
        <f t="shared" si="7"/>
        <v>제14장 쟁의행위&gt;13&gt;1-2&gt;</v>
      </c>
      <c r="Q65" s="192" t="str">
        <f t="shared" si="8"/>
        <v>제14장 쟁의행위&gt;제02절 쟁의행위 목적의 정당성&gt;02</v>
      </c>
      <c r="R65" s="192" t="str">
        <f t="shared" si="9"/>
        <v>2&gt;기출&gt;2013&gt;2</v>
      </c>
      <c r="S65" s="192" t="str">
        <f t="shared" si="10"/>
        <v>2&gt;기출&gt;2013&gt;1-2</v>
      </c>
      <c r="U65" s="3" t="str">
        <f t="shared" si="11"/>
        <v>2013-1-2-2</v>
      </c>
    </row>
    <row r="66" spans="2:21" ht="14.45" customHeight="1" x14ac:dyDescent="0.2">
      <c r="B66" s="188">
        <f t="shared" si="6"/>
        <v>63</v>
      </c>
      <c r="C66" s="189">
        <v>2013</v>
      </c>
      <c r="D66" s="190" t="s">
        <v>27</v>
      </c>
      <c r="E66" s="190" t="s">
        <v>27</v>
      </c>
      <c r="F66" s="190" t="s">
        <v>419</v>
      </c>
      <c r="G66" s="191" t="s">
        <v>1600</v>
      </c>
      <c r="H66" s="190" t="s">
        <v>430</v>
      </c>
      <c r="I66" s="352" t="s">
        <v>500</v>
      </c>
      <c r="J66" s="190" t="s">
        <v>415</v>
      </c>
      <c r="K66" s="191" t="str">
        <f>VLOOKUP(U66,통합목록!$Q$4:$T$310,4,0)</f>
        <v>조합의 지지 정당 결정에 반하여 다른 정당을 지지한 조합원에 대한 제명처분의 효력</v>
      </c>
      <c r="L66" s="192" t="str">
        <f>VLOOKUP(U66,통합목록!$Q$4:$T$310,2,0)</f>
        <v>열기2-01.노동법\02.문제\[기출][2][2013-2]조합의 지지 정당 결정에 반하여 다른 정당을 지지한 조합원에 대한 제명처분의 효력.txt</v>
      </c>
      <c r="M66" s="192" t="s">
        <v>1232</v>
      </c>
      <c r="N66" s="192" t="str">
        <f>VLOOKUP(U66,통합목록!$Q$4:$S$310,3,0)</f>
        <v>A</v>
      </c>
      <c r="O66" s="193"/>
      <c r="P66" s="192" t="str">
        <f t="shared" si="7"/>
        <v>제11장 노동조합&gt;04&gt;2&gt;</v>
      </c>
      <c r="Q66" s="192" t="str">
        <f t="shared" si="8"/>
        <v>제11장 노동조합&gt;제06절 노동조합의 내부통제권&gt;01</v>
      </c>
      <c r="R66" s="192" t="str">
        <f t="shared" si="9"/>
        <v>2&gt;기출&gt;2013&gt;1</v>
      </c>
      <c r="S66" s="192" t="str">
        <f t="shared" si="10"/>
        <v>2&gt;기출&gt;2013&gt;2</v>
      </c>
      <c r="U66" s="3" t="str">
        <f t="shared" si="11"/>
        <v>2013-2-2</v>
      </c>
    </row>
    <row r="67" spans="2:21" ht="14.45" customHeight="1" x14ac:dyDescent="0.2">
      <c r="B67" s="188">
        <f t="shared" si="6"/>
        <v>64</v>
      </c>
      <c r="C67" s="189">
        <v>2012</v>
      </c>
      <c r="D67" s="190" t="s">
        <v>412</v>
      </c>
      <c r="E67" s="190" t="s">
        <v>27</v>
      </c>
      <c r="F67" s="190" t="s">
        <v>413</v>
      </c>
      <c r="G67" s="191" t="s">
        <v>488</v>
      </c>
      <c r="H67" s="190" t="s">
        <v>431</v>
      </c>
      <c r="I67" s="352" t="s">
        <v>484</v>
      </c>
      <c r="J67" s="190" t="s">
        <v>426</v>
      </c>
      <c r="K67" s="191" t="str">
        <f>VLOOKUP(U67,통합목록!$Q$4:$T$310,4,0)</f>
        <v>특별노사합의를 통한 고정상여금 미지급 결정의 효력 및 조합원 개별 동의의 필요성 여부</v>
      </c>
      <c r="L67" s="192" t="str">
        <f>VLOOKUP(U67,통합목록!$Q$4:$T$310,2,0)</f>
        <v>열기2-01.노동법\02.문제\[기출][2][2012-1-1]특별노사합의를 통한 고정상여금 미지급 결정의 효력 및 조합원 개별 동의의 필요성 여부.txt</v>
      </c>
      <c r="M67" s="192" t="s">
        <v>1232</v>
      </c>
      <c r="N67" s="192" t="str">
        <f>VLOOKUP(U67,통합목록!$Q$4:$S$310,3,0)</f>
        <v>C</v>
      </c>
      <c r="O67" s="193"/>
      <c r="P67" s="192" t="str">
        <f t="shared" si="7"/>
        <v>제13장 단체협약&gt;05&gt;1-1&gt;</v>
      </c>
      <c r="Q67" s="192" t="str">
        <f t="shared" si="8"/>
        <v>제13장 단체협약&gt;제03절 단체협약의 효력&gt;03</v>
      </c>
      <c r="R67" s="192" t="str">
        <f t="shared" si="9"/>
        <v>2&gt;기출&gt;2012&gt;3</v>
      </c>
      <c r="S67" s="192" t="str">
        <f t="shared" si="10"/>
        <v>2&gt;기출&gt;2012&gt;1-1</v>
      </c>
      <c r="U67" s="3" t="str">
        <f t="shared" si="11"/>
        <v>2012-1-1-2</v>
      </c>
    </row>
    <row r="68" spans="2:21" ht="14.45" customHeight="1" x14ac:dyDescent="0.2">
      <c r="B68" s="188">
        <f t="shared" ref="B68:B81" si="12">ROW()-3</f>
        <v>65</v>
      </c>
      <c r="C68" s="189">
        <v>2012</v>
      </c>
      <c r="D68" s="190" t="s">
        <v>416</v>
      </c>
      <c r="E68" s="190" t="s">
        <v>27</v>
      </c>
      <c r="F68" s="190" t="s">
        <v>27</v>
      </c>
      <c r="G68" s="191" t="s">
        <v>488</v>
      </c>
      <c r="H68" s="190" t="s">
        <v>435</v>
      </c>
      <c r="I68" s="352" t="s">
        <v>484</v>
      </c>
      <c r="J68" s="190" t="s">
        <v>430</v>
      </c>
      <c r="K68" s="191" t="str">
        <f>VLOOKUP(U68,통합목록!$Q$4:$T$310,4,0)</f>
        <v>특별노사합의를 통한 무단결근 면직기준 단축의 효력 및 조합원에 대한 적용 정당성 여부</v>
      </c>
      <c r="L68" s="192" t="str">
        <f>VLOOKUP(U68,통합목록!$Q$4:$T$310,2,0)</f>
        <v>열기2-01.노동법\02.문제\[기출][2][2012-1-2]특별노사합의를 통한 무단결근 면직기준 단축의 효력 및 조합원에 대한 적용 정당성 여부.txt</v>
      </c>
      <c r="M68" s="192" t="s">
        <v>1232</v>
      </c>
      <c r="N68" s="192" t="str">
        <f>VLOOKUP(U68,통합목록!$Q$4:$S$310,3,0)</f>
        <v>C</v>
      </c>
      <c r="O68" s="193"/>
      <c r="P68" s="192" t="str">
        <f t="shared" ref="P68:P81" si="13">G68&amp;"&gt;"&amp;H68&amp;"&gt;"&amp;D68&amp;"&gt;"&amp;O68</f>
        <v>제13장 단체협약&gt;06&gt;1-2&gt;</v>
      </c>
      <c r="Q68" s="192" t="str">
        <f t="shared" ref="Q68:Q81" si="14">G68&amp;"&gt;"&amp;I68&amp;"&gt;"&amp;J68</f>
        <v>제13장 단체협약&gt;제03절 단체협약의 효력&gt;04</v>
      </c>
      <c r="R68" s="192" t="str">
        <f t="shared" ref="R68:R81" si="15">E68&amp;"&gt;"&amp;M68&amp;"&gt;"&amp;C68&amp;"&gt;"&amp;F68</f>
        <v>2&gt;기출&gt;2012&gt;2</v>
      </c>
      <c r="S68" s="192" t="str">
        <f t="shared" ref="S68:S81" si="16">E68&amp;"&gt;"&amp;M68&amp;"&gt;"&amp;C68&amp;"&gt;"&amp;D68</f>
        <v>2&gt;기출&gt;2012&gt;1-2</v>
      </c>
      <c r="U68" s="3" t="str">
        <f t="shared" ref="U68:U81" si="17">C68&amp;"-"&amp;D68&amp;"-"&amp;E68</f>
        <v>2012-1-2-2</v>
      </c>
    </row>
    <row r="69" spans="2:21" ht="14.45" customHeight="1" x14ac:dyDescent="0.2">
      <c r="B69" s="188">
        <f t="shared" si="12"/>
        <v>66</v>
      </c>
      <c r="C69" s="189">
        <v>2012</v>
      </c>
      <c r="D69" s="190" t="s">
        <v>27</v>
      </c>
      <c r="E69" s="190" t="s">
        <v>27</v>
      </c>
      <c r="F69" s="190" t="s">
        <v>419</v>
      </c>
      <c r="G69" s="191" t="s">
        <v>1600</v>
      </c>
      <c r="H69" s="190" t="s">
        <v>501</v>
      </c>
      <c r="I69" s="352" t="s">
        <v>487</v>
      </c>
      <c r="J69" s="190" t="s">
        <v>417</v>
      </c>
      <c r="K69" s="191" t="str">
        <f>VLOOKUP(U69,통합목록!$Q$4:$T$310,4,0)</f>
        <v>노동조합법상 노동조합 참가가 금지되는 사용자 및 그 이익대표자의 범위와 판단 기준</v>
      </c>
      <c r="L69" s="192" t="str">
        <f>VLOOKUP(U69,통합목록!$Q$4:$T$310,2,0)</f>
        <v>열기2-01.노동법\02.문제\[기출][2][2012-2]노동조합법상 노동조합 참가가 금지되는 사용자 및 그 이익대표자의 범위와 판단 기준.txt</v>
      </c>
      <c r="M69" s="192" t="s">
        <v>1232</v>
      </c>
      <c r="N69" s="192" t="str">
        <f>VLOOKUP(U69,통합목록!$Q$4:$S$310,3,0)</f>
        <v>A</v>
      </c>
      <c r="O69" s="193"/>
      <c r="P69" s="192" t="str">
        <f t="shared" si="13"/>
        <v>제11장 노동조합&gt;05&gt;2&gt;</v>
      </c>
      <c r="Q69" s="192" t="str">
        <f t="shared" si="14"/>
        <v>제11장 노동조합&gt;제01절 노동조합의 설립요건&gt;02</v>
      </c>
      <c r="R69" s="192" t="str">
        <f t="shared" si="15"/>
        <v>2&gt;기출&gt;2012&gt;1</v>
      </c>
      <c r="S69" s="192" t="str">
        <f t="shared" si="16"/>
        <v>2&gt;기출&gt;2012&gt;2</v>
      </c>
      <c r="U69" s="3" t="str">
        <f t="shared" si="17"/>
        <v>2012-2-2</v>
      </c>
    </row>
    <row r="70" spans="2:21" ht="14.45" customHeight="1" x14ac:dyDescent="0.2">
      <c r="B70" s="188">
        <f t="shared" si="12"/>
        <v>67</v>
      </c>
      <c r="C70" s="189">
        <v>2011</v>
      </c>
      <c r="D70" s="190" t="s">
        <v>31</v>
      </c>
      <c r="E70" s="190" t="s">
        <v>27</v>
      </c>
      <c r="F70" s="190" t="s">
        <v>446</v>
      </c>
      <c r="G70" s="191" t="s">
        <v>477</v>
      </c>
      <c r="H70" s="190" t="s">
        <v>440</v>
      </c>
      <c r="I70" s="352" t="s">
        <v>502</v>
      </c>
      <c r="J70" s="190" t="s">
        <v>417</v>
      </c>
      <c r="K70" s="191" t="str">
        <f>VLOOKUP(U70,통합목록!$Q$4:$T$310,4,0)</f>
        <v>산별노동조합 지회의 단체교섭 주체성 인정 여부, 사업부 매각 결정(경영권)의 단체교섭 대상성 여부</v>
      </c>
      <c r="L70" s="192" t="str">
        <f>VLOOKUP(U70,통합목록!$Q$4:$T$310,2,0)</f>
        <v>열기2-01.노동법\02.문제\[기출][2][2011-1]산별노동조합 지회의 단체교섭 주체성 인정 여부, 사업부 매각 결정(경영권)의 단체교섭 대상성 여부.txt</v>
      </c>
      <c r="M70" s="192" t="s">
        <v>1232</v>
      </c>
      <c r="N70" s="192" t="str">
        <f>VLOOKUP(U70,통합목록!$Q$4:$S$310,3,0)</f>
        <v>A</v>
      </c>
      <c r="O70" s="193"/>
      <c r="P70" s="192" t="str">
        <f t="shared" si="13"/>
        <v>제12장 단체교섭&gt;07&gt;1&gt;</v>
      </c>
      <c r="Q70" s="192" t="str">
        <f t="shared" si="14"/>
        <v>제12장 단체교섭&gt;제01절 단체교섭의 당사자&gt;02</v>
      </c>
      <c r="R70" s="192" t="str">
        <f t="shared" si="15"/>
        <v>2&gt;기출&gt;2011&gt;3</v>
      </c>
      <c r="S70" s="192" t="str">
        <f t="shared" si="16"/>
        <v>2&gt;기출&gt;2011&gt;1</v>
      </c>
      <c r="U70" s="3" t="str">
        <f t="shared" si="17"/>
        <v>2011-1-2</v>
      </c>
    </row>
    <row r="71" spans="2:21" ht="14.45" customHeight="1" x14ac:dyDescent="0.2">
      <c r="B71" s="188">
        <f t="shared" si="12"/>
        <v>68</v>
      </c>
      <c r="C71" s="189">
        <v>2011</v>
      </c>
      <c r="D71" s="190" t="s">
        <v>31</v>
      </c>
      <c r="E71" s="190" t="s">
        <v>27</v>
      </c>
      <c r="F71" s="190" t="s">
        <v>28</v>
      </c>
      <c r="G71" s="191" t="s">
        <v>477</v>
      </c>
      <c r="H71" s="190" t="s">
        <v>447</v>
      </c>
      <c r="I71" s="352" t="s">
        <v>1823</v>
      </c>
      <c r="J71" s="190" t="s">
        <v>415</v>
      </c>
      <c r="K71" s="191" t="str">
        <f>VLOOKUP(U71,통합목록!$Q$4:$T$310,4,0)</f>
        <v>산별노동조합 지회의 단체교섭 주체성 인정 여부, 사업부 매각 결정(경영권)의 단체교섭 대상성 여부</v>
      </c>
      <c r="L71" s="192" t="str">
        <f>VLOOKUP(U71,통합목록!$Q$4:$T$310,2,0)</f>
        <v>열기2-01.노동법\02.문제\[기출][2][2011-1]산별노동조합 지회의 단체교섭 주체성 인정 여부, 사업부 매각 결정(경영권)의 단체교섭 대상성 여부.txt</v>
      </c>
      <c r="M71" s="192" t="s">
        <v>1232</v>
      </c>
      <c r="N71" s="192" t="str">
        <f>VLOOKUP(U71,통합목록!$Q$4:$S$310,3,0)</f>
        <v>A</v>
      </c>
      <c r="O71" s="193"/>
      <c r="P71" s="192" t="str">
        <f t="shared" si="13"/>
        <v>제12장 단체교섭&gt;08&gt;1&gt;</v>
      </c>
      <c r="Q71" s="192" t="str">
        <f t="shared" si="14"/>
        <v>제12장 단체교섭&gt;제03절 단체교섭의 대상&gt;01</v>
      </c>
      <c r="R71" s="192" t="str">
        <f t="shared" si="15"/>
        <v>2&gt;기출&gt;2011&gt;2</v>
      </c>
      <c r="S71" s="192" t="str">
        <f t="shared" si="16"/>
        <v>2&gt;기출&gt;2011&gt;1</v>
      </c>
      <c r="U71" s="3" t="str">
        <f t="shared" si="17"/>
        <v>2011-1-2</v>
      </c>
    </row>
    <row r="72" spans="2:21" ht="14.45" customHeight="1" x14ac:dyDescent="0.2">
      <c r="B72" s="188">
        <f t="shared" si="12"/>
        <v>69</v>
      </c>
      <c r="C72" s="189">
        <v>2011</v>
      </c>
      <c r="D72" s="190" t="s">
        <v>27</v>
      </c>
      <c r="E72" s="190" t="s">
        <v>27</v>
      </c>
      <c r="F72" s="190" t="s">
        <v>31</v>
      </c>
      <c r="G72" s="191" t="s">
        <v>485</v>
      </c>
      <c r="H72" s="190" t="s">
        <v>472</v>
      </c>
      <c r="I72" s="352" t="s">
        <v>494</v>
      </c>
      <c r="J72" s="190" t="s">
        <v>417</v>
      </c>
      <c r="K72" s="191" t="str">
        <f>VLOOKUP(U72,통합목록!$Q$4:$T$310,4,0)</f>
        <v>준법투쟁의 개념과 법적 성격, 유형, 관련 판례법리, 효과 및 활용</v>
      </c>
      <c r="L72" s="192" t="str">
        <f>VLOOKUP(U72,통합목록!$Q$4:$T$310,2,0)</f>
        <v>열기2-01.노동법\02.문제\[기출][2][2011-2]준법투쟁의 개념과 법적 성격, 유형, 관련 판례법리, 효과 및 활용.txt</v>
      </c>
      <c r="M72" s="192" t="s">
        <v>1232</v>
      </c>
      <c r="N72" s="192" t="str">
        <f>VLOOKUP(U72,통합목록!$Q$4:$S$310,3,0)</f>
        <v>A</v>
      </c>
      <c r="O72" s="193"/>
      <c r="P72" s="192" t="str">
        <f t="shared" si="13"/>
        <v>제14장 쟁의행위&gt;14&gt;2&gt;</v>
      </c>
      <c r="Q72" s="192" t="str">
        <f t="shared" si="14"/>
        <v>제14장 쟁의행위&gt;제05절 준법투쟁&gt;02</v>
      </c>
      <c r="R72" s="192" t="str">
        <f t="shared" si="15"/>
        <v>2&gt;기출&gt;2011&gt;1</v>
      </c>
      <c r="S72" s="192" t="str">
        <f t="shared" si="16"/>
        <v>2&gt;기출&gt;2011&gt;2</v>
      </c>
      <c r="U72" s="3" t="str">
        <f t="shared" si="17"/>
        <v>2011-2-2</v>
      </c>
    </row>
    <row r="73" spans="2:21" ht="14.45" customHeight="1" x14ac:dyDescent="0.2">
      <c r="B73" s="188">
        <f t="shared" si="12"/>
        <v>70</v>
      </c>
      <c r="C73" s="189">
        <v>2010</v>
      </c>
      <c r="D73" s="190" t="s">
        <v>419</v>
      </c>
      <c r="E73" s="190" t="s">
        <v>27</v>
      </c>
      <c r="F73" s="190" t="s">
        <v>27</v>
      </c>
      <c r="G73" s="191" t="s">
        <v>488</v>
      </c>
      <c r="H73" s="190" t="s">
        <v>440</v>
      </c>
      <c r="I73" s="352" t="s">
        <v>489</v>
      </c>
      <c r="J73" s="190" t="s">
        <v>417</v>
      </c>
      <c r="K73" s="191" t="str">
        <f>VLOOKUP(U73,통합목록!$Q$4:$T$310,4,0)</f>
        <v>단체협약 만료 후 법정연장기간 내에 노동조합과의 사전합의 없이 행해진 해고의 효력</v>
      </c>
      <c r="L73" s="192" t="str">
        <f>VLOOKUP(U73,통합목록!$Q$4:$T$310,2,0)</f>
        <v>열기2-01.노동법\02.문제\[기출][2][2010-1]단체협약 만료 후 법정연장기간 내에 노동조합과의 사전합의 없이 행해진 해고의 효력.txt</v>
      </c>
      <c r="M73" s="192" t="s">
        <v>1232</v>
      </c>
      <c r="N73" s="192" t="str">
        <f>VLOOKUP(U73,통합목록!$Q$4:$S$310,3,0)</f>
        <v>A</v>
      </c>
      <c r="O73" s="193" t="s">
        <v>1719</v>
      </c>
      <c r="P73" s="192" t="str">
        <f t="shared" si="13"/>
        <v>제13장 단체협약&gt;07&gt;1&gt;보충 포함, 규범적 효력/채무적 효력</v>
      </c>
      <c r="Q73" s="192" t="str">
        <f t="shared" si="14"/>
        <v>제13장 단체협약&gt;제08절 단체협약의 실효 및 실효 후의 근로관계&gt;02</v>
      </c>
      <c r="R73" s="192" t="str">
        <f t="shared" si="15"/>
        <v>2&gt;기출&gt;2010&gt;2</v>
      </c>
      <c r="S73" s="192" t="str">
        <f t="shared" si="16"/>
        <v>2&gt;기출&gt;2010&gt;1</v>
      </c>
      <c r="U73" s="3" t="str">
        <f t="shared" si="17"/>
        <v>2010-1-2</v>
      </c>
    </row>
    <row r="74" spans="2:21" ht="14.45" customHeight="1" x14ac:dyDescent="0.2">
      <c r="B74" s="188">
        <f t="shared" si="12"/>
        <v>71</v>
      </c>
      <c r="C74" s="189">
        <v>2010</v>
      </c>
      <c r="D74" s="190" t="s">
        <v>27</v>
      </c>
      <c r="E74" s="190" t="s">
        <v>27</v>
      </c>
      <c r="F74" s="190" t="s">
        <v>419</v>
      </c>
      <c r="G74" s="191" t="s">
        <v>485</v>
      </c>
      <c r="H74" s="190" t="s">
        <v>504</v>
      </c>
      <c r="I74" s="352" t="s">
        <v>505</v>
      </c>
      <c r="J74" s="190" t="s">
        <v>415</v>
      </c>
      <c r="K74" s="191" t="str">
        <f>VLOOKUP(U74,통합목록!$Q$4:$T$310,4,0)</f>
        <v>노동조합 쟁의행위의 절차적 정당성의 요건, 절차 위반 시 효력</v>
      </c>
      <c r="L74" s="192" t="str">
        <f>VLOOKUP(U74,통합목록!$Q$4:$T$310,2,0)</f>
        <v>열기2-01.노동법\02.문제\[기출][2][2010-2]노동조합 쟁의행위의 절차적 정당성의 요건, 절차 위반 시 효력.txt</v>
      </c>
      <c r="M74" s="192" t="s">
        <v>1232</v>
      </c>
      <c r="N74" s="192" t="str">
        <f>VLOOKUP(U74,통합목록!$Q$4:$S$310,3,0)</f>
        <v>A</v>
      </c>
      <c r="O74" s="193"/>
      <c r="P74" s="192" t="str">
        <f t="shared" si="13"/>
        <v>제14장 쟁의행위&gt;15&gt;2&gt;</v>
      </c>
      <c r="Q74" s="192" t="str">
        <f t="shared" si="14"/>
        <v>제14장 쟁의행위&gt;제03절 쟁의행위 시기・절차의 정당성&gt;01</v>
      </c>
      <c r="R74" s="192" t="str">
        <f t="shared" si="15"/>
        <v>2&gt;기출&gt;2010&gt;1</v>
      </c>
      <c r="S74" s="192" t="str">
        <f t="shared" si="16"/>
        <v>2&gt;기출&gt;2010&gt;2</v>
      </c>
      <c r="U74" s="3" t="str">
        <f t="shared" si="17"/>
        <v>2010-2-2</v>
      </c>
    </row>
    <row r="75" spans="2:21" ht="14.45" customHeight="1" x14ac:dyDescent="0.2">
      <c r="B75" s="188">
        <f t="shared" si="12"/>
        <v>72</v>
      </c>
      <c r="C75" s="189">
        <v>2009</v>
      </c>
      <c r="D75" s="190" t="s">
        <v>419</v>
      </c>
      <c r="E75" s="190" t="s">
        <v>27</v>
      </c>
      <c r="F75" s="190" t="s">
        <v>413</v>
      </c>
      <c r="G75" s="191" t="s">
        <v>477</v>
      </c>
      <c r="H75" s="190" t="s">
        <v>450</v>
      </c>
      <c r="I75" s="352" t="s">
        <v>502</v>
      </c>
      <c r="J75" s="190" t="s">
        <v>426</v>
      </c>
      <c r="K75" s="191" t="str">
        <f>VLOOKUP(U75,통합목록!$Q$4:$T$310,4,0)</f>
        <v>도급 또는 파견 계약 관계에서 노조법상 사용자로서 단체교섭 의무 부담 여부</v>
      </c>
      <c r="L75" s="192" t="str">
        <f>VLOOKUP(U75,통합목록!$Q$4:$T$310,2,0)</f>
        <v>열기2-01.노동법\02.문제\[기출][2][2009-1]도급 또는 파견 계약 관계에서 노조법상 사용자로서 단체교섭 의무 부담 여부.txt</v>
      </c>
      <c r="M75" s="192" t="s">
        <v>1232</v>
      </c>
      <c r="N75" s="192" t="str">
        <f>VLOOKUP(U75,통합목록!$Q$4:$S$310,3,0)</f>
        <v>A</v>
      </c>
      <c r="O75" s="193"/>
      <c r="P75" s="192" t="str">
        <f t="shared" si="13"/>
        <v>제12장 단체교섭&gt;09&gt;1&gt;</v>
      </c>
      <c r="Q75" s="192" t="str">
        <f t="shared" si="14"/>
        <v>제12장 단체교섭&gt;제01절 단체교섭의 당사자&gt;03</v>
      </c>
      <c r="R75" s="192" t="str">
        <f t="shared" si="15"/>
        <v>2&gt;기출&gt;2009&gt;3</v>
      </c>
      <c r="S75" s="192" t="str">
        <f t="shared" si="16"/>
        <v>2&gt;기출&gt;2009&gt;1</v>
      </c>
      <c r="U75" s="3" t="str">
        <f t="shared" si="17"/>
        <v>2009-1-2</v>
      </c>
    </row>
    <row r="76" spans="2:21" ht="14.45" customHeight="1" x14ac:dyDescent="0.2">
      <c r="B76" s="188">
        <f t="shared" si="12"/>
        <v>73</v>
      </c>
      <c r="C76" s="189">
        <v>2009</v>
      </c>
      <c r="D76" s="190" t="s">
        <v>27</v>
      </c>
      <c r="E76" s="190" t="s">
        <v>27</v>
      </c>
      <c r="F76" s="190" t="s">
        <v>27</v>
      </c>
      <c r="G76" s="191" t="s">
        <v>485</v>
      </c>
      <c r="H76" s="190" t="s">
        <v>506</v>
      </c>
      <c r="I76" s="352" t="s">
        <v>493</v>
      </c>
      <c r="J76" s="190" t="s">
        <v>430</v>
      </c>
      <c r="K76" s="191" t="str">
        <f>VLOOKUP(U76,통합목록!$Q$4:$T$310,4,0)</f>
        <v>직장점거 중 단행된 사용자의 직장폐쇄에 따른 법률적 효과</v>
      </c>
      <c r="L76" s="192" t="str">
        <f>VLOOKUP(U76,통합목록!$Q$4:$T$310,2,0)</f>
        <v>열기2-01.노동법\02.문제\[기출][2][2009-2]직장점거 중 단행된 사용자의 직장폐쇄에 따른 법률적 효과.txt</v>
      </c>
      <c r="M76" s="192" t="s">
        <v>1232</v>
      </c>
      <c r="N76" s="192" t="str">
        <f>VLOOKUP(U76,통합목록!$Q$4:$S$310,3,0)</f>
        <v>A</v>
      </c>
      <c r="O76" s="193"/>
      <c r="P76" s="192" t="str">
        <f t="shared" si="13"/>
        <v>제14장 쟁의행위&gt;16&gt;2&gt;</v>
      </c>
      <c r="Q76" s="192" t="str">
        <f t="shared" si="14"/>
        <v>제14장 쟁의행위&gt;제06절 사용자의 쟁의행위&gt;04</v>
      </c>
      <c r="R76" s="192" t="str">
        <f t="shared" si="15"/>
        <v>2&gt;기출&gt;2009&gt;2</v>
      </c>
      <c r="S76" s="192" t="str">
        <f t="shared" si="16"/>
        <v>2&gt;기출&gt;2009&gt;2</v>
      </c>
      <c r="U76" s="3" t="str">
        <f t="shared" si="17"/>
        <v>2009-2-2</v>
      </c>
    </row>
    <row r="77" spans="2:21" ht="14.45" customHeight="1" x14ac:dyDescent="0.2">
      <c r="B77" s="188">
        <f t="shared" si="12"/>
        <v>74</v>
      </c>
      <c r="C77" s="189">
        <v>2009</v>
      </c>
      <c r="D77" s="190" t="s">
        <v>413</v>
      </c>
      <c r="E77" s="190" t="s">
        <v>27</v>
      </c>
      <c r="F77" s="190" t="s">
        <v>419</v>
      </c>
      <c r="G77" s="191" t="s">
        <v>1600</v>
      </c>
      <c r="H77" s="190" t="s">
        <v>507</v>
      </c>
      <c r="I77" s="352" t="s">
        <v>487</v>
      </c>
      <c r="J77" s="190" t="s">
        <v>426</v>
      </c>
      <c r="K77" s="191" t="str">
        <f>VLOOKUP(U77,통합목록!$Q$4:$T$310,4,0)</f>
        <v>노동조합 가입 자격의 기본 원칙, 제한의 허용 범위, 한계 및 위반 시 효과</v>
      </c>
      <c r="L77" s="192" t="str">
        <f>VLOOKUP(U77,통합목록!$Q$4:$T$310,2,0)</f>
        <v>열기2-01.노동법\02.문제\[기출][2][2009-3]노동조합 가입 자격의 기본 원칙, 제한의 허용 범위, 한계 및 위반 시 효과.txt</v>
      </c>
      <c r="M77" s="192" t="s">
        <v>1232</v>
      </c>
      <c r="N77" s="192" t="str">
        <f>VLOOKUP(U77,통합목록!$Q$4:$S$310,3,0)</f>
        <v>A</v>
      </c>
      <c r="O77" s="193"/>
      <c r="P77" s="192" t="str">
        <f t="shared" si="13"/>
        <v>제11장 노동조합&gt;06&gt;3&gt;</v>
      </c>
      <c r="Q77" s="192" t="str">
        <f t="shared" si="14"/>
        <v>제11장 노동조합&gt;제01절 노동조합의 설립요건&gt;03</v>
      </c>
      <c r="R77" s="192" t="str">
        <f t="shared" si="15"/>
        <v>2&gt;기출&gt;2009&gt;1</v>
      </c>
      <c r="S77" s="192" t="str">
        <f t="shared" si="16"/>
        <v>2&gt;기출&gt;2009&gt;3</v>
      </c>
      <c r="U77" s="3" t="str">
        <f t="shared" si="17"/>
        <v>2009-3-2</v>
      </c>
    </row>
    <row r="78" spans="2:21" ht="14.45" customHeight="1" x14ac:dyDescent="0.2">
      <c r="B78" s="188">
        <f t="shared" si="12"/>
        <v>75</v>
      </c>
      <c r="C78" s="189">
        <v>2008</v>
      </c>
      <c r="D78" s="190" t="s">
        <v>419</v>
      </c>
      <c r="E78" s="190" t="s">
        <v>27</v>
      </c>
      <c r="F78" s="190" t="s">
        <v>437</v>
      </c>
      <c r="G78" s="191" t="s">
        <v>477</v>
      </c>
      <c r="H78" s="190" t="s">
        <v>447</v>
      </c>
      <c r="I78" s="352" t="s">
        <v>503</v>
      </c>
      <c r="J78" s="190" t="s">
        <v>415</v>
      </c>
      <c r="K78" s="191" t="str">
        <f>VLOOKUP(U78,통합목록!$Q$4:$T$310,4,0)</f>
        <v>단체협약상 동의조항의 효력(노동조합의 동의권에 대한 범위), 경영권에 대한 단체교섭의 대상성</v>
      </c>
      <c r="L78" s="192" t="str">
        <f>VLOOKUP(U78,통합목록!$Q$4:$T$310,2,0)</f>
        <v>열기2-01.노동법\02.문제\[기출][2][2008-1]단체협약상 동의조항의 효력(노동조합의 동의권에 대한 범위), 경영권에 대한 단체교섭의 대상성.txt</v>
      </c>
      <c r="M78" s="192" t="s">
        <v>1232</v>
      </c>
      <c r="N78" s="192" t="str">
        <f>VLOOKUP(U78,통합목록!$Q$4:$S$310,3,0)</f>
        <v>B</v>
      </c>
      <c r="O78" s="193"/>
      <c r="P78" s="192" t="str">
        <f t="shared" si="13"/>
        <v>제12장 단체교섭&gt;08&gt;1&gt;</v>
      </c>
      <c r="Q78" s="192" t="str">
        <f t="shared" si="14"/>
        <v>제12장 단체교섭&gt;제03절 단체교섭의 대상&gt;01</v>
      </c>
      <c r="R78" s="192" t="str">
        <f t="shared" si="15"/>
        <v>2&gt;기출&gt;2008&gt;4</v>
      </c>
      <c r="S78" s="192" t="str">
        <f t="shared" si="16"/>
        <v>2&gt;기출&gt;2008&gt;1</v>
      </c>
      <c r="U78" s="3" t="str">
        <f t="shared" si="17"/>
        <v>2008-1-2</v>
      </c>
    </row>
    <row r="79" spans="2:21" ht="14.45" customHeight="1" x14ac:dyDescent="0.2">
      <c r="B79" s="188">
        <f t="shared" si="12"/>
        <v>76</v>
      </c>
      <c r="C79" s="189">
        <v>2008</v>
      </c>
      <c r="D79" s="190" t="s">
        <v>419</v>
      </c>
      <c r="E79" s="190" t="s">
        <v>27</v>
      </c>
      <c r="F79" s="190" t="s">
        <v>413</v>
      </c>
      <c r="G79" s="191" t="s">
        <v>1824</v>
      </c>
      <c r="H79" s="190" t="s">
        <v>453</v>
      </c>
      <c r="I79" s="352" t="s">
        <v>1825</v>
      </c>
      <c r="J79" s="190" t="s">
        <v>417</v>
      </c>
      <c r="K79" s="191" t="str">
        <f>VLOOKUP(U79,통합목록!$Q$4:$T$310,4,0)</f>
        <v>단체협약상 동의조항의 효력(노동조합의 동의권에 대한 범위), 경영권에 대한 단체교섭의 대상성</v>
      </c>
      <c r="L79" s="192" t="str">
        <f>VLOOKUP(U79,통합목록!$Q$4:$T$310,2,0)</f>
        <v>열기2-01.노동법\02.문제\[기출][2][2008-1]단체협약상 동의조항의 효력(노동조합의 동의권에 대한 범위), 경영권에 대한 단체교섭의 대상성.txt</v>
      </c>
      <c r="M79" s="192" t="s">
        <v>1232</v>
      </c>
      <c r="N79" s="192" t="str">
        <f>VLOOKUP(U79,통합목록!$Q$4:$S$310,3,0)</f>
        <v>B</v>
      </c>
      <c r="O79" s="193"/>
      <c r="P79" s="192" t="str">
        <f t="shared" si="13"/>
        <v>제13장 단체협약&gt;10&gt;1&gt;</v>
      </c>
      <c r="Q79" s="192" t="str">
        <f t="shared" si="14"/>
        <v>제13장 단체협약&gt;제06절 단체협약의 중요조항&gt;02</v>
      </c>
      <c r="R79" s="192" t="str">
        <f t="shared" si="15"/>
        <v>2&gt;기출&gt;2008&gt;3</v>
      </c>
      <c r="S79" s="192" t="str">
        <f t="shared" si="16"/>
        <v>2&gt;기출&gt;2008&gt;1</v>
      </c>
      <c r="U79" s="3" t="str">
        <f t="shared" si="17"/>
        <v>2008-1-2</v>
      </c>
    </row>
    <row r="80" spans="2:21" ht="14.45" customHeight="1" x14ac:dyDescent="0.2">
      <c r="B80" s="188">
        <f t="shared" si="12"/>
        <v>77</v>
      </c>
      <c r="C80" s="189">
        <v>2008</v>
      </c>
      <c r="D80" s="190" t="s">
        <v>27</v>
      </c>
      <c r="E80" s="190" t="s">
        <v>27</v>
      </c>
      <c r="F80" s="190" t="s">
        <v>28</v>
      </c>
      <c r="G80" s="191" t="s">
        <v>485</v>
      </c>
      <c r="H80" s="190" t="s">
        <v>509</v>
      </c>
      <c r="I80" s="352" t="s">
        <v>2</v>
      </c>
      <c r="J80" s="190" t="s">
        <v>430</v>
      </c>
      <c r="K80" s="191" t="str">
        <f>VLOOKUP(U80,통합목록!$Q$4:$T$310,4,0)</f>
        <v>쟁의행위 기간 중 사용자의 채용 제한의 원칙, 필수공익사업의 특례, 위반 시 쟁점</v>
      </c>
      <c r="L80" s="192" t="str">
        <f>VLOOKUP(U80,통합목록!$Q$4:$T$310,2,0)</f>
        <v>열기2-01.노동법\02.문제\[기출][2][2008-2]쟁의행위 기간 중 사용자의 채용 제한의 원칙, 필수공익사업의 특례, 위반 시 쟁점.txt</v>
      </c>
      <c r="M80" s="192" t="s">
        <v>1232</v>
      </c>
      <c r="N80" s="192" t="str">
        <f>VLOOKUP(U80,통합목록!$Q$4:$S$310,3,0)</f>
        <v>A</v>
      </c>
      <c r="O80" s="193"/>
      <c r="P80" s="192" t="str">
        <f t="shared" si="13"/>
        <v>제14장 쟁의행위&gt;18&gt;2&gt;</v>
      </c>
      <c r="Q80" s="192" t="str">
        <f t="shared" si="14"/>
        <v>제14장 쟁의행위&gt;제10절 쟁의기간 중 대체근로의 제한&gt;04</v>
      </c>
      <c r="R80" s="192" t="str">
        <f t="shared" si="15"/>
        <v>2&gt;기출&gt;2008&gt;2</v>
      </c>
      <c r="S80" s="192" t="str">
        <f t="shared" si="16"/>
        <v>2&gt;기출&gt;2008&gt;2</v>
      </c>
      <c r="U80" s="3" t="str">
        <f t="shared" si="17"/>
        <v>2008-2-2</v>
      </c>
    </row>
    <row r="81" spans="1:21" ht="14.45" customHeight="1" x14ac:dyDescent="0.2">
      <c r="B81" s="188">
        <f t="shared" si="12"/>
        <v>78</v>
      </c>
      <c r="C81" s="189">
        <v>2008</v>
      </c>
      <c r="D81" s="190" t="s">
        <v>446</v>
      </c>
      <c r="E81" s="190" t="s">
        <v>27</v>
      </c>
      <c r="F81" s="190" t="s">
        <v>31</v>
      </c>
      <c r="G81" s="191" t="s">
        <v>1380</v>
      </c>
      <c r="H81" s="190" t="s">
        <v>431</v>
      </c>
      <c r="I81" s="352" t="s">
        <v>1497</v>
      </c>
      <c r="J81" s="190" t="s">
        <v>415</v>
      </c>
      <c r="K81" s="191" t="str">
        <f>VLOOKUP(U81,통합목록!$Q$4:$T$310,4,0)</f>
        <v>노동위원회의 관할(사건 관할, 지역 관할)</v>
      </c>
      <c r="L81" s="192" t="str">
        <f>VLOOKUP(U81,통합목록!$Q$4:$T$310,2,0)</f>
        <v>열기2-01.노동법\02.문제\[기출][2][2008-3]노동위원회의 관할(사건 관할, 지역 관할).txt</v>
      </c>
      <c r="M81" s="192" t="s">
        <v>1232</v>
      </c>
      <c r="N81" s="192" t="str">
        <f>VLOOKUP(U81,통합목록!$Q$4:$S$310,3,0)</f>
        <v>C</v>
      </c>
      <c r="O81" s="193"/>
      <c r="P81" s="192" t="str">
        <f t="shared" si="13"/>
        <v>제16장 부속법령&gt;05&gt;3&gt;</v>
      </c>
      <c r="Q81" s="192" t="str">
        <f t="shared" si="14"/>
        <v>제16장 부속법령&gt;제09절 노위법&gt;01</v>
      </c>
      <c r="R81" s="192" t="str">
        <f t="shared" si="15"/>
        <v>2&gt;기출&gt;2008&gt;1</v>
      </c>
      <c r="S81" s="192" t="str">
        <f t="shared" si="16"/>
        <v>2&gt;기출&gt;2008&gt;3</v>
      </c>
      <c r="U81" s="3" t="str">
        <f t="shared" si="17"/>
        <v>2008-3-2</v>
      </c>
    </row>
    <row r="82" spans="1:21" ht="14.45" customHeight="1" x14ac:dyDescent="0.2">
      <c r="B82" s="188">
        <f t="shared" ref="B82:B113" si="18">ROW()-3</f>
        <v>79</v>
      </c>
      <c r="C82" s="296">
        <v>9.02</v>
      </c>
      <c r="D82" s="190" t="s">
        <v>31</v>
      </c>
      <c r="E82" s="190" t="s">
        <v>419</v>
      </c>
      <c r="F82" s="190" t="s">
        <v>28</v>
      </c>
      <c r="G82" s="191" t="s">
        <v>421</v>
      </c>
      <c r="H82" s="190" t="s">
        <v>447</v>
      </c>
      <c r="I82" s="352" t="s">
        <v>1439</v>
      </c>
      <c r="J82" s="190" t="s">
        <v>415</v>
      </c>
      <c r="K82" s="191" t="str">
        <f>VLOOKUP(U82,통합목록!$Q$4:$T$310,4,0)</f>
        <v>단시간근로자의 초과근로 가산수당 지급 요건 및 근로자의 가산임금 청구권 인정 여부</v>
      </c>
      <c r="L82" s="192" t="str">
        <f>VLOOKUP(U82,통합목록!$Q$4:$T$310,2,0)</f>
        <v>열기2-01.노동법\02.문제\[모의][1][09.02-1]단시간근로자의 초과근로 가산수당 지급 요건 및 근로자의 가산임금 청구권 인정 여부.txt</v>
      </c>
      <c r="M82" s="192" t="s">
        <v>1647</v>
      </c>
      <c r="N82" s="192" t="str">
        <f>VLOOKUP(U82,통합목록!$Q$4:$S$310,3,0)</f>
        <v>A</v>
      </c>
      <c r="O82" s="193"/>
      <c r="P82" s="192" t="str">
        <f t="shared" ref="P82:P113" si="19">G82&amp;"&gt;"&amp;H82&amp;"&gt;"&amp;D82&amp;"&gt;"&amp;O82</f>
        <v>제09장 비정규근로자&gt;08&gt;1&gt;</v>
      </c>
      <c r="Q82" s="192" t="str">
        <f t="shared" ref="Q82:Q113" si="20">G82&amp;"&gt;"&amp;I82&amp;"&gt;"&amp;J82</f>
        <v>제09장 비정규근로자&gt;제02절 단시간근로자&gt;01</v>
      </c>
      <c r="R82" s="192" t="str">
        <f t="shared" ref="R82:R113" si="21">E82&amp;"&gt;"&amp;M82&amp;"&gt;"&amp;C82&amp;"&gt;"&amp;F82</f>
        <v>1&gt;모의&gt;9.02&gt;2</v>
      </c>
      <c r="S82" s="192" t="str">
        <f t="shared" ref="S82:S113" si="22">E82&amp;"&gt;"&amp;M82&amp;"&gt;"&amp;C82&amp;"&gt;"&amp;D82</f>
        <v>1&gt;모의&gt;9.02&gt;1</v>
      </c>
      <c r="T82" s="3"/>
      <c r="U82" s="3" t="str">
        <f t="shared" ref="U82:U113" si="23">C82&amp;"-"&amp;D82&amp;"-"&amp;E82</f>
        <v>9.02-1-1</v>
      </c>
    </row>
    <row r="83" spans="1:21" s="3" customFormat="1" ht="14.45" customHeight="1" x14ac:dyDescent="0.2">
      <c r="A83" s="180"/>
      <c r="B83" s="188">
        <f t="shared" si="18"/>
        <v>80</v>
      </c>
      <c r="C83" s="296">
        <v>9.02</v>
      </c>
      <c r="D83" s="190" t="s">
        <v>28</v>
      </c>
      <c r="E83" s="190" t="s">
        <v>419</v>
      </c>
      <c r="F83" s="190" t="s">
        <v>31</v>
      </c>
      <c r="G83" s="191" t="s">
        <v>421</v>
      </c>
      <c r="H83" s="190" t="s">
        <v>450</v>
      </c>
      <c r="I83" s="352" t="s">
        <v>1439</v>
      </c>
      <c r="J83" s="190" t="s">
        <v>417</v>
      </c>
      <c r="K83" s="191" t="str">
        <f>VLOOKUP(U83,통합목록!$Q$4:$T$310,4,0)</f>
        <v>차별적 처우 금지 원칙과 상여금 미지급의 합리적 이유 없는 차별 해당 여부</v>
      </c>
      <c r="L83" s="192" t="str">
        <f>VLOOKUP(U83,통합목록!$Q$4:$T$310,2,0)</f>
        <v>열기2-01.노동법\02.문제\[모의][1][09.02-2]차별적 처우 금지 원칙과 상여금 미지급의 합리적 이유 없는 차별 해당 여부.txt</v>
      </c>
      <c r="M83" s="192" t="s">
        <v>1647</v>
      </c>
      <c r="N83" s="192" t="str">
        <f>VLOOKUP(U83,통합목록!$Q$4:$S$310,3,0)</f>
        <v>A</v>
      </c>
      <c r="O83" s="193"/>
      <c r="P83" s="192" t="str">
        <f t="shared" si="19"/>
        <v>제09장 비정규근로자&gt;09&gt;2&gt;</v>
      </c>
      <c r="Q83" s="192" t="str">
        <f t="shared" si="20"/>
        <v>제09장 비정규근로자&gt;제02절 단시간근로자&gt;02</v>
      </c>
      <c r="R83" s="192" t="str">
        <f t="shared" si="21"/>
        <v>1&gt;모의&gt;9.02&gt;1</v>
      </c>
      <c r="S83" s="192" t="str">
        <f t="shared" si="22"/>
        <v>1&gt;모의&gt;9.02&gt;2</v>
      </c>
      <c r="U83" s="3" t="str">
        <f t="shared" si="23"/>
        <v>9.02-2-1</v>
      </c>
    </row>
    <row r="84" spans="1:21" s="3" customFormat="1" ht="14.45" customHeight="1" x14ac:dyDescent="0.2">
      <c r="A84" s="180"/>
      <c r="B84" s="188">
        <f t="shared" si="18"/>
        <v>81</v>
      </c>
      <c r="C84" s="296">
        <v>8.02</v>
      </c>
      <c r="D84" s="190" t="s">
        <v>1714</v>
      </c>
      <c r="E84" s="190" t="s">
        <v>1714</v>
      </c>
      <c r="F84" s="190" t="s">
        <v>1714</v>
      </c>
      <c r="G84" s="191" t="s">
        <v>414</v>
      </c>
      <c r="H84" s="190" t="s">
        <v>509</v>
      </c>
      <c r="I84" s="352" t="s">
        <v>418</v>
      </c>
      <c r="J84" s="190" t="s">
        <v>460</v>
      </c>
      <c r="K84" s="191" t="str">
        <f>VLOOKUP(U84,통합목록!$Q$4:$T$310,4,0)</f>
        <v>권고사직을 거부한 근로자에 대한 해고 방안</v>
      </c>
      <c r="L84" s="192" t="str">
        <f>VLOOKUP(U84,통합목록!$Q$4:$T$310,2,0)</f>
        <v>열기2-01.노동법\02.문제\[모의][1][08.02-1]권고사직을 거부한 근로자에 대한 해고 방안.txt</v>
      </c>
      <c r="M84" s="192" t="s">
        <v>1715</v>
      </c>
      <c r="N84" s="192" t="str">
        <f>VLOOKUP(U84,통합목록!$Q$4:$S$310,3,0)</f>
        <v>A</v>
      </c>
      <c r="O84" s="193"/>
      <c r="P84" s="192" t="str">
        <f t="shared" si="19"/>
        <v>제08장 근로관계의 종료&gt;18&gt;1&gt;</v>
      </c>
      <c r="Q84" s="192" t="str">
        <f t="shared" si="20"/>
        <v>제08장 근로관계의 종료&gt;제02절 해고의 실체적 정당성&gt;11</v>
      </c>
      <c r="R84" s="192" t="str">
        <f t="shared" si="21"/>
        <v>1&gt;모의&gt;8.02&gt;1</v>
      </c>
      <c r="S84" s="192" t="str">
        <f t="shared" si="22"/>
        <v>1&gt;모의&gt;8.02&gt;1</v>
      </c>
      <c r="U84" s="3" t="str">
        <f t="shared" si="23"/>
        <v>8.02-1-1</v>
      </c>
    </row>
    <row r="85" spans="1:21" s="3" customFormat="1" ht="14.45" customHeight="1" x14ac:dyDescent="0.2">
      <c r="A85" s="180"/>
      <c r="B85" s="188">
        <f t="shared" si="18"/>
        <v>82</v>
      </c>
      <c r="C85" s="296">
        <v>8.02</v>
      </c>
      <c r="D85" s="190" t="s">
        <v>419</v>
      </c>
      <c r="E85" s="190" t="s">
        <v>419</v>
      </c>
      <c r="F85" s="190" t="s">
        <v>419</v>
      </c>
      <c r="G85" s="191" t="s">
        <v>414</v>
      </c>
      <c r="H85" s="190" t="s">
        <v>514</v>
      </c>
      <c r="I85" s="352" t="s">
        <v>1897</v>
      </c>
      <c r="J85" s="190" t="s">
        <v>431</v>
      </c>
      <c r="K85" s="191" t="str">
        <f>VLOOKUP(U85,통합목록!$Q$4:$T$310,4,0)</f>
        <v>권고사직을 거부한 근로자에 대한 해고 방안</v>
      </c>
      <c r="L85" s="192" t="str">
        <f>VLOOKUP(U85,통합목록!$Q$4:$T$310,2,0)</f>
        <v>열기2-01.노동법\02.문제\[모의][1][08.02-1]권고사직을 거부한 근로자에 대한 해고 방안.txt</v>
      </c>
      <c r="M85" s="192" t="s">
        <v>1647</v>
      </c>
      <c r="N85" s="192" t="str">
        <f>VLOOKUP(U85,통합목록!$Q$4:$S$310,3,0)</f>
        <v>A</v>
      </c>
      <c r="O85" s="193"/>
      <c r="P85" s="192" t="str">
        <f t="shared" si="19"/>
        <v>제08장 근로관계의 종료&gt;19&gt;1&gt;</v>
      </c>
      <c r="Q85" s="192" t="str">
        <f t="shared" si="20"/>
        <v>제08장 근로관계의 종료&gt;제03절 해고의 절차적 정당성&gt;05</v>
      </c>
      <c r="R85" s="192" t="str">
        <f t="shared" si="21"/>
        <v>1&gt;모의&gt;8.02&gt;1</v>
      </c>
      <c r="S85" s="192" t="str">
        <f t="shared" si="22"/>
        <v>1&gt;모의&gt;8.02&gt;1</v>
      </c>
      <c r="U85" s="3" t="str">
        <f t="shared" si="23"/>
        <v>8.02-1-1</v>
      </c>
    </row>
    <row r="86" spans="1:21" s="3" customFormat="1" ht="14.45" customHeight="1" x14ac:dyDescent="0.2">
      <c r="A86" s="180"/>
      <c r="B86" s="188">
        <f t="shared" si="18"/>
        <v>83</v>
      </c>
      <c r="C86" s="296">
        <v>7.02</v>
      </c>
      <c r="D86" s="190" t="s">
        <v>1236</v>
      </c>
      <c r="E86" s="190" t="s">
        <v>1236</v>
      </c>
      <c r="F86" s="190" t="s">
        <v>1237</v>
      </c>
      <c r="G86" s="191" t="s">
        <v>423</v>
      </c>
      <c r="H86" s="190" t="s">
        <v>1241</v>
      </c>
      <c r="I86" s="352" t="s">
        <v>1436</v>
      </c>
      <c r="J86" s="190" t="s">
        <v>1238</v>
      </c>
      <c r="K86" s="191" t="str">
        <f>VLOOKUP(U86,통합목록!$Q$4:$T$310,4,0)</f>
        <v>기업 합병 시 특정 근로자에 대한 승계 거부 및 해고 통보의 법적 효력</v>
      </c>
      <c r="L86" s="192" t="str">
        <f>VLOOKUP(U86,통합목록!$Q$4:$T$310,2,0)</f>
        <v>열기2-01.노동법\02.문제\[모의][1][07.02-1]기업 합병 시 특정 근로자에 대한 승계 거부 및 해고 통보의 법적 효력.txt</v>
      </c>
      <c r="M86" s="192" t="s">
        <v>1647</v>
      </c>
      <c r="N86" s="192" t="str">
        <f>VLOOKUP(U86,통합목록!$Q$4:$S$310,3,0)</f>
        <v>C</v>
      </c>
      <c r="O86" s="193"/>
      <c r="P86" s="192" t="str">
        <f t="shared" si="19"/>
        <v>제07장 근로관계의 이전&gt;04&gt;1&gt;</v>
      </c>
      <c r="Q86" s="192" t="str">
        <f t="shared" si="20"/>
        <v>제07장 근로관계의 이전&gt;제02절 합병&gt;01</v>
      </c>
      <c r="R86" s="192" t="str">
        <f t="shared" si="21"/>
        <v>1&gt;모의&gt;7.02&gt;2</v>
      </c>
      <c r="S86" s="192" t="str">
        <f t="shared" si="22"/>
        <v>1&gt;모의&gt;7.02&gt;1</v>
      </c>
      <c r="U86" s="3" t="str">
        <f t="shared" si="23"/>
        <v>7.02-1-1</v>
      </c>
    </row>
    <row r="87" spans="1:21" s="3" customFormat="1" ht="14.45" customHeight="1" x14ac:dyDescent="0.2">
      <c r="A87" s="180"/>
      <c r="B87" s="188">
        <f t="shared" si="18"/>
        <v>84</v>
      </c>
      <c r="C87" s="296">
        <v>7.02</v>
      </c>
      <c r="D87" s="190" t="s">
        <v>1237</v>
      </c>
      <c r="E87" s="190" t="s">
        <v>1236</v>
      </c>
      <c r="F87" s="190" t="s">
        <v>1236</v>
      </c>
      <c r="G87" s="191" t="s">
        <v>423</v>
      </c>
      <c r="H87" s="190" t="s">
        <v>1242</v>
      </c>
      <c r="I87" s="352" t="s">
        <v>1436</v>
      </c>
      <c r="J87" s="190" t="s">
        <v>1239</v>
      </c>
      <c r="K87" s="191" t="str">
        <f>VLOOKUP(U87,통합목록!$Q$4:$T$310,4,0)</f>
        <v>기업 합병 후 근로조건의 일방적 변경 및 취업규칙 적용의 법적 효력</v>
      </c>
      <c r="L87" s="192" t="str">
        <f>VLOOKUP(U87,통합목록!$Q$4:$T$310,2,0)</f>
        <v>열기2-01.노동법\02.문제\[모의][1][07.02-2]기업 합병 후 근로조건의 일방적 변경 및 취업규칙 적용의 법적 효력.txt</v>
      </c>
      <c r="M87" s="192" t="s">
        <v>1647</v>
      </c>
      <c r="N87" s="192" t="str">
        <f>VLOOKUP(U87,통합목록!$Q$4:$S$310,3,0)</f>
        <v>C</v>
      </c>
      <c r="O87" s="193"/>
      <c r="P87" s="192" t="str">
        <f t="shared" si="19"/>
        <v>제07장 근로관계의 이전&gt;05&gt;2&gt;</v>
      </c>
      <c r="Q87" s="192" t="str">
        <f t="shared" si="20"/>
        <v>제07장 근로관계의 이전&gt;제02절 합병&gt;02</v>
      </c>
      <c r="R87" s="192" t="str">
        <f t="shared" si="21"/>
        <v>1&gt;모의&gt;7.02&gt;1</v>
      </c>
      <c r="S87" s="192" t="str">
        <f t="shared" si="22"/>
        <v>1&gt;모의&gt;7.02&gt;2</v>
      </c>
      <c r="U87" s="3" t="str">
        <f t="shared" si="23"/>
        <v>7.02-2-1</v>
      </c>
    </row>
    <row r="88" spans="1:21" s="3" customFormat="1" ht="14.45" customHeight="1" x14ac:dyDescent="0.2">
      <c r="A88" s="180"/>
      <c r="B88" s="188">
        <f t="shared" si="18"/>
        <v>85</v>
      </c>
      <c r="C88" s="296">
        <v>4.0599999999999996</v>
      </c>
      <c r="D88" s="190" t="s">
        <v>1318</v>
      </c>
      <c r="E88" s="190" t="s">
        <v>1318</v>
      </c>
      <c r="F88" s="190" t="s">
        <v>1319</v>
      </c>
      <c r="G88" s="191" t="s">
        <v>448</v>
      </c>
      <c r="H88" s="190" t="s">
        <v>1321</v>
      </c>
      <c r="I88" s="352" t="s">
        <v>449</v>
      </c>
      <c r="J88" s="190" t="s">
        <v>1320</v>
      </c>
      <c r="K88" s="191" t="str">
        <f>VLOOKUP(U88,통합목록!$Q$4:$T$310,4,0)</f>
        <v>단체협약상 연차휴가 사전신청 요건의 유효성 및 반려 조치의 시기변경권 행사 적법성★</v>
      </c>
      <c r="L88" s="192" t="str">
        <f>VLOOKUP(U88,통합목록!$Q$4:$T$310,2,0)</f>
        <v>열기2-01.노동법\02.문제\[모의][1][04.06-1]단체협약상 연차휴가 사전신청 요건의 유효성 및 반려 조치의 시기변경권 행사 적법성.txt</v>
      </c>
      <c r="M88" s="192" t="s">
        <v>1647</v>
      </c>
      <c r="N88" s="192" t="str">
        <f>VLOOKUP(U88,통합목록!$Q$4:$S$310,3,0)</f>
        <v>A</v>
      </c>
      <c r="O88" s="193"/>
      <c r="P88" s="192" t="str">
        <f t="shared" si="19"/>
        <v>제04장 근로시간&gt;10&gt;1&gt;</v>
      </c>
      <c r="Q88" s="192" t="str">
        <f t="shared" si="20"/>
        <v>제04장 근로시간&gt;제06절 연차유급휴가&gt;02</v>
      </c>
      <c r="R88" s="192" t="str">
        <f t="shared" si="21"/>
        <v>1&gt;모의&gt;4.06&gt;2</v>
      </c>
      <c r="S88" s="192" t="str">
        <f t="shared" si="22"/>
        <v>1&gt;모의&gt;4.06&gt;1</v>
      </c>
      <c r="U88" s="3" t="str">
        <f t="shared" si="23"/>
        <v>4.06-1-1</v>
      </c>
    </row>
    <row r="89" spans="1:21" s="3" customFormat="1" ht="14.45" customHeight="1" x14ac:dyDescent="0.2">
      <c r="A89" s="180"/>
      <c r="B89" s="188">
        <f t="shared" si="18"/>
        <v>86</v>
      </c>
      <c r="C89" s="296">
        <v>4.0599999999999996</v>
      </c>
      <c r="D89" s="190" t="s">
        <v>1319</v>
      </c>
      <c r="E89" s="190" t="s">
        <v>1318</v>
      </c>
      <c r="F89" s="190" t="s">
        <v>1318</v>
      </c>
      <c r="G89" s="191" t="s">
        <v>448</v>
      </c>
      <c r="H89" s="190" t="s">
        <v>1322</v>
      </c>
      <c r="I89" s="352" t="s">
        <v>449</v>
      </c>
      <c r="J89" s="190" t="s">
        <v>1327</v>
      </c>
      <c r="K89" s="191" t="str">
        <f>VLOOKUP(U89,통합목록!$Q$4:$T$310,4,0)</f>
        <v>연차휴가 반려 후 출근하지 않은 행위의 성격 및 이를 이유로 한 감봉 처분의 정당성★</v>
      </c>
      <c r="L89" s="192" t="str">
        <f>VLOOKUP(U89,통합목록!$Q$4:$T$310,2,0)</f>
        <v>열기2-01.노동법\02.문제\[모의][1][04.06-2]연차휴가 반려 후 출근하지 않은 행위의 성격 및 이를 이유로 한 감봉 처분의 정당성.txt</v>
      </c>
      <c r="M89" s="192" t="s">
        <v>1647</v>
      </c>
      <c r="N89" s="192" t="str">
        <f>VLOOKUP(U89,통합목록!$Q$4:$S$310,3,0)</f>
        <v>A</v>
      </c>
      <c r="O89" s="193"/>
      <c r="P89" s="192" t="str">
        <f t="shared" si="19"/>
        <v>제04장 근로시간&gt;11&gt;2&gt;</v>
      </c>
      <c r="Q89" s="192" t="str">
        <f t="shared" si="20"/>
        <v>제04장 근로시간&gt;제06절 연차유급휴가&gt;03</v>
      </c>
      <c r="R89" s="192" t="str">
        <f t="shared" si="21"/>
        <v>1&gt;모의&gt;4.06&gt;1</v>
      </c>
      <c r="S89" s="192" t="str">
        <f t="shared" si="22"/>
        <v>1&gt;모의&gt;4.06&gt;2</v>
      </c>
      <c r="U89" s="3" t="str">
        <f t="shared" si="23"/>
        <v>4.06-2-1</v>
      </c>
    </row>
    <row r="90" spans="1:21" s="3" customFormat="1" ht="14.45" customHeight="1" x14ac:dyDescent="0.2">
      <c r="A90" s="180"/>
      <c r="B90" s="188">
        <f t="shared" si="18"/>
        <v>87</v>
      </c>
      <c r="C90" s="296">
        <v>4.05</v>
      </c>
      <c r="D90" s="190" t="s">
        <v>31</v>
      </c>
      <c r="E90" s="190" t="s">
        <v>419</v>
      </c>
      <c r="F90" s="190" t="s">
        <v>28</v>
      </c>
      <c r="G90" s="191" t="s">
        <v>448</v>
      </c>
      <c r="H90" s="190" t="s">
        <v>447</v>
      </c>
      <c r="I90" s="352" t="s">
        <v>1434</v>
      </c>
      <c r="J90" s="190" t="s">
        <v>415</v>
      </c>
      <c r="K90" s="191" t="str">
        <f>VLOOKUP(U90,통합목록!$Q$4:$T$310,4,0)</f>
        <v>휴일근로 명령의 유효요건과 개별적 동의 여부 및 근로자의 출근 거부에 따른 징계 사유의 정당성</v>
      </c>
      <c r="L90" s="192" t="str">
        <f>VLOOKUP(U90,통합목록!$Q$4:$T$310,2,0)</f>
        <v>열기2-01.노동법\02.문제\[모의][1][04.05-1]휴일근로 명령의 유효요건과 개별적 동의 여부 및 근로자의 출근 거부에 따른 징계 사유의 정당성.txt</v>
      </c>
      <c r="M90" s="192" t="s">
        <v>1647</v>
      </c>
      <c r="N90" s="192" t="str">
        <f>VLOOKUP(U90,통합목록!$Q$4:$S$310,3,0)</f>
        <v>C</v>
      </c>
      <c r="O90" s="193"/>
      <c r="P90" s="192" t="str">
        <f t="shared" si="19"/>
        <v>제04장 근로시간&gt;08&gt;1&gt;</v>
      </c>
      <c r="Q90" s="192" t="str">
        <f t="shared" si="20"/>
        <v>제04장 근로시간&gt;제05절 휴일과 휴일근로&gt;01</v>
      </c>
      <c r="R90" s="192" t="str">
        <f t="shared" si="21"/>
        <v>1&gt;모의&gt;4.05&gt;2</v>
      </c>
      <c r="S90" s="192" t="str">
        <f t="shared" si="22"/>
        <v>1&gt;모의&gt;4.05&gt;1</v>
      </c>
      <c r="U90" s="3" t="str">
        <f t="shared" si="23"/>
        <v>4.05-1-1</v>
      </c>
    </row>
    <row r="91" spans="1:21" s="3" customFormat="1" ht="14.45" customHeight="1" x14ac:dyDescent="0.2">
      <c r="A91" s="180"/>
      <c r="B91" s="188">
        <f t="shared" si="18"/>
        <v>88</v>
      </c>
      <c r="C91" s="296">
        <v>4.05</v>
      </c>
      <c r="D91" s="190" t="s">
        <v>28</v>
      </c>
      <c r="E91" s="190" t="s">
        <v>419</v>
      </c>
      <c r="F91" s="190" t="s">
        <v>31</v>
      </c>
      <c r="G91" s="191" t="s">
        <v>448</v>
      </c>
      <c r="H91" s="190" t="s">
        <v>450</v>
      </c>
      <c r="I91" s="352" t="s">
        <v>1434</v>
      </c>
      <c r="J91" s="190" t="s">
        <v>417</v>
      </c>
      <c r="K91" s="191" t="str">
        <f>VLOOKUP(U91,통합목록!$Q$4:$T$310,4,0)</f>
        <v>휴일근로 가산수당 지급 원칙과 중복할증에 관한 판례의 태도 및 회사의 임금 미지급의 타당성</v>
      </c>
      <c r="L91" s="192" t="str">
        <f>VLOOKUP(U91,통합목록!$Q$4:$T$310,2,0)</f>
        <v>열기2-01.노동법\02.문제\[모의][1][04.05-2]휴일근로 가산수당 지급 원칙과 중복할증에 관한 판례의 태도 및 회사의 임금 미지급의 타당성.txt</v>
      </c>
      <c r="M91" s="192" t="s">
        <v>1647</v>
      </c>
      <c r="N91" s="192" t="str">
        <f>VLOOKUP(U91,통합목록!$Q$4:$S$310,3,0)</f>
        <v>C</v>
      </c>
      <c r="O91" s="193"/>
      <c r="P91" s="192" t="str">
        <f t="shared" si="19"/>
        <v>제04장 근로시간&gt;09&gt;2&gt;</v>
      </c>
      <c r="Q91" s="192" t="str">
        <f t="shared" si="20"/>
        <v>제04장 근로시간&gt;제05절 휴일과 휴일근로&gt;02</v>
      </c>
      <c r="R91" s="192" t="str">
        <f t="shared" si="21"/>
        <v>1&gt;모의&gt;4.05&gt;1</v>
      </c>
      <c r="S91" s="192" t="str">
        <f t="shared" si="22"/>
        <v>1&gt;모의&gt;4.05&gt;2</v>
      </c>
      <c r="U91" s="3" t="str">
        <f t="shared" si="23"/>
        <v>4.05-2-1</v>
      </c>
    </row>
    <row r="92" spans="1:21" s="3" customFormat="1" ht="14.45" customHeight="1" x14ac:dyDescent="0.2">
      <c r="A92" s="180"/>
      <c r="B92" s="188">
        <f t="shared" si="18"/>
        <v>89</v>
      </c>
      <c r="C92" s="296">
        <v>4.04</v>
      </c>
      <c r="D92" s="190" t="s">
        <v>31</v>
      </c>
      <c r="E92" s="190" t="s">
        <v>419</v>
      </c>
      <c r="F92" s="190" t="s">
        <v>28</v>
      </c>
      <c r="G92" s="191" t="s">
        <v>448</v>
      </c>
      <c r="H92" s="190" t="s">
        <v>435</v>
      </c>
      <c r="I92" s="352" t="s">
        <v>1433</v>
      </c>
      <c r="J92" s="190" t="s">
        <v>415</v>
      </c>
      <c r="K92" s="191" t="str">
        <f>VLOOKUP(U92,통합목록!$Q$4:$T$310,4,0)</f>
        <v>근로기준법상 휴게시간의 의의와 자유이용의 원칙 및 장소적 제약이 가해진 휴게시간의 유효성</v>
      </c>
      <c r="L92" s="192" t="str">
        <f>VLOOKUP(U92,통합목록!$Q$4:$T$310,2,0)</f>
        <v>열기2-01.노동법\02.문제\[모의][1][04.04-1]근로기준법상 휴게시간의 의의와 자유이용의 원칙 및 장소적 제약이 가해진 휴게시간의 유효성.txt</v>
      </c>
      <c r="M92" s="192" t="s">
        <v>1647</v>
      </c>
      <c r="N92" s="192" t="str">
        <f>VLOOKUP(U92,통합목록!$Q$4:$S$310,3,0)</f>
        <v>C</v>
      </c>
      <c r="O92" s="193"/>
      <c r="P92" s="192" t="str">
        <f t="shared" si="19"/>
        <v>제04장 근로시간&gt;06&gt;1&gt;</v>
      </c>
      <c r="Q92" s="192" t="str">
        <f t="shared" si="20"/>
        <v>제04장 근로시간&gt;제04절 휴게시간&gt;01</v>
      </c>
      <c r="R92" s="192" t="str">
        <f t="shared" si="21"/>
        <v>1&gt;모의&gt;4.04&gt;2</v>
      </c>
      <c r="S92" s="192" t="str">
        <f t="shared" si="22"/>
        <v>1&gt;모의&gt;4.04&gt;1</v>
      </c>
      <c r="U92" s="3" t="str">
        <f t="shared" si="23"/>
        <v>4.04-1-1</v>
      </c>
    </row>
    <row r="93" spans="1:21" s="3" customFormat="1" ht="14.45" customHeight="1" x14ac:dyDescent="0.2">
      <c r="A93" s="180"/>
      <c r="B93" s="188">
        <f t="shared" si="18"/>
        <v>90</v>
      </c>
      <c r="C93" s="296">
        <v>4.04</v>
      </c>
      <c r="D93" s="190" t="s">
        <v>28</v>
      </c>
      <c r="E93" s="190" t="s">
        <v>419</v>
      </c>
      <c r="F93" s="190" t="s">
        <v>31</v>
      </c>
      <c r="G93" s="191" t="s">
        <v>448</v>
      </c>
      <c r="H93" s="190" t="s">
        <v>440</v>
      </c>
      <c r="I93" s="352" t="s">
        <v>1433</v>
      </c>
      <c r="J93" s="190" t="s">
        <v>417</v>
      </c>
      <c r="K93" s="191" t="str">
        <f>VLOOKUP(U93,통합목록!$Q$4:$T$310,4,0)</f>
        <v>휴게시간과 근로시간 구별 기준 및 근로자의 비상대기 상태에 대한 근로시간 포함 여부</v>
      </c>
      <c r="L93" s="192" t="str">
        <f>VLOOKUP(U93,통합목록!$Q$4:$T$310,2,0)</f>
        <v>열기2-01.노동법\02.문제\[모의][1][04.04-2]휴게시간과 근로시간 구별 기준 및 근로자의 비상대기 상태에 대한 근로시간 포함 여부.txt</v>
      </c>
      <c r="M93" s="192" t="s">
        <v>1647</v>
      </c>
      <c r="N93" s="192" t="str">
        <f>VLOOKUP(U93,통합목록!$Q$4:$S$310,3,0)</f>
        <v>C</v>
      </c>
      <c r="O93" s="193"/>
      <c r="P93" s="192" t="str">
        <f t="shared" si="19"/>
        <v>제04장 근로시간&gt;07&gt;2&gt;</v>
      </c>
      <c r="Q93" s="192" t="str">
        <f t="shared" si="20"/>
        <v>제04장 근로시간&gt;제04절 휴게시간&gt;02</v>
      </c>
      <c r="R93" s="192" t="str">
        <f t="shared" si="21"/>
        <v>1&gt;모의&gt;4.04&gt;1</v>
      </c>
      <c r="S93" s="192" t="str">
        <f t="shared" si="22"/>
        <v>1&gt;모의&gt;4.04&gt;2</v>
      </c>
      <c r="U93" s="3" t="str">
        <f t="shared" si="23"/>
        <v>4.04-2-1</v>
      </c>
    </row>
    <row r="94" spans="1:21" s="3" customFormat="1" ht="14.45" customHeight="1" x14ac:dyDescent="0.2">
      <c r="A94" s="180"/>
      <c r="B94" s="188">
        <f t="shared" si="18"/>
        <v>91</v>
      </c>
      <c r="C94" s="296">
        <v>4.01</v>
      </c>
      <c r="D94" s="190" t="s">
        <v>31</v>
      </c>
      <c r="E94" s="190" t="s">
        <v>419</v>
      </c>
      <c r="F94" s="190" t="s">
        <v>28</v>
      </c>
      <c r="G94" s="191" t="s">
        <v>448</v>
      </c>
      <c r="H94" s="190" t="s">
        <v>430</v>
      </c>
      <c r="I94" s="352" t="s">
        <v>1432</v>
      </c>
      <c r="J94" s="190" t="s">
        <v>415</v>
      </c>
      <c r="K94" s="191" t="str">
        <f>VLOOKUP(U94,통합목록!$Q$4:$T$310,4,0)</f>
        <v>근로기준법상 근로시간의 개념 및 판단 기준과 운행 전 준비 시간의 근로시간 해당 여부</v>
      </c>
      <c r="L94" s="192" t="str">
        <f>VLOOKUP(U94,통합목록!$Q$4:$T$310,2,0)</f>
        <v>열기2-01.노동법\02.문제\[모의][1][04.01-1]근로기준법상 근로시간의 개념 및 판단 기준과 운행 전 준비 시간의 근로시간 해당 여부.txt</v>
      </c>
      <c r="M94" s="192" t="s">
        <v>1647</v>
      </c>
      <c r="N94" s="192" t="str">
        <f>VLOOKUP(U94,통합목록!$Q$4:$S$310,3,0)</f>
        <v>B</v>
      </c>
      <c r="O94" s="193"/>
      <c r="P94" s="192" t="str">
        <f t="shared" si="19"/>
        <v>제04장 근로시간&gt;04&gt;1&gt;</v>
      </c>
      <c r="Q94" s="192" t="str">
        <f t="shared" si="20"/>
        <v>제04장 근로시간&gt;제01절 근로시간&gt;01</v>
      </c>
      <c r="R94" s="192" t="str">
        <f t="shared" si="21"/>
        <v>1&gt;모의&gt;4.01&gt;2</v>
      </c>
      <c r="S94" s="192" t="str">
        <f t="shared" si="22"/>
        <v>1&gt;모의&gt;4.01&gt;1</v>
      </c>
      <c r="U94" s="3" t="str">
        <f t="shared" si="23"/>
        <v>4.01-1-1</v>
      </c>
    </row>
    <row r="95" spans="1:21" s="3" customFormat="1" ht="14.45" customHeight="1" x14ac:dyDescent="0.2">
      <c r="A95" s="180"/>
      <c r="B95" s="188">
        <f t="shared" si="18"/>
        <v>92</v>
      </c>
      <c r="C95" s="296">
        <v>4.01</v>
      </c>
      <c r="D95" s="190" t="s">
        <v>28</v>
      </c>
      <c r="E95" s="190" t="s">
        <v>419</v>
      </c>
      <c r="F95" s="190" t="s">
        <v>31</v>
      </c>
      <c r="G95" s="191" t="s">
        <v>448</v>
      </c>
      <c r="H95" s="190" t="s">
        <v>431</v>
      </c>
      <c r="I95" s="352" t="s">
        <v>1432</v>
      </c>
      <c r="J95" s="190" t="s">
        <v>417</v>
      </c>
      <c r="K95" s="191" t="str">
        <f>VLOOKUP(U95,통합목록!$Q$4:$T$310,4,0)</f>
        <v>운행 사이 대기시간의 법적 성격 판별 기준과 사안의 대기시간이 근로시간에 포함되는지 여부</v>
      </c>
      <c r="L95" s="192" t="str">
        <f>VLOOKUP(U95,통합목록!$Q$4:$T$310,2,0)</f>
        <v>열기2-01.노동법\02.문제\[모의][1][04.01-2]운행 사이 대기시간의 법적 성격 판별 기준과 사안의 대기시간이 근로시간에 포함되는지 여부.txt</v>
      </c>
      <c r="M95" s="192" t="s">
        <v>1647</v>
      </c>
      <c r="N95" s="192" t="str">
        <f>VLOOKUP(U95,통합목록!$Q$4:$S$310,3,0)</f>
        <v>B</v>
      </c>
      <c r="O95" s="193"/>
      <c r="P95" s="192" t="str">
        <f t="shared" si="19"/>
        <v>제04장 근로시간&gt;05&gt;2&gt;</v>
      </c>
      <c r="Q95" s="192" t="str">
        <f t="shared" si="20"/>
        <v>제04장 근로시간&gt;제01절 근로시간&gt;02</v>
      </c>
      <c r="R95" s="192" t="str">
        <f t="shared" si="21"/>
        <v>1&gt;모의&gt;4.01&gt;1</v>
      </c>
      <c r="S95" s="192" t="str">
        <f t="shared" si="22"/>
        <v>1&gt;모의&gt;4.01&gt;2</v>
      </c>
      <c r="U95" s="3" t="str">
        <f t="shared" si="23"/>
        <v>4.01-2-1</v>
      </c>
    </row>
    <row r="96" spans="1:21" s="3" customFormat="1" ht="14.45" customHeight="1" x14ac:dyDescent="0.2">
      <c r="A96" s="180"/>
      <c r="B96" s="188">
        <f t="shared" si="18"/>
        <v>93</v>
      </c>
      <c r="C96" s="296">
        <v>3.06</v>
      </c>
      <c r="D96" s="190" t="s">
        <v>31</v>
      </c>
      <c r="E96" s="190" t="s">
        <v>419</v>
      </c>
      <c r="F96" s="190" t="s">
        <v>28</v>
      </c>
      <c r="G96" s="191" t="s">
        <v>443</v>
      </c>
      <c r="H96" s="190" t="s">
        <v>504</v>
      </c>
      <c r="I96" s="352" t="s">
        <v>1431</v>
      </c>
      <c r="J96" s="190" t="s">
        <v>415</v>
      </c>
      <c r="K96" s="191" t="str">
        <f>VLOOKUP(U96,통합목록!$Q$4:$T$310,4,0)</f>
        <v>최우선변제 임금채권의 범위와 근저당권 채권에 대한 우선권 및 구체적 변제액 산출</v>
      </c>
      <c r="L96" s="192" t="str">
        <f>VLOOKUP(U96,통합목록!$Q$4:$T$310,2,0)</f>
        <v>열기2-01.노동법\02.문제\[모의][1][03.06-1]최우선변제 임금채권의 범위와 근저당권 채권에 대한 우선권 및 구체적 변제액 산출.txt</v>
      </c>
      <c r="M96" s="192" t="s">
        <v>1647</v>
      </c>
      <c r="N96" s="192" t="str">
        <f>VLOOKUP(U96,통합목록!$Q$4:$S$310,3,0)</f>
        <v>B</v>
      </c>
      <c r="O96" s="193"/>
      <c r="P96" s="192" t="str">
        <f t="shared" si="19"/>
        <v>제03장 임금&gt;15&gt;1&gt;</v>
      </c>
      <c r="Q96" s="192" t="str">
        <f t="shared" si="20"/>
        <v>제03장 임금&gt;제06절 임금채권의 우선변제&gt;01</v>
      </c>
      <c r="R96" s="192" t="str">
        <f t="shared" si="21"/>
        <v>1&gt;모의&gt;3.06&gt;2</v>
      </c>
      <c r="S96" s="192" t="str">
        <f t="shared" si="22"/>
        <v>1&gt;모의&gt;3.06&gt;1</v>
      </c>
      <c r="T96" s="180"/>
      <c r="U96" s="3" t="str">
        <f t="shared" si="23"/>
        <v>3.06-1-1</v>
      </c>
    </row>
    <row r="97" spans="1:21" s="3" customFormat="1" ht="14.45" customHeight="1" x14ac:dyDescent="0.2">
      <c r="A97" s="180"/>
      <c r="B97" s="188">
        <f t="shared" si="18"/>
        <v>94</v>
      </c>
      <c r="C97" s="296">
        <v>3.06</v>
      </c>
      <c r="D97" s="190" t="s">
        <v>28</v>
      </c>
      <c r="E97" s="190" t="s">
        <v>419</v>
      </c>
      <c r="F97" s="190" t="s">
        <v>31</v>
      </c>
      <c r="G97" s="191" t="s">
        <v>443</v>
      </c>
      <c r="H97" s="190" t="s">
        <v>506</v>
      </c>
      <c r="I97" s="352" t="s">
        <v>1431</v>
      </c>
      <c r="J97" s="190" t="s">
        <v>417</v>
      </c>
      <c r="K97" s="191" t="str">
        <f>VLOOKUP(U97,통합목록!$Q$4:$T$310,4,0)</f>
        <v>나머지 임금 및 퇴직금 채권의 변제 순위와 조세・공과금 및 일반 채권과의 관계</v>
      </c>
      <c r="L97" s="192" t="str">
        <f>VLOOKUP(U97,통합목록!$Q$4:$T$310,2,0)</f>
        <v>열기2-01.노동법\02.문제\[모의][1][03.06-2]나머지 임금 및 퇴직금 채권의 변제 순위와 조세・공과금 및 일반 채권과의 관계.txt</v>
      </c>
      <c r="M97" s="192" t="s">
        <v>1647</v>
      </c>
      <c r="N97" s="192" t="str">
        <f>VLOOKUP(U97,통합목록!$Q$4:$S$310,3,0)</f>
        <v>B</v>
      </c>
      <c r="O97" s="193"/>
      <c r="P97" s="192" t="str">
        <f t="shared" si="19"/>
        <v>제03장 임금&gt;16&gt;2&gt;</v>
      </c>
      <c r="Q97" s="192" t="str">
        <f t="shared" si="20"/>
        <v>제03장 임금&gt;제06절 임금채권의 우선변제&gt;02</v>
      </c>
      <c r="R97" s="192" t="str">
        <f t="shared" si="21"/>
        <v>1&gt;모의&gt;3.06&gt;1</v>
      </c>
      <c r="S97" s="192" t="str">
        <f t="shared" si="22"/>
        <v>1&gt;모의&gt;3.06&gt;2</v>
      </c>
      <c r="T97" s="180"/>
      <c r="U97" s="3" t="str">
        <f t="shared" si="23"/>
        <v>3.06-2-1</v>
      </c>
    </row>
    <row r="98" spans="1:21" s="3" customFormat="1" ht="14.45" customHeight="1" x14ac:dyDescent="0.2">
      <c r="A98" s="180"/>
      <c r="B98" s="188">
        <f t="shared" si="18"/>
        <v>95</v>
      </c>
      <c r="C98" s="296">
        <v>3.05</v>
      </c>
      <c r="D98" s="190" t="s">
        <v>1236</v>
      </c>
      <c r="E98" s="190" t="s">
        <v>1236</v>
      </c>
      <c r="F98" s="190" t="s">
        <v>1237</v>
      </c>
      <c r="G98" s="191" t="s">
        <v>443</v>
      </c>
      <c r="H98" s="190" t="s">
        <v>469</v>
      </c>
      <c r="I98" s="352" t="s">
        <v>1430</v>
      </c>
      <c r="J98" s="190" t="s">
        <v>1238</v>
      </c>
      <c r="K98" s="191" t="str">
        <f>VLOOKUP(U98,통합목록!$Q$4:$T$310,4,0)</f>
        <v>매출처 파업 및 창고 부족으로 인한 휴업의 사용자 귀책사유 해당 여부</v>
      </c>
      <c r="L98" s="192" t="str">
        <f>VLOOKUP(U98,통합목록!$Q$4:$T$310,2,0)</f>
        <v>열기2-01.노동법\02.문제\[모의][1][03.05-1]매출처 파업 및 창고 부족으로 인한 휴업의 사용자 귀책사유 해당 여부.txt</v>
      </c>
      <c r="M98" s="192" t="s">
        <v>1647</v>
      </c>
      <c r="N98" s="192" t="str">
        <f>VLOOKUP(U98,통합목록!$Q$4:$S$310,3,0)</f>
        <v>B</v>
      </c>
      <c r="O98" s="193"/>
      <c r="P98" s="192" t="str">
        <f t="shared" si="19"/>
        <v>제03장 임금&gt;13&gt;1&gt;</v>
      </c>
      <c r="Q98" s="192" t="str">
        <f t="shared" si="20"/>
        <v>제03장 임금&gt;제05절 휴업수당&gt;01</v>
      </c>
      <c r="R98" s="192" t="str">
        <f t="shared" si="21"/>
        <v>1&gt;모의&gt;3.05&gt;2</v>
      </c>
      <c r="S98" s="192" t="str">
        <f t="shared" si="22"/>
        <v>1&gt;모의&gt;3.05&gt;1</v>
      </c>
      <c r="T98" s="180"/>
      <c r="U98" s="3" t="str">
        <f t="shared" si="23"/>
        <v>3.05-1-1</v>
      </c>
    </row>
    <row r="99" spans="1:21" s="3" customFormat="1" ht="14.45" customHeight="1" x14ac:dyDescent="0.2">
      <c r="A99" s="180"/>
      <c r="B99" s="188">
        <f t="shared" si="18"/>
        <v>96</v>
      </c>
      <c r="C99" s="296">
        <v>3.05</v>
      </c>
      <c r="D99" s="190" t="s">
        <v>1237</v>
      </c>
      <c r="E99" s="190" t="s">
        <v>1236</v>
      </c>
      <c r="F99" s="190" t="s">
        <v>1236</v>
      </c>
      <c r="G99" s="191" t="s">
        <v>443</v>
      </c>
      <c r="H99" s="190" t="s">
        <v>472</v>
      </c>
      <c r="I99" s="352" t="s">
        <v>1430</v>
      </c>
      <c r="J99" s="190" t="s">
        <v>1239</v>
      </c>
      <c r="K99" s="191" t="str">
        <f>VLOOKUP(U99,통합목록!$Q$4:$T$310,4,0)</f>
        <v>노동위원회의 휴업수당 감액 승인이 취업규칙상 유리한 규정의 효력에 미치는 영향</v>
      </c>
      <c r="L99" s="192" t="str">
        <f>VLOOKUP(U99,통합목록!$Q$4:$T$310,2,0)</f>
        <v>열기2-01.노동법\02.문제\[모의][1][03.05-2]노동위원회의 휴업수당 감액 승인이 취업규칙상 유리한 규정의 효력에 미치는 영향.txt</v>
      </c>
      <c r="M99" s="192" t="s">
        <v>1647</v>
      </c>
      <c r="N99" s="192" t="str">
        <f>VLOOKUP(U99,통합목록!$Q$4:$S$310,3,0)</f>
        <v>B</v>
      </c>
      <c r="O99" s="193"/>
      <c r="P99" s="192" t="str">
        <f t="shared" si="19"/>
        <v>제03장 임금&gt;14&gt;2&gt;</v>
      </c>
      <c r="Q99" s="192" t="str">
        <f t="shared" si="20"/>
        <v>제03장 임금&gt;제05절 휴업수당&gt;02</v>
      </c>
      <c r="R99" s="192" t="str">
        <f t="shared" si="21"/>
        <v>1&gt;모의&gt;3.05&gt;1</v>
      </c>
      <c r="S99" s="192" t="str">
        <f t="shared" si="22"/>
        <v>1&gt;모의&gt;3.05&gt;2</v>
      </c>
      <c r="T99" s="180"/>
      <c r="U99" s="3" t="str">
        <f t="shared" si="23"/>
        <v>3.05-2-1</v>
      </c>
    </row>
    <row r="100" spans="1:21" s="3" customFormat="1" ht="14.45" customHeight="1" x14ac:dyDescent="0.2">
      <c r="A100" s="180"/>
      <c r="B100" s="188">
        <f t="shared" si="18"/>
        <v>97</v>
      </c>
      <c r="C100" s="296">
        <v>3.03</v>
      </c>
      <c r="D100" s="190" t="s">
        <v>1318</v>
      </c>
      <c r="E100" s="190" t="s">
        <v>1318</v>
      </c>
      <c r="F100" s="190" t="s">
        <v>1319</v>
      </c>
      <c r="G100" s="191" t="s">
        <v>443</v>
      </c>
      <c r="H100" s="190" t="s">
        <v>1321</v>
      </c>
      <c r="I100" s="352" t="s">
        <v>433</v>
      </c>
      <c r="J100" s="190" t="s">
        <v>1324</v>
      </c>
      <c r="K100" s="191" t="str">
        <f>VLOOKUP(U100,통합목록!$Q$4:$T$310,4,0)</f>
        <v>통상임금 고정성 징표의 배제 여부 및 재직조건부 정기상여금의 통상임금 인정 여부★</v>
      </c>
      <c r="L100" s="192" t="str">
        <f>VLOOKUP(U100,통합목록!$Q$4:$T$310,2,0)</f>
        <v>열기2-01.노동법\02.문제\[모의][1][03.03-1]통상임금 고정성 징표의 배제 여부 및 재직조건부 정기상여금의 통상임금 인정 여부.txt</v>
      </c>
      <c r="M100" s="192" t="s">
        <v>1647</v>
      </c>
      <c r="N100" s="192" t="str">
        <f>VLOOKUP(U100,통합목록!$Q$4:$S$310,3,0)</f>
        <v>A</v>
      </c>
      <c r="O100" s="193"/>
      <c r="P100" s="192" t="str">
        <f t="shared" si="19"/>
        <v>제03장 임금&gt;10&gt;1&gt;</v>
      </c>
      <c r="Q100" s="192" t="str">
        <f t="shared" si="20"/>
        <v>제03장 임금&gt;제03절 통상임금&gt;05</v>
      </c>
      <c r="R100" s="192" t="str">
        <f t="shared" si="21"/>
        <v>1&gt;모의&gt;3.03&gt;2</v>
      </c>
      <c r="S100" s="192" t="str">
        <f t="shared" si="22"/>
        <v>1&gt;모의&gt;3.03&gt;1</v>
      </c>
      <c r="T100" s="180"/>
      <c r="U100" s="3" t="str">
        <f t="shared" si="23"/>
        <v>3.03-1-1</v>
      </c>
    </row>
    <row r="101" spans="1:21" s="3" customFormat="1" ht="14.45" customHeight="1" x14ac:dyDescent="0.2">
      <c r="A101" s="180"/>
      <c r="B101" s="188">
        <f t="shared" si="18"/>
        <v>98</v>
      </c>
      <c r="C101" s="296">
        <v>3.03</v>
      </c>
      <c r="D101" s="190" t="s">
        <v>1319</v>
      </c>
      <c r="E101" s="190" t="s">
        <v>1318</v>
      </c>
      <c r="F101" s="190" t="s">
        <v>1318</v>
      </c>
      <c r="G101" s="191" t="s">
        <v>443</v>
      </c>
      <c r="H101" s="190" t="s">
        <v>1323</v>
      </c>
      <c r="I101" s="352" t="s">
        <v>433</v>
      </c>
      <c r="J101" s="190" t="s">
        <v>1325</v>
      </c>
      <c r="K101" s="191" t="str">
        <f>VLOOKUP(U101,통합목록!$Q$4:$T$310,4,0)</f>
        <v>일정 근무일수 충족 조건부 출근수당의 소정근로 대가성 관점에서의 통상임금 해당 여부★</v>
      </c>
      <c r="L101" s="192" t="str">
        <f>VLOOKUP(U101,통합목록!$Q$4:$T$310,2,0)</f>
        <v>열기2-01.노동법\02.문제\[모의][1][03.03-2]일정 근무일수 충족 조건부 출근수당의 소정근로 대가성 관점에서의 통상임금 해당 여부.txt</v>
      </c>
      <c r="M101" s="192" t="s">
        <v>1647</v>
      </c>
      <c r="N101" s="192" t="str">
        <f>VLOOKUP(U101,통합목록!$Q$4:$S$310,3,0)</f>
        <v>A</v>
      </c>
      <c r="O101" s="193"/>
      <c r="P101" s="192" t="str">
        <f t="shared" si="19"/>
        <v>제03장 임금&gt;12&gt;2&gt;</v>
      </c>
      <c r="Q101" s="192" t="str">
        <f t="shared" si="20"/>
        <v>제03장 임금&gt;제03절 통상임금&gt;06</v>
      </c>
      <c r="R101" s="192" t="str">
        <f t="shared" si="21"/>
        <v>1&gt;모의&gt;3.03&gt;1</v>
      </c>
      <c r="S101" s="192" t="str">
        <f t="shared" si="22"/>
        <v>1&gt;모의&gt;3.03&gt;2</v>
      </c>
      <c r="T101" s="180"/>
      <c r="U101" s="3" t="str">
        <f t="shared" si="23"/>
        <v>3.03-2-1</v>
      </c>
    </row>
    <row r="102" spans="1:21" s="3" customFormat="1" ht="14.45" customHeight="1" x14ac:dyDescent="0.2">
      <c r="A102" s="180"/>
      <c r="B102" s="188">
        <f t="shared" si="18"/>
        <v>99</v>
      </c>
      <c r="C102" s="296">
        <v>3.02</v>
      </c>
      <c r="D102" s="190" t="s">
        <v>31</v>
      </c>
      <c r="E102" s="190" t="s">
        <v>419</v>
      </c>
      <c r="F102" s="190" t="s">
        <v>28</v>
      </c>
      <c r="G102" s="191" t="s">
        <v>443</v>
      </c>
      <c r="H102" s="190" t="s">
        <v>447</v>
      </c>
      <c r="I102" s="352" t="s">
        <v>1429</v>
      </c>
      <c r="J102" s="190" t="s">
        <v>415</v>
      </c>
      <c r="K102" s="191" t="str">
        <f>VLOOKUP(U102,통합목록!$Q$4:$T$310,4,0)</f>
        <v>추석 상여금과 경영성과급의 임금성 및 평균임금 산입 여부</v>
      </c>
      <c r="L102" s="192" t="str">
        <f>VLOOKUP(U102,통합목록!$Q$4:$T$310,2,0)</f>
        <v>열기2-01.노동법\02.문제\[모의][1][03.02-1]추석 상여금과 경영성과급의 임금성 및 평균임금 산입 여부.txt</v>
      </c>
      <c r="M102" s="192" t="s">
        <v>1647</v>
      </c>
      <c r="N102" s="192" t="str">
        <f>VLOOKUP(U102,통합목록!$Q$4:$S$310,3,0)</f>
        <v>B</v>
      </c>
      <c r="O102" s="193"/>
      <c r="P102" s="192" t="str">
        <f t="shared" si="19"/>
        <v>제03장 임금&gt;08&gt;1&gt;</v>
      </c>
      <c r="Q102" s="192" t="str">
        <f t="shared" si="20"/>
        <v>제03장 임금&gt;제02절 평균임금&gt;01</v>
      </c>
      <c r="R102" s="192" t="str">
        <f t="shared" si="21"/>
        <v>1&gt;모의&gt;3.02&gt;2</v>
      </c>
      <c r="S102" s="192" t="str">
        <f t="shared" si="22"/>
        <v>1&gt;모의&gt;3.02&gt;1</v>
      </c>
      <c r="T102" s="180"/>
      <c r="U102" s="3" t="str">
        <f t="shared" si="23"/>
        <v>3.02-1-1</v>
      </c>
    </row>
    <row r="103" spans="1:21" s="3" customFormat="1" ht="14.45" customHeight="1" x14ac:dyDescent="0.2">
      <c r="A103" s="180"/>
      <c r="B103" s="188">
        <f t="shared" si="18"/>
        <v>100</v>
      </c>
      <c r="C103" s="296">
        <v>3.02</v>
      </c>
      <c r="D103" s="190" t="s">
        <v>28</v>
      </c>
      <c r="E103" s="190" t="s">
        <v>419</v>
      </c>
      <c r="F103" s="190" t="s">
        <v>31</v>
      </c>
      <c r="G103" s="191" t="s">
        <v>443</v>
      </c>
      <c r="H103" s="190" t="s">
        <v>450</v>
      </c>
      <c r="I103" s="352" t="s">
        <v>1429</v>
      </c>
      <c r="J103" s="190" t="s">
        <v>417</v>
      </c>
      <c r="K103" s="191" t="str">
        <f>VLOOKUP(U103,통합목록!$Q$4:$T$310,4,0)</f>
        <v>특수 기간의 평균임금 산정방법과 연차유급휴가 미사용 수당의 산입 방식</v>
      </c>
      <c r="L103" s="192" t="str">
        <f>VLOOKUP(U103,통합목록!$Q$4:$T$310,2,0)</f>
        <v>열기2-01.노동법\02.문제\[모의][1][03.02-2]특수 기간의 평균임금 산정방법과 연차유급휴가 미사용 수당의 산입 방식.txt</v>
      </c>
      <c r="M103" s="192" t="s">
        <v>1647</v>
      </c>
      <c r="N103" s="192" t="str">
        <f>VLOOKUP(U103,통합목록!$Q$4:$S$310,3,0)</f>
        <v>B</v>
      </c>
      <c r="O103" s="193"/>
      <c r="P103" s="192" t="str">
        <f t="shared" si="19"/>
        <v>제03장 임금&gt;09&gt;2&gt;</v>
      </c>
      <c r="Q103" s="192" t="str">
        <f t="shared" si="20"/>
        <v>제03장 임금&gt;제02절 평균임금&gt;02</v>
      </c>
      <c r="R103" s="192" t="str">
        <f t="shared" si="21"/>
        <v>1&gt;모의&gt;3.02&gt;1</v>
      </c>
      <c r="S103" s="192" t="str">
        <f t="shared" si="22"/>
        <v>1&gt;모의&gt;3.02&gt;2</v>
      </c>
      <c r="T103" s="180"/>
      <c r="U103" s="3" t="str">
        <f t="shared" si="23"/>
        <v>3.02-2-1</v>
      </c>
    </row>
    <row r="104" spans="1:21" s="3" customFormat="1" ht="14.45" customHeight="1" x14ac:dyDescent="0.2">
      <c r="A104" s="180"/>
      <c r="B104" s="188">
        <f t="shared" si="18"/>
        <v>101</v>
      </c>
      <c r="C104" s="296">
        <v>2.04</v>
      </c>
      <c r="D104" s="190" t="s">
        <v>31</v>
      </c>
      <c r="E104" s="190" t="s">
        <v>419</v>
      </c>
      <c r="F104" s="190" t="s">
        <v>446</v>
      </c>
      <c r="G104" s="191" t="s">
        <v>441</v>
      </c>
      <c r="H104" s="190" t="s">
        <v>435</v>
      </c>
      <c r="I104" s="352" t="s">
        <v>1428</v>
      </c>
      <c r="J104" s="190" t="s">
        <v>415</v>
      </c>
      <c r="K104" s="191" t="str">
        <f>VLOOKUP(U104,통합목록!$Q$4:$T$310,4,0)</f>
        <v>경력 허위 기재가 근로계약의 효력에 미치는 영향과 회사의 조치에 대한 타당성 여부</v>
      </c>
      <c r="L104" s="192" t="str">
        <f>VLOOKUP(U104,통합목록!$Q$4:$T$310,2,0)</f>
        <v>열기2-01.노동법\02.문제\[모의][1][02.04-1]경력 허위 기재가 근로계약의 효력에 미치는 영향과 회사의 조치에 대한 타당성 여부.txt</v>
      </c>
      <c r="M104" s="192" t="s">
        <v>1647</v>
      </c>
      <c r="N104" s="192" t="str">
        <f>VLOOKUP(U104,통합목록!$Q$4:$S$310,3,0)</f>
        <v>A</v>
      </c>
      <c r="O104" s="193"/>
      <c r="P104" s="192" t="str">
        <f t="shared" si="19"/>
        <v>제02장 근로관계의 성립&gt;06&gt;1&gt;</v>
      </c>
      <c r="Q104" s="192" t="str">
        <f t="shared" si="20"/>
        <v>제02장 근로관계의 성립&gt;제04절 근로계약과 당사자의 권리 및 의무&gt;01</v>
      </c>
      <c r="R104" s="192" t="str">
        <f t="shared" si="21"/>
        <v>1&gt;모의&gt;2.04&gt;3</v>
      </c>
      <c r="S104" s="192" t="str">
        <f t="shared" si="22"/>
        <v>1&gt;모의&gt;2.04&gt;1</v>
      </c>
      <c r="T104" s="180"/>
      <c r="U104" s="3" t="str">
        <f t="shared" si="23"/>
        <v>2.04-1-1</v>
      </c>
    </row>
    <row r="105" spans="1:21" s="3" customFormat="1" ht="14.45" customHeight="1" x14ac:dyDescent="0.2">
      <c r="A105" s="180"/>
      <c r="B105" s="188">
        <f t="shared" si="18"/>
        <v>102</v>
      </c>
      <c r="C105" s="296">
        <v>2.04</v>
      </c>
      <c r="D105" s="190" t="s">
        <v>28</v>
      </c>
      <c r="E105" s="190" t="s">
        <v>419</v>
      </c>
      <c r="F105" s="190" t="s">
        <v>28</v>
      </c>
      <c r="G105" s="191" t="s">
        <v>441</v>
      </c>
      <c r="H105" s="190" t="s">
        <v>440</v>
      </c>
      <c r="I105" s="352" t="s">
        <v>1428</v>
      </c>
      <c r="J105" s="190" t="s">
        <v>417</v>
      </c>
      <c r="K105" s="191" t="str">
        <f>VLOOKUP(U105,통합목록!$Q$4:$T$310,4,0)</f>
        <v>경업금지약정의 효력, 회사의 전직금지 청구 가능 여부</v>
      </c>
      <c r="L105" s="192" t="str">
        <f>VLOOKUP(U105,통합목록!$Q$4:$T$310,2,0)</f>
        <v>열기2-01.노동법\02.문제\[모의][1][02.04-2]경업금지약정의 효력, 회사의 전직금지 청구 가능 여부.txt</v>
      </c>
      <c r="M105" s="192" t="s">
        <v>1647</v>
      </c>
      <c r="N105" s="192" t="str">
        <f>VLOOKUP(U105,통합목록!$Q$4:$S$310,3,0)</f>
        <v>A</v>
      </c>
      <c r="O105" s="193"/>
      <c r="P105" s="192" t="str">
        <f t="shared" si="19"/>
        <v>제02장 근로관계의 성립&gt;07&gt;2&gt;</v>
      </c>
      <c r="Q105" s="192" t="str">
        <f t="shared" si="20"/>
        <v>제02장 근로관계의 성립&gt;제04절 근로계약과 당사자의 권리 및 의무&gt;02</v>
      </c>
      <c r="R105" s="192" t="str">
        <f t="shared" si="21"/>
        <v>1&gt;모의&gt;2.04&gt;2</v>
      </c>
      <c r="S105" s="192" t="str">
        <f t="shared" si="22"/>
        <v>1&gt;모의&gt;2.04&gt;2</v>
      </c>
      <c r="T105" s="180"/>
      <c r="U105" s="3" t="str">
        <f t="shared" si="23"/>
        <v>2.04-2-1</v>
      </c>
    </row>
    <row r="106" spans="1:21" s="3" customFormat="1" ht="14.45" customHeight="1" x14ac:dyDescent="0.2">
      <c r="A106" s="180"/>
      <c r="B106" s="188">
        <f t="shared" si="18"/>
        <v>103</v>
      </c>
      <c r="C106" s="296">
        <v>2.04</v>
      </c>
      <c r="D106" s="190" t="s">
        <v>446</v>
      </c>
      <c r="E106" s="190" t="s">
        <v>419</v>
      </c>
      <c r="F106" s="190" t="s">
        <v>31</v>
      </c>
      <c r="G106" s="191" t="s">
        <v>441</v>
      </c>
      <c r="H106" s="190" t="s">
        <v>447</v>
      </c>
      <c r="I106" s="352" t="s">
        <v>1428</v>
      </c>
      <c r="J106" s="190" t="s">
        <v>426</v>
      </c>
      <c r="K106" s="191" t="str">
        <f>VLOOKUP(U106,통합목록!$Q$4:$T$310,4,0)</f>
        <v>기술적 영업비밀이 아닌 정보 유출에 대한 징계 및 손해배상 청구 가능 여부</v>
      </c>
      <c r="L106" s="192" t="str">
        <f>VLOOKUP(U106,통합목록!$Q$4:$T$310,2,0)</f>
        <v>열기2-01.노동법\02.문제\[모의][1][02.04-3]기술적 영업비밀이 아닌 정보 유출에 대한 징계 및 손해배상 청구 가능 여부.txt</v>
      </c>
      <c r="M106" s="192" t="s">
        <v>1647</v>
      </c>
      <c r="N106" s="192" t="str">
        <f>VLOOKUP(U106,통합목록!$Q$4:$S$310,3,0)</f>
        <v>A</v>
      </c>
      <c r="O106" s="193"/>
      <c r="P106" s="192" t="str">
        <f t="shared" si="19"/>
        <v>제02장 근로관계의 성립&gt;08&gt;3&gt;</v>
      </c>
      <c r="Q106" s="192" t="str">
        <f t="shared" si="20"/>
        <v>제02장 근로관계의 성립&gt;제04절 근로계약과 당사자의 권리 및 의무&gt;03</v>
      </c>
      <c r="R106" s="192" t="str">
        <f t="shared" si="21"/>
        <v>1&gt;모의&gt;2.04&gt;1</v>
      </c>
      <c r="S106" s="192" t="str">
        <f t="shared" si="22"/>
        <v>1&gt;모의&gt;2.04&gt;3</v>
      </c>
      <c r="T106" s="180"/>
      <c r="U106" s="3" t="str">
        <f t="shared" si="23"/>
        <v>2.04-3-1</v>
      </c>
    </row>
    <row r="107" spans="1:21" s="3" customFormat="1" ht="14.45" customHeight="1" x14ac:dyDescent="0.2">
      <c r="A107" s="180"/>
      <c r="B107" s="188">
        <f t="shared" si="18"/>
        <v>104</v>
      </c>
      <c r="C107" s="296">
        <v>10.039999999999999</v>
      </c>
      <c r="D107" s="190" t="s">
        <v>1236</v>
      </c>
      <c r="E107" s="190" t="s">
        <v>1236</v>
      </c>
      <c r="F107" s="190" t="s">
        <v>1237</v>
      </c>
      <c r="G107" s="191" t="s">
        <v>1598</v>
      </c>
      <c r="H107" s="190" t="s">
        <v>1243</v>
      </c>
      <c r="I107" s="352" t="s">
        <v>1442</v>
      </c>
      <c r="J107" s="190" t="s">
        <v>1238</v>
      </c>
      <c r="K107" s="191" t="str">
        <f>VLOOKUP(U107,통합목록!$Q$4:$T$310,4,0)</f>
        <v>출근 중 제3자의 신호 위반 사고로 발생한 부상의 업무상 재해 인정 여부</v>
      </c>
      <c r="L107" s="192" t="str">
        <f>VLOOKUP(U107,통합목록!$Q$4:$T$310,2,0)</f>
        <v>열기2-01.노동법\02.문제\[모의][1][10.04-1]출근 중 제3자의 신호 위반 사고로 발생한 부상의 업무상 재해 인정 여부.txt</v>
      </c>
      <c r="M107" s="192" t="s">
        <v>1647</v>
      </c>
      <c r="N107" s="192" t="str">
        <f>VLOOKUP(U107,통합목록!$Q$4:$S$310,3,0)</f>
        <v>B</v>
      </c>
      <c r="O107" s="193"/>
      <c r="P107" s="192" t="str">
        <f t="shared" si="19"/>
        <v>제10장 업무상 재해 등&gt;07&gt;1&gt;</v>
      </c>
      <c r="Q107" s="192" t="str">
        <f t="shared" si="20"/>
        <v>제10장 업무상 재해 등&gt;제04절 출퇴근 재해&gt;01</v>
      </c>
      <c r="R107" s="192" t="str">
        <f t="shared" si="21"/>
        <v>1&gt;모의&gt;10.04&gt;2</v>
      </c>
      <c r="S107" s="192" t="str">
        <f t="shared" si="22"/>
        <v>1&gt;모의&gt;10.04&gt;1</v>
      </c>
      <c r="T107" s="180"/>
      <c r="U107" s="3" t="str">
        <f t="shared" si="23"/>
        <v>10.04-1-1</v>
      </c>
    </row>
    <row r="108" spans="1:21" s="3" customFormat="1" ht="14.45" customHeight="1" x14ac:dyDescent="0.2">
      <c r="A108" s="180"/>
      <c r="B108" s="188">
        <f t="shared" si="18"/>
        <v>105</v>
      </c>
      <c r="C108" s="296">
        <v>10.039999999999999</v>
      </c>
      <c r="D108" s="190" t="s">
        <v>1237</v>
      </c>
      <c r="E108" s="190" t="s">
        <v>1236</v>
      </c>
      <c r="F108" s="190" t="s">
        <v>1236</v>
      </c>
      <c r="G108" s="191" t="s">
        <v>1598</v>
      </c>
      <c r="H108" s="190" t="s">
        <v>1244</v>
      </c>
      <c r="I108" s="352" t="s">
        <v>1442</v>
      </c>
      <c r="J108" s="190" t="s">
        <v>1239</v>
      </c>
      <c r="K108" s="191" t="str">
        <f>VLOOKUP(U108,통합목록!$Q$4:$T$310,4,0)</f>
        <v>제3자 가해로 인한 출퇴근 재해 시 산재급여와 손해배상의 조정 및 구상 관계</v>
      </c>
      <c r="L108" s="192" t="str">
        <f>VLOOKUP(U108,통합목록!$Q$4:$T$310,2,0)</f>
        <v>열기2-01.노동법\02.문제\[모의][1][10.04-2]제3자 가해로 인한 출퇴근 재해 시 산재급여와 손해배상의 조정 및 구상 관계.txt</v>
      </c>
      <c r="M108" s="192" t="s">
        <v>1647</v>
      </c>
      <c r="N108" s="192" t="str">
        <f>VLOOKUP(U108,통합목록!$Q$4:$S$310,3,0)</f>
        <v>B</v>
      </c>
      <c r="O108" s="193"/>
      <c r="P108" s="192" t="str">
        <f t="shared" si="19"/>
        <v>제10장 업무상 재해 등&gt;08&gt;2&gt;</v>
      </c>
      <c r="Q108" s="192" t="str">
        <f t="shared" si="20"/>
        <v>제10장 업무상 재해 등&gt;제04절 출퇴근 재해&gt;02</v>
      </c>
      <c r="R108" s="192" t="str">
        <f t="shared" si="21"/>
        <v>1&gt;모의&gt;10.04&gt;1</v>
      </c>
      <c r="S108" s="192" t="str">
        <f t="shared" si="22"/>
        <v>1&gt;모의&gt;10.04&gt;2</v>
      </c>
      <c r="T108" s="180"/>
      <c r="U108" s="3" t="str">
        <f t="shared" si="23"/>
        <v>10.04-2-1</v>
      </c>
    </row>
    <row r="109" spans="1:21" s="3" customFormat="1" ht="14.45" customHeight="1" x14ac:dyDescent="0.2">
      <c r="A109" s="180"/>
      <c r="B109" s="188">
        <f t="shared" si="18"/>
        <v>106</v>
      </c>
      <c r="C109" s="296">
        <v>10.029999999999999</v>
      </c>
      <c r="D109" s="190" t="s">
        <v>31</v>
      </c>
      <c r="E109" s="190" t="s">
        <v>419</v>
      </c>
      <c r="F109" s="190" t="s">
        <v>28</v>
      </c>
      <c r="G109" s="191" t="s">
        <v>1598</v>
      </c>
      <c r="H109" s="190" t="s">
        <v>431</v>
      </c>
      <c r="I109" s="352" t="s">
        <v>1441</v>
      </c>
      <c r="J109" s="190" t="s">
        <v>415</v>
      </c>
      <c r="K109" s="191" t="str">
        <f>VLOOKUP(U109,통합목록!$Q$4:$T$310,4,0)</f>
        <v>근로자의 만성 근로 및 단기 과로에 따른 뇌출혈의 업무상 질병 인정 여부</v>
      </c>
      <c r="L109" s="192" t="str">
        <f>VLOOKUP(U109,통합목록!$Q$4:$T$310,2,0)</f>
        <v>열기2-01.노동법\02.문제\[모의][1][10.03-1]근로자의 만성 근로 및 단기 과로에 따른 뇌출혈의 업무상 질병 인정 여부.txt</v>
      </c>
      <c r="M109" s="192" t="s">
        <v>1647</v>
      </c>
      <c r="N109" s="192" t="str">
        <f>VLOOKUP(U109,통합목록!$Q$4:$S$310,3,0)</f>
        <v>B</v>
      </c>
      <c r="O109" s="193"/>
      <c r="P109" s="192" t="str">
        <f t="shared" si="19"/>
        <v>제10장 업무상 재해 등&gt;05&gt;1&gt;</v>
      </c>
      <c r="Q109" s="192" t="str">
        <f t="shared" si="20"/>
        <v>제10장 업무상 재해 등&gt;제03절 업무상 질병&gt;01</v>
      </c>
      <c r="R109" s="192" t="str">
        <f t="shared" si="21"/>
        <v>1&gt;모의&gt;10.03&gt;2</v>
      </c>
      <c r="S109" s="192" t="str">
        <f t="shared" si="22"/>
        <v>1&gt;모의&gt;10.03&gt;1</v>
      </c>
      <c r="T109" s="180"/>
      <c r="U109" s="3" t="str">
        <f t="shared" si="23"/>
        <v>10.03-1-1</v>
      </c>
    </row>
    <row r="110" spans="1:21" s="3" customFormat="1" ht="14.45" customHeight="1" x14ac:dyDescent="0.2">
      <c r="A110" s="180"/>
      <c r="B110" s="188">
        <f t="shared" si="18"/>
        <v>107</v>
      </c>
      <c r="C110" s="296">
        <v>10.029999999999999</v>
      </c>
      <c r="D110" s="190" t="s">
        <v>28</v>
      </c>
      <c r="E110" s="190" t="s">
        <v>419</v>
      </c>
      <c r="F110" s="190" t="s">
        <v>31</v>
      </c>
      <c r="G110" s="191" t="s">
        <v>1598</v>
      </c>
      <c r="H110" s="190" t="s">
        <v>435</v>
      </c>
      <c r="I110" s="352" t="s">
        <v>1441</v>
      </c>
      <c r="J110" s="190" t="s">
        <v>417</v>
      </c>
      <c r="K110" s="191" t="str">
        <f>VLOOKUP(U110,통합목록!$Q$4:$T$310,4,0)</f>
        <v>근로자의 직장 내 괴롭힘으로 인한 우울증의 업무상 질병 인정 여부</v>
      </c>
      <c r="L110" s="192" t="str">
        <f>VLOOKUP(U110,통합목록!$Q$4:$T$310,2,0)</f>
        <v>열기2-01.노동법\02.문제\[모의][1][10.03-2]근로자의 직장 내 괴롭힘으로 인한 우울증의 업무상 질병 인정 여부.txt</v>
      </c>
      <c r="M110" s="192" t="s">
        <v>1647</v>
      </c>
      <c r="N110" s="192" t="str">
        <f>VLOOKUP(U110,통합목록!$Q$4:$S$310,3,0)</f>
        <v>B</v>
      </c>
      <c r="O110" s="193"/>
      <c r="P110" s="192" t="str">
        <f t="shared" si="19"/>
        <v>제10장 업무상 재해 등&gt;06&gt;2&gt;</v>
      </c>
      <c r="Q110" s="192" t="str">
        <f t="shared" si="20"/>
        <v>제10장 업무상 재해 등&gt;제03절 업무상 질병&gt;02</v>
      </c>
      <c r="R110" s="192" t="str">
        <f t="shared" si="21"/>
        <v>1&gt;모의&gt;10.03&gt;1</v>
      </c>
      <c r="S110" s="192" t="str">
        <f t="shared" si="22"/>
        <v>1&gt;모의&gt;10.03&gt;2</v>
      </c>
      <c r="T110" s="180"/>
      <c r="U110" s="3" t="str">
        <f t="shared" si="23"/>
        <v>10.03-2-1</v>
      </c>
    </row>
    <row r="111" spans="1:21" s="3" customFormat="1" ht="14.45" customHeight="1" x14ac:dyDescent="0.2">
      <c r="A111" s="180"/>
      <c r="B111" s="188">
        <f t="shared" si="18"/>
        <v>108</v>
      </c>
      <c r="C111" s="296">
        <v>10.02</v>
      </c>
      <c r="D111" s="190" t="s">
        <v>31</v>
      </c>
      <c r="E111" s="190" t="s">
        <v>419</v>
      </c>
      <c r="F111" s="190" t="s">
        <v>28</v>
      </c>
      <c r="G111" s="191" t="s">
        <v>1598</v>
      </c>
      <c r="H111" s="190" t="s">
        <v>426</v>
      </c>
      <c r="I111" s="352" t="s">
        <v>1440</v>
      </c>
      <c r="J111" s="190" t="s">
        <v>415</v>
      </c>
      <c r="K111" s="191" t="str">
        <f>VLOOKUP(U111,통합목록!$Q$4:$T$310,4,0)</f>
        <v>근로자의 오토바이 사고에 대한 출퇴근 재해 인정 여부 및 법적 근거</v>
      </c>
      <c r="L111" s="192" t="str">
        <f>VLOOKUP(U111,통합목록!$Q$4:$T$310,2,0)</f>
        <v>열기2-01.노동법\02.문제\[모의][1][10.02-1]근로자의 오토바이 사고에 대한 출퇴근 재해 인정 여부 및 법적 근거.txt</v>
      </c>
      <c r="M111" s="192" t="s">
        <v>1647</v>
      </c>
      <c r="N111" s="192" t="str">
        <f>VLOOKUP(U111,통합목록!$Q$4:$S$310,3,0)</f>
        <v>B</v>
      </c>
      <c r="O111" s="193"/>
      <c r="P111" s="192" t="str">
        <f t="shared" si="19"/>
        <v>제10장 업무상 재해 등&gt;03&gt;1&gt;</v>
      </c>
      <c r="Q111" s="192" t="str">
        <f t="shared" si="20"/>
        <v>제10장 업무상 재해 등&gt;제02절 업무상 사고&gt;01</v>
      </c>
      <c r="R111" s="192" t="str">
        <f t="shared" si="21"/>
        <v>1&gt;모의&gt;10.02&gt;2</v>
      </c>
      <c r="S111" s="192" t="str">
        <f t="shared" si="22"/>
        <v>1&gt;모의&gt;10.02&gt;1</v>
      </c>
      <c r="T111" s="180"/>
      <c r="U111" s="3" t="str">
        <f t="shared" si="23"/>
        <v>10.02-1-1</v>
      </c>
    </row>
    <row r="112" spans="1:21" s="3" customFormat="1" ht="14.45" customHeight="1" x14ac:dyDescent="0.2">
      <c r="A112" s="180"/>
      <c r="B112" s="188">
        <f t="shared" si="18"/>
        <v>109</v>
      </c>
      <c r="C112" s="296">
        <v>10.02</v>
      </c>
      <c r="D112" s="190" t="s">
        <v>28</v>
      </c>
      <c r="E112" s="190" t="s">
        <v>419</v>
      </c>
      <c r="F112" s="190" t="s">
        <v>31</v>
      </c>
      <c r="G112" s="191" t="s">
        <v>1598</v>
      </c>
      <c r="H112" s="190" t="s">
        <v>430</v>
      </c>
      <c r="I112" s="352" t="s">
        <v>1440</v>
      </c>
      <c r="J112" s="190" t="s">
        <v>417</v>
      </c>
      <c r="K112" s="191" t="str">
        <f>VLOOKUP(U112,통합목록!$Q$4:$T$310,4,0)</f>
        <v>근로자의 2차 회식 중 사고에 대한 업무상 재해 인정 여부</v>
      </c>
      <c r="L112" s="192" t="str">
        <f>VLOOKUP(U112,통합목록!$Q$4:$T$310,2,0)</f>
        <v>열기2-01.노동법\02.문제\[모의][1][10.02-2]근로자의 2차 회식 중 사고에 대한 업무상 재해 인정 여부.txt</v>
      </c>
      <c r="M112" s="192" t="s">
        <v>1647</v>
      </c>
      <c r="N112" s="192" t="str">
        <f>VLOOKUP(U112,통합목록!$Q$4:$S$310,3,0)</f>
        <v>B</v>
      </c>
      <c r="O112" s="193"/>
      <c r="P112" s="192" t="str">
        <f t="shared" si="19"/>
        <v>제10장 업무상 재해 등&gt;04&gt;2&gt;</v>
      </c>
      <c r="Q112" s="192" t="str">
        <f t="shared" si="20"/>
        <v>제10장 업무상 재해 등&gt;제02절 업무상 사고&gt;02</v>
      </c>
      <c r="R112" s="192" t="str">
        <f t="shared" si="21"/>
        <v>1&gt;모의&gt;10.02&gt;1</v>
      </c>
      <c r="S112" s="192" t="str">
        <f t="shared" si="22"/>
        <v>1&gt;모의&gt;10.02&gt;2</v>
      </c>
      <c r="T112" s="180"/>
      <c r="U112" s="3" t="str">
        <f t="shared" si="23"/>
        <v>10.02-2-1</v>
      </c>
    </row>
    <row r="113" spans="1:21" s="3" customFormat="1" ht="14.45" customHeight="1" x14ac:dyDescent="0.2">
      <c r="A113" s="180"/>
      <c r="B113" s="188">
        <f t="shared" si="18"/>
        <v>110</v>
      </c>
      <c r="C113" s="296">
        <v>1.03</v>
      </c>
      <c r="D113" s="190" t="s">
        <v>1411</v>
      </c>
      <c r="E113" s="190" t="s">
        <v>1411</v>
      </c>
      <c r="F113" s="190" t="s">
        <v>1415</v>
      </c>
      <c r="G113" s="191" t="s">
        <v>1476</v>
      </c>
      <c r="H113" s="190" t="s">
        <v>1416</v>
      </c>
      <c r="I113" s="352" t="s">
        <v>1423</v>
      </c>
      <c r="J113" s="190" t="s">
        <v>1413</v>
      </c>
      <c r="K113" s="191" t="str">
        <f>VLOOKUP(U113,통합목록!$Q$4:$T$310,4,0)</f>
        <v>동일 지배기업 산하 국내법인과 외국법인 한국영업소의 단일 사업장 인정 여부 및 해고 서면통지 적용 여부★</v>
      </c>
      <c r="L113" s="192" t="str">
        <f>VLOOKUP(U113,통합목록!$Q$4:$T$310,2,0)</f>
        <v>열기2-01.노동법\02.문제\[모의][1][01.03-1]동일 지배기업 산하 국내법인과 외국법인 한국영업소의 단일 사업장 인정 여부 및 해고 서면통지 적용 여부.txt</v>
      </c>
      <c r="M113" s="192" t="s">
        <v>1647</v>
      </c>
      <c r="N113" s="192" t="str">
        <f>VLOOKUP(U113,통합목록!$Q$4:$S$310,3,0)</f>
        <v>A</v>
      </c>
      <c r="O113" s="193"/>
      <c r="P113" s="192" t="str">
        <f t="shared" si="19"/>
        <v>제01장 노동법 총론&gt;07&gt;1&gt;</v>
      </c>
      <c r="Q113" s="192" t="str">
        <f t="shared" si="20"/>
        <v>제01장 노동법 총론&gt;제03절 근로기준법의 적용범위&gt;01</v>
      </c>
      <c r="R113" s="192" t="str">
        <f t="shared" si="21"/>
        <v>1&gt;모의&gt;1.03&gt;2</v>
      </c>
      <c r="S113" s="192" t="str">
        <f t="shared" si="22"/>
        <v>1&gt;모의&gt;1.03&gt;1</v>
      </c>
      <c r="T113" s="180"/>
      <c r="U113" s="3" t="str">
        <f t="shared" si="23"/>
        <v>1.03-1-1</v>
      </c>
    </row>
    <row r="114" spans="1:21" s="3" customFormat="1" ht="14.45" customHeight="1" x14ac:dyDescent="0.2">
      <c r="A114" s="180"/>
      <c r="B114" s="188">
        <f t="shared" ref="B114:B145" si="24">ROW()-3</f>
        <v>111</v>
      </c>
      <c r="C114" s="296">
        <v>1.03</v>
      </c>
      <c r="D114" s="190" t="s">
        <v>1415</v>
      </c>
      <c r="E114" s="190" t="s">
        <v>1411</v>
      </c>
      <c r="F114" s="190" t="s">
        <v>1411</v>
      </c>
      <c r="G114" s="191" t="s">
        <v>1476</v>
      </c>
      <c r="H114" s="190" t="s">
        <v>1417</v>
      </c>
      <c r="I114" s="352" t="s">
        <v>1423</v>
      </c>
      <c r="J114" s="190" t="s">
        <v>1414</v>
      </c>
      <c r="K114" s="191" t="str">
        <f>VLOOKUP(U114,통합목록!$Q$4:$T$310,4,0)</f>
        <v>국제근로관계에서 근로기준법상 상시 5인 이상 사업장 해당 여부 및 부당해고 구제신청의 적법성★</v>
      </c>
      <c r="L114" s="192" t="str">
        <f>VLOOKUP(U114,통합목록!$Q$4:$T$310,2,0)</f>
        <v>열기2-01.노동법\02.문제\[모의][1][01.03-2]국제근로관계에서 근로기준법상 상시 5인 이상 사업장 해당 여부 및 부당해고 구제신청의 적법성.txt</v>
      </c>
      <c r="M114" s="192" t="s">
        <v>1647</v>
      </c>
      <c r="N114" s="192" t="str">
        <f>VLOOKUP(U114,통합목록!$Q$4:$S$310,3,0)</f>
        <v>A</v>
      </c>
      <c r="O114" s="193"/>
      <c r="P114" s="192" t="str">
        <f t="shared" ref="P114:P145" si="25">G114&amp;"&gt;"&amp;H114&amp;"&gt;"&amp;D114&amp;"&gt;"&amp;O114</f>
        <v>제01장 노동법 총론&gt;08&gt;2&gt;</v>
      </c>
      <c r="Q114" s="192" t="str">
        <f t="shared" ref="Q114:Q145" si="26">G114&amp;"&gt;"&amp;I114&amp;"&gt;"&amp;J114</f>
        <v>제01장 노동법 총론&gt;제03절 근로기준법의 적용범위&gt;02</v>
      </c>
      <c r="R114" s="192" t="str">
        <f t="shared" ref="R114:R145" si="27">E114&amp;"&gt;"&amp;M114&amp;"&gt;"&amp;C114&amp;"&gt;"&amp;F114</f>
        <v>1&gt;모의&gt;1.03&gt;1</v>
      </c>
      <c r="S114" s="192" t="str">
        <f t="shared" ref="S114:S145" si="28">E114&amp;"&gt;"&amp;M114&amp;"&gt;"&amp;C114&amp;"&gt;"&amp;D114</f>
        <v>1&gt;모의&gt;1.03&gt;2</v>
      </c>
      <c r="T114" s="180"/>
      <c r="U114" s="3" t="str">
        <f t="shared" ref="U114:U145" si="29">C114&amp;"-"&amp;D114&amp;"-"&amp;E114</f>
        <v>1.03-2-1</v>
      </c>
    </row>
    <row r="115" spans="1:21" s="3" customFormat="1" ht="14.45" customHeight="1" x14ac:dyDescent="0.2">
      <c r="A115" s="180"/>
      <c r="B115" s="188">
        <f t="shared" si="24"/>
        <v>112</v>
      </c>
      <c r="C115" s="296">
        <v>1.02</v>
      </c>
      <c r="D115" s="190" t="s">
        <v>31</v>
      </c>
      <c r="E115" s="190" t="s">
        <v>31</v>
      </c>
      <c r="F115" s="190" t="s">
        <v>28</v>
      </c>
      <c r="G115" s="191" t="s">
        <v>1476</v>
      </c>
      <c r="H115" s="190" t="s">
        <v>1357</v>
      </c>
      <c r="I115" s="352" t="s">
        <v>1422</v>
      </c>
      <c r="J115" s="190" t="s">
        <v>415</v>
      </c>
      <c r="K115" s="191" t="str">
        <f>VLOOKUP(U115,통합목록!$Q$4:$T$310,4,0)</f>
        <v>단체협약과 취업규칙의 충돌 시 유리한 취업규칙의 우선 적용 여부</v>
      </c>
      <c r="L115" s="192" t="str">
        <f>VLOOKUP(U115,통합목록!$Q$4:$T$310,2,0)</f>
        <v>열기2-01.노동법\02.문제\[모의][1][01.02-1]단체협약과 취업규칙의 충돌 시 유리한 취업규칙의 우선 적용 여부.txt</v>
      </c>
      <c r="M115" s="192" t="s">
        <v>1647</v>
      </c>
      <c r="N115" s="192" t="str">
        <f>VLOOKUP(U115,통합목록!$Q$4:$S$310,3,0)</f>
        <v>B</v>
      </c>
      <c r="O115" s="193"/>
      <c r="P115" s="192" t="str">
        <f t="shared" si="25"/>
        <v>제01장 노동법 총론&gt;05&gt;1&gt;</v>
      </c>
      <c r="Q115" s="192" t="str">
        <f t="shared" si="26"/>
        <v>제01장 노동법 총론&gt;제02절 법원의 경합&gt;01</v>
      </c>
      <c r="R115" s="192" t="str">
        <f t="shared" si="27"/>
        <v>1&gt;모의&gt;1.02&gt;2</v>
      </c>
      <c r="S115" s="192" t="str">
        <f t="shared" si="28"/>
        <v>1&gt;모의&gt;1.02&gt;1</v>
      </c>
      <c r="T115" s="180"/>
      <c r="U115" s="3" t="str">
        <f t="shared" si="29"/>
        <v>1.02-1-1</v>
      </c>
    </row>
    <row r="116" spans="1:21" s="3" customFormat="1" ht="14.45" customHeight="1" x14ac:dyDescent="0.2">
      <c r="A116" s="180"/>
      <c r="B116" s="188">
        <f t="shared" si="24"/>
        <v>113</v>
      </c>
      <c r="C116" s="296">
        <v>1.02</v>
      </c>
      <c r="D116" s="190" t="s">
        <v>28</v>
      </c>
      <c r="E116" s="190" t="s">
        <v>419</v>
      </c>
      <c r="F116" s="190" t="s">
        <v>31</v>
      </c>
      <c r="G116" s="191" t="s">
        <v>1476</v>
      </c>
      <c r="H116" s="190" t="s">
        <v>1358</v>
      </c>
      <c r="I116" s="352" t="s">
        <v>1422</v>
      </c>
      <c r="J116" s="190" t="s">
        <v>417</v>
      </c>
      <c r="K116" s="191" t="str">
        <f>VLOOKUP(U116,통합목록!$Q$4:$T$310,4,0)</f>
        <v>단체협약과 개별 근로계약 충돌 시 단체협약에 의한 근로조건 저하 가능성</v>
      </c>
      <c r="L116" s="192" t="str">
        <f>VLOOKUP(U116,통합목록!$Q$4:$T$310,2,0)</f>
        <v>열기2-01.노동법\02.문제\[모의][1][01.02-2]단체협약과 개별 근로계약 충돌 시 단체협약에 의한 근로조건 저하 가능성.txt</v>
      </c>
      <c r="M116" s="192" t="s">
        <v>1647</v>
      </c>
      <c r="N116" s="192" t="str">
        <f>VLOOKUP(U116,통합목록!$Q$4:$S$310,3,0)</f>
        <v>B</v>
      </c>
      <c r="O116" s="193"/>
      <c r="P116" s="192" t="str">
        <f t="shared" si="25"/>
        <v>제01장 노동법 총론&gt;06&gt;2&gt;</v>
      </c>
      <c r="Q116" s="192" t="str">
        <f t="shared" si="26"/>
        <v>제01장 노동법 총론&gt;제02절 법원의 경합&gt;02</v>
      </c>
      <c r="R116" s="192" t="str">
        <f t="shared" si="27"/>
        <v>1&gt;모의&gt;1.02&gt;1</v>
      </c>
      <c r="S116" s="192" t="str">
        <f t="shared" si="28"/>
        <v>1&gt;모의&gt;1.02&gt;2</v>
      </c>
      <c r="T116" s="180"/>
      <c r="U116" s="3" t="str">
        <f t="shared" si="29"/>
        <v>1.02-2-1</v>
      </c>
    </row>
    <row r="117" spans="1:21" s="3" customFormat="1" ht="14.45" customHeight="1" x14ac:dyDescent="0.2">
      <c r="A117" s="180"/>
      <c r="B117" s="188">
        <f t="shared" si="24"/>
        <v>114</v>
      </c>
      <c r="C117" s="189">
        <v>2025</v>
      </c>
      <c r="D117" s="190" t="s">
        <v>412</v>
      </c>
      <c r="E117" s="190" t="s">
        <v>419</v>
      </c>
      <c r="F117" s="190" t="s">
        <v>413</v>
      </c>
      <c r="G117" s="191" t="s">
        <v>414</v>
      </c>
      <c r="H117" s="190" t="s">
        <v>415</v>
      </c>
      <c r="I117" s="352" t="s">
        <v>418</v>
      </c>
      <c r="J117" s="190" t="s">
        <v>415</v>
      </c>
      <c r="K117" s="191" t="str">
        <f>VLOOKUP(U117,통합목록!$Q$4:$T$310,4,0)</f>
        <v>우선재고용의무 위반에 따른 근로자 지위 인정 여부</v>
      </c>
      <c r="L117" s="192" t="str">
        <f>VLOOKUP(U117,통합목록!$Q$4:$T$310,2,0)</f>
        <v>열기2-01.노동법\02.문제\[기출][1][2025-1-1]우선재고용의무 위반에 따른 근로자 지위 인정 여부.txt</v>
      </c>
      <c r="M117" s="192" t="s">
        <v>1232</v>
      </c>
      <c r="N117" s="192" t="str">
        <f>VLOOKUP(U117,통합목록!$Q$4:$S$310,3,0)</f>
        <v>B</v>
      </c>
      <c r="O117" s="193"/>
      <c r="P117" s="192" t="str">
        <f t="shared" si="25"/>
        <v>제08장 근로관계의 종료&gt;01&gt;1-1&gt;</v>
      </c>
      <c r="Q117" s="192" t="str">
        <f t="shared" si="26"/>
        <v>제08장 근로관계의 종료&gt;제02절 해고의 실체적 정당성&gt;01</v>
      </c>
      <c r="R117" s="192" t="str">
        <f t="shared" si="27"/>
        <v>1&gt;기출&gt;2025&gt;3</v>
      </c>
      <c r="S117" s="192" t="str">
        <f t="shared" si="28"/>
        <v>1&gt;기출&gt;2025&gt;1-1</v>
      </c>
      <c r="T117" s="180"/>
      <c r="U117" s="3" t="str">
        <f t="shared" si="29"/>
        <v>2025-1-1-1</v>
      </c>
    </row>
    <row r="118" spans="1:21" ht="14.45" customHeight="1" x14ac:dyDescent="0.2">
      <c r="B118" s="188">
        <f t="shared" si="24"/>
        <v>115</v>
      </c>
      <c r="C118" s="189">
        <v>2025</v>
      </c>
      <c r="D118" s="190" t="s">
        <v>416</v>
      </c>
      <c r="E118" s="190" t="s">
        <v>419</v>
      </c>
      <c r="F118" s="190" t="s">
        <v>27</v>
      </c>
      <c r="G118" s="191" t="s">
        <v>414</v>
      </c>
      <c r="H118" s="190" t="s">
        <v>417</v>
      </c>
      <c r="I118" s="352" t="s">
        <v>418</v>
      </c>
      <c r="J118" s="190" t="s">
        <v>417</v>
      </c>
      <c r="K118" s="191" t="str">
        <f>VLOOKUP(U118,통합목록!$Q$4:$T$310,4,0)</f>
        <v>우선재고용의무 위반 시 손해배상의무의 발생 시점 및 배상액 산정 방식(중간수입공제)</v>
      </c>
      <c r="L118" s="192" t="str">
        <f>VLOOKUP(U118,통합목록!$Q$4:$T$310,2,0)</f>
        <v>열기2-01.노동법\02.문제\[기출][1][2025-1-2]우선재고용의무 위반 시 손해배상의무의 발생 시점 및 배상액 산정 방식(중간수입공제).txt</v>
      </c>
      <c r="M118" s="192" t="s">
        <v>1232</v>
      </c>
      <c r="N118" s="192" t="str">
        <f>VLOOKUP(U118,통합목록!$Q$4:$S$310,3,0)</f>
        <v>B</v>
      </c>
      <c r="O118" s="193"/>
      <c r="P118" s="192" t="str">
        <f t="shared" si="25"/>
        <v>제08장 근로관계의 종료&gt;02&gt;1-2&gt;</v>
      </c>
      <c r="Q118" s="192" t="str">
        <f t="shared" si="26"/>
        <v>제08장 근로관계의 종료&gt;제02절 해고의 실체적 정당성&gt;02</v>
      </c>
      <c r="R118" s="192" t="str">
        <f t="shared" si="27"/>
        <v>1&gt;기출&gt;2025&gt;2</v>
      </c>
      <c r="S118" s="192" t="str">
        <f t="shared" si="28"/>
        <v>1&gt;기출&gt;2025&gt;1-2</v>
      </c>
      <c r="U118" s="3" t="str">
        <f t="shared" si="29"/>
        <v>2025-1-2-1</v>
      </c>
    </row>
    <row r="119" spans="1:21" ht="14.45" customHeight="1" x14ac:dyDescent="0.2">
      <c r="B119" s="188">
        <f t="shared" si="24"/>
        <v>116</v>
      </c>
      <c r="C119" s="189">
        <v>2025</v>
      </c>
      <c r="D119" s="190" t="s">
        <v>27</v>
      </c>
      <c r="E119" s="190" t="s">
        <v>419</v>
      </c>
      <c r="F119" s="190" t="s">
        <v>419</v>
      </c>
      <c r="G119" s="191" t="s">
        <v>1380</v>
      </c>
      <c r="H119" s="190" t="s">
        <v>415</v>
      </c>
      <c r="I119" s="352" t="s">
        <v>1492</v>
      </c>
      <c r="J119" s="190" t="s">
        <v>415</v>
      </c>
      <c r="K119" s="191" t="str">
        <f>VLOOKUP(U119,통합목록!$Q$4:$T$310,4,0)</f>
        <v>화학물질 누출 사고에 따른 근로자 및 노동조합 위원장의 작업중지권 행사의 정당성 여부</v>
      </c>
      <c r="L119" s="192" t="str">
        <f>VLOOKUP(U119,통합목록!$Q$4:$T$310,2,0)</f>
        <v>열기2-01.노동법\02.문제\[기출][1][2025-2]화학물질 누출 사고에 따른 근로자 및 노동조합 위원장의 작업중지권 행사의 정당성 여부.txt</v>
      </c>
      <c r="M119" s="192" t="s">
        <v>1232</v>
      </c>
      <c r="N119" s="192" t="str">
        <f>VLOOKUP(U119,통합목록!$Q$4:$S$310,3,0)</f>
        <v>C</v>
      </c>
      <c r="O119" s="193"/>
      <c r="P119" s="192" t="str">
        <f t="shared" si="25"/>
        <v>제16장 부속법령&gt;01&gt;2&gt;</v>
      </c>
      <c r="Q119" s="192" t="str">
        <f t="shared" si="26"/>
        <v>제16장 부속법령&gt;제04절 산안법&gt;01</v>
      </c>
      <c r="R119" s="192" t="str">
        <f t="shared" si="27"/>
        <v>1&gt;기출&gt;2025&gt;1</v>
      </c>
      <c r="S119" s="192" t="str">
        <f t="shared" si="28"/>
        <v>1&gt;기출&gt;2025&gt;2</v>
      </c>
      <c r="T119" s="3"/>
      <c r="U119" s="3" t="str">
        <f t="shared" si="29"/>
        <v>2025-2-1</v>
      </c>
    </row>
    <row r="120" spans="1:21" ht="14.45" customHeight="1" x14ac:dyDescent="0.2">
      <c r="B120" s="188">
        <f t="shared" si="24"/>
        <v>117</v>
      </c>
      <c r="C120" s="189">
        <v>2024</v>
      </c>
      <c r="D120" s="190" t="s">
        <v>412</v>
      </c>
      <c r="E120" s="190" t="s">
        <v>419</v>
      </c>
      <c r="F120" s="190" t="s">
        <v>462</v>
      </c>
      <c r="G120" s="191" t="s">
        <v>421</v>
      </c>
      <c r="H120" s="190" t="s">
        <v>415</v>
      </c>
      <c r="I120" s="352" t="s">
        <v>1438</v>
      </c>
      <c r="J120" s="190" t="s">
        <v>415</v>
      </c>
      <c r="K120" s="191" t="str">
        <f>VLOOKUP(U120,통합목록!$Q$4:$T$310,4,0)</f>
        <v>기간제 근로자에 대한 근무평가 결과에 기초한 갱신거절 통보의 정당성 여부</v>
      </c>
      <c r="L120" s="192" t="str">
        <f>VLOOKUP(U120,통합목록!$Q$4:$T$310,2,0)</f>
        <v>열기2-01.노동법\02.문제\[기출][1][2024-1-1]기간제 근로자에 대한 근무평가 결과에 기초한 갱신거절 통보의 정당성 여부.txt</v>
      </c>
      <c r="M120" s="192" t="s">
        <v>1232</v>
      </c>
      <c r="N120" s="192" t="str">
        <f>VLOOKUP(U120,통합목록!$Q$4:$S$310,3,0)</f>
        <v>C</v>
      </c>
      <c r="O120" s="193"/>
      <c r="P120" s="192" t="str">
        <f t="shared" si="25"/>
        <v>제09장 비정규근로자&gt;01&gt;1-1&gt;</v>
      </c>
      <c r="Q120" s="192" t="str">
        <f t="shared" si="26"/>
        <v>제09장 비정규근로자&gt;제01절 기간제근로자&gt;01</v>
      </c>
      <c r="R120" s="192" t="str">
        <f t="shared" si="27"/>
        <v>1&gt;기출&gt;2024&gt;4</v>
      </c>
      <c r="S120" s="192" t="str">
        <f t="shared" si="28"/>
        <v>1&gt;기출&gt;2024&gt;1-1</v>
      </c>
      <c r="T120" s="3"/>
      <c r="U120" s="3" t="str">
        <f t="shared" si="29"/>
        <v>2024-1-1-1</v>
      </c>
    </row>
    <row r="121" spans="1:21" ht="14.45" customHeight="1" x14ac:dyDescent="0.2">
      <c r="B121" s="188">
        <f t="shared" si="24"/>
        <v>118</v>
      </c>
      <c r="C121" s="189">
        <v>2024</v>
      </c>
      <c r="D121" s="190" t="s">
        <v>416</v>
      </c>
      <c r="E121" s="190" t="s">
        <v>419</v>
      </c>
      <c r="F121" s="190" t="s">
        <v>446</v>
      </c>
      <c r="G121" s="191" t="s">
        <v>423</v>
      </c>
      <c r="H121" s="190" t="s">
        <v>415</v>
      </c>
      <c r="I121" s="352" t="s">
        <v>424</v>
      </c>
      <c r="J121" s="190" t="s">
        <v>415</v>
      </c>
      <c r="K121" s="191" t="str">
        <f>VLOOKUP(U121,통합목록!$Q$4:$T$310,4,0)</f>
        <v>영업양도 상황에서 회사 잔류를 희망한 근로자의 해고에 대한 정당성</v>
      </c>
      <c r="L121" s="192" t="str">
        <f>VLOOKUP(U121,통합목록!$Q$4:$T$310,2,0)</f>
        <v>열기2-01.노동법\02.문제\[기출][1][2024-1-2]영업양도 상황에서 회사 잔류를 희망한 근로자의 해고에 대한 정당성.txt</v>
      </c>
      <c r="M121" s="192" t="s">
        <v>1232</v>
      </c>
      <c r="N121" s="192" t="str">
        <f>VLOOKUP(U121,통합목록!$Q$4:$S$310,3,0)</f>
        <v>C</v>
      </c>
      <c r="O121" s="193"/>
      <c r="P121" s="192" t="str">
        <f t="shared" si="25"/>
        <v>제07장 근로관계의 이전&gt;01&gt;1-2&gt;</v>
      </c>
      <c r="Q121" s="192" t="str">
        <f t="shared" si="26"/>
        <v>제07장 근로관계의 이전&gt;제01절 영업양도&gt;01</v>
      </c>
      <c r="R121" s="192" t="str">
        <f t="shared" si="27"/>
        <v>1&gt;기출&gt;2024&gt;3</v>
      </c>
      <c r="S121" s="192" t="str">
        <f t="shared" si="28"/>
        <v>1&gt;기출&gt;2024&gt;1-2</v>
      </c>
      <c r="T121" s="3"/>
      <c r="U121" s="3" t="str">
        <f t="shared" si="29"/>
        <v>2024-1-2-1</v>
      </c>
    </row>
    <row r="122" spans="1:21" ht="14.45" customHeight="1" x14ac:dyDescent="0.2">
      <c r="B122" s="188">
        <f t="shared" si="24"/>
        <v>119</v>
      </c>
      <c r="C122" s="189">
        <v>2024</v>
      </c>
      <c r="D122" s="190" t="s">
        <v>1729</v>
      </c>
      <c r="E122" s="190" t="s">
        <v>1730</v>
      </c>
      <c r="F122" s="190" t="s">
        <v>28</v>
      </c>
      <c r="G122" s="191" t="s">
        <v>1826</v>
      </c>
      <c r="H122" s="190" t="s">
        <v>1731</v>
      </c>
      <c r="I122" s="352" t="s">
        <v>1827</v>
      </c>
      <c r="J122" s="190" t="s">
        <v>1731</v>
      </c>
      <c r="K122" s="191" t="str">
        <f>VLOOKUP(U122,통합목록!$Q$4:$T$310,4,0)</f>
        <v>영업양도 상황에서 회사 잔류를 희망한 근로자의 해고에 대한 정당성</v>
      </c>
      <c r="L122" s="192" t="str">
        <f>VLOOKUP(U122,통합목록!$Q$4:$T$310,2,0)</f>
        <v>열기2-01.노동법\02.문제\[기출][1][2024-1-2]영업양도 상황에서 회사 잔류를 희망한 근로자의 해고에 대한 정당성.txt</v>
      </c>
      <c r="M122" s="192" t="s">
        <v>1734</v>
      </c>
      <c r="N122" s="192" t="str">
        <f>VLOOKUP(U122,통합목록!$Q$4:$S$310,3,0)</f>
        <v>C</v>
      </c>
      <c r="O122" s="193"/>
      <c r="P122" s="192" t="str">
        <f t="shared" si="25"/>
        <v>제08장 근로관계의 종료&gt;03&gt;1-2&gt;</v>
      </c>
      <c r="Q122" s="192" t="str">
        <f t="shared" si="26"/>
        <v>제08장 근로관계의 종료&gt;제02절 해고의 실체적 정당성&gt;03</v>
      </c>
      <c r="R122" s="192" t="str">
        <f t="shared" si="27"/>
        <v>1&gt;기출&gt;2024&gt;2</v>
      </c>
      <c r="S122" s="192" t="str">
        <f t="shared" si="28"/>
        <v>1&gt;기출&gt;2024&gt;1-2</v>
      </c>
      <c r="T122" s="3"/>
      <c r="U122" s="3" t="str">
        <f t="shared" si="29"/>
        <v>2024-1-2-1</v>
      </c>
    </row>
    <row r="123" spans="1:21" ht="14.45" customHeight="1" x14ac:dyDescent="0.2">
      <c r="B123" s="188">
        <f t="shared" si="24"/>
        <v>120</v>
      </c>
      <c r="C123" s="189">
        <v>2024</v>
      </c>
      <c r="D123" s="190" t="s">
        <v>27</v>
      </c>
      <c r="E123" s="190" t="s">
        <v>419</v>
      </c>
      <c r="F123" s="190" t="s">
        <v>419</v>
      </c>
      <c r="G123" s="191" t="s">
        <v>414</v>
      </c>
      <c r="H123" s="190" t="s">
        <v>430</v>
      </c>
      <c r="I123" s="352" t="s">
        <v>1437</v>
      </c>
      <c r="J123" s="190" t="s">
        <v>415</v>
      </c>
      <c r="K123" s="191" t="str">
        <f>VLOOKUP(U123,통합목록!$Q$4:$T$310,4,0)</f>
        <v>부당해고 기간 중 중간수입공제의 범위와 최종 임금상당액 산정</v>
      </c>
      <c r="L123" s="192" t="str">
        <f>VLOOKUP(U123,통합목록!$Q$4:$T$310,2,0)</f>
        <v>열기2-01.노동법\02.문제\[기출][1][2024-2]부당해고 기간 중 중간수입공제의 범위와 최종 임금상당액 산정.txt</v>
      </c>
      <c r="M123" s="192" t="s">
        <v>1232</v>
      </c>
      <c r="N123" s="192" t="str">
        <f>VLOOKUP(U123,통합목록!$Q$4:$S$310,3,0)</f>
        <v>C</v>
      </c>
      <c r="O123" s="193"/>
      <c r="P123" s="192" t="str">
        <f t="shared" si="25"/>
        <v>제08장 근로관계의 종료&gt;04&gt;2&gt;</v>
      </c>
      <c r="Q123" s="192" t="str">
        <f t="shared" si="26"/>
        <v>제08장 근로관계의 종료&gt;제04절 부당해고의 구제&gt;01</v>
      </c>
      <c r="R123" s="192" t="str">
        <f t="shared" si="27"/>
        <v>1&gt;기출&gt;2024&gt;1</v>
      </c>
      <c r="S123" s="192" t="str">
        <f t="shared" si="28"/>
        <v>1&gt;기출&gt;2024&gt;2</v>
      </c>
      <c r="T123" s="3"/>
      <c r="U123" s="3" t="str">
        <f t="shared" si="29"/>
        <v>2024-2-1</v>
      </c>
    </row>
    <row r="124" spans="1:21" ht="14.45" customHeight="1" x14ac:dyDescent="0.2">
      <c r="B124" s="188">
        <f t="shared" si="24"/>
        <v>121</v>
      </c>
      <c r="C124" s="189">
        <v>2023</v>
      </c>
      <c r="D124" s="190" t="s">
        <v>412</v>
      </c>
      <c r="E124" s="190" t="s">
        <v>419</v>
      </c>
      <c r="F124" s="190" t="s">
        <v>413</v>
      </c>
      <c r="G124" s="191" t="s">
        <v>414</v>
      </c>
      <c r="H124" s="190" t="s">
        <v>431</v>
      </c>
      <c r="I124" s="352" t="s">
        <v>418</v>
      </c>
      <c r="J124" s="190" t="s">
        <v>430</v>
      </c>
      <c r="K124" s="191" t="str">
        <f>VLOOKUP(U124,통합목록!$Q$4:$T$310,4,0)</f>
        <v>경영상 이유에 의한 해고 대상자 선정 기준에 대한 합리성 및 공정성</v>
      </c>
      <c r="L124" s="192" t="str">
        <f>VLOOKUP(U124,통합목록!$Q$4:$T$310,2,0)</f>
        <v>열기2-01.노동법\02.문제\[기출][1][2023-1-1]경영상 이유에 의한 해고 대상자 선정 기준에 대한 합리성 및 공정성.txt</v>
      </c>
      <c r="M124" s="192" t="s">
        <v>1232</v>
      </c>
      <c r="N124" s="192" t="str">
        <f>VLOOKUP(U124,통합목록!$Q$4:$S$310,3,0)</f>
        <v>B</v>
      </c>
      <c r="O124" s="193"/>
      <c r="P124" s="192" t="str">
        <f t="shared" si="25"/>
        <v>제08장 근로관계의 종료&gt;05&gt;1-1&gt;</v>
      </c>
      <c r="Q124" s="192" t="str">
        <f t="shared" si="26"/>
        <v>제08장 근로관계의 종료&gt;제02절 해고의 실체적 정당성&gt;04</v>
      </c>
      <c r="R124" s="192" t="str">
        <f t="shared" si="27"/>
        <v>1&gt;기출&gt;2023&gt;3</v>
      </c>
      <c r="S124" s="192" t="str">
        <f t="shared" si="28"/>
        <v>1&gt;기출&gt;2023&gt;1-1</v>
      </c>
      <c r="T124" s="3"/>
      <c r="U124" s="3" t="str">
        <f t="shared" si="29"/>
        <v>2023-1-1-1</v>
      </c>
    </row>
    <row r="125" spans="1:21" ht="14.45" customHeight="1" x14ac:dyDescent="0.2">
      <c r="B125" s="188">
        <f t="shared" si="24"/>
        <v>122</v>
      </c>
      <c r="C125" s="189">
        <v>2023</v>
      </c>
      <c r="D125" s="190" t="s">
        <v>416</v>
      </c>
      <c r="E125" s="190" t="s">
        <v>419</v>
      </c>
      <c r="F125" s="190" t="s">
        <v>27</v>
      </c>
      <c r="G125" s="191" t="s">
        <v>427</v>
      </c>
      <c r="H125" s="190" t="s">
        <v>415</v>
      </c>
      <c r="I125" s="352" t="s">
        <v>428</v>
      </c>
      <c r="J125" s="190" t="s">
        <v>415</v>
      </c>
      <c r="K125" s="191" t="str">
        <f>VLOOKUP(U125,통합목록!$Q$4:$T$310,4,0)</f>
        <v>절차의 흠결이 있는 징계의 효력에 대한 노조 대표자 주장의 타당성+</v>
      </c>
      <c r="L125" s="192" t="str">
        <f>VLOOKUP(U125,통합목록!$Q$4:$T$310,2,0)</f>
        <v>열기2-01.노동법\02.문제\[기출][1][2023-1-2]절차의 흠결이 있는 징계의 효력에 대한 노조 대표자 주장의 타당성.txt</v>
      </c>
      <c r="M125" s="192" t="s">
        <v>1232</v>
      </c>
      <c r="N125" s="192" t="str">
        <f>VLOOKUP(U125,통합목록!$Q$4:$S$310,3,0)</f>
        <v>B</v>
      </c>
      <c r="O125" s="193"/>
      <c r="P125" s="192" t="str">
        <f t="shared" si="25"/>
        <v>제06장 인사처분&gt;01&gt;1-2&gt;</v>
      </c>
      <c r="Q125" s="192" t="str">
        <f t="shared" si="26"/>
        <v>제06장 인사처분&gt;제05절 징계&gt;01</v>
      </c>
      <c r="R125" s="192" t="str">
        <f t="shared" si="27"/>
        <v>1&gt;기출&gt;2023&gt;2</v>
      </c>
      <c r="S125" s="192" t="str">
        <f t="shared" si="28"/>
        <v>1&gt;기출&gt;2023&gt;1-2</v>
      </c>
      <c r="T125" s="3"/>
      <c r="U125" s="3" t="str">
        <f t="shared" si="29"/>
        <v>2023-1-2-1</v>
      </c>
    </row>
    <row r="126" spans="1:21" ht="14.45" customHeight="1" x14ac:dyDescent="0.2">
      <c r="B126" s="188">
        <f t="shared" si="24"/>
        <v>123</v>
      </c>
      <c r="C126" s="189">
        <v>2023</v>
      </c>
      <c r="D126" s="190" t="s">
        <v>27</v>
      </c>
      <c r="E126" s="190" t="s">
        <v>419</v>
      </c>
      <c r="F126" s="190" t="s">
        <v>419</v>
      </c>
      <c r="G126" s="191" t="s">
        <v>421</v>
      </c>
      <c r="H126" s="190" t="s">
        <v>417</v>
      </c>
      <c r="I126" s="352" t="s">
        <v>429</v>
      </c>
      <c r="J126" s="190" t="s">
        <v>415</v>
      </c>
      <c r="K126" s="191" t="str">
        <f>VLOOKUP(U126,통합목록!$Q$4:$T$310,4,0)</f>
        <v>근로계약관계의 실질적 사용자 및 계약의 형태(도급, 전적, 파견)에 따른 직접고용의무 판단</v>
      </c>
      <c r="L126" s="192" t="str">
        <f>VLOOKUP(U126,통합목록!$Q$4:$T$310,2,0)</f>
        <v>열기2-01.노동법\02.문제\[기출][1][2023-2]근로계약관계의 실질적 사용자 및 계약의 형태(도급, 전적, 파견)에 따른 직접고용의무 판단.txt</v>
      </c>
      <c r="M126" s="192" t="s">
        <v>1232</v>
      </c>
      <c r="N126" s="192" t="str">
        <f>VLOOKUP(U126,통합목록!$Q$4:$S$310,3,0)</f>
        <v>C</v>
      </c>
      <c r="O126" s="193"/>
      <c r="P126" s="192" t="str">
        <f t="shared" si="25"/>
        <v>제09장 비정규근로자&gt;02&gt;2&gt;</v>
      </c>
      <c r="Q126" s="192" t="str">
        <f t="shared" si="26"/>
        <v>제09장 비정규근로자&gt;제03절 파견근로자&gt;01</v>
      </c>
      <c r="R126" s="192" t="str">
        <f t="shared" si="27"/>
        <v>1&gt;기출&gt;2023&gt;1</v>
      </c>
      <c r="S126" s="192" t="str">
        <f t="shared" si="28"/>
        <v>1&gt;기출&gt;2023&gt;2</v>
      </c>
      <c r="T126" s="3"/>
      <c r="U126" s="3" t="str">
        <f t="shared" si="29"/>
        <v>2023-2-1</v>
      </c>
    </row>
    <row r="127" spans="1:21" ht="14.45" customHeight="1" x14ac:dyDescent="0.2">
      <c r="B127" s="188">
        <f t="shared" si="24"/>
        <v>124</v>
      </c>
      <c r="C127" s="189">
        <v>2022</v>
      </c>
      <c r="D127" s="190" t="s">
        <v>412</v>
      </c>
      <c r="E127" s="190" t="s">
        <v>419</v>
      </c>
      <c r="F127" s="190" t="s">
        <v>413</v>
      </c>
      <c r="G127" s="191" t="s">
        <v>414</v>
      </c>
      <c r="H127" s="190" t="s">
        <v>435</v>
      </c>
      <c r="I127" s="352" t="s">
        <v>418</v>
      </c>
      <c r="J127" s="190" t="s">
        <v>431</v>
      </c>
      <c r="K127" s="191" t="str">
        <f>VLOOKUP(U127,통합목록!$Q$4:$T$310,4,0)</f>
        <v>근무성적 불량 저성과자 해고의 정당성 요건 및 해고처분의 타당성 여부</v>
      </c>
      <c r="L127" s="192" t="str">
        <f>VLOOKUP(U127,통합목록!$Q$4:$T$310,2,0)</f>
        <v>열기2-01.노동법\02.문제\[기출][1][2022-1-1]근무성적 불량 저성과자 해고의 정당성 요건 및 해고처분의 타당성 여부.txt</v>
      </c>
      <c r="M127" s="192" t="s">
        <v>1232</v>
      </c>
      <c r="N127" s="192" t="str">
        <f>VLOOKUP(U127,통합목록!$Q$4:$S$310,3,0)</f>
        <v>B</v>
      </c>
      <c r="O127" s="193"/>
      <c r="P127" s="192" t="str">
        <f t="shared" si="25"/>
        <v>제08장 근로관계의 종료&gt;06&gt;1-1&gt;</v>
      </c>
      <c r="Q127" s="192" t="str">
        <f t="shared" si="26"/>
        <v>제08장 근로관계의 종료&gt;제02절 해고의 실체적 정당성&gt;05</v>
      </c>
      <c r="R127" s="192" t="str">
        <f t="shared" si="27"/>
        <v>1&gt;기출&gt;2022&gt;3</v>
      </c>
      <c r="S127" s="192" t="str">
        <f t="shared" si="28"/>
        <v>1&gt;기출&gt;2022&gt;1-1</v>
      </c>
      <c r="T127" s="3"/>
      <c r="U127" s="3" t="str">
        <f t="shared" si="29"/>
        <v>2022-1-1-1</v>
      </c>
    </row>
    <row r="128" spans="1:21" ht="14.45" customHeight="1" x14ac:dyDescent="0.2">
      <c r="B128" s="188">
        <f t="shared" si="24"/>
        <v>125</v>
      </c>
      <c r="C128" s="189">
        <v>2022</v>
      </c>
      <c r="D128" s="190" t="s">
        <v>416</v>
      </c>
      <c r="E128" s="190" t="s">
        <v>419</v>
      </c>
      <c r="F128" s="190" t="s">
        <v>27</v>
      </c>
      <c r="G128" s="191" t="s">
        <v>414</v>
      </c>
      <c r="H128" s="190" t="s">
        <v>440</v>
      </c>
      <c r="I128" s="352" t="s">
        <v>432</v>
      </c>
      <c r="J128" s="190" t="s">
        <v>415</v>
      </c>
      <c r="K128" s="191" t="str">
        <f>VLOOKUP(U128,통합목록!$Q$4:$T$310,4,0)</f>
        <v>근로자가 해고사유를 구두로 인지하고 있는 경우 해고통지서상 해고사유 기재 누락 시 근로기준법 위반 여부</v>
      </c>
      <c r="L128" s="192" t="str">
        <f>VLOOKUP(U128,통합목록!$Q$4:$T$310,2,0)</f>
        <v>열기2-01.노동법\02.문제\[기출][1][2022-1-2]근로자가 해고사유를 구두로 인지하고 있는 경우 해고통지서상 해고사유 기재 누락 시 근로기준법 위반 여부.txt</v>
      </c>
      <c r="M128" s="192" t="s">
        <v>1232</v>
      </c>
      <c r="N128" s="192" t="str">
        <f>VLOOKUP(U128,통합목록!$Q$4:$S$310,3,0)</f>
        <v>A</v>
      </c>
      <c r="O128" s="193"/>
      <c r="P128" s="192" t="str">
        <f t="shared" si="25"/>
        <v>제08장 근로관계의 종료&gt;07&gt;1-2&gt;</v>
      </c>
      <c r="Q128" s="192" t="str">
        <f t="shared" si="26"/>
        <v>제08장 근로관계의 종료&gt;제03절 해고의 절차적 정당성&gt;01</v>
      </c>
      <c r="R128" s="192" t="str">
        <f t="shared" si="27"/>
        <v>1&gt;기출&gt;2022&gt;2</v>
      </c>
      <c r="S128" s="192" t="str">
        <f t="shared" si="28"/>
        <v>1&gt;기출&gt;2022&gt;1-2</v>
      </c>
      <c r="T128" s="3"/>
      <c r="U128" s="3" t="str">
        <f t="shared" si="29"/>
        <v>2022-1-2-1</v>
      </c>
    </row>
    <row r="129" spans="2:21" ht="14.45" customHeight="1" x14ac:dyDescent="0.2">
      <c r="B129" s="188">
        <f t="shared" si="24"/>
        <v>126</v>
      </c>
      <c r="C129" s="189">
        <v>2022</v>
      </c>
      <c r="D129" s="190" t="s">
        <v>27</v>
      </c>
      <c r="E129" s="190" t="s">
        <v>419</v>
      </c>
      <c r="F129" s="190" t="s">
        <v>419</v>
      </c>
      <c r="G129" s="191" t="s">
        <v>443</v>
      </c>
      <c r="H129" s="190" t="s">
        <v>415</v>
      </c>
      <c r="I129" s="352" t="s">
        <v>433</v>
      </c>
      <c r="J129" s="190" t="s">
        <v>415</v>
      </c>
      <c r="K129" s="191" t="str">
        <f>VLOOKUP(U129,통합목록!$Q$4:$T$310,4,0)</f>
        <v>정기상여금의 고정성에 따른 통상임금 해당 여부</v>
      </c>
      <c r="L129" s="192" t="str">
        <f>VLOOKUP(U129,통합목록!$Q$4:$T$310,2,0)</f>
        <v>열기2-01.노동법\02.문제\[기출][1][2022-2]정기상여금의 고정성에 따른 통상임금 해당 여부.txt</v>
      </c>
      <c r="M129" s="192" t="s">
        <v>1232</v>
      </c>
      <c r="N129" s="192" t="str">
        <f>VLOOKUP(U129,통합목록!$Q$4:$S$310,3,0)</f>
        <v>C</v>
      </c>
      <c r="O129" s="193"/>
      <c r="P129" s="192" t="str">
        <f t="shared" si="25"/>
        <v>제03장 임금&gt;01&gt;2&gt;</v>
      </c>
      <c r="Q129" s="192" t="str">
        <f t="shared" si="26"/>
        <v>제03장 임금&gt;제03절 통상임금&gt;01</v>
      </c>
      <c r="R129" s="192" t="str">
        <f t="shared" si="27"/>
        <v>1&gt;기출&gt;2022&gt;1</v>
      </c>
      <c r="S129" s="192" t="str">
        <f t="shared" si="28"/>
        <v>1&gt;기출&gt;2022&gt;2</v>
      </c>
      <c r="T129" s="3"/>
      <c r="U129" s="3" t="str">
        <f t="shared" si="29"/>
        <v>2022-2-1</v>
      </c>
    </row>
    <row r="130" spans="2:21" ht="14.45" customHeight="1" x14ac:dyDescent="0.2">
      <c r="B130" s="188">
        <f t="shared" si="24"/>
        <v>127</v>
      </c>
      <c r="C130" s="189">
        <v>2021</v>
      </c>
      <c r="D130" s="190" t="s">
        <v>412</v>
      </c>
      <c r="E130" s="190" t="s">
        <v>419</v>
      </c>
      <c r="F130" s="190" t="s">
        <v>413</v>
      </c>
      <c r="G130" s="191" t="s">
        <v>434</v>
      </c>
      <c r="H130" s="190" t="s">
        <v>415</v>
      </c>
      <c r="I130" s="352" t="s">
        <v>455</v>
      </c>
      <c r="J130" s="190" t="s">
        <v>415</v>
      </c>
      <c r="K130" s="191" t="str">
        <f>VLOOKUP(U130,통합목록!$Q$4:$T$310,4,0)</f>
        <v>비조합원에 대한 불이익 취업규칙 적용의 효력</v>
      </c>
      <c r="L130" s="192" t="str">
        <f>VLOOKUP(U130,통합목록!$Q$4:$T$310,2,0)</f>
        <v>열기2-01.노동법\02.문제\[기출][1][2021-1-1]비조합원에 대한 불이익 취업규칙 적용의 효력.txt</v>
      </c>
      <c r="M130" s="192" t="s">
        <v>1232</v>
      </c>
      <c r="N130" s="192" t="str">
        <f>VLOOKUP(U130,통합목록!$Q$4:$S$310,3,0)</f>
        <v>B</v>
      </c>
      <c r="O130" s="193"/>
      <c r="P130" s="192" t="str">
        <f t="shared" si="25"/>
        <v>제05장 취업규칙&gt;01&gt;1-1&gt;</v>
      </c>
      <c r="Q130" s="192" t="str">
        <f t="shared" si="26"/>
        <v>제05장 취업규칙&gt;제02절 취업규칙의 변경&gt;01</v>
      </c>
      <c r="R130" s="192" t="str">
        <f t="shared" si="27"/>
        <v>1&gt;기출&gt;2021&gt;3</v>
      </c>
      <c r="S130" s="192" t="str">
        <f t="shared" si="28"/>
        <v>1&gt;기출&gt;2021&gt;1-1</v>
      </c>
      <c r="T130" s="3"/>
      <c r="U130" s="3" t="str">
        <f t="shared" si="29"/>
        <v>2021-1-1-1</v>
      </c>
    </row>
    <row r="131" spans="2:21" ht="14.45" customHeight="1" x14ac:dyDescent="0.2">
      <c r="B131" s="188">
        <f t="shared" si="24"/>
        <v>128</v>
      </c>
      <c r="C131" s="189">
        <v>2021</v>
      </c>
      <c r="D131" s="190" t="s">
        <v>416</v>
      </c>
      <c r="E131" s="190" t="s">
        <v>419</v>
      </c>
      <c r="F131" s="190" t="s">
        <v>27</v>
      </c>
      <c r="G131" s="191" t="s">
        <v>434</v>
      </c>
      <c r="H131" s="190" t="s">
        <v>417</v>
      </c>
      <c r="I131" s="352" t="s">
        <v>455</v>
      </c>
      <c r="J131" s="190" t="s">
        <v>417</v>
      </c>
      <c r="K131" s="191" t="str">
        <f>VLOOKUP(U131,통합목록!$Q$4:$T$310,4,0)</f>
        <v>개별 근로자 대상 근로계약 대비 불이익 취업규칙의 동의 없는 적용 가능 여부</v>
      </c>
      <c r="L131" s="192" t="str">
        <f>VLOOKUP(U131,통합목록!$Q$4:$T$310,2,0)</f>
        <v>열기2-01.노동법\02.문제\[기출][1][2021-1-2]개별 근로자 대상 근로계약 대비 불이익 취업규칙의 동의 없는 적용 가능 여부.txt</v>
      </c>
      <c r="M131" s="192" t="s">
        <v>1232</v>
      </c>
      <c r="N131" s="192" t="str">
        <f>VLOOKUP(U131,통합목록!$Q$4:$S$310,3,0)</f>
        <v>B</v>
      </c>
      <c r="O131" s="193"/>
      <c r="P131" s="192" t="str">
        <f t="shared" si="25"/>
        <v>제05장 취업규칙&gt;02&gt;1-2&gt;</v>
      </c>
      <c r="Q131" s="192" t="str">
        <f t="shared" si="26"/>
        <v>제05장 취업규칙&gt;제02절 취업규칙의 변경&gt;02</v>
      </c>
      <c r="R131" s="192" t="str">
        <f t="shared" si="27"/>
        <v>1&gt;기출&gt;2021&gt;2</v>
      </c>
      <c r="S131" s="192" t="str">
        <f t="shared" si="28"/>
        <v>1&gt;기출&gt;2021&gt;1-2</v>
      </c>
      <c r="T131" s="3"/>
      <c r="U131" s="3" t="str">
        <f t="shared" si="29"/>
        <v>2021-1-2-1</v>
      </c>
    </row>
    <row r="132" spans="2:21" ht="14.45" customHeight="1" x14ac:dyDescent="0.2">
      <c r="B132" s="188">
        <f t="shared" si="24"/>
        <v>129</v>
      </c>
      <c r="C132" s="189">
        <v>2021</v>
      </c>
      <c r="D132" s="190" t="s">
        <v>27</v>
      </c>
      <c r="E132" s="190" t="s">
        <v>419</v>
      </c>
      <c r="F132" s="190" t="s">
        <v>419</v>
      </c>
      <c r="G132" s="191" t="s">
        <v>414</v>
      </c>
      <c r="H132" s="190" t="s">
        <v>447</v>
      </c>
      <c r="I132" s="352" t="s">
        <v>1437</v>
      </c>
      <c r="J132" s="190" t="s">
        <v>417</v>
      </c>
      <c r="K132" s="191" t="str">
        <f>VLOOKUP(U132,통합목록!$Q$4:$T$310,4,0)</f>
        <v>정년 도달로 근로관계가 종료된 경우 부당해고 재심판정취소소송의 소의 이익 존부</v>
      </c>
      <c r="L132" s="192" t="str">
        <f>VLOOKUP(U132,통합목록!$Q$4:$T$310,2,0)</f>
        <v>열기2-01.노동법\02.문제\[기출][1][2021-2]정년 도달로 근로관계가 종료된 경우 부당해고 재심판정취소소송의 소의 이익 존부.txt</v>
      </c>
      <c r="M132" s="192" t="s">
        <v>1232</v>
      </c>
      <c r="N132" s="192" t="str">
        <f>VLOOKUP(U132,통합목록!$Q$4:$S$310,3,0)</f>
        <v>C</v>
      </c>
      <c r="O132" s="193"/>
      <c r="P132" s="192" t="str">
        <f t="shared" si="25"/>
        <v>제08장 근로관계의 종료&gt;08&gt;2&gt;</v>
      </c>
      <c r="Q132" s="192" t="str">
        <f t="shared" si="26"/>
        <v>제08장 근로관계의 종료&gt;제04절 부당해고의 구제&gt;02</v>
      </c>
      <c r="R132" s="192" t="str">
        <f t="shared" si="27"/>
        <v>1&gt;기출&gt;2021&gt;1</v>
      </c>
      <c r="S132" s="192" t="str">
        <f t="shared" si="28"/>
        <v>1&gt;기출&gt;2021&gt;2</v>
      </c>
      <c r="T132" s="3"/>
      <c r="U132" s="3" t="str">
        <f t="shared" si="29"/>
        <v>2021-2-1</v>
      </c>
    </row>
    <row r="133" spans="2:21" ht="14.45" customHeight="1" x14ac:dyDescent="0.2">
      <c r="B133" s="188">
        <f t="shared" si="24"/>
        <v>130</v>
      </c>
      <c r="C133" s="189">
        <v>2020</v>
      </c>
      <c r="D133" s="190" t="s">
        <v>412</v>
      </c>
      <c r="E133" s="190" t="s">
        <v>419</v>
      </c>
      <c r="F133" s="190" t="s">
        <v>437</v>
      </c>
      <c r="G133" s="191" t="s">
        <v>1476</v>
      </c>
      <c r="H133" s="190" t="s">
        <v>417</v>
      </c>
      <c r="I133" s="352" t="s">
        <v>1426</v>
      </c>
      <c r="J133" s="190" t="s">
        <v>415</v>
      </c>
      <c r="K133" s="191" t="str">
        <f>VLOOKUP(U133,통합목록!$Q$4:$T$310,4,0)</f>
        <v>명목상 외주업체 소속 근로자의 실질적 사업주 판단 기준</v>
      </c>
      <c r="L133" s="192" t="str">
        <f>VLOOKUP(U133,통합목록!$Q$4:$T$310,2,0)</f>
        <v>열기2-01.노동법\02.문제\[기출][1][2020-1-1]명목상 외주업체 소속 근로자의 실질적 사업주 판단 기준.txt</v>
      </c>
      <c r="M133" s="192" t="s">
        <v>1232</v>
      </c>
      <c r="N133" s="192" t="str">
        <f>VLOOKUP(U133,통합목록!$Q$4:$S$310,3,0)</f>
        <v>B</v>
      </c>
      <c r="O133" s="193"/>
      <c r="P133" s="192" t="str">
        <f t="shared" si="25"/>
        <v>제01장 노동법 총론&gt;02&gt;1-1&gt;</v>
      </c>
      <c r="Q133" s="192" t="str">
        <f t="shared" si="26"/>
        <v>제01장 노동법 총론&gt;제06절 근로기준법상 사용자&gt;01</v>
      </c>
      <c r="R133" s="192" t="str">
        <f t="shared" si="27"/>
        <v>1&gt;기출&gt;2020&gt;4</v>
      </c>
      <c r="S133" s="192" t="str">
        <f t="shared" si="28"/>
        <v>1&gt;기출&gt;2020&gt;1-1</v>
      </c>
      <c r="T133" s="3"/>
      <c r="U133" s="3" t="str">
        <f t="shared" si="29"/>
        <v>2020-1-1-1</v>
      </c>
    </row>
    <row r="134" spans="2:21" ht="14.45" customHeight="1" x14ac:dyDescent="0.2">
      <c r="B134" s="188">
        <f t="shared" si="24"/>
        <v>131</v>
      </c>
      <c r="C134" s="189">
        <v>2020</v>
      </c>
      <c r="D134" s="190" t="s">
        <v>412</v>
      </c>
      <c r="E134" s="190" t="s">
        <v>419</v>
      </c>
      <c r="F134" s="190" t="s">
        <v>413</v>
      </c>
      <c r="G134" s="191" t="s">
        <v>1828</v>
      </c>
      <c r="H134" s="190" t="s">
        <v>426</v>
      </c>
      <c r="I134" s="352" t="s">
        <v>1829</v>
      </c>
      <c r="J134" s="190" t="s">
        <v>417</v>
      </c>
      <c r="K134" s="191" t="str">
        <f>VLOOKUP(U134,통합목록!$Q$4:$T$310,4,0)</f>
        <v>명목상 외주업체 소속 근로자의 실질적 사업주 판단 기준</v>
      </c>
      <c r="L134" s="192" t="str">
        <f>VLOOKUP(U134,통합목록!$Q$4:$T$310,2,0)</f>
        <v>열기2-01.노동법\02.문제\[기출][1][2020-1-1]명목상 외주업체 소속 근로자의 실질적 사업주 판단 기준.txt</v>
      </c>
      <c r="M134" s="192" t="s">
        <v>1232</v>
      </c>
      <c r="N134" s="192" t="str">
        <f>VLOOKUP(U134,통합목록!$Q$4:$S$310,3,0)</f>
        <v>B</v>
      </c>
      <c r="O134" s="193"/>
      <c r="P134" s="192" t="str">
        <f t="shared" si="25"/>
        <v>제09장 비정규근로자&gt;03&gt;1-1&gt;</v>
      </c>
      <c r="Q134" s="192" t="str">
        <f t="shared" si="26"/>
        <v>제09장 비정규근로자&gt;제03절 파견근로자&gt;02</v>
      </c>
      <c r="R134" s="192" t="str">
        <f t="shared" si="27"/>
        <v>1&gt;기출&gt;2020&gt;3</v>
      </c>
      <c r="S134" s="192" t="str">
        <f t="shared" si="28"/>
        <v>1&gt;기출&gt;2020&gt;1-1</v>
      </c>
      <c r="T134" s="3"/>
      <c r="U134" s="3" t="str">
        <f t="shared" si="29"/>
        <v>2020-1-1-1</v>
      </c>
    </row>
    <row r="135" spans="2:21" ht="14.45" customHeight="1" x14ac:dyDescent="0.2">
      <c r="B135" s="188">
        <f t="shared" si="24"/>
        <v>132</v>
      </c>
      <c r="C135" s="189">
        <v>2020</v>
      </c>
      <c r="D135" s="190" t="s">
        <v>416</v>
      </c>
      <c r="E135" s="190" t="s">
        <v>419</v>
      </c>
      <c r="F135" s="190" t="s">
        <v>27</v>
      </c>
      <c r="G135" s="191" t="s">
        <v>421</v>
      </c>
      <c r="H135" s="190" t="s">
        <v>430</v>
      </c>
      <c r="I135" s="352" t="s">
        <v>429</v>
      </c>
      <c r="J135" s="190" t="s">
        <v>426</v>
      </c>
      <c r="K135" s="191" t="str">
        <f>VLOOKUP(U135,통합목록!$Q$4:$T$310,4,0)</f>
        <v>통행료 수납원의 근로자파견 여부 및 무허가 파견에 따른 직접고용의무</v>
      </c>
      <c r="L135" s="192" t="str">
        <f>VLOOKUP(U135,통합목록!$Q$4:$T$310,2,0)</f>
        <v>열기2-01.노동법\02.문제\[기출][1][2020-1-2]통행료 수납원의 근로자파견 여부 및 무허가 파견에 따른 직접고용의무.txt</v>
      </c>
      <c r="M135" s="192" t="s">
        <v>1232</v>
      </c>
      <c r="N135" s="192" t="str">
        <f>VLOOKUP(U135,통합목록!$Q$4:$S$310,3,0)</f>
        <v>C</v>
      </c>
      <c r="O135" s="193"/>
      <c r="P135" s="192" t="str">
        <f t="shared" si="25"/>
        <v>제09장 비정규근로자&gt;04&gt;1-2&gt;</v>
      </c>
      <c r="Q135" s="192" t="str">
        <f t="shared" si="26"/>
        <v>제09장 비정규근로자&gt;제03절 파견근로자&gt;03</v>
      </c>
      <c r="R135" s="192" t="str">
        <f t="shared" si="27"/>
        <v>1&gt;기출&gt;2020&gt;2</v>
      </c>
      <c r="S135" s="192" t="str">
        <f t="shared" si="28"/>
        <v>1&gt;기출&gt;2020&gt;1-2</v>
      </c>
      <c r="T135" s="3"/>
      <c r="U135" s="3" t="str">
        <f t="shared" si="29"/>
        <v>2020-1-2-1</v>
      </c>
    </row>
    <row r="136" spans="2:21" ht="14.45" customHeight="1" x14ac:dyDescent="0.2">
      <c r="B136" s="188">
        <f t="shared" si="24"/>
        <v>133</v>
      </c>
      <c r="C136" s="189">
        <v>2020</v>
      </c>
      <c r="D136" s="190" t="s">
        <v>27</v>
      </c>
      <c r="E136" s="190" t="s">
        <v>419</v>
      </c>
      <c r="F136" s="190" t="s">
        <v>419</v>
      </c>
      <c r="G136" s="191" t="s">
        <v>1598</v>
      </c>
      <c r="H136" s="190" t="s">
        <v>415</v>
      </c>
      <c r="I136" s="352" t="s">
        <v>439</v>
      </c>
      <c r="J136" s="190" t="s">
        <v>415</v>
      </c>
      <c r="K136" s="191" t="str">
        <f>VLOOKUP(U136,통합목록!$Q$4:$T$310,4,0)</f>
        <v>산업재해보상보험법상 2차 회식의 업무상 재해 인정 여부</v>
      </c>
      <c r="L136" s="192" t="str">
        <f>VLOOKUP(U136,통합목록!$Q$4:$T$310,2,0)</f>
        <v>열기2-01.노동법\02.문제\[기출][1][2020-2]산업재해보상보험법상 2차 회식의 업무상 재해 인정 여부.txt</v>
      </c>
      <c r="M136" s="192" t="s">
        <v>1232</v>
      </c>
      <c r="N136" s="192" t="str">
        <f>VLOOKUP(U136,통합목록!$Q$4:$S$310,3,0)</f>
        <v>B</v>
      </c>
      <c r="O136" s="193"/>
      <c r="P136" s="192" t="str">
        <f t="shared" si="25"/>
        <v>제10장 업무상 재해 등&gt;01&gt;2&gt;</v>
      </c>
      <c r="Q136" s="192" t="str">
        <f t="shared" si="26"/>
        <v>제10장 업무상 재해 등&gt;제01절 업무상 재해&gt;01</v>
      </c>
      <c r="R136" s="192" t="str">
        <f t="shared" si="27"/>
        <v>1&gt;기출&gt;2020&gt;1</v>
      </c>
      <c r="S136" s="192" t="str">
        <f t="shared" si="28"/>
        <v>1&gt;기출&gt;2020&gt;2</v>
      </c>
      <c r="T136" s="3"/>
      <c r="U136" s="3" t="str">
        <f t="shared" si="29"/>
        <v>2020-2-1</v>
      </c>
    </row>
    <row r="137" spans="2:21" ht="14.45" customHeight="1" x14ac:dyDescent="0.2">
      <c r="B137" s="188">
        <f t="shared" si="24"/>
        <v>134</v>
      </c>
      <c r="C137" s="189">
        <v>2019</v>
      </c>
      <c r="D137" s="190" t="s">
        <v>412</v>
      </c>
      <c r="E137" s="190" t="s">
        <v>419</v>
      </c>
      <c r="F137" s="190" t="s">
        <v>437</v>
      </c>
      <c r="G137" s="191" t="s">
        <v>414</v>
      </c>
      <c r="H137" s="190" t="s">
        <v>450</v>
      </c>
      <c r="I137" s="352" t="s">
        <v>418</v>
      </c>
      <c r="J137" s="190" t="s">
        <v>435</v>
      </c>
      <c r="K137" s="191" t="str">
        <f>VLOOKUP(U137,통합목록!$Q$4:$T$310,4,0)</f>
        <v>경영상 이유에 의한 해고 대상자 선정 기준의 위법성</v>
      </c>
      <c r="L137" s="192" t="str">
        <f>VLOOKUP(U137,통합목록!$Q$4:$T$310,2,0)</f>
        <v>열기2-01.노동법\02.문제\[기출][1][2019-1-1]경영상 이유에 의한 해고 대상자 선정 기준의 위법성.txt</v>
      </c>
      <c r="M137" s="192" t="s">
        <v>1232</v>
      </c>
      <c r="N137" s="192" t="str">
        <f>VLOOKUP(U137,통합목록!$Q$4:$S$310,3,0)</f>
        <v>B</v>
      </c>
      <c r="O137" s="193"/>
      <c r="P137" s="192" t="str">
        <f t="shared" si="25"/>
        <v>제08장 근로관계의 종료&gt;09&gt;1-1&gt;</v>
      </c>
      <c r="Q137" s="192" t="str">
        <f t="shared" si="26"/>
        <v>제08장 근로관계의 종료&gt;제02절 해고의 실체적 정당성&gt;06</v>
      </c>
      <c r="R137" s="192" t="str">
        <f t="shared" si="27"/>
        <v>1&gt;기출&gt;2019&gt;4</v>
      </c>
      <c r="S137" s="192" t="str">
        <f t="shared" si="28"/>
        <v>1&gt;기출&gt;2019&gt;1-1</v>
      </c>
      <c r="T137" s="3"/>
      <c r="U137" s="3" t="str">
        <f t="shared" si="29"/>
        <v>2019-1-1-1</v>
      </c>
    </row>
    <row r="138" spans="2:21" ht="14.45" customHeight="1" x14ac:dyDescent="0.2">
      <c r="B138" s="188">
        <f t="shared" si="24"/>
        <v>135</v>
      </c>
      <c r="C138" s="189">
        <v>2019</v>
      </c>
      <c r="D138" s="190" t="s">
        <v>416</v>
      </c>
      <c r="E138" s="190" t="s">
        <v>419</v>
      </c>
      <c r="F138" s="190" t="s">
        <v>413</v>
      </c>
      <c r="G138" s="191" t="s">
        <v>441</v>
      </c>
      <c r="H138" s="190" t="s">
        <v>415</v>
      </c>
      <c r="I138" s="352" t="s">
        <v>442</v>
      </c>
      <c r="J138" s="190" t="s">
        <v>415</v>
      </c>
      <c r="K138" s="191" t="str">
        <f>VLOOKUP(U138,통합목록!$Q$4:$T$310,4,0)</f>
        <v>중도 퇴사자 대상 사이닝보너스 반환 청구의 타당성</v>
      </c>
      <c r="L138" s="192" t="str">
        <f>VLOOKUP(U138,통합목록!$Q$4:$T$310,2,0)</f>
        <v>열기2-01.노동법\02.문제\[기출][1][2019-1-2]중도 퇴사자 대상 사이닝보너스 반환 청구의 타당성.txt</v>
      </c>
      <c r="M138" s="192" t="s">
        <v>1232</v>
      </c>
      <c r="N138" s="192" t="str">
        <f>VLOOKUP(U138,통합목록!$Q$4:$S$310,3,0)</f>
        <v>B</v>
      </c>
      <c r="O138" s="193"/>
      <c r="P138" s="192" t="str">
        <f t="shared" si="25"/>
        <v>제02장 근로관계의 성립&gt;01&gt;1-2&gt;</v>
      </c>
      <c r="Q138" s="192" t="str">
        <f t="shared" si="26"/>
        <v>제02장 근로관계의 성립&gt;제02절 근로계약의 체결&gt;01</v>
      </c>
      <c r="R138" s="192" t="str">
        <f t="shared" si="27"/>
        <v>1&gt;기출&gt;2019&gt;3</v>
      </c>
      <c r="S138" s="192" t="str">
        <f t="shared" si="28"/>
        <v>1&gt;기출&gt;2019&gt;1-2</v>
      </c>
      <c r="T138" s="3"/>
      <c r="U138" s="3" t="str">
        <f t="shared" si="29"/>
        <v>2019-1-2-1</v>
      </c>
    </row>
    <row r="139" spans="2:21" ht="14.45" customHeight="1" x14ac:dyDescent="0.2">
      <c r="B139" s="188">
        <f t="shared" si="24"/>
        <v>136</v>
      </c>
      <c r="C139" s="189">
        <v>2019</v>
      </c>
      <c r="D139" s="190" t="s">
        <v>27</v>
      </c>
      <c r="E139" s="190" t="s">
        <v>419</v>
      </c>
      <c r="F139" s="190" t="s">
        <v>419</v>
      </c>
      <c r="G139" s="191" t="s">
        <v>443</v>
      </c>
      <c r="H139" s="190" t="s">
        <v>417</v>
      </c>
      <c r="I139" s="352" t="s">
        <v>444</v>
      </c>
      <c r="J139" s="190" t="s">
        <v>415</v>
      </c>
      <c r="K139" s="191" t="str">
        <f>VLOOKUP(U139,통합목록!$Q$4:$T$310,4,0)</f>
        <v>임금채권 양수자의 청구에 대한 사용자의 지급 의무</v>
      </c>
      <c r="L139" s="192" t="str">
        <f>VLOOKUP(U139,통합목록!$Q$4:$T$310,2,0)</f>
        <v>열기2-01.노동법\02.문제\[기출][1][2019-2]임금채권 양수자의 청구에 대한 사용자의 지급 의무.txt</v>
      </c>
      <c r="M139" s="192" t="s">
        <v>1232</v>
      </c>
      <c r="N139" s="192" t="str">
        <f>VLOOKUP(U139,통합목록!$Q$4:$S$310,3,0)</f>
        <v>B</v>
      </c>
      <c r="O139" s="193"/>
      <c r="P139" s="192" t="str">
        <f t="shared" si="25"/>
        <v>제03장 임금&gt;02&gt;2&gt;</v>
      </c>
      <c r="Q139" s="192" t="str">
        <f t="shared" si="26"/>
        <v>제03장 임금&gt;제04절 임금지급의 원칙&gt;01</v>
      </c>
      <c r="R139" s="192" t="str">
        <f t="shared" si="27"/>
        <v>1&gt;기출&gt;2019&gt;1</v>
      </c>
      <c r="S139" s="192" t="str">
        <f t="shared" si="28"/>
        <v>1&gt;기출&gt;2019&gt;2</v>
      </c>
      <c r="T139" s="3"/>
      <c r="U139" s="3" t="str">
        <f t="shared" si="29"/>
        <v>2019-2-1</v>
      </c>
    </row>
    <row r="140" spans="2:21" ht="14.45" customHeight="1" x14ac:dyDescent="0.2">
      <c r="B140" s="188">
        <f t="shared" si="24"/>
        <v>137</v>
      </c>
      <c r="C140" s="189">
        <v>2018</v>
      </c>
      <c r="D140" s="190" t="s">
        <v>445</v>
      </c>
      <c r="E140" s="190" t="s">
        <v>419</v>
      </c>
      <c r="F140" s="190" t="s">
        <v>446</v>
      </c>
      <c r="G140" s="191" t="s">
        <v>1476</v>
      </c>
      <c r="H140" s="190" t="s">
        <v>430</v>
      </c>
      <c r="I140" s="352" t="s">
        <v>1424</v>
      </c>
      <c r="J140" s="190" t="s">
        <v>415</v>
      </c>
      <c r="K140" s="191" t="str">
        <f>VLOOKUP(U140,통합목록!$Q$4:$T$310,4,0)</f>
        <v>제조업체와 판매용역계약을 체결한 백화점 판매원의 근로기준법상 근로자 해당 여부</v>
      </c>
      <c r="L140" s="192" t="str">
        <f>VLOOKUP(U140,통합목록!$Q$4:$T$310,2,0)</f>
        <v>열기2-01.노동법\02.문제\[기출][1][2018-1-1]제조업체와 판매용역계약을 체결한 백화점 판매원의 근로기준법상 근로자 해당 여부.txt</v>
      </c>
      <c r="M140" s="192" t="s">
        <v>1232</v>
      </c>
      <c r="N140" s="192" t="str">
        <f>VLOOKUP(U140,통합목록!$Q$4:$S$310,3,0)</f>
        <v>B</v>
      </c>
      <c r="O140" s="193"/>
      <c r="P140" s="192" t="str">
        <f t="shared" si="25"/>
        <v>제01장 노동법 총론&gt;04&gt;1-1&gt;</v>
      </c>
      <c r="Q140" s="192" t="str">
        <f t="shared" si="26"/>
        <v>제01장 노동법 총론&gt;제04절 근로기준법상 근로자&gt;01</v>
      </c>
      <c r="R140" s="192" t="str">
        <f t="shared" si="27"/>
        <v>1&gt;기출&gt;2018&gt;3</v>
      </c>
      <c r="S140" s="192" t="str">
        <f t="shared" si="28"/>
        <v>1&gt;기출&gt;2018&gt;1-1</v>
      </c>
      <c r="U140" s="3" t="str">
        <f t="shared" si="29"/>
        <v>2018-1-1-1</v>
      </c>
    </row>
    <row r="141" spans="2:21" ht="14.45" customHeight="1" x14ac:dyDescent="0.2">
      <c r="B141" s="188">
        <f t="shared" si="24"/>
        <v>138</v>
      </c>
      <c r="C141" s="189">
        <v>2018</v>
      </c>
      <c r="D141" s="190" t="s">
        <v>416</v>
      </c>
      <c r="E141" s="190" t="s">
        <v>419</v>
      </c>
      <c r="F141" s="190" t="s">
        <v>27</v>
      </c>
      <c r="G141" s="191" t="s">
        <v>443</v>
      </c>
      <c r="H141" s="190" t="s">
        <v>426</v>
      </c>
      <c r="I141" s="352" t="s">
        <v>433</v>
      </c>
      <c r="J141" s="190" t="s">
        <v>417</v>
      </c>
      <c r="K141" s="191" t="str">
        <f>VLOOKUP(U141,통합목록!$Q$4:$T$310,4,0)</f>
        <v>판매용역계약을 체결한 판매원이 지급받은 수수료의 통상임금 해당 여부</v>
      </c>
      <c r="L141" s="192" t="str">
        <f>VLOOKUP(U141,통합목록!$Q$4:$T$310,2,0)</f>
        <v>열기2-01.노동법\02.문제\[기출][1][2018-1-2]판매용역계약을 체결한 판매원이 지급받은 수수료의 통상임금 해당 여부.txt</v>
      </c>
      <c r="M141" s="192" t="s">
        <v>1232</v>
      </c>
      <c r="N141" s="192" t="str">
        <f>VLOOKUP(U141,통합목록!$Q$4:$S$310,3,0)</f>
        <v>B</v>
      </c>
      <c r="O141" s="193"/>
      <c r="P141" s="192" t="str">
        <f t="shared" si="25"/>
        <v>제03장 임금&gt;03&gt;1-2&gt;</v>
      </c>
      <c r="Q141" s="192" t="str">
        <f t="shared" si="26"/>
        <v>제03장 임금&gt;제03절 통상임금&gt;02</v>
      </c>
      <c r="R141" s="192" t="str">
        <f t="shared" si="27"/>
        <v>1&gt;기출&gt;2018&gt;2</v>
      </c>
      <c r="S141" s="192" t="str">
        <f t="shared" si="28"/>
        <v>1&gt;기출&gt;2018&gt;1-2</v>
      </c>
      <c r="U141" s="3" t="str">
        <f t="shared" si="29"/>
        <v>2018-1-2-1</v>
      </c>
    </row>
    <row r="142" spans="2:21" ht="14.45" customHeight="1" x14ac:dyDescent="0.2">
      <c r="B142" s="188">
        <f t="shared" si="24"/>
        <v>139</v>
      </c>
      <c r="C142" s="189">
        <v>2018</v>
      </c>
      <c r="D142" s="190" t="s">
        <v>27</v>
      </c>
      <c r="E142" s="190" t="s">
        <v>419</v>
      </c>
      <c r="F142" s="190" t="s">
        <v>419</v>
      </c>
      <c r="G142" s="191" t="s">
        <v>421</v>
      </c>
      <c r="H142" s="190" t="s">
        <v>431</v>
      </c>
      <c r="I142" s="352" t="s">
        <v>1438</v>
      </c>
      <c r="J142" s="190" t="s">
        <v>417</v>
      </c>
      <c r="K142" s="191" t="str">
        <f>VLOOKUP(U142,통합목록!$Q$4:$T$310,4,0)</f>
        <v>기간제 근로계약 만료 시 사용자의 갱신거절이 부당해고에 해당하는지에 관한 판례법리</v>
      </c>
      <c r="L142" s="192" t="str">
        <f>VLOOKUP(U142,통합목록!$Q$4:$T$310,2,0)</f>
        <v>열기2-01.노동법\02.문제\[기출][1][2018-2]기간제 근로계약 만료 시 사용자의 갱신거절이 부당해고에 해당하는지에 관한 판례법리.txt</v>
      </c>
      <c r="M142" s="192" t="s">
        <v>1232</v>
      </c>
      <c r="N142" s="192" t="str">
        <f>VLOOKUP(U142,통합목록!$Q$4:$S$310,3,0)</f>
        <v>C</v>
      </c>
      <c r="O142" s="193"/>
      <c r="P142" s="192" t="str">
        <f t="shared" si="25"/>
        <v>제09장 비정규근로자&gt;05&gt;2&gt;</v>
      </c>
      <c r="Q142" s="192" t="str">
        <f t="shared" si="26"/>
        <v>제09장 비정규근로자&gt;제01절 기간제근로자&gt;02</v>
      </c>
      <c r="R142" s="192" t="str">
        <f t="shared" si="27"/>
        <v>1&gt;기출&gt;2018&gt;1</v>
      </c>
      <c r="S142" s="192" t="str">
        <f t="shared" si="28"/>
        <v>1&gt;기출&gt;2018&gt;2</v>
      </c>
      <c r="U142" s="3" t="str">
        <f t="shared" si="29"/>
        <v>2018-2-1</v>
      </c>
    </row>
    <row r="143" spans="2:21" ht="14.45" customHeight="1" x14ac:dyDescent="0.2">
      <c r="B143" s="188">
        <f t="shared" si="24"/>
        <v>140</v>
      </c>
      <c r="C143" s="189">
        <v>2017</v>
      </c>
      <c r="D143" s="190" t="s">
        <v>412</v>
      </c>
      <c r="E143" s="190" t="s">
        <v>419</v>
      </c>
      <c r="F143" s="190" t="s">
        <v>413</v>
      </c>
      <c r="G143" s="191" t="s">
        <v>414</v>
      </c>
      <c r="H143" s="190" t="s">
        <v>453</v>
      </c>
      <c r="I143" s="352" t="s">
        <v>418</v>
      </c>
      <c r="J143" s="190" t="s">
        <v>440</v>
      </c>
      <c r="K143" s="191" t="str">
        <f>VLOOKUP(U143,통합목록!$Q$4:$T$310,4,0)</f>
        <v>확정되지 않은 징계사유로 단행된 해고의 정당성</v>
      </c>
      <c r="L143" s="192" t="str">
        <f>VLOOKUP(U143,통합목록!$Q$4:$T$310,2,0)</f>
        <v>열기2-01.노동법\02.문제\[기출][1][2017-1-1]확정되지 않은 징계사유로 단행된 해고의 정당성.txt</v>
      </c>
      <c r="M143" s="192" t="s">
        <v>1232</v>
      </c>
      <c r="N143" s="192" t="str">
        <f>VLOOKUP(U143,통합목록!$Q$4:$S$310,3,0)</f>
        <v>B</v>
      </c>
      <c r="O143" s="193"/>
      <c r="P143" s="192" t="str">
        <f t="shared" si="25"/>
        <v>제08장 근로관계의 종료&gt;10&gt;1-1&gt;</v>
      </c>
      <c r="Q143" s="192" t="str">
        <f t="shared" si="26"/>
        <v>제08장 근로관계의 종료&gt;제02절 해고의 실체적 정당성&gt;07</v>
      </c>
      <c r="R143" s="192" t="str">
        <f t="shared" si="27"/>
        <v>1&gt;기출&gt;2017&gt;3</v>
      </c>
      <c r="S143" s="192" t="str">
        <f t="shared" si="28"/>
        <v>1&gt;기출&gt;2017&gt;1-1</v>
      </c>
      <c r="U143" s="3" t="str">
        <f t="shared" si="29"/>
        <v>2017-1-1-1</v>
      </c>
    </row>
    <row r="144" spans="2:21" ht="14.45" customHeight="1" x14ac:dyDescent="0.2">
      <c r="B144" s="188">
        <f t="shared" si="24"/>
        <v>141</v>
      </c>
      <c r="C144" s="189">
        <v>2017</v>
      </c>
      <c r="D144" s="190" t="s">
        <v>416</v>
      </c>
      <c r="E144" s="190" t="s">
        <v>419</v>
      </c>
      <c r="F144" s="190" t="s">
        <v>27</v>
      </c>
      <c r="G144" s="191" t="s">
        <v>1380</v>
      </c>
      <c r="H144" s="190" t="s">
        <v>426</v>
      </c>
      <c r="I144" s="353" t="s">
        <v>1457</v>
      </c>
      <c r="J144" s="190" t="s">
        <v>415</v>
      </c>
      <c r="K144" s="191" t="str">
        <f>VLOOKUP(U144,통합목록!$Q$4:$T$310,4,0)</f>
        <v>매월 균분하여 지급받은 퇴직금 분할 약정의 효력</v>
      </c>
      <c r="L144" s="192" t="str">
        <f>VLOOKUP(U144,통합목록!$Q$4:$T$310,2,0)</f>
        <v>열기2-01.노동법\02.문제\[기출][1][2017-1-2]매월 균분하여 지급받은 퇴직금 분할 약정의 효력.txt</v>
      </c>
      <c r="M144" s="192" t="s">
        <v>1232</v>
      </c>
      <c r="N144" s="192" t="str">
        <f>VLOOKUP(U144,통합목록!$Q$4:$S$310,3,0)</f>
        <v>C</v>
      </c>
      <c r="O144" s="193"/>
      <c r="P144" s="192" t="str">
        <f t="shared" si="25"/>
        <v>제16장 부속법령&gt;03&gt;1-2&gt;</v>
      </c>
      <c r="Q144" s="192" t="str">
        <f t="shared" si="26"/>
        <v>제16장 부속법령&gt;제12절 근퇴법&gt;01</v>
      </c>
      <c r="R144" s="192" t="str">
        <f t="shared" si="27"/>
        <v>1&gt;기출&gt;2017&gt;2</v>
      </c>
      <c r="S144" s="192" t="str">
        <f t="shared" si="28"/>
        <v>1&gt;기출&gt;2017&gt;1-2</v>
      </c>
      <c r="U144" s="3" t="str">
        <f t="shared" si="29"/>
        <v>2017-1-2-1</v>
      </c>
    </row>
    <row r="145" spans="2:21" ht="14.45" customHeight="1" x14ac:dyDescent="0.2">
      <c r="B145" s="188">
        <f t="shared" si="24"/>
        <v>142</v>
      </c>
      <c r="C145" s="189">
        <v>2017</v>
      </c>
      <c r="D145" s="190" t="s">
        <v>27</v>
      </c>
      <c r="E145" s="190" t="s">
        <v>419</v>
      </c>
      <c r="F145" s="190" t="s">
        <v>419</v>
      </c>
      <c r="G145" s="191" t="s">
        <v>421</v>
      </c>
      <c r="H145" s="190" t="s">
        <v>435</v>
      </c>
      <c r="I145" s="352" t="s">
        <v>1485</v>
      </c>
      <c r="J145" s="190" t="s">
        <v>415</v>
      </c>
      <c r="K145" s="191" t="str">
        <f>VLOOKUP(U145,통합목록!$Q$4:$T$310,4,0)</f>
        <v>계약직에서 정규직으로 전환된 근로자에 대한 경력 인정 차별의 정당성 여부</v>
      </c>
      <c r="L145" s="192" t="str">
        <f>VLOOKUP(U145,통합목록!$Q$4:$T$310,2,0)</f>
        <v>열기2-01.노동법\02.문제\[기출][1][2017-2]계약직에서 정규직으로 전환된 근로자에 대한 경력 인정 차별의 정당성 여부.txt</v>
      </c>
      <c r="M145" s="192" t="s">
        <v>1232</v>
      </c>
      <c r="N145" s="192" t="str">
        <f>VLOOKUP(U145,통합목록!$Q$4:$S$310,3,0)</f>
        <v>B</v>
      </c>
      <c r="O145" s="193"/>
      <c r="P145" s="192" t="str">
        <f t="shared" si="25"/>
        <v>제09장 비정규근로자&gt;06&gt;2&gt;</v>
      </c>
      <c r="Q145" s="192" t="str">
        <f t="shared" si="26"/>
        <v>제09장 비정규근로자&gt;제04절 차별 시정&gt;01</v>
      </c>
      <c r="R145" s="192" t="str">
        <f t="shared" si="27"/>
        <v>1&gt;기출&gt;2017&gt;1</v>
      </c>
      <c r="S145" s="192" t="str">
        <f t="shared" si="28"/>
        <v>1&gt;기출&gt;2017&gt;2</v>
      </c>
      <c r="U145" s="3" t="str">
        <f t="shared" si="29"/>
        <v>2017-2-1</v>
      </c>
    </row>
    <row r="146" spans="2:21" ht="14.45" customHeight="1" x14ac:dyDescent="0.2">
      <c r="B146" s="188">
        <f t="shared" ref="B146:B174" si="30">ROW()-3</f>
        <v>143</v>
      </c>
      <c r="C146" s="189">
        <v>2016</v>
      </c>
      <c r="D146" s="190" t="s">
        <v>412</v>
      </c>
      <c r="E146" s="190" t="s">
        <v>419</v>
      </c>
      <c r="F146" s="190" t="s">
        <v>437</v>
      </c>
      <c r="G146" s="191" t="s">
        <v>448</v>
      </c>
      <c r="H146" s="190" t="s">
        <v>415</v>
      </c>
      <c r="I146" s="352" t="s">
        <v>449</v>
      </c>
      <c r="J146" s="190" t="s">
        <v>415</v>
      </c>
      <c r="K146" s="191" t="str">
        <f>VLOOKUP(U146,통합목록!$Q$4:$T$310,4,0)</f>
        <v>적법한 파업 참가 근로자의 출근율 및 연차유급휴가 일수 산정 방식과 회사 주장의 정당성</v>
      </c>
      <c r="L146" s="192" t="str">
        <f>VLOOKUP(U146,통합목록!$Q$4:$T$310,2,0)</f>
        <v>열기2-01.노동법\02.문제\[기출][1][2016-1-1]적법한 파업 참가 근로자의 출근율 및 연차유급휴가 일수 산정 방식과 회사 주장의 정당성.txt</v>
      </c>
      <c r="M146" s="192" t="s">
        <v>1232</v>
      </c>
      <c r="N146" s="192" t="str">
        <f>VLOOKUP(U146,통합목록!$Q$4:$S$310,3,0)</f>
        <v>A</v>
      </c>
      <c r="O146" s="193"/>
      <c r="P146" s="192" t="str">
        <f t="shared" ref="P146:P174" si="31">G146&amp;"&gt;"&amp;H146&amp;"&gt;"&amp;D146&amp;"&gt;"&amp;O146</f>
        <v>제04장 근로시간&gt;01&gt;1-1&gt;</v>
      </c>
      <c r="Q146" s="192" t="str">
        <f t="shared" ref="Q146:Q174" si="32">G146&amp;"&gt;"&amp;I146&amp;"&gt;"&amp;J146</f>
        <v>제04장 근로시간&gt;제06절 연차유급휴가&gt;01</v>
      </c>
      <c r="R146" s="192" t="str">
        <f t="shared" ref="R146:R174" si="33">E146&amp;"&gt;"&amp;M146&amp;"&gt;"&amp;C146&amp;"&gt;"&amp;F146</f>
        <v>1&gt;기출&gt;2016&gt;4</v>
      </c>
      <c r="S146" s="192" t="str">
        <f t="shared" ref="S146:S174" si="34">E146&amp;"&gt;"&amp;M146&amp;"&gt;"&amp;C146&amp;"&gt;"&amp;D146</f>
        <v>1&gt;기출&gt;2016&gt;1-1</v>
      </c>
      <c r="U146" s="3" t="str">
        <f t="shared" ref="U146:U174" si="35">C146&amp;"-"&amp;D146&amp;"-"&amp;E146</f>
        <v>2016-1-1-1</v>
      </c>
    </row>
    <row r="147" spans="2:21" ht="14.45" customHeight="1" x14ac:dyDescent="0.2">
      <c r="B147" s="188">
        <f t="shared" si="30"/>
        <v>144</v>
      </c>
      <c r="C147" s="189">
        <v>2016</v>
      </c>
      <c r="D147" s="190" t="s">
        <v>416</v>
      </c>
      <c r="E147" s="190" t="s">
        <v>419</v>
      </c>
      <c r="F147" s="190" t="s">
        <v>413</v>
      </c>
      <c r="G147" s="191" t="s">
        <v>414</v>
      </c>
      <c r="H147" s="190" t="s">
        <v>460</v>
      </c>
      <c r="I147" s="352" t="s">
        <v>418</v>
      </c>
      <c r="J147" s="190" t="s">
        <v>447</v>
      </c>
      <c r="K147" s="191" t="str">
        <f>VLOOKUP(U147,통합목록!$Q$4:$T$310,4,0)</f>
        <v>이력서 허위 기재를 근거로 한 해고의 정당성</v>
      </c>
      <c r="L147" s="192" t="str">
        <f>VLOOKUP(U147,통합목록!$Q$4:$T$310,2,0)</f>
        <v>열기2-01.노동법\02.문제\[기출][1][2016-1-2]이력서 허위 기재를 근거로 한 해고의 정당성.txt</v>
      </c>
      <c r="M147" s="192" t="s">
        <v>1232</v>
      </c>
      <c r="N147" s="192" t="str">
        <f>VLOOKUP(U147,통합목록!$Q$4:$S$310,3,0)</f>
        <v>B</v>
      </c>
      <c r="O147" s="193"/>
      <c r="P147" s="192" t="str">
        <f t="shared" si="31"/>
        <v>제08장 근로관계의 종료&gt;11&gt;1-2&gt;</v>
      </c>
      <c r="Q147" s="192" t="str">
        <f t="shared" si="32"/>
        <v>제08장 근로관계의 종료&gt;제02절 해고의 실체적 정당성&gt;08</v>
      </c>
      <c r="R147" s="192" t="str">
        <f t="shared" si="33"/>
        <v>1&gt;기출&gt;2016&gt;3</v>
      </c>
      <c r="S147" s="192" t="str">
        <f t="shared" si="34"/>
        <v>1&gt;기출&gt;2016&gt;1-2</v>
      </c>
      <c r="U147" s="3" t="str">
        <f t="shared" si="35"/>
        <v>2016-1-2-1</v>
      </c>
    </row>
    <row r="148" spans="2:21" ht="14.45" customHeight="1" x14ac:dyDescent="0.2">
      <c r="B148" s="188">
        <f t="shared" si="30"/>
        <v>145</v>
      </c>
      <c r="C148" s="189">
        <v>2016</v>
      </c>
      <c r="D148" s="190" t="s">
        <v>27</v>
      </c>
      <c r="E148" s="190" t="s">
        <v>419</v>
      </c>
      <c r="F148" s="190" t="s">
        <v>27</v>
      </c>
      <c r="G148" s="191" t="s">
        <v>441</v>
      </c>
      <c r="H148" s="190" t="s">
        <v>417</v>
      </c>
      <c r="I148" s="352" t="s">
        <v>452</v>
      </c>
      <c r="J148" s="190" t="s">
        <v>415</v>
      </c>
      <c r="K148" s="191" t="str">
        <f>VLOOKUP(U148,통합목록!$Q$4:$T$310,4,0)</f>
        <v>시용기간 만료 시 본채용 거부의 해고 여부 및 구두 통보의 정당성</v>
      </c>
      <c r="L148" s="192" t="str">
        <f>VLOOKUP(U148,통합목록!$Q$4:$T$310,2,0)</f>
        <v>열기2-01.노동법\02.문제\[기출][1][2016-2]시용기간 만료 시 본채용 거부의 해고 여부 및 구두 통보의 정당성.txt</v>
      </c>
      <c r="M148" s="192" t="s">
        <v>1232</v>
      </c>
      <c r="N148" s="192" t="str">
        <f>VLOOKUP(U148,통합목록!$Q$4:$S$310,3,0)</f>
        <v>A</v>
      </c>
      <c r="O148" s="193"/>
      <c r="P148" s="192" t="str">
        <f t="shared" si="31"/>
        <v>제02장 근로관계의 성립&gt;02&gt;2&gt;</v>
      </c>
      <c r="Q148" s="192" t="str">
        <f t="shared" si="32"/>
        <v>제02장 근로관계의 성립&gt;제03절 근로계약과 근로관계&gt;01</v>
      </c>
      <c r="R148" s="192" t="str">
        <f t="shared" si="33"/>
        <v>1&gt;기출&gt;2016&gt;2</v>
      </c>
      <c r="S148" s="192" t="str">
        <f t="shared" si="34"/>
        <v>1&gt;기출&gt;2016&gt;2</v>
      </c>
      <c r="U148" s="3" t="str">
        <f t="shared" si="35"/>
        <v>2016-2-1</v>
      </c>
    </row>
    <row r="149" spans="2:21" ht="14.45" customHeight="1" x14ac:dyDescent="0.2">
      <c r="B149" s="188">
        <f t="shared" si="30"/>
        <v>146</v>
      </c>
      <c r="C149" s="189">
        <v>2016</v>
      </c>
      <c r="D149" s="190" t="s">
        <v>27</v>
      </c>
      <c r="E149" s="190" t="s">
        <v>419</v>
      </c>
      <c r="F149" s="190" t="s">
        <v>419</v>
      </c>
      <c r="G149" s="191" t="s">
        <v>1826</v>
      </c>
      <c r="H149" s="190" t="s">
        <v>465</v>
      </c>
      <c r="I149" s="352" t="s">
        <v>1830</v>
      </c>
      <c r="J149" s="190" t="s">
        <v>417</v>
      </c>
      <c r="K149" s="191" t="str">
        <f>VLOOKUP(U149,통합목록!$Q$4:$T$310,4,0)</f>
        <v>시용기간 만료 시 본채용 거부의 해고 여부 및 구두 통보의 정당성</v>
      </c>
      <c r="L149" s="192" t="str">
        <f>VLOOKUP(U149,통합목록!$Q$4:$T$310,2,0)</f>
        <v>열기2-01.노동법\02.문제\[기출][1][2016-2]시용기간 만료 시 본채용 거부의 해고 여부 및 구두 통보의 정당성.txt</v>
      </c>
      <c r="M149" s="192" t="s">
        <v>1232</v>
      </c>
      <c r="N149" s="192" t="str">
        <f>VLOOKUP(U149,통합목록!$Q$4:$S$310,3,0)</f>
        <v>A</v>
      </c>
      <c r="O149" s="193"/>
      <c r="P149" s="192" t="str">
        <f t="shared" si="31"/>
        <v>제08장 근로관계의 종료&gt;12&gt;2&gt;</v>
      </c>
      <c r="Q149" s="192" t="str">
        <f t="shared" si="32"/>
        <v>제08장 근로관계의 종료&gt;제03절 해고의 절차적 정당성&gt;02</v>
      </c>
      <c r="R149" s="192" t="str">
        <f t="shared" si="33"/>
        <v>1&gt;기출&gt;2016&gt;1</v>
      </c>
      <c r="S149" s="192" t="str">
        <f t="shared" si="34"/>
        <v>1&gt;기출&gt;2016&gt;2</v>
      </c>
      <c r="U149" s="3" t="str">
        <f t="shared" si="35"/>
        <v>2016-2-1</v>
      </c>
    </row>
    <row r="150" spans="2:21" ht="14.45" customHeight="1" x14ac:dyDescent="0.2">
      <c r="B150" s="188">
        <f t="shared" si="30"/>
        <v>147</v>
      </c>
      <c r="C150" s="189">
        <v>2015</v>
      </c>
      <c r="D150" s="190" t="s">
        <v>454</v>
      </c>
      <c r="E150" s="190" t="s">
        <v>419</v>
      </c>
      <c r="F150" s="190" t="s">
        <v>413</v>
      </c>
      <c r="G150" s="191" t="s">
        <v>434</v>
      </c>
      <c r="H150" s="190" t="s">
        <v>426</v>
      </c>
      <c r="I150" s="352" t="s">
        <v>455</v>
      </c>
      <c r="J150" s="190" t="s">
        <v>426</v>
      </c>
      <c r="K150" s="191" t="str">
        <f>VLOOKUP(U150,통합목록!$Q$4:$T$310,4,0)</f>
        <v>노동조합 동의 없이 개별 근로자의 동의로 변경한 인사규정의 효력</v>
      </c>
      <c r="L150" s="192" t="str">
        <f>VLOOKUP(U150,통합목록!$Q$4:$T$310,2,0)</f>
        <v>열기2-01.노동법\02.문제\[기출][1][2015-1-i]노동조합 동의 없이 개별 근로자의 동의로 변경한 인사규정의 효력.txt</v>
      </c>
      <c r="M150" s="192" t="s">
        <v>1232</v>
      </c>
      <c r="N150" s="192" t="str">
        <f>VLOOKUP(U150,통합목록!$Q$4:$S$310,3,0)</f>
        <v>B</v>
      </c>
      <c r="O150" s="193"/>
      <c r="P150" s="192" t="str">
        <f t="shared" si="31"/>
        <v>제05장 취업규칙&gt;03&gt;1-i&gt;</v>
      </c>
      <c r="Q150" s="192" t="str">
        <f t="shared" si="32"/>
        <v>제05장 취업규칙&gt;제02절 취업규칙의 변경&gt;03</v>
      </c>
      <c r="R150" s="192" t="str">
        <f t="shared" si="33"/>
        <v>1&gt;기출&gt;2015&gt;3</v>
      </c>
      <c r="S150" s="192" t="str">
        <f t="shared" si="34"/>
        <v>1&gt;기출&gt;2015&gt;1-i</v>
      </c>
      <c r="U150" s="3" t="str">
        <f t="shared" si="35"/>
        <v>2015-1-i-1</v>
      </c>
    </row>
    <row r="151" spans="2:21" ht="14.45" customHeight="1" x14ac:dyDescent="0.2">
      <c r="B151" s="188">
        <f t="shared" si="30"/>
        <v>148</v>
      </c>
      <c r="C151" s="189">
        <v>2015</v>
      </c>
      <c r="D151" s="190" t="s">
        <v>456</v>
      </c>
      <c r="E151" s="190" t="s">
        <v>419</v>
      </c>
      <c r="F151" s="190" t="s">
        <v>27</v>
      </c>
      <c r="G151" s="191" t="s">
        <v>427</v>
      </c>
      <c r="H151" s="190" t="s">
        <v>417</v>
      </c>
      <c r="I151" s="352" t="s">
        <v>457</v>
      </c>
      <c r="J151" s="190" t="s">
        <v>415</v>
      </c>
      <c r="K151" s="191" t="str">
        <f>VLOOKUP(U151,통합목록!$Q$4:$T$310,4,0)</f>
        <v>노동조합 동의 없이 개별 근로자의 동의로 변경한 인사규정을 근거로 한 휴직 명령 유지의 정당성</v>
      </c>
      <c r="L151" s="192" t="str">
        <f>VLOOKUP(U151,통합목록!$Q$4:$T$310,2,0)</f>
        <v>열기2-01.노동법\02.문제\[기출][1][2015-1-ii]노동조합 동의 없이 개별 근로자의 동의로 변경한 인사규정을 근거로 한 휴직 명령 유지의 정당성.txt</v>
      </c>
      <c r="M151" s="192" t="s">
        <v>1232</v>
      </c>
      <c r="N151" s="192" t="str">
        <f>VLOOKUP(U151,통합목록!$Q$4:$S$310,3,0)</f>
        <v>B</v>
      </c>
      <c r="O151" s="193"/>
      <c r="P151" s="192" t="str">
        <f t="shared" si="31"/>
        <v>제06장 인사처분&gt;02&gt;1-ii&gt;</v>
      </c>
      <c r="Q151" s="192" t="str">
        <f t="shared" si="32"/>
        <v>제06장 인사처분&gt;제04절 휴직&gt;01</v>
      </c>
      <c r="R151" s="192" t="str">
        <f t="shared" si="33"/>
        <v>1&gt;기출&gt;2015&gt;2</v>
      </c>
      <c r="S151" s="192" t="str">
        <f t="shared" si="34"/>
        <v>1&gt;기출&gt;2015&gt;1-ii</v>
      </c>
      <c r="U151" s="3" t="str">
        <f t="shared" si="35"/>
        <v>2015-1-ii-1</v>
      </c>
    </row>
    <row r="152" spans="2:21" ht="14.45" customHeight="1" x14ac:dyDescent="0.2">
      <c r="B152" s="188">
        <f t="shared" si="30"/>
        <v>149</v>
      </c>
      <c r="C152" s="189">
        <v>2015</v>
      </c>
      <c r="D152" s="190" t="s">
        <v>27</v>
      </c>
      <c r="E152" s="190" t="s">
        <v>419</v>
      </c>
      <c r="F152" s="190" t="s">
        <v>419</v>
      </c>
      <c r="G152" s="191" t="s">
        <v>423</v>
      </c>
      <c r="H152" s="190" t="s">
        <v>417</v>
      </c>
      <c r="I152" s="352" t="s">
        <v>458</v>
      </c>
      <c r="J152" s="190" t="s">
        <v>415</v>
      </c>
      <c r="K152" s="191" t="str">
        <f>VLOOKUP(U152,통합목록!$Q$4:$T$310,4,0)</f>
        <v>회사분할에 따른 근로관계 승계 시 개별 근로자의 거부권 행사 가능 여부</v>
      </c>
      <c r="L152" s="192" t="str">
        <f>VLOOKUP(U152,통합목록!$Q$4:$T$310,2,0)</f>
        <v>열기2-01.노동법\02.문제\[기출][1][2015-2]회사분할에 따른 근로관계 승계 시 개별 근로자의 거부권 행사 가능 여부.txt</v>
      </c>
      <c r="M152" s="192" t="s">
        <v>1232</v>
      </c>
      <c r="N152" s="192" t="str">
        <f>VLOOKUP(U152,통합목록!$Q$4:$S$310,3,0)</f>
        <v>C</v>
      </c>
      <c r="O152" s="193"/>
      <c r="P152" s="192" t="str">
        <f t="shared" si="31"/>
        <v>제07장 근로관계의 이전&gt;02&gt;2&gt;</v>
      </c>
      <c r="Q152" s="192" t="str">
        <f t="shared" si="32"/>
        <v>제07장 근로관계의 이전&gt;제03절 분할&gt;01</v>
      </c>
      <c r="R152" s="192" t="str">
        <f t="shared" si="33"/>
        <v>1&gt;기출&gt;2015&gt;1</v>
      </c>
      <c r="S152" s="192" t="str">
        <f t="shared" si="34"/>
        <v>1&gt;기출&gt;2015&gt;2</v>
      </c>
      <c r="U152" s="3" t="str">
        <f t="shared" si="35"/>
        <v>2015-2-1</v>
      </c>
    </row>
    <row r="153" spans="2:21" ht="14.45" customHeight="1" x14ac:dyDescent="0.2">
      <c r="B153" s="188">
        <f t="shared" si="30"/>
        <v>150</v>
      </c>
      <c r="C153" s="189">
        <v>2014</v>
      </c>
      <c r="D153" s="190" t="s">
        <v>412</v>
      </c>
      <c r="E153" s="190" t="s">
        <v>419</v>
      </c>
      <c r="F153" s="190" t="s">
        <v>413</v>
      </c>
      <c r="G153" s="191" t="s">
        <v>427</v>
      </c>
      <c r="H153" s="190" t="s">
        <v>426</v>
      </c>
      <c r="I153" s="352" t="s">
        <v>1887</v>
      </c>
      <c r="J153" s="190" t="s">
        <v>415</v>
      </c>
      <c r="K153" s="191" t="str">
        <f>VLOOKUP(U153,통합목록!$Q$4:$T$310,4,0)</f>
        <v>근무성적 불량 직원에 대한 직위해제・대기발령 처분의 정당성</v>
      </c>
      <c r="L153" s="192" t="str">
        <f>VLOOKUP(U153,통합목록!$Q$4:$T$310,2,0)</f>
        <v>열기2-01.노동법\02.문제\[기출][1][2014-1-1]근무성적 불량 직원에 대한 직위해제・대기발령 처분의 정당성.txt</v>
      </c>
      <c r="M153" s="192" t="s">
        <v>1232</v>
      </c>
      <c r="N153" s="192" t="str">
        <f>VLOOKUP(U153,통합목록!$Q$4:$S$310,3,0)</f>
        <v>B</v>
      </c>
      <c r="O153" s="193"/>
      <c r="P153" s="192" t="str">
        <f t="shared" si="31"/>
        <v>제06장 인사처분&gt;03&gt;1-1&gt;</v>
      </c>
      <c r="Q153" s="192" t="str">
        <f t="shared" si="32"/>
        <v>제06장 인사처분&gt;제06절 직위해제(대기발령)&gt;01</v>
      </c>
      <c r="R153" s="192" t="str">
        <f t="shared" si="33"/>
        <v>1&gt;기출&gt;2014&gt;3</v>
      </c>
      <c r="S153" s="192" t="str">
        <f t="shared" si="34"/>
        <v>1&gt;기출&gt;2014&gt;1-1</v>
      </c>
      <c r="U153" s="3" t="str">
        <f t="shared" si="35"/>
        <v>2014-1-1-1</v>
      </c>
    </row>
    <row r="154" spans="2:21" ht="14.45" customHeight="1" x14ac:dyDescent="0.2">
      <c r="B154" s="188">
        <f t="shared" si="30"/>
        <v>151</v>
      </c>
      <c r="C154" s="189">
        <v>2014</v>
      </c>
      <c r="D154" s="190" t="s">
        <v>416</v>
      </c>
      <c r="E154" s="190" t="s">
        <v>419</v>
      </c>
      <c r="F154" s="190" t="s">
        <v>27</v>
      </c>
      <c r="G154" s="191" t="s">
        <v>414</v>
      </c>
      <c r="H154" s="190" t="s">
        <v>469</v>
      </c>
      <c r="I154" s="352" t="s">
        <v>418</v>
      </c>
      <c r="J154" s="190" t="s">
        <v>450</v>
      </c>
      <c r="K154" s="191" t="str">
        <f>VLOOKUP(U154,통합목록!$Q$4:$T$310,4,0)</f>
        <v>직위해제 및 대기발령 이후 재발령 없이 당연퇴직된 처분의 정당성</v>
      </c>
      <c r="L154" s="192" t="str">
        <f>VLOOKUP(U154,통합목록!$Q$4:$T$310,2,0)</f>
        <v>열기2-01.노동법\02.문제\[기출][1][2014-1-2]직위해제 및 대기발령 이후 재발령 없이 당연퇴직된 처분의 정당성.txt</v>
      </c>
      <c r="M154" s="192" t="s">
        <v>1232</v>
      </c>
      <c r="N154" s="192" t="str">
        <f>VLOOKUP(U154,통합목록!$Q$4:$S$310,3,0)</f>
        <v>B</v>
      </c>
      <c r="O154" s="193"/>
      <c r="P154" s="192" t="str">
        <f t="shared" si="31"/>
        <v>제08장 근로관계의 종료&gt;13&gt;1-2&gt;</v>
      </c>
      <c r="Q154" s="192" t="str">
        <f t="shared" si="32"/>
        <v>제08장 근로관계의 종료&gt;제02절 해고의 실체적 정당성&gt;09</v>
      </c>
      <c r="R154" s="192" t="str">
        <f t="shared" si="33"/>
        <v>1&gt;기출&gt;2014&gt;2</v>
      </c>
      <c r="S154" s="192" t="str">
        <f t="shared" si="34"/>
        <v>1&gt;기출&gt;2014&gt;1-2</v>
      </c>
      <c r="U154" s="3" t="str">
        <f t="shared" si="35"/>
        <v>2014-1-2-1</v>
      </c>
    </row>
    <row r="155" spans="2:21" ht="14.45" customHeight="1" x14ac:dyDescent="0.2">
      <c r="B155" s="188">
        <f t="shared" si="30"/>
        <v>152</v>
      </c>
      <c r="C155" s="189">
        <v>2014</v>
      </c>
      <c r="D155" s="190" t="s">
        <v>27</v>
      </c>
      <c r="E155" s="190" t="s">
        <v>419</v>
      </c>
      <c r="F155" s="190" t="s">
        <v>419</v>
      </c>
      <c r="G155" s="191" t="s">
        <v>443</v>
      </c>
      <c r="H155" s="190" t="s">
        <v>430</v>
      </c>
      <c r="I155" s="352" t="s">
        <v>444</v>
      </c>
      <c r="J155" s="190" t="s">
        <v>417</v>
      </c>
      <c r="K155" s="191" t="str">
        <f>VLOOKUP(U155,통합목록!$Q$4:$T$310,4,0)</f>
        <v>근로자의 임금채권과 사용자의 채권 간 상계 가능성</v>
      </c>
      <c r="L155" s="192" t="str">
        <f>VLOOKUP(U155,통합목록!$Q$4:$T$310,2,0)</f>
        <v>열기2-01.노동법\02.문제\[기출][1][2014-2]근로자의 임금채권과 사용자의 채권 간 상계 가능성.txt</v>
      </c>
      <c r="M155" s="192" t="s">
        <v>1232</v>
      </c>
      <c r="N155" s="192" t="str">
        <f>VLOOKUP(U155,통합목록!$Q$4:$S$310,3,0)</f>
        <v>B</v>
      </c>
      <c r="O155" s="193"/>
      <c r="P155" s="192" t="str">
        <f t="shared" si="31"/>
        <v>제03장 임금&gt;04&gt;2&gt;</v>
      </c>
      <c r="Q155" s="192" t="str">
        <f t="shared" si="32"/>
        <v>제03장 임금&gt;제04절 임금지급의 원칙&gt;02</v>
      </c>
      <c r="R155" s="192" t="str">
        <f t="shared" si="33"/>
        <v>1&gt;기출&gt;2014&gt;1</v>
      </c>
      <c r="S155" s="192" t="str">
        <f t="shared" si="34"/>
        <v>1&gt;기출&gt;2014&gt;2</v>
      </c>
      <c r="U155" s="3" t="str">
        <f t="shared" si="35"/>
        <v>2014-2-1</v>
      </c>
    </row>
    <row r="156" spans="2:21" ht="14.45" customHeight="1" x14ac:dyDescent="0.2">
      <c r="B156" s="188">
        <f t="shared" si="30"/>
        <v>153</v>
      </c>
      <c r="C156" s="189">
        <v>2013</v>
      </c>
      <c r="D156" s="190" t="s">
        <v>412</v>
      </c>
      <c r="E156" s="190" t="s">
        <v>419</v>
      </c>
      <c r="F156" s="190" t="s">
        <v>413</v>
      </c>
      <c r="G156" s="191" t="s">
        <v>434</v>
      </c>
      <c r="H156" s="190" t="s">
        <v>430</v>
      </c>
      <c r="I156" s="352" t="s">
        <v>455</v>
      </c>
      <c r="J156" s="190" t="s">
        <v>430</v>
      </c>
      <c r="K156" s="191" t="str">
        <f>VLOOKUP(U156,통합목록!$Q$4:$T$310,4,0)</f>
        <v>노사협의회 의결을 거친 인사규정(취업규칙) 변경의 효력</v>
      </c>
      <c r="L156" s="192" t="str">
        <f>VLOOKUP(U156,통합목록!$Q$4:$T$310,2,0)</f>
        <v>열기2-01.노동법\02.문제\[기출][1][2013-1-1]노사협의회 의결을 거친 인사규정(취업규칙) 변경의 효력.txt</v>
      </c>
      <c r="M156" s="192" t="s">
        <v>1232</v>
      </c>
      <c r="N156" s="192" t="str">
        <f>VLOOKUP(U156,통합목록!$Q$4:$S$310,3,0)</f>
        <v>B</v>
      </c>
      <c r="O156" s="193"/>
      <c r="P156" s="192" t="str">
        <f t="shared" si="31"/>
        <v>제05장 취업규칙&gt;04&gt;1-1&gt;</v>
      </c>
      <c r="Q156" s="192" t="str">
        <f t="shared" si="32"/>
        <v>제05장 취업규칙&gt;제02절 취업규칙의 변경&gt;04</v>
      </c>
      <c r="R156" s="192" t="str">
        <f t="shared" si="33"/>
        <v>1&gt;기출&gt;2013&gt;3</v>
      </c>
      <c r="S156" s="192" t="str">
        <f t="shared" si="34"/>
        <v>1&gt;기출&gt;2013&gt;1-1</v>
      </c>
      <c r="U156" s="3" t="str">
        <f t="shared" si="35"/>
        <v>2013-1-1-1</v>
      </c>
    </row>
    <row r="157" spans="2:21" ht="14.45" customHeight="1" x14ac:dyDescent="0.2">
      <c r="B157" s="188">
        <f t="shared" si="30"/>
        <v>154</v>
      </c>
      <c r="C157" s="189">
        <v>2013</v>
      </c>
      <c r="D157" s="190" t="s">
        <v>416</v>
      </c>
      <c r="E157" s="190" t="s">
        <v>419</v>
      </c>
      <c r="F157" s="190" t="s">
        <v>27</v>
      </c>
      <c r="G157" s="191" t="s">
        <v>434</v>
      </c>
      <c r="H157" s="190" t="s">
        <v>431</v>
      </c>
      <c r="I157" s="352" t="s">
        <v>455</v>
      </c>
      <c r="J157" s="190" t="s">
        <v>431</v>
      </c>
      <c r="K157" s="191" t="str">
        <f>VLOOKUP(U157,통합목록!$Q$4:$T$310,4,0)</f>
        <v>노사협의회 의결을 거친 인사규정(취업규칙)을 근거로 한 퇴직 통보의 효력</v>
      </c>
      <c r="L157" s="192" t="str">
        <f>VLOOKUP(U157,통합목록!$Q$4:$T$310,2,0)</f>
        <v>열기2-01.노동법\02.문제\[기출][1][2013-1-2]노사협의회 의결을 거친 인사규정(취업규칙)을 근거로 한 퇴직 통보의 효력.txt</v>
      </c>
      <c r="M157" s="192" t="s">
        <v>1232</v>
      </c>
      <c r="N157" s="192" t="str">
        <f>VLOOKUP(U157,통합목록!$Q$4:$S$310,3,0)</f>
        <v>B</v>
      </c>
      <c r="O157" s="193"/>
      <c r="P157" s="192" t="str">
        <f t="shared" si="31"/>
        <v>제05장 취업규칙&gt;05&gt;1-2&gt;</v>
      </c>
      <c r="Q157" s="192" t="str">
        <f t="shared" si="32"/>
        <v>제05장 취업규칙&gt;제02절 취업규칙의 변경&gt;05</v>
      </c>
      <c r="R157" s="192" t="str">
        <f t="shared" si="33"/>
        <v>1&gt;기출&gt;2013&gt;2</v>
      </c>
      <c r="S157" s="192" t="str">
        <f t="shared" si="34"/>
        <v>1&gt;기출&gt;2013&gt;1-2</v>
      </c>
      <c r="U157" s="3" t="str">
        <f t="shared" si="35"/>
        <v>2013-1-2-1</v>
      </c>
    </row>
    <row r="158" spans="2:21" ht="14.45" customHeight="1" x14ac:dyDescent="0.2">
      <c r="B158" s="188">
        <f t="shared" si="30"/>
        <v>155</v>
      </c>
      <c r="C158" s="189">
        <v>2013</v>
      </c>
      <c r="D158" s="190" t="s">
        <v>27</v>
      </c>
      <c r="E158" s="190" t="s">
        <v>419</v>
      </c>
      <c r="F158" s="190" t="s">
        <v>419</v>
      </c>
      <c r="G158" s="191" t="s">
        <v>423</v>
      </c>
      <c r="H158" s="190" t="s">
        <v>426</v>
      </c>
      <c r="I158" s="352" t="s">
        <v>424</v>
      </c>
      <c r="J158" s="190" t="s">
        <v>417</v>
      </c>
      <c r="K158" s="191" t="str">
        <f>VLOOKUP(U158,통합목록!$Q$4:$T$310,4,0)</f>
        <v>영업양도 상황에서 근로관계 승계 거부 시 회사와 근로자의 법률 관계</v>
      </c>
      <c r="L158" s="192" t="str">
        <f>VLOOKUP(U158,통합목록!$Q$4:$T$310,2,0)</f>
        <v>열기2-01.노동법\02.문제\[기출][1][2013-2]영업양도 상황에서 근로관계 승계 거부 시 회사와 근로자의 법률 관계.txt</v>
      </c>
      <c r="M158" s="192" t="s">
        <v>1232</v>
      </c>
      <c r="N158" s="192" t="str">
        <f>VLOOKUP(U158,통합목록!$Q$4:$S$310,3,0)</f>
        <v>C</v>
      </c>
      <c r="O158" s="193"/>
      <c r="P158" s="192" t="str">
        <f t="shared" si="31"/>
        <v>제07장 근로관계의 이전&gt;03&gt;2&gt;</v>
      </c>
      <c r="Q158" s="192" t="str">
        <f t="shared" si="32"/>
        <v>제07장 근로관계의 이전&gt;제01절 영업양도&gt;02</v>
      </c>
      <c r="R158" s="192" t="str">
        <f t="shared" si="33"/>
        <v>1&gt;기출&gt;2013&gt;1</v>
      </c>
      <c r="S158" s="192" t="str">
        <f t="shared" si="34"/>
        <v>1&gt;기출&gt;2013&gt;2</v>
      </c>
      <c r="U158" s="3" t="str">
        <f t="shared" si="35"/>
        <v>2013-2-1</v>
      </c>
    </row>
    <row r="159" spans="2:21" ht="14.45" customHeight="1" x14ac:dyDescent="0.2">
      <c r="B159" s="188">
        <f t="shared" si="30"/>
        <v>156</v>
      </c>
      <c r="C159" s="189">
        <v>2012</v>
      </c>
      <c r="D159" s="190" t="s">
        <v>412</v>
      </c>
      <c r="E159" s="190" t="s">
        <v>419</v>
      </c>
      <c r="F159" s="190" t="s">
        <v>413</v>
      </c>
      <c r="G159" s="191" t="s">
        <v>443</v>
      </c>
      <c r="H159" s="190" t="s">
        <v>431</v>
      </c>
      <c r="I159" s="352" t="s">
        <v>433</v>
      </c>
      <c r="J159" s="190" t="s">
        <v>426</v>
      </c>
      <c r="K159" s="191" t="str">
        <f>VLOOKUP(U159,통합목록!$Q$4:$T$310,4,0)</f>
        <v>통상임금 범위를 규정한 취업규칙 조항의 효력</v>
      </c>
      <c r="L159" s="192" t="str">
        <f>VLOOKUP(U159,통합목록!$Q$4:$T$310,2,0)</f>
        <v>열기2-01.노동법\02.문제\[기출][1][2012-1-1]통상임금 범위를 규정한 취업규칙 조항의 효력.txt</v>
      </c>
      <c r="M159" s="192" t="s">
        <v>1232</v>
      </c>
      <c r="N159" s="192" t="str">
        <f>VLOOKUP(U159,통합목록!$Q$4:$S$310,3,0)</f>
        <v>C</v>
      </c>
      <c r="O159" s="193"/>
      <c r="P159" s="192" t="str">
        <f t="shared" si="31"/>
        <v>제03장 임금&gt;05&gt;1-1&gt;</v>
      </c>
      <c r="Q159" s="192" t="str">
        <f t="shared" si="32"/>
        <v>제03장 임금&gt;제03절 통상임금&gt;03</v>
      </c>
      <c r="R159" s="192" t="str">
        <f t="shared" si="33"/>
        <v>1&gt;기출&gt;2012&gt;3</v>
      </c>
      <c r="S159" s="192" t="str">
        <f t="shared" si="34"/>
        <v>1&gt;기출&gt;2012&gt;1-1</v>
      </c>
      <c r="U159" s="3" t="str">
        <f t="shared" si="35"/>
        <v>2012-1-1-1</v>
      </c>
    </row>
    <row r="160" spans="2:21" ht="14.45" customHeight="1" x14ac:dyDescent="0.2">
      <c r="B160" s="188">
        <f t="shared" si="30"/>
        <v>157</v>
      </c>
      <c r="C160" s="189">
        <v>2012</v>
      </c>
      <c r="D160" s="190" t="s">
        <v>416</v>
      </c>
      <c r="E160" s="190" t="s">
        <v>419</v>
      </c>
      <c r="F160" s="190" t="s">
        <v>27</v>
      </c>
      <c r="G160" s="191" t="s">
        <v>1895</v>
      </c>
      <c r="H160" s="190" t="s">
        <v>472</v>
      </c>
      <c r="I160" s="352" t="s">
        <v>1896</v>
      </c>
      <c r="J160" s="190" t="s">
        <v>426</v>
      </c>
      <c r="K160" s="191" t="str">
        <f>VLOOKUP(U160,통합목록!$Q$4:$T$310,4,0)</f>
        <v>부당해고기간 중 지급받지 못한 개근 표창의 청구 가능성</v>
      </c>
      <c r="L160" s="192" t="str">
        <f>VLOOKUP(U160,통합목록!$Q$4:$T$310,2,0)</f>
        <v>열기2-01.노동법\02.문제\[기출][1][2012-1-2]부당해고기간 중 지급받지 못한 개근 표창의 청구 가능성.txt</v>
      </c>
      <c r="M160" s="192" t="s">
        <v>1232</v>
      </c>
      <c r="N160" s="192" t="str">
        <f>VLOOKUP(U160,통합목록!$Q$4:$S$310,3,0)</f>
        <v>C</v>
      </c>
      <c r="O160" s="193" t="s">
        <v>1717</v>
      </c>
      <c r="P160" s="192" t="str">
        <f t="shared" si="31"/>
        <v>제08장 근로관계의 종료&gt;14&gt;1-2&gt;보충 포함</v>
      </c>
      <c r="Q160" s="192" t="str">
        <f t="shared" si="32"/>
        <v>제08장 근로관계의 종료&gt;제04절 부당해고의 구제&gt;03</v>
      </c>
      <c r="R160" s="192" t="str">
        <f t="shared" si="33"/>
        <v>1&gt;기출&gt;2012&gt;2</v>
      </c>
      <c r="S160" s="192" t="str">
        <f t="shared" si="34"/>
        <v>1&gt;기출&gt;2012&gt;1-2</v>
      </c>
      <c r="U160" s="3" t="str">
        <f t="shared" si="35"/>
        <v>2012-1-2-1</v>
      </c>
    </row>
    <row r="161" spans="2:21" ht="14.45" customHeight="1" x14ac:dyDescent="0.2">
      <c r="B161" s="188">
        <f t="shared" si="30"/>
        <v>158</v>
      </c>
      <c r="C161" s="189">
        <v>2012</v>
      </c>
      <c r="D161" s="190" t="s">
        <v>27</v>
      </c>
      <c r="E161" s="190" t="s">
        <v>419</v>
      </c>
      <c r="F161" s="190" t="s">
        <v>419</v>
      </c>
      <c r="G161" s="191" t="s">
        <v>441</v>
      </c>
      <c r="H161" s="190" t="s">
        <v>426</v>
      </c>
      <c r="I161" s="352" t="s">
        <v>461</v>
      </c>
      <c r="J161" s="190" t="s">
        <v>415</v>
      </c>
      <c r="K161" s="191" t="str">
        <f>VLOOKUP(U161,통합목록!$Q$4:$T$310,4,0)</f>
        <v>중간착취의 배제 원칙의 의의, 요건, 중요성</v>
      </c>
      <c r="L161" s="192" t="str">
        <f>VLOOKUP(U161,통합목록!$Q$4:$T$310,2,0)</f>
        <v>열기2-01.노동법\02.문제\[기출][1][2012-2]중간착취의 배제 원칙의 의의, 요건, 중요성.txt</v>
      </c>
      <c r="M161" s="192" t="s">
        <v>1232</v>
      </c>
      <c r="N161" s="192" t="str">
        <f>VLOOKUP(U161,통합목록!$Q$4:$S$310,3,0)</f>
        <v>B</v>
      </c>
      <c r="O161" s="193"/>
      <c r="P161" s="192" t="str">
        <f t="shared" si="31"/>
        <v>제02장 근로관계의 성립&gt;03&gt;2&gt;</v>
      </c>
      <c r="Q161" s="192" t="str">
        <f t="shared" si="32"/>
        <v>제02장 근로관계의 성립&gt;제01절 근로기준법의 기본원칙&gt;01</v>
      </c>
      <c r="R161" s="192" t="str">
        <f t="shared" si="33"/>
        <v>1&gt;기출&gt;2012&gt;1</v>
      </c>
      <c r="S161" s="192" t="str">
        <f t="shared" si="34"/>
        <v>1&gt;기출&gt;2012&gt;2</v>
      </c>
      <c r="U161" s="3" t="str">
        <f t="shared" si="35"/>
        <v>2012-2-1</v>
      </c>
    </row>
    <row r="162" spans="2:21" ht="14.45" customHeight="1" x14ac:dyDescent="0.2">
      <c r="B162" s="188">
        <f t="shared" si="30"/>
        <v>159</v>
      </c>
      <c r="C162" s="189">
        <v>2011</v>
      </c>
      <c r="D162" s="190" t="s">
        <v>419</v>
      </c>
      <c r="E162" s="190" t="s">
        <v>419</v>
      </c>
      <c r="F162" s="190" t="s">
        <v>462</v>
      </c>
      <c r="G162" s="191" t="s">
        <v>448</v>
      </c>
      <c r="H162" s="190" t="s">
        <v>417</v>
      </c>
      <c r="I162" s="352" t="s">
        <v>464</v>
      </c>
      <c r="J162" s="190" t="s">
        <v>415</v>
      </c>
      <c r="K162" s="191" t="str">
        <f>VLOOKUP(U162,통합목록!$Q$4:$T$310,4,0)</f>
        <v>포괄임금제의 의의, 유효요건, 유효성 판단 시 고려 사항</v>
      </c>
      <c r="L162" s="192" t="str">
        <f>VLOOKUP(U162,통합목록!$Q$4:$T$310,2,0)</f>
        <v>열기2-01.노동법\02.문제\[기출][1][2011-1]포괄임금제의 의의, 유효요건, 유효성 판단 시 고려 사항.txt</v>
      </c>
      <c r="M162" s="192" t="s">
        <v>1232</v>
      </c>
      <c r="N162" s="192" t="str">
        <f>VLOOKUP(U162,통합목록!$Q$4:$S$310,3,0)</f>
        <v>C</v>
      </c>
      <c r="O162" s="193"/>
      <c r="P162" s="192" t="str">
        <f t="shared" si="31"/>
        <v>제04장 근로시간&gt;02&gt;1&gt;</v>
      </c>
      <c r="Q162" s="192" t="str">
        <f t="shared" si="32"/>
        <v>제04장 근로시간&gt;제03절 시간외근로&gt;01</v>
      </c>
      <c r="R162" s="192" t="str">
        <f t="shared" si="33"/>
        <v>1&gt;기출&gt;2011&gt;4</v>
      </c>
      <c r="S162" s="192" t="str">
        <f t="shared" si="34"/>
        <v>1&gt;기출&gt;2011&gt;1</v>
      </c>
      <c r="U162" s="3" t="str">
        <f t="shared" si="35"/>
        <v>2011-1-1</v>
      </c>
    </row>
    <row r="163" spans="2:21" ht="14.45" customHeight="1" x14ac:dyDescent="0.2">
      <c r="B163" s="188">
        <f t="shared" si="30"/>
        <v>160</v>
      </c>
      <c r="C163" s="189">
        <v>2011</v>
      </c>
      <c r="D163" s="190" t="s">
        <v>28</v>
      </c>
      <c r="E163" s="190" t="s">
        <v>419</v>
      </c>
      <c r="F163" s="190" t="s">
        <v>446</v>
      </c>
      <c r="G163" s="191" t="s">
        <v>414</v>
      </c>
      <c r="H163" s="190" t="s">
        <v>504</v>
      </c>
      <c r="I163" s="352" t="s">
        <v>432</v>
      </c>
      <c r="J163" s="190" t="s">
        <v>426</v>
      </c>
      <c r="K163" s="191" t="str">
        <f>VLOOKUP(U163,통합목록!$Q$4:$T$310,4,0)</f>
        <v>기간제 근로자와 회사가 주장할 수 있는 해고 관련 노동법상 쟁점(해고의 절차 및 구제신청의 이익)</v>
      </c>
      <c r="L163" s="192" t="str">
        <f>VLOOKUP(U163,통합목록!$Q$4:$T$310,2,0)</f>
        <v>열기2-01.노동법\02.문제\[기출][1][2011-2]기간제 근로자와 회사가 주장할 수 있는 해고 관련 노동법상 쟁점(해고의 절차 및 구제신청의 이익).txt</v>
      </c>
      <c r="M163" s="192" t="s">
        <v>1232</v>
      </c>
      <c r="N163" s="192" t="str">
        <f>VLOOKUP(U163,통합목록!$Q$4:$S$310,3,0)</f>
        <v>A</v>
      </c>
      <c r="O163" s="193"/>
      <c r="P163" s="192" t="str">
        <f t="shared" si="31"/>
        <v>제08장 근로관계의 종료&gt;15&gt;2&gt;</v>
      </c>
      <c r="Q163" s="192" t="str">
        <f t="shared" si="32"/>
        <v>제08장 근로관계의 종료&gt;제03절 해고의 절차적 정당성&gt;03</v>
      </c>
      <c r="R163" s="192" t="str">
        <f t="shared" si="33"/>
        <v>1&gt;기출&gt;2011&gt;3</v>
      </c>
      <c r="S163" s="192" t="str">
        <f t="shared" si="34"/>
        <v>1&gt;기출&gt;2011&gt;2</v>
      </c>
      <c r="U163" s="3" t="str">
        <f t="shared" si="35"/>
        <v>2011-2-1</v>
      </c>
    </row>
    <row r="164" spans="2:21" ht="14.45" customHeight="1" x14ac:dyDescent="0.2">
      <c r="B164" s="188">
        <f t="shared" si="30"/>
        <v>161</v>
      </c>
      <c r="C164" s="189">
        <v>2011</v>
      </c>
      <c r="D164" s="190" t="s">
        <v>28</v>
      </c>
      <c r="E164" s="190" t="s">
        <v>419</v>
      </c>
      <c r="F164" s="190" t="s">
        <v>28</v>
      </c>
      <c r="G164" s="191" t="s">
        <v>1828</v>
      </c>
      <c r="H164" s="190" t="s">
        <v>440</v>
      </c>
      <c r="I164" s="352" t="s">
        <v>1831</v>
      </c>
      <c r="J164" s="190" t="s">
        <v>426</v>
      </c>
      <c r="K164" s="191" t="str">
        <f>VLOOKUP(U164,통합목록!$Q$4:$T$310,4,0)</f>
        <v>기간제 근로자와 회사가 주장할 수 있는 해고 관련 노동법상 쟁점(해고의 절차 및 구제신청의 이익)</v>
      </c>
      <c r="L164" s="192" t="str">
        <f>VLOOKUP(U164,통합목록!$Q$4:$T$310,2,0)</f>
        <v>열기2-01.노동법\02.문제\[기출][1][2011-2]기간제 근로자와 회사가 주장할 수 있는 해고 관련 노동법상 쟁점(해고의 절차 및 구제신청의 이익).txt</v>
      </c>
      <c r="M164" s="192" t="s">
        <v>1232</v>
      </c>
      <c r="N164" s="192" t="str">
        <f>VLOOKUP(U164,통합목록!$Q$4:$S$310,3,0)</f>
        <v>A</v>
      </c>
      <c r="O164" s="193"/>
      <c r="P164" s="192" t="str">
        <f t="shared" si="31"/>
        <v>제09장 비정규근로자&gt;07&gt;2&gt;</v>
      </c>
      <c r="Q164" s="192" t="str">
        <f t="shared" si="32"/>
        <v>제09장 비정규근로자&gt;제01절 기간제근로자&gt;03</v>
      </c>
      <c r="R164" s="192" t="str">
        <f t="shared" si="33"/>
        <v>1&gt;기출&gt;2011&gt;2</v>
      </c>
      <c r="S164" s="192" t="str">
        <f t="shared" si="34"/>
        <v>1&gt;기출&gt;2011&gt;2</v>
      </c>
      <c r="U164" s="3" t="str">
        <f t="shared" si="35"/>
        <v>2011-2-1</v>
      </c>
    </row>
    <row r="165" spans="2:21" ht="14.45" customHeight="1" x14ac:dyDescent="0.2">
      <c r="B165" s="188">
        <f t="shared" si="30"/>
        <v>162</v>
      </c>
      <c r="C165" s="189">
        <v>2011</v>
      </c>
      <c r="D165" s="190" t="s">
        <v>28</v>
      </c>
      <c r="E165" s="190" t="s">
        <v>31</v>
      </c>
      <c r="F165" s="190" t="s">
        <v>31</v>
      </c>
      <c r="G165" s="191" t="s">
        <v>1818</v>
      </c>
      <c r="H165" s="190" t="s">
        <v>1395</v>
      </c>
      <c r="I165" s="352" t="s">
        <v>1832</v>
      </c>
      <c r="J165" s="190" t="s">
        <v>415</v>
      </c>
      <c r="K165" s="191" t="str">
        <f>VLOOKUP(U165,통합목록!$Q$4:$T$310,4,0)</f>
        <v>기간제 근로자와 회사가 주장할 수 있는 해고 관련 노동법상 쟁점(해고의 절차 및 구제신청의 이익)</v>
      </c>
      <c r="L165" s="192" t="str">
        <f>VLOOKUP(U165,통합목록!$Q$4:$T$310,2,0)</f>
        <v>열기2-01.노동법\02.문제\[기출][1][2011-2]기간제 근로자와 회사가 주장할 수 있는 해고 관련 노동법상 쟁점(해고의 절차 및 구제신청의 이익).txt</v>
      </c>
      <c r="M165" s="192" t="s">
        <v>1232</v>
      </c>
      <c r="N165" s="192" t="str">
        <f>VLOOKUP(U165,통합목록!$Q$4:$S$310,3,0)</f>
        <v>A</v>
      </c>
      <c r="O165" s="193" t="s">
        <v>1551</v>
      </c>
      <c r="P165" s="192" t="str">
        <f t="shared" si="31"/>
        <v>제15장 부당노동행위&gt;12&gt;2&gt;보충(Ⅳ목차) 참조</v>
      </c>
      <c r="Q165" s="192" t="str">
        <f t="shared" si="32"/>
        <v>제15장 부당노동행위&gt;제06절 부당노동행위에 대한 구제&gt;01</v>
      </c>
      <c r="R165" s="192" t="str">
        <f t="shared" si="33"/>
        <v>1&gt;기출&gt;2011&gt;1</v>
      </c>
      <c r="S165" s="192" t="str">
        <f t="shared" si="34"/>
        <v>1&gt;기출&gt;2011&gt;2</v>
      </c>
      <c r="U165" s="3" t="str">
        <f t="shared" si="35"/>
        <v>2011-2-1</v>
      </c>
    </row>
    <row r="166" spans="2:21" ht="14.45" customHeight="1" x14ac:dyDescent="0.2">
      <c r="B166" s="188">
        <f t="shared" si="30"/>
        <v>163</v>
      </c>
      <c r="C166" s="189">
        <v>2010</v>
      </c>
      <c r="D166" s="190" t="s">
        <v>31</v>
      </c>
      <c r="E166" s="190" t="s">
        <v>419</v>
      </c>
      <c r="F166" s="190" t="s">
        <v>413</v>
      </c>
      <c r="G166" s="191" t="s">
        <v>441</v>
      </c>
      <c r="H166" s="190" t="s">
        <v>430</v>
      </c>
      <c r="I166" s="352" t="s">
        <v>442</v>
      </c>
      <c r="J166" s="190" t="s">
        <v>417</v>
      </c>
      <c r="K166" s="191" t="str">
        <f>VLOOKUP(U166,통합목록!$Q$4:$T$310,4,0)</f>
        <v>해외연수 후 의무근로기간 약정 위반 시 연수비용 반환의 적법성 및 퇴직금과 연수비용의 상계 가능성</v>
      </c>
      <c r="L166" s="192" t="str">
        <f>VLOOKUP(U166,통합목록!$Q$4:$T$310,2,0)</f>
        <v>열기2-01.노동법\02.문제\[기출][1][2010-1]해외연수 후 의무근로기간 약정 위반 시 연수비용 반환의 적법성 및 퇴직금과 연수비용의 상계 가능성.txt</v>
      </c>
      <c r="M166" s="192" t="s">
        <v>1232</v>
      </c>
      <c r="N166" s="192" t="str">
        <f>VLOOKUP(U166,통합목록!$Q$4:$S$310,3,0)</f>
        <v>B</v>
      </c>
      <c r="O166" s="193"/>
      <c r="P166" s="192" t="str">
        <f t="shared" si="31"/>
        <v>제02장 근로관계의 성립&gt;04&gt;1&gt;</v>
      </c>
      <c r="Q166" s="192" t="str">
        <f t="shared" si="32"/>
        <v>제02장 근로관계의 성립&gt;제02절 근로계약의 체결&gt;02</v>
      </c>
      <c r="R166" s="192" t="str">
        <f t="shared" si="33"/>
        <v>1&gt;기출&gt;2010&gt;3</v>
      </c>
      <c r="S166" s="192" t="str">
        <f t="shared" si="34"/>
        <v>1&gt;기출&gt;2010&gt;1</v>
      </c>
      <c r="U166" s="3" t="str">
        <f t="shared" si="35"/>
        <v>2010-1-1</v>
      </c>
    </row>
    <row r="167" spans="2:21" ht="14.45" customHeight="1" x14ac:dyDescent="0.2">
      <c r="B167" s="188">
        <f t="shared" si="30"/>
        <v>164</v>
      </c>
      <c r="C167" s="189">
        <v>2010</v>
      </c>
      <c r="D167" s="190" t="s">
        <v>31</v>
      </c>
      <c r="E167" s="190" t="s">
        <v>419</v>
      </c>
      <c r="F167" s="190" t="s">
        <v>27</v>
      </c>
      <c r="G167" s="191" t="s">
        <v>1833</v>
      </c>
      <c r="H167" s="190" t="s">
        <v>440</v>
      </c>
      <c r="I167" s="352" t="s">
        <v>1834</v>
      </c>
      <c r="J167" s="190" t="s">
        <v>426</v>
      </c>
      <c r="K167" s="191" t="str">
        <f>VLOOKUP(U167,통합목록!$Q$4:$T$310,4,0)</f>
        <v>해외연수 후 의무근로기간 약정 위반 시 연수비용 반환의 적법성 및 퇴직금과 연수비용의 상계 가능성</v>
      </c>
      <c r="L167" s="192" t="str">
        <f>VLOOKUP(U167,통합목록!$Q$4:$T$310,2,0)</f>
        <v>열기2-01.노동법\02.문제\[기출][1][2010-1]해외연수 후 의무근로기간 약정 위반 시 연수비용 반환의 적법성 및 퇴직금과 연수비용의 상계 가능성.txt</v>
      </c>
      <c r="M167" s="192" t="s">
        <v>1232</v>
      </c>
      <c r="N167" s="192" t="str">
        <f>VLOOKUP(U167,통합목록!$Q$4:$S$310,3,0)</f>
        <v>B</v>
      </c>
      <c r="O167" s="193"/>
      <c r="P167" s="192" t="str">
        <f t="shared" si="31"/>
        <v>제03장 임금&gt;07&gt;1&gt;</v>
      </c>
      <c r="Q167" s="192" t="str">
        <f t="shared" si="32"/>
        <v>제03장 임금&gt;제04절 임금지급의 원칙&gt;03</v>
      </c>
      <c r="R167" s="192" t="str">
        <f t="shared" si="33"/>
        <v>1&gt;기출&gt;2010&gt;2</v>
      </c>
      <c r="S167" s="192" t="str">
        <f t="shared" si="34"/>
        <v>1&gt;기출&gt;2010&gt;1</v>
      </c>
      <c r="U167" s="3" t="str">
        <f t="shared" si="35"/>
        <v>2010-1-1</v>
      </c>
    </row>
    <row r="168" spans="2:21" ht="14.45" customHeight="1" x14ac:dyDescent="0.2">
      <c r="B168" s="188">
        <f t="shared" si="30"/>
        <v>165</v>
      </c>
      <c r="C168" s="189">
        <v>2010</v>
      </c>
      <c r="D168" s="190" t="s">
        <v>27</v>
      </c>
      <c r="E168" s="190" t="s">
        <v>419</v>
      </c>
      <c r="F168" s="190" t="s">
        <v>419</v>
      </c>
      <c r="G168" s="191" t="s">
        <v>427</v>
      </c>
      <c r="H168" s="190" t="s">
        <v>430</v>
      </c>
      <c r="I168" s="352" t="s">
        <v>468</v>
      </c>
      <c r="J168" s="190" t="s">
        <v>415</v>
      </c>
      <c r="K168" s="191" t="str">
        <f>VLOOKUP(U168,통합목록!$Q$4:$T$310,4,0)</f>
        <v>전적명령의 법적 성격, 유효요건, 남용 판단 기준</v>
      </c>
      <c r="L168" s="192" t="str">
        <f>VLOOKUP(U168,통합목록!$Q$4:$T$310,2,0)</f>
        <v>열기2-01.노동법\02.문제\[기출][1][2010-2]전적명령의 법적 성격, 유효요건, 남용 판단 기준.txt</v>
      </c>
      <c r="M168" s="192" t="s">
        <v>1232</v>
      </c>
      <c r="N168" s="192" t="str">
        <f>VLOOKUP(U168,통합목록!$Q$4:$S$310,3,0)</f>
        <v>B</v>
      </c>
      <c r="O168" s="193"/>
      <c r="P168" s="192" t="str">
        <f t="shared" si="31"/>
        <v>제06장 인사처분&gt;04&gt;2&gt;</v>
      </c>
      <c r="Q168" s="192" t="str">
        <f t="shared" si="32"/>
        <v>제06장 인사처분&gt;제03절 전적&gt;01</v>
      </c>
      <c r="R168" s="192" t="str">
        <f t="shared" si="33"/>
        <v>1&gt;기출&gt;2010&gt;1</v>
      </c>
      <c r="S168" s="192" t="str">
        <f t="shared" si="34"/>
        <v>1&gt;기출&gt;2010&gt;2</v>
      </c>
      <c r="U168" s="3" t="str">
        <f t="shared" si="35"/>
        <v>2010-2-1</v>
      </c>
    </row>
    <row r="169" spans="2:21" ht="14.45" customHeight="1" x14ac:dyDescent="0.2">
      <c r="B169" s="188">
        <f t="shared" si="30"/>
        <v>166</v>
      </c>
      <c r="C169" s="189">
        <v>2009</v>
      </c>
      <c r="D169" s="190" t="s">
        <v>419</v>
      </c>
      <c r="E169" s="190" t="s">
        <v>419</v>
      </c>
      <c r="F169" s="190" t="s">
        <v>413</v>
      </c>
      <c r="G169" s="191" t="s">
        <v>414</v>
      </c>
      <c r="H169" s="190" t="s">
        <v>506</v>
      </c>
      <c r="I169" s="352" t="s">
        <v>1897</v>
      </c>
      <c r="J169" s="190" t="s">
        <v>430</v>
      </c>
      <c r="K169" s="191" t="str">
        <f>VLOOKUP(U169,통합목록!$Q$4:$T$310,4,0)</f>
        <v>해고의 예고와 해고의 서면 통지에 대한 의의, 내용, 예외, 법적 효과</v>
      </c>
      <c r="L169" s="192" t="str">
        <f>VLOOKUP(U169,통합목록!$Q$4:$T$310,2,0)</f>
        <v>열기2-01.노동법\02.문제\[기출][1][2009-1]해고의 예고와 해고의 서면 통지에 대한 의의, 내용, 예외, 법적 효과.txt</v>
      </c>
      <c r="M169" s="192" t="s">
        <v>1232</v>
      </c>
      <c r="N169" s="192" t="str">
        <f>VLOOKUP(U169,통합목록!$Q$4:$S$310,3,0)</f>
        <v>A</v>
      </c>
      <c r="O169" s="193"/>
      <c r="P169" s="192" t="str">
        <f t="shared" si="31"/>
        <v>제08장 근로관계의 종료&gt;16&gt;1&gt;</v>
      </c>
      <c r="Q169" s="192" t="str">
        <f t="shared" si="32"/>
        <v>제08장 근로관계의 종료&gt;제03절 해고의 절차적 정당성&gt;04</v>
      </c>
      <c r="R169" s="192" t="str">
        <f t="shared" si="33"/>
        <v>1&gt;기출&gt;2009&gt;3</v>
      </c>
      <c r="S169" s="192" t="str">
        <f t="shared" si="34"/>
        <v>1&gt;기출&gt;2009&gt;1</v>
      </c>
      <c r="U169" s="3" t="str">
        <f t="shared" si="35"/>
        <v>2009-1-1</v>
      </c>
    </row>
    <row r="170" spans="2:21" ht="14.45" customHeight="1" x14ac:dyDescent="0.2">
      <c r="B170" s="188">
        <f t="shared" si="30"/>
        <v>167</v>
      </c>
      <c r="C170" s="189">
        <v>2009</v>
      </c>
      <c r="D170" s="190" t="s">
        <v>470</v>
      </c>
      <c r="E170" s="190" t="s">
        <v>419</v>
      </c>
      <c r="F170" s="190" t="s">
        <v>27</v>
      </c>
      <c r="G170" s="191" t="s">
        <v>441</v>
      </c>
      <c r="H170" s="190" t="s">
        <v>431</v>
      </c>
      <c r="I170" s="352" t="s">
        <v>442</v>
      </c>
      <c r="J170" s="190" t="s">
        <v>426</v>
      </c>
      <c r="K170" s="191" t="str">
        <f>VLOOKUP(U170,통합목록!$Q$4:$T$310,4,0)</f>
        <v>근로기준법상 위약예정의 금지의 의의, 내용, 효력 및 법률관계</v>
      </c>
      <c r="L170" s="192" t="str">
        <f>VLOOKUP(U170,통합목록!$Q$4:$T$310,2,0)</f>
        <v>열기2-01.노동법\02.문제\[기출][1][2009-2-1]근로기준법상 위약예정의 금지의 의의, 내용, 효력 및 법률관계.txt</v>
      </c>
      <c r="M170" s="192" t="s">
        <v>1232</v>
      </c>
      <c r="N170" s="192" t="str">
        <f>VLOOKUP(U170,통합목록!$Q$4:$S$310,3,0)</f>
        <v>B</v>
      </c>
      <c r="O170" s="193"/>
      <c r="P170" s="192" t="str">
        <f t="shared" si="31"/>
        <v>제02장 근로관계의 성립&gt;05&gt;2-1&gt;</v>
      </c>
      <c r="Q170" s="192" t="str">
        <f t="shared" si="32"/>
        <v>제02장 근로관계의 성립&gt;제02절 근로계약의 체결&gt;03</v>
      </c>
      <c r="R170" s="192" t="str">
        <f t="shared" si="33"/>
        <v>1&gt;기출&gt;2009&gt;2</v>
      </c>
      <c r="S170" s="192" t="str">
        <f t="shared" si="34"/>
        <v>1&gt;기출&gt;2009&gt;2-1</v>
      </c>
      <c r="U170" s="3" t="str">
        <f t="shared" si="35"/>
        <v>2009-2-1-1</v>
      </c>
    </row>
    <row r="171" spans="2:21" ht="14.45" customHeight="1" x14ac:dyDescent="0.2">
      <c r="B171" s="188">
        <f t="shared" si="30"/>
        <v>168</v>
      </c>
      <c r="C171" s="189">
        <v>2009</v>
      </c>
      <c r="D171" s="190" t="s">
        <v>471</v>
      </c>
      <c r="E171" s="190" t="s">
        <v>419</v>
      </c>
      <c r="F171" s="190" t="s">
        <v>419</v>
      </c>
      <c r="G171" s="191" t="s">
        <v>1380</v>
      </c>
      <c r="H171" s="190" t="s">
        <v>430</v>
      </c>
      <c r="I171" s="352" t="s">
        <v>1494</v>
      </c>
      <c r="J171" s="190" t="s">
        <v>415</v>
      </c>
      <c r="K171" s="191" t="str">
        <f>VLOOKUP(U171,통합목록!$Q$4:$T$310,4,0)</f>
        <v>고용보험법상 육아휴직 급여의 의의, 지급 요건, 지급 기간 및 금액, 특례 및 기타 사항</v>
      </c>
      <c r="L171" s="192" t="str">
        <f>VLOOKUP(U171,통합목록!$Q$4:$T$310,2,0)</f>
        <v>열기2-01.노동법\02.문제\[기출][1][2009-2-2]고용보험법상 육아휴직 급여의 의의, 지급 요건, 지급 기간 및 금액, 특례 및 기타 사항.txt</v>
      </c>
      <c r="M171" s="192" t="s">
        <v>1232</v>
      </c>
      <c r="N171" s="192" t="str">
        <f>VLOOKUP(U171,통합목록!$Q$4:$S$310,3,0)</f>
        <v>B</v>
      </c>
      <c r="O171" s="193"/>
      <c r="P171" s="192" t="str">
        <f t="shared" si="31"/>
        <v>제16장 부속법령&gt;04&gt;2-2&gt;</v>
      </c>
      <c r="Q171" s="192" t="str">
        <f t="shared" si="32"/>
        <v>제16장 부속법령&gt;제06절 고보법&gt;01</v>
      </c>
      <c r="R171" s="192" t="str">
        <f t="shared" si="33"/>
        <v>1&gt;기출&gt;2009&gt;1</v>
      </c>
      <c r="S171" s="192" t="str">
        <f t="shared" si="34"/>
        <v>1&gt;기출&gt;2009&gt;2-2</v>
      </c>
      <c r="U171" s="3" t="str">
        <f t="shared" si="35"/>
        <v>2009-2-2-1</v>
      </c>
    </row>
    <row r="172" spans="2:21" ht="14.45" customHeight="1" x14ac:dyDescent="0.2">
      <c r="B172" s="188">
        <f t="shared" si="30"/>
        <v>169</v>
      </c>
      <c r="C172" s="189">
        <v>2008</v>
      </c>
      <c r="D172" s="190" t="s">
        <v>419</v>
      </c>
      <c r="E172" s="190" t="s">
        <v>419</v>
      </c>
      <c r="F172" s="190" t="s">
        <v>413</v>
      </c>
      <c r="G172" s="191" t="s">
        <v>414</v>
      </c>
      <c r="H172" s="190" t="s">
        <v>1716</v>
      </c>
      <c r="I172" s="352" t="s">
        <v>418</v>
      </c>
      <c r="J172" s="190" t="s">
        <v>453</v>
      </c>
      <c r="K172" s="191" t="str">
        <f>VLOOKUP(U172,통합목록!$Q$4:$T$310,4,0)</f>
        <v>경영상 이유에 의한 해고의 의의, 요건, 절차 및 구제, 재고용 의무</v>
      </c>
      <c r="L172" s="192" t="str">
        <f>VLOOKUP(U172,통합목록!$Q$4:$T$310,2,0)</f>
        <v>열기2-01.노동법\02.문제\[기출][1][2008-1]경영상 이유에 의한 해고의 의의, 요건, 절차 및 구제, 재고용 의무.txt</v>
      </c>
      <c r="M172" s="192" t="s">
        <v>1232</v>
      </c>
      <c r="N172" s="192" t="str">
        <f>VLOOKUP(U172,통합목록!$Q$4:$S$310,3,0)</f>
        <v>B</v>
      </c>
      <c r="O172" s="193"/>
      <c r="P172" s="192" t="str">
        <f t="shared" si="31"/>
        <v>제08장 근로관계의 종료&gt;17&gt;1&gt;</v>
      </c>
      <c r="Q172" s="192" t="str">
        <f t="shared" si="32"/>
        <v>제08장 근로관계의 종료&gt;제02절 해고의 실체적 정당성&gt;10</v>
      </c>
      <c r="R172" s="192" t="str">
        <f t="shared" si="33"/>
        <v>1&gt;기출&gt;2008&gt;3</v>
      </c>
      <c r="S172" s="192" t="str">
        <f t="shared" si="34"/>
        <v>1&gt;기출&gt;2008&gt;1</v>
      </c>
      <c r="U172" s="3" t="str">
        <f t="shared" si="35"/>
        <v>2008-1-1</v>
      </c>
    </row>
    <row r="173" spans="2:21" ht="14.45" customHeight="1" x14ac:dyDescent="0.2">
      <c r="B173" s="188">
        <f t="shared" si="30"/>
        <v>170</v>
      </c>
      <c r="C173" s="189">
        <v>2008</v>
      </c>
      <c r="D173" s="190" t="s">
        <v>470</v>
      </c>
      <c r="E173" s="190" t="s">
        <v>419</v>
      </c>
      <c r="F173" s="190" t="s">
        <v>27</v>
      </c>
      <c r="G173" s="191" t="s">
        <v>1598</v>
      </c>
      <c r="H173" s="190" t="s">
        <v>417</v>
      </c>
      <c r="I173" s="352" t="s">
        <v>439</v>
      </c>
      <c r="J173" s="190" t="s">
        <v>417</v>
      </c>
      <c r="K173" s="191" t="str">
        <f>VLOOKUP(U173,통합목록!$Q$4:$T$310,4,0)</f>
        <v>근로기준법과 민법・산업재해보상보험법 간의 재해보상 관계</v>
      </c>
      <c r="L173" s="192" t="str">
        <f>VLOOKUP(U173,통합목록!$Q$4:$T$310,2,0)</f>
        <v>열기2-01.노동법\02.문제\[기출][1][2008-2-1]근로기준법과 민법・산업재해보상보험법 간의 재해보상 관계.txt</v>
      </c>
      <c r="M173" s="192" t="s">
        <v>1232</v>
      </c>
      <c r="N173" s="192" t="str">
        <f>VLOOKUP(U173,통합목록!$Q$4:$S$310,3,0)</f>
        <v>C</v>
      </c>
      <c r="O173" s="193"/>
      <c r="P173" s="192" t="str">
        <f t="shared" si="31"/>
        <v>제10장 업무상 재해 등&gt;02&gt;2-1&gt;</v>
      </c>
      <c r="Q173" s="192" t="str">
        <f t="shared" si="32"/>
        <v>제10장 업무상 재해 등&gt;제01절 업무상 재해&gt;02</v>
      </c>
      <c r="R173" s="192" t="str">
        <f t="shared" si="33"/>
        <v>1&gt;기출&gt;2008&gt;2</v>
      </c>
      <c r="S173" s="192" t="str">
        <f t="shared" si="34"/>
        <v>1&gt;기출&gt;2008&gt;2-1</v>
      </c>
      <c r="U173" s="3" t="str">
        <f t="shared" si="35"/>
        <v>2008-2-1-1</v>
      </c>
    </row>
    <row r="174" spans="2:21" ht="14.45" customHeight="1" x14ac:dyDescent="0.2">
      <c r="B174" s="188">
        <f t="shared" si="30"/>
        <v>171</v>
      </c>
      <c r="C174" s="189">
        <v>2008</v>
      </c>
      <c r="D174" s="190" t="s">
        <v>471</v>
      </c>
      <c r="E174" s="190" t="s">
        <v>419</v>
      </c>
      <c r="F174" s="190" t="s">
        <v>419</v>
      </c>
      <c r="G174" s="191" t="s">
        <v>448</v>
      </c>
      <c r="H174" s="190" t="s">
        <v>426</v>
      </c>
      <c r="I174" s="352" t="s">
        <v>474</v>
      </c>
      <c r="J174" s="190" t="s">
        <v>415</v>
      </c>
      <c r="K174" s="191" t="str">
        <f>VLOOKUP(U174,통합목록!$Q$4:$T$310,4,0)</f>
        <v>근로기준법상 연장근로 제한의 원칙, 예외, 위반의 효과</v>
      </c>
      <c r="L174" s="192" t="str">
        <f>VLOOKUP(U174,통합목록!$Q$4:$T$310,2,0)</f>
        <v>열기2-01.노동법\02.문제\[기출][1][2008-2-2]근로기준법상 연장근로 제한의 원칙, 예외, 위반의 효과.txt</v>
      </c>
      <c r="M174" s="192" t="s">
        <v>1232</v>
      </c>
      <c r="N174" s="192" t="str">
        <f>VLOOKUP(U174,통합목록!$Q$4:$S$310,3,0)</f>
        <v>C</v>
      </c>
      <c r="O174" s="193"/>
      <c r="P174" s="192" t="str">
        <f t="shared" si="31"/>
        <v>제04장 근로시간&gt;03&gt;2-2&gt;</v>
      </c>
      <c r="Q174" s="192" t="str">
        <f t="shared" si="32"/>
        <v>제04장 근로시간&gt;제02절 근로시간의 보호&gt;01</v>
      </c>
      <c r="R174" s="192" t="str">
        <f t="shared" si="33"/>
        <v>1&gt;기출&gt;2008&gt;1</v>
      </c>
      <c r="S174" s="192" t="str">
        <f t="shared" si="34"/>
        <v>1&gt;기출&gt;2008&gt;2-2</v>
      </c>
      <c r="U174" s="3" t="str">
        <f t="shared" si="35"/>
        <v>2008-2-2-1</v>
      </c>
    </row>
  </sheetData>
  <autoFilter ref="B3:U174" xr:uid="{ABD2A85A-1492-4F35-8DAE-CAFFA8F33E4C}">
    <filterColumn colId="5" showButton="0"/>
    <filterColumn colId="7" showButton="0"/>
    <sortState xmlns:xlrd2="http://schemas.microsoft.com/office/spreadsheetml/2017/richdata2" ref="B82:U174">
      <sortCondition descending="1" ref="R3:R174"/>
    </sortState>
  </autoFilter>
  <mergeCells count="5">
    <mergeCell ref="D2:F2"/>
    <mergeCell ref="P2:S2"/>
    <mergeCell ref="G3:H3"/>
    <mergeCell ref="I3:J3"/>
    <mergeCell ref="G2:J2"/>
  </mergeCells>
  <phoneticPr fontId="3" type="noConversion"/>
  <conditionalFormatting sqref="B4:S174">
    <cfRule type="expression" dxfId="5" priority="1">
      <formula>CELL("ROW")=ROW()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1E4D3-52CC-4F0C-BA6D-816A23F4C891}">
  <sheetPr codeName="Sheet19">
    <pageSetUpPr fitToPage="1"/>
  </sheetPr>
  <dimension ref="B1:Q174"/>
  <sheetViews>
    <sheetView showGridLines="0" zoomScaleNormal="100" workbookViewId="0">
      <pane xSplit="7" ySplit="3" topLeftCell="H4" activePane="bottomRight" state="frozen"/>
      <selection pane="topRight" activeCell="H1" sqref="H1"/>
      <selection pane="bottomLeft" activeCell="A4" sqref="A4"/>
      <selection pane="bottomRight" activeCell="H5" sqref="H5"/>
    </sheetView>
  </sheetViews>
  <sheetFormatPr defaultRowHeight="14.45" customHeight="1" x14ac:dyDescent="0.2"/>
  <cols>
    <col min="1" max="1" width="1.28515625" style="313" customWidth="1"/>
    <col min="2" max="2" width="16.7109375" style="313" customWidth="1"/>
    <col min="3" max="3" width="4.7109375" style="314" customWidth="1"/>
    <col min="4" max="4" width="9.28515625" style="313" customWidth="1"/>
    <col min="5" max="5" width="2.7109375" style="314" customWidth="1"/>
    <col min="6" max="6" width="3.28515625" style="313" customWidth="1"/>
    <col min="7" max="12" width="35.7109375" style="313" customWidth="1"/>
    <col min="13" max="13" width="4.42578125" style="315" customWidth="1"/>
    <col min="14" max="14" width="3.28515625" style="314" customWidth="1"/>
    <col min="15" max="15" width="6.28515625" style="314" customWidth="1"/>
    <col min="16" max="16" width="1.7109375" style="313" customWidth="1"/>
    <col min="17" max="17" width="13.7109375" style="313" customWidth="1"/>
    <col min="18" max="16384" width="9.140625" style="313"/>
  </cols>
  <sheetData>
    <row r="1" spans="2:17" ht="14.45" customHeight="1" thickBot="1" x14ac:dyDescent="0.25"/>
    <row r="2" spans="2:17" ht="14.45" customHeight="1" x14ac:dyDescent="0.2">
      <c r="B2" s="337" t="s">
        <v>3</v>
      </c>
      <c r="C2" s="386" t="s">
        <v>57</v>
      </c>
      <c r="D2" s="387"/>
      <c r="E2" s="387"/>
      <c r="F2" s="387"/>
      <c r="G2" s="387"/>
      <c r="H2" s="387"/>
      <c r="I2" s="387"/>
      <c r="J2" s="387"/>
      <c r="K2" s="387"/>
      <c r="L2" s="388"/>
      <c r="M2" s="312" t="s">
        <v>1228</v>
      </c>
      <c r="N2" s="316" t="s">
        <v>394</v>
      </c>
      <c r="O2" s="316" t="s">
        <v>1614</v>
      </c>
    </row>
    <row r="3" spans="2:17" ht="14.45" customHeight="1" thickBot="1" x14ac:dyDescent="0.25">
      <c r="B3" s="317" t="s">
        <v>0</v>
      </c>
      <c r="C3" s="358" t="s">
        <v>127</v>
      </c>
      <c r="D3" s="359" t="s">
        <v>1735</v>
      </c>
      <c r="E3" s="359"/>
      <c r="F3" s="359"/>
      <c r="G3" s="359" t="s">
        <v>1794</v>
      </c>
      <c r="H3" s="359" t="s">
        <v>1764</v>
      </c>
      <c r="I3" s="359" t="s">
        <v>1798</v>
      </c>
      <c r="J3" s="359" t="s">
        <v>1768</v>
      </c>
      <c r="K3" s="359" t="s">
        <v>1799</v>
      </c>
      <c r="L3" s="360" t="s">
        <v>1816</v>
      </c>
      <c r="M3" s="317"/>
      <c r="N3" s="318"/>
      <c r="O3" s="318"/>
      <c r="Q3" s="313" t="s">
        <v>1755</v>
      </c>
    </row>
    <row r="4" spans="2:17" ht="189" customHeight="1" x14ac:dyDescent="0.2">
      <c r="B4" s="307" t="s">
        <v>1476</v>
      </c>
      <c r="C4" s="305" t="s">
        <v>1647</v>
      </c>
      <c r="D4" s="319" t="s">
        <v>1555</v>
      </c>
      <c r="E4" s="320" t="s">
        <v>31</v>
      </c>
      <c r="F4" s="321" t="s">
        <v>415</v>
      </c>
      <c r="G4" s="348" t="str">
        <f>VLOOKUP(Q4,통합목록!$Q$4:$T$310,4,0)</f>
        <v>단체협약과 취업규칙의 충돌 시 유리한 취업규칙의 우선 적용 여부</v>
      </c>
      <c r="H4" s="344" t="s">
        <v>1766</v>
      </c>
      <c r="I4" s="344" t="s">
        <v>1767</v>
      </c>
      <c r="J4" s="344" t="s">
        <v>1765</v>
      </c>
      <c r="K4" s="344" t="s">
        <v>1759</v>
      </c>
      <c r="L4" s="322"/>
      <c r="M4" s="361" t="str">
        <f>VLOOKUP(Q4,통합목록!$Q$4:$T$310,2,0)</f>
        <v>열기2-01.노동법\02.문제\[모의][1][01.02-1]단체협약과 취업규칙의 충돌 시 유리한 취업규칙의 우선 적용 여부.txt</v>
      </c>
      <c r="N4" s="354" t="str">
        <f>VLOOKUP(Q4,통합목록!$Q$4:$T$310,3,0)</f>
        <v>B</v>
      </c>
      <c r="O4" s="362" t="str">
        <f t="shared" ref="O4:O35" si="0">B4&amp;"-"&amp;F4</f>
        <v>제01장 노동법 총론-01</v>
      </c>
      <c r="Q4" s="313" t="str">
        <f t="shared" ref="Q4:Q35" si="1">D4&amp;"-"&amp;E4</f>
        <v>1.02-1-1</v>
      </c>
    </row>
    <row r="5" spans="2:17" ht="189" customHeight="1" x14ac:dyDescent="0.2">
      <c r="B5" s="308" t="s">
        <v>1476</v>
      </c>
      <c r="C5" s="304" t="s">
        <v>1647</v>
      </c>
      <c r="D5" s="323" t="s">
        <v>1556</v>
      </c>
      <c r="E5" s="324" t="s">
        <v>31</v>
      </c>
      <c r="F5" s="325" t="s">
        <v>417</v>
      </c>
      <c r="G5" s="349" t="str">
        <f>VLOOKUP(Q5,통합목록!$Q$4:$T$310,4,0)</f>
        <v>단체협약과 개별 근로계약 충돌 시 단체협약에 의한 근로조건 저하 가능성</v>
      </c>
      <c r="H5" s="345"/>
      <c r="I5" s="345"/>
      <c r="J5" s="345"/>
      <c r="K5" s="345"/>
      <c r="L5" s="326"/>
      <c r="M5" s="363" t="str">
        <f>VLOOKUP(Q5,통합목록!$Q$4:$T$310,2,0)</f>
        <v>열기2-01.노동법\02.문제\[모의][1][01.02-2]단체협약과 개별 근로계약 충돌 시 단체협약에 의한 근로조건 저하 가능성.txt</v>
      </c>
      <c r="N5" s="355" t="str">
        <f>VLOOKUP(Q5,통합목록!$Q$4:$T$310,3,0)</f>
        <v>B</v>
      </c>
      <c r="O5" s="364" t="str">
        <f t="shared" si="0"/>
        <v>제01장 노동법 총론-02</v>
      </c>
      <c r="Q5" s="313" t="str">
        <f t="shared" si="1"/>
        <v>1.02-2-1</v>
      </c>
    </row>
    <row r="6" spans="2:17" ht="189" customHeight="1" x14ac:dyDescent="0.2">
      <c r="B6" s="308" t="s">
        <v>1476</v>
      </c>
      <c r="C6" s="304" t="s">
        <v>1647</v>
      </c>
      <c r="D6" s="323" t="s">
        <v>1581</v>
      </c>
      <c r="E6" s="324" t="s">
        <v>31</v>
      </c>
      <c r="F6" s="325" t="s">
        <v>490</v>
      </c>
      <c r="G6" s="349" t="str">
        <f>VLOOKUP(Q6,통합목록!$Q$4:$T$310,4,0)</f>
        <v>동일 지배기업 산하 국내법인과 외국법인 한국영업소의 단일 사업장 인정 여부 및 해고 서면통지 적용 여부★</v>
      </c>
      <c r="H6" s="345"/>
      <c r="I6" s="345"/>
      <c r="J6" s="345"/>
      <c r="K6" s="345"/>
      <c r="L6" s="326"/>
      <c r="M6" s="363" t="str">
        <f>VLOOKUP(Q6,통합목록!$Q$4:$T$310,2,0)</f>
        <v>열기2-01.노동법\02.문제\[모의][1][01.03-1]동일 지배기업 산하 국내법인과 외국법인 한국영업소의 단일 사업장 인정 여부 및 해고 서면통지 적용 여부.txt</v>
      </c>
      <c r="N6" s="355" t="str">
        <f>VLOOKUP(Q6,통합목록!$Q$4:$T$310,3,0)</f>
        <v>A</v>
      </c>
      <c r="O6" s="364" t="str">
        <f t="shared" si="0"/>
        <v>제01장 노동법 총론-03</v>
      </c>
      <c r="Q6" s="313" t="str">
        <f t="shared" si="1"/>
        <v>1.03-1-1</v>
      </c>
    </row>
    <row r="7" spans="2:17" ht="189" customHeight="1" x14ac:dyDescent="0.2">
      <c r="B7" s="308" t="s">
        <v>1476</v>
      </c>
      <c r="C7" s="304" t="s">
        <v>1647</v>
      </c>
      <c r="D7" s="323" t="s">
        <v>1557</v>
      </c>
      <c r="E7" s="324" t="s">
        <v>31</v>
      </c>
      <c r="F7" s="325" t="s">
        <v>1736</v>
      </c>
      <c r="G7" s="349" t="str">
        <f>VLOOKUP(Q7,통합목록!$Q$4:$T$310,4,0)</f>
        <v>국제근로관계에서 근로기준법상 상시 5인 이상 사업장 해당 여부 및 부당해고 구제신청의 적법성★</v>
      </c>
      <c r="H7" s="345" t="s">
        <v>1795</v>
      </c>
      <c r="I7" s="345" t="s">
        <v>1796</v>
      </c>
      <c r="J7" s="345" t="s">
        <v>1797</v>
      </c>
      <c r="K7" s="345"/>
      <c r="L7" s="326"/>
      <c r="M7" s="363" t="str">
        <f>VLOOKUP(Q7,통합목록!$Q$4:$T$310,2,0)</f>
        <v>열기2-01.노동법\02.문제\[모의][1][01.03-2]국제근로관계에서 근로기준법상 상시 5인 이상 사업장 해당 여부 및 부당해고 구제신청의 적법성.txt</v>
      </c>
      <c r="N7" s="355" t="str">
        <f>VLOOKUP(Q7,통합목록!$Q$4:$T$310,3,0)</f>
        <v>A</v>
      </c>
      <c r="O7" s="364" t="str">
        <f t="shared" si="0"/>
        <v>제01장 노동법 총론-04</v>
      </c>
      <c r="Q7" s="313" t="str">
        <f t="shared" si="1"/>
        <v>1.03-2-1</v>
      </c>
    </row>
    <row r="8" spans="2:17" ht="189" customHeight="1" x14ac:dyDescent="0.2">
      <c r="B8" s="308" t="s">
        <v>1476</v>
      </c>
      <c r="C8" s="304" t="s">
        <v>1256</v>
      </c>
      <c r="D8" s="327" t="s">
        <v>1154</v>
      </c>
      <c r="E8" s="324" t="s">
        <v>31</v>
      </c>
      <c r="F8" s="325" t="s">
        <v>501</v>
      </c>
      <c r="G8" s="349" t="str">
        <f>VLOOKUP(Q8,통합목록!$Q$4:$T$310,4,0)</f>
        <v>제조업체와 판매용역계약을 체결한 백화점 판매원의 근로기준법상 근로자 해당 여부</v>
      </c>
      <c r="H8" s="345" t="s">
        <v>1800</v>
      </c>
      <c r="I8" s="345" t="s">
        <v>1814</v>
      </c>
      <c r="J8" s="345"/>
      <c r="K8" s="345"/>
      <c r="L8" s="326"/>
      <c r="M8" s="363" t="str">
        <f>VLOOKUP(Q8,통합목록!$Q$4:$T$310,2,0)</f>
        <v>열기2-01.노동법\02.문제\[기출][1][2018-1-1]제조업체와 판매용역계약을 체결한 백화점 판매원의 근로기준법상 근로자 해당 여부.txt</v>
      </c>
      <c r="N8" s="355" t="str">
        <f>VLOOKUP(Q8,통합목록!$Q$4:$T$310,3,0)</f>
        <v>B</v>
      </c>
      <c r="O8" s="364" t="str">
        <f t="shared" si="0"/>
        <v>제01장 노동법 총론-05</v>
      </c>
      <c r="Q8" s="313" t="str">
        <f t="shared" si="1"/>
        <v>2018-1-1-1</v>
      </c>
    </row>
    <row r="9" spans="2:17" ht="189" customHeight="1" x14ac:dyDescent="0.2">
      <c r="B9" s="308" t="s">
        <v>1476</v>
      </c>
      <c r="C9" s="304" t="s">
        <v>1256</v>
      </c>
      <c r="D9" s="327" t="s">
        <v>1155</v>
      </c>
      <c r="E9" s="324" t="s">
        <v>28</v>
      </c>
      <c r="F9" s="325" t="s">
        <v>507</v>
      </c>
      <c r="G9" s="349" t="str">
        <f>VLOOKUP(Q9,통합목록!$Q$4:$T$310,4,0)</f>
        <v>자동차 대리점에 근무하는 판매원의 노동조합법상 근로자성 판단 기준</v>
      </c>
      <c r="H9" s="345"/>
      <c r="I9" s="345"/>
      <c r="J9" s="345"/>
      <c r="K9" s="345"/>
      <c r="L9" s="326"/>
      <c r="M9" s="363" t="str">
        <f>VLOOKUP(Q9,통합목록!$Q$4:$T$310,2,0)</f>
        <v>열기2-01.노동법\02.문제\[기출][2][2024-1-1]자동차 대리점에 근무하는 판매원의 노동조합법상 근로자성 판단 기준.txt</v>
      </c>
      <c r="N9" s="355" t="str">
        <f>VLOOKUP(Q9,통합목록!$Q$4:$T$310,3,0)</f>
        <v>C</v>
      </c>
      <c r="O9" s="364" t="str">
        <f t="shared" si="0"/>
        <v>제01장 노동법 총론-06</v>
      </c>
      <c r="Q9" s="313" t="str">
        <f t="shared" si="1"/>
        <v>2024-1-1-2</v>
      </c>
    </row>
    <row r="10" spans="2:17" ht="189" customHeight="1" x14ac:dyDescent="0.2">
      <c r="B10" s="308" t="s">
        <v>1476</v>
      </c>
      <c r="C10" s="304" t="s">
        <v>1256</v>
      </c>
      <c r="D10" s="327" t="s">
        <v>1156</v>
      </c>
      <c r="E10" s="324" t="s">
        <v>31</v>
      </c>
      <c r="F10" s="325" t="s">
        <v>1737</v>
      </c>
      <c r="G10" s="349" t="str">
        <f>VLOOKUP(Q10,통합목록!$Q$4:$T$310,4,0)</f>
        <v>명목상 외주업체 소속 근로자의 실질적 사업주 판단 기준</v>
      </c>
      <c r="H10" s="345"/>
      <c r="I10" s="345"/>
      <c r="J10" s="345"/>
      <c r="K10" s="345"/>
      <c r="L10" s="326"/>
      <c r="M10" s="363" t="str">
        <f>VLOOKUP(Q10,통합목록!$Q$4:$T$310,2,0)</f>
        <v>열기2-01.노동법\02.문제\[기출][1][2020-1-1]명목상 외주업체 소속 근로자의 실질적 사업주 판단 기준.txt</v>
      </c>
      <c r="N10" s="355" t="str">
        <f>VLOOKUP(Q10,통합목록!$Q$4:$T$310,3,0)</f>
        <v>B</v>
      </c>
      <c r="O10" s="364" t="str">
        <f t="shared" si="0"/>
        <v>제01장 노동법 총론-07</v>
      </c>
      <c r="Q10" s="313" t="str">
        <f t="shared" si="1"/>
        <v>2020-1-1-1</v>
      </c>
    </row>
    <row r="11" spans="2:17" ht="189" customHeight="1" thickBot="1" x14ac:dyDescent="0.25">
      <c r="B11" s="309" t="s">
        <v>1476</v>
      </c>
      <c r="C11" s="328" t="s">
        <v>1256</v>
      </c>
      <c r="D11" s="329" t="s">
        <v>1157</v>
      </c>
      <c r="E11" s="330" t="s">
        <v>28</v>
      </c>
      <c r="F11" s="336" t="s">
        <v>1738</v>
      </c>
      <c r="G11" s="350" t="str">
        <f>VLOOKUP(Q11,통합목록!$Q$4:$T$310,4,0)</f>
        <v>부당노동행위의 주체로서 사용자 개념의 확장</v>
      </c>
      <c r="H11" s="346"/>
      <c r="I11" s="346"/>
      <c r="J11" s="346"/>
      <c r="K11" s="346"/>
      <c r="L11" s="331"/>
      <c r="M11" s="365" t="str">
        <f>VLOOKUP(Q11,통합목록!$Q$4:$T$310,2,0)</f>
        <v>열기2-01.노동법\02.문제\[기출][2][2019-2]부당노동행위의 주체로서 사용자 개념의 확장.txt</v>
      </c>
      <c r="N11" s="356" t="str">
        <f>VLOOKUP(Q11,통합목록!$Q$4:$T$310,3,0)</f>
        <v>A</v>
      </c>
      <c r="O11" s="366" t="str">
        <f t="shared" si="0"/>
        <v>제01장 노동법 총론-08</v>
      </c>
      <c r="Q11" s="313" t="str">
        <f t="shared" si="1"/>
        <v>2019-2-2</v>
      </c>
    </row>
    <row r="12" spans="2:17" ht="189" customHeight="1" x14ac:dyDescent="0.2">
      <c r="B12" s="307" t="s">
        <v>441</v>
      </c>
      <c r="C12" s="332" t="s">
        <v>1256</v>
      </c>
      <c r="D12" s="333" t="s">
        <v>1158</v>
      </c>
      <c r="E12" s="334" t="s">
        <v>31</v>
      </c>
      <c r="F12" s="334" t="s">
        <v>415</v>
      </c>
      <c r="G12" s="351" t="str">
        <f>VLOOKUP(Q12,통합목록!$Q$4:$T$310,4,0)</f>
        <v>중간착취의 배제 원칙의 의의, 요건, 중요성</v>
      </c>
      <c r="H12" s="347"/>
      <c r="I12" s="347"/>
      <c r="J12" s="347"/>
      <c r="K12" s="347"/>
      <c r="L12" s="335"/>
      <c r="M12" s="367" t="str">
        <f>VLOOKUP(Q12,통합목록!$Q$4:$T$310,2,0)</f>
        <v>열기2-01.노동법\02.문제\[기출][1][2012-2]중간착취의 배제 원칙의 의의, 요건, 중요성.txt</v>
      </c>
      <c r="N12" s="357" t="str">
        <f>VLOOKUP(Q12,통합목록!$Q$4:$T$310,3,0)</f>
        <v>B</v>
      </c>
      <c r="O12" s="368" t="str">
        <f t="shared" si="0"/>
        <v>제02장 근로관계의 성립-01</v>
      </c>
      <c r="Q12" s="313" t="str">
        <f t="shared" si="1"/>
        <v>2012-2-1</v>
      </c>
    </row>
    <row r="13" spans="2:17" ht="189" customHeight="1" x14ac:dyDescent="0.2">
      <c r="B13" s="308" t="s">
        <v>441</v>
      </c>
      <c r="C13" s="304" t="s">
        <v>1256</v>
      </c>
      <c r="D13" s="327" t="s">
        <v>59</v>
      </c>
      <c r="E13" s="324" t="s">
        <v>31</v>
      </c>
      <c r="F13" s="324" t="s">
        <v>417</v>
      </c>
      <c r="G13" s="349" t="str">
        <f>VLOOKUP(Q13,통합목록!$Q$4:$T$310,4,0)</f>
        <v>근로기준법상 위약예정의 금지의 의의, 내용, 효력 및 법률관계</v>
      </c>
      <c r="H13" s="345"/>
      <c r="I13" s="345"/>
      <c r="J13" s="345"/>
      <c r="K13" s="345"/>
      <c r="L13" s="326"/>
      <c r="M13" s="363" t="str">
        <f>VLOOKUP(Q13,통합목록!$Q$4:$T$310,2,0)</f>
        <v>열기2-01.노동법\02.문제\[기출][1][2009-2-1]근로기준법상 위약예정의 금지의 의의, 내용, 효력 및 법률관계.txt</v>
      </c>
      <c r="N13" s="355" t="str">
        <f>VLOOKUP(Q13,통합목록!$Q$4:$T$310,3,0)</f>
        <v>B</v>
      </c>
      <c r="O13" s="364" t="str">
        <f t="shared" si="0"/>
        <v>제02장 근로관계의 성립-02</v>
      </c>
      <c r="Q13" s="313" t="str">
        <f t="shared" si="1"/>
        <v>2009-2-1-1</v>
      </c>
    </row>
    <row r="14" spans="2:17" ht="189" customHeight="1" x14ac:dyDescent="0.2">
      <c r="B14" s="308" t="s">
        <v>441</v>
      </c>
      <c r="C14" s="304" t="s">
        <v>1256</v>
      </c>
      <c r="D14" s="327" t="s">
        <v>236</v>
      </c>
      <c r="E14" s="324" t="s">
        <v>31</v>
      </c>
      <c r="F14" s="324" t="s">
        <v>490</v>
      </c>
      <c r="G14" s="349" t="str">
        <f>VLOOKUP(Q14,통합목록!$Q$4:$T$310,4,0)</f>
        <v>해외연수 후 의무근로기간 약정 위반 시 연수비용 반환의 적법성 및 퇴직금과 연수비용의 상계 가능성</v>
      </c>
      <c r="H14" s="345"/>
      <c r="I14" s="345"/>
      <c r="J14" s="345"/>
      <c r="K14" s="345"/>
      <c r="L14" s="326"/>
      <c r="M14" s="363" t="str">
        <f>VLOOKUP(Q14,통합목록!$Q$4:$T$310,2,0)</f>
        <v>열기2-01.노동법\02.문제\[기출][1][2010-1]해외연수 후 의무근로기간 약정 위반 시 연수비용 반환의 적법성 및 퇴직금과 연수비용의 상계 가능성.txt</v>
      </c>
      <c r="N14" s="355" t="str">
        <f>VLOOKUP(Q14,통합목록!$Q$4:$T$310,3,0)</f>
        <v>B</v>
      </c>
      <c r="O14" s="364" t="str">
        <f t="shared" si="0"/>
        <v>제02장 근로관계의 성립-03</v>
      </c>
      <c r="Q14" s="313" t="str">
        <f t="shared" si="1"/>
        <v>2010-1-1</v>
      </c>
    </row>
    <row r="15" spans="2:17" ht="189" customHeight="1" x14ac:dyDescent="0.2">
      <c r="B15" s="308" t="s">
        <v>441</v>
      </c>
      <c r="C15" s="304" t="s">
        <v>1256</v>
      </c>
      <c r="D15" s="327" t="s">
        <v>58</v>
      </c>
      <c r="E15" s="324" t="s">
        <v>31</v>
      </c>
      <c r="F15" s="324" t="s">
        <v>1736</v>
      </c>
      <c r="G15" s="349" t="str">
        <f>VLOOKUP(Q15,통합목록!$Q$4:$T$310,4,0)</f>
        <v>중도 퇴사자 대상 사이닝보너스 반환 청구의 타당성</v>
      </c>
      <c r="H15" s="345"/>
      <c r="I15" s="345"/>
      <c r="J15" s="345"/>
      <c r="K15" s="345"/>
      <c r="L15" s="326"/>
      <c r="M15" s="363" t="str">
        <f>VLOOKUP(Q15,통합목록!$Q$4:$T$310,2,0)</f>
        <v>열기2-01.노동법\02.문제\[기출][1][2019-1-2]중도 퇴사자 대상 사이닝보너스 반환 청구의 타당성.txt</v>
      </c>
      <c r="N15" s="355" t="str">
        <f>VLOOKUP(Q15,통합목록!$Q$4:$T$310,3,0)</f>
        <v>B</v>
      </c>
      <c r="O15" s="364" t="str">
        <f t="shared" si="0"/>
        <v>제02장 근로관계의 성립-04</v>
      </c>
      <c r="Q15" s="313" t="str">
        <f t="shared" si="1"/>
        <v>2019-1-2-1</v>
      </c>
    </row>
    <row r="16" spans="2:17" ht="189" customHeight="1" x14ac:dyDescent="0.2">
      <c r="B16" s="308" t="s">
        <v>441</v>
      </c>
      <c r="C16" s="304" t="s">
        <v>1256</v>
      </c>
      <c r="D16" s="327" t="s">
        <v>1116</v>
      </c>
      <c r="E16" s="324" t="s">
        <v>31</v>
      </c>
      <c r="F16" s="324" t="s">
        <v>501</v>
      </c>
      <c r="G16" s="349" t="str">
        <f>VLOOKUP(Q16,통합목록!$Q$4:$T$310,4,0)</f>
        <v>시용기간 만료 시 본채용 거부의 해고 여부 및 구두 통보의 정당성</v>
      </c>
      <c r="H16" s="345"/>
      <c r="I16" s="345"/>
      <c r="J16" s="345"/>
      <c r="K16" s="345"/>
      <c r="L16" s="326"/>
      <c r="M16" s="363" t="str">
        <f>VLOOKUP(Q16,통합목록!$Q$4:$T$310,2,0)</f>
        <v>열기2-01.노동법\02.문제\[기출][1][2016-2]시용기간 만료 시 본채용 거부의 해고 여부 및 구두 통보의 정당성.txt</v>
      </c>
      <c r="N16" s="355" t="str">
        <f>VLOOKUP(Q16,통합목록!$Q$4:$T$310,3,0)</f>
        <v>A</v>
      </c>
      <c r="O16" s="364" t="str">
        <f t="shared" si="0"/>
        <v>제02장 근로관계의 성립-05</v>
      </c>
      <c r="Q16" s="313" t="str">
        <f t="shared" si="1"/>
        <v>2016-2-1</v>
      </c>
    </row>
    <row r="17" spans="2:17" ht="189" customHeight="1" x14ac:dyDescent="0.2">
      <c r="B17" s="308" t="s">
        <v>441</v>
      </c>
      <c r="C17" s="304" t="s">
        <v>1647</v>
      </c>
      <c r="D17" s="327" t="s">
        <v>1558</v>
      </c>
      <c r="E17" s="324" t="s">
        <v>31</v>
      </c>
      <c r="F17" s="324" t="s">
        <v>507</v>
      </c>
      <c r="G17" s="349" t="str">
        <f>VLOOKUP(Q17,통합목록!$Q$4:$T$310,4,0)</f>
        <v>경력 허위 기재가 근로계약의 효력에 미치는 영향과 회사의 조치에 대한 타당성 여부</v>
      </c>
      <c r="H17" s="345"/>
      <c r="I17" s="345"/>
      <c r="J17" s="345"/>
      <c r="K17" s="345"/>
      <c r="L17" s="326"/>
      <c r="M17" s="363" t="str">
        <f>VLOOKUP(Q17,통합목록!$Q$4:$T$310,2,0)</f>
        <v>열기2-01.노동법\02.문제\[모의][1][02.04-1]경력 허위 기재가 근로계약의 효력에 미치는 영향과 회사의 조치에 대한 타당성 여부.txt</v>
      </c>
      <c r="N17" s="355" t="str">
        <f>VLOOKUP(Q17,통합목록!$Q$4:$T$310,3,0)</f>
        <v>A</v>
      </c>
      <c r="O17" s="364" t="str">
        <f t="shared" si="0"/>
        <v>제02장 근로관계의 성립-06</v>
      </c>
      <c r="Q17" s="313" t="str">
        <f t="shared" si="1"/>
        <v>2.04-1-1</v>
      </c>
    </row>
    <row r="18" spans="2:17" ht="189" customHeight="1" x14ac:dyDescent="0.2">
      <c r="B18" s="308" t="s">
        <v>441</v>
      </c>
      <c r="C18" s="304" t="s">
        <v>1647</v>
      </c>
      <c r="D18" s="327" t="s">
        <v>1559</v>
      </c>
      <c r="E18" s="324" t="s">
        <v>31</v>
      </c>
      <c r="F18" s="324" t="s">
        <v>1737</v>
      </c>
      <c r="G18" s="349" t="str">
        <f>VLOOKUP(Q18,통합목록!$Q$4:$T$310,4,0)</f>
        <v>경업금지약정의 효력, 회사의 전직금지 청구 가능 여부</v>
      </c>
      <c r="H18" s="345"/>
      <c r="I18" s="345"/>
      <c r="J18" s="345"/>
      <c r="K18" s="345"/>
      <c r="L18" s="326"/>
      <c r="M18" s="363" t="str">
        <f>VLOOKUP(Q18,통합목록!$Q$4:$T$310,2,0)</f>
        <v>열기2-01.노동법\02.문제\[모의][1][02.04-2]경업금지약정의 효력, 회사의 전직금지 청구 가능 여부.txt</v>
      </c>
      <c r="N18" s="355" t="str">
        <f>VLOOKUP(Q18,통합목록!$Q$4:$T$310,3,0)</f>
        <v>A</v>
      </c>
      <c r="O18" s="364" t="str">
        <f t="shared" si="0"/>
        <v>제02장 근로관계의 성립-07</v>
      </c>
      <c r="Q18" s="313" t="str">
        <f t="shared" si="1"/>
        <v>2.04-2-1</v>
      </c>
    </row>
    <row r="19" spans="2:17" ht="189" customHeight="1" thickBot="1" x14ac:dyDescent="0.25">
      <c r="B19" s="308" t="s">
        <v>441</v>
      </c>
      <c r="C19" s="328" t="s">
        <v>1647</v>
      </c>
      <c r="D19" s="329" t="s">
        <v>1560</v>
      </c>
      <c r="E19" s="330" t="s">
        <v>31</v>
      </c>
      <c r="F19" s="330" t="s">
        <v>1738</v>
      </c>
      <c r="G19" s="350" t="str">
        <f>VLOOKUP(Q19,통합목록!$Q$4:$T$310,4,0)</f>
        <v>기술적 영업비밀이 아닌 정보 유출에 대한 징계 및 손해배상 청구 가능 여부</v>
      </c>
      <c r="H19" s="346"/>
      <c r="I19" s="346"/>
      <c r="J19" s="346"/>
      <c r="K19" s="346"/>
      <c r="L19" s="331"/>
      <c r="M19" s="365" t="str">
        <f>VLOOKUP(Q19,통합목록!$Q$4:$T$310,2,0)</f>
        <v>열기2-01.노동법\02.문제\[모의][1][02.04-3]기술적 영업비밀이 아닌 정보 유출에 대한 징계 및 손해배상 청구 가능 여부.txt</v>
      </c>
      <c r="N19" s="356" t="str">
        <f>VLOOKUP(Q19,통합목록!$Q$4:$T$310,3,0)</f>
        <v>A</v>
      </c>
      <c r="O19" s="366" t="str">
        <f t="shared" si="0"/>
        <v>제02장 근로관계의 성립-08</v>
      </c>
      <c r="Q19" s="313" t="str">
        <f t="shared" si="1"/>
        <v>2.04-3-1</v>
      </c>
    </row>
    <row r="20" spans="2:17" ht="189" customHeight="1" x14ac:dyDescent="0.2">
      <c r="B20" s="307" t="s">
        <v>443</v>
      </c>
      <c r="C20" s="332" t="s">
        <v>1647</v>
      </c>
      <c r="D20" s="333" t="s">
        <v>1561</v>
      </c>
      <c r="E20" s="334" t="s">
        <v>31</v>
      </c>
      <c r="F20" s="334" t="s">
        <v>415</v>
      </c>
      <c r="G20" s="351" t="str">
        <f>VLOOKUP(Q20,통합목록!$Q$4:$T$310,4,0)</f>
        <v>추석 상여금과 경영성과급의 임금성 및 평균임금 산입 여부</v>
      </c>
      <c r="H20" s="347"/>
      <c r="I20" s="347"/>
      <c r="J20" s="347"/>
      <c r="K20" s="347"/>
      <c r="L20" s="335"/>
      <c r="M20" s="367" t="str">
        <f>VLOOKUP(Q20,통합목록!$Q$4:$T$310,2,0)</f>
        <v>열기2-01.노동법\02.문제\[모의][1][03.02-1]추석 상여금과 경영성과급의 임금성 및 평균임금 산입 여부.txt</v>
      </c>
      <c r="N20" s="357" t="str">
        <f>VLOOKUP(Q20,통합목록!$Q$4:$T$310,3,0)</f>
        <v>B</v>
      </c>
      <c r="O20" s="368" t="str">
        <f t="shared" si="0"/>
        <v>제03장 임금-01</v>
      </c>
      <c r="Q20" s="313" t="str">
        <f t="shared" si="1"/>
        <v>3.02-1-1</v>
      </c>
    </row>
    <row r="21" spans="2:17" ht="189" customHeight="1" x14ac:dyDescent="0.2">
      <c r="B21" s="308" t="s">
        <v>443</v>
      </c>
      <c r="C21" s="304" t="s">
        <v>1647</v>
      </c>
      <c r="D21" s="327" t="s">
        <v>1562</v>
      </c>
      <c r="E21" s="324" t="s">
        <v>31</v>
      </c>
      <c r="F21" s="324" t="s">
        <v>417</v>
      </c>
      <c r="G21" s="349" t="str">
        <f>VLOOKUP(Q21,통합목록!$Q$4:$T$310,4,0)</f>
        <v>특수 기간의 평균임금 산정방법과 연차유급휴가 미사용 수당의 산입 방식</v>
      </c>
      <c r="H21" s="345"/>
      <c r="I21" s="345"/>
      <c r="J21" s="345"/>
      <c r="K21" s="345"/>
      <c r="L21" s="326"/>
      <c r="M21" s="363" t="str">
        <f>VLOOKUP(Q21,통합목록!$Q$4:$T$310,2,0)</f>
        <v>열기2-01.노동법\02.문제\[모의][1][03.02-2]특수 기간의 평균임금 산정방법과 연차유급휴가 미사용 수당의 산입 방식.txt</v>
      </c>
      <c r="N21" s="355" t="str">
        <f>VLOOKUP(Q21,통합목록!$Q$4:$T$310,3,0)</f>
        <v>B</v>
      </c>
      <c r="O21" s="364" t="str">
        <f t="shared" si="0"/>
        <v>제03장 임금-02</v>
      </c>
      <c r="Q21" s="313" t="str">
        <f t="shared" si="1"/>
        <v>3.02-2-1</v>
      </c>
    </row>
    <row r="22" spans="2:17" ht="189" customHeight="1" x14ac:dyDescent="0.2">
      <c r="B22" s="308" t="s">
        <v>443</v>
      </c>
      <c r="C22" s="304" t="s">
        <v>1256</v>
      </c>
      <c r="D22" s="327" t="s">
        <v>62</v>
      </c>
      <c r="E22" s="324" t="s">
        <v>31</v>
      </c>
      <c r="F22" s="324" t="s">
        <v>490</v>
      </c>
      <c r="G22" s="349" t="str">
        <f>VLOOKUP(Q22,통합목록!$Q$4:$T$310,4,0)</f>
        <v>통상임금 범위를 규정한 취업규칙 조항의 효력</v>
      </c>
      <c r="H22" s="345"/>
      <c r="I22" s="345"/>
      <c r="J22" s="345"/>
      <c r="K22" s="345"/>
      <c r="L22" s="326"/>
      <c r="M22" s="363" t="str">
        <f>VLOOKUP(Q22,통합목록!$Q$4:$T$310,2,0)</f>
        <v>열기2-01.노동법\02.문제\[기출][1][2012-1-1]통상임금 범위를 규정한 취업규칙 조항의 효력.txt</v>
      </c>
      <c r="N22" s="355" t="str">
        <f>VLOOKUP(Q22,통합목록!$Q$4:$T$310,3,0)</f>
        <v>C</v>
      </c>
      <c r="O22" s="364" t="str">
        <f t="shared" si="0"/>
        <v>제03장 임금-03</v>
      </c>
      <c r="Q22" s="313" t="str">
        <f t="shared" si="1"/>
        <v>2012-1-1-1</v>
      </c>
    </row>
    <row r="23" spans="2:17" ht="189" customHeight="1" x14ac:dyDescent="0.2">
      <c r="B23" s="308" t="s">
        <v>443</v>
      </c>
      <c r="C23" s="304" t="s">
        <v>1256</v>
      </c>
      <c r="D23" s="327" t="s">
        <v>63</v>
      </c>
      <c r="E23" s="324" t="s">
        <v>31</v>
      </c>
      <c r="F23" s="324" t="s">
        <v>1736</v>
      </c>
      <c r="G23" s="349" t="str">
        <f>VLOOKUP(Q23,통합목록!$Q$4:$T$310,4,0)</f>
        <v>부당해고기간 중 지급받지 못한 개근 표창의 청구 가능성</v>
      </c>
      <c r="H23" s="345"/>
      <c r="I23" s="345"/>
      <c r="J23" s="345"/>
      <c r="K23" s="345"/>
      <c r="L23" s="326"/>
      <c r="M23" s="363" t="str">
        <f>VLOOKUP(Q23,통합목록!$Q$4:$T$310,2,0)</f>
        <v>열기2-01.노동법\02.문제\[기출][1][2012-1-2]부당해고기간 중 지급받지 못한 개근 표창의 청구 가능성.txt</v>
      </c>
      <c r="N23" s="355" t="str">
        <f>VLOOKUP(Q23,통합목록!$Q$4:$T$310,3,0)</f>
        <v>C</v>
      </c>
      <c r="O23" s="364" t="str">
        <f t="shared" si="0"/>
        <v>제03장 임금-04</v>
      </c>
      <c r="Q23" s="313" t="str">
        <f t="shared" si="1"/>
        <v>2012-1-2-1</v>
      </c>
    </row>
    <row r="24" spans="2:17" ht="189" customHeight="1" x14ac:dyDescent="0.2">
      <c r="B24" s="308" t="s">
        <v>443</v>
      </c>
      <c r="C24" s="304" t="s">
        <v>1256</v>
      </c>
      <c r="D24" s="327" t="s">
        <v>1012</v>
      </c>
      <c r="E24" s="324" t="s">
        <v>31</v>
      </c>
      <c r="F24" s="324" t="s">
        <v>501</v>
      </c>
      <c r="G24" s="349" t="str">
        <f>VLOOKUP(Q24,통합목록!$Q$4:$T$310,4,0)</f>
        <v>판매용역계약을 체결한 판매원이 지급받은 수수료의 통상임금 해당 여부</v>
      </c>
      <c r="H24" s="345"/>
      <c r="I24" s="345"/>
      <c r="J24" s="345"/>
      <c r="K24" s="345"/>
      <c r="L24" s="326"/>
      <c r="M24" s="363" t="str">
        <f>VLOOKUP(Q24,통합목록!$Q$4:$T$310,2,0)</f>
        <v>열기2-01.노동법\02.문제\[기출][1][2018-1-2]판매용역계약을 체결한 판매원이 지급받은 수수료의 통상임금 해당 여부.txt</v>
      </c>
      <c r="N24" s="355" t="str">
        <f>VLOOKUP(Q24,통합목록!$Q$4:$T$310,3,0)</f>
        <v>B</v>
      </c>
      <c r="O24" s="364" t="str">
        <f t="shared" si="0"/>
        <v>제03장 임금-05</v>
      </c>
      <c r="Q24" s="313" t="str">
        <f t="shared" si="1"/>
        <v>2018-1-2-1</v>
      </c>
    </row>
    <row r="25" spans="2:17" ht="189" customHeight="1" x14ac:dyDescent="0.2">
      <c r="B25" s="308" t="s">
        <v>443</v>
      </c>
      <c r="C25" s="304" t="s">
        <v>1256</v>
      </c>
      <c r="D25" s="327" t="s">
        <v>1159</v>
      </c>
      <c r="E25" s="324" t="s">
        <v>31</v>
      </c>
      <c r="F25" s="324" t="s">
        <v>507</v>
      </c>
      <c r="G25" s="349" t="str">
        <f>VLOOKUP(Q25,통합목록!$Q$4:$T$310,4,0)</f>
        <v>정기상여금의 고정성에 따른 통상임금 해당 여부</v>
      </c>
      <c r="H25" s="345"/>
      <c r="I25" s="345"/>
      <c r="J25" s="345"/>
      <c r="K25" s="345"/>
      <c r="L25" s="326"/>
      <c r="M25" s="363" t="str">
        <f>VLOOKUP(Q25,통합목록!$Q$4:$T$310,2,0)</f>
        <v>열기2-01.노동법\02.문제\[기출][1][2022-2]정기상여금의 고정성에 따른 통상임금 해당 여부.txt</v>
      </c>
      <c r="N25" s="355" t="str">
        <f>VLOOKUP(Q25,통합목록!$Q$4:$T$310,3,0)</f>
        <v>C</v>
      </c>
      <c r="O25" s="364" t="str">
        <f t="shared" si="0"/>
        <v>제03장 임금-06</v>
      </c>
      <c r="Q25" s="313" t="str">
        <f t="shared" si="1"/>
        <v>2022-2-1</v>
      </c>
    </row>
    <row r="26" spans="2:17" ht="189" customHeight="1" x14ac:dyDescent="0.2">
      <c r="B26" s="308" t="s">
        <v>443</v>
      </c>
      <c r="C26" s="304" t="s">
        <v>1647</v>
      </c>
      <c r="D26" s="327" t="s">
        <v>1563</v>
      </c>
      <c r="E26" s="324" t="s">
        <v>31</v>
      </c>
      <c r="F26" s="324" t="s">
        <v>1737</v>
      </c>
      <c r="G26" s="349" t="str">
        <f>VLOOKUP(Q26,통합목록!$Q$4:$T$310,4,0)</f>
        <v>통상임금 고정성 징표의 배제 여부 및 재직조건부 정기상여금의 통상임금 인정 여부★</v>
      </c>
      <c r="H26" s="345" t="s">
        <v>1813</v>
      </c>
      <c r="I26" s="345" t="s">
        <v>1803</v>
      </c>
      <c r="J26" s="345" t="s">
        <v>1815</v>
      </c>
      <c r="K26" s="345" t="s">
        <v>1802</v>
      </c>
      <c r="L26" s="326"/>
      <c r="M26" s="363" t="str">
        <f>VLOOKUP(Q26,통합목록!$Q$4:$T$310,2,0)</f>
        <v>열기2-01.노동법\02.문제\[모의][1][03.03-1]통상임금 고정성 징표의 배제 여부 및 재직조건부 정기상여금의 통상임금 인정 여부.txt</v>
      </c>
      <c r="N26" s="355" t="str">
        <f>VLOOKUP(Q26,통합목록!$Q$4:$T$310,3,0)</f>
        <v>A</v>
      </c>
      <c r="O26" s="364" t="str">
        <f t="shared" si="0"/>
        <v>제03장 임금-07</v>
      </c>
      <c r="Q26" s="313" t="str">
        <f t="shared" si="1"/>
        <v>3.03-1-1</v>
      </c>
    </row>
    <row r="27" spans="2:17" ht="189" customHeight="1" x14ac:dyDescent="0.2">
      <c r="B27" s="308" t="s">
        <v>443</v>
      </c>
      <c r="C27" s="304" t="s">
        <v>1647</v>
      </c>
      <c r="D27" s="327" t="s">
        <v>1564</v>
      </c>
      <c r="E27" s="324" t="s">
        <v>31</v>
      </c>
      <c r="F27" s="324" t="s">
        <v>1738</v>
      </c>
      <c r="G27" s="349" t="str">
        <f>VLOOKUP(Q27,통합목록!$Q$4:$T$310,4,0)</f>
        <v>일정 근무일수 충족 조건부 출근수당의 소정근로 대가성 관점에서의 통상임금 해당 여부★</v>
      </c>
      <c r="H27" s="345"/>
      <c r="I27" s="345" t="s">
        <v>1804</v>
      </c>
      <c r="J27" s="345" t="s">
        <v>1801</v>
      </c>
      <c r="K27" s="345" t="s">
        <v>1802</v>
      </c>
      <c r="L27" s="326"/>
      <c r="M27" s="363" t="str">
        <f>VLOOKUP(Q27,통합목록!$Q$4:$T$310,2,0)</f>
        <v>열기2-01.노동법\02.문제\[모의][1][03.03-2]일정 근무일수 충족 조건부 출근수당의 소정근로 대가성 관점에서의 통상임금 해당 여부.txt</v>
      </c>
      <c r="N27" s="355" t="str">
        <f>VLOOKUP(Q27,통합목록!$Q$4:$T$310,3,0)</f>
        <v>A</v>
      </c>
      <c r="O27" s="364" t="str">
        <f t="shared" si="0"/>
        <v>제03장 임금-08</v>
      </c>
      <c r="Q27" s="313" t="str">
        <f t="shared" si="1"/>
        <v>3.03-2-1</v>
      </c>
    </row>
    <row r="28" spans="2:17" ht="189" customHeight="1" x14ac:dyDescent="0.2">
      <c r="B28" s="308" t="s">
        <v>443</v>
      </c>
      <c r="C28" s="304" t="s">
        <v>1232</v>
      </c>
      <c r="D28" s="327" t="s">
        <v>236</v>
      </c>
      <c r="E28" s="324" t="s">
        <v>31</v>
      </c>
      <c r="F28" s="324" t="s">
        <v>1739</v>
      </c>
      <c r="G28" s="349" t="str">
        <f>VLOOKUP(Q28,통합목록!$Q$4:$T$310,4,0)</f>
        <v>해외연수 후 의무근로기간 약정 위반 시 연수비용 반환의 적법성 및 퇴직금과 연수비용의 상계 가능성</v>
      </c>
      <c r="H28" s="345"/>
      <c r="I28" s="345"/>
      <c r="J28" s="345"/>
      <c r="K28" s="345"/>
      <c r="L28" s="326"/>
      <c r="M28" s="363" t="str">
        <f>VLOOKUP(Q28,통합목록!$Q$4:$T$310,2,0)</f>
        <v>열기2-01.노동법\02.문제\[기출][1][2010-1]해외연수 후 의무근로기간 약정 위반 시 연수비용 반환의 적법성 및 퇴직금과 연수비용의 상계 가능성.txt</v>
      </c>
      <c r="N28" s="355" t="str">
        <f>VLOOKUP(Q28,통합목록!$Q$4:$T$310,3,0)</f>
        <v>B</v>
      </c>
      <c r="O28" s="364" t="str">
        <f t="shared" si="0"/>
        <v>제03장 임금-09</v>
      </c>
      <c r="Q28" s="313" t="str">
        <f t="shared" si="1"/>
        <v>2010-1-1</v>
      </c>
    </row>
    <row r="29" spans="2:17" ht="189" customHeight="1" x14ac:dyDescent="0.2">
      <c r="B29" s="308" t="s">
        <v>443</v>
      </c>
      <c r="C29" s="304" t="s">
        <v>1256</v>
      </c>
      <c r="D29" s="327" t="s">
        <v>1160</v>
      </c>
      <c r="E29" s="324" t="s">
        <v>31</v>
      </c>
      <c r="F29" s="324" t="s">
        <v>1740</v>
      </c>
      <c r="G29" s="349" t="str">
        <f>VLOOKUP(Q29,통합목록!$Q$4:$T$310,4,0)</f>
        <v>근로자의 임금채권과 사용자의 채권 간 상계 가능성</v>
      </c>
      <c r="H29" s="345"/>
      <c r="I29" s="345"/>
      <c r="J29" s="345"/>
      <c r="K29" s="345"/>
      <c r="L29" s="326"/>
      <c r="M29" s="363" t="str">
        <f>VLOOKUP(Q29,통합목록!$Q$4:$T$310,2,0)</f>
        <v>열기2-01.노동법\02.문제\[기출][1][2014-2]근로자의 임금채권과 사용자의 채권 간 상계 가능성.txt</v>
      </c>
      <c r="N29" s="355" t="str">
        <f>VLOOKUP(Q29,통합목록!$Q$4:$T$310,3,0)</f>
        <v>B</v>
      </c>
      <c r="O29" s="364" t="str">
        <f t="shared" si="0"/>
        <v>제03장 임금-10</v>
      </c>
      <c r="Q29" s="313" t="str">
        <f t="shared" si="1"/>
        <v>2014-2-1</v>
      </c>
    </row>
    <row r="30" spans="2:17" ht="189" customHeight="1" x14ac:dyDescent="0.2">
      <c r="B30" s="308" t="s">
        <v>443</v>
      </c>
      <c r="C30" s="304" t="s">
        <v>1256</v>
      </c>
      <c r="D30" s="327" t="s">
        <v>64</v>
      </c>
      <c r="E30" s="324" t="s">
        <v>31</v>
      </c>
      <c r="F30" s="324" t="s">
        <v>1741</v>
      </c>
      <c r="G30" s="349" t="str">
        <f>VLOOKUP(Q30,통합목록!$Q$4:$T$310,4,0)</f>
        <v>임금채권 양수자의 청구에 대한 사용자의 지급 의무</v>
      </c>
      <c r="H30" s="345"/>
      <c r="I30" s="345"/>
      <c r="J30" s="345"/>
      <c r="K30" s="345"/>
      <c r="L30" s="326"/>
      <c r="M30" s="363" t="str">
        <f>VLOOKUP(Q30,통합목록!$Q$4:$T$310,2,0)</f>
        <v>열기2-01.노동법\02.문제\[기출][1][2019-2]임금채권 양수자의 청구에 대한 사용자의 지급 의무.txt</v>
      </c>
      <c r="N30" s="355" t="str">
        <f>VLOOKUP(Q30,통합목록!$Q$4:$T$310,3,0)</f>
        <v>B</v>
      </c>
      <c r="O30" s="364" t="str">
        <f t="shared" si="0"/>
        <v>제03장 임금-11</v>
      </c>
      <c r="Q30" s="313" t="str">
        <f t="shared" si="1"/>
        <v>2019-2-1</v>
      </c>
    </row>
    <row r="31" spans="2:17" ht="189" customHeight="1" x14ac:dyDescent="0.2">
      <c r="B31" s="308" t="s">
        <v>443</v>
      </c>
      <c r="C31" s="304" t="s">
        <v>1647</v>
      </c>
      <c r="D31" s="327" t="s">
        <v>1565</v>
      </c>
      <c r="E31" s="324" t="s">
        <v>31</v>
      </c>
      <c r="F31" s="324" t="s">
        <v>1742</v>
      </c>
      <c r="G31" s="349" t="str">
        <f>VLOOKUP(Q31,통합목록!$Q$4:$T$310,4,0)</f>
        <v>매출처 파업 및 창고 부족으로 인한 휴업의 사용자 귀책사유 해당 여부</v>
      </c>
      <c r="H31" s="345"/>
      <c r="I31" s="345"/>
      <c r="J31" s="345"/>
      <c r="K31" s="345"/>
      <c r="L31" s="326"/>
      <c r="M31" s="363" t="str">
        <f>VLOOKUP(Q31,통합목록!$Q$4:$T$310,2,0)</f>
        <v>열기2-01.노동법\02.문제\[모의][1][03.05-1]매출처 파업 및 창고 부족으로 인한 휴업의 사용자 귀책사유 해당 여부.txt</v>
      </c>
      <c r="N31" s="355" t="str">
        <f>VLOOKUP(Q31,통합목록!$Q$4:$T$310,3,0)</f>
        <v>B</v>
      </c>
      <c r="O31" s="364" t="str">
        <f t="shared" si="0"/>
        <v>제03장 임금-12</v>
      </c>
      <c r="Q31" s="313" t="str">
        <f t="shared" si="1"/>
        <v>3.05-1-1</v>
      </c>
    </row>
    <row r="32" spans="2:17" ht="189" customHeight="1" x14ac:dyDescent="0.2">
      <c r="B32" s="308" t="s">
        <v>443</v>
      </c>
      <c r="C32" s="304" t="s">
        <v>1647</v>
      </c>
      <c r="D32" s="327" t="s">
        <v>1566</v>
      </c>
      <c r="E32" s="324" t="s">
        <v>31</v>
      </c>
      <c r="F32" s="324" t="s">
        <v>1743</v>
      </c>
      <c r="G32" s="349" t="str">
        <f>VLOOKUP(Q32,통합목록!$Q$4:$T$310,4,0)</f>
        <v>노동위원회의 휴업수당 감액 승인이 취업규칙상 유리한 규정의 효력에 미치는 영향</v>
      </c>
      <c r="H32" s="345"/>
      <c r="I32" s="345"/>
      <c r="J32" s="345"/>
      <c r="K32" s="345"/>
      <c r="L32" s="326"/>
      <c r="M32" s="363" t="str">
        <f>VLOOKUP(Q32,통합목록!$Q$4:$T$310,2,0)</f>
        <v>열기2-01.노동법\02.문제\[모의][1][03.05-2]노동위원회의 휴업수당 감액 승인이 취업규칙상 유리한 규정의 효력에 미치는 영향.txt</v>
      </c>
      <c r="N32" s="355" t="str">
        <f>VLOOKUP(Q32,통합목록!$Q$4:$T$310,3,0)</f>
        <v>B</v>
      </c>
      <c r="O32" s="364" t="str">
        <f t="shared" si="0"/>
        <v>제03장 임금-13</v>
      </c>
      <c r="Q32" s="313" t="str">
        <f t="shared" si="1"/>
        <v>3.05-2-1</v>
      </c>
    </row>
    <row r="33" spans="2:17" ht="189" customHeight="1" x14ac:dyDescent="0.2">
      <c r="B33" s="308" t="s">
        <v>443</v>
      </c>
      <c r="C33" s="304" t="s">
        <v>1647</v>
      </c>
      <c r="D33" s="327" t="s">
        <v>1567</v>
      </c>
      <c r="E33" s="324" t="s">
        <v>31</v>
      </c>
      <c r="F33" s="324" t="s">
        <v>1744</v>
      </c>
      <c r="G33" s="349" t="str">
        <f>VLOOKUP(Q33,통합목록!$Q$4:$T$310,4,0)</f>
        <v>최우선변제 임금채권의 범위와 근저당권 채권에 대한 우선권 및 구체적 변제액 산출</v>
      </c>
      <c r="H33" s="345"/>
      <c r="I33" s="345"/>
      <c r="J33" s="345"/>
      <c r="K33" s="345"/>
      <c r="L33" s="326"/>
      <c r="M33" s="363" t="str">
        <f>VLOOKUP(Q33,통합목록!$Q$4:$T$310,2,0)</f>
        <v>열기2-01.노동법\02.문제\[모의][1][03.06-1]최우선변제 임금채권의 범위와 근저당권 채권에 대한 우선권 및 구체적 변제액 산출.txt</v>
      </c>
      <c r="N33" s="355" t="str">
        <f>VLOOKUP(Q33,통합목록!$Q$4:$T$310,3,0)</f>
        <v>B</v>
      </c>
      <c r="O33" s="364" t="str">
        <f t="shared" si="0"/>
        <v>제03장 임금-14</v>
      </c>
      <c r="Q33" s="313" t="str">
        <f t="shared" si="1"/>
        <v>3.06-1-1</v>
      </c>
    </row>
    <row r="34" spans="2:17" ht="189" customHeight="1" thickBot="1" x14ac:dyDescent="0.25">
      <c r="B34" s="309" t="s">
        <v>443</v>
      </c>
      <c r="C34" s="328" t="s">
        <v>1647</v>
      </c>
      <c r="D34" s="329" t="s">
        <v>1568</v>
      </c>
      <c r="E34" s="330" t="s">
        <v>31</v>
      </c>
      <c r="F34" s="330" t="s">
        <v>1745</v>
      </c>
      <c r="G34" s="350" t="str">
        <f>VLOOKUP(Q34,통합목록!$Q$4:$T$310,4,0)</f>
        <v>나머지 임금 및 퇴직금 채권의 변제 순위와 조세・공과금 및 일반 채권과의 관계</v>
      </c>
      <c r="H34" s="346"/>
      <c r="I34" s="346"/>
      <c r="J34" s="346"/>
      <c r="K34" s="346"/>
      <c r="L34" s="331"/>
      <c r="M34" s="365" t="str">
        <f>VLOOKUP(Q34,통합목록!$Q$4:$T$310,2,0)</f>
        <v>열기2-01.노동법\02.문제\[모의][1][03.06-2]나머지 임금 및 퇴직금 채권의 변제 순위와 조세・공과금 및 일반 채권과의 관계.txt</v>
      </c>
      <c r="N34" s="356" t="str">
        <f>VLOOKUP(Q34,통합목록!$Q$4:$T$310,3,0)</f>
        <v>B</v>
      </c>
      <c r="O34" s="366" t="str">
        <f t="shared" si="0"/>
        <v>제03장 임금-15</v>
      </c>
      <c r="Q34" s="313" t="str">
        <f t="shared" si="1"/>
        <v>3.06-2-1</v>
      </c>
    </row>
    <row r="35" spans="2:17" ht="189" customHeight="1" x14ac:dyDescent="0.2">
      <c r="B35" s="307" t="s">
        <v>448</v>
      </c>
      <c r="C35" s="332" t="s">
        <v>1647</v>
      </c>
      <c r="D35" s="333" t="s">
        <v>1569</v>
      </c>
      <c r="E35" s="334" t="s">
        <v>31</v>
      </c>
      <c r="F35" s="334" t="s">
        <v>415</v>
      </c>
      <c r="G35" s="351" t="str">
        <f>VLOOKUP(Q35,통합목록!$Q$4:$T$310,4,0)</f>
        <v>근로기준법상 근로시간의 개념 및 판단 기준과 운행 전 준비 시간의 근로시간 해당 여부</v>
      </c>
      <c r="H35" s="347"/>
      <c r="I35" s="347"/>
      <c r="J35" s="347"/>
      <c r="K35" s="347"/>
      <c r="L35" s="335"/>
      <c r="M35" s="367" t="str">
        <f>VLOOKUP(Q35,통합목록!$Q$4:$T$310,2,0)</f>
        <v>열기2-01.노동법\02.문제\[모의][1][04.01-1]근로기준법상 근로시간의 개념 및 판단 기준과 운행 전 준비 시간의 근로시간 해당 여부.txt</v>
      </c>
      <c r="N35" s="357" t="str">
        <f>VLOOKUP(Q35,통합목록!$Q$4:$T$310,3,0)</f>
        <v>B</v>
      </c>
      <c r="O35" s="368" t="str">
        <f t="shared" si="0"/>
        <v>제04장 근로시간-01</v>
      </c>
      <c r="Q35" s="313" t="str">
        <f t="shared" si="1"/>
        <v>4.01-1-1</v>
      </c>
    </row>
    <row r="36" spans="2:17" ht="189" customHeight="1" x14ac:dyDescent="0.2">
      <c r="B36" s="308" t="s">
        <v>448</v>
      </c>
      <c r="C36" s="304" t="s">
        <v>1647</v>
      </c>
      <c r="D36" s="327" t="s">
        <v>1570</v>
      </c>
      <c r="E36" s="324" t="s">
        <v>31</v>
      </c>
      <c r="F36" s="324" t="s">
        <v>417</v>
      </c>
      <c r="G36" s="349" t="str">
        <f>VLOOKUP(Q36,통합목록!$Q$4:$T$310,4,0)</f>
        <v>운행 사이 대기시간의 법적 성격 판별 기준과 사안의 대기시간이 근로시간에 포함되는지 여부</v>
      </c>
      <c r="H36" s="345"/>
      <c r="I36" s="345"/>
      <c r="J36" s="345"/>
      <c r="K36" s="345"/>
      <c r="L36" s="326"/>
      <c r="M36" s="363" t="str">
        <f>VLOOKUP(Q36,통합목록!$Q$4:$T$310,2,0)</f>
        <v>열기2-01.노동법\02.문제\[모의][1][04.01-2]운행 사이 대기시간의 법적 성격 판별 기준과 사안의 대기시간이 근로시간에 포함되는지 여부.txt</v>
      </c>
      <c r="N36" s="355" t="str">
        <f>VLOOKUP(Q36,통합목록!$Q$4:$T$310,3,0)</f>
        <v>B</v>
      </c>
      <c r="O36" s="364" t="str">
        <f t="shared" ref="O36:O67" si="2">B36&amp;"-"&amp;F36</f>
        <v>제04장 근로시간-02</v>
      </c>
      <c r="Q36" s="313" t="str">
        <f t="shared" ref="Q36:Q67" si="3">D36&amp;"-"&amp;E36</f>
        <v>4.01-2-1</v>
      </c>
    </row>
    <row r="37" spans="2:17" ht="189" customHeight="1" x14ac:dyDescent="0.2">
      <c r="B37" s="308" t="s">
        <v>448</v>
      </c>
      <c r="C37" s="304" t="s">
        <v>1256</v>
      </c>
      <c r="D37" s="327" t="s">
        <v>1161</v>
      </c>
      <c r="E37" s="324" t="s">
        <v>31</v>
      </c>
      <c r="F37" s="324" t="s">
        <v>490</v>
      </c>
      <c r="G37" s="349" t="str">
        <f>VLOOKUP(Q37,통합목록!$Q$4:$T$310,4,0)</f>
        <v>근로기준법상 연장근로 제한의 원칙, 예외, 위반의 효과</v>
      </c>
      <c r="H37" s="345"/>
      <c r="I37" s="345"/>
      <c r="J37" s="345"/>
      <c r="K37" s="345"/>
      <c r="L37" s="326"/>
      <c r="M37" s="363" t="str">
        <f>VLOOKUP(Q37,통합목록!$Q$4:$T$310,2,0)</f>
        <v>열기2-01.노동법\02.문제\[기출][1][2008-2-2]근로기준법상 연장근로 제한의 원칙, 예외, 위반의 효과.txt</v>
      </c>
      <c r="N37" s="355" t="str">
        <f>VLOOKUP(Q37,통합목록!$Q$4:$T$310,3,0)</f>
        <v>C</v>
      </c>
      <c r="O37" s="364" t="str">
        <f t="shared" si="2"/>
        <v>제04장 근로시간-03</v>
      </c>
      <c r="Q37" s="313" t="str">
        <f t="shared" si="3"/>
        <v>2008-2-2-1</v>
      </c>
    </row>
    <row r="38" spans="2:17" ht="189" customHeight="1" x14ac:dyDescent="0.2">
      <c r="B38" s="308" t="s">
        <v>448</v>
      </c>
      <c r="C38" s="304" t="s">
        <v>1256</v>
      </c>
      <c r="D38" s="327" t="s">
        <v>1131</v>
      </c>
      <c r="E38" s="324" t="s">
        <v>31</v>
      </c>
      <c r="F38" s="324" t="s">
        <v>1736</v>
      </c>
      <c r="G38" s="349" t="str">
        <f>VLOOKUP(Q38,통합목록!$Q$4:$T$310,4,0)</f>
        <v>포괄임금제의 의의, 유효요건, 유효성 판단 시 고려 사항</v>
      </c>
      <c r="H38" s="345"/>
      <c r="I38" s="345"/>
      <c r="J38" s="345"/>
      <c r="K38" s="345"/>
      <c r="L38" s="326"/>
      <c r="M38" s="363" t="str">
        <f>VLOOKUP(Q38,통합목록!$Q$4:$T$310,2,0)</f>
        <v>열기2-01.노동법\02.문제\[기출][1][2011-1]포괄임금제의 의의, 유효요건, 유효성 판단 시 고려 사항.txt</v>
      </c>
      <c r="N38" s="355" t="str">
        <f>VLOOKUP(Q38,통합목록!$Q$4:$T$310,3,0)</f>
        <v>C</v>
      </c>
      <c r="O38" s="364" t="str">
        <f t="shared" si="2"/>
        <v>제04장 근로시간-04</v>
      </c>
      <c r="Q38" s="313" t="str">
        <f t="shared" si="3"/>
        <v>2011-1-1</v>
      </c>
    </row>
    <row r="39" spans="2:17" ht="189" customHeight="1" x14ac:dyDescent="0.2">
      <c r="B39" s="308" t="s">
        <v>448</v>
      </c>
      <c r="C39" s="304" t="s">
        <v>1647</v>
      </c>
      <c r="D39" s="327" t="s">
        <v>1571</v>
      </c>
      <c r="E39" s="324" t="s">
        <v>31</v>
      </c>
      <c r="F39" s="324" t="s">
        <v>501</v>
      </c>
      <c r="G39" s="349" t="str">
        <f>VLOOKUP(Q39,통합목록!$Q$4:$T$310,4,0)</f>
        <v>근로기준법상 휴게시간의 의의와 자유이용의 원칙 및 장소적 제약이 가해진 휴게시간의 유효성</v>
      </c>
      <c r="H39" s="345"/>
      <c r="I39" s="345"/>
      <c r="J39" s="345"/>
      <c r="K39" s="345"/>
      <c r="L39" s="326"/>
      <c r="M39" s="363" t="str">
        <f>VLOOKUP(Q39,통합목록!$Q$4:$T$310,2,0)</f>
        <v>열기2-01.노동법\02.문제\[모의][1][04.04-1]근로기준법상 휴게시간의 의의와 자유이용의 원칙 및 장소적 제약이 가해진 휴게시간의 유효성.txt</v>
      </c>
      <c r="N39" s="355" t="str">
        <f>VLOOKUP(Q39,통합목록!$Q$4:$T$310,3,0)</f>
        <v>C</v>
      </c>
      <c r="O39" s="364" t="str">
        <f t="shared" si="2"/>
        <v>제04장 근로시간-05</v>
      </c>
      <c r="Q39" s="313" t="str">
        <f t="shared" si="3"/>
        <v>4.04-1-1</v>
      </c>
    </row>
    <row r="40" spans="2:17" ht="189" customHeight="1" x14ac:dyDescent="0.2">
      <c r="B40" s="308" t="s">
        <v>448</v>
      </c>
      <c r="C40" s="304" t="s">
        <v>1647</v>
      </c>
      <c r="D40" s="327" t="s">
        <v>1572</v>
      </c>
      <c r="E40" s="324" t="s">
        <v>31</v>
      </c>
      <c r="F40" s="324" t="s">
        <v>507</v>
      </c>
      <c r="G40" s="349" t="str">
        <f>VLOOKUP(Q40,통합목록!$Q$4:$T$310,4,0)</f>
        <v>휴게시간과 근로시간 구별 기준 및 근로자의 비상대기 상태에 대한 근로시간 포함 여부</v>
      </c>
      <c r="H40" s="345"/>
      <c r="I40" s="345"/>
      <c r="J40" s="345"/>
      <c r="K40" s="345"/>
      <c r="L40" s="326"/>
      <c r="M40" s="363" t="str">
        <f>VLOOKUP(Q40,통합목록!$Q$4:$T$310,2,0)</f>
        <v>열기2-01.노동법\02.문제\[모의][1][04.04-2]휴게시간과 근로시간 구별 기준 및 근로자의 비상대기 상태에 대한 근로시간 포함 여부.txt</v>
      </c>
      <c r="N40" s="355" t="str">
        <f>VLOOKUP(Q40,통합목록!$Q$4:$T$310,3,0)</f>
        <v>C</v>
      </c>
      <c r="O40" s="364" t="str">
        <f t="shared" si="2"/>
        <v>제04장 근로시간-06</v>
      </c>
      <c r="Q40" s="313" t="str">
        <f t="shared" si="3"/>
        <v>4.04-2-1</v>
      </c>
    </row>
    <row r="41" spans="2:17" ht="189" customHeight="1" x14ac:dyDescent="0.2">
      <c r="B41" s="308" t="s">
        <v>448</v>
      </c>
      <c r="C41" s="304" t="s">
        <v>1647</v>
      </c>
      <c r="D41" s="327" t="s">
        <v>1573</v>
      </c>
      <c r="E41" s="324" t="s">
        <v>31</v>
      </c>
      <c r="F41" s="324" t="s">
        <v>1737</v>
      </c>
      <c r="G41" s="349" t="str">
        <f>VLOOKUP(Q41,통합목록!$Q$4:$T$310,4,0)</f>
        <v>휴일근로 명령의 유효요건과 개별적 동의 여부 및 근로자의 출근 거부에 따른 징계 사유의 정당성</v>
      </c>
      <c r="H41" s="345"/>
      <c r="I41" s="345"/>
      <c r="J41" s="345"/>
      <c r="K41" s="345"/>
      <c r="L41" s="326"/>
      <c r="M41" s="363" t="str">
        <f>VLOOKUP(Q41,통합목록!$Q$4:$T$310,2,0)</f>
        <v>열기2-01.노동법\02.문제\[모의][1][04.05-1]휴일근로 명령의 유효요건과 개별적 동의 여부 및 근로자의 출근 거부에 따른 징계 사유의 정당성.txt</v>
      </c>
      <c r="N41" s="355" t="str">
        <f>VLOOKUP(Q41,통합목록!$Q$4:$T$310,3,0)</f>
        <v>C</v>
      </c>
      <c r="O41" s="364" t="str">
        <f t="shared" si="2"/>
        <v>제04장 근로시간-07</v>
      </c>
      <c r="Q41" s="313" t="str">
        <f t="shared" si="3"/>
        <v>4.05-1-1</v>
      </c>
    </row>
    <row r="42" spans="2:17" ht="189" customHeight="1" x14ac:dyDescent="0.2">
      <c r="B42" s="308" t="s">
        <v>448</v>
      </c>
      <c r="C42" s="304" t="s">
        <v>1647</v>
      </c>
      <c r="D42" s="327" t="s">
        <v>1574</v>
      </c>
      <c r="E42" s="324" t="s">
        <v>31</v>
      </c>
      <c r="F42" s="324" t="s">
        <v>1738</v>
      </c>
      <c r="G42" s="349" t="str">
        <f>VLOOKUP(Q42,통합목록!$Q$4:$T$310,4,0)</f>
        <v>휴일근로 가산수당 지급 원칙과 중복할증에 관한 판례의 태도 및 회사의 임금 미지급의 타당성</v>
      </c>
      <c r="H42" s="345"/>
      <c r="I42" s="345"/>
      <c r="J42" s="345"/>
      <c r="K42" s="345"/>
      <c r="L42" s="326"/>
      <c r="M42" s="363" t="str">
        <f>VLOOKUP(Q42,통합목록!$Q$4:$T$310,2,0)</f>
        <v>열기2-01.노동법\02.문제\[모의][1][04.05-2]휴일근로 가산수당 지급 원칙과 중복할증에 관한 판례의 태도 및 회사의 임금 미지급의 타당성.txt</v>
      </c>
      <c r="N42" s="355" t="str">
        <f>VLOOKUP(Q42,통합목록!$Q$4:$T$310,3,0)</f>
        <v>C</v>
      </c>
      <c r="O42" s="364" t="str">
        <f t="shared" si="2"/>
        <v>제04장 근로시간-08</v>
      </c>
      <c r="Q42" s="313" t="str">
        <f t="shared" si="3"/>
        <v>4.05-2-1</v>
      </c>
    </row>
    <row r="43" spans="2:17" ht="189" customHeight="1" x14ac:dyDescent="0.2">
      <c r="B43" s="308" t="s">
        <v>448</v>
      </c>
      <c r="C43" s="304" t="s">
        <v>1256</v>
      </c>
      <c r="D43" s="327" t="s">
        <v>1162</v>
      </c>
      <c r="E43" s="324" t="s">
        <v>31</v>
      </c>
      <c r="F43" s="324" t="s">
        <v>1739</v>
      </c>
      <c r="G43" s="349" t="str">
        <f>VLOOKUP(Q43,통합목록!$Q$4:$T$310,4,0)</f>
        <v>적법한 파업 참가 근로자의 출근율 및 연차유급휴가 일수 산정 방식과 회사 주장의 정당성</v>
      </c>
      <c r="H43" s="345"/>
      <c r="I43" s="345"/>
      <c r="J43" s="345"/>
      <c r="K43" s="345"/>
      <c r="L43" s="326"/>
      <c r="M43" s="363" t="str">
        <f>VLOOKUP(Q43,통합목록!$Q$4:$T$310,2,0)</f>
        <v>열기2-01.노동법\02.문제\[기출][1][2016-1-1]적법한 파업 참가 근로자의 출근율 및 연차유급휴가 일수 산정 방식과 회사 주장의 정당성.txt</v>
      </c>
      <c r="N43" s="355" t="str">
        <f>VLOOKUP(Q43,통합목록!$Q$4:$T$310,3,0)</f>
        <v>A</v>
      </c>
      <c r="O43" s="364" t="str">
        <f t="shared" si="2"/>
        <v>제04장 근로시간-09</v>
      </c>
      <c r="Q43" s="313" t="str">
        <f t="shared" si="3"/>
        <v>2016-1-1-1</v>
      </c>
    </row>
    <row r="44" spans="2:17" ht="189" customHeight="1" x14ac:dyDescent="0.2">
      <c r="B44" s="308" t="s">
        <v>448</v>
      </c>
      <c r="C44" s="304" t="s">
        <v>1647</v>
      </c>
      <c r="D44" s="327" t="s">
        <v>1575</v>
      </c>
      <c r="E44" s="324" t="s">
        <v>31</v>
      </c>
      <c r="F44" s="324" t="s">
        <v>1740</v>
      </c>
      <c r="G44" s="349" t="str">
        <f>VLOOKUP(Q44,통합목록!$Q$4:$T$310,4,0)</f>
        <v>단체협약상 연차휴가 사전신청 요건의 유효성 및 반려 조치의 시기변경권 행사 적법성★</v>
      </c>
      <c r="H44" s="345"/>
      <c r="I44" s="345"/>
      <c r="J44" s="345"/>
      <c r="K44" s="345"/>
      <c r="L44" s="326"/>
      <c r="M44" s="363" t="str">
        <f>VLOOKUP(Q44,통합목록!$Q$4:$T$310,2,0)</f>
        <v>열기2-01.노동법\02.문제\[모의][1][04.06-1]단체협약상 연차휴가 사전신청 요건의 유효성 및 반려 조치의 시기변경권 행사 적법성.txt</v>
      </c>
      <c r="N44" s="355" t="str">
        <f>VLOOKUP(Q44,통합목록!$Q$4:$T$310,3,0)</f>
        <v>A</v>
      </c>
      <c r="O44" s="364" t="str">
        <f t="shared" si="2"/>
        <v>제04장 근로시간-10</v>
      </c>
      <c r="Q44" s="313" t="str">
        <f t="shared" si="3"/>
        <v>4.06-1-1</v>
      </c>
    </row>
    <row r="45" spans="2:17" ht="189" customHeight="1" thickBot="1" x14ac:dyDescent="0.25">
      <c r="B45" s="308" t="s">
        <v>448</v>
      </c>
      <c r="C45" s="328" t="s">
        <v>1647</v>
      </c>
      <c r="D45" s="329" t="s">
        <v>1576</v>
      </c>
      <c r="E45" s="330" t="s">
        <v>31</v>
      </c>
      <c r="F45" s="330" t="s">
        <v>1741</v>
      </c>
      <c r="G45" s="350" t="str">
        <f>VLOOKUP(Q45,통합목록!$Q$4:$T$310,4,0)</f>
        <v>연차휴가 반려 후 출근하지 않은 행위의 성격 및 이를 이유로 한 감봉 처분의 정당성★</v>
      </c>
      <c r="H45" s="346"/>
      <c r="I45" s="346"/>
      <c r="J45" s="346"/>
      <c r="K45" s="346"/>
      <c r="L45" s="331"/>
      <c r="M45" s="365" t="str">
        <f>VLOOKUP(Q45,통합목록!$Q$4:$T$310,2,0)</f>
        <v>열기2-01.노동법\02.문제\[모의][1][04.06-2]연차휴가 반려 후 출근하지 않은 행위의 성격 및 이를 이유로 한 감봉 처분의 정당성.txt</v>
      </c>
      <c r="N45" s="356" t="str">
        <f>VLOOKUP(Q45,통합목록!$Q$4:$T$310,3,0)</f>
        <v>A</v>
      </c>
      <c r="O45" s="366" t="str">
        <f t="shared" si="2"/>
        <v>제04장 근로시간-11</v>
      </c>
      <c r="Q45" s="313" t="str">
        <f t="shared" si="3"/>
        <v>4.06-2-1</v>
      </c>
    </row>
    <row r="46" spans="2:17" ht="189" customHeight="1" x14ac:dyDescent="0.2">
      <c r="B46" s="307" t="s">
        <v>434</v>
      </c>
      <c r="C46" s="332" t="s">
        <v>1256</v>
      </c>
      <c r="D46" s="333" t="s">
        <v>68</v>
      </c>
      <c r="E46" s="334" t="s">
        <v>31</v>
      </c>
      <c r="F46" s="334" t="s">
        <v>415</v>
      </c>
      <c r="G46" s="351" t="str">
        <f>VLOOKUP(Q46,통합목록!$Q$4:$T$310,4,0)</f>
        <v>노사협의회 의결을 거친 인사규정(취업규칙) 변경의 효력</v>
      </c>
      <c r="H46" s="347"/>
      <c r="I46" s="347"/>
      <c r="J46" s="347"/>
      <c r="K46" s="347"/>
      <c r="L46" s="335"/>
      <c r="M46" s="367" t="str">
        <f>VLOOKUP(Q46,통합목록!$Q$4:$T$310,2,0)</f>
        <v>열기2-01.노동법\02.문제\[기출][1][2013-1-1]노사협의회 의결을 거친 인사규정(취업규칙) 변경의 효력.txt</v>
      </c>
      <c r="N46" s="357" t="str">
        <f>VLOOKUP(Q46,통합목록!$Q$4:$T$310,3,0)</f>
        <v>B</v>
      </c>
      <c r="O46" s="368" t="str">
        <f t="shared" si="2"/>
        <v>제05장 취업규칙-01</v>
      </c>
      <c r="Q46" s="313" t="str">
        <f t="shared" si="3"/>
        <v>2013-1-1-1</v>
      </c>
    </row>
    <row r="47" spans="2:17" ht="189" customHeight="1" x14ac:dyDescent="0.2">
      <c r="B47" s="308" t="s">
        <v>434</v>
      </c>
      <c r="C47" s="304" t="s">
        <v>1256</v>
      </c>
      <c r="D47" s="327" t="s">
        <v>69</v>
      </c>
      <c r="E47" s="324" t="s">
        <v>31</v>
      </c>
      <c r="F47" s="324" t="s">
        <v>417</v>
      </c>
      <c r="G47" s="349" t="str">
        <f>VLOOKUP(Q47,통합목록!$Q$4:$T$310,4,0)</f>
        <v>노사협의회 의결을 거친 인사규정(취업규칙)을 근거로 한 퇴직 통보의 효력</v>
      </c>
      <c r="H47" s="345"/>
      <c r="I47" s="345"/>
      <c r="J47" s="345"/>
      <c r="K47" s="345"/>
      <c r="L47" s="326"/>
      <c r="M47" s="363" t="str">
        <f>VLOOKUP(Q47,통합목록!$Q$4:$T$310,2,0)</f>
        <v>열기2-01.노동법\02.문제\[기출][1][2013-1-2]노사협의회 의결을 거친 인사규정(취업규칙)을 근거로 한 퇴직 통보의 효력.txt</v>
      </c>
      <c r="N47" s="355" t="str">
        <f>VLOOKUP(Q47,통합목록!$Q$4:$T$310,3,0)</f>
        <v>B</v>
      </c>
      <c r="O47" s="364" t="str">
        <f t="shared" si="2"/>
        <v>제05장 취업규칙-02</v>
      </c>
      <c r="Q47" s="313" t="str">
        <f t="shared" si="3"/>
        <v>2013-1-2-1</v>
      </c>
    </row>
    <row r="48" spans="2:17" ht="189" customHeight="1" x14ac:dyDescent="0.2">
      <c r="B48" s="308" t="s">
        <v>434</v>
      </c>
      <c r="C48" s="304" t="s">
        <v>1256</v>
      </c>
      <c r="D48" s="327" t="s">
        <v>67</v>
      </c>
      <c r="E48" s="324" t="s">
        <v>31</v>
      </c>
      <c r="F48" s="324" t="s">
        <v>426</v>
      </c>
      <c r="G48" s="349" t="str">
        <f>VLOOKUP(Q48,통합목록!$Q$4:$T$310,4,0)</f>
        <v>노동조합 동의 없이 개별 근로자의 동의로 변경한 인사규정의 효력</v>
      </c>
      <c r="H48" s="345"/>
      <c r="I48" s="345"/>
      <c r="J48" s="345"/>
      <c r="K48" s="345"/>
      <c r="L48" s="326"/>
      <c r="M48" s="363" t="str">
        <f>VLOOKUP(Q48,통합목록!$Q$4:$T$310,2,0)</f>
        <v>열기2-01.노동법\02.문제\[기출][1][2015-1-i]노동조합 동의 없이 개별 근로자의 동의로 변경한 인사규정의 효력.txt</v>
      </c>
      <c r="N48" s="355" t="str">
        <f>VLOOKUP(Q48,통합목록!$Q$4:$T$310,3,0)</f>
        <v>B</v>
      </c>
      <c r="O48" s="364" t="str">
        <f t="shared" si="2"/>
        <v>제05장 취업규칙-03</v>
      </c>
      <c r="Q48" s="313" t="str">
        <f t="shared" si="3"/>
        <v>2015-1-i-1</v>
      </c>
    </row>
    <row r="49" spans="2:17" ht="189" customHeight="1" x14ac:dyDescent="0.2">
      <c r="B49" s="308" t="s">
        <v>434</v>
      </c>
      <c r="C49" s="304" t="s">
        <v>1256</v>
      </c>
      <c r="D49" s="327" t="s">
        <v>1026</v>
      </c>
      <c r="E49" s="324" t="s">
        <v>31</v>
      </c>
      <c r="F49" s="324" t="s">
        <v>430</v>
      </c>
      <c r="G49" s="349" t="str">
        <f>VLOOKUP(Q49,통합목록!$Q$4:$T$310,4,0)</f>
        <v>비조합원에 대한 불이익 취업규칙 적용의 효력</v>
      </c>
      <c r="H49" s="345"/>
      <c r="I49" s="345"/>
      <c r="J49" s="345"/>
      <c r="K49" s="345"/>
      <c r="L49" s="326"/>
      <c r="M49" s="363" t="str">
        <f>VLOOKUP(Q49,통합목록!$Q$4:$T$310,2,0)</f>
        <v>열기2-01.노동법\02.문제\[기출][1][2021-1-1]비조합원에 대한 불이익 취업규칙 적용의 효력.txt</v>
      </c>
      <c r="N49" s="355" t="str">
        <f>VLOOKUP(Q49,통합목록!$Q$4:$T$310,3,0)</f>
        <v>B</v>
      </c>
      <c r="O49" s="364" t="str">
        <f t="shared" si="2"/>
        <v>제05장 취업규칙-04</v>
      </c>
      <c r="Q49" s="313" t="str">
        <f t="shared" si="3"/>
        <v>2021-1-1-1</v>
      </c>
    </row>
    <row r="50" spans="2:17" ht="189" customHeight="1" thickBot="1" x14ac:dyDescent="0.25">
      <c r="B50" s="309" t="s">
        <v>434</v>
      </c>
      <c r="C50" s="328" t="s">
        <v>1256</v>
      </c>
      <c r="D50" s="329" t="s">
        <v>1018</v>
      </c>
      <c r="E50" s="330" t="s">
        <v>31</v>
      </c>
      <c r="F50" s="330" t="s">
        <v>431</v>
      </c>
      <c r="G50" s="350" t="str">
        <f>VLOOKUP(Q50,통합목록!$Q$4:$T$310,4,0)</f>
        <v>개별 근로자 대상 근로계약 대비 불이익 취업규칙의 동의 없는 적용 가능 여부</v>
      </c>
      <c r="H50" s="346"/>
      <c r="I50" s="346"/>
      <c r="J50" s="346"/>
      <c r="K50" s="346"/>
      <c r="L50" s="331"/>
      <c r="M50" s="365" t="str">
        <f>VLOOKUP(Q50,통합목록!$Q$4:$T$310,2,0)</f>
        <v>열기2-01.노동법\02.문제\[기출][1][2021-1-2]개별 근로자 대상 근로계약 대비 불이익 취업규칙의 동의 없는 적용 가능 여부.txt</v>
      </c>
      <c r="N50" s="356" t="str">
        <f>VLOOKUP(Q50,통합목록!$Q$4:$T$310,3,0)</f>
        <v>B</v>
      </c>
      <c r="O50" s="366" t="str">
        <f t="shared" si="2"/>
        <v>제05장 취업규칙-05</v>
      </c>
      <c r="Q50" s="313" t="str">
        <f t="shared" si="3"/>
        <v>2021-1-2-1</v>
      </c>
    </row>
    <row r="51" spans="2:17" ht="189" customHeight="1" x14ac:dyDescent="0.2">
      <c r="B51" s="307" t="s">
        <v>427</v>
      </c>
      <c r="C51" s="332" t="s">
        <v>1256</v>
      </c>
      <c r="D51" s="333" t="s">
        <v>1014</v>
      </c>
      <c r="E51" s="334" t="s">
        <v>31</v>
      </c>
      <c r="F51" s="334" t="s">
        <v>415</v>
      </c>
      <c r="G51" s="351" t="str">
        <f>VLOOKUP(Q51,통합목록!$Q$4:$T$310,4,0)</f>
        <v>전적명령의 법적 성격, 유효요건, 남용 판단 기준</v>
      </c>
      <c r="H51" s="347"/>
      <c r="I51" s="347"/>
      <c r="J51" s="347"/>
      <c r="K51" s="347"/>
      <c r="L51" s="335"/>
      <c r="M51" s="367" t="str">
        <f>VLOOKUP(Q51,통합목록!$Q$4:$T$310,2,0)</f>
        <v>열기2-01.노동법\02.문제\[기출][1][2010-2]전적명령의 법적 성격, 유효요건, 남용 판단 기준.txt</v>
      </c>
      <c r="N51" s="357" t="str">
        <f>VLOOKUP(Q51,통합목록!$Q$4:$T$310,3,0)</f>
        <v>B</v>
      </c>
      <c r="O51" s="368" t="str">
        <f t="shared" si="2"/>
        <v>제06장 인사처분-01</v>
      </c>
      <c r="Q51" s="313" t="str">
        <f t="shared" si="3"/>
        <v>2010-2-1</v>
      </c>
    </row>
    <row r="52" spans="2:17" ht="189" customHeight="1" x14ac:dyDescent="0.2">
      <c r="B52" s="308" t="s">
        <v>427</v>
      </c>
      <c r="C52" s="304" t="s">
        <v>1256</v>
      </c>
      <c r="D52" s="327" t="s">
        <v>1013</v>
      </c>
      <c r="E52" s="324" t="s">
        <v>31</v>
      </c>
      <c r="F52" s="324" t="s">
        <v>417</v>
      </c>
      <c r="G52" s="349" t="str">
        <f>VLOOKUP(Q52,통합목록!$Q$4:$T$310,4,0)</f>
        <v>노동조합 동의 없이 개별 근로자의 동의로 변경한 인사규정을 근거로 한 휴직 명령 유지의 정당성</v>
      </c>
      <c r="H52" s="345"/>
      <c r="I52" s="345"/>
      <c r="J52" s="345"/>
      <c r="K52" s="345"/>
      <c r="L52" s="326"/>
      <c r="M52" s="363" t="str">
        <f>VLOOKUP(Q52,통합목록!$Q$4:$T$310,2,0)</f>
        <v>열기2-01.노동법\02.문제\[기출][1][2015-1-ii]노동조합 동의 없이 개별 근로자의 동의로 변경한 인사규정을 근거로 한 휴직 명령 유지의 정당성.txt</v>
      </c>
      <c r="N52" s="355" t="str">
        <f>VLOOKUP(Q52,통합목록!$Q$4:$T$310,3,0)</f>
        <v>B</v>
      </c>
      <c r="O52" s="364" t="str">
        <f t="shared" si="2"/>
        <v>제06장 인사처분-02</v>
      </c>
      <c r="Q52" s="313" t="str">
        <f t="shared" si="3"/>
        <v>2015-1-ii-1</v>
      </c>
    </row>
    <row r="53" spans="2:17" ht="189" customHeight="1" x14ac:dyDescent="0.2">
      <c r="B53" s="308" t="s">
        <v>427</v>
      </c>
      <c r="C53" s="304" t="s">
        <v>1256</v>
      </c>
      <c r="D53" s="327" t="s">
        <v>1163</v>
      </c>
      <c r="E53" s="324" t="s">
        <v>31</v>
      </c>
      <c r="F53" s="324" t="s">
        <v>426</v>
      </c>
      <c r="G53" s="349" t="str">
        <f>VLOOKUP(Q53,통합목록!$Q$4:$T$310,4,0)</f>
        <v>절차의 흠결이 있는 징계의 효력에 대한 노조 대표자 주장의 타당성+</v>
      </c>
      <c r="H53" s="345"/>
      <c r="I53" s="345"/>
      <c r="J53" s="345"/>
      <c r="K53" s="345"/>
      <c r="L53" s="326"/>
      <c r="M53" s="363" t="str">
        <f>VLOOKUP(Q53,통합목록!$Q$4:$T$310,2,0)</f>
        <v>열기2-01.노동법\02.문제\[기출][1][2023-1-2]절차의 흠결이 있는 징계의 효력에 대한 노조 대표자 주장의 타당성.txt</v>
      </c>
      <c r="N53" s="355" t="str">
        <f>VLOOKUP(Q53,통합목록!$Q$4:$T$310,3,0)</f>
        <v>B</v>
      </c>
      <c r="O53" s="364" t="str">
        <f t="shared" si="2"/>
        <v>제06장 인사처분-03</v>
      </c>
      <c r="Q53" s="313" t="str">
        <f t="shared" si="3"/>
        <v>2023-1-2-1</v>
      </c>
    </row>
    <row r="54" spans="2:17" ht="189" customHeight="1" thickBot="1" x14ac:dyDescent="0.25">
      <c r="B54" s="309" t="s">
        <v>427</v>
      </c>
      <c r="C54" s="328" t="s">
        <v>1256</v>
      </c>
      <c r="D54" s="329" t="s">
        <v>1164</v>
      </c>
      <c r="E54" s="330" t="s">
        <v>31</v>
      </c>
      <c r="F54" s="330" t="s">
        <v>430</v>
      </c>
      <c r="G54" s="350" t="str">
        <f>VLOOKUP(Q54,통합목록!$Q$4:$T$310,4,0)</f>
        <v>근무성적 불량 직원에 대한 직위해제・대기발령 처분의 정당성</v>
      </c>
      <c r="H54" s="346"/>
      <c r="I54" s="346"/>
      <c r="J54" s="346"/>
      <c r="K54" s="346"/>
      <c r="L54" s="331"/>
      <c r="M54" s="365" t="str">
        <f>VLOOKUP(Q54,통합목록!$Q$4:$T$310,2,0)</f>
        <v>열기2-01.노동법\02.문제\[기출][1][2014-1-1]근무성적 불량 직원에 대한 직위해제・대기발령 처분의 정당성.txt</v>
      </c>
      <c r="N54" s="356" t="str">
        <f>VLOOKUP(Q54,통합목록!$Q$4:$T$310,3,0)</f>
        <v>B</v>
      </c>
      <c r="O54" s="366" t="str">
        <f t="shared" si="2"/>
        <v>제06장 인사처분-04</v>
      </c>
      <c r="Q54" s="313" t="str">
        <f t="shared" si="3"/>
        <v>2014-1-1-1</v>
      </c>
    </row>
    <row r="55" spans="2:17" ht="189" customHeight="1" x14ac:dyDescent="0.2">
      <c r="B55" s="307" t="s">
        <v>423</v>
      </c>
      <c r="C55" s="332" t="s">
        <v>1256</v>
      </c>
      <c r="D55" s="333" t="s">
        <v>1165</v>
      </c>
      <c r="E55" s="334" t="s">
        <v>31</v>
      </c>
      <c r="F55" s="334" t="s">
        <v>415</v>
      </c>
      <c r="G55" s="351" t="str">
        <f>VLOOKUP(Q55,통합목록!$Q$4:$T$310,4,0)</f>
        <v>영업양도 상황에서 근로관계 승계 거부 시 회사와 근로자의 법률 관계</v>
      </c>
      <c r="H55" s="347"/>
      <c r="I55" s="347"/>
      <c r="J55" s="347"/>
      <c r="K55" s="347"/>
      <c r="L55" s="335"/>
      <c r="M55" s="367" t="str">
        <f>VLOOKUP(Q55,통합목록!$Q$4:$T$310,2,0)</f>
        <v>열기2-01.노동법\02.문제\[기출][1][2013-2]영업양도 상황에서 근로관계 승계 거부 시 회사와 근로자의 법률 관계.txt</v>
      </c>
      <c r="N55" s="357" t="str">
        <f>VLOOKUP(Q55,통합목록!$Q$4:$T$310,3,0)</f>
        <v>C</v>
      </c>
      <c r="O55" s="368" t="str">
        <f t="shared" si="2"/>
        <v>제07장 근로관계의 이전-01</v>
      </c>
      <c r="Q55" s="313" t="str">
        <f t="shared" si="3"/>
        <v>2013-2-1</v>
      </c>
    </row>
    <row r="56" spans="2:17" ht="189" customHeight="1" x14ac:dyDescent="0.2">
      <c r="B56" s="308" t="s">
        <v>423</v>
      </c>
      <c r="C56" s="304" t="s">
        <v>1256</v>
      </c>
      <c r="D56" s="327" t="s">
        <v>70</v>
      </c>
      <c r="E56" s="324" t="s">
        <v>31</v>
      </c>
      <c r="F56" s="324" t="s">
        <v>417</v>
      </c>
      <c r="G56" s="349" t="str">
        <f>VLOOKUP(Q56,통합목록!$Q$4:$T$310,4,0)</f>
        <v>영업양도 상황에서 회사 잔류를 희망한 근로자의 해고에 대한 정당성</v>
      </c>
      <c r="H56" s="345"/>
      <c r="I56" s="345"/>
      <c r="J56" s="345"/>
      <c r="K56" s="345"/>
      <c r="L56" s="326"/>
      <c r="M56" s="363" t="str">
        <f>VLOOKUP(Q56,통합목록!$Q$4:$T$310,2,0)</f>
        <v>열기2-01.노동법\02.문제\[기출][1][2024-1-2]영업양도 상황에서 회사 잔류를 희망한 근로자의 해고에 대한 정당성.txt</v>
      </c>
      <c r="N56" s="355" t="str">
        <f>VLOOKUP(Q56,통합목록!$Q$4:$T$310,3,0)</f>
        <v>C</v>
      </c>
      <c r="O56" s="364" t="str">
        <f t="shared" si="2"/>
        <v>제07장 근로관계의 이전-02</v>
      </c>
      <c r="Q56" s="313" t="str">
        <f t="shared" si="3"/>
        <v>2024-1-2-1</v>
      </c>
    </row>
    <row r="57" spans="2:17" ht="189" customHeight="1" x14ac:dyDescent="0.2">
      <c r="B57" s="308" t="s">
        <v>423</v>
      </c>
      <c r="C57" s="304" t="s">
        <v>1647</v>
      </c>
      <c r="D57" s="327" t="s">
        <v>1577</v>
      </c>
      <c r="E57" s="324" t="s">
        <v>31</v>
      </c>
      <c r="F57" s="324" t="s">
        <v>490</v>
      </c>
      <c r="G57" s="349" t="str">
        <f>VLOOKUP(Q57,통합목록!$Q$4:$T$310,4,0)</f>
        <v>기업 합병 시 특정 근로자에 대한 승계 거부 및 해고 통보의 법적 효력</v>
      </c>
      <c r="H57" s="345"/>
      <c r="I57" s="345"/>
      <c r="J57" s="345"/>
      <c r="K57" s="345"/>
      <c r="L57" s="326"/>
      <c r="M57" s="363" t="str">
        <f>VLOOKUP(Q57,통합목록!$Q$4:$T$310,2,0)</f>
        <v>열기2-01.노동법\02.문제\[모의][1][07.02-1]기업 합병 시 특정 근로자에 대한 승계 거부 및 해고 통보의 법적 효력.txt</v>
      </c>
      <c r="N57" s="355" t="str">
        <f>VLOOKUP(Q57,통합목록!$Q$4:$T$310,3,0)</f>
        <v>C</v>
      </c>
      <c r="O57" s="364" t="str">
        <f t="shared" si="2"/>
        <v>제07장 근로관계의 이전-03</v>
      </c>
      <c r="Q57" s="313" t="str">
        <f t="shared" si="3"/>
        <v>7.02-1-1</v>
      </c>
    </row>
    <row r="58" spans="2:17" ht="189" customHeight="1" x14ac:dyDescent="0.2">
      <c r="B58" s="308" t="s">
        <v>423</v>
      </c>
      <c r="C58" s="304" t="s">
        <v>1647</v>
      </c>
      <c r="D58" s="327" t="s">
        <v>1578</v>
      </c>
      <c r="E58" s="324" t="s">
        <v>31</v>
      </c>
      <c r="F58" s="324" t="s">
        <v>1736</v>
      </c>
      <c r="G58" s="349" t="str">
        <f>VLOOKUP(Q58,통합목록!$Q$4:$T$310,4,0)</f>
        <v>기업 합병 후 근로조건의 일방적 변경 및 취업규칙 적용의 법적 효력</v>
      </c>
      <c r="H58" s="345"/>
      <c r="I58" s="345"/>
      <c r="J58" s="345"/>
      <c r="K58" s="345"/>
      <c r="L58" s="326"/>
      <c r="M58" s="363" t="str">
        <f>VLOOKUP(Q58,통합목록!$Q$4:$T$310,2,0)</f>
        <v>열기2-01.노동법\02.문제\[모의][1][07.02-2]기업 합병 후 근로조건의 일방적 변경 및 취업규칙 적용의 법적 효력.txt</v>
      </c>
      <c r="N58" s="355" t="str">
        <f>VLOOKUP(Q58,통합목록!$Q$4:$T$310,3,0)</f>
        <v>C</v>
      </c>
      <c r="O58" s="364" t="str">
        <f t="shared" si="2"/>
        <v>제07장 근로관계의 이전-04</v>
      </c>
      <c r="Q58" s="313" t="str">
        <f t="shared" si="3"/>
        <v>7.02-2-1</v>
      </c>
    </row>
    <row r="59" spans="2:17" ht="189" customHeight="1" thickBot="1" x14ac:dyDescent="0.25">
      <c r="B59" s="309" t="s">
        <v>423</v>
      </c>
      <c r="C59" s="328" t="s">
        <v>1256</v>
      </c>
      <c r="D59" s="329" t="s">
        <v>1166</v>
      </c>
      <c r="E59" s="330" t="s">
        <v>31</v>
      </c>
      <c r="F59" s="330" t="s">
        <v>501</v>
      </c>
      <c r="G59" s="350" t="str">
        <f>VLOOKUP(Q59,통합목록!$Q$4:$T$310,4,0)</f>
        <v>회사분할에 따른 근로관계 승계 시 개별 근로자의 거부권 행사 가능 여부</v>
      </c>
      <c r="H59" s="346"/>
      <c r="I59" s="346"/>
      <c r="J59" s="346"/>
      <c r="K59" s="346"/>
      <c r="L59" s="331"/>
      <c r="M59" s="365" t="str">
        <f>VLOOKUP(Q59,통합목록!$Q$4:$T$310,2,0)</f>
        <v>열기2-01.노동법\02.문제\[기출][1][2015-2]회사분할에 따른 근로관계 승계 시 개별 근로자의 거부권 행사 가능 여부.txt</v>
      </c>
      <c r="N59" s="356" t="str">
        <f>VLOOKUP(Q59,통합목록!$Q$4:$T$310,3,0)</f>
        <v>C</v>
      </c>
      <c r="O59" s="366" t="str">
        <f t="shared" si="2"/>
        <v>제07장 근로관계의 이전-05</v>
      </c>
      <c r="Q59" s="313" t="str">
        <f t="shared" si="3"/>
        <v>2015-2-1</v>
      </c>
    </row>
    <row r="60" spans="2:17" ht="189" customHeight="1" x14ac:dyDescent="0.2">
      <c r="B60" s="307" t="s">
        <v>414</v>
      </c>
      <c r="C60" s="332" t="s">
        <v>1256</v>
      </c>
      <c r="D60" s="333" t="s">
        <v>113</v>
      </c>
      <c r="E60" s="334" t="s">
        <v>31</v>
      </c>
      <c r="F60" s="334" t="s">
        <v>415</v>
      </c>
      <c r="G60" s="351" t="str">
        <f>VLOOKUP(Q60,통합목록!$Q$4:$T$310,4,0)</f>
        <v>경영상 이유에 의한 해고의 의의, 요건, 절차 및 구제, 재고용 의무</v>
      </c>
      <c r="H60" s="347"/>
      <c r="I60" s="347"/>
      <c r="J60" s="347"/>
      <c r="K60" s="347"/>
      <c r="L60" s="335"/>
      <c r="M60" s="367" t="str">
        <f>VLOOKUP(Q60,통합목록!$Q$4:$T$310,2,0)</f>
        <v>열기2-01.노동법\02.문제\[기출][1][2008-1]경영상 이유에 의한 해고의 의의, 요건, 절차 및 구제, 재고용 의무.txt</v>
      </c>
      <c r="N60" s="357" t="str">
        <f>VLOOKUP(Q60,통합목록!$Q$4:$T$310,3,0)</f>
        <v>B</v>
      </c>
      <c r="O60" s="368" t="str">
        <f t="shared" si="2"/>
        <v>제08장 근로관계의 종료-01</v>
      </c>
      <c r="Q60" s="313" t="str">
        <f t="shared" si="3"/>
        <v>2008-1-1</v>
      </c>
    </row>
    <row r="61" spans="2:17" ht="189" customHeight="1" x14ac:dyDescent="0.2">
      <c r="B61" s="308" t="s">
        <v>414</v>
      </c>
      <c r="C61" s="304" t="s">
        <v>1256</v>
      </c>
      <c r="D61" s="327" t="s">
        <v>79</v>
      </c>
      <c r="E61" s="324" t="s">
        <v>31</v>
      </c>
      <c r="F61" s="324" t="s">
        <v>417</v>
      </c>
      <c r="G61" s="349" t="str">
        <f>VLOOKUP(Q61,통합목록!$Q$4:$T$310,4,0)</f>
        <v>직위해제 및 대기발령 이후 재발령 없이 당연퇴직된 처분의 정당성</v>
      </c>
      <c r="H61" s="345"/>
      <c r="I61" s="345"/>
      <c r="J61" s="345"/>
      <c r="K61" s="345"/>
      <c r="L61" s="326"/>
      <c r="M61" s="363" t="str">
        <f>VLOOKUP(Q61,통합목록!$Q$4:$T$310,2,0)</f>
        <v>열기2-01.노동법\02.문제\[기출][1][2014-1-2]직위해제 및 대기발령 이후 재발령 없이 당연퇴직된 처분의 정당성.txt</v>
      </c>
      <c r="N61" s="355" t="str">
        <f>VLOOKUP(Q61,통합목록!$Q$4:$T$310,3,0)</f>
        <v>B</v>
      </c>
      <c r="O61" s="364" t="str">
        <f t="shared" si="2"/>
        <v>제08장 근로관계의 종료-02</v>
      </c>
      <c r="Q61" s="313" t="str">
        <f t="shared" si="3"/>
        <v>2014-1-2-1</v>
      </c>
    </row>
    <row r="62" spans="2:17" ht="189" customHeight="1" x14ac:dyDescent="0.2">
      <c r="B62" s="308" t="s">
        <v>414</v>
      </c>
      <c r="C62" s="304" t="s">
        <v>1256</v>
      </c>
      <c r="D62" s="327" t="s">
        <v>78</v>
      </c>
      <c r="E62" s="324" t="s">
        <v>31</v>
      </c>
      <c r="F62" s="324" t="s">
        <v>490</v>
      </c>
      <c r="G62" s="349" t="str">
        <f>VLOOKUP(Q62,통합목록!$Q$4:$T$310,4,0)</f>
        <v>이력서 허위 기재를 근거로 한 해고의 정당성</v>
      </c>
      <c r="H62" s="345"/>
      <c r="I62" s="345"/>
      <c r="J62" s="345"/>
      <c r="K62" s="345"/>
      <c r="L62" s="326"/>
      <c r="M62" s="363" t="str">
        <f>VLOOKUP(Q62,통합목록!$Q$4:$T$310,2,0)</f>
        <v>열기2-01.노동법\02.문제\[기출][1][2016-1-2]이력서 허위 기재를 근거로 한 해고의 정당성.txt</v>
      </c>
      <c r="N62" s="355" t="str">
        <f>VLOOKUP(Q62,통합목록!$Q$4:$T$310,3,0)</f>
        <v>B</v>
      </c>
      <c r="O62" s="364" t="str">
        <f t="shared" si="2"/>
        <v>제08장 근로관계의 종료-03</v>
      </c>
      <c r="Q62" s="313" t="str">
        <f t="shared" si="3"/>
        <v>2016-1-2-1</v>
      </c>
    </row>
    <row r="63" spans="2:17" ht="189" customHeight="1" x14ac:dyDescent="0.2">
      <c r="B63" s="308" t="s">
        <v>414</v>
      </c>
      <c r="C63" s="304" t="s">
        <v>1256</v>
      </c>
      <c r="D63" s="327" t="s">
        <v>77</v>
      </c>
      <c r="E63" s="324" t="s">
        <v>31</v>
      </c>
      <c r="F63" s="324" t="s">
        <v>1736</v>
      </c>
      <c r="G63" s="349" t="str">
        <f>VLOOKUP(Q63,통합목록!$Q$4:$T$310,4,0)</f>
        <v>확정되지 않은 징계사유로 단행된 해고의 정당성</v>
      </c>
      <c r="H63" s="345"/>
      <c r="I63" s="345"/>
      <c r="J63" s="345"/>
      <c r="K63" s="345"/>
      <c r="L63" s="326"/>
      <c r="M63" s="363" t="str">
        <f>VLOOKUP(Q63,통합목록!$Q$4:$T$310,2,0)</f>
        <v>열기2-01.노동법\02.문제\[기출][1][2017-1-1]확정되지 않은 징계사유로 단행된 해고의 정당성.txt</v>
      </c>
      <c r="N63" s="355" t="str">
        <f>VLOOKUP(Q63,통합목록!$Q$4:$T$310,3,0)</f>
        <v>B</v>
      </c>
      <c r="O63" s="364" t="str">
        <f t="shared" si="2"/>
        <v>제08장 근로관계의 종료-04</v>
      </c>
      <c r="Q63" s="313" t="str">
        <f t="shared" si="3"/>
        <v>2017-1-1-1</v>
      </c>
    </row>
    <row r="64" spans="2:17" ht="189" customHeight="1" x14ac:dyDescent="0.2">
      <c r="B64" s="308" t="s">
        <v>414</v>
      </c>
      <c r="C64" s="304" t="s">
        <v>1256</v>
      </c>
      <c r="D64" s="327" t="s">
        <v>76</v>
      </c>
      <c r="E64" s="324" t="s">
        <v>31</v>
      </c>
      <c r="F64" s="324" t="s">
        <v>501</v>
      </c>
      <c r="G64" s="349" t="str">
        <f>VLOOKUP(Q64,통합목록!$Q$4:$T$310,4,0)</f>
        <v>경영상 이유에 의한 해고 대상자 선정 기준의 위법성</v>
      </c>
      <c r="H64" s="345"/>
      <c r="I64" s="345"/>
      <c r="J64" s="345"/>
      <c r="K64" s="345"/>
      <c r="L64" s="326"/>
      <c r="M64" s="363" t="str">
        <f>VLOOKUP(Q64,통합목록!$Q$4:$T$310,2,0)</f>
        <v>열기2-01.노동법\02.문제\[기출][1][2019-1-1]경영상 이유에 의한 해고 대상자 선정 기준의 위법성.txt</v>
      </c>
      <c r="N64" s="355" t="str">
        <f>VLOOKUP(Q64,통합목록!$Q$4:$T$310,3,0)</f>
        <v>B</v>
      </c>
      <c r="O64" s="364" t="str">
        <f t="shared" si="2"/>
        <v>제08장 근로관계의 종료-05</v>
      </c>
      <c r="Q64" s="313" t="str">
        <f t="shared" si="3"/>
        <v>2019-1-1-1</v>
      </c>
    </row>
    <row r="65" spans="2:17" ht="189" customHeight="1" x14ac:dyDescent="0.2">
      <c r="B65" s="308" t="s">
        <v>414</v>
      </c>
      <c r="C65" s="304" t="s">
        <v>1256</v>
      </c>
      <c r="D65" s="327" t="s">
        <v>75</v>
      </c>
      <c r="E65" s="324" t="s">
        <v>31</v>
      </c>
      <c r="F65" s="324" t="s">
        <v>507</v>
      </c>
      <c r="G65" s="349" t="str">
        <f>VLOOKUP(Q65,통합목록!$Q$4:$T$310,4,0)</f>
        <v>근무성적 불량 저성과자 해고의 정당성 요건 및 해고처분의 타당성 여부</v>
      </c>
      <c r="H65" s="345"/>
      <c r="I65" s="345"/>
      <c r="J65" s="345"/>
      <c r="K65" s="345"/>
      <c r="L65" s="326"/>
      <c r="M65" s="363" t="str">
        <f>VLOOKUP(Q65,통합목록!$Q$4:$T$310,2,0)</f>
        <v>열기2-01.노동법\02.문제\[기출][1][2022-1-1]근무성적 불량 저성과자 해고의 정당성 요건 및 해고처분의 타당성 여부.txt</v>
      </c>
      <c r="N65" s="355" t="str">
        <f>VLOOKUP(Q65,통합목록!$Q$4:$T$310,3,0)</f>
        <v>B</v>
      </c>
      <c r="O65" s="364" t="str">
        <f t="shared" si="2"/>
        <v>제08장 근로관계의 종료-06</v>
      </c>
      <c r="Q65" s="313" t="str">
        <f t="shared" si="3"/>
        <v>2022-1-1-1</v>
      </c>
    </row>
    <row r="66" spans="2:17" ht="189" customHeight="1" x14ac:dyDescent="0.2">
      <c r="B66" s="308" t="s">
        <v>414</v>
      </c>
      <c r="C66" s="304" t="s">
        <v>1256</v>
      </c>
      <c r="D66" s="327" t="s">
        <v>1167</v>
      </c>
      <c r="E66" s="324" t="s">
        <v>31</v>
      </c>
      <c r="F66" s="324" t="s">
        <v>1737</v>
      </c>
      <c r="G66" s="349" t="str">
        <f>VLOOKUP(Q66,통합목록!$Q$4:$T$310,4,0)</f>
        <v>경영상 이유에 의한 해고 대상자 선정 기준에 대한 합리성 및 공정성</v>
      </c>
      <c r="H66" s="345"/>
      <c r="I66" s="345"/>
      <c r="J66" s="345"/>
      <c r="K66" s="345"/>
      <c r="L66" s="326"/>
      <c r="M66" s="363" t="str">
        <f>VLOOKUP(Q66,통합목록!$Q$4:$T$310,2,0)</f>
        <v>열기2-01.노동법\02.문제\[기출][1][2023-1-1]경영상 이유에 의한 해고 대상자 선정 기준에 대한 합리성 및 공정성.txt</v>
      </c>
      <c r="N66" s="355" t="str">
        <f>VLOOKUP(Q66,통합목록!$Q$4:$T$310,3,0)</f>
        <v>B</v>
      </c>
      <c r="O66" s="364" t="str">
        <f t="shared" si="2"/>
        <v>제08장 근로관계의 종료-07</v>
      </c>
      <c r="Q66" s="313" t="str">
        <f t="shared" si="3"/>
        <v>2023-1-1-1</v>
      </c>
    </row>
    <row r="67" spans="2:17" ht="189" customHeight="1" x14ac:dyDescent="0.2">
      <c r="B67" s="308" t="s">
        <v>414</v>
      </c>
      <c r="C67" s="304" t="s">
        <v>1256</v>
      </c>
      <c r="D67" s="327" t="s">
        <v>1726</v>
      </c>
      <c r="E67" s="324" t="s">
        <v>419</v>
      </c>
      <c r="F67" s="324" t="s">
        <v>1738</v>
      </c>
      <c r="G67" s="349" t="str">
        <f>VLOOKUP(Q67,통합목록!$Q$4:$T$310,4,0)</f>
        <v>영업양도 상황에서 회사 잔류를 희망한 근로자의 해고에 대한 정당성</v>
      </c>
      <c r="H67" s="345"/>
      <c r="I67" s="345"/>
      <c r="J67" s="345"/>
      <c r="K67" s="345"/>
      <c r="L67" s="326"/>
      <c r="M67" s="363" t="str">
        <f>VLOOKUP(Q67,통합목록!$Q$4:$T$310,2,0)</f>
        <v>열기2-01.노동법\02.문제\[기출][1][2024-1-2]영업양도 상황에서 회사 잔류를 희망한 근로자의 해고에 대한 정당성.txt</v>
      </c>
      <c r="N67" s="355" t="str">
        <f>VLOOKUP(Q67,통합목록!$Q$4:$T$310,3,0)</f>
        <v>C</v>
      </c>
      <c r="O67" s="364" t="str">
        <f t="shared" si="2"/>
        <v>제08장 근로관계의 종료-08</v>
      </c>
      <c r="Q67" s="313" t="str">
        <f t="shared" si="3"/>
        <v>2024-1-2-1</v>
      </c>
    </row>
    <row r="68" spans="2:17" ht="189" customHeight="1" x14ac:dyDescent="0.2">
      <c r="B68" s="308" t="s">
        <v>414</v>
      </c>
      <c r="C68" s="304" t="s">
        <v>1256</v>
      </c>
      <c r="D68" s="327" t="s">
        <v>72</v>
      </c>
      <c r="E68" s="324" t="s">
        <v>31</v>
      </c>
      <c r="F68" s="324" t="s">
        <v>1739</v>
      </c>
      <c r="G68" s="349" t="str">
        <f>VLOOKUP(Q68,통합목록!$Q$4:$T$310,4,0)</f>
        <v>우선재고용의무 위반에 따른 근로자 지위 인정 여부</v>
      </c>
      <c r="H68" s="345"/>
      <c r="I68" s="345"/>
      <c r="J68" s="345"/>
      <c r="K68" s="345"/>
      <c r="L68" s="326"/>
      <c r="M68" s="363" t="str">
        <f>VLOOKUP(Q68,통합목록!$Q$4:$T$310,2,0)</f>
        <v>열기2-01.노동법\02.문제\[기출][1][2025-1-1]우선재고용의무 위반에 따른 근로자 지위 인정 여부.txt</v>
      </c>
      <c r="N68" s="355" t="str">
        <f>VLOOKUP(Q68,통합목록!$Q$4:$T$310,3,0)</f>
        <v>B</v>
      </c>
      <c r="O68" s="364" t="str">
        <f t="shared" ref="O68:O99" si="4">B68&amp;"-"&amp;F68</f>
        <v>제08장 근로관계의 종료-09</v>
      </c>
      <c r="Q68" s="313" t="str">
        <f t="shared" ref="Q68:Q99" si="5">D68&amp;"-"&amp;E68</f>
        <v>2025-1-1-1</v>
      </c>
    </row>
    <row r="69" spans="2:17" ht="189" customHeight="1" x14ac:dyDescent="0.2">
      <c r="B69" s="308" t="s">
        <v>414</v>
      </c>
      <c r="C69" s="304" t="s">
        <v>1256</v>
      </c>
      <c r="D69" s="327" t="s">
        <v>73</v>
      </c>
      <c r="E69" s="324" t="s">
        <v>31</v>
      </c>
      <c r="F69" s="324" t="s">
        <v>1740</v>
      </c>
      <c r="G69" s="349" t="str">
        <f>VLOOKUP(Q69,통합목록!$Q$4:$T$310,4,0)</f>
        <v>우선재고용의무 위반 시 손해배상의무의 발생 시점 및 배상액 산정 방식(중간수입공제)</v>
      </c>
      <c r="H69" s="345"/>
      <c r="I69" s="345"/>
      <c r="J69" s="345"/>
      <c r="K69" s="345"/>
      <c r="L69" s="326"/>
      <c r="M69" s="363" t="str">
        <f>VLOOKUP(Q69,통합목록!$Q$4:$T$310,2,0)</f>
        <v>열기2-01.노동법\02.문제\[기출][1][2025-1-2]우선재고용의무 위반 시 손해배상의무의 발생 시점 및 배상액 산정 방식(중간수입공제).txt</v>
      </c>
      <c r="N69" s="355" t="str">
        <f>VLOOKUP(Q69,통합목록!$Q$4:$T$310,3,0)</f>
        <v>B</v>
      </c>
      <c r="O69" s="364" t="str">
        <f t="shared" si="4"/>
        <v>제08장 근로관계의 종료-10</v>
      </c>
      <c r="Q69" s="313" t="str">
        <f t="shared" si="5"/>
        <v>2025-1-2-1</v>
      </c>
    </row>
    <row r="70" spans="2:17" ht="189" customHeight="1" x14ac:dyDescent="0.2">
      <c r="B70" s="308" t="s">
        <v>414</v>
      </c>
      <c r="C70" s="304" t="s">
        <v>1647</v>
      </c>
      <c r="D70" s="327" t="s">
        <v>1704</v>
      </c>
      <c r="E70" s="324" t="s">
        <v>31</v>
      </c>
      <c r="F70" s="324" t="s">
        <v>1741</v>
      </c>
      <c r="G70" s="349" t="str">
        <f>VLOOKUP(Q70,통합목록!$Q$4:$T$310,4,0)</f>
        <v>권고사직을 거부한 근로자에 대한 해고 방안</v>
      </c>
      <c r="H70" s="345"/>
      <c r="I70" s="345"/>
      <c r="J70" s="345"/>
      <c r="K70" s="345"/>
      <c r="L70" s="326"/>
      <c r="M70" s="363" t="str">
        <f>VLOOKUP(Q70,통합목록!$Q$4:$T$310,2,0)</f>
        <v>열기2-01.노동법\02.문제\[모의][1][08.02-1]권고사직을 거부한 근로자에 대한 해고 방안.txt</v>
      </c>
      <c r="N70" s="355" t="str">
        <f>VLOOKUP(Q70,통합목록!$Q$4:$T$310,3,0)</f>
        <v>A</v>
      </c>
      <c r="O70" s="364" t="str">
        <f t="shared" si="4"/>
        <v>제08장 근로관계의 종료-11</v>
      </c>
      <c r="Q70" s="313" t="str">
        <f t="shared" si="5"/>
        <v>8.02-1-1</v>
      </c>
    </row>
    <row r="71" spans="2:17" ht="189" customHeight="1" x14ac:dyDescent="0.2">
      <c r="B71" s="308" t="s">
        <v>414</v>
      </c>
      <c r="C71" s="304" t="s">
        <v>1256</v>
      </c>
      <c r="D71" s="327" t="s">
        <v>82</v>
      </c>
      <c r="E71" s="324" t="s">
        <v>31</v>
      </c>
      <c r="F71" s="324" t="s">
        <v>1742</v>
      </c>
      <c r="G71" s="349" t="str">
        <f>VLOOKUP(Q71,통합목록!$Q$4:$T$310,4,0)</f>
        <v>해고의 예고와 해고의 서면 통지에 대한 의의, 내용, 예외, 법적 효과</v>
      </c>
      <c r="H71" s="345"/>
      <c r="I71" s="345"/>
      <c r="J71" s="345"/>
      <c r="K71" s="345"/>
      <c r="L71" s="326"/>
      <c r="M71" s="363" t="str">
        <f>VLOOKUP(Q71,통합목록!$Q$4:$T$310,2,0)</f>
        <v>열기2-01.노동법\02.문제\[기출][1][2009-1]해고의 예고와 해고의 서면 통지에 대한 의의, 내용, 예외, 법적 효과.txt</v>
      </c>
      <c r="N71" s="355" t="str">
        <f>VLOOKUP(Q71,통합목록!$Q$4:$T$310,3,0)</f>
        <v>A</v>
      </c>
      <c r="O71" s="364" t="str">
        <f t="shared" si="4"/>
        <v>제08장 근로관계의 종료-12</v>
      </c>
      <c r="Q71" s="313" t="str">
        <f t="shared" si="5"/>
        <v>2009-1-1</v>
      </c>
    </row>
    <row r="72" spans="2:17" ht="189" customHeight="1" x14ac:dyDescent="0.2">
      <c r="B72" s="308" t="s">
        <v>414</v>
      </c>
      <c r="C72" s="304" t="s">
        <v>1256</v>
      </c>
      <c r="D72" s="327" t="s">
        <v>237</v>
      </c>
      <c r="E72" s="324" t="s">
        <v>31</v>
      </c>
      <c r="F72" s="324" t="s">
        <v>1743</v>
      </c>
      <c r="G72" s="349" t="str">
        <f>VLOOKUP(Q72,통합목록!$Q$4:$T$310,4,0)</f>
        <v>기간제 근로자와 회사가 주장할 수 있는 해고 관련 노동법상 쟁점(해고의 절차 및 구제신청의 이익)</v>
      </c>
      <c r="H72" s="345"/>
      <c r="I72" s="345"/>
      <c r="J72" s="345"/>
      <c r="K72" s="345"/>
      <c r="L72" s="326"/>
      <c r="M72" s="363" t="str">
        <f>VLOOKUP(Q72,통합목록!$Q$4:$T$310,2,0)</f>
        <v>열기2-01.노동법\02.문제\[기출][1][2011-2]기간제 근로자와 회사가 주장할 수 있는 해고 관련 노동법상 쟁점(해고의 절차 및 구제신청의 이익).txt</v>
      </c>
      <c r="N72" s="355" t="str">
        <f>VLOOKUP(Q72,통합목록!$Q$4:$T$310,3,0)</f>
        <v>A</v>
      </c>
      <c r="O72" s="364" t="str">
        <f t="shared" si="4"/>
        <v>제08장 근로관계의 종료-13</v>
      </c>
      <c r="Q72" s="313" t="str">
        <f t="shared" si="5"/>
        <v>2011-2-1</v>
      </c>
    </row>
    <row r="73" spans="2:17" ht="189" customHeight="1" x14ac:dyDescent="0.2">
      <c r="B73" s="308" t="s">
        <v>414</v>
      </c>
      <c r="C73" s="304" t="s">
        <v>1256</v>
      </c>
      <c r="D73" s="327" t="s">
        <v>79</v>
      </c>
      <c r="E73" s="324" t="s">
        <v>27</v>
      </c>
      <c r="F73" s="324" t="s">
        <v>1744</v>
      </c>
      <c r="G73" s="349" t="str">
        <f>VLOOKUP(Q73,통합목록!$Q$4:$T$310,4,0)</f>
        <v>단체협약상 규정된 합의 없이 실시한 정리해고의 유효성</v>
      </c>
      <c r="H73" s="345"/>
      <c r="I73" s="345"/>
      <c r="J73" s="345"/>
      <c r="K73" s="345"/>
      <c r="L73" s="326"/>
      <c r="M73" s="363" t="str">
        <f>VLOOKUP(Q73,통합목록!$Q$4:$T$310,2,0)</f>
        <v>열기2-01.노동법\02.문제\[기출][2][2014-1-2]단체협약상 규정된 합의 없이 실시한 정리해고의 유효성.txt</v>
      </c>
      <c r="N73" s="355" t="str">
        <f>VLOOKUP(Q73,통합목록!$Q$4:$T$310,3,0)</f>
        <v>A</v>
      </c>
      <c r="O73" s="364" t="str">
        <f t="shared" si="4"/>
        <v>제08장 근로관계의 종료-14</v>
      </c>
      <c r="Q73" s="313" t="str">
        <f t="shared" si="5"/>
        <v>2014-1-2-2</v>
      </c>
    </row>
    <row r="74" spans="2:17" ht="189" customHeight="1" x14ac:dyDescent="0.2">
      <c r="B74" s="308" t="s">
        <v>414</v>
      </c>
      <c r="C74" s="304" t="s">
        <v>1256</v>
      </c>
      <c r="D74" s="327" t="s">
        <v>1116</v>
      </c>
      <c r="E74" s="324" t="s">
        <v>31</v>
      </c>
      <c r="F74" s="324" t="s">
        <v>1745</v>
      </c>
      <c r="G74" s="349" t="str">
        <f>VLOOKUP(Q74,통합목록!$Q$4:$T$310,4,0)</f>
        <v>시용기간 만료 시 본채용 거부의 해고 여부 및 구두 통보의 정당성</v>
      </c>
      <c r="H74" s="345"/>
      <c r="I74" s="345"/>
      <c r="J74" s="345"/>
      <c r="K74" s="345"/>
      <c r="L74" s="326"/>
      <c r="M74" s="363" t="str">
        <f>VLOOKUP(Q74,통합목록!$Q$4:$T$310,2,0)</f>
        <v>열기2-01.노동법\02.문제\[기출][1][2016-2]시용기간 만료 시 본채용 거부의 해고 여부 및 구두 통보의 정당성.txt</v>
      </c>
      <c r="N74" s="355" t="str">
        <f>VLOOKUP(Q74,통합목록!$Q$4:$T$310,3,0)</f>
        <v>A</v>
      </c>
      <c r="O74" s="364" t="str">
        <f t="shared" si="4"/>
        <v>제08장 근로관계의 종료-15</v>
      </c>
      <c r="Q74" s="313" t="str">
        <f t="shared" si="5"/>
        <v>2016-2-1</v>
      </c>
    </row>
    <row r="75" spans="2:17" ht="189" customHeight="1" x14ac:dyDescent="0.2">
      <c r="B75" s="308" t="s">
        <v>414</v>
      </c>
      <c r="C75" s="304" t="s">
        <v>1256</v>
      </c>
      <c r="D75" s="327" t="s">
        <v>1168</v>
      </c>
      <c r="E75" s="324" t="s">
        <v>31</v>
      </c>
      <c r="F75" s="324" t="s">
        <v>1746</v>
      </c>
      <c r="G75" s="349" t="str">
        <f>VLOOKUP(Q75,통합목록!$Q$4:$T$310,4,0)</f>
        <v>근로자가 해고사유를 구두로 인지하고 있는 경우 해고통지서상 해고사유 기재 누락 시 근로기준법 위반 여부</v>
      </c>
      <c r="H75" s="345"/>
      <c r="I75" s="345"/>
      <c r="J75" s="345"/>
      <c r="K75" s="345"/>
      <c r="L75" s="326"/>
      <c r="M75" s="363" t="str">
        <f>VLOOKUP(Q75,통합목록!$Q$4:$T$310,2,0)</f>
        <v>열기2-01.노동법\02.문제\[기출][1][2022-1-2]근로자가 해고사유를 구두로 인지하고 있는 경우 해고통지서상 해고사유 기재 누락 시 근로기준법 위반 여부.txt</v>
      </c>
      <c r="N75" s="355" t="str">
        <f>VLOOKUP(Q75,통합목록!$Q$4:$T$310,3,0)</f>
        <v>A</v>
      </c>
      <c r="O75" s="364" t="str">
        <f t="shared" si="4"/>
        <v>제08장 근로관계의 종료-16</v>
      </c>
      <c r="Q75" s="313" t="str">
        <f t="shared" si="5"/>
        <v>2022-1-2-1</v>
      </c>
    </row>
    <row r="76" spans="2:17" ht="189" customHeight="1" x14ac:dyDescent="0.2">
      <c r="B76" s="308" t="s">
        <v>414</v>
      </c>
      <c r="C76" s="304" t="s">
        <v>1647</v>
      </c>
      <c r="D76" s="327" t="s">
        <v>1704</v>
      </c>
      <c r="E76" s="324" t="s">
        <v>31</v>
      </c>
      <c r="F76" s="324" t="s">
        <v>1747</v>
      </c>
      <c r="G76" s="349" t="str">
        <f>VLOOKUP(Q76,통합목록!$Q$4:$T$310,4,0)</f>
        <v>권고사직을 거부한 근로자에 대한 해고 방안</v>
      </c>
      <c r="H76" s="345"/>
      <c r="I76" s="345"/>
      <c r="J76" s="345"/>
      <c r="K76" s="345"/>
      <c r="L76" s="326"/>
      <c r="M76" s="363" t="str">
        <f>VLOOKUP(Q76,통합목록!$Q$4:$T$310,2,0)</f>
        <v>열기2-01.노동법\02.문제\[모의][1][08.02-1]권고사직을 거부한 근로자에 대한 해고 방안.txt</v>
      </c>
      <c r="N76" s="355" t="str">
        <f>VLOOKUP(Q76,통합목록!$Q$4:$T$310,3,0)</f>
        <v>A</v>
      </c>
      <c r="O76" s="364" t="str">
        <f t="shared" si="4"/>
        <v>제08장 근로관계의 종료-17</v>
      </c>
      <c r="Q76" s="313" t="str">
        <f t="shared" si="5"/>
        <v>8.02-1-1</v>
      </c>
    </row>
    <row r="77" spans="2:17" ht="189" customHeight="1" x14ac:dyDescent="0.2">
      <c r="B77" s="308" t="s">
        <v>414</v>
      </c>
      <c r="C77" s="304" t="s">
        <v>1256</v>
      </c>
      <c r="D77" s="327" t="s">
        <v>284</v>
      </c>
      <c r="E77" s="324" t="s">
        <v>31</v>
      </c>
      <c r="F77" s="324" t="s">
        <v>1748</v>
      </c>
      <c r="G77" s="349" t="str">
        <f>VLOOKUP(Q77,통합목록!$Q$4:$T$310,4,0)</f>
        <v>정년 도달로 근로관계가 종료된 경우 부당해고 재심판정취소소송의 소의 이익 존부</v>
      </c>
      <c r="H77" s="345"/>
      <c r="I77" s="345"/>
      <c r="J77" s="345"/>
      <c r="K77" s="345"/>
      <c r="L77" s="326"/>
      <c r="M77" s="363" t="str">
        <f>VLOOKUP(Q77,통합목록!$Q$4:$T$310,2,0)</f>
        <v>열기2-01.노동법\02.문제\[기출][1][2021-2]정년 도달로 근로관계가 종료된 경우 부당해고 재심판정취소소송의 소의 이익 존부.txt</v>
      </c>
      <c r="N77" s="355" t="str">
        <f>VLOOKUP(Q77,통합목록!$Q$4:$T$310,3,0)</f>
        <v>C</v>
      </c>
      <c r="O77" s="364" t="str">
        <f t="shared" si="4"/>
        <v>제08장 근로관계의 종료-18</v>
      </c>
      <c r="Q77" s="313" t="str">
        <f t="shared" si="5"/>
        <v>2021-2-1</v>
      </c>
    </row>
    <row r="78" spans="2:17" ht="189" customHeight="1" thickBot="1" x14ac:dyDescent="0.25">
      <c r="B78" s="309" t="s">
        <v>414</v>
      </c>
      <c r="C78" s="328" t="s">
        <v>1256</v>
      </c>
      <c r="D78" s="329" t="s">
        <v>282</v>
      </c>
      <c r="E78" s="330" t="s">
        <v>31</v>
      </c>
      <c r="F78" s="330" t="s">
        <v>1749</v>
      </c>
      <c r="G78" s="350" t="str">
        <f>VLOOKUP(Q78,통합목록!$Q$4:$T$310,4,0)</f>
        <v>부당해고 기간 중 중간수입공제의 범위와 최종 임금상당액 산정</v>
      </c>
      <c r="H78" s="346"/>
      <c r="I78" s="346"/>
      <c r="J78" s="346"/>
      <c r="K78" s="346"/>
      <c r="L78" s="331"/>
      <c r="M78" s="365" t="str">
        <f>VLOOKUP(Q78,통합목록!$Q$4:$T$310,2,0)</f>
        <v>열기2-01.노동법\02.문제\[기출][1][2024-2]부당해고 기간 중 중간수입공제의 범위와 최종 임금상당액 산정.txt</v>
      </c>
      <c r="N78" s="356" t="str">
        <f>VLOOKUP(Q78,통합목록!$Q$4:$T$310,3,0)</f>
        <v>C</v>
      </c>
      <c r="O78" s="366" t="str">
        <f t="shared" si="4"/>
        <v>제08장 근로관계의 종료-19</v>
      </c>
      <c r="Q78" s="313" t="str">
        <f t="shared" si="5"/>
        <v>2024-2-1</v>
      </c>
    </row>
    <row r="79" spans="2:17" ht="189" customHeight="1" x14ac:dyDescent="0.2">
      <c r="B79" s="307" t="s">
        <v>421</v>
      </c>
      <c r="C79" s="332" t="s">
        <v>1256</v>
      </c>
      <c r="D79" s="333" t="s">
        <v>237</v>
      </c>
      <c r="E79" s="334" t="s">
        <v>31</v>
      </c>
      <c r="F79" s="334" t="s">
        <v>415</v>
      </c>
      <c r="G79" s="351" t="str">
        <f>VLOOKUP(Q79,통합목록!$Q$4:$T$310,4,0)</f>
        <v>기간제 근로자와 회사가 주장할 수 있는 해고 관련 노동법상 쟁점(해고의 절차 및 구제신청의 이익)</v>
      </c>
      <c r="H79" s="347"/>
      <c r="I79" s="347"/>
      <c r="J79" s="347"/>
      <c r="K79" s="347"/>
      <c r="L79" s="335"/>
      <c r="M79" s="367" t="str">
        <f>VLOOKUP(Q79,통합목록!$Q$4:$T$310,2,0)</f>
        <v>열기2-01.노동법\02.문제\[기출][1][2011-2]기간제 근로자와 회사가 주장할 수 있는 해고 관련 노동법상 쟁점(해고의 절차 및 구제신청의 이익).txt</v>
      </c>
      <c r="N79" s="357" t="str">
        <f>VLOOKUP(Q79,통합목록!$Q$4:$T$310,3,0)</f>
        <v>A</v>
      </c>
      <c r="O79" s="368" t="str">
        <f t="shared" si="4"/>
        <v>제09장 비정규근로자-01</v>
      </c>
      <c r="Q79" s="313" t="str">
        <f t="shared" si="5"/>
        <v>2011-2-1</v>
      </c>
    </row>
    <row r="80" spans="2:17" ht="189" customHeight="1" x14ac:dyDescent="0.2">
      <c r="B80" s="308" t="s">
        <v>421</v>
      </c>
      <c r="C80" s="304" t="s">
        <v>1256</v>
      </c>
      <c r="D80" s="327" t="s">
        <v>1169</v>
      </c>
      <c r="E80" s="324" t="s">
        <v>31</v>
      </c>
      <c r="F80" s="324" t="s">
        <v>417</v>
      </c>
      <c r="G80" s="349" t="str">
        <f>VLOOKUP(Q80,통합목록!$Q$4:$T$310,4,0)</f>
        <v>기간제 근로계약 만료 시 사용자의 갱신거절이 부당해고에 해당하는지에 관한 판례법리</v>
      </c>
      <c r="H80" s="345"/>
      <c r="I80" s="345"/>
      <c r="J80" s="345"/>
      <c r="K80" s="345"/>
      <c r="L80" s="326"/>
      <c r="M80" s="363" t="str">
        <f>VLOOKUP(Q80,통합목록!$Q$4:$T$310,2,0)</f>
        <v>열기2-01.노동법\02.문제\[기출][1][2018-2]기간제 근로계약 만료 시 사용자의 갱신거절이 부당해고에 해당하는지에 관한 판례법리.txt</v>
      </c>
      <c r="N80" s="355" t="str">
        <f>VLOOKUP(Q80,통합목록!$Q$4:$T$310,3,0)</f>
        <v>C</v>
      </c>
      <c r="O80" s="364" t="str">
        <f t="shared" si="4"/>
        <v>제09장 비정규근로자-02</v>
      </c>
      <c r="Q80" s="313" t="str">
        <f t="shared" si="5"/>
        <v>2018-2-1</v>
      </c>
    </row>
    <row r="81" spans="2:17" ht="189" customHeight="1" x14ac:dyDescent="0.2">
      <c r="B81" s="308" t="s">
        <v>421</v>
      </c>
      <c r="C81" s="304" t="s">
        <v>1256</v>
      </c>
      <c r="D81" s="327" t="s">
        <v>83</v>
      </c>
      <c r="E81" s="324" t="s">
        <v>31</v>
      </c>
      <c r="F81" s="324" t="s">
        <v>490</v>
      </c>
      <c r="G81" s="349" t="str">
        <f>VLOOKUP(Q81,통합목록!$Q$4:$T$310,4,0)</f>
        <v>기간제 근로자에 대한 근무평가 결과에 기초한 갱신거절 통보의 정당성 여부</v>
      </c>
      <c r="H81" s="345"/>
      <c r="I81" s="345"/>
      <c r="J81" s="345"/>
      <c r="K81" s="345"/>
      <c r="L81" s="326"/>
      <c r="M81" s="363" t="str">
        <f>VLOOKUP(Q81,통합목록!$Q$4:$T$310,2,0)</f>
        <v>열기2-01.노동법\02.문제\[기출][1][2024-1-1]기간제 근로자에 대한 근무평가 결과에 기초한 갱신거절 통보의 정당성 여부.txt</v>
      </c>
      <c r="N81" s="355" t="str">
        <f>VLOOKUP(Q81,통합목록!$Q$4:$T$310,3,0)</f>
        <v>C</v>
      </c>
      <c r="O81" s="364" t="str">
        <f t="shared" si="4"/>
        <v>제09장 비정규근로자-03</v>
      </c>
      <c r="Q81" s="313" t="str">
        <f t="shared" si="5"/>
        <v>2024-1-1-1</v>
      </c>
    </row>
    <row r="82" spans="2:17" ht="189" customHeight="1" x14ac:dyDescent="0.2">
      <c r="B82" s="308" t="s">
        <v>421</v>
      </c>
      <c r="C82" s="304" t="s">
        <v>1647</v>
      </c>
      <c r="D82" s="327" t="s">
        <v>1579</v>
      </c>
      <c r="E82" s="324" t="s">
        <v>31</v>
      </c>
      <c r="F82" s="324" t="s">
        <v>1736</v>
      </c>
      <c r="G82" s="349" t="str">
        <f>VLOOKUP(Q82,통합목록!$Q$4:$T$310,4,0)</f>
        <v>단시간근로자의 초과근로 가산수당 지급 요건 및 근로자의 가산임금 청구권 인정 여부</v>
      </c>
      <c r="H82" s="345"/>
      <c r="I82" s="345"/>
      <c r="J82" s="345"/>
      <c r="K82" s="345"/>
      <c r="L82" s="326"/>
      <c r="M82" s="363" t="str">
        <f>VLOOKUP(Q82,통합목록!$Q$4:$T$310,2,0)</f>
        <v>열기2-01.노동법\02.문제\[모의][1][09.02-1]단시간근로자의 초과근로 가산수당 지급 요건 및 근로자의 가산임금 청구권 인정 여부.txt</v>
      </c>
      <c r="N82" s="355" t="str">
        <f>VLOOKUP(Q82,통합목록!$Q$4:$T$310,3,0)</f>
        <v>A</v>
      </c>
      <c r="O82" s="364" t="str">
        <f t="shared" si="4"/>
        <v>제09장 비정규근로자-04</v>
      </c>
      <c r="Q82" s="313" t="str">
        <f t="shared" si="5"/>
        <v>9.02-1-1</v>
      </c>
    </row>
    <row r="83" spans="2:17" ht="189" customHeight="1" x14ac:dyDescent="0.2">
      <c r="B83" s="308" t="s">
        <v>421</v>
      </c>
      <c r="C83" s="304" t="s">
        <v>1647</v>
      </c>
      <c r="D83" s="327" t="s">
        <v>1580</v>
      </c>
      <c r="E83" s="324" t="s">
        <v>31</v>
      </c>
      <c r="F83" s="324" t="s">
        <v>501</v>
      </c>
      <c r="G83" s="349" t="str">
        <f>VLOOKUP(Q83,통합목록!$Q$4:$T$310,4,0)</f>
        <v>차별적 처우 금지 원칙과 상여금 미지급의 합리적 이유 없는 차별 해당 여부</v>
      </c>
      <c r="H83" s="345"/>
      <c r="I83" s="345"/>
      <c r="J83" s="345"/>
      <c r="K83" s="345"/>
      <c r="L83" s="326"/>
      <c r="M83" s="363" t="str">
        <f>VLOOKUP(Q83,통합목록!$Q$4:$T$310,2,0)</f>
        <v>열기2-01.노동법\02.문제\[모의][1][09.02-2]차별적 처우 금지 원칙과 상여금 미지급의 합리적 이유 없는 차별 해당 여부.txt</v>
      </c>
      <c r="N83" s="355" t="str">
        <f>VLOOKUP(Q83,통합목록!$Q$4:$T$310,3,0)</f>
        <v>A</v>
      </c>
      <c r="O83" s="364" t="str">
        <f t="shared" si="4"/>
        <v>제09장 비정규근로자-05</v>
      </c>
      <c r="Q83" s="313" t="str">
        <f t="shared" si="5"/>
        <v>9.02-2-1</v>
      </c>
    </row>
    <row r="84" spans="2:17" ht="189" customHeight="1" x14ac:dyDescent="0.2">
      <c r="B84" s="308" t="s">
        <v>421</v>
      </c>
      <c r="C84" s="304" t="s">
        <v>1256</v>
      </c>
      <c r="D84" s="327" t="s">
        <v>1156</v>
      </c>
      <c r="E84" s="324" t="s">
        <v>31</v>
      </c>
      <c r="F84" s="324" t="s">
        <v>507</v>
      </c>
      <c r="G84" s="349" t="str">
        <f>VLOOKUP(Q84,통합목록!$Q$4:$T$310,4,0)</f>
        <v>명목상 외주업체 소속 근로자의 실질적 사업주 판단 기준</v>
      </c>
      <c r="H84" s="345"/>
      <c r="I84" s="345"/>
      <c r="J84" s="345"/>
      <c r="K84" s="345"/>
      <c r="L84" s="326"/>
      <c r="M84" s="363" t="str">
        <f>VLOOKUP(Q84,통합목록!$Q$4:$T$310,2,0)</f>
        <v>열기2-01.노동법\02.문제\[기출][1][2020-1-1]명목상 외주업체 소속 근로자의 실질적 사업주 판단 기준.txt</v>
      </c>
      <c r="N84" s="355" t="str">
        <f>VLOOKUP(Q84,통합목록!$Q$4:$T$310,3,0)</f>
        <v>B</v>
      </c>
      <c r="O84" s="364" t="str">
        <f t="shared" si="4"/>
        <v>제09장 비정규근로자-06</v>
      </c>
      <c r="Q84" s="313" t="str">
        <f t="shared" si="5"/>
        <v>2020-1-1-1</v>
      </c>
    </row>
    <row r="85" spans="2:17" ht="189" customHeight="1" x14ac:dyDescent="0.2">
      <c r="B85" s="308" t="s">
        <v>421</v>
      </c>
      <c r="C85" s="304" t="s">
        <v>1256</v>
      </c>
      <c r="D85" s="327" t="s">
        <v>85</v>
      </c>
      <c r="E85" s="324" t="s">
        <v>31</v>
      </c>
      <c r="F85" s="324" t="s">
        <v>1737</v>
      </c>
      <c r="G85" s="349" t="str">
        <f>VLOOKUP(Q85,통합목록!$Q$4:$T$310,4,0)</f>
        <v>통행료 수납원의 근로자파견 여부 및 무허가 파견에 따른 직접고용의무</v>
      </c>
      <c r="H85" s="345"/>
      <c r="I85" s="345"/>
      <c r="J85" s="345"/>
      <c r="K85" s="345"/>
      <c r="L85" s="326"/>
      <c r="M85" s="363" t="str">
        <f>VLOOKUP(Q85,통합목록!$Q$4:$T$310,2,0)</f>
        <v>열기2-01.노동법\02.문제\[기출][1][2020-1-2]통행료 수납원의 근로자파견 여부 및 무허가 파견에 따른 직접고용의무.txt</v>
      </c>
      <c r="N85" s="355" t="str">
        <f>VLOOKUP(Q85,통합목록!$Q$4:$T$310,3,0)</f>
        <v>C</v>
      </c>
      <c r="O85" s="364" t="str">
        <f t="shared" si="4"/>
        <v>제09장 비정규근로자-07</v>
      </c>
      <c r="Q85" s="313" t="str">
        <f t="shared" si="5"/>
        <v>2020-1-2-1</v>
      </c>
    </row>
    <row r="86" spans="2:17" ht="189" customHeight="1" x14ac:dyDescent="0.2">
      <c r="B86" s="308" t="s">
        <v>421</v>
      </c>
      <c r="C86" s="304" t="s">
        <v>1256</v>
      </c>
      <c r="D86" s="327" t="s">
        <v>84</v>
      </c>
      <c r="E86" s="324" t="s">
        <v>31</v>
      </c>
      <c r="F86" s="324" t="s">
        <v>1738</v>
      </c>
      <c r="G86" s="349" t="str">
        <f>VLOOKUP(Q86,통합목록!$Q$4:$T$310,4,0)</f>
        <v>근로계약관계의 실질적 사용자 및 계약의 형태(도급, 전적, 파견)에 따른 직접고용의무 판단</v>
      </c>
      <c r="H86" s="345"/>
      <c r="I86" s="345"/>
      <c r="J86" s="345"/>
      <c r="K86" s="345"/>
      <c r="L86" s="326"/>
      <c r="M86" s="363" t="str">
        <f>VLOOKUP(Q86,통합목록!$Q$4:$T$310,2,0)</f>
        <v>열기2-01.노동법\02.문제\[기출][1][2023-2]근로계약관계의 실질적 사용자 및 계약의 형태(도급, 전적, 파견)에 따른 직접고용의무 판단.txt</v>
      </c>
      <c r="N86" s="355" t="str">
        <f>VLOOKUP(Q86,통합목록!$Q$4:$T$310,3,0)</f>
        <v>C</v>
      </c>
      <c r="O86" s="364" t="str">
        <f t="shared" si="4"/>
        <v>제09장 비정규근로자-08</v>
      </c>
      <c r="Q86" s="313" t="str">
        <f t="shared" si="5"/>
        <v>2023-2-1</v>
      </c>
    </row>
    <row r="87" spans="2:17" ht="189" customHeight="1" thickBot="1" x14ac:dyDescent="0.25">
      <c r="B87" s="309" t="s">
        <v>421</v>
      </c>
      <c r="C87" s="328" t="s">
        <v>1256</v>
      </c>
      <c r="D87" s="329" t="s">
        <v>1170</v>
      </c>
      <c r="E87" s="330" t="s">
        <v>31</v>
      </c>
      <c r="F87" s="330" t="s">
        <v>1739</v>
      </c>
      <c r="G87" s="350" t="str">
        <f>VLOOKUP(Q87,통합목록!$Q$4:$T$310,4,0)</f>
        <v>계약직에서 정규직으로 전환된 근로자에 대한 경력 인정 차별의 정당성 여부</v>
      </c>
      <c r="H87" s="346"/>
      <c r="I87" s="346"/>
      <c r="J87" s="346"/>
      <c r="K87" s="346"/>
      <c r="L87" s="331"/>
      <c r="M87" s="365" t="str">
        <f>VLOOKUP(Q87,통합목록!$Q$4:$T$310,2,0)</f>
        <v>열기2-01.노동법\02.문제\[기출][1][2017-2]계약직에서 정규직으로 전환된 근로자에 대한 경력 인정 차별의 정당성 여부.txt</v>
      </c>
      <c r="N87" s="356" t="str">
        <f>VLOOKUP(Q87,통합목록!$Q$4:$T$310,3,0)</f>
        <v>B</v>
      </c>
      <c r="O87" s="366" t="str">
        <f t="shared" si="4"/>
        <v>제09장 비정규근로자-09</v>
      </c>
      <c r="Q87" s="313" t="str">
        <f t="shared" si="5"/>
        <v>2017-2-1</v>
      </c>
    </row>
    <row r="88" spans="2:17" ht="189" customHeight="1" x14ac:dyDescent="0.2">
      <c r="B88" s="307" t="s">
        <v>398</v>
      </c>
      <c r="C88" s="332" t="s">
        <v>1256</v>
      </c>
      <c r="D88" s="333" t="s">
        <v>537</v>
      </c>
      <c r="E88" s="334" t="s">
        <v>419</v>
      </c>
      <c r="F88" s="334" t="s">
        <v>415</v>
      </c>
      <c r="G88" s="351" t="str">
        <f>VLOOKUP(Q88,통합목록!$Q$4:$T$310,4,0)</f>
        <v>근로기준법과 민법・산업재해보상보험법 간의 재해보상 관계</v>
      </c>
      <c r="H88" s="347"/>
      <c r="I88" s="347"/>
      <c r="J88" s="347"/>
      <c r="K88" s="347"/>
      <c r="L88" s="335"/>
      <c r="M88" s="367" t="str">
        <f>VLOOKUP(Q88,통합목록!$Q$4:$T$310,2,0)</f>
        <v>열기2-01.노동법\02.문제\[기출][1][2008-2-1]근로기준법과 민법・산업재해보상보험법 간의 재해보상 관계.txt</v>
      </c>
      <c r="N88" s="357" t="str">
        <f>VLOOKUP(Q88,통합목록!$Q$4:$T$310,3,0)</f>
        <v>C</v>
      </c>
      <c r="O88" s="368" t="str">
        <f t="shared" si="4"/>
        <v>제10장 업무상 재해 등-01</v>
      </c>
      <c r="Q88" s="313" t="str">
        <f t="shared" si="5"/>
        <v>2008-2-1-1</v>
      </c>
    </row>
    <row r="89" spans="2:17" ht="189" customHeight="1" x14ac:dyDescent="0.2">
      <c r="B89" s="308" t="s">
        <v>398</v>
      </c>
      <c r="C89" s="304" t="s">
        <v>1256</v>
      </c>
      <c r="D89" s="327" t="s">
        <v>1171</v>
      </c>
      <c r="E89" s="324" t="s">
        <v>31</v>
      </c>
      <c r="F89" s="324" t="s">
        <v>417</v>
      </c>
      <c r="G89" s="349" t="str">
        <f>VLOOKUP(Q89,통합목록!$Q$4:$T$310,4,0)</f>
        <v>산업재해보상보험법상 2차 회식의 업무상 재해 인정 여부</v>
      </c>
      <c r="H89" s="345"/>
      <c r="I89" s="345"/>
      <c r="J89" s="345"/>
      <c r="K89" s="345"/>
      <c r="L89" s="326"/>
      <c r="M89" s="363" t="str">
        <f>VLOOKUP(Q89,통합목록!$Q$4:$T$310,2,0)</f>
        <v>열기2-01.노동법\02.문제\[기출][1][2020-2]산업재해보상보험법상 2차 회식의 업무상 재해 인정 여부.txt</v>
      </c>
      <c r="N89" s="355" t="str">
        <f>VLOOKUP(Q89,통합목록!$Q$4:$T$310,3,0)</f>
        <v>B</v>
      </c>
      <c r="O89" s="364" t="str">
        <f t="shared" si="4"/>
        <v>제10장 업무상 재해 등-02</v>
      </c>
      <c r="Q89" s="313" t="str">
        <f t="shared" si="5"/>
        <v>2020-2-1</v>
      </c>
    </row>
    <row r="90" spans="2:17" ht="189" customHeight="1" x14ac:dyDescent="0.2">
      <c r="B90" s="308" t="s">
        <v>398</v>
      </c>
      <c r="C90" s="304" t="s">
        <v>1647</v>
      </c>
      <c r="D90" s="327" t="s">
        <v>1200</v>
      </c>
      <c r="E90" s="324" t="s">
        <v>31</v>
      </c>
      <c r="F90" s="324" t="s">
        <v>490</v>
      </c>
      <c r="G90" s="349" t="str">
        <f>VLOOKUP(Q90,통합목록!$Q$4:$T$310,4,0)</f>
        <v>근로자의 오토바이 사고에 대한 출퇴근 재해 인정 여부 및 법적 근거</v>
      </c>
      <c r="H90" s="345"/>
      <c r="I90" s="345"/>
      <c r="J90" s="345"/>
      <c r="K90" s="345"/>
      <c r="L90" s="326"/>
      <c r="M90" s="363" t="str">
        <f>VLOOKUP(Q90,통합목록!$Q$4:$T$310,2,0)</f>
        <v>열기2-01.노동법\02.문제\[모의][1][10.02-1]근로자의 오토바이 사고에 대한 출퇴근 재해 인정 여부 및 법적 근거.txt</v>
      </c>
      <c r="N90" s="355" t="str">
        <f>VLOOKUP(Q90,통합목록!$Q$4:$T$310,3,0)</f>
        <v>B</v>
      </c>
      <c r="O90" s="364" t="str">
        <f t="shared" si="4"/>
        <v>제10장 업무상 재해 등-03</v>
      </c>
      <c r="Q90" s="313" t="str">
        <f t="shared" si="5"/>
        <v>10.02-1-1</v>
      </c>
    </row>
    <row r="91" spans="2:17" ht="189" customHeight="1" x14ac:dyDescent="0.2">
      <c r="B91" s="308" t="s">
        <v>398</v>
      </c>
      <c r="C91" s="304" t="s">
        <v>1647</v>
      </c>
      <c r="D91" s="327" t="s">
        <v>1201</v>
      </c>
      <c r="E91" s="324" t="s">
        <v>31</v>
      </c>
      <c r="F91" s="324" t="s">
        <v>1736</v>
      </c>
      <c r="G91" s="349" t="str">
        <f>VLOOKUP(Q91,통합목록!$Q$4:$T$310,4,0)</f>
        <v>근로자의 2차 회식 중 사고에 대한 업무상 재해 인정 여부</v>
      </c>
      <c r="H91" s="345"/>
      <c r="I91" s="345"/>
      <c r="J91" s="345"/>
      <c r="K91" s="345"/>
      <c r="L91" s="326"/>
      <c r="M91" s="363" t="str">
        <f>VLOOKUP(Q91,통합목록!$Q$4:$T$310,2,0)</f>
        <v>열기2-01.노동법\02.문제\[모의][1][10.02-2]근로자의 2차 회식 중 사고에 대한 업무상 재해 인정 여부.txt</v>
      </c>
      <c r="N91" s="355" t="str">
        <f>VLOOKUP(Q91,통합목록!$Q$4:$T$310,3,0)</f>
        <v>B</v>
      </c>
      <c r="O91" s="364" t="str">
        <f t="shared" si="4"/>
        <v>제10장 업무상 재해 등-04</v>
      </c>
      <c r="Q91" s="313" t="str">
        <f t="shared" si="5"/>
        <v>10.02-2-1</v>
      </c>
    </row>
    <row r="92" spans="2:17" ht="189" customHeight="1" x14ac:dyDescent="0.2">
      <c r="B92" s="308" t="s">
        <v>398</v>
      </c>
      <c r="C92" s="304" t="s">
        <v>1647</v>
      </c>
      <c r="D92" s="327" t="s">
        <v>1202</v>
      </c>
      <c r="E92" s="324" t="s">
        <v>31</v>
      </c>
      <c r="F92" s="324" t="s">
        <v>501</v>
      </c>
      <c r="G92" s="349" t="str">
        <f>VLOOKUP(Q92,통합목록!$Q$4:$T$310,4,0)</f>
        <v>근로자의 만성 근로 및 단기 과로에 따른 뇌출혈의 업무상 질병 인정 여부</v>
      </c>
      <c r="H92" s="345"/>
      <c r="I92" s="345"/>
      <c r="J92" s="345"/>
      <c r="K92" s="345"/>
      <c r="L92" s="326"/>
      <c r="M92" s="363" t="str">
        <f>VLOOKUP(Q92,통합목록!$Q$4:$T$310,2,0)</f>
        <v>열기2-01.노동법\02.문제\[모의][1][10.03-1]근로자의 만성 근로 및 단기 과로에 따른 뇌출혈의 업무상 질병 인정 여부.txt</v>
      </c>
      <c r="N92" s="355" t="str">
        <f>VLOOKUP(Q92,통합목록!$Q$4:$T$310,3,0)</f>
        <v>B</v>
      </c>
      <c r="O92" s="364" t="str">
        <f t="shared" si="4"/>
        <v>제10장 업무상 재해 등-05</v>
      </c>
      <c r="Q92" s="313" t="str">
        <f t="shared" si="5"/>
        <v>10.03-1-1</v>
      </c>
    </row>
    <row r="93" spans="2:17" ht="189" customHeight="1" x14ac:dyDescent="0.2">
      <c r="B93" s="308" t="s">
        <v>398</v>
      </c>
      <c r="C93" s="304" t="s">
        <v>1647</v>
      </c>
      <c r="D93" s="327" t="s">
        <v>1203</v>
      </c>
      <c r="E93" s="324" t="s">
        <v>31</v>
      </c>
      <c r="F93" s="324" t="s">
        <v>507</v>
      </c>
      <c r="G93" s="349" t="str">
        <f>VLOOKUP(Q93,통합목록!$Q$4:$T$310,4,0)</f>
        <v>근로자의 직장 내 괴롭힘으로 인한 우울증의 업무상 질병 인정 여부</v>
      </c>
      <c r="H93" s="345"/>
      <c r="I93" s="345"/>
      <c r="J93" s="345"/>
      <c r="K93" s="345"/>
      <c r="L93" s="326"/>
      <c r="M93" s="363" t="str">
        <f>VLOOKUP(Q93,통합목록!$Q$4:$T$310,2,0)</f>
        <v>열기2-01.노동법\02.문제\[모의][1][10.03-2]근로자의 직장 내 괴롭힘으로 인한 우울증의 업무상 질병 인정 여부.txt</v>
      </c>
      <c r="N93" s="355" t="str">
        <f>VLOOKUP(Q93,통합목록!$Q$4:$T$310,3,0)</f>
        <v>B</v>
      </c>
      <c r="O93" s="364" t="str">
        <f t="shared" si="4"/>
        <v>제10장 업무상 재해 등-06</v>
      </c>
      <c r="Q93" s="313" t="str">
        <f t="shared" si="5"/>
        <v>10.03-2-1</v>
      </c>
    </row>
    <row r="94" spans="2:17" ht="189" customHeight="1" x14ac:dyDescent="0.2">
      <c r="B94" s="308" t="s">
        <v>398</v>
      </c>
      <c r="C94" s="304" t="s">
        <v>1647</v>
      </c>
      <c r="D94" s="327" t="s">
        <v>1204</v>
      </c>
      <c r="E94" s="324" t="s">
        <v>31</v>
      </c>
      <c r="F94" s="324" t="s">
        <v>1737</v>
      </c>
      <c r="G94" s="349" t="str">
        <f>VLOOKUP(Q94,통합목록!$Q$4:$T$310,4,0)</f>
        <v>출근 중 제3자의 신호 위반 사고로 발생한 부상의 업무상 재해 인정 여부</v>
      </c>
      <c r="H94" s="345"/>
      <c r="I94" s="345"/>
      <c r="J94" s="345"/>
      <c r="K94" s="345"/>
      <c r="L94" s="326"/>
      <c r="M94" s="363" t="str">
        <f>VLOOKUP(Q94,통합목록!$Q$4:$T$310,2,0)</f>
        <v>열기2-01.노동법\02.문제\[모의][1][10.04-1]출근 중 제3자의 신호 위반 사고로 발생한 부상의 업무상 재해 인정 여부.txt</v>
      </c>
      <c r="N94" s="355" t="str">
        <f>VLOOKUP(Q94,통합목록!$Q$4:$T$310,3,0)</f>
        <v>B</v>
      </c>
      <c r="O94" s="364" t="str">
        <f t="shared" si="4"/>
        <v>제10장 업무상 재해 등-07</v>
      </c>
      <c r="Q94" s="313" t="str">
        <f t="shared" si="5"/>
        <v>10.04-1-1</v>
      </c>
    </row>
    <row r="95" spans="2:17" ht="189" customHeight="1" thickBot="1" x14ac:dyDescent="0.25">
      <c r="B95" s="309" t="s">
        <v>398</v>
      </c>
      <c r="C95" s="328" t="s">
        <v>1647</v>
      </c>
      <c r="D95" s="329" t="s">
        <v>1205</v>
      </c>
      <c r="E95" s="330" t="s">
        <v>31</v>
      </c>
      <c r="F95" s="330" t="s">
        <v>1738</v>
      </c>
      <c r="G95" s="350" t="str">
        <f>VLOOKUP(Q95,통합목록!$Q$4:$T$310,4,0)</f>
        <v>제3자 가해로 인한 출퇴근 재해 시 산재급여와 손해배상의 조정 및 구상 관계</v>
      </c>
      <c r="H95" s="346"/>
      <c r="I95" s="346"/>
      <c r="J95" s="346"/>
      <c r="K95" s="346"/>
      <c r="L95" s="331"/>
      <c r="M95" s="365" t="str">
        <f>VLOOKUP(Q95,통합목록!$Q$4:$T$310,2,0)</f>
        <v>열기2-01.노동법\02.문제\[모의][1][10.04-2]제3자 가해로 인한 출퇴근 재해 시 산재급여와 손해배상의 조정 및 구상 관계.txt</v>
      </c>
      <c r="N95" s="356" t="str">
        <f>VLOOKUP(Q95,통합목록!$Q$4:$T$310,3,0)</f>
        <v>B</v>
      </c>
      <c r="O95" s="366" t="str">
        <f t="shared" si="4"/>
        <v>제10장 업무상 재해 등-08</v>
      </c>
      <c r="Q95" s="313" t="str">
        <f t="shared" si="5"/>
        <v>10.04-2-1</v>
      </c>
    </row>
    <row r="96" spans="2:17" ht="189" customHeight="1" x14ac:dyDescent="0.2">
      <c r="B96" s="307" t="s">
        <v>399</v>
      </c>
      <c r="C96" s="332" t="s">
        <v>1256</v>
      </c>
      <c r="D96" s="333" t="s">
        <v>90</v>
      </c>
      <c r="E96" s="334">
        <v>2</v>
      </c>
      <c r="F96" s="334" t="s">
        <v>415</v>
      </c>
      <c r="G96" s="351" t="str">
        <f>VLOOKUP(Q96,통합목록!$Q$4:$T$310,4,0)</f>
        <v>노동조합 가입 자격의 기본 원칙, 제한의 허용 범위, 한계 및 위반 시 효과</v>
      </c>
      <c r="H96" s="347"/>
      <c r="I96" s="347"/>
      <c r="J96" s="347"/>
      <c r="K96" s="347"/>
      <c r="L96" s="335"/>
      <c r="M96" s="367" t="str">
        <f>VLOOKUP(Q96,통합목록!$Q$4:$T$310,2,0)</f>
        <v>열기2-01.노동법\02.문제\[기출][2][2009-3]노동조합 가입 자격의 기본 원칙, 제한의 허용 범위, 한계 및 위반 시 효과.txt</v>
      </c>
      <c r="N96" s="357" t="str">
        <f>VLOOKUP(Q96,통합목록!$Q$4:$T$310,3,0)</f>
        <v>A</v>
      </c>
      <c r="O96" s="368" t="str">
        <f t="shared" si="4"/>
        <v>제11장 노동조합-01</v>
      </c>
      <c r="Q96" s="313" t="str">
        <f t="shared" si="5"/>
        <v>2009-3-2</v>
      </c>
    </row>
    <row r="97" spans="2:17" ht="189" customHeight="1" x14ac:dyDescent="0.2">
      <c r="B97" s="308" t="s">
        <v>399</v>
      </c>
      <c r="C97" s="304" t="s">
        <v>1256</v>
      </c>
      <c r="D97" s="327" t="s">
        <v>1158</v>
      </c>
      <c r="E97" s="324">
        <v>2</v>
      </c>
      <c r="F97" s="324" t="s">
        <v>417</v>
      </c>
      <c r="G97" s="349" t="str">
        <f>VLOOKUP(Q97,통합목록!$Q$4:$T$310,4,0)</f>
        <v>노동조합법상 노동조합 참가가 금지되는 사용자 및 그 이익대표자의 범위와 판단 기준</v>
      </c>
      <c r="H97" s="345"/>
      <c r="I97" s="345"/>
      <c r="J97" s="345"/>
      <c r="K97" s="345"/>
      <c r="L97" s="326"/>
      <c r="M97" s="363" t="str">
        <f>VLOOKUP(Q97,통합목록!$Q$4:$T$310,2,0)</f>
        <v>열기2-01.노동법\02.문제\[기출][2][2012-2]노동조합법상 노동조합 참가가 금지되는 사용자 및 그 이익대표자의 범위와 판단 기준.txt</v>
      </c>
      <c r="N97" s="355" t="str">
        <f>VLOOKUP(Q97,통합목록!$Q$4:$T$310,3,0)</f>
        <v>A</v>
      </c>
      <c r="O97" s="364" t="str">
        <f t="shared" si="4"/>
        <v>제11장 노동조합-02</v>
      </c>
      <c r="Q97" s="313" t="str">
        <f t="shared" si="5"/>
        <v>2012-2-2</v>
      </c>
    </row>
    <row r="98" spans="2:17" ht="189" customHeight="1" x14ac:dyDescent="0.2">
      <c r="B98" s="308" t="s">
        <v>399</v>
      </c>
      <c r="C98" s="304" t="s">
        <v>1256</v>
      </c>
      <c r="D98" s="327" t="s">
        <v>1026</v>
      </c>
      <c r="E98" s="324" t="s">
        <v>28</v>
      </c>
      <c r="F98" s="324" t="s">
        <v>490</v>
      </c>
      <c r="G98" s="349" t="str">
        <f>VLOOKUP(Q98,통합목록!$Q$4:$T$310,4,0)</f>
        <v>설립신고를 하지 않은 초기업 노동조합 지부의 단체협약 체결 당사자 지위 인정 여부</v>
      </c>
      <c r="H98" s="345"/>
      <c r="I98" s="345"/>
      <c r="J98" s="345"/>
      <c r="K98" s="345"/>
      <c r="L98" s="326"/>
      <c r="M98" s="363" t="str">
        <f>VLOOKUP(Q98,통합목록!$Q$4:$T$310,2,0)</f>
        <v>열기2-01.노동법\02.문제\[기출][2][2021-1-1]설립신고를 하지 않은 초기업 노동조합 지부의 단체협약 체결 당사자 지위 인정 여부.txt</v>
      </c>
      <c r="N98" s="355" t="str">
        <f>VLOOKUP(Q98,통합목록!$Q$4:$T$310,3,0)</f>
        <v>A</v>
      </c>
      <c r="O98" s="364" t="str">
        <f t="shared" si="4"/>
        <v>제11장 노동조합-03</v>
      </c>
      <c r="Q98" s="313" t="str">
        <f t="shared" si="5"/>
        <v>2021-1-1-2</v>
      </c>
    </row>
    <row r="99" spans="2:17" ht="189" customHeight="1" x14ac:dyDescent="0.2">
      <c r="B99" s="308" t="s">
        <v>399</v>
      </c>
      <c r="C99" s="304" t="s">
        <v>1647</v>
      </c>
      <c r="D99" s="327" t="s">
        <v>1206</v>
      </c>
      <c r="E99" s="324" t="s">
        <v>28</v>
      </c>
      <c r="F99" s="324" t="s">
        <v>1736</v>
      </c>
      <c r="G99" s="349" t="str">
        <f>VLOOKUP(Q99,통합목록!$Q$4:$T$310,4,0)</f>
        <v>유니언 숍 조항을 근거로 한 탈퇴 후 타 노조 가입자 해고의 정당성</v>
      </c>
      <c r="H99" s="345"/>
      <c r="I99" s="345"/>
      <c r="J99" s="345"/>
      <c r="K99" s="345"/>
      <c r="L99" s="326"/>
      <c r="M99" s="363" t="str">
        <f>VLOOKUP(Q99,통합목록!$Q$4:$T$310,2,0)</f>
        <v>열기2-01.노동법\02.문제\[모의][2][11.02-1]유니언 숍 조항을 근거로 한 탈퇴 후 타 노조 가입자 해고의 정당성.txt</v>
      </c>
      <c r="N99" s="355" t="str">
        <f>VLOOKUP(Q99,통합목록!$Q$4:$T$310,3,0)</f>
        <v>A</v>
      </c>
      <c r="O99" s="364" t="str">
        <f t="shared" si="4"/>
        <v>제11장 노동조합-04</v>
      </c>
      <c r="Q99" s="313" t="str">
        <f t="shared" si="5"/>
        <v>11.02-1-2</v>
      </c>
    </row>
    <row r="100" spans="2:17" ht="189" customHeight="1" x14ac:dyDescent="0.2">
      <c r="B100" s="308" t="s">
        <v>399</v>
      </c>
      <c r="C100" s="304" t="s">
        <v>1647</v>
      </c>
      <c r="D100" s="327" t="s">
        <v>1207</v>
      </c>
      <c r="E100" s="324" t="s">
        <v>28</v>
      </c>
      <c r="F100" s="324" t="s">
        <v>501</v>
      </c>
      <c r="G100" s="349" t="str">
        <f>VLOOKUP(Q100,통합목록!$Q$4:$T$310,4,0)</f>
        <v>조합비 미납을 이유로 한 조합원 선거권 제한의 적법성</v>
      </c>
      <c r="H100" s="345"/>
      <c r="I100" s="345"/>
      <c r="J100" s="345"/>
      <c r="K100" s="345"/>
      <c r="L100" s="326"/>
      <c r="M100" s="363" t="str">
        <f>VLOOKUP(Q100,통합목록!$Q$4:$T$310,2,0)</f>
        <v>열기2-01.노동법\02.문제\[모의][2][11.02-2]조합비 미납을 이유로 한 조합원 선거권 제한의 적법성.txt</v>
      </c>
      <c r="N100" s="355" t="str">
        <f>VLOOKUP(Q100,통합목록!$Q$4:$T$310,3,0)</f>
        <v>A</v>
      </c>
      <c r="O100" s="364" t="str">
        <f t="shared" ref="O100:O131" si="6">B100&amp;"-"&amp;F100</f>
        <v>제11장 노동조합-05</v>
      </c>
      <c r="Q100" s="313" t="str">
        <f t="shared" ref="Q100:Q131" si="7">D100&amp;"-"&amp;E100</f>
        <v>11.02-2-2</v>
      </c>
    </row>
    <row r="101" spans="2:17" ht="189" customHeight="1" x14ac:dyDescent="0.2">
      <c r="B101" s="308" t="s">
        <v>399</v>
      </c>
      <c r="C101" s="304" t="s">
        <v>1647</v>
      </c>
      <c r="D101" s="327" t="s">
        <v>1208</v>
      </c>
      <c r="E101" s="324" t="s">
        <v>28</v>
      </c>
      <c r="F101" s="324" t="s">
        <v>507</v>
      </c>
      <c r="G101" s="349" t="str">
        <f>VLOOKUP(Q101,통합목록!$Q$4:$T$310,4,0)</f>
        <v>대의원회 의결 없이 총회에서 이루어진 단체협약안 의결의 정당성</v>
      </c>
      <c r="H101" s="345"/>
      <c r="I101" s="345"/>
      <c r="J101" s="345"/>
      <c r="K101" s="345"/>
      <c r="L101" s="326"/>
      <c r="M101" s="363" t="str">
        <f>VLOOKUP(Q101,통합목록!$Q$4:$T$310,2,0)</f>
        <v>열기2-01.노동법\02.문제\[모의][2][11.03-1]대의원회 의결 없이 총회에서 이루어진 단체협약안 의결의 정당성.txt</v>
      </c>
      <c r="N101" s="355" t="str">
        <f>VLOOKUP(Q101,통합목록!$Q$4:$T$310,3,0)</f>
        <v>A</v>
      </c>
      <c r="O101" s="364" t="str">
        <f t="shared" si="6"/>
        <v>제11장 노동조합-06</v>
      </c>
      <c r="Q101" s="313" t="str">
        <f t="shared" si="7"/>
        <v>11.03-1-2</v>
      </c>
    </row>
    <row r="102" spans="2:17" ht="189" customHeight="1" x14ac:dyDescent="0.2">
      <c r="B102" s="308" t="s">
        <v>399</v>
      </c>
      <c r="C102" s="304" t="s">
        <v>1647</v>
      </c>
      <c r="D102" s="327" t="s">
        <v>1209</v>
      </c>
      <c r="E102" s="324" t="s">
        <v>28</v>
      </c>
      <c r="F102" s="324" t="s">
        <v>1737</v>
      </c>
      <c r="G102" s="349" t="str">
        <f>VLOOKUP(Q102,통합목록!$Q$4:$T$310,4,0)</f>
        <v>총회 의결 정족수 충족 여부 및 위원장 해임결의의 유효성</v>
      </c>
      <c r="H102" s="345"/>
      <c r="I102" s="345"/>
      <c r="J102" s="345"/>
      <c r="K102" s="345"/>
      <c r="L102" s="326"/>
      <c r="M102" s="363" t="str">
        <f>VLOOKUP(Q102,통합목록!$Q$4:$T$310,2,0)</f>
        <v>열기2-01.노동법\02.문제\[모의][2][11.03-2]총회 의결 정족수 충족 여부 및 위원장 해임결의의 유효성.txt</v>
      </c>
      <c r="N102" s="355" t="str">
        <f>VLOOKUP(Q102,통합목록!$Q$4:$T$310,3,0)</f>
        <v>A</v>
      </c>
      <c r="O102" s="364" t="str">
        <f t="shared" si="6"/>
        <v>제11장 노동조합-07</v>
      </c>
      <c r="Q102" s="313" t="str">
        <f t="shared" si="7"/>
        <v>11.03-2-2</v>
      </c>
    </row>
    <row r="103" spans="2:17" ht="189" customHeight="1" x14ac:dyDescent="0.2">
      <c r="B103" s="308" t="s">
        <v>399</v>
      </c>
      <c r="C103" s="304" t="s">
        <v>1256</v>
      </c>
      <c r="D103" s="327" t="s">
        <v>1159</v>
      </c>
      <c r="E103" s="324">
        <v>2</v>
      </c>
      <c r="F103" s="324" t="s">
        <v>1738</v>
      </c>
      <c r="G103" s="349" t="str">
        <f>VLOOKUP(Q103,통합목록!$Q$4:$T$310,4,0)</f>
        <v>산업안전보건법 위반 증거수집 목적의 생산공장 출입이 정당한 조합활동에 해당하는지 여부</v>
      </c>
      <c r="H103" s="345"/>
      <c r="I103" s="345"/>
      <c r="J103" s="345"/>
      <c r="K103" s="345"/>
      <c r="L103" s="326"/>
      <c r="M103" s="363" t="str">
        <f>VLOOKUP(Q103,통합목록!$Q$4:$T$310,2,0)</f>
        <v>열기2-01.노동법\02.문제\[기출][2][2022-2]산업안전보건법 위반 증거수집 목적의 생산공장 출입이 정당한 조합활동에 해당하는지 여부.txt</v>
      </c>
      <c r="N103" s="355" t="str">
        <f>VLOOKUP(Q103,통합목록!$Q$4:$T$310,3,0)</f>
        <v>A</v>
      </c>
      <c r="O103" s="364" t="str">
        <f t="shared" si="6"/>
        <v>제11장 노동조합-08</v>
      </c>
      <c r="Q103" s="313" t="str">
        <f t="shared" si="7"/>
        <v>2022-2-2</v>
      </c>
    </row>
    <row r="104" spans="2:17" ht="189" customHeight="1" x14ac:dyDescent="0.2">
      <c r="B104" s="308" t="s">
        <v>399</v>
      </c>
      <c r="C104" s="304" t="s">
        <v>1647</v>
      </c>
      <c r="D104" s="327" t="s">
        <v>1210</v>
      </c>
      <c r="E104" s="324" t="s">
        <v>28</v>
      </c>
      <c r="F104" s="324" t="s">
        <v>1739</v>
      </c>
      <c r="G104" s="349" t="str">
        <f>VLOOKUP(Q104,통합목록!$Q$4:$T$310,4,0)</f>
        <v>사용자의 노조 전임자 급여 지급 및 운영비 원조 행위의 부당노동행위 성립 여부와 단체협약의 효력</v>
      </c>
      <c r="H104" s="345"/>
      <c r="I104" s="345"/>
      <c r="J104" s="345"/>
      <c r="K104" s="345"/>
      <c r="L104" s="326"/>
      <c r="M104" s="363" t="str">
        <f>VLOOKUP(Q104,통합목록!$Q$4:$T$310,2,0)</f>
        <v>열기2-01.노동법\02.문제\[모의][2][11.05-1]사용자의 노조 전임자 급여 지급 및 운영비 원조 행위의 부당노동행위 성립 여부와 단체협약의 효력.txt</v>
      </c>
      <c r="N104" s="355" t="str">
        <f>VLOOKUP(Q104,통합목록!$Q$4:$T$310,3,0)</f>
        <v>A</v>
      </c>
      <c r="O104" s="364" t="str">
        <f t="shared" si="6"/>
        <v>제11장 노동조합-09</v>
      </c>
      <c r="Q104" s="313" t="str">
        <f t="shared" si="7"/>
        <v>11.05-1-2</v>
      </c>
    </row>
    <row r="105" spans="2:17" ht="189" customHeight="1" x14ac:dyDescent="0.2">
      <c r="B105" s="308" t="s">
        <v>399</v>
      </c>
      <c r="C105" s="304" t="s">
        <v>1647</v>
      </c>
      <c r="D105" s="327" t="s">
        <v>1211</v>
      </c>
      <c r="E105" s="324" t="s">
        <v>28</v>
      </c>
      <c r="F105" s="324" t="s">
        <v>1740</v>
      </c>
      <c r="G105" s="349" t="str">
        <f>VLOOKUP(Q105,통합목록!$Q$4:$T$310,4,0)</f>
        <v>근로시간 면제 제도(Time-Off)의 한도 초과 약정의 효력 및 급여 지급의 법적 쟁점</v>
      </c>
      <c r="H105" s="345"/>
      <c r="I105" s="345"/>
      <c r="J105" s="345"/>
      <c r="K105" s="345"/>
      <c r="L105" s="326"/>
      <c r="M105" s="363" t="str">
        <f>VLOOKUP(Q105,통합목록!$Q$4:$T$310,2,0)</f>
        <v>열기2-01.노동법\02.문제\[모의][2][11.05-2]근로시간 면제 제도(Time-Off)의 한도 초과 약정의 효력 및 급여 지급의 법적 쟁점.txt</v>
      </c>
      <c r="N105" s="355" t="str">
        <f>VLOOKUP(Q105,통합목록!$Q$4:$T$310,3,0)</f>
        <v>A</v>
      </c>
      <c r="O105" s="364" t="str">
        <f t="shared" si="6"/>
        <v>제11장 노동조합-10</v>
      </c>
      <c r="Q105" s="313" t="str">
        <f t="shared" si="7"/>
        <v>11.05-2-2</v>
      </c>
    </row>
    <row r="106" spans="2:17" ht="189" customHeight="1" x14ac:dyDescent="0.2">
      <c r="B106" s="308" t="s">
        <v>399</v>
      </c>
      <c r="C106" s="304" t="s">
        <v>1256</v>
      </c>
      <c r="D106" s="327" t="s">
        <v>1165</v>
      </c>
      <c r="E106" s="324">
        <v>2</v>
      </c>
      <c r="F106" s="324" t="s">
        <v>1741</v>
      </c>
      <c r="G106" s="349" t="str">
        <f>VLOOKUP(Q106,통합목록!$Q$4:$T$310,4,0)</f>
        <v>조합의 지지 정당 결정에 반하여 다른 정당을 지지한 조합원에 대한 제명처분의 효력</v>
      </c>
      <c r="H106" s="345"/>
      <c r="I106" s="345"/>
      <c r="J106" s="345"/>
      <c r="K106" s="345"/>
      <c r="L106" s="326"/>
      <c r="M106" s="363" t="str">
        <f>VLOOKUP(Q106,통합목록!$Q$4:$T$310,2,0)</f>
        <v>열기2-01.노동법\02.문제\[기출][2][2013-2]조합의 지지 정당 결정에 반하여 다른 정당을 지지한 조합원에 대한 제명처분의 효력.txt</v>
      </c>
      <c r="N106" s="355" t="str">
        <f>VLOOKUP(Q106,통합목록!$Q$4:$T$310,3,0)</f>
        <v>A</v>
      </c>
      <c r="O106" s="364" t="str">
        <f t="shared" si="6"/>
        <v>제11장 노동조합-11</v>
      </c>
      <c r="Q106" s="313" t="str">
        <f t="shared" si="7"/>
        <v>2013-2-2</v>
      </c>
    </row>
    <row r="107" spans="2:17" ht="189" customHeight="1" thickBot="1" x14ac:dyDescent="0.25">
      <c r="B107" s="309" t="s">
        <v>399</v>
      </c>
      <c r="C107" s="328" t="s">
        <v>1256</v>
      </c>
      <c r="D107" s="329" t="s">
        <v>1172</v>
      </c>
      <c r="E107" s="330">
        <v>2</v>
      </c>
      <c r="F107" s="330" t="s">
        <v>1742</v>
      </c>
      <c r="G107" s="350" t="str">
        <f>VLOOKUP(Q107,통합목록!$Q$4:$T$310,4,0)</f>
        <v>초기업 노동조합 지회의 기업별 노동조합 조직형태 변경 결의의 유효성 여부</v>
      </c>
      <c r="H107" s="346"/>
      <c r="I107" s="346"/>
      <c r="J107" s="346"/>
      <c r="K107" s="346"/>
      <c r="L107" s="331"/>
      <c r="M107" s="365" t="str">
        <f>VLOOKUP(Q107,통합목록!$Q$4:$T$310,2,0)</f>
        <v>열기2-01.노동법\02.문제\[기출][2][2019-1-2]초기업 노동조합 지회의 기업별 노동조합 조직형태 변경 결의의 유효성 여부.txt</v>
      </c>
      <c r="N107" s="356" t="str">
        <f>VLOOKUP(Q107,통합목록!$Q$4:$T$310,3,0)</f>
        <v>A</v>
      </c>
      <c r="O107" s="366" t="str">
        <f t="shared" si="6"/>
        <v>제11장 노동조합-12</v>
      </c>
      <c r="Q107" s="313" t="str">
        <f t="shared" si="7"/>
        <v>2019-1-2-2</v>
      </c>
    </row>
    <row r="108" spans="2:17" ht="189" customHeight="1" x14ac:dyDescent="0.2">
      <c r="B108" s="307" t="s">
        <v>400</v>
      </c>
      <c r="C108" s="332" t="s">
        <v>1256</v>
      </c>
      <c r="D108" s="333" t="s">
        <v>82</v>
      </c>
      <c r="E108" s="334">
        <v>2</v>
      </c>
      <c r="F108" s="334" t="s">
        <v>415</v>
      </c>
      <c r="G108" s="351" t="str">
        <f>VLOOKUP(Q108,통합목록!$Q$4:$T$310,4,0)</f>
        <v>도급 또는 파견 계약 관계에서 노조법상 사용자로서 단체교섭 의무 부담 여부</v>
      </c>
      <c r="H108" s="347"/>
      <c r="I108" s="347"/>
      <c r="J108" s="347"/>
      <c r="K108" s="347"/>
      <c r="L108" s="335"/>
      <c r="M108" s="367" t="str">
        <f>VLOOKUP(Q108,통합목록!$Q$4:$T$310,2,0)</f>
        <v>열기2-01.노동법\02.문제\[기출][2][2009-1]도급 또는 파견 계약 관계에서 노조법상 사용자로서 단체교섭 의무 부담 여부.txt</v>
      </c>
      <c r="N108" s="357" t="str">
        <f>VLOOKUP(Q108,통합목록!$Q$4:$T$310,3,0)</f>
        <v>A</v>
      </c>
      <c r="O108" s="368" t="str">
        <f t="shared" si="6"/>
        <v>제12장 단체교섭-01</v>
      </c>
      <c r="Q108" s="313" t="str">
        <f t="shared" si="7"/>
        <v>2009-1-2</v>
      </c>
    </row>
    <row r="109" spans="2:17" ht="189" customHeight="1" x14ac:dyDescent="0.2">
      <c r="B109" s="308" t="s">
        <v>400</v>
      </c>
      <c r="C109" s="304" t="s">
        <v>1256</v>
      </c>
      <c r="D109" s="327" t="s">
        <v>1131</v>
      </c>
      <c r="E109" s="324">
        <v>2</v>
      </c>
      <c r="F109" s="324" t="s">
        <v>417</v>
      </c>
      <c r="G109" s="349" t="str">
        <f>VLOOKUP(Q109,통합목록!$Q$4:$T$310,4,0)</f>
        <v>산별노동조합 지회의 단체교섭 주체성 인정 여부, 사업부 매각 결정(경영권)의 단체교섭 대상성 여부</v>
      </c>
      <c r="H109" s="345"/>
      <c r="I109" s="345"/>
      <c r="J109" s="345"/>
      <c r="K109" s="345"/>
      <c r="L109" s="326"/>
      <c r="M109" s="363" t="str">
        <f>VLOOKUP(Q109,통합목록!$Q$4:$T$310,2,0)</f>
        <v>열기2-01.노동법\02.문제\[기출][2][2011-1]산별노동조합 지회의 단체교섭 주체성 인정 여부, 사업부 매각 결정(경영권)의 단체교섭 대상성 여부.txt</v>
      </c>
      <c r="N109" s="355" t="str">
        <f>VLOOKUP(Q109,통합목록!$Q$4:$T$310,3,0)</f>
        <v>A</v>
      </c>
      <c r="O109" s="364" t="str">
        <f t="shared" si="6"/>
        <v>제12장 단체교섭-02</v>
      </c>
      <c r="Q109" s="313" t="str">
        <f t="shared" si="7"/>
        <v>2011-1-2</v>
      </c>
    </row>
    <row r="110" spans="2:17" ht="189" customHeight="1" x14ac:dyDescent="0.2">
      <c r="B110" s="308" t="s">
        <v>400</v>
      </c>
      <c r="C110" s="304" t="s">
        <v>1256</v>
      </c>
      <c r="D110" s="327" t="s">
        <v>1591</v>
      </c>
      <c r="E110" s="324" t="s">
        <v>27</v>
      </c>
      <c r="F110" s="324" t="s">
        <v>490</v>
      </c>
      <c r="G110" s="349" t="str">
        <f>VLOOKUP(Q110,통합목록!$Q$4:$T$310,4,0)</f>
        <v>설립신고를 하지 않은 초기업 노동조합 지부의 단체협약 체결 당사자 지위 인정 여부</v>
      </c>
      <c r="H110" s="345"/>
      <c r="I110" s="345"/>
      <c r="J110" s="345"/>
      <c r="K110" s="345"/>
      <c r="L110" s="326"/>
      <c r="M110" s="363" t="str">
        <f>VLOOKUP(Q110,통합목록!$Q$4:$T$310,2,0)</f>
        <v>열기2-01.노동법\02.문제\[기출][2][2021-1-1]설립신고를 하지 않은 초기업 노동조합 지부의 단체협약 체결 당사자 지위 인정 여부.txt</v>
      </c>
      <c r="N110" s="355" t="str">
        <f>VLOOKUP(Q110,통합목록!$Q$4:$T$310,3,0)</f>
        <v>A</v>
      </c>
      <c r="O110" s="364" t="str">
        <f t="shared" si="6"/>
        <v>제12장 단체교섭-03</v>
      </c>
      <c r="Q110" s="313" t="str">
        <f t="shared" si="7"/>
        <v>2021-1-1-2</v>
      </c>
    </row>
    <row r="111" spans="2:17" ht="189" customHeight="1" x14ac:dyDescent="0.2">
      <c r="B111" s="308" t="s">
        <v>400</v>
      </c>
      <c r="C111" s="304" t="s">
        <v>1256</v>
      </c>
      <c r="D111" s="327" t="s">
        <v>1167</v>
      </c>
      <c r="E111" s="324">
        <v>2</v>
      </c>
      <c r="F111" s="324" t="s">
        <v>1736</v>
      </c>
      <c r="G111" s="349" t="str">
        <f>VLOOKUP(Q111,통합목록!$Q$4:$T$310,4,0)</f>
        <v>사용자의 직장폐쇄 중 수임 상급단체의 단체교섭 요구를 계속적으로 거부한 행위의 부당노동행위 성립 여부</v>
      </c>
      <c r="H111" s="345"/>
      <c r="I111" s="345"/>
      <c r="J111" s="345"/>
      <c r="K111" s="345"/>
      <c r="L111" s="326"/>
      <c r="M111" s="363" t="str">
        <f>VLOOKUP(Q111,통합목록!$Q$4:$T$310,2,0)</f>
        <v>열기2-01.노동법\02.문제\[기출][2][2023-1-1]사용자의 직장폐쇄 중 수임 상급단체의 단체교섭 요구를 계속적으로 거부한 행위의 부당노동행위 성립 여부.txt</v>
      </c>
      <c r="N111" s="355" t="str">
        <f>VLOOKUP(Q111,통합목록!$Q$4:$T$310,3,0)</f>
        <v>C</v>
      </c>
      <c r="O111" s="364" t="str">
        <f t="shared" si="6"/>
        <v>제12장 단체교섭-04</v>
      </c>
      <c r="Q111" s="313" t="str">
        <f t="shared" si="7"/>
        <v>2023-1-1-2</v>
      </c>
    </row>
    <row r="112" spans="2:17" ht="189" customHeight="1" x14ac:dyDescent="0.2">
      <c r="B112" s="308" t="s">
        <v>400</v>
      </c>
      <c r="C112" s="304" t="s">
        <v>1256</v>
      </c>
      <c r="D112" s="327" t="s">
        <v>80</v>
      </c>
      <c r="E112" s="324">
        <v>2</v>
      </c>
      <c r="F112" s="324" t="s">
        <v>501</v>
      </c>
      <c r="G112" s="349" t="str">
        <f>VLOOKUP(Q112,통합목록!$Q$4:$T$310,4,0)</f>
        <v>단체협약상 동의조항의 효력(노동조합의 동의권에 대한 범위), 경영권에 대한 단체교섭의 대상성</v>
      </c>
      <c r="H112" s="345"/>
      <c r="I112" s="345"/>
      <c r="J112" s="345"/>
      <c r="K112" s="345"/>
      <c r="L112" s="326"/>
      <c r="M112" s="363" t="str">
        <f>VLOOKUP(Q112,통합목록!$Q$4:$T$310,2,0)</f>
        <v>열기2-01.노동법\02.문제\[기출][2][2008-1]단체협약상 동의조항의 효력(노동조합의 동의권에 대한 범위), 경영권에 대한 단체교섭의 대상성.txt</v>
      </c>
      <c r="N112" s="355" t="str">
        <f>VLOOKUP(Q112,통합목록!$Q$4:$T$310,3,0)</f>
        <v>B</v>
      </c>
      <c r="O112" s="364" t="str">
        <f t="shared" si="6"/>
        <v>제12장 단체교섭-05</v>
      </c>
      <c r="Q112" s="313" t="str">
        <f t="shared" si="7"/>
        <v>2008-1-2</v>
      </c>
    </row>
    <row r="113" spans="2:17" ht="189" customHeight="1" x14ac:dyDescent="0.2">
      <c r="B113" s="308" t="s">
        <v>400</v>
      </c>
      <c r="C113" s="304" t="s">
        <v>1256</v>
      </c>
      <c r="D113" s="327" t="s">
        <v>1131</v>
      </c>
      <c r="E113" s="324">
        <v>2</v>
      </c>
      <c r="F113" s="324" t="s">
        <v>507</v>
      </c>
      <c r="G113" s="349" t="str">
        <f>VLOOKUP(Q113,통합목록!$Q$4:$T$310,4,0)</f>
        <v>산별노동조합 지회의 단체교섭 주체성 인정 여부, 사업부 매각 결정(경영권)의 단체교섭 대상성 여부</v>
      </c>
      <c r="H113" s="345"/>
      <c r="I113" s="345"/>
      <c r="J113" s="345"/>
      <c r="K113" s="345"/>
      <c r="L113" s="326"/>
      <c r="M113" s="363" t="str">
        <f>VLOOKUP(Q113,통합목록!$Q$4:$T$310,2,0)</f>
        <v>열기2-01.노동법\02.문제\[기출][2][2011-1]산별노동조합 지회의 단체교섭 주체성 인정 여부, 사업부 매각 결정(경영권)의 단체교섭 대상성 여부.txt</v>
      </c>
      <c r="N113" s="355" t="str">
        <f>VLOOKUP(Q113,통합목록!$Q$4:$T$310,3,0)</f>
        <v>A</v>
      </c>
      <c r="O113" s="364" t="str">
        <f t="shared" si="6"/>
        <v>제12장 단체교섭-06</v>
      </c>
      <c r="Q113" s="313" t="str">
        <f t="shared" si="7"/>
        <v>2011-1-2</v>
      </c>
    </row>
    <row r="114" spans="2:17" ht="189" customHeight="1" x14ac:dyDescent="0.2">
      <c r="B114" s="308" t="s">
        <v>400</v>
      </c>
      <c r="C114" s="304" t="s">
        <v>1256</v>
      </c>
      <c r="D114" s="327" t="s">
        <v>86</v>
      </c>
      <c r="E114" s="324">
        <v>2</v>
      </c>
      <c r="F114" s="324" t="s">
        <v>1737</v>
      </c>
      <c r="G114" s="349" t="str">
        <f>VLOOKUP(Q114,통합목록!$Q$4:$T$310,4,0)</f>
        <v>소수노조 대상 노조사무실 미제공의 공정대표의무 위반 여부</v>
      </c>
      <c r="H114" s="345"/>
      <c r="I114" s="345"/>
      <c r="J114" s="345"/>
      <c r="K114" s="345"/>
      <c r="L114" s="326"/>
      <c r="M114" s="363" t="str">
        <f>VLOOKUP(Q114,통합목록!$Q$4:$T$310,2,0)</f>
        <v>열기2-01.노동법\02.문제\[기출][2][2020-2]소수노조 대상 노조사무실 미제공의 공정대표의무 위반 여부.txt</v>
      </c>
      <c r="N114" s="355" t="str">
        <f>VLOOKUP(Q114,통합목록!$Q$4:$T$310,3,0)</f>
        <v>C</v>
      </c>
      <c r="O114" s="364" t="str">
        <f t="shared" si="6"/>
        <v>제12장 단체교섭-07</v>
      </c>
      <c r="Q114" s="313" t="str">
        <f t="shared" si="7"/>
        <v>2020-2-2</v>
      </c>
    </row>
    <row r="115" spans="2:17" ht="189" customHeight="1" x14ac:dyDescent="0.2">
      <c r="B115" s="308" t="s">
        <v>400</v>
      </c>
      <c r="C115" s="304" t="s">
        <v>1256</v>
      </c>
      <c r="D115" s="327" t="s">
        <v>282</v>
      </c>
      <c r="E115" s="324">
        <v>2</v>
      </c>
      <c r="F115" s="324" t="s">
        <v>1738</v>
      </c>
      <c r="G115" s="349" t="str">
        <f>VLOOKUP(Q115,통합목록!$Q$4:$T$310,4,0)</f>
        <v>교섭대표노동조합의 공정대표의무 위반 여부</v>
      </c>
      <c r="H115" s="345"/>
      <c r="I115" s="345"/>
      <c r="J115" s="345"/>
      <c r="K115" s="345"/>
      <c r="L115" s="326"/>
      <c r="M115" s="363" t="str">
        <f>VLOOKUP(Q115,통합목록!$Q$4:$T$310,2,0)</f>
        <v>열기2-01.노동법\02.문제\[기출][2][2024-2]교섭대표노동조합의 공정대표의무 위반 여부.txt</v>
      </c>
      <c r="N115" s="355" t="str">
        <f>VLOOKUP(Q115,통합목록!$Q$4:$T$310,3,0)</f>
        <v>C</v>
      </c>
      <c r="O115" s="364" t="str">
        <f t="shared" si="6"/>
        <v>제12장 단체교섭-08</v>
      </c>
      <c r="Q115" s="313" t="str">
        <f t="shared" si="7"/>
        <v>2024-2-2</v>
      </c>
    </row>
    <row r="116" spans="2:17" ht="189" customHeight="1" x14ac:dyDescent="0.2">
      <c r="B116" s="308" t="s">
        <v>400</v>
      </c>
      <c r="C116" s="304" t="s">
        <v>1256</v>
      </c>
      <c r="D116" s="327" t="s">
        <v>72</v>
      </c>
      <c r="E116" s="324">
        <v>2</v>
      </c>
      <c r="F116" s="324" t="s">
        <v>1739</v>
      </c>
      <c r="G116" s="349" t="str">
        <f>VLOOKUP(Q116,통합목록!$Q$4:$T$310,4,0)</f>
        <v>직군이 다른 노동조합(사무직과 생산직)의 교섭단위 분리 신청 인정 여부</v>
      </c>
      <c r="H116" s="345"/>
      <c r="I116" s="345"/>
      <c r="J116" s="345"/>
      <c r="K116" s="345"/>
      <c r="L116" s="326"/>
      <c r="M116" s="363" t="str">
        <f>VLOOKUP(Q116,통합목록!$Q$4:$T$310,2,0)</f>
        <v>열기2-01.노동법\02.문제\[기출][2][2025-1-1]직군이 다른 노동조합(사무직과 생산직)의 교섭단위 분리 신청 인정 여부.txt</v>
      </c>
      <c r="N116" s="355" t="str">
        <f>VLOOKUP(Q116,통합목록!$Q$4:$T$310,3,0)</f>
        <v>C</v>
      </c>
      <c r="O116" s="364" t="str">
        <f t="shared" si="6"/>
        <v>제12장 단체교섭-09</v>
      </c>
      <c r="Q116" s="313" t="str">
        <f t="shared" si="7"/>
        <v>2025-1-1-2</v>
      </c>
    </row>
    <row r="117" spans="2:17" ht="189" customHeight="1" x14ac:dyDescent="0.2">
      <c r="B117" s="308" t="s">
        <v>400</v>
      </c>
      <c r="C117" s="304" t="s">
        <v>1256</v>
      </c>
      <c r="D117" s="327" t="s">
        <v>1163</v>
      </c>
      <c r="E117" s="324">
        <v>2</v>
      </c>
      <c r="F117" s="324" t="s">
        <v>1740</v>
      </c>
      <c r="G117" s="349" t="str">
        <f>VLOOKUP(Q117,통합목록!$Q$4:$T$310,4,0)</f>
        <v>노동조합 대표자가 규약 절차를 위반하여 체결한 단체협약의 법적 효력</v>
      </c>
      <c r="H117" s="345"/>
      <c r="I117" s="345"/>
      <c r="J117" s="345"/>
      <c r="K117" s="345"/>
      <c r="L117" s="326"/>
      <c r="M117" s="363" t="str">
        <f>VLOOKUP(Q117,통합목록!$Q$4:$T$310,2,0)</f>
        <v>열기2-01.노동법\02.문제\[기출][2][2023-1-2]노동조합 대표자가 규약 절차를 위반하여 체결한 단체협약의 법적 효력.txt</v>
      </c>
      <c r="N117" s="355" t="str">
        <f>VLOOKUP(Q117,통합목록!$Q$4:$T$310,3,0)</f>
        <v>C</v>
      </c>
      <c r="O117" s="364" t="str">
        <f t="shared" si="6"/>
        <v>제12장 단체교섭-10</v>
      </c>
      <c r="Q117" s="313" t="str">
        <f t="shared" si="7"/>
        <v>2023-1-2-2</v>
      </c>
    </row>
    <row r="118" spans="2:17" ht="189" customHeight="1" x14ac:dyDescent="0.2">
      <c r="B118" s="308" t="s">
        <v>400</v>
      </c>
      <c r="C118" s="304" t="s">
        <v>1647</v>
      </c>
      <c r="D118" s="327" t="s">
        <v>1212</v>
      </c>
      <c r="E118" s="324" t="s">
        <v>28</v>
      </c>
      <c r="F118" s="324" t="s">
        <v>1741</v>
      </c>
      <c r="G118" s="349" t="str">
        <f>VLOOKUP(Q118,통합목록!$Q$4:$T$310,4,0)</f>
        <v>단체교섭 중 사용자의 구체적 대안 제시 거부 및 경영 자료 제공 거부의 부당노동행위 성립 여부</v>
      </c>
      <c r="H118" s="345"/>
      <c r="I118" s="345"/>
      <c r="J118" s="345"/>
      <c r="K118" s="345"/>
      <c r="L118" s="326"/>
      <c r="M118" s="363" t="str">
        <f>VLOOKUP(Q118,통합목록!$Q$4:$T$310,2,0)</f>
        <v>열기2-01.노동법\02.문제\[모의][2][12.06-1]단체교섭 중 사용자의 구체적 대안 제시 거부 및 경영 자료 제공 거부의 부당노동행위 성립 여부.txt</v>
      </c>
      <c r="N118" s="355" t="str">
        <f>VLOOKUP(Q118,통합목록!$Q$4:$T$310,3,0)</f>
        <v>A</v>
      </c>
      <c r="O118" s="364" t="str">
        <f t="shared" si="6"/>
        <v>제12장 단체교섭-11</v>
      </c>
      <c r="Q118" s="313" t="str">
        <f t="shared" si="7"/>
        <v>12.06-1-2</v>
      </c>
    </row>
    <row r="119" spans="2:17" ht="189" customHeight="1" thickBot="1" x14ac:dyDescent="0.25">
      <c r="B119" s="309" t="s">
        <v>400</v>
      </c>
      <c r="C119" s="328" t="s">
        <v>1647</v>
      </c>
      <c r="D119" s="329" t="s">
        <v>1213</v>
      </c>
      <c r="E119" s="330" t="s">
        <v>28</v>
      </c>
      <c r="F119" s="330" t="s">
        <v>1742</v>
      </c>
      <c r="G119" s="350" t="str">
        <f>VLOOKUP(Q119,통합목록!$Q$4:$T$310,4,0)</f>
        <v>교섭 권한 없는 자로의 위임 및 교섭 불참과 성실교섭의무 위반의 판단 기준</v>
      </c>
      <c r="H119" s="346"/>
      <c r="I119" s="346"/>
      <c r="J119" s="346"/>
      <c r="K119" s="346"/>
      <c r="L119" s="331"/>
      <c r="M119" s="365" t="str">
        <f>VLOOKUP(Q119,통합목록!$Q$4:$T$310,2,0)</f>
        <v>열기2-01.노동법\02.문제\[모의][2][12.06-2]교섭 권한 없는 자로의 위임 및 교섭 불참과 성실교섭의무 위반의 판단 기준.txt</v>
      </c>
      <c r="N119" s="356" t="str">
        <f>VLOOKUP(Q119,통합목록!$Q$4:$T$310,3,0)</f>
        <v>A</v>
      </c>
      <c r="O119" s="366" t="str">
        <f t="shared" si="6"/>
        <v>제12장 단체교섭-12</v>
      </c>
      <c r="Q119" s="313" t="str">
        <f t="shared" si="7"/>
        <v>12.06-2-2</v>
      </c>
    </row>
    <row r="120" spans="2:17" ht="189" customHeight="1" x14ac:dyDescent="0.2">
      <c r="B120" s="307" t="s">
        <v>401</v>
      </c>
      <c r="C120" s="332" t="s">
        <v>1647</v>
      </c>
      <c r="D120" s="333" t="s">
        <v>1214</v>
      </c>
      <c r="E120" s="334" t="s">
        <v>28</v>
      </c>
      <c r="F120" s="334" t="s">
        <v>415</v>
      </c>
      <c r="G120" s="351" t="str">
        <f>VLOOKUP(Q120,통합목록!$Q$4:$T$310,4,0)</f>
        <v>단체협약의 성립요건인 서면 작성 및 서명・날인의 법적 의미와 자필 서명의 효력</v>
      </c>
      <c r="H120" s="347"/>
      <c r="I120" s="347"/>
      <c r="J120" s="347"/>
      <c r="K120" s="347"/>
      <c r="L120" s="335"/>
      <c r="M120" s="367" t="str">
        <f>VLOOKUP(Q120,통합목록!$Q$4:$T$310,2,0)</f>
        <v>열기2-01.노동법\02.문제\[모의][2][13.02-1]단체협약의 성립요건인 서면 작성 및 서명・날인의 법적 의미와 자필 서명의 효력.txt</v>
      </c>
      <c r="N120" s="357" t="str">
        <f>VLOOKUP(Q120,통합목록!$Q$4:$T$310,3,0)</f>
        <v>B</v>
      </c>
      <c r="O120" s="368" t="str">
        <f t="shared" si="6"/>
        <v>제13장 단체협약-01</v>
      </c>
      <c r="Q120" s="313" t="str">
        <f t="shared" si="7"/>
        <v>13.02-1-2</v>
      </c>
    </row>
    <row r="121" spans="2:17" ht="189" customHeight="1" x14ac:dyDescent="0.2">
      <c r="B121" s="308" t="s">
        <v>401</v>
      </c>
      <c r="C121" s="304" t="s">
        <v>1647</v>
      </c>
      <c r="D121" s="327" t="s">
        <v>1215</v>
      </c>
      <c r="E121" s="324" t="s">
        <v>28</v>
      </c>
      <c r="F121" s="324" t="s">
        <v>417</v>
      </c>
      <c r="G121" s="349" t="str">
        <f>VLOOKUP(Q121,통합목록!$Q$4:$T$310,4,0)</f>
        <v>조합원 인준투표 부결이 단체협약의 성립 및 효력 발생에 미치는 영향</v>
      </c>
      <c r="H121" s="345"/>
      <c r="I121" s="345"/>
      <c r="J121" s="345"/>
      <c r="K121" s="345"/>
      <c r="L121" s="326"/>
      <c r="M121" s="363" t="str">
        <f>VLOOKUP(Q121,통합목록!$Q$4:$T$310,2,0)</f>
        <v>열기2-01.노동법\02.문제\[모의][2][13.02-2]조합원 인준투표 부결이 단체협약의 성립 및 효력 발생에 미치는 영향.txt</v>
      </c>
      <c r="N121" s="355" t="str">
        <f>VLOOKUP(Q121,통합목록!$Q$4:$T$310,3,0)</f>
        <v>B</v>
      </c>
      <c r="O121" s="364" t="str">
        <f t="shared" si="6"/>
        <v>제13장 단체협약-02</v>
      </c>
      <c r="Q121" s="313" t="str">
        <f t="shared" si="7"/>
        <v>13.02-2-2</v>
      </c>
    </row>
    <row r="122" spans="2:17" ht="189" customHeight="1" x14ac:dyDescent="0.2">
      <c r="B122" s="308" t="s">
        <v>401</v>
      </c>
      <c r="C122" s="304" t="s">
        <v>1256</v>
      </c>
      <c r="D122" s="327" t="s">
        <v>62</v>
      </c>
      <c r="E122" s="324">
        <v>2</v>
      </c>
      <c r="F122" s="324" t="s">
        <v>490</v>
      </c>
      <c r="G122" s="349" t="str">
        <f>VLOOKUP(Q122,통합목록!$Q$4:$T$310,4,0)</f>
        <v>특별노사합의를 통한 고정상여금 미지급 결정의 효력 및 조합원 개별 동의의 필요성 여부</v>
      </c>
      <c r="H122" s="345"/>
      <c r="I122" s="345"/>
      <c r="J122" s="345"/>
      <c r="K122" s="345"/>
      <c r="L122" s="326"/>
      <c r="M122" s="363" t="str">
        <f>VLOOKUP(Q122,통합목록!$Q$4:$T$310,2,0)</f>
        <v>열기2-01.노동법\02.문제\[기출][2][2012-1-1]특별노사합의를 통한 고정상여금 미지급 결정의 효력 및 조합원 개별 동의의 필요성 여부.txt</v>
      </c>
      <c r="N122" s="355" t="str">
        <f>VLOOKUP(Q122,통합목록!$Q$4:$T$310,3,0)</f>
        <v>C</v>
      </c>
      <c r="O122" s="364" t="str">
        <f t="shared" si="6"/>
        <v>제13장 단체협약-03</v>
      </c>
      <c r="Q122" s="313" t="str">
        <f t="shared" si="7"/>
        <v>2012-1-1-2</v>
      </c>
    </row>
    <row r="123" spans="2:17" ht="189" customHeight="1" x14ac:dyDescent="0.2">
      <c r="B123" s="308" t="s">
        <v>401</v>
      </c>
      <c r="C123" s="304" t="s">
        <v>1256</v>
      </c>
      <c r="D123" s="327" t="s">
        <v>63</v>
      </c>
      <c r="E123" s="324">
        <v>2</v>
      </c>
      <c r="F123" s="324" t="s">
        <v>1736</v>
      </c>
      <c r="G123" s="349" t="str">
        <f>VLOOKUP(Q123,통합목록!$Q$4:$T$310,4,0)</f>
        <v>특별노사합의를 통한 무단결근 면직기준 단축의 효력 및 조합원에 대한 적용 정당성 여부</v>
      </c>
      <c r="H123" s="345"/>
      <c r="I123" s="345"/>
      <c r="J123" s="345"/>
      <c r="K123" s="345"/>
      <c r="L123" s="326"/>
      <c r="M123" s="363" t="str">
        <f>VLOOKUP(Q123,통합목록!$Q$4:$T$310,2,0)</f>
        <v>열기2-01.노동법\02.문제\[기출][2][2012-1-2]특별노사합의를 통한 무단결근 면직기준 단축의 효력 및 조합원에 대한 적용 정당성 여부.txt</v>
      </c>
      <c r="N123" s="355" t="str">
        <f>VLOOKUP(Q123,통합목록!$Q$4:$T$310,3,0)</f>
        <v>C</v>
      </c>
      <c r="O123" s="364" t="str">
        <f t="shared" si="6"/>
        <v>제13장 단체협약-04</v>
      </c>
      <c r="Q123" s="313" t="str">
        <f t="shared" si="7"/>
        <v>2012-1-2-2</v>
      </c>
    </row>
    <row r="124" spans="2:17" ht="189" customHeight="1" x14ac:dyDescent="0.2">
      <c r="B124" s="308" t="s">
        <v>401</v>
      </c>
      <c r="C124" s="304" t="s">
        <v>1256</v>
      </c>
      <c r="D124" s="327" t="s">
        <v>60</v>
      </c>
      <c r="E124" s="324">
        <v>2</v>
      </c>
      <c r="F124" s="324" t="s">
        <v>501</v>
      </c>
      <c r="G124" s="349" t="str">
        <f>VLOOKUP(Q124,통합목록!$Q$4:$T$310,4,0)</f>
        <v>비조합원에 대한 징계처분 시 단체협약상 재심절차 준수 필요 여부</v>
      </c>
      <c r="H124" s="345"/>
      <c r="I124" s="345"/>
      <c r="J124" s="345"/>
      <c r="K124" s="345"/>
      <c r="L124" s="326"/>
      <c r="M124" s="363" t="str">
        <f>VLOOKUP(Q124,통합목록!$Q$4:$T$310,2,0)</f>
        <v>열기2-01.노동법\02.문제\[기출][2][2016-2]비조합원에 대한 징계처분 시 단체협약상 재심절차 준수 필요 여부.txt</v>
      </c>
      <c r="N124" s="355" t="str">
        <f>VLOOKUP(Q124,통합목록!$Q$4:$T$310,3,0)</f>
        <v>C</v>
      </c>
      <c r="O124" s="364" t="str">
        <f t="shared" si="6"/>
        <v>제13장 단체협약-05</v>
      </c>
      <c r="Q124" s="313" t="str">
        <f t="shared" si="7"/>
        <v>2016-2-2</v>
      </c>
    </row>
    <row r="125" spans="2:17" ht="189" customHeight="1" x14ac:dyDescent="0.2">
      <c r="B125" s="308" t="s">
        <v>401</v>
      </c>
      <c r="C125" s="304" t="s">
        <v>1256</v>
      </c>
      <c r="D125" s="327" t="s">
        <v>1173</v>
      </c>
      <c r="E125" s="324">
        <v>2</v>
      </c>
      <c r="F125" s="324" t="s">
        <v>507</v>
      </c>
      <c r="G125" s="349" t="str">
        <f>VLOOKUP(Q125,통합목록!$Q$4:$T$310,4,0)</f>
        <v>개별 동의 없는 불이익 단체협약의 규범적 효력과 기득이익의 관계</v>
      </c>
      <c r="H125" s="345"/>
      <c r="I125" s="345"/>
      <c r="J125" s="345"/>
      <c r="K125" s="345"/>
      <c r="L125" s="326"/>
      <c r="M125" s="363" t="str">
        <f>VLOOKUP(Q125,통합목록!$Q$4:$T$310,2,0)</f>
        <v>열기2-01.노동법\02.문제\[기출][2][2023-2]개별 동의 없는 불이익 단체협약의 규범적 효력과 기득이익의 관계.txt</v>
      </c>
      <c r="N125" s="355" t="str">
        <f>VLOOKUP(Q125,통합목록!$Q$4:$T$310,3,0)</f>
        <v>C</v>
      </c>
      <c r="O125" s="364" t="str">
        <f t="shared" si="6"/>
        <v>제13장 단체협약-06</v>
      </c>
      <c r="Q125" s="313" t="str">
        <f t="shared" si="7"/>
        <v>2023-2-2</v>
      </c>
    </row>
    <row r="126" spans="2:17" ht="189" customHeight="1" x14ac:dyDescent="0.2">
      <c r="B126" s="308" t="s">
        <v>401</v>
      </c>
      <c r="C126" s="304" t="s">
        <v>1647</v>
      </c>
      <c r="D126" s="327" t="s">
        <v>1216</v>
      </c>
      <c r="E126" s="324" t="s">
        <v>28</v>
      </c>
      <c r="F126" s="324" t="s">
        <v>1737</v>
      </c>
      <c r="G126" s="349" t="str">
        <f>VLOOKUP(Q126,통합목록!$Q$4:$T$310,4,0)</f>
        <v>평화의무의 개념, 근거 및 명시적 조항 부재 시 인정 여부</v>
      </c>
      <c r="H126" s="345"/>
      <c r="I126" s="345"/>
      <c r="J126" s="345"/>
      <c r="K126" s="345"/>
      <c r="L126" s="326"/>
      <c r="M126" s="363" t="str">
        <f>VLOOKUP(Q126,통합목록!$Q$4:$T$310,2,0)</f>
        <v>열기2-01.노동법\02.문제\[모의][2][13.04-1]평화의무의 개념, 근거 및 명시적 조항 부재 시 인정 여부.txt</v>
      </c>
      <c r="N126" s="355" t="str">
        <f>VLOOKUP(Q126,통합목록!$Q$4:$T$310,3,0)</f>
        <v>B</v>
      </c>
      <c r="O126" s="364" t="str">
        <f t="shared" si="6"/>
        <v>제13장 단체협약-07</v>
      </c>
      <c r="Q126" s="313" t="str">
        <f t="shared" si="7"/>
        <v>13.04-1-2</v>
      </c>
    </row>
    <row r="127" spans="2:17" ht="189" customHeight="1" x14ac:dyDescent="0.2">
      <c r="B127" s="308" t="s">
        <v>401</v>
      </c>
      <c r="C127" s="304" t="s">
        <v>1647</v>
      </c>
      <c r="D127" s="327" t="s">
        <v>1217</v>
      </c>
      <c r="E127" s="324" t="s">
        <v>28</v>
      </c>
      <c r="F127" s="324" t="s">
        <v>1738</v>
      </c>
      <c r="G127" s="349" t="str">
        <f>VLOOKUP(Q127,통합목록!$Q$4:$T$310,4,0)</f>
        <v>평화의무 위반 쟁의행위의 정당성 유무 및 법적 책임</v>
      </c>
      <c r="H127" s="345"/>
      <c r="I127" s="345"/>
      <c r="J127" s="345"/>
      <c r="K127" s="345"/>
      <c r="L127" s="326"/>
      <c r="M127" s="363" t="str">
        <f>VLOOKUP(Q127,통합목록!$Q$4:$T$310,2,0)</f>
        <v>열기2-01.노동법\02.문제\[모의][2][13.04-2]평화의무 위반 쟁의행위의 정당성 유무 및 법적 책임.txt</v>
      </c>
      <c r="N127" s="355" t="str">
        <f>VLOOKUP(Q127,통합목록!$Q$4:$T$310,3,0)</f>
        <v>B</v>
      </c>
      <c r="O127" s="364" t="str">
        <f t="shared" si="6"/>
        <v>제13장 단체협약-08</v>
      </c>
      <c r="Q127" s="313" t="str">
        <f t="shared" si="7"/>
        <v>13.04-2-2</v>
      </c>
    </row>
    <row r="128" spans="2:17" ht="189" customHeight="1" x14ac:dyDescent="0.2">
      <c r="B128" s="308" t="s">
        <v>401</v>
      </c>
      <c r="C128" s="304" t="s">
        <v>1256</v>
      </c>
      <c r="D128" s="327" t="s">
        <v>1164</v>
      </c>
      <c r="E128" s="324">
        <v>2</v>
      </c>
      <c r="F128" s="324" t="s">
        <v>1739</v>
      </c>
      <c r="G128" s="349" t="str">
        <f>VLOOKUP(Q128,통합목록!$Q$4:$T$310,4,0)</f>
        <v>특별단체협약상 정리해고에 대한 합의 조항을 협의로 변형 해석할 수 있는지 여부</v>
      </c>
      <c r="H128" s="345"/>
      <c r="I128" s="345"/>
      <c r="J128" s="345"/>
      <c r="K128" s="345"/>
      <c r="L128" s="326"/>
      <c r="M128" s="363" t="str">
        <f>VLOOKUP(Q128,통합목록!$Q$4:$T$310,2,0)</f>
        <v>열기2-01.노동법\02.문제\[기출][2][2014-1-1]특별단체협약상 정리해고에 대한 합의 조항을 협의로 변형 해석할 수 있는지 여부.txt</v>
      </c>
      <c r="N128" s="355" t="str">
        <f>VLOOKUP(Q128,통합목록!$Q$4:$T$310,3,0)</f>
        <v>B</v>
      </c>
      <c r="O128" s="364" t="str">
        <f t="shared" si="6"/>
        <v>제13장 단체협약-09</v>
      </c>
      <c r="Q128" s="313" t="str">
        <f t="shared" si="7"/>
        <v>2014-1-1-2</v>
      </c>
    </row>
    <row r="129" spans="2:17" ht="189" customHeight="1" x14ac:dyDescent="0.2">
      <c r="B129" s="308" t="s">
        <v>401</v>
      </c>
      <c r="C129" s="304" t="s">
        <v>1256</v>
      </c>
      <c r="D129" s="327" t="s">
        <v>113</v>
      </c>
      <c r="E129" s="324">
        <v>2</v>
      </c>
      <c r="F129" s="324" t="s">
        <v>1740</v>
      </c>
      <c r="G129" s="349" t="str">
        <f>VLOOKUP(Q129,통합목록!$Q$4:$T$310,4,0)</f>
        <v>단체협약상 동의조항의 효력(노동조합의 동의권에 대한 범위), 경영권에 대한 단체교섭의 대상성</v>
      </c>
      <c r="H129" s="345"/>
      <c r="I129" s="345"/>
      <c r="J129" s="345"/>
      <c r="K129" s="345"/>
      <c r="L129" s="326"/>
      <c r="M129" s="363" t="str">
        <f>VLOOKUP(Q129,통합목록!$Q$4:$T$310,2,0)</f>
        <v>열기2-01.노동법\02.문제\[기출][2][2008-1]단체협약상 동의조항의 효력(노동조합의 동의권에 대한 범위), 경영권에 대한 단체교섭의 대상성.txt</v>
      </c>
      <c r="N129" s="355" t="str">
        <f>VLOOKUP(Q129,통합목록!$Q$4:$T$310,3,0)</f>
        <v>B</v>
      </c>
      <c r="O129" s="364" t="str">
        <f t="shared" si="6"/>
        <v>제13장 단체협약-10</v>
      </c>
      <c r="Q129" s="313" t="str">
        <f t="shared" si="7"/>
        <v>2008-1-2</v>
      </c>
    </row>
    <row r="130" spans="2:17" ht="189" customHeight="1" x14ac:dyDescent="0.2">
      <c r="B130" s="308" t="s">
        <v>401</v>
      </c>
      <c r="C130" s="304" t="s">
        <v>1647</v>
      </c>
      <c r="D130" s="327" t="s">
        <v>1218</v>
      </c>
      <c r="E130" s="324" t="s">
        <v>28</v>
      </c>
      <c r="F130" s="324" t="s">
        <v>1741</v>
      </c>
      <c r="G130" s="349" t="str">
        <f>VLOOKUP(Q130,통합목록!$Q$4:$T$310,4,0)</f>
        <v>사업장 단위 효력확장 제도의 의의 및 취지, 생산직 비조합원에 대한 요건 충족 여부</v>
      </c>
      <c r="H130" s="345"/>
      <c r="I130" s="345"/>
      <c r="J130" s="345"/>
      <c r="K130" s="345"/>
      <c r="L130" s="326"/>
      <c r="M130" s="363" t="str">
        <f>VLOOKUP(Q130,통합목록!$Q$4:$T$310,2,0)</f>
        <v>열기2-01.노동법\02.문제\[모의][2][13.07-1]사업장 단위 효력확장 제도의 의의 및 취지, 생산직 비조합원에 대한 요건 충족 여부.txt</v>
      </c>
      <c r="N130" s="355" t="str">
        <f>VLOOKUP(Q130,통합목록!$Q$4:$T$310,3,0)</f>
        <v>B</v>
      </c>
      <c r="O130" s="364" t="str">
        <f t="shared" si="6"/>
        <v>제13장 단체협약-11</v>
      </c>
      <c r="Q130" s="313" t="str">
        <f t="shared" si="7"/>
        <v>13.07-1-2</v>
      </c>
    </row>
    <row r="131" spans="2:17" ht="189" customHeight="1" x14ac:dyDescent="0.2">
      <c r="B131" s="308" t="s">
        <v>401</v>
      </c>
      <c r="C131" s="304" t="s">
        <v>1647</v>
      </c>
      <c r="D131" s="327" t="s">
        <v>1219</v>
      </c>
      <c r="E131" s="324" t="s">
        <v>28</v>
      </c>
      <c r="F131" s="324" t="s">
        <v>1742</v>
      </c>
      <c r="G131" s="349" t="str">
        <f>VLOOKUP(Q131,통합목록!$Q$4:$T$310,4,0)</f>
        <v>사무직 근로자에 대한 효력확장 여부 및 확장의 범위(채무적 부분 포함 여부)</v>
      </c>
      <c r="H131" s="345"/>
      <c r="I131" s="345"/>
      <c r="J131" s="345"/>
      <c r="K131" s="345"/>
      <c r="L131" s="326"/>
      <c r="M131" s="363" t="str">
        <f>VLOOKUP(Q131,통합목록!$Q$4:$T$310,2,0)</f>
        <v>열기2-01.노동법\02.문제\[모의][2][13.07-2]사무직 근로자에 대한 효력확장 여부 및 확장의 범위(채무적 부분 포함 여부).txt</v>
      </c>
      <c r="N131" s="355" t="str">
        <f>VLOOKUP(Q131,통합목록!$Q$4:$T$310,3,0)</f>
        <v>B</v>
      </c>
      <c r="O131" s="364" t="str">
        <f t="shared" si="6"/>
        <v>제13장 단체협약-12</v>
      </c>
      <c r="Q131" s="313" t="str">
        <f t="shared" si="7"/>
        <v>13.07-2-2</v>
      </c>
    </row>
    <row r="132" spans="2:17" ht="189" customHeight="1" x14ac:dyDescent="0.2">
      <c r="B132" s="308" t="s">
        <v>401</v>
      </c>
      <c r="C132" s="304" t="s">
        <v>1256</v>
      </c>
      <c r="D132" s="327" t="s">
        <v>91</v>
      </c>
      <c r="E132" s="324">
        <v>2</v>
      </c>
      <c r="F132" s="324" t="s">
        <v>1743</v>
      </c>
      <c r="G132" s="349" t="str">
        <f>VLOOKUP(Q132,통합목록!$Q$4:$T$310,4,0)</f>
        <v>단체협약 만료 후 법정연장기간 내에 노동조합과의 사전합의 없이 행해진 해고의 효력</v>
      </c>
      <c r="H132" s="345"/>
      <c r="I132" s="345"/>
      <c r="J132" s="345"/>
      <c r="K132" s="345"/>
      <c r="L132" s="326"/>
      <c r="M132" s="363" t="str">
        <f>VLOOKUP(Q132,통합목록!$Q$4:$T$310,2,0)</f>
        <v>열기2-01.노동법\02.문제\[기출][2][2010-1]단체협약 만료 후 법정연장기간 내에 노동조합과의 사전합의 없이 행해진 해고의 효력.txt</v>
      </c>
      <c r="N132" s="355" t="str">
        <f>VLOOKUP(Q132,통합목록!$Q$4:$T$310,3,0)</f>
        <v>A</v>
      </c>
      <c r="O132" s="364" t="str">
        <f t="shared" ref="O132:O163" si="8">B132&amp;"-"&amp;F132</f>
        <v>제13장 단체협약-13</v>
      </c>
      <c r="Q132" s="313" t="str">
        <f t="shared" ref="Q132:Q163" si="9">D132&amp;"-"&amp;E132</f>
        <v>2010-1-2</v>
      </c>
    </row>
    <row r="133" spans="2:17" ht="189" customHeight="1" thickBot="1" x14ac:dyDescent="0.25">
      <c r="B133" s="309" t="s">
        <v>401</v>
      </c>
      <c r="C133" s="328" t="s">
        <v>1256</v>
      </c>
      <c r="D133" s="329" t="s">
        <v>1018</v>
      </c>
      <c r="E133" s="330">
        <v>2</v>
      </c>
      <c r="F133" s="330" t="s">
        <v>1744</v>
      </c>
      <c r="G133" s="350" t="str">
        <f>VLOOKUP(Q133,통합목록!$Q$4:$T$310,4,0)</f>
        <v>자동연장된 단체협약의 해지권 제한 약정의 효력 및 해지 통보의 유효성</v>
      </c>
      <c r="H133" s="346"/>
      <c r="I133" s="346"/>
      <c r="J133" s="346"/>
      <c r="K133" s="346"/>
      <c r="L133" s="331"/>
      <c r="M133" s="365" t="str">
        <f>VLOOKUP(Q133,통합목록!$Q$4:$T$310,2,0)</f>
        <v>열기2-01.노동법\02.문제\[기출][2][2021-1-2]자동연장된 단체협약의 해지권 제한 약정의 효력 및 해지 통보의 유효성.txt</v>
      </c>
      <c r="N133" s="356" t="str">
        <f>VLOOKUP(Q133,통합목록!$Q$4:$T$310,3,0)</f>
        <v>A</v>
      </c>
      <c r="O133" s="366" t="str">
        <f t="shared" si="8"/>
        <v>제13장 단체협약-14</v>
      </c>
      <c r="Q133" s="313" t="str">
        <f t="shared" si="9"/>
        <v>2021-1-2-2</v>
      </c>
    </row>
    <row r="134" spans="2:17" ht="189" customHeight="1" x14ac:dyDescent="0.2">
      <c r="B134" s="307" t="s">
        <v>402</v>
      </c>
      <c r="C134" s="332" t="s">
        <v>1256</v>
      </c>
      <c r="D134" s="333" t="s">
        <v>1174</v>
      </c>
      <c r="E134" s="334">
        <v>2</v>
      </c>
      <c r="F134" s="334" t="s">
        <v>415</v>
      </c>
      <c r="G134" s="351" t="str">
        <f>VLOOKUP(Q134,통합목록!$Q$4:$T$310,4,0)</f>
        <v>설립 미신고 지부노동조합의 쟁의행위에 대한 주체의 정당성</v>
      </c>
      <c r="H134" s="347"/>
      <c r="I134" s="347"/>
      <c r="J134" s="347"/>
      <c r="K134" s="347"/>
      <c r="L134" s="335"/>
      <c r="M134" s="367" t="str">
        <f>VLOOKUP(Q134,통합목록!$Q$4:$T$310,2,0)</f>
        <v>열기2-01.노동법\02.문제\[기출][2][2013-1-1]설립 미신고 지부노동조합의 쟁의행위에 대한 주체의 정당성.txt</v>
      </c>
      <c r="N134" s="357" t="str">
        <f>VLOOKUP(Q134,통합목록!$Q$4:$T$310,3,0)</f>
        <v>A</v>
      </c>
      <c r="O134" s="368" t="str">
        <f t="shared" si="8"/>
        <v>제14장 쟁의행위-01</v>
      </c>
      <c r="Q134" s="313" t="str">
        <f t="shared" si="9"/>
        <v>2013-1-1-2</v>
      </c>
    </row>
    <row r="135" spans="2:17" ht="189" customHeight="1" x14ac:dyDescent="0.2">
      <c r="B135" s="308" t="s">
        <v>402</v>
      </c>
      <c r="C135" s="304" t="s">
        <v>1256</v>
      </c>
      <c r="D135" s="327" t="s">
        <v>1175</v>
      </c>
      <c r="E135" s="324">
        <v>2</v>
      </c>
      <c r="F135" s="324" t="s">
        <v>417</v>
      </c>
      <c r="G135" s="349" t="str">
        <f>VLOOKUP(Q135,통합목록!$Q$4:$T$310,4,0)</f>
        <v>설립 미신고 지부노동조합의 쟁의행위에 대한 목적의 정당성</v>
      </c>
      <c r="H135" s="345"/>
      <c r="I135" s="345"/>
      <c r="J135" s="345"/>
      <c r="K135" s="345"/>
      <c r="L135" s="326"/>
      <c r="M135" s="363" t="str">
        <f>VLOOKUP(Q135,통합목록!$Q$4:$T$310,2,0)</f>
        <v>열기2-01.노동법\02.문제\[기출][2][2013-1-2]설립 미신고 지부노동조합의 쟁의행위에 대한 목적의 정당성.txt</v>
      </c>
      <c r="N135" s="355" t="str">
        <f>VLOOKUP(Q135,통합목록!$Q$4:$T$310,3,0)</f>
        <v>A</v>
      </c>
      <c r="O135" s="364" t="str">
        <f t="shared" si="8"/>
        <v>제14장 쟁의행위-02</v>
      </c>
      <c r="Q135" s="313" t="str">
        <f t="shared" si="9"/>
        <v>2013-1-2-2</v>
      </c>
    </row>
    <row r="136" spans="2:17" ht="189" customHeight="1" x14ac:dyDescent="0.2">
      <c r="B136" s="308" t="s">
        <v>402</v>
      </c>
      <c r="C136" s="304" t="s">
        <v>1256</v>
      </c>
      <c r="D136" s="327" t="s">
        <v>284</v>
      </c>
      <c r="E136" s="324">
        <v>2</v>
      </c>
      <c r="F136" s="324" t="s">
        <v>490</v>
      </c>
      <c r="G136" s="349" t="str">
        <f>VLOOKUP(Q136,통합목록!$Q$4:$T$310,4,0)</f>
        <v>임금협약의 유효기간 중 재교섭을 요구하며 개시한 파업의 정당성 여부</v>
      </c>
      <c r="H136" s="345"/>
      <c r="I136" s="345"/>
      <c r="J136" s="345"/>
      <c r="K136" s="345"/>
      <c r="L136" s="326"/>
      <c r="M136" s="363" t="str">
        <f>VLOOKUP(Q136,통합목록!$Q$4:$T$310,2,0)</f>
        <v>열기2-01.노동법\02.문제\[기출][2][2021-2]임금협약의 유효기간 중 재교섭을 요구하며 개시한 파업의 정당성 여부.txt</v>
      </c>
      <c r="N136" s="355" t="str">
        <f>VLOOKUP(Q136,통합목록!$Q$4:$T$310,3,0)</f>
        <v>A</v>
      </c>
      <c r="O136" s="364" t="str">
        <f t="shared" si="8"/>
        <v>제14장 쟁의행위-03</v>
      </c>
      <c r="Q136" s="313" t="str">
        <f t="shared" si="9"/>
        <v>2021-2-2</v>
      </c>
    </row>
    <row r="137" spans="2:17" ht="189" customHeight="1" x14ac:dyDescent="0.2">
      <c r="B137" s="308" t="s">
        <v>402</v>
      </c>
      <c r="C137" s="304" t="s">
        <v>1256</v>
      </c>
      <c r="D137" s="327" t="s">
        <v>1014</v>
      </c>
      <c r="E137" s="324">
        <v>2</v>
      </c>
      <c r="F137" s="324" t="s">
        <v>1736</v>
      </c>
      <c r="G137" s="349" t="str">
        <f>VLOOKUP(Q137,통합목록!$Q$4:$T$310,4,0)</f>
        <v>노동조합 쟁의행위의 절차적 정당성의 요건, 절차 위반 시 효력</v>
      </c>
      <c r="H137" s="345" t="s">
        <v>1774</v>
      </c>
      <c r="I137" s="345"/>
      <c r="J137" s="345"/>
      <c r="K137" s="345" t="s">
        <v>1776</v>
      </c>
      <c r="L137" s="326"/>
      <c r="M137" s="363" t="str">
        <f>VLOOKUP(Q137,통합목록!$Q$4:$T$310,2,0)</f>
        <v>열기2-01.노동법\02.문제\[기출][2][2010-2]노동조합 쟁의행위의 절차적 정당성의 요건, 절차 위반 시 효력.txt</v>
      </c>
      <c r="N137" s="355" t="str">
        <f>VLOOKUP(Q137,통합목록!$Q$4:$T$310,3,0)</f>
        <v>A</v>
      </c>
      <c r="O137" s="364" t="str">
        <f t="shared" si="8"/>
        <v>제14장 쟁의행위-04</v>
      </c>
      <c r="Q137" s="313" t="str">
        <f t="shared" si="9"/>
        <v>2010-2-2</v>
      </c>
    </row>
    <row r="138" spans="2:17" ht="189" customHeight="1" x14ac:dyDescent="0.2">
      <c r="B138" s="308" t="s">
        <v>402</v>
      </c>
      <c r="C138" s="304" t="s">
        <v>1256</v>
      </c>
      <c r="D138" s="327" t="s">
        <v>1169</v>
      </c>
      <c r="E138" s="324">
        <v>2</v>
      </c>
      <c r="F138" s="324" t="s">
        <v>501</v>
      </c>
      <c r="G138" s="349" t="str">
        <f>VLOOKUP(Q138,통합목록!$Q$4:$T$310,4,0)</f>
        <v>직장폐쇄 후 조합원들의 임원회의실 점거 지속 및 퇴거요구 불응에 따른 정당성 상실 여부</v>
      </c>
      <c r="H138" s="345"/>
      <c r="I138" s="345"/>
      <c r="J138" s="345"/>
      <c r="K138" s="345"/>
      <c r="L138" s="326"/>
      <c r="M138" s="363" t="str">
        <f>VLOOKUP(Q138,통합목록!$Q$4:$T$310,2,0)</f>
        <v>열기2-01.노동법\02.문제\[기출][2][2018-2]직장폐쇄 후 조합원들의 임원회의실 점거 지속 및 퇴거요구 불응에 따른 정당성 상실 여부.txt</v>
      </c>
      <c r="N138" s="355" t="str">
        <f>VLOOKUP(Q138,통합목록!$Q$4:$T$310,3,0)</f>
        <v>A</v>
      </c>
      <c r="O138" s="364" t="str">
        <f t="shared" si="8"/>
        <v>제14장 쟁의행위-05</v>
      </c>
      <c r="Q138" s="313" t="str">
        <f t="shared" si="9"/>
        <v>2018-2-2</v>
      </c>
    </row>
    <row r="139" spans="2:17" ht="189" customHeight="1" x14ac:dyDescent="0.2">
      <c r="B139" s="308" t="s">
        <v>402</v>
      </c>
      <c r="C139" s="304" t="s">
        <v>1256</v>
      </c>
      <c r="D139" s="327" t="s">
        <v>75</v>
      </c>
      <c r="E139" s="324">
        <v>2</v>
      </c>
      <c r="F139" s="324" t="s">
        <v>507</v>
      </c>
      <c r="G139" s="349" t="str">
        <f>VLOOKUP(Q139,통합목록!$Q$4:$T$310,4,0)</f>
        <v>원청 사업장에서 쟁의행위를 실시한 하청 노동조합에 대한 퇴거불응죄 성립 여부</v>
      </c>
      <c r="H139" s="345"/>
      <c r="I139" s="345"/>
      <c r="J139" s="345"/>
      <c r="K139" s="345"/>
      <c r="L139" s="326"/>
      <c r="M139" s="363" t="str">
        <f>VLOOKUP(Q139,통합목록!$Q$4:$T$310,2,0)</f>
        <v>열기2-01.노동법\02.문제\[기출][2][2022-1-1]원청 사업장에서 쟁의행위를 실시한 하청 노동조합에 대한 퇴거불응죄 성립 여부.txt</v>
      </c>
      <c r="N139" s="355" t="str">
        <f>VLOOKUP(Q139,통합목록!$Q$4:$T$310,3,0)</f>
        <v>A</v>
      </c>
      <c r="O139" s="364" t="str">
        <f t="shared" si="8"/>
        <v>제14장 쟁의행위-06</v>
      </c>
      <c r="Q139" s="313" t="str">
        <f t="shared" si="9"/>
        <v>2022-1-1-2</v>
      </c>
    </row>
    <row r="140" spans="2:17" ht="189" customHeight="1" x14ac:dyDescent="0.2">
      <c r="B140" s="308" t="s">
        <v>402</v>
      </c>
      <c r="C140" s="304" t="s">
        <v>1256</v>
      </c>
      <c r="D140" s="327" t="s">
        <v>237</v>
      </c>
      <c r="E140" s="324">
        <v>2</v>
      </c>
      <c r="F140" s="324" t="s">
        <v>1737</v>
      </c>
      <c r="G140" s="349" t="str">
        <f>VLOOKUP(Q140,통합목록!$Q$4:$T$310,4,0)</f>
        <v>준법투쟁의 개념과 법적 성격, 유형, 관련 판례법리, 효과 및 활용</v>
      </c>
      <c r="H140" s="345"/>
      <c r="I140" s="345"/>
      <c r="J140" s="345"/>
      <c r="K140" s="345"/>
      <c r="L140" s="326"/>
      <c r="M140" s="363" t="str">
        <f>VLOOKUP(Q140,통합목록!$Q$4:$T$310,2,0)</f>
        <v>열기2-01.노동법\02.문제\[기출][2][2011-2]준법투쟁의 개념과 법적 성격, 유형, 관련 판례법리, 효과 및 활용.txt</v>
      </c>
      <c r="N140" s="355" t="str">
        <f>VLOOKUP(Q140,통합목록!$Q$4:$T$310,3,0)</f>
        <v>A</v>
      </c>
      <c r="O140" s="364" t="str">
        <f t="shared" si="8"/>
        <v>제14장 쟁의행위-07</v>
      </c>
      <c r="Q140" s="313" t="str">
        <f t="shared" si="9"/>
        <v>2011-2-2</v>
      </c>
    </row>
    <row r="141" spans="2:17" ht="189" customHeight="1" x14ac:dyDescent="0.2">
      <c r="B141" s="308" t="s">
        <v>402</v>
      </c>
      <c r="C141" s="304" t="s">
        <v>1256</v>
      </c>
      <c r="D141" s="327" t="s">
        <v>77</v>
      </c>
      <c r="E141" s="324">
        <v>2</v>
      </c>
      <c r="F141" s="324" t="s">
        <v>1738</v>
      </c>
      <c r="G141" s="349" t="str">
        <f>VLOOKUP(Q141,통합목록!$Q$4:$T$310,4,0)</f>
        <v>관행적 연장근로에 대한 집단적 거부가 노조법상 쟁의행위에 해당하는지 여부</v>
      </c>
      <c r="H141" s="345"/>
      <c r="I141" s="345"/>
      <c r="J141" s="345"/>
      <c r="K141" s="345"/>
      <c r="L141" s="326"/>
      <c r="M141" s="363" t="str">
        <f>VLOOKUP(Q141,통합목록!$Q$4:$T$310,2,0)</f>
        <v>열기2-01.노동법\02.문제\[기출][2][2017-1-1]관행적 연장근로에 대한 집단적 거부가 노조법상 쟁의행위에 해당하는지 여부.txt</v>
      </c>
      <c r="N141" s="355" t="str">
        <f>VLOOKUP(Q141,통합목록!$Q$4:$T$310,3,0)</f>
        <v>A</v>
      </c>
      <c r="O141" s="364" t="str">
        <f t="shared" si="8"/>
        <v>제14장 쟁의행위-08</v>
      </c>
      <c r="Q141" s="313" t="str">
        <f t="shared" si="9"/>
        <v>2017-1-1-2</v>
      </c>
    </row>
    <row r="142" spans="2:17" ht="189" customHeight="1" x14ac:dyDescent="0.2">
      <c r="B142" s="308" t="s">
        <v>402</v>
      </c>
      <c r="C142" s="304" t="s">
        <v>1256</v>
      </c>
      <c r="D142" s="327" t="s">
        <v>92</v>
      </c>
      <c r="E142" s="324">
        <v>2</v>
      </c>
      <c r="F142" s="324" t="s">
        <v>1739</v>
      </c>
      <c r="G142" s="349" t="str">
        <f>VLOOKUP(Q142,통합목록!$Q$4:$T$310,4,0)</f>
        <v>직장점거 중 단행된 사용자의 직장폐쇄에 따른 법률적 효과</v>
      </c>
      <c r="H142" s="345" t="s">
        <v>1778</v>
      </c>
      <c r="I142" s="345" t="s">
        <v>1777</v>
      </c>
      <c r="J142" s="345"/>
      <c r="K142" s="345"/>
      <c r="L142" s="326"/>
      <c r="M142" s="363" t="str">
        <f>VLOOKUP(Q142,통합목록!$Q$4:$T$310,2,0)</f>
        <v>열기2-01.노동법\02.문제\[기출][2][2009-2]직장점거 중 단행된 사용자의 직장폐쇄에 따른 법률적 효과.txt</v>
      </c>
      <c r="N142" s="355" t="str">
        <f>VLOOKUP(Q142,통합목록!$Q$4:$T$310,3,0)</f>
        <v>A</v>
      </c>
      <c r="O142" s="364" t="str">
        <f t="shared" si="8"/>
        <v>제14장 쟁의행위-09</v>
      </c>
      <c r="Q142" s="313" t="str">
        <f>D142&amp;"-"&amp;E142</f>
        <v>2009-2-2</v>
      </c>
    </row>
    <row r="143" spans="2:17" ht="189" customHeight="1" x14ac:dyDescent="0.2">
      <c r="B143" s="308" t="s">
        <v>402</v>
      </c>
      <c r="C143" s="304" t="s">
        <v>1256</v>
      </c>
      <c r="D143" s="327" t="s">
        <v>71</v>
      </c>
      <c r="E143" s="324">
        <v>2</v>
      </c>
      <c r="F143" s="324" t="s">
        <v>1740</v>
      </c>
      <c r="G143" s="349" t="str">
        <f>VLOOKUP(Q143,통합목록!$Q$4:$T$310,4,0)</f>
        <v>사용자의 정당한 직장폐쇄의 개념, 요건, 법적 효과</v>
      </c>
      <c r="H143" s="345" t="s">
        <v>1788</v>
      </c>
      <c r="I143" s="345"/>
      <c r="J143" s="345"/>
      <c r="K143" s="345" t="s">
        <v>1789</v>
      </c>
      <c r="L143" s="326"/>
      <c r="M143" s="363" t="str">
        <f>VLOOKUP(Q143,통합목록!$Q$4:$T$310,2,0)</f>
        <v>열기2-01.노동법\02.문제\[기출][2][2015-2]사용자의 정당한 직장폐쇄의 개념, 요건, 법적 효과.txt</v>
      </c>
      <c r="N143" s="355" t="str">
        <f>VLOOKUP(Q143,통합목록!$Q$4:$T$310,3,0)</f>
        <v>A</v>
      </c>
      <c r="O143" s="364" t="str">
        <f t="shared" si="8"/>
        <v>제14장 쟁의행위-10</v>
      </c>
      <c r="Q143" s="313" t="str">
        <f t="shared" si="9"/>
        <v>2015-2-2</v>
      </c>
    </row>
    <row r="144" spans="2:17" ht="189" customHeight="1" x14ac:dyDescent="0.2">
      <c r="B144" s="308" t="s">
        <v>402</v>
      </c>
      <c r="C144" s="304" t="s">
        <v>1256</v>
      </c>
      <c r="D144" s="327" t="s">
        <v>1176</v>
      </c>
      <c r="E144" s="324">
        <v>2</v>
      </c>
      <c r="F144" s="324" t="s">
        <v>1741</v>
      </c>
      <c r="G144" s="349" t="str">
        <f>VLOOKUP(Q144,통합목록!$Q$4:$T$310,4,0)</f>
        <v>근로자의 집단적 연장근로 거부 및 태업에 대응하여 단행한 사용자의 직장폐쇄 개시 및 유지의 정당성 여부</v>
      </c>
      <c r="H144" s="345" t="s">
        <v>1787</v>
      </c>
      <c r="I144" s="345"/>
      <c r="J144" s="345"/>
      <c r="K144" s="345"/>
      <c r="L144" s="326"/>
      <c r="M144" s="363" t="str">
        <f>VLOOKUP(Q144,통합목록!$Q$4:$T$310,2,0)</f>
        <v>열기2-01.노동법\02.문제\[기출][2][2017-1-2]근로자의 집단적 연장근로 거부 및 태업에 대응하여 단행한 사용자의 직장폐쇄 개시 및 유지의 정당성 여부.txt</v>
      </c>
      <c r="N144" s="355" t="str">
        <f>VLOOKUP(Q144,통합목록!$Q$4:$T$310,3,0)</f>
        <v>A</v>
      </c>
      <c r="O144" s="364" t="str">
        <f t="shared" si="8"/>
        <v>제14장 쟁의행위-11</v>
      </c>
      <c r="Q144" s="313" t="str">
        <f t="shared" si="9"/>
        <v>2017-1-2-2</v>
      </c>
    </row>
    <row r="145" spans="2:17" ht="189" customHeight="1" x14ac:dyDescent="0.2">
      <c r="B145" s="308" t="s">
        <v>402</v>
      </c>
      <c r="C145" s="304" t="s">
        <v>1256</v>
      </c>
      <c r="D145" s="327" t="s">
        <v>76</v>
      </c>
      <c r="E145" s="324">
        <v>2</v>
      </c>
      <c r="F145" s="324" t="s">
        <v>1742</v>
      </c>
      <c r="G145" s="349" t="str">
        <f>VLOOKUP(Q145,통합목록!$Q$4:$T$310,4,0)</f>
        <v>직장폐쇄를 단행하며 노조사무실 출입을 전면 금지한 행위의 정당성 여부</v>
      </c>
      <c r="H145" s="345" t="s">
        <v>1791</v>
      </c>
      <c r="I145" s="345" t="s">
        <v>1790</v>
      </c>
      <c r="J145" s="345"/>
      <c r="K145" s="345"/>
      <c r="L145" s="326"/>
      <c r="M145" s="363" t="str">
        <f>VLOOKUP(Q145,통합목록!$Q$4:$T$310,2,0)</f>
        <v>열기2-01.노동법\02.문제\[기출][2][2019-1-1]직장폐쇄를 단행하며 노조사무실 출입을 전면 금지한 행위의 정당성 여부.txt</v>
      </c>
      <c r="N145" s="355" t="str">
        <f>VLOOKUP(Q145,통합목록!$Q$4:$T$310,3,0)</f>
        <v>A</v>
      </c>
      <c r="O145" s="364" t="str">
        <f t="shared" si="8"/>
        <v>제14장 쟁의행위-12</v>
      </c>
      <c r="Q145" s="313" t="str">
        <f t="shared" si="9"/>
        <v>2019-1-1-2</v>
      </c>
    </row>
    <row r="146" spans="2:17" ht="189" customHeight="1" x14ac:dyDescent="0.2">
      <c r="B146" s="308" t="s">
        <v>402</v>
      </c>
      <c r="C146" s="304" t="s">
        <v>1647</v>
      </c>
      <c r="D146" s="327" t="s">
        <v>1220</v>
      </c>
      <c r="E146" s="324" t="s">
        <v>28</v>
      </c>
      <c r="F146" s="324" t="s">
        <v>1743</v>
      </c>
      <c r="G146" s="349" t="str">
        <f>VLOOKUP(Q146,통합목록!$Q$4:$T$310,4,0)</f>
        <v>쟁의행위의 정당성 결여 판단 및 민사상 손해배상 책임의 주체와 책임의 성질</v>
      </c>
      <c r="H146" s="345"/>
      <c r="I146" s="345"/>
      <c r="J146" s="345"/>
      <c r="K146" s="345"/>
      <c r="L146" s="326"/>
      <c r="M146" s="363" t="str">
        <f>VLOOKUP(Q146,통합목록!$Q$4:$T$310,2,0)</f>
        <v>열기2-01.노동법\02.문제\[모의][2][14.07-1]쟁의행위의 정당성 결여 판단 및 민사상 손해배상 책임의 주체와 책임의 성질.txt</v>
      </c>
      <c r="N146" s="355" t="str">
        <f>VLOOKUP(Q146,통합목록!$Q$4:$T$310,3,0)</f>
        <v>B</v>
      </c>
      <c r="O146" s="364" t="str">
        <f t="shared" si="8"/>
        <v>제14장 쟁의행위-13</v>
      </c>
      <c r="Q146" s="313" t="str">
        <f t="shared" si="9"/>
        <v>14.07-1-2</v>
      </c>
    </row>
    <row r="147" spans="2:17" ht="189" customHeight="1" x14ac:dyDescent="0.2">
      <c r="B147" s="308" t="s">
        <v>402</v>
      </c>
      <c r="C147" s="304" t="s">
        <v>1647</v>
      </c>
      <c r="D147" s="327" t="s">
        <v>1221</v>
      </c>
      <c r="E147" s="324" t="s">
        <v>28</v>
      </c>
      <c r="F147" s="324" t="s">
        <v>1744</v>
      </c>
      <c r="G147" s="349" t="str">
        <f>VLOOKUP(Q147,통합목록!$Q$4:$T$310,4,0)</f>
        <v>책임 제한의 개별화 원칙 적용 여부와 구체적인 판단 기준</v>
      </c>
      <c r="H147" s="345"/>
      <c r="I147" s="345" t="s">
        <v>1793</v>
      </c>
      <c r="J147" s="345"/>
      <c r="K147" s="345"/>
      <c r="L147" s="326"/>
      <c r="M147" s="363" t="str">
        <f>VLOOKUP(Q147,통합목록!$Q$4:$T$310,2,0)</f>
        <v>열기2-01.노동법\02.문제\[모의][2][14.07-2]책임 제한의 개별화 원칙 적용 여부와 구체적인 판단 기준.txt</v>
      </c>
      <c r="N147" s="355" t="str">
        <f>VLOOKUP(Q147,통합목록!$Q$4:$T$310,3,0)</f>
        <v>B</v>
      </c>
      <c r="O147" s="364" t="str">
        <f t="shared" si="8"/>
        <v>제14장 쟁의행위-14</v>
      </c>
      <c r="Q147" s="313" t="str">
        <f t="shared" si="9"/>
        <v>14.07-2-2</v>
      </c>
    </row>
    <row r="148" spans="2:17" ht="189" customHeight="1" x14ac:dyDescent="0.2">
      <c r="B148" s="308" t="s">
        <v>402</v>
      </c>
      <c r="C148" s="304" t="s">
        <v>1647</v>
      </c>
      <c r="D148" s="327" t="s">
        <v>1222</v>
      </c>
      <c r="E148" s="324" t="s">
        <v>28</v>
      </c>
      <c r="F148" s="324" t="s">
        <v>1745</v>
      </c>
      <c r="G148" s="349" t="str">
        <f>VLOOKUP(Q148,통합목록!$Q$4:$T$310,4,0)</f>
        <v>정당한 쟁의행위 기간 중 가족수당 및 근속수당 지급 의무 여부(무노동 무임금 원칙 적용 범위)</v>
      </c>
      <c r="H148" s="345"/>
      <c r="I148" s="345"/>
      <c r="J148" s="345"/>
      <c r="K148" s="345"/>
      <c r="L148" s="326"/>
      <c r="M148" s="363" t="str">
        <f>VLOOKUP(Q148,통합목록!$Q$4:$T$310,2,0)</f>
        <v>열기2-01.노동법\02.문제\[모의][2][14.08-1]정당한 쟁의행위 기간 중 가족수당 및 근속수당 지급 의무 여부(무노동 무임금 원칙 적용 범위).txt</v>
      </c>
      <c r="N148" s="355" t="str">
        <f>VLOOKUP(Q148,통합목록!$Q$4:$T$310,3,0)</f>
        <v>B</v>
      </c>
      <c r="O148" s="364" t="str">
        <f t="shared" si="8"/>
        <v>제14장 쟁의행위-15</v>
      </c>
      <c r="Q148" s="313" t="str">
        <f t="shared" si="9"/>
        <v>14.08-1-2</v>
      </c>
    </row>
    <row r="149" spans="2:17" ht="189" customHeight="1" x14ac:dyDescent="0.2">
      <c r="B149" s="308" t="s">
        <v>402</v>
      </c>
      <c r="C149" s="304" t="s">
        <v>1647</v>
      </c>
      <c r="D149" s="327" t="s">
        <v>1223</v>
      </c>
      <c r="E149" s="324" t="s">
        <v>28</v>
      </c>
      <c r="F149" s="324" t="s">
        <v>1746</v>
      </c>
      <c r="G149" s="349" t="str">
        <f>VLOOKUP(Q149,통합목록!$Q$4:$T$310,4,0)</f>
        <v>쟁의행위 및 징계(정직) 기간의 연차휴가 산정 시 출근지수 처리 방식</v>
      </c>
      <c r="H149" s="345"/>
      <c r="I149" s="345"/>
      <c r="J149" s="345"/>
      <c r="K149" s="345"/>
      <c r="L149" s="326"/>
      <c r="M149" s="363" t="str">
        <f>VLOOKUP(Q149,통합목록!$Q$4:$T$310,2,0)</f>
        <v>열기2-01.노동법\02.문제\[모의][2][14.08-2]쟁의행위 및 징계(정직) 기간의 연차휴가 산정 시 출근지수 처리 방식.txt</v>
      </c>
      <c r="N149" s="355" t="str">
        <f>VLOOKUP(Q149,통합목록!$Q$4:$T$310,3,0)</f>
        <v>B</v>
      </c>
      <c r="O149" s="364" t="str">
        <f t="shared" si="8"/>
        <v>제14장 쟁의행위-16</v>
      </c>
      <c r="Q149" s="313" t="str">
        <f t="shared" si="9"/>
        <v>14.08-2-2</v>
      </c>
    </row>
    <row r="150" spans="2:17" ht="189" customHeight="1" x14ac:dyDescent="0.2">
      <c r="B150" s="308" t="s">
        <v>402</v>
      </c>
      <c r="C150" s="304" t="s">
        <v>1647</v>
      </c>
      <c r="D150" s="327" t="s">
        <v>1224</v>
      </c>
      <c r="E150" s="324" t="s">
        <v>28</v>
      </c>
      <c r="F150" s="324" t="s">
        <v>1747</v>
      </c>
      <c r="G150" s="349" t="str">
        <f>VLOOKUP(Q150,통합목록!$Q$4:$T$310,4,0)</f>
        <v>안전보호시설의 정의와 쟁의행위 제한 취지 및 중앙제어실 파업 동참 행위의 정당성 여부</v>
      </c>
      <c r="H150" s="345"/>
      <c r="I150" s="345"/>
      <c r="J150" s="345"/>
      <c r="K150" s="345"/>
      <c r="L150" s="326"/>
      <c r="M150" s="363" t="str">
        <f>VLOOKUP(Q150,통합목록!$Q$4:$T$310,2,0)</f>
        <v>열기2-01.노동법\02.문제\[모의][2][14.09-1]안전보호시설의 정의와 쟁의행위 제한 취지 및 중앙제어실 파업 동참 행위의 정당성 여부.txt</v>
      </c>
      <c r="N150" s="355" t="str">
        <f>VLOOKUP(Q150,통합목록!$Q$4:$T$310,3,0)</f>
        <v>B</v>
      </c>
      <c r="O150" s="364" t="str">
        <f t="shared" si="8"/>
        <v>제14장 쟁의행위-17</v>
      </c>
      <c r="Q150" s="313" t="str">
        <f t="shared" si="9"/>
        <v>14.09-1-2</v>
      </c>
    </row>
    <row r="151" spans="2:17" ht="189" customHeight="1" x14ac:dyDescent="0.2">
      <c r="B151" s="308" t="s">
        <v>402</v>
      </c>
      <c r="C151" s="304" t="s">
        <v>1647</v>
      </c>
      <c r="D151" s="327" t="s">
        <v>1225</v>
      </c>
      <c r="E151" s="324" t="s">
        <v>28</v>
      </c>
      <c r="F151" s="324" t="s">
        <v>1748</v>
      </c>
      <c r="G151" s="349" t="str">
        <f>VLOOKUP(Q151,통합목록!$Q$4:$T$310,4,0)</f>
        <v>필수유지업무 제도의 적용 범위・절차 및 일반 사업장에서의 사용자 일방 지정 가능성</v>
      </c>
      <c r="H151" s="345"/>
      <c r="I151" s="345"/>
      <c r="J151" s="345"/>
      <c r="K151" s="345"/>
      <c r="L151" s="326"/>
      <c r="M151" s="363" t="str">
        <f>VLOOKUP(Q151,통합목록!$Q$4:$T$310,2,0)</f>
        <v>열기2-01.노동법\02.문제\[모의][2][14.09-2]필수유지업무 제도의 적용 범위・절차 및 일반 사업장에서의 사용자 일방 지정 가능성.txt</v>
      </c>
      <c r="N151" s="355" t="str">
        <f>VLOOKUP(Q151,통합목록!$Q$4:$T$310,3,0)</f>
        <v>B</v>
      </c>
      <c r="O151" s="364" t="str">
        <f t="shared" si="8"/>
        <v>제14장 쟁의행위-18</v>
      </c>
      <c r="Q151" s="313" t="str">
        <f t="shared" si="9"/>
        <v>14.09-2-2</v>
      </c>
    </row>
    <row r="152" spans="2:17" ht="189" customHeight="1" x14ac:dyDescent="0.2">
      <c r="B152" s="308" t="s">
        <v>402</v>
      </c>
      <c r="C152" s="304" t="s">
        <v>1256</v>
      </c>
      <c r="D152" s="327" t="s">
        <v>93</v>
      </c>
      <c r="E152" s="324">
        <v>2</v>
      </c>
      <c r="F152" s="324" t="s">
        <v>1749</v>
      </c>
      <c r="G152" s="349" t="str">
        <f>VLOOKUP(Q152,통합목록!$Q$4:$T$310,4,0)</f>
        <v>쟁의행위 기간 중 사용자의 채용 제한의 원칙, 필수공익사업의 특례, 위반 시 쟁점</v>
      </c>
      <c r="H152" s="345"/>
      <c r="I152" s="345"/>
      <c r="J152" s="345"/>
      <c r="K152" s="345"/>
      <c r="L152" s="326"/>
      <c r="M152" s="363" t="str">
        <f>VLOOKUP(Q152,통합목록!$Q$4:$T$310,2,0)</f>
        <v>열기2-01.노동법\02.문제\[기출][2][2008-2]쟁의행위 기간 중 사용자의 채용 제한의 원칙, 필수공익사업의 특례, 위반 시 쟁점.txt</v>
      </c>
      <c r="N152" s="355" t="str">
        <f>VLOOKUP(Q152,통합목록!$Q$4:$T$310,3,0)</f>
        <v>A</v>
      </c>
      <c r="O152" s="364" t="str">
        <f t="shared" si="8"/>
        <v>제14장 쟁의행위-19</v>
      </c>
      <c r="Q152" s="313" t="str">
        <f t="shared" si="9"/>
        <v>2008-2-2</v>
      </c>
    </row>
    <row r="153" spans="2:17" ht="189" customHeight="1" x14ac:dyDescent="0.2">
      <c r="B153" s="308" t="s">
        <v>402</v>
      </c>
      <c r="C153" s="304" t="s">
        <v>1256</v>
      </c>
      <c r="D153" s="327" t="s">
        <v>1156</v>
      </c>
      <c r="E153" s="324">
        <v>2</v>
      </c>
      <c r="F153" s="324" t="s">
        <v>1750</v>
      </c>
      <c r="G153" s="349" t="str">
        <f>VLOOKUP(Q153,통합목록!$Q$4:$T$310,4,0)</f>
        <v>대체인력 투입이 대체근로 제한에 위배되어 위법한지 여부</v>
      </c>
      <c r="H153" s="345"/>
      <c r="I153" s="345"/>
      <c r="J153" s="345"/>
      <c r="K153" s="345"/>
      <c r="L153" s="326"/>
      <c r="M153" s="363" t="str">
        <f>VLOOKUP(Q153,통합목록!$Q$4:$T$310,2,0)</f>
        <v>열기2-01.노동법\02.문제\[기출][2][2020-1-1]대체인력 투입이 대체근로 제한에 위배되어 위법한지 여부.txt</v>
      </c>
      <c r="N153" s="355" t="str">
        <f>VLOOKUP(Q153,통합목록!$Q$4:$T$310,3,0)</f>
        <v>A</v>
      </c>
      <c r="O153" s="364" t="str">
        <f t="shared" si="8"/>
        <v>제14장 쟁의행위-20</v>
      </c>
      <c r="Q153" s="313" t="str">
        <f t="shared" si="9"/>
        <v>2020-1-1-2</v>
      </c>
    </row>
    <row r="154" spans="2:17" ht="189" customHeight="1" x14ac:dyDescent="0.2">
      <c r="B154" s="308" t="s">
        <v>402</v>
      </c>
      <c r="C154" s="304" t="s">
        <v>1256</v>
      </c>
      <c r="D154" s="327" t="s">
        <v>85</v>
      </c>
      <c r="E154" s="324">
        <v>2</v>
      </c>
      <c r="F154" s="324" t="s">
        <v>1751</v>
      </c>
      <c r="G154" s="349" t="str">
        <f>VLOOKUP(Q154,통합목록!$Q$4:$T$310,4,0)</f>
        <v>대체인력 투입의 지배・개입 부당노동행위 성립 여부</v>
      </c>
      <c r="H154" s="345"/>
      <c r="I154" s="345"/>
      <c r="J154" s="345"/>
      <c r="K154" s="345"/>
      <c r="L154" s="326"/>
      <c r="M154" s="363" t="str">
        <f>VLOOKUP(Q154,통합목록!$Q$4:$T$310,2,0)</f>
        <v>열기2-01.노동법\02.문제\[기출][2][2020-1-2]대체인력 투입의 지배・개입 부당노동행위 성립 여부.txt</v>
      </c>
      <c r="N154" s="355" t="str">
        <f>VLOOKUP(Q154,통합목록!$Q$4:$T$310,3,0)</f>
        <v>A</v>
      </c>
      <c r="O154" s="364" t="str">
        <f t="shared" si="8"/>
        <v>제14장 쟁의행위-21</v>
      </c>
      <c r="Q154" s="313" t="str">
        <f t="shared" si="9"/>
        <v>2020-1-2-2</v>
      </c>
    </row>
    <row r="155" spans="2:17" ht="189" customHeight="1" thickBot="1" x14ac:dyDescent="0.25">
      <c r="B155" s="309" t="s">
        <v>402</v>
      </c>
      <c r="C155" s="328" t="s">
        <v>1256</v>
      </c>
      <c r="D155" s="329" t="s">
        <v>81</v>
      </c>
      <c r="E155" s="330">
        <v>2</v>
      </c>
      <c r="F155" s="330" t="s">
        <v>1752</v>
      </c>
      <c r="G155" s="350" t="str">
        <f>VLOOKUP(Q155,통합목록!$Q$4:$T$310,4,0)</f>
        <v>용역업체의 대체근로 저지행위에 대한 형사상 위법성 여부</v>
      </c>
      <c r="H155" s="346"/>
      <c r="I155" s="346"/>
      <c r="J155" s="346"/>
      <c r="K155" s="346"/>
      <c r="L155" s="331"/>
      <c r="M155" s="365" t="str">
        <f>VLOOKUP(Q155,통합목록!$Q$4:$T$310,2,0)</f>
        <v>열기2-01.노동법\02.문제\[기출][2][2022-1-2]용역업체의 대체근로 저지행위에 대한 형사상 위법성 여부.txt</v>
      </c>
      <c r="N155" s="356" t="str">
        <f>VLOOKUP(Q155,통합목록!$Q$4:$T$310,3,0)</f>
        <v>A</v>
      </c>
      <c r="O155" s="366" t="str">
        <f t="shared" si="8"/>
        <v>제14장 쟁의행위-22</v>
      </c>
      <c r="Q155" s="313" t="str">
        <f t="shared" si="9"/>
        <v>2022-1-2-2</v>
      </c>
    </row>
    <row r="156" spans="2:17" ht="189" customHeight="1" x14ac:dyDescent="0.2">
      <c r="B156" s="307" t="s">
        <v>404</v>
      </c>
      <c r="C156" s="332" t="s">
        <v>1256</v>
      </c>
      <c r="D156" s="333" t="s">
        <v>94</v>
      </c>
      <c r="E156" s="334">
        <v>2</v>
      </c>
      <c r="F156" s="334" t="s">
        <v>415</v>
      </c>
      <c r="G156" s="351" t="str">
        <f>VLOOKUP(Q156,통합목록!$Q$4:$T$310,4,0)</f>
        <v>사내 무단 유인물 배포를 이유로 한 징계해고의 정당성 및 불이익취급 부당노동행위 성립 여부</v>
      </c>
      <c r="H156" s="347"/>
      <c r="I156" s="347"/>
      <c r="J156" s="347"/>
      <c r="K156" s="347"/>
      <c r="L156" s="335"/>
      <c r="M156" s="367" t="str">
        <f>VLOOKUP(Q156,통합목록!$Q$4:$T$310,2,0)</f>
        <v>열기2-01.노동법\02.문제\[기출][2][2015-1]사내 무단 유인물 배포를 이유로 한 징계해고의 정당성 및 불이익취급 부당노동행위 성립 여부.txt</v>
      </c>
      <c r="N156" s="357" t="str">
        <f>VLOOKUP(Q156,통합목록!$Q$4:$T$310,3,0)</f>
        <v>C</v>
      </c>
      <c r="O156" s="368" t="str">
        <f t="shared" si="8"/>
        <v>제15장 부당노동행위-01</v>
      </c>
      <c r="Q156" s="313" t="str">
        <f t="shared" si="9"/>
        <v>2015-1-2</v>
      </c>
    </row>
    <row r="157" spans="2:17" ht="189" customHeight="1" x14ac:dyDescent="0.2">
      <c r="B157" s="308" t="s">
        <v>404</v>
      </c>
      <c r="C157" s="304" t="s">
        <v>1256</v>
      </c>
      <c r="D157" s="327" t="s">
        <v>1177</v>
      </c>
      <c r="E157" s="324">
        <v>2</v>
      </c>
      <c r="F157" s="324" t="s">
        <v>417</v>
      </c>
      <c r="G157" s="349" t="str">
        <f>VLOOKUP(Q157,통합목록!$Q$4:$T$310,4,0)</f>
        <v>정리해고의 불이익 취급 부당노동행위 성립에 관한 입증책임의 소재 및 구체적인 입증방법</v>
      </c>
      <c r="H157" s="345"/>
      <c r="I157" s="345"/>
      <c r="J157" s="345"/>
      <c r="K157" s="345"/>
      <c r="L157" s="326"/>
      <c r="M157" s="363" t="str">
        <f>VLOOKUP(Q157,통합목록!$Q$4:$T$310,2,0)</f>
        <v>열기2-01.노동법\02.문제\[기출][2][2016-1-2]정리해고의 불이익 취급 부당노동행위 성립에 관한 입증책임의 소재 및 구체적인 입증방법.txt</v>
      </c>
      <c r="N157" s="355" t="str">
        <f>VLOOKUP(Q157,통합목록!$Q$4:$T$310,3,0)</f>
        <v>C</v>
      </c>
      <c r="O157" s="364" t="str">
        <f t="shared" si="8"/>
        <v>제15장 부당노동행위-02</v>
      </c>
      <c r="Q157" s="313" t="str">
        <f t="shared" si="9"/>
        <v>2016-1-2-2</v>
      </c>
    </row>
    <row r="158" spans="2:17" ht="189" customHeight="1" x14ac:dyDescent="0.2">
      <c r="B158" s="308" t="s">
        <v>404</v>
      </c>
      <c r="C158" s="304" t="s">
        <v>1256</v>
      </c>
      <c r="D158" s="327" t="s">
        <v>70</v>
      </c>
      <c r="E158" s="324">
        <v>2</v>
      </c>
      <c r="F158" s="324" t="s">
        <v>490</v>
      </c>
      <c r="G158" s="349" t="str">
        <f>VLOOKUP(Q158,통합목록!$Q$4:$T$310,4,0)</f>
        <v>카마스터들에 대한 용역계약 해지의 불이익 취급 부당노동행위 성립 여부 및 사유 정당성</v>
      </c>
      <c r="H158" s="345"/>
      <c r="I158" s="345"/>
      <c r="J158" s="345"/>
      <c r="K158" s="345"/>
      <c r="L158" s="326"/>
      <c r="M158" s="363" t="str">
        <f>VLOOKUP(Q158,통합목록!$Q$4:$T$310,2,0)</f>
        <v>열기2-01.노동법\02.문제\[기출][2][2024-1-2]카마스터들에 대한 용역계약 해지의 불이익 취급 부당노동행위 성립 여부 및 사유 정당성.txt</v>
      </c>
      <c r="N158" s="355" t="str">
        <f>VLOOKUP(Q158,통합목록!$Q$4:$T$310,3,0)</f>
        <v>C</v>
      </c>
      <c r="O158" s="364" t="str">
        <f t="shared" si="8"/>
        <v>제15장 부당노동행위-03</v>
      </c>
      <c r="Q158" s="313" t="str">
        <f t="shared" si="9"/>
        <v>2024-1-2-2</v>
      </c>
    </row>
    <row r="159" spans="2:17" ht="189" customHeight="1" x14ac:dyDescent="0.2">
      <c r="B159" s="308" t="s">
        <v>404</v>
      </c>
      <c r="C159" s="304" t="s">
        <v>1647</v>
      </c>
      <c r="D159" s="327" t="s">
        <v>1226</v>
      </c>
      <c r="E159" s="324" t="s">
        <v>28</v>
      </c>
      <c r="F159" s="324" t="s">
        <v>1736</v>
      </c>
      <c r="G159" s="349" t="str">
        <f>VLOOKUP(Q159,통합목록!$Q$4:$T$310,4,0)</f>
        <v>유니온 숍 조항의 성립 요건 및 소수 노조 조합원에 대한 효력 범위</v>
      </c>
      <c r="H159" s="345"/>
      <c r="I159" s="345"/>
      <c r="J159" s="345"/>
      <c r="K159" s="345"/>
      <c r="L159" s="326"/>
      <c r="M159" s="363" t="str">
        <f>VLOOKUP(Q159,통합목록!$Q$4:$T$310,2,0)</f>
        <v>열기2-01.노동법\02.문제\[모의][2][15.03-1]유니온 숍 조항의 성립 요건 및 소수 노조 조합원에 대한 효력 범위.txt</v>
      </c>
      <c r="N159" s="355" t="str">
        <f>VLOOKUP(Q159,통합목록!$Q$4:$T$310,3,0)</f>
        <v>A</v>
      </c>
      <c r="O159" s="364" t="str">
        <f t="shared" si="8"/>
        <v>제15장 부당노동행위-04</v>
      </c>
      <c r="Q159" s="313" t="str">
        <f t="shared" si="9"/>
        <v>15.03-1-2</v>
      </c>
    </row>
    <row r="160" spans="2:17" ht="189" customHeight="1" x14ac:dyDescent="0.2">
      <c r="B160" s="308" t="s">
        <v>404</v>
      </c>
      <c r="C160" s="304" t="s">
        <v>1647</v>
      </c>
      <c r="D160" s="327" t="s">
        <v>1227</v>
      </c>
      <c r="E160" s="324" t="s">
        <v>28</v>
      </c>
      <c r="F160" s="324" t="s">
        <v>501</v>
      </c>
      <c r="G160" s="349" t="str">
        <f>VLOOKUP(Q160,통합목록!$Q$4:$T$310,4,0)</f>
        <v>탈퇴 후 신규 노조 설립 준비 중인 근로자에 대한 해고의 부당노동행위 및 부당해고 해당 여부</v>
      </c>
      <c r="H160" s="345"/>
      <c r="I160" s="345"/>
      <c r="J160" s="345"/>
      <c r="K160" s="345"/>
      <c r="L160" s="326"/>
      <c r="M160" s="363" t="str">
        <f>VLOOKUP(Q160,통합목록!$Q$4:$T$310,2,0)</f>
        <v>열기2-01.노동법\02.문제\[모의][2][15.03-2]탈퇴 후 신규 노조 설립 준비 중인 근로자에 대한 해고의 부당노동행위 및 부당해고 해당 여부.txt</v>
      </c>
      <c r="N160" s="355" t="str">
        <f>VLOOKUP(Q160,통합목록!$Q$4:$T$310,3,0)</f>
        <v>A</v>
      </c>
      <c r="O160" s="364" t="str">
        <f t="shared" si="8"/>
        <v>제15장 부당노동행위-05</v>
      </c>
      <c r="Q160" s="313" t="str">
        <f t="shared" si="9"/>
        <v>15.03-2-2</v>
      </c>
    </row>
    <row r="161" spans="2:17" ht="189" customHeight="1" x14ac:dyDescent="0.2">
      <c r="B161" s="308" t="s">
        <v>404</v>
      </c>
      <c r="C161" s="304" t="s">
        <v>1256</v>
      </c>
      <c r="D161" s="327" t="s">
        <v>1154</v>
      </c>
      <c r="E161" s="324">
        <v>2</v>
      </c>
      <c r="F161" s="324" t="s">
        <v>507</v>
      </c>
      <c r="G161" s="349" t="str">
        <f>VLOOKUP(Q161,통합목록!$Q$4:$T$310,4,0)</f>
        <v>규약상 교섭안 마련 및 조합원 총의 수렴 조항을 이유로 한 사용자의 단체교섭 거부의 정당성 여부</v>
      </c>
      <c r="H161" s="345"/>
      <c r="I161" s="345"/>
      <c r="J161" s="345"/>
      <c r="K161" s="345"/>
      <c r="L161" s="326"/>
      <c r="M161" s="363" t="str">
        <f>VLOOKUP(Q161,통합목록!$Q$4:$T$310,2,0)</f>
        <v>열기2-01.노동법\02.문제\[기출][2][2018-1-1]규약상 교섭안 마련 및 조합원 총의 수렴 조항을 이유로 한 사용자의 단체교섭 거부의 정당성 여부.txt</v>
      </c>
      <c r="N161" s="355" t="str">
        <f>VLOOKUP(Q161,통합목록!$Q$4:$T$310,3,0)</f>
        <v>C</v>
      </c>
      <c r="O161" s="364" t="str">
        <f t="shared" si="8"/>
        <v>제15장 부당노동행위-06</v>
      </c>
      <c r="Q161" s="313" t="str">
        <f t="shared" si="9"/>
        <v>2018-1-1-2</v>
      </c>
    </row>
    <row r="162" spans="2:17" ht="189" customHeight="1" x14ac:dyDescent="0.2">
      <c r="B162" s="308" t="s">
        <v>404</v>
      </c>
      <c r="C162" s="304" t="s">
        <v>1256</v>
      </c>
      <c r="D162" s="327" t="s">
        <v>61</v>
      </c>
      <c r="E162" s="324">
        <v>2</v>
      </c>
      <c r="F162" s="324" t="s">
        <v>1737</v>
      </c>
      <c r="G162" s="349" t="str">
        <f>VLOOKUP(Q162,통합목록!$Q$4:$T$310,4,0)</f>
        <v>법원의 가처분 결정 이후 사용자의 단체교섭 계속 거부의 불법행위 성립 여부</v>
      </c>
      <c r="H162" s="345"/>
      <c r="I162" s="345"/>
      <c r="J162" s="345"/>
      <c r="K162" s="345"/>
      <c r="L162" s="326"/>
      <c r="M162" s="363" t="str">
        <f>VLOOKUP(Q162,통합목록!$Q$4:$T$310,2,0)</f>
        <v>열기2-01.노동법\02.문제\[기출][2][2018-1-2]법원의 가처분 결정 이후 사용자의 단체교섭 계속 거부의 불법행위 성립 여부.txt</v>
      </c>
      <c r="N162" s="355" t="str">
        <f>VLOOKUP(Q162,통합목록!$Q$4:$T$310,3,0)</f>
        <v>C</v>
      </c>
      <c r="O162" s="364" t="str">
        <f t="shared" si="8"/>
        <v>제15장 부당노동행위-07</v>
      </c>
      <c r="Q162" s="313" t="str">
        <f t="shared" si="9"/>
        <v>2018-1-2-2</v>
      </c>
    </row>
    <row r="163" spans="2:17" ht="189" customHeight="1" x14ac:dyDescent="0.2">
      <c r="B163" s="308" t="s">
        <v>404</v>
      </c>
      <c r="C163" s="304" t="s">
        <v>1256</v>
      </c>
      <c r="D163" s="327" t="s">
        <v>74</v>
      </c>
      <c r="E163" s="324">
        <v>2</v>
      </c>
      <c r="F163" s="324" t="s">
        <v>1738</v>
      </c>
      <c r="G163" s="349" t="str">
        <f>VLOOKUP(Q163,통합목록!$Q$4:$T$310,4,0)</f>
        <v>사용자의 직장폐쇄 중 수임 상급단체의 단체교섭 요구를 계속적으로 거부한 행위의 부당노동행위 성립 여부</v>
      </c>
      <c r="H163" s="345"/>
      <c r="I163" s="345"/>
      <c r="J163" s="345"/>
      <c r="K163" s="345"/>
      <c r="L163" s="326"/>
      <c r="M163" s="363" t="str">
        <f>VLOOKUP(Q163,통합목록!$Q$4:$T$310,2,0)</f>
        <v>열기2-01.노동법\02.문제\[기출][2][2023-1-1]사용자의 직장폐쇄 중 수임 상급단체의 단체교섭 요구를 계속적으로 거부한 행위의 부당노동행위 성립 여부.txt</v>
      </c>
      <c r="N163" s="355" t="str">
        <f>VLOOKUP(Q163,통합목록!$Q$4:$T$310,3,0)</f>
        <v>C</v>
      </c>
      <c r="O163" s="364" t="str">
        <f t="shared" si="8"/>
        <v>제15장 부당노동행위-08</v>
      </c>
      <c r="Q163" s="313" t="str">
        <f t="shared" si="9"/>
        <v>2023-1-1-2</v>
      </c>
    </row>
    <row r="164" spans="2:17" ht="189" customHeight="1" x14ac:dyDescent="0.2">
      <c r="B164" s="308" t="s">
        <v>404</v>
      </c>
      <c r="C164" s="304" t="s">
        <v>1256</v>
      </c>
      <c r="D164" s="327" t="s">
        <v>65</v>
      </c>
      <c r="E164" s="324">
        <v>2</v>
      </c>
      <c r="F164" s="324" t="s">
        <v>1739</v>
      </c>
      <c r="G164" s="349" t="str">
        <f>VLOOKUP(Q164,통합목록!$Q$4:$T$310,4,0)</f>
        <v>사용자의 언론의 자유와 부당노동행위의 관계</v>
      </c>
      <c r="H164" s="345"/>
      <c r="I164" s="345"/>
      <c r="J164" s="345"/>
      <c r="K164" s="345"/>
      <c r="L164" s="326"/>
      <c r="M164" s="363" t="str">
        <f>VLOOKUP(Q164,통합목록!$Q$4:$T$310,2,0)</f>
        <v>열기2-01.노동법\02.문제\[기출][2][2014-2]사용자의 언론의 자유와 부당노동행위의 관계.txt</v>
      </c>
      <c r="N164" s="355" t="str">
        <f>VLOOKUP(Q164,통합목록!$Q$4:$T$310,3,0)</f>
        <v>A</v>
      </c>
      <c r="O164" s="364" t="str">
        <f t="shared" ref="O164:O174" si="10">B164&amp;"-"&amp;F164</f>
        <v>제15장 부당노동행위-09</v>
      </c>
      <c r="Q164" s="313" t="str">
        <f t="shared" ref="Q164:Q174" si="11">D164&amp;"-"&amp;E164</f>
        <v>2014-2-2</v>
      </c>
    </row>
    <row r="165" spans="2:17" ht="189" customHeight="1" x14ac:dyDescent="0.2">
      <c r="B165" s="308" t="s">
        <v>404</v>
      </c>
      <c r="C165" s="304" t="s">
        <v>1256</v>
      </c>
      <c r="D165" s="327" t="s">
        <v>66</v>
      </c>
      <c r="E165" s="324">
        <v>2</v>
      </c>
      <c r="F165" s="324" t="s">
        <v>1740</v>
      </c>
      <c r="G165" s="349" t="str">
        <f>VLOOKUP(Q165,통합목록!$Q$4:$T$310,4,0)</f>
        <v>무효인 단체협약을 근거로 지급되던 노동조합 운영비 지급 중단의 정당성</v>
      </c>
      <c r="H165" s="345"/>
      <c r="I165" s="345"/>
      <c r="J165" s="345"/>
      <c r="K165" s="345"/>
      <c r="L165" s="326"/>
      <c r="M165" s="363" t="str">
        <f>VLOOKUP(Q165,통합목록!$Q$4:$T$310,2,0)</f>
        <v>열기2-01.노동법\02.문제\[기출][2][2016-1-1]무효인 단체협약을 근거로 지급되던 노동조합 운영비 지급 중단의 정당성.txt</v>
      </c>
      <c r="N165" s="355" t="str">
        <f>VLOOKUP(Q165,통합목록!$Q$4:$T$310,3,0)</f>
        <v>A</v>
      </c>
      <c r="O165" s="364" t="str">
        <f t="shared" si="10"/>
        <v>제15장 부당노동행위-10</v>
      </c>
      <c r="Q165" s="313" t="str">
        <f t="shared" si="11"/>
        <v>2016-1-1-2</v>
      </c>
    </row>
    <row r="166" spans="2:17" ht="189" customHeight="1" x14ac:dyDescent="0.2">
      <c r="B166" s="308" t="s">
        <v>404</v>
      </c>
      <c r="C166" s="304" t="s">
        <v>1256</v>
      </c>
      <c r="D166" s="327" t="s">
        <v>1170</v>
      </c>
      <c r="E166" s="324">
        <v>2</v>
      </c>
      <c r="F166" s="324" t="s">
        <v>1741</v>
      </c>
      <c r="G166" s="349" t="str">
        <f>VLOOKUP(Q166,통합목록!$Q$4:$T$310,4,0)</f>
        <v>근로시간면제한도를 현저히 초과하여 체결한 단체협약의 부당노동행위 성립 여부</v>
      </c>
      <c r="H166" s="345"/>
      <c r="I166" s="345"/>
      <c r="J166" s="345"/>
      <c r="K166" s="345"/>
      <c r="L166" s="326"/>
      <c r="M166" s="363" t="str">
        <f>VLOOKUP(Q166,통합목록!$Q$4:$T$310,2,0)</f>
        <v>열기2-01.노동법\02.문제\[기출][2][2017-2]근로시간면제한도를 현저히 초과하여 체결한 단체협약의 부당노동행위 성립 여부.txt</v>
      </c>
      <c r="N166" s="355" t="str">
        <f>VLOOKUP(Q166,통합목록!$Q$4:$T$310,3,0)</f>
        <v>A</v>
      </c>
      <c r="O166" s="364" t="str">
        <f t="shared" si="10"/>
        <v>제15장 부당노동행위-11</v>
      </c>
      <c r="Q166" s="313" t="str">
        <f t="shared" si="11"/>
        <v>2017-2-2</v>
      </c>
    </row>
    <row r="167" spans="2:17" ht="189" customHeight="1" x14ac:dyDescent="0.2">
      <c r="B167" s="308" t="s">
        <v>404</v>
      </c>
      <c r="C167" s="304" t="s">
        <v>1256</v>
      </c>
      <c r="D167" s="327" t="s">
        <v>85</v>
      </c>
      <c r="E167" s="324">
        <v>2</v>
      </c>
      <c r="F167" s="324" t="s">
        <v>1742</v>
      </c>
      <c r="G167" s="349" t="str">
        <f>VLOOKUP(Q167,통합목록!$Q$4:$T$310,4,0)</f>
        <v>대체인력 투입의 지배・개입 부당노동행위 성립 여부</v>
      </c>
      <c r="H167" s="345"/>
      <c r="I167" s="345"/>
      <c r="J167" s="345"/>
      <c r="K167" s="345"/>
      <c r="L167" s="326"/>
      <c r="M167" s="363" t="str">
        <f>VLOOKUP(Q167,통합목록!$Q$4:$T$310,2,0)</f>
        <v>열기2-01.노동법\02.문제\[기출][2][2020-1-2]대체인력 투입의 지배・개입 부당노동행위 성립 여부.txt</v>
      </c>
      <c r="N167" s="355" t="str">
        <f>VLOOKUP(Q167,통합목록!$Q$4:$T$310,3,0)</f>
        <v>A</v>
      </c>
      <c r="O167" s="364" t="str">
        <f t="shared" si="10"/>
        <v>제15장 부당노동행위-12</v>
      </c>
      <c r="Q167" s="313" t="str">
        <f t="shared" si="11"/>
        <v>2020-1-2-2</v>
      </c>
    </row>
    <row r="168" spans="2:17" ht="189" customHeight="1" x14ac:dyDescent="0.2">
      <c r="B168" s="308" t="s">
        <v>404</v>
      </c>
      <c r="C168" s="304" t="s">
        <v>1256</v>
      </c>
      <c r="D168" s="327" t="s">
        <v>237</v>
      </c>
      <c r="E168" s="324" t="s">
        <v>31</v>
      </c>
      <c r="F168" s="324" t="s">
        <v>1743</v>
      </c>
      <c r="G168" s="349" t="str">
        <f>VLOOKUP(Q168,통합목록!$Q$4:$T$310,4,0)</f>
        <v>기간제 근로자와 회사가 주장할 수 있는 해고 관련 노동법상 쟁점(해고의 절차 및 구제신청의 이익)</v>
      </c>
      <c r="H168" s="345"/>
      <c r="I168" s="345"/>
      <c r="J168" s="345"/>
      <c r="K168" s="345"/>
      <c r="L168" s="326"/>
      <c r="M168" s="363" t="str">
        <f>VLOOKUP(Q168,통합목록!$Q$4:$T$310,2,0)</f>
        <v>열기2-01.노동법\02.문제\[기출][1][2011-2]기간제 근로자와 회사가 주장할 수 있는 해고 관련 노동법상 쟁점(해고의 절차 및 구제신청의 이익).txt</v>
      </c>
      <c r="N168" s="355" t="str">
        <f>VLOOKUP(Q168,통합목록!$Q$4:$T$310,3,0)</f>
        <v>A</v>
      </c>
      <c r="O168" s="364" t="str">
        <f t="shared" si="10"/>
        <v>제15장 부당노동행위-13</v>
      </c>
      <c r="Q168" s="313" t="str">
        <f t="shared" si="11"/>
        <v>2011-2-1</v>
      </c>
    </row>
    <row r="169" spans="2:17" ht="189" customHeight="1" thickBot="1" x14ac:dyDescent="0.25">
      <c r="B169" s="309" t="s">
        <v>404</v>
      </c>
      <c r="C169" s="328" t="s">
        <v>1256</v>
      </c>
      <c r="D169" s="329" t="s">
        <v>1178</v>
      </c>
      <c r="E169" s="330">
        <v>2</v>
      </c>
      <c r="F169" s="330" t="s">
        <v>1744</v>
      </c>
      <c r="G169" s="350" t="str">
        <f>VLOOKUP(Q169,통합목록!$Q$4:$T$310,4,0)</f>
        <v>하위 인사고과 부여 및 이에 따른 임금 감액의 부당노동행위 구제신청기간 도과 여부+</v>
      </c>
      <c r="H169" s="346"/>
      <c r="I169" s="346"/>
      <c r="J169" s="346"/>
      <c r="K169" s="346"/>
      <c r="L169" s="331"/>
      <c r="M169" s="365" t="str">
        <f>VLOOKUP(Q169,통합목록!$Q$4:$T$310,2,0)</f>
        <v>열기2-01.노동법\02.문제\[기출][2][2025-1-2]하위 인사고과 부여 및 이에 따른 임금 감액의 부당노동행위 구제신청기간 도과 여부.txt</v>
      </c>
      <c r="N169" s="356" t="str">
        <f>VLOOKUP(Q169,통합목록!$Q$4:$T$310,3,0)</f>
        <v>C</v>
      </c>
      <c r="O169" s="366" t="str">
        <f t="shared" si="10"/>
        <v>제15장 부당노동행위-14</v>
      </c>
      <c r="Q169" s="313" t="str">
        <f t="shared" si="11"/>
        <v>2025-1-2-2</v>
      </c>
    </row>
    <row r="170" spans="2:17" ht="189" customHeight="1" x14ac:dyDescent="0.2">
      <c r="B170" s="307" t="s">
        <v>420</v>
      </c>
      <c r="C170" s="332" t="s">
        <v>1256</v>
      </c>
      <c r="D170" s="333" t="s">
        <v>87</v>
      </c>
      <c r="E170" s="334" t="s">
        <v>31</v>
      </c>
      <c r="F170" s="334" t="s">
        <v>415</v>
      </c>
      <c r="G170" s="351" t="str">
        <f>VLOOKUP(Q170,통합목록!$Q$4:$T$310,4,0)</f>
        <v>화학물질 누출 사고에 따른 근로자 및 노동조합 위원장의 작업중지권 행사의 정당성 여부</v>
      </c>
      <c r="H170" s="347"/>
      <c r="I170" s="347"/>
      <c r="J170" s="347"/>
      <c r="K170" s="347"/>
      <c r="L170" s="335"/>
      <c r="M170" s="367" t="str">
        <f>VLOOKUP(Q170,통합목록!$Q$4:$T$310,2,0)</f>
        <v>열기2-01.노동법\02.문제\[기출][1][2025-2]화학물질 누출 사고에 따른 근로자 및 노동조합 위원장의 작업중지권 행사의 정당성 여부.txt</v>
      </c>
      <c r="N170" s="357" t="str">
        <f>VLOOKUP(Q170,통합목록!$Q$4:$T$310,3,0)</f>
        <v>C</v>
      </c>
      <c r="O170" s="368" t="str">
        <f t="shared" si="10"/>
        <v>제16장 부속법령-01</v>
      </c>
      <c r="Q170" s="313" t="str">
        <f t="shared" si="11"/>
        <v>2025-2-1</v>
      </c>
    </row>
    <row r="171" spans="2:17" ht="189" customHeight="1" x14ac:dyDescent="0.2">
      <c r="B171" s="308" t="s">
        <v>420</v>
      </c>
      <c r="C171" s="304" t="s">
        <v>1256</v>
      </c>
      <c r="D171" s="327" t="s">
        <v>89</v>
      </c>
      <c r="E171" s="324" t="s">
        <v>31</v>
      </c>
      <c r="F171" s="324" t="s">
        <v>417</v>
      </c>
      <c r="G171" s="349" t="str">
        <f>VLOOKUP(Q171,통합목록!$Q$4:$T$310,4,0)</f>
        <v>고용보험법상 육아휴직 급여의 의의, 지급 요건, 지급 기간 및 금액, 특례 및 기타 사항</v>
      </c>
      <c r="H171" s="345"/>
      <c r="I171" s="345"/>
      <c r="J171" s="345"/>
      <c r="K171" s="345"/>
      <c r="L171" s="326"/>
      <c r="M171" s="363" t="str">
        <f>VLOOKUP(Q171,통합목록!$Q$4:$T$310,2,0)</f>
        <v>열기2-01.노동법\02.문제\[기출][1][2009-2-2]고용보험법상 육아휴직 급여의 의의, 지급 요건, 지급 기간 및 금액, 특례 및 기타 사항.txt</v>
      </c>
      <c r="N171" s="355" t="str">
        <f>VLOOKUP(Q171,통합목록!$Q$4:$T$310,3,0)</f>
        <v>B</v>
      </c>
      <c r="O171" s="364" t="str">
        <f t="shared" si="10"/>
        <v>제16장 부속법령-02</v>
      </c>
      <c r="Q171" s="313" t="str">
        <f t="shared" si="11"/>
        <v>2009-2-2-1</v>
      </c>
    </row>
    <row r="172" spans="2:17" ht="189" customHeight="1" x14ac:dyDescent="0.2">
      <c r="B172" s="308" t="s">
        <v>420</v>
      </c>
      <c r="C172" s="304" t="s">
        <v>1256</v>
      </c>
      <c r="D172" s="327" t="s">
        <v>95</v>
      </c>
      <c r="E172" s="324">
        <v>2</v>
      </c>
      <c r="F172" s="324" t="s">
        <v>426</v>
      </c>
      <c r="G172" s="349" t="str">
        <f>VLOOKUP(Q172,통합목록!$Q$4:$T$310,4,0)</f>
        <v>노동위원회의 관할(사건 관할, 지역 관할)</v>
      </c>
      <c r="H172" s="345"/>
      <c r="I172" s="345"/>
      <c r="J172" s="345"/>
      <c r="K172" s="345"/>
      <c r="L172" s="326"/>
      <c r="M172" s="363" t="str">
        <f>VLOOKUP(Q172,통합목록!$Q$4:$T$310,2,0)</f>
        <v>열기2-01.노동법\02.문제\[기출][2][2008-3]노동위원회의 관할(사건 관할, 지역 관할).txt</v>
      </c>
      <c r="N172" s="355" t="str">
        <f>VLOOKUP(Q172,통합목록!$Q$4:$T$310,3,0)</f>
        <v>C</v>
      </c>
      <c r="O172" s="364" t="str">
        <f t="shared" si="10"/>
        <v>제16장 부속법령-03</v>
      </c>
      <c r="Q172" s="313" t="str">
        <f t="shared" si="11"/>
        <v>2008-3-2</v>
      </c>
    </row>
    <row r="173" spans="2:17" ht="189" customHeight="1" x14ac:dyDescent="0.2">
      <c r="B173" s="308" t="s">
        <v>420</v>
      </c>
      <c r="C173" s="304" t="s">
        <v>1256</v>
      </c>
      <c r="D173" s="327" t="s">
        <v>87</v>
      </c>
      <c r="E173" s="324">
        <v>2</v>
      </c>
      <c r="F173" s="324" t="s">
        <v>430</v>
      </c>
      <c r="G173" s="349" t="str">
        <f>VLOOKUP(Q173,통합목록!$Q$4:$T$310,4,0)</f>
        <v>중재재정 조항의 교원노조법상 단체교섭 대상 여부</v>
      </c>
      <c r="H173" s="345"/>
      <c r="I173" s="345"/>
      <c r="J173" s="345"/>
      <c r="K173" s="345"/>
      <c r="L173" s="326"/>
      <c r="M173" s="363" t="str">
        <f>VLOOKUP(Q173,통합목록!$Q$4:$T$310,2,0)</f>
        <v>열기2-01.노동법\02.문제\[기출][2][2025-2]중재재정 조항의 교원노조법상 단체교섭 대상 여부.txt</v>
      </c>
      <c r="N173" s="355" t="str">
        <f>VLOOKUP(Q173,통합목록!$Q$4:$T$310,3,0)</f>
        <v>C</v>
      </c>
      <c r="O173" s="364" t="str">
        <f t="shared" si="10"/>
        <v>제16장 부속법령-04</v>
      </c>
      <c r="Q173" s="313" t="str">
        <f t="shared" si="11"/>
        <v>2025-2-2</v>
      </c>
    </row>
    <row r="174" spans="2:17" ht="189" customHeight="1" thickBot="1" x14ac:dyDescent="0.25">
      <c r="B174" s="309" t="s">
        <v>420</v>
      </c>
      <c r="C174" s="328" t="s">
        <v>1256</v>
      </c>
      <c r="D174" s="329" t="s">
        <v>88</v>
      </c>
      <c r="E174" s="330" t="s">
        <v>31</v>
      </c>
      <c r="F174" s="330" t="s">
        <v>431</v>
      </c>
      <c r="G174" s="350" t="str">
        <f>VLOOKUP(Q174,통합목록!$Q$4:$T$310,4,0)</f>
        <v>매월 균분하여 지급받은 퇴직금 분할 약정의 효력</v>
      </c>
      <c r="H174" s="346"/>
      <c r="I174" s="346"/>
      <c r="J174" s="346"/>
      <c r="K174" s="346"/>
      <c r="L174" s="331"/>
      <c r="M174" s="365" t="str">
        <f>VLOOKUP(Q174,통합목록!$Q$4:$T$310,2,0)</f>
        <v>열기2-01.노동법\02.문제\[기출][1][2017-1-2]매월 균분하여 지급받은 퇴직금 분할 약정의 효력.txt</v>
      </c>
      <c r="N174" s="356" t="str">
        <f>VLOOKUP(Q174,통합목록!$Q$4:$T$310,3,0)</f>
        <v>C</v>
      </c>
      <c r="O174" s="366" t="str">
        <f t="shared" si="10"/>
        <v>제16장 부속법령-05</v>
      </c>
      <c r="Q174" s="313" t="str">
        <f t="shared" si="11"/>
        <v>2017-1-2-1</v>
      </c>
    </row>
  </sheetData>
  <autoFilter ref="B3:Q3" xr:uid="{8421E4D3-52CC-4F0C-BA6D-816A23F4C891}">
    <sortState xmlns:xlrd2="http://schemas.microsoft.com/office/spreadsheetml/2017/richdata2" ref="B4:Q174">
      <sortCondition ref="O3"/>
    </sortState>
  </autoFilter>
  <mergeCells count="1">
    <mergeCell ref="C2:L2"/>
  </mergeCells>
  <phoneticPr fontId="3" type="noConversion"/>
  <conditionalFormatting sqref="B4:O174">
    <cfRule type="expression" dxfId="3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4E172424-DFBD-4575-AA4B-46A3CA1C45E5}">
          <x14:formula1>
            <xm:f>설정!$B$6:$B$11</xm:f>
          </x14:formula1>
          <xm:sqref>C4:C174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C3650-533B-46C8-962A-A1B0C5B27A55}">
  <sheetPr codeName="Sheet2">
    <pageSetUpPr fitToPage="1"/>
  </sheetPr>
  <dimension ref="B2:G319"/>
  <sheetViews>
    <sheetView showGridLines="0" workbookViewId="0">
      <pane ySplit="3" topLeftCell="A115" activePane="bottomLeft" state="frozen"/>
      <selection pane="bottomLeft" activeCell="G147" sqref="G147"/>
    </sheetView>
  </sheetViews>
  <sheetFormatPr defaultRowHeight="14.45" customHeight="1" x14ac:dyDescent="0.2"/>
  <cols>
    <col min="1" max="1" width="1.28515625" style="180" customWidth="1"/>
    <col min="2" max="2" width="31.7109375" style="180" customWidth="1"/>
    <col min="3" max="3" width="37.7109375" style="180" customWidth="1"/>
    <col min="4" max="4" width="26.28515625" style="180" customWidth="1"/>
    <col min="5" max="6" width="2.7109375" style="227" customWidth="1"/>
    <col min="7" max="7" width="163.85546875" style="180" customWidth="1"/>
    <col min="8" max="16384" width="9.140625" style="180"/>
  </cols>
  <sheetData>
    <row r="2" spans="2:7" ht="14.45" customHeight="1" x14ac:dyDescent="0.2">
      <c r="B2" s="381" t="s">
        <v>3</v>
      </c>
      <c r="C2" s="389"/>
      <c r="D2" s="226" t="s">
        <v>4</v>
      </c>
      <c r="E2" s="234"/>
      <c r="F2" s="235"/>
      <c r="G2" s="197" t="s">
        <v>5</v>
      </c>
    </row>
    <row r="3" spans="2:7" ht="14.45" customHeight="1" thickBot="1" x14ac:dyDescent="0.25">
      <c r="B3" s="236" t="s">
        <v>0</v>
      </c>
      <c r="C3" s="237" t="s">
        <v>1</v>
      </c>
      <c r="D3" s="238"/>
      <c r="E3" s="239"/>
      <c r="F3" s="240"/>
      <c r="G3" s="241"/>
    </row>
    <row r="4" spans="2:7" ht="14.45" customHeight="1" x14ac:dyDescent="0.2">
      <c r="B4" s="242" t="s">
        <v>1476</v>
      </c>
      <c r="C4" s="243" t="s">
        <v>1477</v>
      </c>
      <c r="D4" s="244" t="s">
        <v>922</v>
      </c>
      <c r="E4" s="245"/>
      <c r="F4" s="246">
        <v>1</v>
      </c>
      <c r="G4" s="247" t="s">
        <v>679</v>
      </c>
    </row>
    <row r="5" spans="2:7" ht="14.45" customHeight="1" x14ac:dyDescent="0.2">
      <c r="B5" s="204" t="s">
        <v>1476</v>
      </c>
      <c r="C5" s="42" t="s">
        <v>1477</v>
      </c>
      <c r="D5" s="248" t="s">
        <v>22</v>
      </c>
      <c r="E5" s="249"/>
      <c r="F5" s="250">
        <v>1</v>
      </c>
      <c r="G5" s="251" t="s">
        <v>683</v>
      </c>
    </row>
    <row r="6" spans="2:7" ht="14.45" customHeight="1" x14ac:dyDescent="0.2">
      <c r="B6" s="204" t="s">
        <v>1476</v>
      </c>
      <c r="C6" s="42" t="s">
        <v>1477</v>
      </c>
      <c r="D6" s="248" t="s">
        <v>24</v>
      </c>
      <c r="E6" s="249"/>
      <c r="F6" s="250">
        <v>1</v>
      </c>
      <c r="G6" s="251" t="s">
        <v>868</v>
      </c>
    </row>
    <row r="7" spans="2:7" ht="14.45" customHeight="1" x14ac:dyDescent="0.2">
      <c r="B7" s="204" t="s">
        <v>1476</v>
      </c>
      <c r="C7" s="42" t="s">
        <v>1477</v>
      </c>
      <c r="D7" s="248" t="s">
        <v>23</v>
      </c>
      <c r="E7" s="249"/>
      <c r="F7" s="250">
        <v>1</v>
      </c>
      <c r="G7" s="251" t="s">
        <v>909</v>
      </c>
    </row>
    <row r="8" spans="2:7" ht="14.45" customHeight="1" x14ac:dyDescent="0.2">
      <c r="B8" s="204" t="s">
        <v>1476</v>
      </c>
      <c r="C8" s="54" t="s">
        <v>1477</v>
      </c>
      <c r="D8" s="252" t="s">
        <v>243</v>
      </c>
      <c r="E8" s="253"/>
      <c r="F8" s="254">
        <v>1</v>
      </c>
      <c r="G8" s="255" t="s">
        <v>910</v>
      </c>
    </row>
    <row r="9" spans="2:7" ht="14.45" customHeight="1" x14ac:dyDescent="0.2">
      <c r="B9" s="204" t="s">
        <v>1476</v>
      </c>
      <c r="C9" s="256" t="s">
        <v>1422</v>
      </c>
      <c r="D9" s="257" t="s">
        <v>25</v>
      </c>
      <c r="E9" s="258"/>
      <c r="F9" s="259">
        <v>1</v>
      </c>
      <c r="G9" s="260" t="s">
        <v>680</v>
      </c>
    </row>
    <row r="10" spans="2:7" ht="14.45" customHeight="1" x14ac:dyDescent="0.2">
      <c r="B10" s="204" t="s">
        <v>1476</v>
      </c>
      <c r="C10" s="42" t="s">
        <v>1422</v>
      </c>
      <c r="D10" s="248" t="s">
        <v>26</v>
      </c>
      <c r="E10" s="249"/>
      <c r="F10" s="250">
        <v>1</v>
      </c>
      <c r="G10" s="251" t="s">
        <v>681</v>
      </c>
    </row>
    <row r="11" spans="2:7" ht="14.45" customHeight="1" x14ac:dyDescent="0.2">
      <c r="B11" s="204" t="s">
        <v>1476</v>
      </c>
      <c r="C11" s="54" t="s">
        <v>1422</v>
      </c>
      <c r="D11" s="252" t="s">
        <v>244</v>
      </c>
      <c r="E11" s="253"/>
      <c r="F11" s="254">
        <v>1</v>
      </c>
      <c r="G11" s="255" t="s">
        <v>682</v>
      </c>
    </row>
    <row r="12" spans="2:7" ht="14.45" customHeight="1" x14ac:dyDescent="0.2">
      <c r="B12" s="204" t="s">
        <v>1476</v>
      </c>
      <c r="C12" s="256" t="s">
        <v>1423</v>
      </c>
      <c r="D12" s="257" t="s">
        <v>688</v>
      </c>
      <c r="E12" s="258" t="s">
        <v>1419</v>
      </c>
      <c r="F12" s="259">
        <v>1</v>
      </c>
      <c r="G12" s="260" t="s">
        <v>686</v>
      </c>
    </row>
    <row r="13" spans="2:7" ht="14.45" customHeight="1" x14ac:dyDescent="0.2">
      <c r="B13" s="204" t="s">
        <v>1476</v>
      </c>
      <c r="C13" s="54" t="s">
        <v>1423</v>
      </c>
      <c r="D13" s="252" t="s">
        <v>685</v>
      </c>
      <c r="E13" s="253"/>
      <c r="F13" s="254">
        <v>1</v>
      </c>
      <c r="G13" s="255" t="s">
        <v>687</v>
      </c>
    </row>
    <row r="14" spans="2:7" ht="14.45" customHeight="1" x14ac:dyDescent="0.2">
      <c r="B14" s="204" t="s">
        <v>1476</v>
      </c>
      <c r="C14" s="256" t="s">
        <v>1424</v>
      </c>
      <c r="D14" s="257" t="s">
        <v>245</v>
      </c>
      <c r="E14" s="258"/>
      <c r="F14" s="259">
        <v>1</v>
      </c>
      <c r="G14" s="260" t="s">
        <v>684</v>
      </c>
    </row>
    <row r="15" spans="2:7" ht="14.45" customHeight="1" x14ac:dyDescent="0.2">
      <c r="B15" s="204" t="s">
        <v>1476</v>
      </c>
      <c r="C15" s="42" t="s">
        <v>1424</v>
      </c>
      <c r="D15" s="248" t="s">
        <v>690</v>
      </c>
      <c r="E15" s="249"/>
      <c r="F15" s="250">
        <v>1</v>
      </c>
      <c r="G15" s="251" t="s">
        <v>911</v>
      </c>
    </row>
    <row r="16" spans="2:7" ht="14.45" customHeight="1" x14ac:dyDescent="0.2">
      <c r="B16" s="204" t="s">
        <v>1476</v>
      </c>
      <c r="C16" s="42" t="s">
        <v>1424</v>
      </c>
      <c r="D16" s="248" t="s">
        <v>1310</v>
      </c>
      <c r="E16" s="249"/>
      <c r="F16" s="250">
        <v>1</v>
      </c>
      <c r="G16" s="251" t="s">
        <v>1308</v>
      </c>
    </row>
    <row r="17" spans="2:7" ht="14.45" customHeight="1" x14ac:dyDescent="0.2">
      <c r="B17" s="204" t="s">
        <v>1476</v>
      </c>
      <c r="C17" s="42" t="s">
        <v>1424</v>
      </c>
      <c r="D17" s="248" t="s">
        <v>1311</v>
      </c>
      <c r="E17" s="249"/>
      <c r="F17" s="250">
        <v>1</v>
      </c>
      <c r="G17" s="251" t="s">
        <v>1309</v>
      </c>
    </row>
    <row r="18" spans="2:7" ht="14.45" customHeight="1" x14ac:dyDescent="0.2">
      <c r="B18" s="204" t="s">
        <v>1476</v>
      </c>
      <c r="C18" s="42" t="s">
        <v>1424</v>
      </c>
      <c r="D18" s="248" t="s">
        <v>691</v>
      </c>
      <c r="E18" s="249"/>
      <c r="F18" s="250">
        <v>1</v>
      </c>
      <c r="G18" s="251" t="s">
        <v>912</v>
      </c>
    </row>
    <row r="19" spans="2:7" ht="14.45" customHeight="1" x14ac:dyDescent="0.2">
      <c r="B19" s="204" t="s">
        <v>1476</v>
      </c>
      <c r="C19" s="42" t="s">
        <v>1424</v>
      </c>
      <c r="D19" s="248" t="s">
        <v>692</v>
      </c>
      <c r="E19" s="249"/>
      <c r="F19" s="250">
        <v>1</v>
      </c>
      <c r="G19" s="251" t="s">
        <v>869</v>
      </c>
    </row>
    <row r="20" spans="2:7" ht="14.45" customHeight="1" x14ac:dyDescent="0.2">
      <c r="B20" s="204" t="s">
        <v>1476</v>
      </c>
      <c r="C20" s="42" t="s">
        <v>1424</v>
      </c>
      <c r="D20" s="248" t="s">
        <v>693</v>
      </c>
      <c r="E20" s="249"/>
      <c r="F20" s="250">
        <v>1</v>
      </c>
      <c r="G20" s="251" t="s">
        <v>913</v>
      </c>
    </row>
    <row r="21" spans="2:7" ht="14.45" customHeight="1" x14ac:dyDescent="0.2">
      <c r="B21" s="204" t="s">
        <v>1476</v>
      </c>
      <c r="C21" s="42" t="s">
        <v>1424</v>
      </c>
      <c r="D21" s="248" t="s">
        <v>694</v>
      </c>
      <c r="E21" s="249"/>
      <c r="F21" s="250">
        <v>1</v>
      </c>
      <c r="G21" s="251" t="s">
        <v>914</v>
      </c>
    </row>
    <row r="22" spans="2:7" ht="14.45" customHeight="1" x14ac:dyDescent="0.2">
      <c r="B22" s="204" t="s">
        <v>1476</v>
      </c>
      <c r="C22" s="54" t="s">
        <v>1424</v>
      </c>
      <c r="D22" s="252" t="s">
        <v>1304</v>
      </c>
      <c r="E22" s="253"/>
      <c r="F22" s="254">
        <v>1</v>
      </c>
      <c r="G22" s="255" t="s">
        <v>915</v>
      </c>
    </row>
    <row r="23" spans="2:7" ht="14.45" customHeight="1" x14ac:dyDescent="0.2">
      <c r="B23" s="204" t="s">
        <v>1476</v>
      </c>
      <c r="C23" s="256" t="s">
        <v>1425</v>
      </c>
      <c r="D23" s="257" t="s">
        <v>246</v>
      </c>
      <c r="E23" s="258"/>
      <c r="F23" s="259">
        <v>2</v>
      </c>
      <c r="G23" s="260" t="s">
        <v>689</v>
      </c>
    </row>
    <row r="24" spans="2:7" ht="14.45" customHeight="1" x14ac:dyDescent="0.2">
      <c r="B24" s="204" t="s">
        <v>1476</v>
      </c>
      <c r="C24" s="42" t="s">
        <v>1425</v>
      </c>
      <c r="D24" s="248" t="s">
        <v>695</v>
      </c>
      <c r="E24" s="249"/>
      <c r="F24" s="250">
        <v>2</v>
      </c>
      <c r="G24" s="251" t="s">
        <v>1021</v>
      </c>
    </row>
    <row r="25" spans="2:7" ht="14.45" customHeight="1" x14ac:dyDescent="0.2">
      <c r="B25" s="204" t="s">
        <v>1476</v>
      </c>
      <c r="C25" s="42" t="s">
        <v>1425</v>
      </c>
      <c r="D25" s="248" t="s">
        <v>696</v>
      </c>
      <c r="E25" s="249"/>
      <c r="F25" s="250">
        <v>2</v>
      </c>
      <c r="G25" s="251" t="s">
        <v>700</v>
      </c>
    </row>
    <row r="26" spans="2:7" ht="14.45" customHeight="1" x14ac:dyDescent="0.2">
      <c r="B26" s="204" t="s">
        <v>1476</v>
      </c>
      <c r="C26" s="42" t="s">
        <v>1425</v>
      </c>
      <c r="D26" s="248" t="s">
        <v>697</v>
      </c>
      <c r="E26" s="249"/>
      <c r="F26" s="250">
        <v>2</v>
      </c>
      <c r="G26" s="251" t="s">
        <v>701</v>
      </c>
    </row>
    <row r="27" spans="2:7" ht="14.45" customHeight="1" x14ac:dyDescent="0.2">
      <c r="B27" s="204" t="s">
        <v>1476</v>
      </c>
      <c r="C27" s="42" t="s">
        <v>1425</v>
      </c>
      <c r="D27" s="248" t="s">
        <v>698</v>
      </c>
      <c r="E27" s="249"/>
      <c r="F27" s="250">
        <v>2</v>
      </c>
      <c r="G27" s="251" t="s">
        <v>702</v>
      </c>
    </row>
    <row r="28" spans="2:7" ht="14.45" customHeight="1" x14ac:dyDescent="0.2">
      <c r="B28" s="204" t="s">
        <v>1476</v>
      </c>
      <c r="C28" s="54" t="s">
        <v>1425</v>
      </c>
      <c r="D28" s="252" t="s">
        <v>699</v>
      </c>
      <c r="E28" s="253"/>
      <c r="F28" s="254">
        <v>2</v>
      </c>
      <c r="G28" s="255" t="s">
        <v>703</v>
      </c>
    </row>
    <row r="29" spans="2:7" ht="14.45" customHeight="1" x14ac:dyDescent="0.2">
      <c r="B29" s="204" t="s">
        <v>1476</v>
      </c>
      <c r="C29" s="256" t="s">
        <v>1426</v>
      </c>
      <c r="D29" s="257" t="s">
        <v>247</v>
      </c>
      <c r="E29" s="258"/>
      <c r="F29" s="259">
        <v>1</v>
      </c>
      <c r="G29" s="260" t="s">
        <v>704</v>
      </c>
    </row>
    <row r="30" spans="2:7" ht="14.45" customHeight="1" x14ac:dyDescent="0.2">
      <c r="B30" s="204" t="s">
        <v>1476</v>
      </c>
      <c r="C30" s="42" t="s">
        <v>1426</v>
      </c>
      <c r="D30" s="248" t="s">
        <v>252</v>
      </c>
      <c r="E30" s="249"/>
      <c r="F30" s="250">
        <v>1</v>
      </c>
      <c r="G30" s="251" t="s">
        <v>705</v>
      </c>
    </row>
    <row r="31" spans="2:7" ht="14.45" customHeight="1" x14ac:dyDescent="0.2">
      <c r="B31" s="204" t="s">
        <v>1476</v>
      </c>
      <c r="C31" s="42" t="s">
        <v>1426</v>
      </c>
      <c r="D31" s="248" t="s">
        <v>248</v>
      </c>
      <c r="E31" s="249"/>
      <c r="F31" s="250">
        <v>1</v>
      </c>
      <c r="G31" s="251" t="s">
        <v>870</v>
      </c>
    </row>
    <row r="32" spans="2:7" ht="14.45" customHeight="1" x14ac:dyDescent="0.2">
      <c r="B32" s="204" t="s">
        <v>1476</v>
      </c>
      <c r="C32" s="42" t="s">
        <v>1426</v>
      </c>
      <c r="D32" s="248" t="s">
        <v>706</v>
      </c>
      <c r="E32" s="249"/>
      <c r="F32" s="250">
        <v>1</v>
      </c>
      <c r="G32" s="251" t="s">
        <v>916</v>
      </c>
    </row>
    <row r="33" spans="2:7" ht="14.45" customHeight="1" x14ac:dyDescent="0.2">
      <c r="B33" s="204" t="s">
        <v>1476</v>
      </c>
      <c r="C33" s="42" t="s">
        <v>1426</v>
      </c>
      <c r="D33" s="248" t="s">
        <v>249</v>
      </c>
      <c r="E33" s="249"/>
      <c r="F33" s="250">
        <v>1</v>
      </c>
      <c r="G33" s="251" t="s">
        <v>917</v>
      </c>
    </row>
    <row r="34" spans="2:7" ht="14.45" customHeight="1" x14ac:dyDescent="0.2">
      <c r="B34" s="204" t="s">
        <v>1476</v>
      </c>
      <c r="C34" s="54" t="s">
        <v>1426</v>
      </c>
      <c r="D34" s="252" t="s">
        <v>254</v>
      </c>
      <c r="E34" s="253"/>
      <c r="F34" s="254">
        <v>1</v>
      </c>
      <c r="G34" s="255" t="s">
        <v>918</v>
      </c>
    </row>
    <row r="35" spans="2:7" ht="14.45" customHeight="1" x14ac:dyDescent="0.2">
      <c r="B35" s="204" t="s">
        <v>1476</v>
      </c>
      <c r="C35" s="256" t="s">
        <v>1427</v>
      </c>
      <c r="D35" s="257" t="s">
        <v>250</v>
      </c>
      <c r="E35" s="258"/>
      <c r="F35" s="259">
        <v>2</v>
      </c>
      <c r="G35" s="260" t="s">
        <v>707</v>
      </c>
    </row>
    <row r="36" spans="2:7" ht="14.45" customHeight="1" x14ac:dyDescent="0.2">
      <c r="B36" s="204" t="s">
        <v>1476</v>
      </c>
      <c r="C36" s="42" t="s">
        <v>1427</v>
      </c>
      <c r="D36" s="248" t="s">
        <v>251</v>
      </c>
      <c r="E36" s="249"/>
      <c r="F36" s="250">
        <v>2</v>
      </c>
      <c r="G36" s="251" t="s">
        <v>708</v>
      </c>
    </row>
    <row r="37" spans="2:7" ht="14.45" customHeight="1" x14ac:dyDescent="0.2">
      <c r="B37" s="204" t="s">
        <v>1476</v>
      </c>
      <c r="C37" s="42" t="s">
        <v>1427</v>
      </c>
      <c r="D37" s="248" t="s">
        <v>709</v>
      </c>
      <c r="E37" s="249"/>
      <c r="F37" s="250">
        <v>2</v>
      </c>
      <c r="G37" s="251" t="s">
        <v>871</v>
      </c>
    </row>
    <row r="38" spans="2:7" ht="14.45" customHeight="1" thickBot="1" x14ac:dyDescent="0.25">
      <c r="B38" s="225" t="s">
        <v>1476</v>
      </c>
      <c r="C38" s="75" t="s">
        <v>1427</v>
      </c>
      <c r="D38" s="252" t="s">
        <v>253</v>
      </c>
      <c r="E38" s="253"/>
      <c r="F38" s="254">
        <v>2</v>
      </c>
      <c r="G38" s="255" t="s">
        <v>710</v>
      </c>
    </row>
    <row r="39" spans="2:7" ht="14.45" customHeight="1" x14ac:dyDescent="0.2">
      <c r="B39" s="242" t="s">
        <v>441</v>
      </c>
      <c r="C39" s="243" t="s">
        <v>461</v>
      </c>
      <c r="D39" s="244" t="s">
        <v>255</v>
      </c>
      <c r="E39" s="245"/>
      <c r="F39" s="246">
        <v>1</v>
      </c>
      <c r="G39" s="247" t="s">
        <v>711</v>
      </c>
    </row>
    <row r="40" spans="2:7" ht="14.45" customHeight="1" x14ac:dyDescent="0.2">
      <c r="B40" s="31" t="s">
        <v>441</v>
      </c>
      <c r="C40" s="42" t="s">
        <v>461</v>
      </c>
      <c r="D40" s="248" t="s">
        <v>45</v>
      </c>
      <c r="E40" s="249"/>
      <c r="F40" s="250">
        <v>1</v>
      </c>
      <c r="G40" s="251" t="s">
        <v>919</v>
      </c>
    </row>
    <row r="41" spans="2:7" ht="14.45" customHeight="1" x14ac:dyDescent="0.2">
      <c r="B41" s="31" t="s">
        <v>441</v>
      </c>
      <c r="C41" s="42" t="s">
        <v>461</v>
      </c>
      <c r="D41" s="248" t="s">
        <v>256</v>
      </c>
      <c r="E41" s="249"/>
      <c r="F41" s="250">
        <v>1</v>
      </c>
      <c r="G41" s="251" t="s">
        <v>712</v>
      </c>
    </row>
    <row r="42" spans="2:7" ht="14.45" customHeight="1" x14ac:dyDescent="0.2">
      <c r="B42" s="31" t="s">
        <v>441</v>
      </c>
      <c r="C42" s="42" t="s">
        <v>461</v>
      </c>
      <c r="D42" s="248" t="s">
        <v>257</v>
      </c>
      <c r="E42" s="249"/>
      <c r="F42" s="250">
        <v>1</v>
      </c>
      <c r="G42" s="251" t="s">
        <v>713</v>
      </c>
    </row>
    <row r="43" spans="2:7" ht="14.45" customHeight="1" x14ac:dyDescent="0.2">
      <c r="B43" s="31" t="s">
        <v>441</v>
      </c>
      <c r="C43" s="54" t="s">
        <v>461</v>
      </c>
      <c r="D43" s="252" t="s">
        <v>258</v>
      </c>
      <c r="E43" s="253"/>
      <c r="F43" s="254">
        <v>1</v>
      </c>
      <c r="G43" s="255" t="s">
        <v>714</v>
      </c>
    </row>
    <row r="44" spans="2:7" ht="14.45" customHeight="1" x14ac:dyDescent="0.2">
      <c r="B44" s="31" t="s">
        <v>441</v>
      </c>
      <c r="C44" s="256" t="s">
        <v>442</v>
      </c>
      <c r="D44" s="257" t="s">
        <v>116</v>
      </c>
      <c r="E44" s="258"/>
      <c r="F44" s="259">
        <v>1</v>
      </c>
      <c r="G44" s="260" t="s">
        <v>872</v>
      </c>
    </row>
    <row r="45" spans="2:7" ht="14.45" customHeight="1" x14ac:dyDescent="0.2">
      <c r="B45" s="31" t="s">
        <v>441</v>
      </c>
      <c r="C45" s="42" t="s">
        <v>442</v>
      </c>
      <c r="D45" s="248" t="s">
        <v>259</v>
      </c>
      <c r="E45" s="249"/>
      <c r="F45" s="250">
        <v>1</v>
      </c>
      <c r="G45" s="251" t="s">
        <v>715</v>
      </c>
    </row>
    <row r="46" spans="2:7" ht="14.45" customHeight="1" x14ac:dyDescent="0.2">
      <c r="B46" s="31" t="s">
        <v>441</v>
      </c>
      <c r="C46" s="42" t="s">
        <v>442</v>
      </c>
      <c r="D46" s="248" t="s">
        <v>260</v>
      </c>
      <c r="E46" s="249"/>
      <c r="F46" s="250">
        <v>1</v>
      </c>
      <c r="G46" s="251" t="s">
        <v>716</v>
      </c>
    </row>
    <row r="47" spans="2:7" ht="14.45" customHeight="1" x14ac:dyDescent="0.2">
      <c r="B47" s="31" t="s">
        <v>441</v>
      </c>
      <c r="C47" s="42" t="s">
        <v>442</v>
      </c>
      <c r="D47" s="248" t="s">
        <v>717</v>
      </c>
      <c r="E47" s="249"/>
      <c r="F47" s="250">
        <v>1</v>
      </c>
      <c r="G47" s="251" t="s">
        <v>920</v>
      </c>
    </row>
    <row r="48" spans="2:7" ht="14.45" customHeight="1" x14ac:dyDescent="0.2">
      <c r="B48" s="31" t="s">
        <v>441</v>
      </c>
      <c r="C48" s="42" t="s">
        <v>442</v>
      </c>
      <c r="D48" s="248" t="s">
        <v>262</v>
      </c>
      <c r="E48" s="249"/>
      <c r="F48" s="250">
        <v>1</v>
      </c>
      <c r="G48" s="251" t="s">
        <v>662</v>
      </c>
    </row>
    <row r="49" spans="2:7" ht="14.45" customHeight="1" x14ac:dyDescent="0.2">
      <c r="B49" s="31" t="s">
        <v>441</v>
      </c>
      <c r="C49" s="42" t="s">
        <v>442</v>
      </c>
      <c r="D49" s="248" t="s">
        <v>263</v>
      </c>
      <c r="E49" s="249"/>
      <c r="F49" s="250">
        <v>1</v>
      </c>
      <c r="G49" s="251" t="s">
        <v>264</v>
      </c>
    </row>
    <row r="50" spans="2:7" ht="14.45" customHeight="1" x14ac:dyDescent="0.2">
      <c r="B50" s="31" t="s">
        <v>441</v>
      </c>
      <c r="C50" s="54" t="s">
        <v>442</v>
      </c>
      <c r="D50" s="252" t="s">
        <v>114</v>
      </c>
      <c r="E50" s="253"/>
      <c r="F50" s="254">
        <v>1</v>
      </c>
      <c r="G50" s="255" t="s">
        <v>718</v>
      </c>
    </row>
    <row r="51" spans="2:7" ht="14.45" customHeight="1" x14ac:dyDescent="0.2">
      <c r="B51" s="31" t="s">
        <v>441</v>
      </c>
      <c r="C51" s="256" t="s">
        <v>452</v>
      </c>
      <c r="D51" s="257" t="s">
        <v>116</v>
      </c>
      <c r="E51" s="258"/>
      <c r="F51" s="259">
        <v>1</v>
      </c>
      <c r="G51" s="260" t="s">
        <v>720</v>
      </c>
    </row>
    <row r="52" spans="2:7" ht="14.45" customHeight="1" x14ac:dyDescent="0.2">
      <c r="B52" s="31" t="s">
        <v>441</v>
      </c>
      <c r="C52" s="42" t="s">
        <v>452</v>
      </c>
      <c r="D52" s="248" t="s">
        <v>115</v>
      </c>
      <c r="E52" s="249"/>
      <c r="F52" s="250">
        <v>1</v>
      </c>
      <c r="G52" s="251" t="s">
        <v>719</v>
      </c>
    </row>
    <row r="53" spans="2:7" ht="14.45" customHeight="1" x14ac:dyDescent="0.2">
      <c r="B53" s="31" t="s">
        <v>441</v>
      </c>
      <c r="C53" s="42" t="s">
        <v>452</v>
      </c>
      <c r="D53" s="248" t="s">
        <v>271</v>
      </c>
      <c r="E53" s="249"/>
      <c r="F53" s="250">
        <v>1</v>
      </c>
      <c r="G53" s="251" t="s">
        <v>721</v>
      </c>
    </row>
    <row r="54" spans="2:7" ht="14.45" customHeight="1" x14ac:dyDescent="0.2">
      <c r="B54" s="31" t="s">
        <v>441</v>
      </c>
      <c r="C54" s="42" t="s">
        <v>452</v>
      </c>
      <c r="D54" s="248" t="s">
        <v>722</v>
      </c>
      <c r="E54" s="249"/>
      <c r="F54" s="250">
        <v>1</v>
      </c>
      <c r="G54" s="251" t="s">
        <v>724</v>
      </c>
    </row>
    <row r="55" spans="2:7" ht="14.45" customHeight="1" x14ac:dyDescent="0.2">
      <c r="B55" s="31" t="s">
        <v>441</v>
      </c>
      <c r="C55" s="54" t="s">
        <v>452</v>
      </c>
      <c r="D55" s="252" t="s">
        <v>723</v>
      </c>
      <c r="E55" s="253"/>
      <c r="F55" s="254">
        <v>1</v>
      </c>
      <c r="G55" s="255" t="s">
        <v>725</v>
      </c>
    </row>
    <row r="56" spans="2:7" ht="14.45" customHeight="1" x14ac:dyDescent="0.2">
      <c r="B56" s="31" t="s">
        <v>441</v>
      </c>
      <c r="C56" s="256" t="s">
        <v>1428</v>
      </c>
      <c r="D56" s="257" t="s">
        <v>119</v>
      </c>
      <c r="E56" s="258"/>
      <c r="F56" s="259">
        <v>1</v>
      </c>
      <c r="G56" s="260" t="s">
        <v>123</v>
      </c>
    </row>
    <row r="57" spans="2:7" ht="14.45" customHeight="1" x14ac:dyDescent="0.2">
      <c r="B57" s="31" t="s">
        <v>441</v>
      </c>
      <c r="C57" s="42" t="s">
        <v>1428</v>
      </c>
      <c r="D57" s="248" t="s">
        <v>120</v>
      </c>
      <c r="E57" s="249"/>
      <c r="F57" s="250">
        <v>1</v>
      </c>
      <c r="G57" s="251" t="s">
        <v>124</v>
      </c>
    </row>
    <row r="58" spans="2:7" ht="14.45" customHeight="1" x14ac:dyDescent="0.2">
      <c r="B58" s="31" t="s">
        <v>441</v>
      </c>
      <c r="C58" s="42" t="s">
        <v>1428</v>
      </c>
      <c r="D58" s="248" t="s">
        <v>121</v>
      </c>
      <c r="E58" s="249"/>
      <c r="F58" s="250">
        <v>1</v>
      </c>
      <c r="G58" s="251" t="s">
        <v>125</v>
      </c>
    </row>
    <row r="59" spans="2:7" ht="14.45" customHeight="1" thickBot="1" x14ac:dyDescent="0.25">
      <c r="B59" s="31" t="s">
        <v>441</v>
      </c>
      <c r="C59" s="42" t="s">
        <v>1428</v>
      </c>
      <c r="D59" s="252" t="s">
        <v>122</v>
      </c>
      <c r="E59" s="253"/>
      <c r="F59" s="254">
        <v>1</v>
      </c>
      <c r="G59" s="255" t="s">
        <v>126</v>
      </c>
    </row>
    <row r="60" spans="2:7" ht="14.45" customHeight="1" x14ac:dyDescent="0.2">
      <c r="B60" s="242" t="s">
        <v>443</v>
      </c>
      <c r="C60" s="243" t="s">
        <v>1480</v>
      </c>
      <c r="D60" s="244" t="s">
        <v>267</v>
      </c>
      <c r="E60" s="245"/>
      <c r="F60" s="246">
        <v>1</v>
      </c>
      <c r="G60" s="247" t="s">
        <v>266</v>
      </c>
    </row>
    <row r="61" spans="2:7" ht="14.45" customHeight="1" x14ac:dyDescent="0.2">
      <c r="B61" s="31" t="s">
        <v>443</v>
      </c>
      <c r="C61" s="42" t="s">
        <v>1480</v>
      </c>
      <c r="D61" s="248" t="s">
        <v>268</v>
      </c>
      <c r="E61" s="249"/>
      <c r="F61" s="250">
        <v>1</v>
      </c>
      <c r="G61" s="251" t="s">
        <v>269</v>
      </c>
    </row>
    <row r="62" spans="2:7" ht="14.45" customHeight="1" x14ac:dyDescent="0.2">
      <c r="B62" s="204" t="s">
        <v>443</v>
      </c>
      <c r="C62" s="54" t="s">
        <v>1480</v>
      </c>
      <c r="D62" s="261" t="s">
        <v>215</v>
      </c>
      <c r="E62" s="262"/>
      <c r="F62" s="263">
        <v>1</v>
      </c>
      <c r="G62" s="264" t="s">
        <v>226</v>
      </c>
    </row>
    <row r="63" spans="2:7" ht="14.45" customHeight="1" x14ac:dyDescent="0.2">
      <c r="B63" s="204" t="s">
        <v>443</v>
      </c>
      <c r="C63" s="265" t="s">
        <v>1429</v>
      </c>
      <c r="D63" s="266" t="s">
        <v>138</v>
      </c>
      <c r="E63" s="267" t="s">
        <v>1348</v>
      </c>
      <c r="F63" s="268">
        <v>1</v>
      </c>
      <c r="G63" s="269" t="s">
        <v>265</v>
      </c>
    </row>
    <row r="64" spans="2:7" ht="14.45" customHeight="1" x14ac:dyDescent="0.2">
      <c r="B64" s="204" t="s">
        <v>443</v>
      </c>
      <c r="C64" s="256" t="s">
        <v>433</v>
      </c>
      <c r="D64" s="257" t="s">
        <v>317</v>
      </c>
      <c r="E64" s="258" t="s">
        <v>1348</v>
      </c>
      <c r="F64" s="259">
        <v>1</v>
      </c>
      <c r="G64" s="260" t="s">
        <v>316</v>
      </c>
    </row>
    <row r="65" spans="2:7" ht="14.45" customHeight="1" x14ac:dyDescent="0.2">
      <c r="B65" s="204" t="s">
        <v>443</v>
      </c>
      <c r="C65" s="42" t="s">
        <v>433</v>
      </c>
      <c r="D65" s="248" t="s">
        <v>6</v>
      </c>
      <c r="E65" s="249" t="s">
        <v>1348</v>
      </c>
      <c r="F65" s="250">
        <v>1</v>
      </c>
      <c r="G65" s="251" t="s">
        <v>1723</v>
      </c>
    </row>
    <row r="66" spans="2:7" ht="14.45" customHeight="1" x14ac:dyDescent="0.2">
      <c r="B66" s="204" t="s">
        <v>443</v>
      </c>
      <c r="C66" s="42" t="s">
        <v>433</v>
      </c>
      <c r="D66" s="248" t="s">
        <v>7</v>
      </c>
      <c r="E66" s="249" t="s">
        <v>1348</v>
      </c>
      <c r="F66" s="250">
        <v>1</v>
      </c>
      <c r="G66" s="251" t="s">
        <v>1597</v>
      </c>
    </row>
    <row r="67" spans="2:7" ht="14.45" customHeight="1" x14ac:dyDescent="0.2">
      <c r="B67" s="204" t="s">
        <v>443</v>
      </c>
      <c r="C67" s="42" t="s">
        <v>433</v>
      </c>
      <c r="D67" s="248" t="s">
        <v>8</v>
      </c>
      <c r="E67" s="249" t="s">
        <v>1348</v>
      </c>
      <c r="F67" s="250">
        <v>1</v>
      </c>
      <c r="G67" s="251" t="s">
        <v>1420</v>
      </c>
    </row>
    <row r="68" spans="2:7" ht="14.45" customHeight="1" x14ac:dyDescent="0.2">
      <c r="B68" s="204" t="s">
        <v>443</v>
      </c>
      <c r="C68" s="54" t="s">
        <v>433</v>
      </c>
      <c r="D68" s="252" t="s">
        <v>216</v>
      </c>
      <c r="E68" s="253"/>
      <c r="F68" s="254">
        <v>1</v>
      </c>
      <c r="G68" s="255" t="s">
        <v>318</v>
      </c>
    </row>
    <row r="69" spans="2:7" ht="14.45" customHeight="1" x14ac:dyDescent="0.2">
      <c r="B69" s="204" t="s">
        <v>443</v>
      </c>
      <c r="C69" s="256" t="s">
        <v>444</v>
      </c>
      <c r="D69" s="257" t="s">
        <v>217</v>
      </c>
      <c r="E69" s="258"/>
      <c r="F69" s="259">
        <v>1</v>
      </c>
      <c r="G69" s="260" t="s">
        <v>272</v>
      </c>
    </row>
    <row r="70" spans="2:7" ht="14.45" customHeight="1" x14ac:dyDescent="0.2">
      <c r="B70" s="204" t="s">
        <v>443</v>
      </c>
      <c r="C70" s="42" t="s">
        <v>444</v>
      </c>
      <c r="D70" s="248" t="s">
        <v>218</v>
      </c>
      <c r="E70" s="249"/>
      <c r="F70" s="250">
        <v>1</v>
      </c>
      <c r="G70" s="251" t="s">
        <v>273</v>
      </c>
    </row>
    <row r="71" spans="2:7" ht="14.45" customHeight="1" x14ac:dyDescent="0.2">
      <c r="B71" s="204" t="s">
        <v>443</v>
      </c>
      <c r="C71" s="42" t="s">
        <v>444</v>
      </c>
      <c r="D71" s="248" t="s">
        <v>219</v>
      </c>
      <c r="E71" s="249"/>
      <c r="F71" s="250">
        <v>1</v>
      </c>
      <c r="G71" s="251" t="s">
        <v>274</v>
      </c>
    </row>
    <row r="72" spans="2:7" ht="14.45" customHeight="1" x14ac:dyDescent="0.2">
      <c r="B72" s="204" t="s">
        <v>443</v>
      </c>
      <c r="C72" s="54" t="s">
        <v>444</v>
      </c>
      <c r="D72" s="252" t="s">
        <v>270</v>
      </c>
      <c r="E72" s="253"/>
      <c r="F72" s="254">
        <v>1</v>
      </c>
      <c r="G72" s="255" t="s">
        <v>275</v>
      </c>
    </row>
    <row r="73" spans="2:7" ht="14.45" customHeight="1" x14ac:dyDescent="0.2">
      <c r="B73" s="204" t="s">
        <v>443</v>
      </c>
      <c r="C73" s="256" t="s">
        <v>1430</v>
      </c>
      <c r="D73" s="257" t="s">
        <v>220</v>
      </c>
      <c r="E73" s="258"/>
      <c r="F73" s="259">
        <v>1</v>
      </c>
      <c r="G73" s="260" t="s">
        <v>278</v>
      </c>
    </row>
    <row r="74" spans="2:7" ht="14.45" customHeight="1" x14ac:dyDescent="0.2">
      <c r="B74" s="204" t="s">
        <v>443</v>
      </c>
      <c r="C74" s="42" t="s">
        <v>1430</v>
      </c>
      <c r="D74" s="248" t="s">
        <v>141</v>
      </c>
      <c r="E74" s="249"/>
      <c r="F74" s="250">
        <v>1</v>
      </c>
      <c r="G74" s="251" t="s">
        <v>279</v>
      </c>
    </row>
    <row r="75" spans="2:7" ht="14.45" customHeight="1" x14ac:dyDescent="0.2">
      <c r="B75" s="204" t="s">
        <v>443</v>
      </c>
      <c r="C75" s="42" t="s">
        <v>1430</v>
      </c>
      <c r="D75" s="248" t="s">
        <v>276</v>
      </c>
      <c r="E75" s="249"/>
      <c r="F75" s="250">
        <v>1</v>
      </c>
      <c r="G75" s="251" t="s">
        <v>280</v>
      </c>
    </row>
    <row r="76" spans="2:7" ht="14.45" customHeight="1" x14ac:dyDescent="0.2">
      <c r="B76" s="204" t="s">
        <v>443</v>
      </c>
      <c r="C76" s="54" t="s">
        <v>1430</v>
      </c>
      <c r="D76" s="252" t="s">
        <v>277</v>
      </c>
      <c r="E76" s="253"/>
      <c r="F76" s="254">
        <v>1</v>
      </c>
      <c r="G76" s="255" t="s">
        <v>281</v>
      </c>
    </row>
    <row r="77" spans="2:7" ht="14.45" customHeight="1" x14ac:dyDescent="0.2">
      <c r="B77" s="204" t="s">
        <v>443</v>
      </c>
      <c r="C77" s="256" t="s">
        <v>1431</v>
      </c>
      <c r="D77" s="257" t="s">
        <v>142</v>
      </c>
      <c r="E77" s="258"/>
      <c r="F77" s="259">
        <v>1</v>
      </c>
      <c r="G77" s="260" t="s">
        <v>285</v>
      </c>
    </row>
    <row r="78" spans="2:7" ht="14.45" customHeight="1" x14ac:dyDescent="0.2">
      <c r="B78" s="204" t="s">
        <v>443</v>
      </c>
      <c r="C78" s="42" t="s">
        <v>1431</v>
      </c>
      <c r="D78" s="248" t="s">
        <v>221</v>
      </c>
      <c r="E78" s="249"/>
      <c r="F78" s="250">
        <v>1</v>
      </c>
      <c r="G78" s="251" t="s">
        <v>286</v>
      </c>
    </row>
    <row r="79" spans="2:7" ht="14.45" customHeight="1" thickBot="1" x14ac:dyDescent="0.25">
      <c r="B79" s="225" t="s">
        <v>443</v>
      </c>
      <c r="C79" s="75" t="s">
        <v>1431</v>
      </c>
      <c r="D79" s="252" t="s">
        <v>222</v>
      </c>
      <c r="E79" s="253"/>
      <c r="F79" s="254">
        <v>1</v>
      </c>
      <c r="G79" s="255" t="s">
        <v>287</v>
      </c>
    </row>
    <row r="80" spans="2:7" ht="14.45" customHeight="1" x14ac:dyDescent="0.2">
      <c r="B80" s="242" t="s">
        <v>448</v>
      </c>
      <c r="C80" s="243" t="s">
        <v>1432</v>
      </c>
      <c r="D80" s="244" t="s">
        <v>288</v>
      </c>
      <c r="E80" s="245"/>
      <c r="F80" s="246">
        <v>1</v>
      </c>
      <c r="G80" s="247" t="s">
        <v>291</v>
      </c>
    </row>
    <row r="81" spans="2:7" ht="14.45" customHeight="1" x14ac:dyDescent="0.2">
      <c r="B81" s="31" t="s">
        <v>448</v>
      </c>
      <c r="C81" s="42" t="s">
        <v>1432</v>
      </c>
      <c r="D81" s="248" t="s">
        <v>289</v>
      </c>
      <c r="E81" s="249"/>
      <c r="F81" s="250">
        <v>1</v>
      </c>
      <c r="G81" s="251" t="s">
        <v>290</v>
      </c>
    </row>
    <row r="82" spans="2:7" ht="14.45" customHeight="1" x14ac:dyDescent="0.2">
      <c r="B82" s="31" t="s">
        <v>448</v>
      </c>
      <c r="C82" s="42" t="s">
        <v>1432</v>
      </c>
      <c r="D82" s="248" t="s">
        <v>32</v>
      </c>
      <c r="E82" s="249"/>
      <c r="F82" s="250">
        <v>1</v>
      </c>
      <c r="G82" s="251" t="s">
        <v>293</v>
      </c>
    </row>
    <row r="83" spans="2:7" ht="14.45" customHeight="1" x14ac:dyDescent="0.2">
      <c r="B83" s="31" t="s">
        <v>448</v>
      </c>
      <c r="C83" s="54" t="s">
        <v>1432</v>
      </c>
      <c r="D83" s="252" t="s">
        <v>292</v>
      </c>
      <c r="E83" s="253"/>
      <c r="F83" s="254">
        <v>1</v>
      </c>
      <c r="G83" s="255" t="s">
        <v>294</v>
      </c>
    </row>
    <row r="84" spans="2:7" ht="14.45" customHeight="1" x14ac:dyDescent="0.2">
      <c r="B84" s="204" t="s">
        <v>448</v>
      </c>
      <c r="C84" s="256" t="s">
        <v>474</v>
      </c>
      <c r="D84" s="257" t="s">
        <v>223</v>
      </c>
      <c r="E84" s="258"/>
      <c r="F84" s="259">
        <v>1</v>
      </c>
      <c r="G84" s="260" t="s">
        <v>295</v>
      </c>
    </row>
    <row r="85" spans="2:7" ht="14.45" customHeight="1" x14ac:dyDescent="0.2">
      <c r="B85" s="204" t="s">
        <v>448</v>
      </c>
      <c r="C85" s="42" t="s">
        <v>474</v>
      </c>
      <c r="D85" s="248" t="s">
        <v>224</v>
      </c>
      <c r="E85" s="249"/>
      <c r="F85" s="250">
        <v>1</v>
      </c>
      <c r="G85" s="251" t="s">
        <v>296</v>
      </c>
    </row>
    <row r="86" spans="2:7" ht="14.45" customHeight="1" x14ac:dyDescent="0.2">
      <c r="B86" s="204" t="s">
        <v>448</v>
      </c>
      <c r="C86" s="54" t="s">
        <v>474</v>
      </c>
      <c r="D86" s="252" t="s">
        <v>225</v>
      </c>
      <c r="E86" s="253"/>
      <c r="F86" s="254">
        <v>1</v>
      </c>
      <c r="G86" s="255" t="s">
        <v>297</v>
      </c>
    </row>
    <row r="87" spans="2:7" ht="14.45" customHeight="1" x14ac:dyDescent="0.2">
      <c r="B87" s="204" t="s">
        <v>448</v>
      </c>
      <c r="C87" s="256" t="s">
        <v>464</v>
      </c>
      <c r="D87" s="257" t="s">
        <v>145</v>
      </c>
      <c r="E87" s="258"/>
      <c r="F87" s="259">
        <v>1</v>
      </c>
      <c r="G87" s="260" t="s">
        <v>299</v>
      </c>
    </row>
    <row r="88" spans="2:7" ht="14.45" customHeight="1" x14ac:dyDescent="0.2">
      <c r="B88" s="204" t="s">
        <v>448</v>
      </c>
      <c r="C88" s="42" t="s">
        <v>464</v>
      </c>
      <c r="D88" s="248" t="s">
        <v>229</v>
      </c>
      <c r="E88" s="249"/>
      <c r="F88" s="250">
        <v>1</v>
      </c>
      <c r="G88" s="251" t="s">
        <v>300</v>
      </c>
    </row>
    <row r="89" spans="2:7" ht="14.45" customHeight="1" x14ac:dyDescent="0.2">
      <c r="B89" s="204" t="s">
        <v>448</v>
      </c>
      <c r="C89" s="42" t="s">
        <v>464</v>
      </c>
      <c r="D89" s="248" t="s">
        <v>230</v>
      </c>
      <c r="E89" s="249"/>
      <c r="F89" s="250">
        <v>1</v>
      </c>
      <c r="G89" s="251" t="s">
        <v>301</v>
      </c>
    </row>
    <row r="90" spans="2:7" ht="14.45" customHeight="1" x14ac:dyDescent="0.2">
      <c r="B90" s="204" t="s">
        <v>448</v>
      </c>
      <c r="C90" s="42" t="s">
        <v>464</v>
      </c>
      <c r="D90" s="248" t="s">
        <v>37</v>
      </c>
      <c r="E90" s="249"/>
      <c r="F90" s="250">
        <v>1</v>
      </c>
      <c r="G90" s="251" t="s">
        <v>302</v>
      </c>
    </row>
    <row r="91" spans="2:7" ht="14.45" customHeight="1" x14ac:dyDescent="0.2">
      <c r="B91" s="204" t="s">
        <v>448</v>
      </c>
      <c r="C91" s="42" t="s">
        <v>464</v>
      </c>
      <c r="D91" s="248" t="s">
        <v>227</v>
      </c>
      <c r="E91" s="249"/>
      <c r="F91" s="250">
        <v>1</v>
      </c>
      <c r="G91" s="251" t="s">
        <v>303</v>
      </c>
    </row>
    <row r="92" spans="2:7" ht="14.45" customHeight="1" x14ac:dyDescent="0.2">
      <c r="B92" s="204" t="s">
        <v>448</v>
      </c>
      <c r="C92" s="54" t="s">
        <v>464</v>
      </c>
      <c r="D92" s="252" t="s">
        <v>228</v>
      </c>
      <c r="E92" s="253"/>
      <c r="F92" s="254">
        <v>1</v>
      </c>
      <c r="G92" s="255" t="s">
        <v>298</v>
      </c>
    </row>
    <row r="93" spans="2:7" ht="14.45" customHeight="1" x14ac:dyDescent="0.2">
      <c r="B93" s="204" t="s">
        <v>448</v>
      </c>
      <c r="C93" s="256" t="s">
        <v>1433</v>
      </c>
      <c r="D93" s="257" t="s">
        <v>32</v>
      </c>
      <c r="E93" s="258"/>
      <c r="F93" s="259">
        <v>1</v>
      </c>
      <c r="G93" s="260" t="s">
        <v>306</v>
      </c>
    </row>
    <row r="94" spans="2:7" ht="14.45" customHeight="1" x14ac:dyDescent="0.2">
      <c r="B94" s="204" t="s">
        <v>448</v>
      </c>
      <c r="C94" s="54" t="s">
        <v>1433</v>
      </c>
      <c r="D94" s="252" t="s">
        <v>304</v>
      </c>
      <c r="E94" s="253"/>
      <c r="F94" s="254">
        <v>1</v>
      </c>
      <c r="G94" s="255" t="s">
        <v>305</v>
      </c>
    </row>
    <row r="95" spans="2:7" ht="14.45" customHeight="1" x14ac:dyDescent="0.2">
      <c r="B95" s="204" t="s">
        <v>448</v>
      </c>
      <c r="C95" s="256" t="s">
        <v>1434</v>
      </c>
      <c r="D95" s="257" t="s">
        <v>33</v>
      </c>
      <c r="E95" s="258"/>
      <c r="F95" s="259">
        <v>1</v>
      </c>
      <c r="G95" s="260" t="s">
        <v>314</v>
      </c>
    </row>
    <row r="96" spans="2:7" ht="14.45" customHeight="1" x14ac:dyDescent="0.2">
      <c r="B96" s="204" t="s">
        <v>448</v>
      </c>
      <c r="C96" s="42" t="s">
        <v>1434</v>
      </c>
      <c r="D96" s="248" t="s">
        <v>35</v>
      </c>
      <c r="E96" s="249"/>
      <c r="F96" s="250">
        <v>1</v>
      </c>
      <c r="G96" s="251" t="s">
        <v>315</v>
      </c>
    </row>
    <row r="97" spans="2:7" ht="14.45" customHeight="1" x14ac:dyDescent="0.2">
      <c r="B97" s="204" t="s">
        <v>448</v>
      </c>
      <c r="C97" s="42" t="s">
        <v>1434</v>
      </c>
      <c r="D97" s="248" t="s">
        <v>36</v>
      </c>
      <c r="E97" s="249"/>
      <c r="F97" s="250">
        <v>1</v>
      </c>
      <c r="G97" s="251" t="s">
        <v>319</v>
      </c>
    </row>
    <row r="98" spans="2:7" ht="14.45" customHeight="1" x14ac:dyDescent="0.2">
      <c r="B98" s="204" t="s">
        <v>448</v>
      </c>
      <c r="C98" s="42" t="s">
        <v>1434</v>
      </c>
      <c r="D98" s="248" t="s">
        <v>34</v>
      </c>
      <c r="E98" s="249"/>
      <c r="F98" s="250">
        <v>1</v>
      </c>
      <c r="G98" s="251" t="s">
        <v>320</v>
      </c>
    </row>
    <row r="99" spans="2:7" ht="14.45" customHeight="1" x14ac:dyDescent="0.2">
      <c r="B99" s="204" t="s">
        <v>448</v>
      </c>
      <c r="C99" s="42" t="s">
        <v>1434</v>
      </c>
      <c r="D99" s="248" t="s">
        <v>37</v>
      </c>
      <c r="E99" s="249"/>
      <c r="F99" s="250">
        <v>1</v>
      </c>
      <c r="G99" s="251" t="s">
        <v>321</v>
      </c>
    </row>
    <row r="100" spans="2:7" ht="14.45" customHeight="1" x14ac:dyDescent="0.2">
      <c r="B100" s="204" t="s">
        <v>448</v>
      </c>
      <c r="C100" s="54" t="s">
        <v>1434</v>
      </c>
      <c r="D100" s="252" t="s">
        <v>38</v>
      </c>
      <c r="E100" s="253"/>
      <c r="F100" s="254">
        <v>1</v>
      </c>
      <c r="G100" s="255" t="s">
        <v>322</v>
      </c>
    </row>
    <row r="101" spans="2:7" ht="14.45" customHeight="1" x14ac:dyDescent="0.2">
      <c r="B101" s="204" t="s">
        <v>448</v>
      </c>
      <c r="C101" s="256" t="s">
        <v>449</v>
      </c>
      <c r="D101" s="257" t="s">
        <v>39</v>
      </c>
      <c r="E101" s="258"/>
      <c r="F101" s="259">
        <v>1</v>
      </c>
      <c r="G101" s="260" t="s">
        <v>324</v>
      </c>
    </row>
    <row r="102" spans="2:7" ht="14.45" customHeight="1" x14ac:dyDescent="0.2">
      <c r="B102" s="204" t="s">
        <v>448</v>
      </c>
      <c r="C102" s="42" t="s">
        <v>449</v>
      </c>
      <c r="D102" s="248" t="s">
        <v>40</v>
      </c>
      <c r="E102" s="249"/>
      <c r="F102" s="250">
        <v>1</v>
      </c>
      <c r="G102" s="251" t="s">
        <v>323</v>
      </c>
    </row>
    <row r="103" spans="2:7" ht="14.45" customHeight="1" x14ac:dyDescent="0.2">
      <c r="B103" s="204" t="s">
        <v>448</v>
      </c>
      <c r="C103" s="42" t="s">
        <v>449</v>
      </c>
      <c r="D103" s="248" t="s">
        <v>41</v>
      </c>
      <c r="E103" s="249"/>
      <c r="F103" s="250">
        <v>1</v>
      </c>
      <c r="G103" s="251" t="s">
        <v>325</v>
      </c>
    </row>
    <row r="104" spans="2:7" ht="14.45" customHeight="1" x14ac:dyDescent="0.2">
      <c r="B104" s="204" t="s">
        <v>448</v>
      </c>
      <c r="C104" s="42" t="s">
        <v>449</v>
      </c>
      <c r="D104" s="248" t="s">
        <v>326</v>
      </c>
      <c r="E104" s="249"/>
      <c r="F104" s="250">
        <v>1</v>
      </c>
      <c r="G104" s="251" t="s">
        <v>327</v>
      </c>
    </row>
    <row r="105" spans="2:7" ht="14.45" customHeight="1" thickBot="1" x14ac:dyDescent="0.25">
      <c r="B105" s="225" t="s">
        <v>448</v>
      </c>
      <c r="C105" s="75" t="s">
        <v>449</v>
      </c>
      <c r="D105" s="270" t="s">
        <v>42</v>
      </c>
      <c r="E105" s="271"/>
      <c r="F105" s="272">
        <v>1</v>
      </c>
      <c r="G105" s="273" t="s">
        <v>328</v>
      </c>
    </row>
    <row r="106" spans="2:7" ht="14.45" customHeight="1" x14ac:dyDescent="0.2">
      <c r="B106" s="242" t="s">
        <v>434</v>
      </c>
      <c r="C106" s="274" t="s">
        <v>1481</v>
      </c>
      <c r="D106" s="275" t="s">
        <v>9</v>
      </c>
      <c r="E106" s="276"/>
      <c r="F106" s="277">
        <v>1</v>
      </c>
      <c r="G106" s="278" t="s">
        <v>735</v>
      </c>
    </row>
    <row r="107" spans="2:7" ht="14.45" customHeight="1" thickBot="1" x14ac:dyDescent="0.25">
      <c r="B107" s="225" t="s">
        <v>434</v>
      </c>
      <c r="C107" s="279" t="s">
        <v>455</v>
      </c>
      <c r="D107" s="280" t="s">
        <v>10</v>
      </c>
      <c r="E107" s="281"/>
      <c r="F107" s="282">
        <v>1</v>
      </c>
      <c r="G107" s="283" t="s">
        <v>11</v>
      </c>
    </row>
    <row r="108" spans="2:7" ht="14.45" customHeight="1" x14ac:dyDescent="0.2">
      <c r="B108" s="242" t="s">
        <v>427</v>
      </c>
      <c r="C108" s="243" t="s">
        <v>1482</v>
      </c>
      <c r="D108" s="244" t="s">
        <v>43</v>
      </c>
      <c r="E108" s="245" t="s">
        <v>1348</v>
      </c>
      <c r="F108" s="246">
        <v>1</v>
      </c>
      <c r="G108" s="247" t="s">
        <v>726</v>
      </c>
    </row>
    <row r="109" spans="2:7" ht="14.45" customHeight="1" x14ac:dyDescent="0.2">
      <c r="B109" s="31" t="s">
        <v>427</v>
      </c>
      <c r="C109" s="54" t="s">
        <v>1482</v>
      </c>
      <c r="D109" s="252" t="s">
        <v>12</v>
      </c>
      <c r="E109" s="253" t="s">
        <v>1348</v>
      </c>
      <c r="F109" s="254">
        <v>1</v>
      </c>
      <c r="G109" s="255" t="s">
        <v>873</v>
      </c>
    </row>
    <row r="110" spans="2:7" ht="14.45" customHeight="1" x14ac:dyDescent="0.2">
      <c r="B110" s="31" t="s">
        <v>427</v>
      </c>
      <c r="C110" s="256" t="s">
        <v>1483</v>
      </c>
      <c r="D110" s="257" t="s">
        <v>13</v>
      </c>
      <c r="E110" s="258"/>
      <c r="F110" s="259">
        <v>1</v>
      </c>
      <c r="G110" s="260" t="s">
        <v>626</v>
      </c>
    </row>
    <row r="111" spans="2:7" ht="14.45" customHeight="1" x14ac:dyDescent="0.2">
      <c r="B111" s="31" t="s">
        <v>427</v>
      </c>
      <c r="C111" s="42" t="s">
        <v>1483</v>
      </c>
      <c r="D111" s="248" t="s">
        <v>628</v>
      </c>
      <c r="E111" s="249"/>
      <c r="F111" s="250">
        <v>1</v>
      </c>
      <c r="G111" s="251" t="s">
        <v>630</v>
      </c>
    </row>
    <row r="112" spans="2:7" ht="14.45" customHeight="1" x14ac:dyDescent="0.2">
      <c r="B112" s="31" t="s">
        <v>427</v>
      </c>
      <c r="C112" s="54" t="s">
        <v>1483</v>
      </c>
      <c r="D112" s="261" t="s">
        <v>627</v>
      </c>
      <c r="E112" s="262"/>
      <c r="F112" s="263">
        <v>1</v>
      </c>
      <c r="G112" s="264" t="s">
        <v>629</v>
      </c>
    </row>
    <row r="113" spans="2:7" ht="14.45" customHeight="1" x14ac:dyDescent="0.2">
      <c r="B113" s="31" t="s">
        <v>427</v>
      </c>
      <c r="C113" s="265" t="s">
        <v>468</v>
      </c>
      <c r="D113" s="266" t="s">
        <v>14</v>
      </c>
      <c r="E113" s="267"/>
      <c r="F113" s="268">
        <v>1</v>
      </c>
      <c r="G113" s="269" t="s">
        <v>625</v>
      </c>
    </row>
    <row r="114" spans="2:7" ht="14.45" customHeight="1" x14ac:dyDescent="0.2">
      <c r="B114" s="31" t="s">
        <v>427</v>
      </c>
      <c r="C114" s="256" t="s">
        <v>457</v>
      </c>
      <c r="D114" s="257" t="s">
        <v>15</v>
      </c>
      <c r="E114" s="258"/>
      <c r="F114" s="259">
        <v>1</v>
      </c>
      <c r="G114" s="260" t="s">
        <v>361</v>
      </c>
    </row>
    <row r="115" spans="2:7" ht="14.45" customHeight="1" x14ac:dyDescent="0.2">
      <c r="B115" s="31" t="s">
        <v>427</v>
      </c>
      <c r="C115" s="42" t="s">
        <v>457</v>
      </c>
      <c r="D115" s="248" t="s">
        <v>358</v>
      </c>
      <c r="E115" s="249"/>
      <c r="F115" s="250">
        <v>1</v>
      </c>
      <c r="G115" s="251" t="s">
        <v>874</v>
      </c>
    </row>
    <row r="116" spans="2:7" ht="14.45" customHeight="1" x14ac:dyDescent="0.2">
      <c r="B116" s="31" t="s">
        <v>427</v>
      </c>
      <c r="C116" s="42" t="s">
        <v>457</v>
      </c>
      <c r="D116" s="248" t="s">
        <v>359</v>
      </c>
      <c r="E116" s="249"/>
      <c r="F116" s="250">
        <v>1</v>
      </c>
      <c r="G116" s="251" t="s">
        <v>875</v>
      </c>
    </row>
    <row r="117" spans="2:7" ht="14.45" customHeight="1" x14ac:dyDescent="0.2">
      <c r="B117" s="31" t="s">
        <v>427</v>
      </c>
      <c r="C117" s="54" t="s">
        <v>457</v>
      </c>
      <c r="D117" s="252" t="s">
        <v>360</v>
      </c>
      <c r="E117" s="253"/>
      <c r="F117" s="254">
        <v>1</v>
      </c>
      <c r="G117" s="255" t="s">
        <v>876</v>
      </c>
    </row>
    <row r="118" spans="2:7" ht="14.45" customHeight="1" x14ac:dyDescent="0.2">
      <c r="B118" s="31" t="s">
        <v>427</v>
      </c>
      <c r="C118" s="256" t="s">
        <v>428</v>
      </c>
      <c r="D118" s="257" t="s">
        <v>16</v>
      </c>
      <c r="E118" s="258"/>
      <c r="F118" s="259">
        <v>1</v>
      </c>
      <c r="G118" s="260" t="s">
        <v>877</v>
      </c>
    </row>
    <row r="119" spans="2:7" ht="14.45" customHeight="1" x14ac:dyDescent="0.2">
      <c r="B119" s="31" t="s">
        <v>427</v>
      </c>
      <c r="C119" s="42" t="s">
        <v>428</v>
      </c>
      <c r="D119" s="248" t="s">
        <v>727</v>
      </c>
      <c r="E119" s="249"/>
      <c r="F119" s="250">
        <v>1</v>
      </c>
      <c r="G119" s="251" t="s">
        <v>878</v>
      </c>
    </row>
    <row r="120" spans="2:7" ht="14.45" customHeight="1" x14ac:dyDescent="0.2">
      <c r="B120" s="31" t="s">
        <v>427</v>
      </c>
      <c r="C120" s="42" t="s">
        <v>428</v>
      </c>
      <c r="D120" s="248" t="s">
        <v>728</v>
      </c>
      <c r="E120" s="249"/>
      <c r="F120" s="250">
        <v>1</v>
      </c>
      <c r="G120" s="251" t="s">
        <v>879</v>
      </c>
    </row>
    <row r="121" spans="2:7" ht="14.45" customHeight="1" x14ac:dyDescent="0.2">
      <c r="B121" s="31" t="s">
        <v>427</v>
      </c>
      <c r="C121" s="42" t="s">
        <v>428</v>
      </c>
      <c r="D121" s="248" t="s">
        <v>729</v>
      </c>
      <c r="E121" s="249"/>
      <c r="F121" s="250">
        <v>1</v>
      </c>
      <c r="G121" s="251" t="s">
        <v>880</v>
      </c>
    </row>
    <row r="122" spans="2:7" ht="14.45" customHeight="1" x14ac:dyDescent="0.2">
      <c r="B122" s="31" t="s">
        <v>427</v>
      </c>
      <c r="C122" s="42" t="s">
        <v>428</v>
      </c>
      <c r="D122" s="248" t="s">
        <v>730</v>
      </c>
      <c r="E122" s="249"/>
      <c r="F122" s="250">
        <v>1</v>
      </c>
      <c r="G122" s="251" t="s">
        <v>881</v>
      </c>
    </row>
    <row r="123" spans="2:7" ht="14.45" customHeight="1" x14ac:dyDescent="0.2">
      <c r="B123" s="31" t="s">
        <v>427</v>
      </c>
      <c r="C123" s="42" t="s">
        <v>428</v>
      </c>
      <c r="D123" s="248" t="s">
        <v>731</v>
      </c>
      <c r="E123" s="249"/>
      <c r="F123" s="250">
        <v>1</v>
      </c>
      <c r="G123" s="251" t="s">
        <v>882</v>
      </c>
    </row>
    <row r="124" spans="2:7" ht="14.45" customHeight="1" x14ac:dyDescent="0.2">
      <c r="B124" s="31" t="s">
        <v>427</v>
      </c>
      <c r="C124" s="42" t="s">
        <v>428</v>
      </c>
      <c r="D124" s="248" t="s">
        <v>732</v>
      </c>
      <c r="E124" s="249"/>
      <c r="F124" s="250">
        <v>1</v>
      </c>
      <c r="G124" s="251" t="s">
        <v>883</v>
      </c>
    </row>
    <row r="125" spans="2:7" ht="14.45" customHeight="1" x14ac:dyDescent="0.2">
      <c r="B125" s="31" t="s">
        <v>427</v>
      </c>
      <c r="C125" s="42" t="s">
        <v>428</v>
      </c>
      <c r="D125" s="248" t="s">
        <v>733</v>
      </c>
      <c r="E125" s="249"/>
      <c r="F125" s="250">
        <v>1</v>
      </c>
      <c r="G125" s="251" t="s">
        <v>884</v>
      </c>
    </row>
    <row r="126" spans="2:7" ht="14.45" customHeight="1" x14ac:dyDescent="0.2">
      <c r="B126" s="31" t="s">
        <v>427</v>
      </c>
      <c r="C126" s="54" t="s">
        <v>428</v>
      </c>
      <c r="D126" s="252" t="s">
        <v>734</v>
      </c>
      <c r="E126" s="253"/>
      <c r="F126" s="254">
        <v>1</v>
      </c>
      <c r="G126" s="255" t="s">
        <v>736</v>
      </c>
    </row>
    <row r="127" spans="2:7" ht="14.45" customHeight="1" x14ac:dyDescent="0.2">
      <c r="B127" s="31" t="s">
        <v>427</v>
      </c>
      <c r="C127" s="256" t="s">
        <v>1435</v>
      </c>
      <c r="D127" s="257" t="s">
        <v>17</v>
      </c>
      <c r="E127" s="258"/>
      <c r="F127" s="259">
        <v>1</v>
      </c>
      <c r="G127" s="260" t="s">
        <v>885</v>
      </c>
    </row>
    <row r="128" spans="2:7" ht="14.45" customHeight="1" x14ac:dyDescent="0.2">
      <c r="B128" s="31" t="s">
        <v>427</v>
      </c>
      <c r="C128" s="42" t="s">
        <v>1435</v>
      </c>
      <c r="D128" s="248" t="s">
        <v>586</v>
      </c>
      <c r="E128" s="249"/>
      <c r="F128" s="250">
        <v>1</v>
      </c>
      <c r="G128" s="251" t="s">
        <v>737</v>
      </c>
    </row>
    <row r="129" spans="2:7" ht="14.45" customHeight="1" thickBot="1" x14ac:dyDescent="0.25">
      <c r="B129" s="31" t="s">
        <v>427</v>
      </c>
      <c r="C129" s="42" t="s">
        <v>1435</v>
      </c>
      <c r="D129" s="252" t="s">
        <v>587</v>
      </c>
      <c r="E129" s="253"/>
      <c r="F129" s="254">
        <v>1</v>
      </c>
      <c r="G129" s="255" t="s">
        <v>886</v>
      </c>
    </row>
    <row r="130" spans="2:7" ht="14.45" customHeight="1" x14ac:dyDescent="0.2">
      <c r="B130" s="242" t="s">
        <v>423</v>
      </c>
      <c r="C130" s="243" t="s">
        <v>424</v>
      </c>
      <c r="D130" s="244" t="s">
        <v>18</v>
      </c>
      <c r="E130" s="245"/>
      <c r="F130" s="246">
        <v>1</v>
      </c>
      <c r="G130" s="247" t="s">
        <v>362</v>
      </c>
    </row>
    <row r="131" spans="2:7" ht="14.45" customHeight="1" x14ac:dyDescent="0.2">
      <c r="B131" s="31" t="s">
        <v>423</v>
      </c>
      <c r="C131" s="54" t="s">
        <v>424</v>
      </c>
      <c r="D131" s="261" t="s">
        <v>363</v>
      </c>
      <c r="E131" s="262"/>
      <c r="F131" s="263">
        <v>1</v>
      </c>
      <c r="G131" s="264" t="s">
        <v>364</v>
      </c>
    </row>
    <row r="132" spans="2:7" ht="14.45" customHeight="1" x14ac:dyDescent="0.2">
      <c r="B132" s="204" t="s">
        <v>423</v>
      </c>
      <c r="C132" s="265" t="s">
        <v>1436</v>
      </c>
      <c r="D132" s="275" t="s">
        <v>20</v>
      </c>
      <c r="E132" s="276"/>
      <c r="F132" s="277">
        <v>1</v>
      </c>
      <c r="G132" s="278" t="s">
        <v>365</v>
      </c>
    </row>
    <row r="133" spans="2:7" ht="14.45" customHeight="1" thickBot="1" x14ac:dyDescent="0.25">
      <c r="B133" s="225" t="s">
        <v>423</v>
      </c>
      <c r="C133" s="279" t="s">
        <v>458</v>
      </c>
      <c r="D133" s="280" t="s">
        <v>19</v>
      </c>
      <c r="E133" s="281"/>
      <c r="F133" s="282">
        <v>1</v>
      </c>
      <c r="G133" s="283" t="s">
        <v>366</v>
      </c>
    </row>
    <row r="134" spans="2:7" ht="14.45" customHeight="1" x14ac:dyDescent="0.2">
      <c r="B134" s="242" t="s">
        <v>414</v>
      </c>
      <c r="C134" s="243" t="s">
        <v>1484</v>
      </c>
      <c r="D134" s="244" t="s">
        <v>367</v>
      </c>
      <c r="E134" s="245"/>
      <c r="F134" s="246">
        <v>1</v>
      </c>
      <c r="G134" s="247" t="s">
        <v>369</v>
      </c>
    </row>
    <row r="135" spans="2:7" ht="14.45" customHeight="1" x14ac:dyDescent="0.2">
      <c r="B135" s="31" t="s">
        <v>414</v>
      </c>
      <c r="C135" s="42" t="s">
        <v>1484</v>
      </c>
      <c r="D135" s="248" t="s">
        <v>374</v>
      </c>
      <c r="E135" s="249"/>
      <c r="F135" s="250">
        <v>1</v>
      </c>
      <c r="G135" s="251" t="s">
        <v>376</v>
      </c>
    </row>
    <row r="136" spans="2:7" ht="14.45" customHeight="1" x14ac:dyDescent="0.2">
      <c r="B136" s="31" t="s">
        <v>414</v>
      </c>
      <c r="C136" s="42" t="s">
        <v>1484</v>
      </c>
      <c r="D136" s="248" t="s">
        <v>370</v>
      </c>
      <c r="E136" s="249"/>
      <c r="F136" s="250">
        <v>1</v>
      </c>
      <c r="G136" s="251" t="s">
        <v>371</v>
      </c>
    </row>
    <row r="137" spans="2:7" ht="14.45" customHeight="1" x14ac:dyDescent="0.2">
      <c r="B137" s="31" t="s">
        <v>414</v>
      </c>
      <c r="C137" s="42" t="s">
        <v>1484</v>
      </c>
      <c r="D137" s="248" t="s">
        <v>368</v>
      </c>
      <c r="E137" s="249"/>
      <c r="F137" s="250">
        <v>1</v>
      </c>
      <c r="G137" s="251" t="s">
        <v>377</v>
      </c>
    </row>
    <row r="138" spans="2:7" ht="14.45" customHeight="1" x14ac:dyDescent="0.2">
      <c r="B138" s="31" t="s">
        <v>414</v>
      </c>
      <c r="C138" s="42" t="s">
        <v>1484</v>
      </c>
      <c r="D138" s="252" t="s">
        <v>375</v>
      </c>
      <c r="E138" s="253"/>
      <c r="F138" s="254">
        <v>1</v>
      </c>
      <c r="G138" s="255" t="s">
        <v>378</v>
      </c>
    </row>
    <row r="139" spans="2:7" ht="14.45" customHeight="1" x14ac:dyDescent="0.2">
      <c r="B139" s="204" t="s">
        <v>414</v>
      </c>
      <c r="C139" s="256" t="s">
        <v>418</v>
      </c>
      <c r="D139" s="257" t="s">
        <v>232</v>
      </c>
      <c r="E139" s="258"/>
      <c r="F139" s="259">
        <v>1</v>
      </c>
      <c r="G139" s="260" t="s">
        <v>379</v>
      </c>
    </row>
    <row r="140" spans="2:7" ht="14.45" customHeight="1" x14ac:dyDescent="0.2">
      <c r="B140" s="204" t="s">
        <v>414</v>
      </c>
      <c r="C140" s="42" t="s">
        <v>418</v>
      </c>
      <c r="D140" s="248" t="s">
        <v>162</v>
      </c>
      <c r="E140" s="249" t="s">
        <v>1348</v>
      </c>
      <c r="F140" s="250">
        <v>1</v>
      </c>
      <c r="G140" s="251" t="s">
        <v>631</v>
      </c>
    </row>
    <row r="141" spans="2:7" ht="14.45" customHeight="1" x14ac:dyDescent="0.2">
      <c r="B141" s="204" t="s">
        <v>414</v>
      </c>
      <c r="C141" s="42" t="s">
        <v>418</v>
      </c>
      <c r="D141" s="248" t="s">
        <v>382</v>
      </c>
      <c r="E141" s="249"/>
      <c r="F141" s="250">
        <v>1</v>
      </c>
      <c r="G141" s="251" t="s">
        <v>383</v>
      </c>
    </row>
    <row r="142" spans="2:7" ht="14.45" customHeight="1" x14ac:dyDescent="0.2">
      <c r="B142" s="204" t="s">
        <v>414</v>
      </c>
      <c r="C142" s="42" t="s">
        <v>418</v>
      </c>
      <c r="D142" s="252" t="s">
        <v>381</v>
      </c>
      <c r="E142" s="253"/>
      <c r="F142" s="254">
        <v>1</v>
      </c>
      <c r="G142" s="255" t="s">
        <v>380</v>
      </c>
    </row>
    <row r="143" spans="2:7" ht="14.45" customHeight="1" x14ac:dyDescent="0.2">
      <c r="B143" s="204" t="s">
        <v>414</v>
      </c>
      <c r="C143" s="256" t="s">
        <v>432</v>
      </c>
      <c r="D143" s="257" t="s">
        <v>163</v>
      </c>
      <c r="E143" s="258"/>
      <c r="F143" s="259">
        <v>1</v>
      </c>
      <c r="G143" s="260" t="s">
        <v>384</v>
      </c>
    </row>
    <row r="144" spans="2:7" ht="14.45" customHeight="1" x14ac:dyDescent="0.2">
      <c r="B144" s="204" t="s">
        <v>414</v>
      </c>
      <c r="C144" s="42" t="s">
        <v>432</v>
      </c>
      <c r="D144" s="248" t="s">
        <v>386</v>
      </c>
      <c r="E144" s="249"/>
      <c r="F144" s="250">
        <v>1</v>
      </c>
      <c r="G144" s="251" t="s">
        <v>387</v>
      </c>
    </row>
    <row r="145" spans="2:7" ht="14.45" customHeight="1" x14ac:dyDescent="0.2">
      <c r="B145" s="204" t="s">
        <v>414</v>
      </c>
      <c r="C145" s="54" t="s">
        <v>432</v>
      </c>
      <c r="D145" s="252" t="s">
        <v>385</v>
      </c>
      <c r="E145" s="253"/>
      <c r="F145" s="254">
        <v>1</v>
      </c>
      <c r="G145" s="255" t="s">
        <v>388</v>
      </c>
    </row>
    <row r="146" spans="2:7" ht="14.45" customHeight="1" x14ac:dyDescent="0.2">
      <c r="B146" s="204" t="s">
        <v>414</v>
      </c>
      <c r="C146" s="256" t="s">
        <v>1437</v>
      </c>
      <c r="D146" s="257" t="s">
        <v>164</v>
      </c>
      <c r="E146" s="258"/>
      <c r="F146" s="259">
        <v>1</v>
      </c>
      <c r="G146" s="260" t="s">
        <v>389</v>
      </c>
    </row>
    <row r="147" spans="2:7" ht="14.45" customHeight="1" x14ac:dyDescent="0.2">
      <c r="B147" s="204" t="s">
        <v>414</v>
      </c>
      <c r="C147" s="42" t="s">
        <v>1437</v>
      </c>
      <c r="D147" s="248" t="s">
        <v>390</v>
      </c>
      <c r="E147" s="249"/>
      <c r="F147" s="250">
        <v>1</v>
      </c>
      <c r="G147" s="251" t="s">
        <v>393</v>
      </c>
    </row>
    <row r="148" spans="2:7" ht="14.45" customHeight="1" thickBot="1" x14ac:dyDescent="0.25">
      <c r="B148" s="225" t="s">
        <v>414</v>
      </c>
      <c r="C148" s="75" t="s">
        <v>1437</v>
      </c>
      <c r="D148" s="270" t="s">
        <v>392</v>
      </c>
      <c r="E148" s="271"/>
      <c r="F148" s="272">
        <v>1</v>
      </c>
      <c r="G148" s="273" t="s">
        <v>391</v>
      </c>
    </row>
    <row r="149" spans="2:7" ht="14.45" customHeight="1" x14ac:dyDescent="0.2">
      <c r="B149" s="242" t="s">
        <v>421</v>
      </c>
      <c r="C149" s="274" t="s">
        <v>1438</v>
      </c>
      <c r="D149" s="266" t="s">
        <v>165</v>
      </c>
      <c r="E149" s="267"/>
      <c r="F149" s="268">
        <v>1</v>
      </c>
      <c r="G149" s="269" t="s">
        <v>517</v>
      </c>
    </row>
    <row r="150" spans="2:7" ht="14.45" customHeight="1" x14ac:dyDescent="0.2">
      <c r="B150" s="31" t="s">
        <v>421</v>
      </c>
      <c r="C150" s="256" t="s">
        <v>1439</v>
      </c>
      <c r="D150" s="257" t="s">
        <v>166</v>
      </c>
      <c r="E150" s="258"/>
      <c r="F150" s="259">
        <v>1</v>
      </c>
      <c r="G150" s="260" t="s">
        <v>529</v>
      </c>
    </row>
    <row r="151" spans="2:7" ht="14.45" customHeight="1" x14ac:dyDescent="0.2">
      <c r="B151" s="31" t="s">
        <v>421</v>
      </c>
      <c r="C151" s="54" t="s">
        <v>1439</v>
      </c>
      <c r="D151" s="252" t="s">
        <v>233</v>
      </c>
      <c r="E151" s="253"/>
      <c r="F151" s="254">
        <v>1</v>
      </c>
      <c r="G151" s="255" t="s">
        <v>530</v>
      </c>
    </row>
    <row r="152" spans="2:7" ht="14.45" customHeight="1" x14ac:dyDescent="0.2">
      <c r="B152" s="31" t="s">
        <v>421</v>
      </c>
      <c r="C152" s="256" t="s">
        <v>429</v>
      </c>
      <c r="D152" s="257" t="s">
        <v>234</v>
      </c>
      <c r="E152" s="258"/>
      <c r="F152" s="259">
        <v>1</v>
      </c>
      <c r="G152" s="260" t="s">
        <v>531</v>
      </c>
    </row>
    <row r="153" spans="2:7" ht="14.45" customHeight="1" x14ac:dyDescent="0.2">
      <c r="B153" s="31" t="s">
        <v>421</v>
      </c>
      <c r="C153" s="42" t="s">
        <v>429</v>
      </c>
      <c r="D153" s="248" t="s">
        <v>167</v>
      </c>
      <c r="E153" s="249"/>
      <c r="F153" s="250">
        <v>1</v>
      </c>
      <c r="G153" s="251" t="s">
        <v>532</v>
      </c>
    </row>
    <row r="154" spans="2:7" ht="14.45" customHeight="1" x14ac:dyDescent="0.2">
      <c r="B154" s="31" t="s">
        <v>421</v>
      </c>
      <c r="C154" s="54" t="s">
        <v>429</v>
      </c>
      <c r="D154" s="252" t="s">
        <v>395</v>
      </c>
      <c r="E154" s="253"/>
      <c r="F154" s="254">
        <v>1</v>
      </c>
      <c r="G154" s="255" t="s">
        <v>533</v>
      </c>
    </row>
    <row r="155" spans="2:7" ht="14.45" customHeight="1" x14ac:dyDescent="0.2">
      <c r="B155" s="31" t="s">
        <v>421</v>
      </c>
      <c r="C155" s="256" t="s">
        <v>1485</v>
      </c>
      <c r="D155" s="257" t="s">
        <v>44</v>
      </c>
      <c r="E155" s="258"/>
      <c r="F155" s="259">
        <v>1</v>
      </c>
      <c r="G155" s="260" t="s">
        <v>534</v>
      </c>
    </row>
    <row r="156" spans="2:7" ht="14.45" customHeight="1" x14ac:dyDescent="0.2">
      <c r="B156" s="31" t="s">
        <v>421</v>
      </c>
      <c r="C156" s="42" t="s">
        <v>1485</v>
      </c>
      <c r="D156" s="248" t="s">
        <v>45</v>
      </c>
      <c r="E156" s="249"/>
      <c r="F156" s="250">
        <v>1</v>
      </c>
      <c r="G156" s="251" t="s">
        <v>535</v>
      </c>
    </row>
    <row r="157" spans="2:7" ht="14.45" customHeight="1" thickBot="1" x14ac:dyDescent="0.25">
      <c r="B157" s="74" t="s">
        <v>421</v>
      </c>
      <c r="C157" s="75" t="s">
        <v>1485</v>
      </c>
      <c r="D157" s="252" t="s">
        <v>528</v>
      </c>
      <c r="E157" s="253"/>
      <c r="F157" s="254">
        <v>1</v>
      </c>
      <c r="G157" s="255" t="s">
        <v>536</v>
      </c>
    </row>
    <row r="158" spans="2:7" ht="14.45" customHeight="1" x14ac:dyDescent="0.2">
      <c r="B158" s="242" t="s">
        <v>1599</v>
      </c>
      <c r="C158" s="243" t="s">
        <v>439</v>
      </c>
      <c r="D158" s="244" t="s">
        <v>46</v>
      </c>
      <c r="E158" s="245"/>
      <c r="F158" s="246">
        <v>1</v>
      </c>
      <c r="G158" s="247" t="s">
        <v>622</v>
      </c>
    </row>
    <row r="159" spans="2:7" ht="14.45" customHeight="1" x14ac:dyDescent="0.2">
      <c r="B159" s="31" t="s">
        <v>1598</v>
      </c>
      <c r="C159" s="42" t="s">
        <v>439</v>
      </c>
      <c r="D159" s="248" t="s">
        <v>47</v>
      </c>
      <c r="E159" s="249"/>
      <c r="F159" s="250">
        <v>1</v>
      </c>
      <c r="G159" s="251" t="s">
        <v>623</v>
      </c>
    </row>
    <row r="160" spans="2:7" ht="14.45" customHeight="1" x14ac:dyDescent="0.2">
      <c r="B160" s="31" t="s">
        <v>1598</v>
      </c>
      <c r="C160" s="42" t="s">
        <v>439</v>
      </c>
      <c r="D160" s="248" t="s">
        <v>48</v>
      </c>
      <c r="E160" s="249"/>
      <c r="F160" s="250">
        <v>1</v>
      </c>
      <c r="G160" s="251" t="s">
        <v>624</v>
      </c>
    </row>
    <row r="161" spans="2:7" ht="14.45" customHeight="1" x14ac:dyDescent="0.2">
      <c r="B161" s="31" t="s">
        <v>1598</v>
      </c>
      <c r="C161" s="42" t="s">
        <v>439</v>
      </c>
      <c r="D161" s="248" t="s">
        <v>231</v>
      </c>
      <c r="E161" s="249"/>
      <c r="F161" s="250">
        <v>1</v>
      </c>
      <c r="G161" s="251" t="s">
        <v>738</v>
      </c>
    </row>
    <row r="162" spans="2:7" ht="14.45" customHeight="1" x14ac:dyDescent="0.2">
      <c r="B162" s="31" t="s">
        <v>1598</v>
      </c>
      <c r="C162" s="42" t="s">
        <v>439</v>
      </c>
      <c r="D162" s="248" t="s">
        <v>169</v>
      </c>
      <c r="E162" s="249"/>
      <c r="F162" s="250">
        <v>1</v>
      </c>
      <c r="G162" s="251" t="s">
        <v>739</v>
      </c>
    </row>
    <row r="163" spans="2:7" ht="14.45" customHeight="1" x14ac:dyDescent="0.2">
      <c r="B163" s="31" t="s">
        <v>1598</v>
      </c>
      <c r="C163" s="54" t="s">
        <v>439</v>
      </c>
      <c r="D163" s="252" t="s">
        <v>46</v>
      </c>
      <c r="E163" s="253"/>
      <c r="F163" s="254">
        <v>1</v>
      </c>
      <c r="G163" s="255" t="s">
        <v>740</v>
      </c>
    </row>
    <row r="164" spans="2:7" ht="14.45" customHeight="1" x14ac:dyDescent="0.2">
      <c r="B164" s="31" t="s">
        <v>1598</v>
      </c>
      <c r="C164" s="256" t="s">
        <v>1440</v>
      </c>
      <c r="D164" s="257" t="s">
        <v>49</v>
      </c>
      <c r="E164" s="258"/>
      <c r="F164" s="259">
        <v>1</v>
      </c>
      <c r="G164" s="260" t="s">
        <v>741</v>
      </c>
    </row>
    <row r="165" spans="2:7" ht="14.45" customHeight="1" x14ac:dyDescent="0.2">
      <c r="B165" s="31" t="s">
        <v>1598</v>
      </c>
      <c r="C165" s="42" t="s">
        <v>1440</v>
      </c>
      <c r="D165" s="248" t="s">
        <v>1305</v>
      </c>
      <c r="E165" s="249"/>
      <c r="F165" s="250">
        <v>1</v>
      </c>
      <c r="G165" s="251" t="s">
        <v>887</v>
      </c>
    </row>
    <row r="166" spans="2:7" ht="14.45" customHeight="1" x14ac:dyDescent="0.2">
      <c r="B166" s="31" t="s">
        <v>1598</v>
      </c>
      <c r="C166" s="42" t="s">
        <v>1440</v>
      </c>
      <c r="D166" s="248" t="s">
        <v>611</v>
      </c>
      <c r="E166" s="249"/>
      <c r="F166" s="250">
        <v>1</v>
      </c>
      <c r="G166" s="251" t="s">
        <v>742</v>
      </c>
    </row>
    <row r="167" spans="2:7" ht="14.45" customHeight="1" x14ac:dyDescent="0.2">
      <c r="B167" s="31" t="s">
        <v>1598</v>
      </c>
      <c r="C167" s="54" t="s">
        <v>1440</v>
      </c>
      <c r="D167" s="252" t="s">
        <v>612</v>
      </c>
      <c r="E167" s="253"/>
      <c r="F167" s="254">
        <v>1</v>
      </c>
      <c r="G167" s="255" t="s">
        <v>921</v>
      </c>
    </row>
    <row r="168" spans="2:7" ht="14.45" customHeight="1" x14ac:dyDescent="0.2">
      <c r="B168" s="31" t="s">
        <v>1598</v>
      </c>
      <c r="C168" s="256" t="s">
        <v>1441</v>
      </c>
      <c r="D168" s="257" t="s">
        <v>169</v>
      </c>
      <c r="E168" s="258"/>
      <c r="F168" s="259">
        <v>1</v>
      </c>
      <c r="G168" s="260" t="s">
        <v>743</v>
      </c>
    </row>
    <row r="169" spans="2:7" ht="14.45" customHeight="1" x14ac:dyDescent="0.2">
      <c r="B169" s="31" t="s">
        <v>1598</v>
      </c>
      <c r="C169" s="42" t="s">
        <v>1441</v>
      </c>
      <c r="D169" s="248" t="s">
        <v>613</v>
      </c>
      <c r="E169" s="249"/>
      <c r="F169" s="250">
        <v>1</v>
      </c>
      <c r="G169" s="251" t="s">
        <v>744</v>
      </c>
    </row>
    <row r="170" spans="2:7" ht="14.45" customHeight="1" x14ac:dyDescent="0.2">
      <c r="B170" s="31" t="s">
        <v>1598</v>
      </c>
      <c r="C170" s="42" t="s">
        <v>1441</v>
      </c>
      <c r="D170" s="248" t="s">
        <v>614</v>
      </c>
      <c r="E170" s="249"/>
      <c r="F170" s="250">
        <v>1</v>
      </c>
      <c r="G170" s="251" t="s">
        <v>888</v>
      </c>
    </row>
    <row r="171" spans="2:7" ht="14.45" customHeight="1" x14ac:dyDescent="0.2">
      <c r="B171" s="31" t="s">
        <v>1598</v>
      </c>
      <c r="C171" s="42" t="s">
        <v>1441</v>
      </c>
      <c r="D171" s="248" t="s">
        <v>615</v>
      </c>
      <c r="E171" s="249"/>
      <c r="F171" s="250">
        <v>1</v>
      </c>
      <c r="G171" s="251" t="s">
        <v>889</v>
      </c>
    </row>
    <row r="172" spans="2:7" ht="14.45" customHeight="1" x14ac:dyDescent="0.2">
      <c r="B172" s="31" t="s">
        <v>1598</v>
      </c>
      <c r="C172" s="42" t="s">
        <v>1441</v>
      </c>
      <c r="D172" s="248" t="s">
        <v>616</v>
      </c>
      <c r="E172" s="249"/>
      <c r="F172" s="250">
        <v>1</v>
      </c>
      <c r="G172" s="251" t="s">
        <v>745</v>
      </c>
    </row>
    <row r="173" spans="2:7" ht="14.45" customHeight="1" x14ac:dyDescent="0.2">
      <c r="B173" s="31" t="s">
        <v>1598</v>
      </c>
      <c r="C173" s="42" t="s">
        <v>1441</v>
      </c>
      <c r="D173" s="248" t="s">
        <v>617</v>
      </c>
      <c r="E173" s="249"/>
      <c r="F173" s="250">
        <v>1</v>
      </c>
      <c r="G173" s="251" t="s">
        <v>746</v>
      </c>
    </row>
    <row r="174" spans="2:7" ht="14.45" customHeight="1" x14ac:dyDescent="0.2">
      <c r="B174" s="31" t="s">
        <v>1598</v>
      </c>
      <c r="C174" s="42" t="s">
        <v>1441</v>
      </c>
      <c r="D174" s="248" t="s">
        <v>618</v>
      </c>
      <c r="E174" s="249"/>
      <c r="F174" s="250">
        <v>1</v>
      </c>
      <c r="G174" s="251" t="s">
        <v>747</v>
      </c>
    </row>
    <row r="175" spans="2:7" ht="14.45" customHeight="1" x14ac:dyDescent="0.2">
      <c r="B175" s="31" t="s">
        <v>1598</v>
      </c>
      <c r="C175" s="54" t="s">
        <v>1441</v>
      </c>
      <c r="D175" s="252" t="s">
        <v>619</v>
      </c>
      <c r="E175" s="253"/>
      <c r="F175" s="254">
        <v>1</v>
      </c>
      <c r="G175" s="255" t="s">
        <v>748</v>
      </c>
    </row>
    <row r="176" spans="2:7" ht="14.45" customHeight="1" x14ac:dyDescent="0.2">
      <c r="B176" s="31" t="s">
        <v>1598</v>
      </c>
      <c r="C176" s="256" t="s">
        <v>1609</v>
      </c>
      <c r="D176" s="257" t="s">
        <v>620</v>
      </c>
      <c r="E176" s="258"/>
      <c r="F176" s="259">
        <v>1</v>
      </c>
      <c r="G176" s="260" t="s">
        <v>633</v>
      </c>
    </row>
    <row r="177" spans="2:7" ht="14.45" customHeight="1" thickBot="1" x14ac:dyDescent="0.25">
      <c r="B177" s="74" t="s">
        <v>1598</v>
      </c>
      <c r="C177" s="75" t="s">
        <v>1609</v>
      </c>
      <c r="D177" s="270" t="s">
        <v>621</v>
      </c>
      <c r="E177" s="271"/>
      <c r="F177" s="272">
        <v>1</v>
      </c>
      <c r="G177" s="273" t="s">
        <v>634</v>
      </c>
    </row>
    <row r="178" spans="2:7" ht="14.45" customHeight="1" x14ac:dyDescent="0.2">
      <c r="B178" s="284" t="s">
        <v>1601</v>
      </c>
      <c r="C178" s="285" t="s">
        <v>487</v>
      </c>
      <c r="D178" s="286" t="s">
        <v>154</v>
      </c>
      <c r="E178" s="287"/>
      <c r="F178" s="288">
        <v>2</v>
      </c>
      <c r="G178" s="289" t="s">
        <v>749</v>
      </c>
    </row>
    <row r="179" spans="2:7" ht="14.45" customHeight="1" x14ac:dyDescent="0.2">
      <c r="B179" s="31" t="s">
        <v>1600</v>
      </c>
      <c r="C179" s="42" t="s">
        <v>487</v>
      </c>
      <c r="D179" s="248" t="s">
        <v>750</v>
      </c>
      <c r="E179" s="249"/>
      <c r="F179" s="250">
        <v>2</v>
      </c>
      <c r="G179" s="251" t="s">
        <v>752</v>
      </c>
    </row>
    <row r="180" spans="2:7" ht="14.45" customHeight="1" x14ac:dyDescent="0.2">
      <c r="B180" s="31" t="s">
        <v>1600</v>
      </c>
      <c r="C180" s="42" t="s">
        <v>487</v>
      </c>
      <c r="D180" s="248" t="s">
        <v>751</v>
      </c>
      <c r="E180" s="249"/>
      <c r="F180" s="250">
        <v>2</v>
      </c>
      <c r="G180" s="251" t="s">
        <v>753</v>
      </c>
    </row>
    <row r="181" spans="2:7" ht="14.45" customHeight="1" x14ac:dyDescent="0.2">
      <c r="B181" s="31" t="s">
        <v>1600</v>
      </c>
      <c r="C181" s="54" t="s">
        <v>487</v>
      </c>
      <c r="D181" s="252" t="s">
        <v>524</v>
      </c>
      <c r="E181" s="253"/>
      <c r="F181" s="254">
        <v>2</v>
      </c>
      <c r="G181" s="255" t="s">
        <v>890</v>
      </c>
    </row>
    <row r="182" spans="2:7" ht="14.45" customHeight="1" x14ac:dyDescent="0.2">
      <c r="B182" s="31" t="s">
        <v>1600</v>
      </c>
      <c r="C182" s="256" t="s">
        <v>1443</v>
      </c>
      <c r="D182" s="257" t="s">
        <v>754</v>
      </c>
      <c r="E182" s="258"/>
      <c r="F182" s="259">
        <v>2</v>
      </c>
      <c r="G182" s="260" t="s">
        <v>756</v>
      </c>
    </row>
    <row r="183" spans="2:7" ht="14.45" customHeight="1" x14ac:dyDescent="0.2">
      <c r="B183" s="31" t="s">
        <v>1600</v>
      </c>
      <c r="C183" s="42" t="s">
        <v>1443</v>
      </c>
      <c r="D183" s="248" t="s">
        <v>755</v>
      </c>
      <c r="E183" s="249"/>
      <c r="F183" s="250">
        <v>2</v>
      </c>
      <c r="G183" s="251" t="s">
        <v>760</v>
      </c>
    </row>
    <row r="184" spans="2:7" ht="14.45" customHeight="1" x14ac:dyDescent="0.2">
      <c r="B184" s="31" t="s">
        <v>1600</v>
      </c>
      <c r="C184" s="42" t="s">
        <v>1443</v>
      </c>
      <c r="D184" s="248" t="s">
        <v>757</v>
      </c>
      <c r="E184" s="249"/>
      <c r="F184" s="250">
        <v>2</v>
      </c>
      <c r="G184" s="251" t="s">
        <v>761</v>
      </c>
    </row>
    <row r="185" spans="2:7" ht="14.45" customHeight="1" x14ac:dyDescent="0.2">
      <c r="B185" s="31" t="s">
        <v>1600</v>
      </c>
      <c r="C185" s="42" t="s">
        <v>1443</v>
      </c>
      <c r="D185" s="248" t="s">
        <v>758</v>
      </c>
      <c r="E185" s="249"/>
      <c r="F185" s="250">
        <v>2</v>
      </c>
      <c r="G185" s="251" t="s">
        <v>762</v>
      </c>
    </row>
    <row r="186" spans="2:7" ht="14.45" customHeight="1" x14ac:dyDescent="0.2">
      <c r="B186" s="31" t="s">
        <v>1600</v>
      </c>
      <c r="C186" s="42" t="s">
        <v>1443</v>
      </c>
      <c r="D186" s="248" t="s">
        <v>759</v>
      </c>
      <c r="E186" s="249"/>
      <c r="F186" s="250">
        <v>2</v>
      </c>
      <c r="G186" s="251" t="s">
        <v>763</v>
      </c>
    </row>
    <row r="187" spans="2:7" ht="14.45" customHeight="1" x14ac:dyDescent="0.2">
      <c r="B187" s="31" t="s">
        <v>1600</v>
      </c>
      <c r="C187" s="42" t="s">
        <v>1443</v>
      </c>
      <c r="D187" s="248" t="s">
        <v>765</v>
      </c>
      <c r="E187" s="249"/>
      <c r="F187" s="250">
        <v>2</v>
      </c>
      <c r="G187" s="251" t="s">
        <v>764</v>
      </c>
    </row>
    <row r="188" spans="2:7" ht="14.45" customHeight="1" x14ac:dyDescent="0.2">
      <c r="B188" s="31" t="s">
        <v>1600</v>
      </c>
      <c r="C188" s="42" t="s">
        <v>1443</v>
      </c>
      <c r="D188" s="248" t="s">
        <v>766</v>
      </c>
      <c r="E188" s="249"/>
      <c r="F188" s="250">
        <v>2</v>
      </c>
      <c r="G188" s="251" t="s">
        <v>768</v>
      </c>
    </row>
    <row r="189" spans="2:7" ht="14.45" customHeight="1" x14ac:dyDescent="0.2">
      <c r="B189" s="31" t="s">
        <v>1600</v>
      </c>
      <c r="C189" s="54" t="s">
        <v>1443</v>
      </c>
      <c r="D189" s="252" t="s">
        <v>767</v>
      </c>
      <c r="E189" s="253"/>
      <c r="F189" s="254">
        <v>2</v>
      </c>
      <c r="G189" s="255" t="s">
        <v>769</v>
      </c>
    </row>
    <row r="190" spans="2:7" ht="14.45" customHeight="1" x14ac:dyDescent="0.2">
      <c r="B190" s="31" t="s">
        <v>1600</v>
      </c>
      <c r="C190" s="256" t="s">
        <v>1444</v>
      </c>
      <c r="D190" s="257" t="s">
        <v>52</v>
      </c>
      <c r="E190" s="258"/>
      <c r="F190" s="259">
        <v>2</v>
      </c>
      <c r="G190" s="260" t="s">
        <v>772</v>
      </c>
    </row>
    <row r="191" spans="2:7" ht="14.45" customHeight="1" x14ac:dyDescent="0.2">
      <c r="B191" s="31" t="s">
        <v>1600</v>
      </c>
      <c r="C191" s="42" t="s">
        <v>1444</v>
      </c>
      <c r="D191" s="248" t="s">
        <v>50</v>
      </c>
      <c r="E191" s="249"/>
      <c r="F191" s="250">
        <v>2</v>
      </c>
      <c r="G191" s="251" t="s">
        <v>773</v>
      </c>
    </row>
    <row r="192" spans="2:7" ht="14.45" customHeight="1" x14ac:dyDescent="0.2">
      <c r="B192" s="31" t="s">
        <v>1600</v>
      </c>
      <c r="C192" s="42" t="s">
        <v>1444</v>
      </c>
      <c r="D192" s="248" t="s">
        <v>770</v>
      </c>
      <c r="E192" s="249"/>
      <c r="F192" s="250">
        <v>2</v>
      </c>
      <c r="G192" s="251" t="s">
        <v>774</v>
      </c>
    </row>
    <row r="193" spans="2:7" ht="14.45" customHeight="1" x14ac:dyDescent="0.2">
      <c r="B193" s="31" t="s">
        <v>1600</v>
      </c>
      <c r="C193" s="42" t="s">
        <v>1444</v>
      </c>
      <c r="D193" s="248" t="s">
        <v>771</v>
      </c>
      <c r="E193" s="249"/>
      <c r="F193" s="250">
        <v>2</v>
      </c>
      <c r="G193" s="251" t="s">
        <v>775</v>
      </c>
    </row>
    <row r="194" spans="2:7" ht="14.45" customHeight="1" x14ac:dyDescent="0.2">
      <c r="B194" s="31" t="s">
        <v>1600</v>
      </c>
      <c r="C194" s="42" t="s">
        <v>1444</v>
      </c>
      <c r="D194" s="248" t="s">
        <v>51</v>
      </c>
      <c r="E194" s="249"/>
      <c r="F194" s="250">
        <v>2</v>
      </c>
      <c r="G194" s="251" t="s">
        <v>776</v>
      </c>
    </row>
    <row r="195" spans="2:7" ht="14.45" customHeight="1" x14ac:dyDescent="0.2">
      <c r="B195" s="31" t="s">
        <v>1600</v>
      </c>
      <c r="C195" s="42" t="s">
        <v>1444</v>
      </c>
      <c r="D195" s="248" t="s">
        <v>521</v>
      </c>
      <c r="E195" s="249"/>
      <c r="F195" s="250">
        <v>2</v>
      </c>
      <c r="G195" s="251" t="s">
        <v>777</v>
      </c>
    </row>
    <row r="196" spans="2:7" ht="14.45" customHeight="1" x14ac:dyDescent="0.2">
      <c r="B196" s="31" t="s">
        <v>1600</v>
      </c>
      <c r="C196" s="54" t="s">
        <v>1444</v>
      </c>
      <c r="D196" s="252" t="s">
        <v>522</v>
      </c>
      <c r="E196" s="253"/>
      <c r="F196" s="254">
        <v>2</v>
      </c>
      <c r="G196" s="255" t="s">
        <v>778</v>
      </c>
    </row>
    <row r="197" spans="2:7" ht="14.45" customHeight="1" x14ac:dyDescent="0.2">
      <c r="B197" s="31" t="s">
        <v>1600</v>
      </c>
      <c r="C197" s="256" t="s">
        <v>1486</v>
      </c>
      <c r="D197" s="257" t="s">
        <v>523</v>
      </c>
      <c r="E197" s="258"/>
      <c r="F197" s="259">
        <v>2</v>
      </c>
      <c r="G197" s="260" t="s">
        <v>779</v>
      </c>
    </row>
    <row r="198" spans="2:7" ht="14.45" customHeight="1" x14ac:dyDescent="0.2">
      <c r="B198" s="31" t="s">
        <v>1600</v>
      </c>
      <c r="C198" s="42" t="s">
        <v>1486</v>
      </c>
      <c r="D198" s="248" t="s">
        <v>53</v>
      </c>
      <c r="E198" s="249"/>
      <c r="F198" s="250">
        <v>2</v>
      </c>
      <c r="G198" s="251" t="s">
        <v>780</v>
      </c>
    </row>
    <row r="199" spans="2:7" ht="14.45" customHeight="1" x14ac:dyDescent="0.2">
      <c r="B199" s="31" t="s">
        <v>1600</v>
      </c>
      <c r="C199" s="42" t="s">
        <v>1486</v>
      </c>
      <c r="D199" s="248" t="s">
        <v>54</v>
      </c>
      <c r="E199" s="249"/>
      <c r="F199" s="250">
        <v>2</v>
      </c>
      <c r="G199" s="251" t="s">
        <v>781</v>
      </c>
    </row>
    <row r="200" spans="2:7" ht="14.45" customHeight="1" x14ac:dyDescent="0.2">
      <c r="B200" s="31" t="s">
        <v>1600</v>
      </c>
      <c r="C200" s="54" t="s">
        <v>1486</v>
      </c>
      <c r="D200" s="252" t="s">
        <v>55</v>
      </c>
      <c r="E200" s="253"/>
      <c r="F200" s="254">
        <v>2</v>
      </c>
      <c r="G200" s="255" t="s">
        <v>782</v>
      </c>
    </row>
    <row r="201" spans="2:7" ht="14.45" customHeight="1" x14ac:dyDescent="0.2">
      <c r="B201" s="31" t="s">
        <v>1600</v>
      </c>
      <c r="C201" s="256" t="s">
        <v>1445</v>
      </c>
      <c r="D201" s="257" t="s">
        <v>174</v>
      </c>
      <c r="E201" s="258"/>
      <c r="F201" s="259">
        <v>2</v>
      </c>
      <c r="G201" s="260" t="s">
        <v>783</v>
      </c>
    </row>
    <row r="202" spans="2:7" ht="14.45" customHeight="1" x14ac:dyDescent="0.2">
      <c r="B202" s="31" t="s">
        <v>1600</v>
      </c>
      <c r="C202" s="42" t="s">
        <v>1445</v>
      </c>
      <c r="D202" s="248" t="s">
        <v>56</v>
      </c>
      <c r="E202" s="249"/>
      <c r="F202" s="250">
        <v>2</v>
      </c>
      <c r="G202" s="251" t="s">
        <v>784</v>
      </c>
    </row>
    <row r="203" spans="2:7" ht="14.45" customHeight="1" x14ac:dyDescent="0.2">
      <c r="B203" s="31" t="s">
        <v>1600</v>
      </c>
      <c r="C203" s="54" t="s">
        <v>1445</v>
      </c>
      <c r="D203" s="261" t="s">
        <v>525</v>
      </c>
      <c r="E203" s="262"/>
      <c r="F203" s="263">
        <v>2</v>
      </c>
      <c r="G203" s="264" t="s">
        <v>785</v>
      </c>
    </row>
    <row r="204" spans="2:7" ht="14.45" customHeight="1" x14ac:dyDescent="0.2">
      <c r="B204" s="31" t="s">
        <v>1600</v>
      </c>
      <c r="C204" s="265" t="s">
        <v>500</v>
      </c>
      <c r="D204" s="266" t="s">
        <v>175</v>
      </c>
      <c r="E204" s="267"/>
      <c r="F204" s="268">
        <v>2</v>
      </c>
      <c r="G204" s="269" t="s">
        <v>632</v>
      </c>
    </row>
    <row r="205" spans="2:7" ht="14.45" customHeight="1" x14ac:dyDescent="0.2">
      <c r="B205" s="31" t="s">
        <v>1600</v>
      </c>
      <c r="C205" s="256" t="s">
        <v>1487</v>
      </c>
      <c r="D205" s="257" t="s">
        <v>20</v>
      </c>
      <c r="E205" s="258"/>
      <c r="F205" s="259">
        <v>2</v>
      </c>
      <c r="G205" s="260" t="s">
        <v>786</v>
      </c>
    </row>
    <row r="206" spans="2:7" ht="14.45" customHeight="1" x14ac:dyDescent="0.2">
      <c r="B206" s="31" t="s">
        <v>1600</v>
      </c>
      <c r="C206" s="42" t="s">
        <v>1487</v>
      </c>
      <c r="D206" s="248" t="s">
        <v>19</v>
      </c>
      <c r="E206" s="249"/>
      <c r="F206" s="250">
        <v>2</v>
      </c>
      <c r="G206" s="251" t="s">
        <v>787</v>
      </c>
    </row>
    <row r="207" spans="2:7" ht="14.45" customHeight="1" x14ac:dyDescent="0.2">
      <c r="B207" s="31" t="s">
        <v>1600</v>
      </c>
      <c r="C207" s="42" t="s">
        <v>1487</v>
      </c>
      <c r="D207" s="248" t="s">
        <v>526</v>
      </c>
      <c r="E207" s="249"/>
      <c r="F207" s="250">
        <v>2</v>
      </c>
      <c r="G207" s="251" t="s">
        <v>788</v>
      </c>
    </row>
    <row r="208" spans="2:7" ht="14.45" customHeight="1" thickBot="1" x14ac:dyDescent="0.25">
      <c r="B208" s="74" t="s">
        <v>1600</v>
      </c>
      <c r="C208" s="75" t="s">
        <v>1487</v>
      </c>
      <c r="D208" s="252" t="s">
        <v>527</v>
      </c>
      <c r="E208" s="253"/>
      <c r="F208" s="254">
        <v>2</v>
      </c>
      <c r="G208" s="255" t="s">
        <v>891</v>
      </c>
    </row>
    <row r="209" spans="2:7" ht="14.45" customHeight="1" x14ac:dyDescent="0.2">
      <c r="B209" s="242" t="s">
        <v>1602</v>
      </c>
      <c r="C209" s="243" t="s">
        <v>502</v>
      </c>
      <c r="D209" s="244" t="s">
        <v>155</v>
      </c>
      <c r="E209" s="245"/>
      <c r="F209" s="246">
        <v>2</v>
      </c>
      <c r="G209" s="247" t="s">
        <v>558</v>
      </c>
    </row>
    <row r="210" spans="2:7" ht="14.45" customHeight="1" x14ac:dyDescent="0.2">
      <c r="B210" s="31" t="s">
        <v>477</v>
      </c>
      <c r="C210" s="42" t="s">
        <v>502</v>
      </c>
      <c r="D210" s="248" t="s">
        <v>176</v>
      </c>
      <c r="E210" s="249"/>
      <c r="F210" s="250">
        <v>2</v>
      </c>
      <c r="G210" s="251" t="s">
        <v>557</v>
      </c>
    </row>
    <row r="211" spans="2:7" ht="14.45" customHeight="1" x14ac:dyDescent="0.2">
      <c r="B211" s="31" t="s">
        <v>477</v>
      </c>
      <c r="C211" s="42" t="s">
        <v>502</v>
      </c>
      <c r="D211" s="248" t="s">
        <v>555</v>
      </c>
      <c r="E211" s="249"/>
      <c r="F211" s="250">
        <v>2</v>
      </c>
      <c r="G211" s="251" t="s">
        <v>559</v>
      </c>
    </row>
    <row r="212" spans="2:7" ht="14.45" customHeight="1" x14ac:dyDescent="0.2">
      <c r="B212" s="31" t="s">
        <v>477</v>
      </c>
      <c r="C212" s="54" t="s">
        <v>502</v>
      </c>
      <c r="D212" s="261" t="s">
        <v>556</v>
      </c>
      <c r="E212" s="262"/>
      <c r="F212" s="263">
        <v>2</v>
      </c>
      <c r="G212" s="264" t="s">
        <v>560</v>
      </c>
    </row>
    <row r="213" spans="2:7" ht="14.45" customHeight="1" x14ac:dyDescent="0.2">
      <c r="B213" s="31" t="s">
        <v>477</v>
      </c>
      <c r="C213" s="265" t="s">
        <v>1446</v>
      </c>
      <c r="D213" s="266" t="s">
        <v>177</v>
      </c>
      <c r="E213" s="267"/>
      <c r="F213" s="268">
        <v>2</v>
      </c>
      <c r="G213" s="269" t="s">
        <v>561</v>
      </c>
    </row>
    <row r="214" spans="2:7" ht="14.45" customHeight="1" x14ac:dyDescent="0.2">
      <c r="B214" s="31" t="s">
        <v>477</v>
      </c>
      <c r="C214" s="256" t="s">
        <v>503</v>
      </c>
      <c r="D214" s="257" t="s">
        <v>155</v>
      </c>
      <c r="E214" s="258"/>
      <c r="F214" s="259">
        <v>2</v>
      </c>
      <c r="G214" s="260" t="s">
        <v>566</v>
      </c>
    </row>
    <row r="215" spans="2:7" ht="14.45" customHeight="1" x14ac:dyDescent="0.2">
      <c r="B215" s="31" t="s">
        <v>477</v>
      </c>
      <c r="C215" s="42" t="s">
        <v>503</v>
      </c>
      <c r="D215" s="248" t="s">
        <v>178</v>
      </c>
      <c r="E215" s="249"/>
      <c r="F215" s="250">
        <v>2</v>
      </c>
      <c r="G215" s="251" t="s">
        <v>567</v>
      </c>
    </row>
    <row r="216" spans="2:7" ht="14.45" customHeight="1" x14ac:dyDescent="0.2">
      <c r="B216" s="31" t="s">
        <v>477</v>
      </c>
      <c r="C216" s="42" t="s">
        <v>503</v>
      </c>
      <c r="D216" s="248" t="s">
        <v>584</v>
      </c>
      <c r="E216" s="249"/>
      <c r="F216" s="250">
        <v>2</v>
      </c>
      <c r="G216" s="251" t="s">
        <v>585</v>
      </c>
    </row>
    <row r="217" spans="2:7" ht="14.45" customHeight="1" x14ac:dyDescent="0.2">
      <c r="B217" s="31" t="s">
        <v>477</v>
      </c>
      <c r="C217" s="42" t="s">
        <v>503</v>
      </c>
      <c r="D217" s="248" t="s">
        <v>562</v>
      </c>
      <c r="E217" s="249"/>
      <c r="F217" s="250">
        <v>2</v>
      </c>
      <c r="G217" s="251" t="s">
        <v>568</v>
      </c>
    </row>
    <row r="218" spans="2:7" ht="14.45" customHeight="1" x14ac:dyDescent="0.2">
      <c r="B218" s="31" t="s">
        <v>477</v>
      </c>
      <c r="C218" s="42" t="s">
        <v>503</v>
      </c>
      <c r="D218" s="248" t="s">
        <v>563</v>
      </c>
      <c r="E218" s="249"/>
      <c r="F218" s="250">
        <v>2</v>
      </c>
      <c r="G218" s="251" t="s">
        <v>569</v>
      </c>
    </row>
    <row r="219" spans="2:7" ht="14.45" customHeight="1" x14ac:dyDescent="0.2">
      <c r="B219" s="31" t="s">
        <v>477</v>
      </c>
      <c r="C219" s="42" t="s">
        <v>503</v>
      </c>
      <c r="D219" s="248" t="s">
        <v>564</v>
      </c>
      <c r="E219" s="249"/>
      <c r="F219" s="250">
        <v>2</v>
      </c>
      <c r="G219" s="251" t="s">
        <v>570</v>
      </c>
    </row>
    <row r="220" spans="2:7" ht="14.45" customHeight="1" x14ac:dyDescent="0.2">
      <c r="B220" s="31" t="s">
        <v>477</v>
      </c>
      <c r="C220" s="54" t="s">
        <v>503</v>
      </c>
      <c r="D220" s="252" t="s">
        <v>565</v>
      </c>
      <c r="E220" s="253"/>
      <c r="F220" s="254">
        <v>2</v>
      </c>
      <c r="G220" s="255" t="s">
        <v>571</v>
      </c>
    </row>
    <row r="221" spans="2:7" ht="14.45" customHeight="1" x14ac:dyDescent="0.2">
      <c r="B221" s="31" t="s">
        <v>477</v>
      </c>
      <c r="C221" s="256" t="s">
        <v>478</v>
      </c>
      <c r="D221" s="257" t="s">
        <v>179</v>
      </c>
      <c r="E221" s="258"/>
      <c r="F221" s="259">
        <v>2</v>
      </c>
      <c r="G221" s="260" t="s">
        <v>575</v>
      </c>
    </row>
    <row r="222" spans="2:7" ht="14.45" customHeight="1" x14ac:dyDescent="0.2">
      <c r="B222" s="31" t="s">
        <v>477</v>
      </c>
      <c r="C222" s="42" t="s">
        <v>478</v>
      </c>
      <c r="D222" s="248" t="s">
        <v>573</v>
      </c>
      <c r="E222" s="249"/>
      <c r="F222" s="250">
        <v>2</v>
      </c>
      <c r="G222" s="251" t="s">
        <v>572</v>
      </c>
    </row>
    <row r="223" spans="2:7" ht="14.45" customHeight="1" x14ac:dyDescent="0.2">
      <c r="B223" s="31" t="s">
        <v>477</v>
      </c>
      <c r="C223" s="54" t="s">
        <v>478</v>
      </c>
      <c r="D223" s="261" t="s">
        <v>574</v>
      </c>
      <c r="E223" s="262"/>
      <c r="F223" s="263">
        <v>2</v>
      </c>
      <c r="G223" s="264" t="s">
        <v>578</v>
      </c>
    </row>
    <row r="224" spans="2:7" ht="14.45" customHeight="1" x14ac:dyDescent="0.2">
      <c r="B224" s="31" t="s">
        <v>477</v>
      </c>
      <c r="C224" s="265" t="s">
        <v>483</v>
      </c>
      <c r="D224" s="266" t="s">
        <v>576</v>
      </c>
      <c r="E224" s="267"/>
      <c r="F224" s="268">
        <v>2</v>
      </c>
      <c r="G224" s="269" t="s">
        <v>577</v>
      </c>
    </row>
    <row r="225" spans="2:7" ht="14.45" customHeight="1" x14ac:dyDescent="0.2">
      <c r="B225" s="31" t="s">
        <v>477</v>
      </c>
      <c r="C225" s="256" t="s">
        <v>1447</v>
      </c>
      <c r="D225" s="257" t="s">
        <v>181</v>
      </c>
      <c r="E225" s="258"/>
      <c r="F225" s="259">
        <v>2</v>
      </c>
      <c r="G225" s="260" t="s">
        <v>580</v>
      </c>
    </row>
    <row r="226" spans="2:7" ht="14.45" customHeight="1" x14ac:dyDescent="0.2">
      <c r="B226" s="31" t="s">
        <v>477</v>
      </c>
      <c r="C226" s="42" t="s">
        <v>1447</v>
      </c>
      <c r="D226" s="248" t="s">
        <v>579</v>
      </c>
      <c r="E226" s="249"/>
      <c r="F226" s="250">
        <v>2</v>
      </c>
      <c r="G226" s="251" t="s">
        <v>581</v>
      </c>
    </row>
    <row r="227" spans="2:7" ht="14.45" customHeight="1" thickBot="1" x14ac:dyDescent="0.25">
      <c r="B227" s="74" t="s">
        <v>477</v>
      </c>
      <c r="C227" s="75" t="s">
        <v>1447</v>
      </c>
      <c r="D227" s="252" t="s">
        <v>582</v>
      </c>
      <c r="E227" s="253"/>
      <c r="F227" s="254">
        <v>2</v>
      </c>
      <c r="G227" s="255" t="s">
        <v>583</v>
      </c>
    </row>
    <row r="228" spans="2:7" ht="14.45" customHeight="1" x14ac:dyDescent="0.2">
      <c r="B228" s="242" t="s">
        <v>1603</v>
      </c>
      <c r="C228" s="243" t="s">
        <v>1488</v>
      </c>
      <c r="D228" s="244" t="s">
        <v>157</v>
      </c>
      <c r="E228" s="245"/>
      <c r="F228" s="246">
        <v>2</v>
      </c>
      <c r="G228" s="247" t="s">
        <v>789</v>
      </c>
    </row>
    <row r="229" spans="2:7" ht="14.45" customHeight="1" x14ac:dyDescent="0.2">
      <c r="B229" s="31" t="s">
        <v>488</v>
      </c>
      <c r="C229" s="42" t="s">
        <v>1488</v>
      </c>
      <c r="D229" s="248" t="s">
        <v>790</v>
      </c>
      <c r="E229" s="249"/>
      <c r="F229" s="250">
        <v>2</v>
      </c>
      <c r="G229" s="251" t="s">
        <v>892</v>
      </c>
    </row>
    <row r="230" spans="2:7" ht="14.45" customHeight="1" x14ac:dyDescent="0.2">
      <c r="B230" s="31" t="s">
        <v>488</v>
      </c>
      <c r="C230" s="42" t="s">
        <v>1488</v>
      </c>
      <c r="D230" s="248" t="s">
        <v>791</v>
      </c>
      <c r="E230" s="249"/>
      <c r="F230" s="250">
        <v>2</v>
      </c>
      <c r="G230" s="251" t="s">
        <v>893</v>
      </c>
    </row>
    <row r="231" spans="2:7" ht="14.45" customHeight="1" x14ac:dyDescent="0.2">
      <c r="B231" s="31" t="s">
        <v>488</v>
      </c>
      <c r="C231" s="54" t="s">
        <v>1488</v>
      </c>
      <c r="D231" s="252" t="s">
        <v>792</v>
      </c>
      <c r="E231" s="253"/>
      <c r="F231" s="254">
        <v>2</v>
      </c>
      <c r="G231" s="255" t="s">
        <v>793</v>
      </c>
    </row>
    <row r="232" spans="2:7" ht="14.45" customHeight="1" x14ac:dyDescent="0.2">
      <c r="B232" s="31" t="s">
        <v>488</v>
      </c>
      <c r="C232" s="256" t="s">
        <v>1448</v>
      </c>
      <c r="D232" s="257" t="s">
        <v>595</v>
      </c>
      <c r="E232" s="258"/>
      <c r="F232" s="259">
        <v>2</v>
      </c>
      <c r="G232" s="260" t="s">
        <v>794</v>
      </c>
    </row>
    <row r="233" spans="2:7" ht="14.45" customHeight="1" x14ac:dyDescent="0.2">
      <c r="B233" s="31" t="s">
        <v>488</v>
      </c>
      <c r="C233" s="42" t="s">
        <v>1448</v>
      </c>
      <c r="D233" s="248" t="s">
        <v>593</v>
      </c>
      <c r="E233" s="249"/>
      <c r="F233" s="250">
        <v>2</v>
      </c>
      <c r="G233" s="251" t="s">
        <v>894</v>
      </c>
    </row>
    <row r="234" spans="2:7" ht="14.45" customHeight="1" x14ac:dyDescent="0.2">
      <c r="B234" s="31" t="s">
        <v>488</v>
      </c>
      <c r="C234" s="54" t="s">
        <v>1448</v>
      </c>
      <c r="D234" s="252" t="s">
        <v>594</v>
      </c>
      <c r="E234" s="253"/>
      <c r="F234" s="254">
        <v>2</v>
      </c>
      <c r="G234" s="255" t="s">
        <v>895</v>
      </c>
    </row>
    <row r="235" spans="2:7" ht="14.45" customHeight="1" x14ac:dyDescent="0.2">
      <c r="B235" s="31" t="s">
        <v>488</v>
      </c>
      <c r="C235" s="256" t="s">
        <v>484</v>
      </c>
      <c r="D235" s="257" t="s">
        <v>183</v>
      </c>
      <c r="E235" s="258"/>
      <c r="F235" s="259">
        <v>2</v>
      </c>
      <c r="G235" s="260" t="s">
        <v>795</v>
      </c>
    </row>
    <row r="236" spans="2:7" ht="14.45" customHeight="1" x14ac:dyDescent="0.2">
      <c r="B236" s="31" t="s">
        <v>488</v>
      </c>
      <c r="C236" s="42" t="s">
        <v>484</v>
      </c>
      <c r="D236" s="248" t="s">
        <v>593</v>
      </c>
      <c r="E236" s="249"/>
      <c r="F236" s="250">
        <v>2</v>
      </c>
      <c r="G236" s="251" t="s">
        <v>896</v>
      </c>
    </row>
    <row r="237" spans="2:7" ht="14.45" customHeight="1" x14ac:dyDescent="0.2">
      <c r="B237" s="31" t="s">
        <v>488</v>
      </c>
      <c r="C237" s="42" t="s">
        <v>484</v>
      </c>
      <c r="D237" s="248" t="s">
        <v>244</v>
      </c>
      <c r="E237" s="249"/>
      <c r="F237" s="250">
        <v>2</v>
      </c>
      <c r="G237" s="251" t="s">
        <v>796</v>
      </c>
    </row>
    <row r="238" spans="2:7" ht="14.45" customHeight="1" x14ac:dyDescent="0.2">
      <c r="B238" s="31" t="s">
        <v>488</v>
      </c>
      <c r="C238" s="42" t="s">
        <v>484</v>
      </c>
      <c r="D238" s="248" t="s">
        <v>594</v>
      </c>
      <c r="E238" s="249"/>
      <c r="F238" s="250">
        <v>2</v>
      </c>
      <c r="G238" s="251" t="s">
        <v>897</v>
      </c>
    </row>
    <row r="239" spans="2:7" ht="14.45" customHeight="1" x14ac:dyDescent="0.2">
      <c r="B239" s="31" t="s">
        <v>488</v>
      </c>
      <c r="C239" s="54" t="s">
        <v>484</v>
      </c>
      <c r="D239" s="252" t="s">
        <v>596</v>
      </c>
      <c r="E239" s="253"/>
      <c r="F239" s="254">
        <v>2</v>
      </c>
      <c r="G239" s="255" t="s">
        <v>797</v>
      </c>
    </row>
    <row r="240" spans="2:7" ht="14.45" customHeight="1" x14ac:dyDescent="0.2">
      <c r="B240" s="31" t="s">
        <v>488</v>
      </c>
      <c r="C240" s="256" t="s">
        <v>1449</v>
      </c>
      <c r="D240" s="257" t="s">
        <v>184</v>
      </c>
      <c r="E240" s="258"/>
      <c r="F240" s="259">
        <v>2</v>
      </c>
      <c r="G240" s="260" t="s">
        <v>798</v>
      </c>
    </row>
    <row r="241" spans="2:7" ht="14.45" customHeight="1" x14ac:dyDescent="0.2">
      <c r="B241" s="31" t="s">
        <v>488</v>
      </c>
      <c r="C241" s="42" t="s">
        <v>1449</v>
      </c>
      <c r="D241" s="248" t="s">
        <v>597</v>
      </c>
      <c r="E241" s="249"/>
      <c r="F241" s="250">
        <v>2</v>
      </c>
      <c r="G241" s="251" t="s">
        <v>799</v>
      </c>
    </row>
    <row r="242" spans="2:7" ht="14.45" customHeight="1" x14ac:dyDescent="0.2">
      <c r="B242" s="31" t="s">
        <v>488</v>
      </c>
      <c r="C242" s="54" t="s">
        <v>1449</v>
      </c>
      <c r="D242" s="252" t="s">
        <v>598</v>
      </c>
      <c r="E242" s="253"/>
      <c r="F242" s="254">
        <v>2</v>
      </c>
      <c r="G242" s="255" t="s">
        <v>800</v>
      </c>
    </row>
    <row r="243" spans="2:7" ht="14.45" customHeight="1" x14ac:dyDescent="0.2">
      <c r="B243" s="31" t="s">
        <v>488</v>
      </c>
      <c r="C243" s="256" t="s">
        <v>496</v>
      </c>
      <c r="D243" s="257" t="s">
        <v>599</v>
      </c>
      <c r="E243" s="258"/>
      <c r="F243" s="259">
        <v>2</v>
      </c>
      <c r="G243" s="260" t="s">
        <v>801</v>
      </c>
    </row>
    <row r="244" spans="2:7" ht="14.45" customHeight="1" x14ac:dyDescent="0.2">
      <c r="B244" s="31" t="s">
        <v>488</v>
      </c>
      <c r="C244" s="42" t="s">
        <v>496</v>
      </c>
      <c r="D244" s="248" t="s">
        <v>600</v>
      </c>
      <c r="E244" s="249"/>
      <c r="F244" s="250">
        <v>2</v>
      </c>
      <c r="G244" s="251" t="s">
        <v>802</v>
      </c>
    </row>
    <row r="245" spans="2:7" ht="14.45" customHeight="1" x14ac:dyDescent="0.2">
      <c r="B245" s="31" t="s">
        <v>488</v>
      </c>
      <c r="C245" s="54" t="s">
        <v>496</v>
      </c>
      <c r="D245" s="252" t="s">
        <v>565</v>
      </c>
      <c r="E245" s="253"/>
      <c r="F245" s="254">
        <v>2</v>
      </c>
      <c r="G245" s="255" t="s">
        <v>803</v>
      </c>
    </row>
    <row r="246" spans="2:7" ht="14.45" customHeight="1" x14ac:dyDescent="0.2">
      <c r="B246" s="31" t="s">
        <v>488</v>
      </c>
      <c r="C246" s="256" t="s">
        <v>508</v>
      </c>
      <c r="D246" s="257" t="s">
        <v>601</v>
      </c>
      <c r="E246" s="258"/>
      <c r="F246" s="259">
        <v>2</v>
      </c>
      <c r="G246" s="260" t="s">
        <v>898</v>
      </c>
    </row>
    <row r="247" spans="2:7" ht="14.45" customHeight="1" x14ac:dyDescent="0.2">
      <c r="B247" s="31" t="s">
        <v>488</v>
      </c>
      <c r="C247" s="42" t="s">
        <v>508</v>
      </c>
      <c r="D247" s="248" t="s">
        <v>602</v>
      </c>
      <c r="E247" s="249"/>
      <c r="F247" s="250">
        <v>2</v>
      </c>
      <c r="G247" s="251" t="s">
        <v>804</v>
      </c>
    </row>
    <row r="248" spans="2:7" ht="14.45" customHeight="1" x14ac:dyDescent="0.2">
      <c r="B248" s="31" t="s">
        <v>488</v>
      </c>
      <c r="C248" s="42" t="s">
        <v>508</v>
      </c>
      <c r="D248" s="248" t="s">
        <v>603</v>
      </c>
      <c r="E248" s="249"/>
      <c r="F248" s="250">
        <v>2</v>
      </c>
      <c r="G248" s="251" t="s">
        <v>899</v>
      </c>
    </row>
    <row r="249" spans="2:7" ht="14.45" customHeight="1" x14ac:dyDescent="0.2">
      <c r="B249" s="31" t="s">
        <v>488</v>
      </c>
      <c r="C249" s="42" t="s">
        <v>508</v>
      </c>
      <c r="D249" s="248" t="s">
        <v>604</v>
      </c>
      <c r="E249" s="249"/>
      <c r="F249" s="250">
        <v>2</v>
      </c>
      <c r="G249" s="251" t="s">
        <v>900</v>
      </c>
    </row>
    <row r="250" spans="2:7" ht="14.45" customHeight="1" x14ac:dyDescent="0.2">
      <c r="B250" s="31" t="s">
        <v>488</v>
      </c>
      <c r="C250" s="42" t="s">
        <v>508</v>
      </c>
      <c r="D250" s="248" t="s">
        <v>605</v>
      </c>
      <c r="E250" s="249"/>
      <c r="F250" s="250">
        <v>2</v>
      </c>
      <c r="G250" s="251" t="s">
        <v>805</v>
      </c>
    </row>
    <row r="251" spans="2:7" ht="14.45" customHeight="1" x14ac:dyDescent="0.2">
      <c r="B251" s="31" t="s">
        <v>488</v>
      </c>
      <c r="C251" s="42" t="s">
        <v>508</v>
      </c>
      <c r="D251" s="248" t="s">
        <v>606</v>
      </c>
      <c r="E251" s="249"/>
      <c r="F251" s="250">
        <v>2</v>
      </c>
      <c r="G251" s="251" t="s">
        <v>806</v>
      </c>
    </row>
    <row r="252" spans="2:7" ht="14.45" customHeight="1" x14ac:dyDescent="0.2">
      <c r="B252" s="31" t="s">
        <v>488</v>
      </c>
      <c r="C252" s="42" t="s">
        <v>508</v>
      </c>
      <c r="D252" s="248" t="s">
        <v>807</v>
      </c>
      <c r="E252" s="249"/>
      <c r="F252" s="250">
        <v>2</v>
      </c>
      <c r="G252" s="251" t="s">
        <v>808</v>
      </c>
    </row>
    <row r="253" spans="2:7" ht="14.45" customHeight="1" x14ac:dyDescent="0.2">
      <c r="B253" s="31" t="s">
        <v>488</v>
      </c>
      <c r="C253" s="54" t="s">
        <v>508</v>
      </c>
      <c r="D253" s="252" t="s">
        <v>607</v>
      </c>
      <c r="E253" s="253"/>
      <c r="F253" s="254">
        <v>2</v>
      </c>
      <c r="G253" s="255" t="s">
        <v>809</v>
      </c>
    </row>
    <row r="254" spans="2:7" ht="14.45" customHeight="1" x14ac:dyDescent="0.2">
      <c r="B254" s="31" t="s">
        <v>488</v>
      </c>
      <c r="C254" s="256" t="s">
        <v>1450</v>
      </c>
      <c r="D254" s="257" t="s">
        <v>187</v>
      </c>
      <c r="E254" s="258"/>
      <c r="F254" s="259">
        <v>2</v>
      </c>
      <c r="G254" s="260" t="s">
        <v>901</v>
      </c>
    </row>
    <row r="255" spans="2:7" ht="14.45" customHeight="1" x14ac:dyDescent="0.2">
      <c r="B255" s="31" t="s">
        <v>488</v>
      </c>
      <c r="C255" s="42" t="s">
        <v>1450</v>
      </c>
      <c r="D255" s="248" t="s">
        <v>608</v>
      </c>
      <c r="E255" s="249"/>
      <c r="F255" s="250">
        <v>2</v>
      </c>
      <c r="G255" s="251" t="s">
        <v>810</v>
      </c>
    </row>
    <row r="256" spans="2:7" ht="14.45" customHeight="1" x14ac:dyDescent="0.2">
      <c r="B256" s="31" t="s">
        <v>488</v>
      </c>
      <c r="C256" s="42" t="s">
        <v>1450</v>
      </c>
      <c r="D256" s="248" t="s">
        <v>609</v>
      </c>
      <c r="E256" s="249"/>
      <c r="F256" s="250">
        <v>2</v>
      </c>
      <c r="G256" s="251" t="s">
        <v>902</v>
      </c>
    </row>
    <row r="257" spans="2:7" ht="14.45" customHeight="1" x14ac:dyDescent="0.2">
      <c r="B257" s="31" t="s">
        <v>488</v>
      </c>
      <c r="C257" s="54" t="s">
        <v>1450</v>
      </c>
      <c r="D257" s="261" t="s">
        <v>610</v>
      </c>
      <c r="E257" s="262"/>
      <c r="F257" s="263">
        <v>2</v>
      </c>
      <c r="G257" s="264" t="s">
        <v>811</v>
      </c>
    </row>
    <row r="258" spans="2:7" ht="14.45" customHeight="1" thickBot="1" x14ac:dyDescent="0.25">
      <c r="B258" s="31" t="s">
        <v>488</v>
      </c>
      <c r="C258" s="290" t="s">
        <v>489</v>
      </c>
      <c r="D258" s="291" t="s">
        <v>812</v>
      </c>
      <c r="E258" s="267"/>
      <c r="F258" s="268">
        <v>2</v>
      </c>
      <c r="G258" s="269" t="s">
        <v>813</v>
      </c>
    </row>
    <row r="259" spans="2:7" ht="14.45" customHeight="1" x14ac:dyDescent="0.2">
      <c r="B259" s="242" t="s">
        <v>1604</v>
      </c>
      <c r="C259" s="243" t="s">
        <v>499</v>
      </c>
      <c r="D259" s="244" t="s">
        <v>635</v>
      </c>
      <c r="E259" s="245"/>
      <c r="F259" s="246">
        <v>2</v>
      </c>
      <c r="G259" s="247" t="s">
        <v>814</v>
      </c>
    </row>
    <row r="260" spans="2:7" ht="14.45" customHeight="1" x14ac:dyDescent="0.2">
      <c r="B260" s="31" t="s">
        <v>485</v>
      </c>
      <c r="C260" s="42" t="s">
        <v>499</v>
      </c>
      <c r="D260" s="248" t="s">
        <v>189</v>
      </c>
      <c r="E260" s="249"/>
      <c r="F260" s="250">
        <v>2</v>
      </c>
      <c r="G260" s="251" t="s">
        <v>815</v>
      </c>
    </row>
    <row r="261" spans="2:7" ht="14.45" customHeight="1" x14ac:dyDescent="0.2">
      <c r="B261" s="31" t="s">
        <v>485</v>
      </c>
      <c r="C261" s="42" t="s">
        <v>499</v>
      </c>
      <c r="D261" s="248" t="s">
        <v>636</v>
      </c>
      <c r="E261" s="249"/>
      <c r="F261" s="250">
        <v>2</v>
      </c>
      <c r="G261" s="251" t="s">
        <v>816</v>
      </c>
    </row>
    <row r="262" spans="2:7" ht="14.45" customHeight="1" x14ac:dyDescent="0.2">
      <c r="B262" s="31" t="s">
        <v>485</v>
      </c>
      <c r="C262" s="54" t="s">
        <v>499</v>
      </c>
      <c r="D262" s="252" t="s">
        <v>637</v>
      </c>
      <c r="E262" s="253"/>
      <c r="F262" s="254">
        <v>2</v>
      </c>
      <c r="G262" s="255" t="s">
        <v>817</v>
      </c>
    </row>
    <row r="263" spans="2:7" ht="14.45" customHeight="1" x14ac:dyDescent="0.2">
      <c r="B263" s="31" t="s">
        <v>485</v>
      </c>
      <c r="C263" s="256" t="s">
        <v>491</v>
      </c>
      <c r="D263" s="257" t="s">
        <v>190</v>
      </c>
      <c r="E263" s="258"/>
      <c r="F263" s="259">
        <v>2</v>
      </c>
      <c r="G263" s="260" t="s">
        <v>818</v>
      </c>
    </row>
    <row r="264" spans="2:7" ht="14.45" customHeight="1" x14ac:dyDescent="0.2">
      <c r="B264" s="31" t="s">
        <v>485</v>
      </c>
      <c r="C264" s="42" t="s">
        <v>491</v>
      </c>
      <c r="D264" s="248" t="s">
        <v>638</v>
      </c>
      <c r="E264" s="249"/>
      <c r="F264" s="250">
        <v>2</v>
      </c>
      <c r="G264" s="251" t="s">
        <v>820</v>
      </c>
    </row>
    <row r="265" spans="2:7" ht="14.45" customHeight="1" x14ac:dyDescent="0.2">
      <c r="B265" s="31" t="s">
        <v>485</v>
      </c>
      <c r="C265" s="42" t="s">
        <v>491</v>
      </c>
      <c r="D265" s="248" t="s">
        <v>640</v>
      </c>
      <c r="E265" s="249"/>
      <c r="F265" s="250">
        <v>2</v>
      </c>
      <c r="G265" s="251" t="s">
        <v>819</v>
      </c>
    </row>
    <row r="266" spans="2:7" ht="14.45" customHeight="1" x14ac:dyDescent="0.2">
      <c r="B266" s="31" t="s">
        <v>485</v>
      </c>
      <c r="C266" s="54" t="s">
        <v>491</v>
      </c>
      <c r="D266" s="252" t="s">
        <v>639</v>
      </c>
      <c r="E266" s="253"/>
      <c r="F266" s="254">
        <v>2</v>
      </c>
      <c r="G266" s="255" t="s">
        <v>821</v>
      </c>
    </row>
    <row r="267" spans="2:7" ht="14.45" customHeight="1" x14ac:dyDescent="0.2">
      <c r="B267" s="31" t="s">
        <v>485</v>
      </c>
      <c r="C267" s="256" t="s">
        <v>505</v>
      </c>
      <c r="D267" s="257" t="s">
        <v>191</v>
      </c>
      <c r="E267" s="258"/>
      <c r="F267" s="259">
        <v>2</v>
      </c>
      <c r="G267" s="260" t="s">
        <v>822</v>
      </c>
    </row>
    <row r="268" spans="2:7" ht="14.45" customHeight="1" x14ac:dyDescent="0.2">
      <c r="B268" s="31" t="s">
        <v>485</v>
      </c>
      <c r="C268" s="54" t="s">
        <v>505</v>
      </c>
      <c r="D268" s="252" t="s">
        <v>641</v>
      </c>
      <c r="E268" s="253"/>
      <c r="F268" s="254">
        <v>2</v>
      </c>
      <c r="G268" s="255" t="s">
        <v>823</v>
      </c>
    </row>
    <row r="269" spans="2:7" ht="14.45" customHeight="1" x14ac:dyDescent="0.2">
      <c r="B269" s="31" t="s">
        <v>485</v>
      </c>
      <c r="C269" s="256" t="s">
        <v>1451</v>
      </c>
      <c r="D269" s="257" t="s">
        <v>192</v>
      </c>
      <c r="E269" s="258"/>
      <c r="F269" s="259">
        <v>2</v>
      </c>
      <c r="G269" s="260" t="s">
        <v>824</v>
      </c>
    </row>
    <row r="270" spans="2:7" ht="14.45" customHeight="1" x14ac:dyDescent="0.2">
      <c r="B270" s="31" t="s">
        <v>485</v>
      </c>
      <c r="C270" s="42" t="s">
        <v>1451</v>
      </c>
      <c r="D270" s="248" t="s">
        <v>642</v>
      </c>
      <c r="E270" s="249"/>
      <c r="F270" s="250">
        <v>2</v>
      </c>
      <c r="G270" s="251" t="s">
        <v>903</v>
      </c>
    </row>
    <row r="271" spans="2:7" ht="14.45" customHeight="1" x14ac:dyDescent="0.2">
      <c r="B271" s="31" t="s">
        <v>485</v>
      </c>
      <c r="C271" s="42" t="s">
        <v>1451</v>
      </c>
      <c r="D271" s="248" t="s">
        <v>643</v>
      </c>
      <c r="E271" s="249"/>
      <c r="F271" s="250">
        <v>2</v>
      </c>
      <c r="G271" s="251" t="s">
        <v>904</v>
      </c>
    </row>
    <row r="272" spans="2:7" ht="14.45" customHeight="1" x14ac:dyDescent="0.2">
      <c r="B272" s="31" t="s">
        <v>485</v>
      </c>
      <c r="C272" s="42" t="s">
        <v>1451</v>
      </c>
      <c r="D272" s="248" t="s">
        <v>193</v>
      </c>
      <c r="E272" s="249"/>
      <c r="F272" s="250">
        <v>2</v>
      </c>
      <c r="G272" s="251" t="s">
        <v>905</v>
      </c>
    </row>
    <row r="273" spans="2:7" ht="14.45" customHeight="1" x14ac:dyDescent="0.2">
      <c r="B273" s="31" t="s">
        <v>485</v>
      </c>
      <c r="C273" s="42" t="s">
        <v>1451</v>
      </c>
      <c r="D273" s="248" t="s">
        <v>644</v>
      </c>
      <c r="E273" s="249"/>
      <c r="F273" s="250">
        <v>2</v>
      </c>
      <c r="G273" s="251" t="s">
        <v>825</v>
      </c>
    </row>
    <row r="274" spans="2:7" ht="14.45" customHeight="1" x14ac:dyDescent="0.2">
      <c r="B274" s="31" t="s">
        <v>485</v>
      </c>
      <c r="C274" s="42" t="s">
        <v>1451</v>
      </c>
      <c r="D274" s="248" t="s">
        <v>645</v>
      </c>
      <c r="E274" s="249"/>
      <c r="F274" s="250">
        <v>2</v>
      </c>
      <c r="G274" s="251" t="s">
        <v>826</v>
      </c>
    </row>
    <row r="275" spans="2:7" ht="14.45" customHeight="1" x14ac:dyDescent="0.2">
      <c r="B275" s="31" t="s">
        <v>485</v>
      </c>
      <c r="C275" s="54" t="s">
        <v>1451</v>
      </c>
      <c r="D275" s="252" t="s">
        <v>646</v>
      </c>
      <c r="E275" s="253"/>
      <c r="F275" s="254">
        <v>2</v>
      </c>
      <c r="G275" s="255" t="s">
        <v>827</v>
      </c>
    </row>
    <row r="276" spans="2:7" ht="14.45" customHeight="1" x14ac:dyDescent="0.2">
      <c r="B276" s="31" t="s">
        <v>485</v>
      </c>
      <c r="C276" s="256" t="s">
        <v>494</v>
      </c>
      <c r="D276" s="257" t="s">
        <v>193</v>
      </c>
      <c r="E276" s="258"/>
      <c r="F276" s="259">
        <v>2</v>
      </c>
      <c r="G276" s="260" t="s">
        <v>828</v>
      </c>
    </row>
    <row r="277" spans="2:7" ht="14.45" customHeight="1" x14ac:dyDescent="0.2">
      <c r="B277" s="31" t="s">
        <v>485</v>
      </c>
      <c r="C277" s="42" t="s">
        <v>494</v>
      </c>
      <c r="D277" s="248" t="s">
        <v>647</v>
      </c>
      <c r="E277" s="249"/>
      <c r="F277" s="250">
        <v>2</v>
      </c>
      <c r="G277" s="251" t="s">
        <v>829</v>
      </c>
    </row>
    <row r="278" spans="2:7" ht="14.45" customHeight="1" x14ac:dyDescent="0.2">
      <c r="B278" s="31" t="s">
        <v>485</v>
      </c>
      <c r="C278" s="54" t="s">
        <v>494</v>
      </c>
      <c r="D278" s="261" t="s">
        <v>648</v>
      </c>
      <c r="E278" s="262"/>
      <c r="F278" s="263">
        <v>2</v>
      </c>
      <c r="G278" s="264" t="s">
        <v>830</v>
      </c>
    </row>
    <row r="279" spans="2:7" ht="14.45" customHeight="1" x14ac:dyDescent="0.2">
      <c r="B279" s="31" t="s">
        <v>485</v>
      </c>
      <c r="C279" s="290" t="s">
        <v>493</v>
      </c>
      <c r="D279" s="291" t="s">
        <v>649</v>
      </c>
      <c r="E279" s="267"/>
      <c r="F279" s="268">
        <v>2</v>
      </c>
      <c r="G279" s="269" t="s">
        <v>831</v>
      </c>
    </row>
    <row r="280" spans="2:7" ht="14.45" customHeight="1" x14ac:dyDescent="0.2">
      <c r="B280" s="31" t="s">
        <v>485</v>
      </c>
      <c r="C280" s="256" t="s">
        <v>1452</v>
      </c>
      <c r="D280" s="257" t="s">
        <v>650</v>
      </c>
      <c r="E280" s="258"/>
      <c r="F280" s="259">
        <v>2</v>
      </c>
      <c r="G280" s="260" t="s">
        <v>832</v>
      </c>
    </row>
    <row r="281" spans="2:7" ht="14.45" customHeight="1" x14ac:dyDescent="0.2">
      <c r="B281" s="31" t="s">
        <v>485</v>
      </c>
      <c r="C281" s="42" t="s">
        <v>1452</v>
      </c>
      <c r="D281" s="248" t="s">
        <v>651</v>
      </c>
      <c r="E281" s="249"/>
      <c r="F281" s="250">
        <v>2</v>
      </c>
      <c r="G281" s="251" t="s">
        <v>833</v>
      </c>
    </row>
    <row r="282" spans="2:7" ht="14.45" customHeight="1" x14ac:dyDescent="0.2">
      <c r="B282" s="31" t="s">
        <v>485</v>
      </c>
      <c r="C282" s="54" t="s">
        <v>1452</v>
      </c>
      <c r="D282" s="252" t="s">
        <v>652</v>
      </c>
      <c r="E282" s="253"/>
      <c r="F282" s="254">
        <v>2</v>
      </c>
      <c r="G282" s="255" t="s">
        <v>834</v>
      </c>
    </row>
    <row r="283" spans="2:7" ht="14.45" customHeight="1" x14ac:dyDescent="0.2">
      <c r="B283" s="31" t="s">
        <v>485</v>
      </c>
      <c r="C283" s="256" t="s">
        <v>1453</v>
      </c>
      <c r="D283" s="257" t="s">
        <v>653</v>
      </c>
      <c r="E283" s="258"/>
      <c r="F283" s="259">
        <v>2</v>
      </c>
      <c r="G283" s="260" t="s">
        <v>906</v>
      </c>
    </row>
    <row r="284" spans="2:7" ht="14.45" customHeight="1" x14ac:dyDescent="0.2">
      <c r="B284" s="31" t="s">
        <v>485</v>
      </c>
      <c r="C284" s="42" t="s">
        <v>1453</v>
      </c>
      <c r="D284" s="248" t="s">
        <v>654</v>
      </c>
      <c r="E284" s="249"/>
      <c r="F284" s="250">
        <v>2</v>
      </c>
      <c r="G284" s="251" t="s">
        <v>907</v>
      </c>
    </row>
    <row r="285" spans="2:7" ht="14.45" customHeight="1" x14ac:dyDescent="0.2">
      <c r="B285" s="31" t="s">
        <v>485</v>
      </c>
      <c r="C285" s="42" t="s">
        <v>1453</v>
      </c>
      <c r="D285" s="248" t="s">
        <v>655</v>
      </c>
      <c r="E285" s="249"/>
      <c r="F285" s="250">
        <v>2</v>
      </c>
      <c r="G285" s="251" t="s">
        <v>908</v>
      </c>
    </row>
    <row r="286" spans="2:7" ht="14.45" customHeight="1" x14ac:dyDescent="0.2">
      <c r="B286" s="31" t="s">
        <v>485</v>
      </c>
      <c r="C286" s="54" t="s">
        <v>1453</v>
      </c>
      <c r="D286" s="252" t="s">
        <v>835</v>
      </c>
      <c r="E286" s="253"/>
      <c r="F286" s="254">
        <v>2</v>
      </c>
      <c r="G286" s="255" t="s">
        <v>836</v>
      </c>
    </row>
    <row r="287" spans="2:7" ht="14.45" customHeight="1" x14ac:dyDescent="0.2">
      <c r="B287" s="31" t="s">
        <v>485</v>
      </c>
      <c r="C287" s="256" t="s">
        <v>1454</v>
      </c>
      <c r="D287" s="257" t="s">
        <v>656</v>
      </c>
      <c r="E287" s="258"/>
      <c r="F287" s="259">
        <v>2</v>
      </c>
      <c r="G287" s="260" t="s">
        <v>837</v>
      </c>
    </row>
    <row r="288" spans="2:7" ht="14.45" customHeight="1" x14ac:dyDescent="0.2">
      <c r="B288" s="31" t="s">
        <v>485</v>
      </c>
      <c r="C288" s="42" t="s">
        <v>1454</v>
      </c>
      <c r="D288" s="248" t="s">
        <v>657</v>
      </c>
      <c r="E288" s="249"/>
      <c r="F288" s="250">
        <v>2</v>
      </c>
      <c r="G288" s="251" t="s">
        <v>838</v>
      </c>
    </row>
    <row r="289" spans="2:7" ht="14.45" customHeight="1" x14ac:dyDescent="0.2">
      <c r="B289" s="31" t="s">
        <v>485</v>
      </c>
      <c r="C289" s="42" t="s">
        <v>1454</v>
      </c>
      <c r="D289" s="248" t="s">
        <v>840</v>
      </c>
      <c r="E289" s="249"/>
      <c r="F289" s="250">
        <v>2</v>
      </c>
      <c r="G289" s="251" t="s">
        <v>839</v>
      </c>
    </row>
    <row r="290" spans="2:7" ht="14.45" customHeight="1" x14ac:dyDescent="0.2">
      <c r="B290" s="31" t="s">
        <v>485</v>
      </c>
      <c r="C290" s="54" t="s">
        <v>1454</v>
      </c>
      <c r="D290" s="252" t="s">
        <v>658</v>
      </c>
      <c r="E290" s="253"/>
      <c r="F290" s="254">
        <v>2</v>
      </c>
      <c r="G290" s="255" t="s">
        <v>841</v>
      </c>
    </row>
    <row r="291" spans="2:7" ht="14.45" customHeight="1" x14ac:dyDescent="0.2">
      <c r="B291" s="31" t="s">
        <v>485</v>
      </c>
      <c r="C291" s="256" t="s">
        <v>2</v>
      </c>
      <c r="D291" s="257" t="s">
        <v>1303</v>
      </c>
      <c r="E291" s="258"/>
      <c r="F291" s="259">
        <v>2</v>
      </c>
      <c r="G291" s="260" t="s">
        <v>842</v>
      </c>
    </row>
    <row r="292" spans="2:7" ht="14.45" customHeight="1" x14ac:dyDescent="0.2">
      <c r="B292" s="31" t="s">
        <v>485</v>
      </c>
      <c r="C292" s="42" t="s">
        <v>2</v>
      </c>
      <c r="D292" s="248" t="s">
        <v>659</v>
      </c>
      <c r="E292" s="249"/>
      <c r="F292" s="250">
        <v>2</v>
      </c>
      <c r="G292" s="251" t="s">
        <v>843</v>
      </c>
    </row>
    <row r="293" spans="2:7" ht="14.45" customHeight="1" x14ac:dyDescent="0.2">
      <c r="B293" s="31" t="s">
        <v>485</v>
      </c>
      <c r="C293" s="42" t="s">
        <v>2</v>
      </c>
      <c r="D293" s="248" t="s">
        <v>660</v>
      </c>
      <c r="E293" s="249"/>
      <c r="F293" s="250">
        <v>2</v>
      </c>
      <c r="G293" s="251" t="s">
        <v>844</v>
      </c>
    </row>
    <row r="294" spans="2:7" ht="14.45" customHeight="1" thickBot="1" x14ac:dyDescent="0.25">
      <c r="B294" s="31" t="s">
        <v>485</v>
      </c>
      <c r="C294" s="42" t="s">
        <v>2</v>
      </c>
      <c r="D294" s="252" t="s">
        <v>661</v>
      </c>
      <c r="E294" s="253"/>
      <c r="F294" s="254">
        <v>2</v>
      </c>
      <c r="G294" s="255" t="s">
        <v>845</v>
      </c>
    </row>
    <row r="295" spans="2:7" ht="14.45" customHeight="1" x14ac:dyDescent="0.2">
      <c r="B295" s="242" t="s">
        <v>1605</v>
      </c>
      <c r="C295" s="243" t="s">
        <v>1608</v>
      </c>
      <c r="D295" s="244" t="s">
        <v>159</v>
      </c>
      <c r="E295" s="245"/>
      <c r="F295" s="246">
        <v>2</v>
      </c>
      <c r="G295" s="247" t="s">
        <v>846</v>
      </c>
    </row>
    <row r="296" spans="2:7" ht="14.45" customHeight="1" x14ac:dyDescent="0.2">
      <c r="B296" s="31" t="s">
        <v>479</v>
      </c>
      <c r="C296" s="42" t="s">
        <v>1608</v>
      </c>
      <c r="D296" s="248" t="s">
        <v>664</v>
      </c>
      <c r="E296" s="249"/>
      <c r="F296" s="250">
        <v>2</v>
      </c>
      <c r="G296" s="251" t="s">
        <v>847</v>
      </c>
    </row>
    <row r="297" spans="2:7" ht="14.45" customHeight="1" x14ac:dyDescent="0.2">
      <c r="B297" s="31" t="s">
        <v>479</v>
      </c>
      <c r="C297" s="42" t="s">
        <v>1608</v>
      </c>
      <c r="D297" s="248" t="s">
        <v>1301</v>
      </c>
      <c r="E297" s="249"/>
      <c r="F297" s="250">
        <v>2</v>
      </c>
      <c r="G297" s="251" t="s">
        <v>1302</v>
      </c>
    </row>
    <row r="298" spans="2:7" ht="14.45" customHeight="1" x14ac:dyDescent="0.2">
      <c r="B298" s="31" t="s">
        <v>479</v>
      </c>
      <c r="C298" s="42" t="s">
        <v>1608</v>
      </c>
      <c r="D298" s="248" t="s">
        <v>663</v>
      </c>
      <c r="E298" s="249"/>
      <c r="F298" s="250">
        <v>2</v>
      </c>
      <c r="G298" s="251" t="s">
        <v>848</v>
      </c>
    </row>
    <row r="299" spans="2:7" ht="14.45" customHeight="1" x14ac:dyDescent="0.2">
      <c r="B299" s="31" t="s">
        <v>479</v>
      </c>
      <c r="C299" s="54" t="s">
        <v>1608</v>
      </c>
      <c r="D299" s="252" t="s">
        <v>665</v>
      </c>
      <c r="E299" s="253"/>
      <c r="F299" s="254">
        <v>2</v>
      </c>
      <c r="G299" s="255" t="s">
        <v>849</v>
      </c>
    </row>
    <row r="300" spans="2:7" ht="14.45" customHeight="1" x14ac:dyDescent="0.2">
      <c r="B300" s="31" t="s">
        <v>479</v>
      </c>
      <c r="C300" s="256" t="s">
        <v>481</v>
      </c>
      <c r="D300" s="257" t="s">
        <v>310</v>
      </c>
      <c r="E300" s="258"/>
      <c r="F300" s="259">
        <v>2</v>
      </c>
      <c r="G300" s="260" t="s">
        <v>850</v>
      </c>
    </row>
    <row r="301" spans="2:7" ht="14.45" customHeight="1" x14ac:dyDescent="0.2">
      <c r="B301" s="31" t="s">
        <v>479</v>
      </c>
      <c r="C301" s="42" t="s">
        <v>481</v>
      </c>
      <c r="D301" s="248" t="s">
        <v>666</v>
      </c>
      <c r="E301" s="249"/>
      <c r="F301" s="250">
        <v>2</v>
      </c>
      <c r="G301" s="251" t="s">
        <v>851</v>
      </c>
    </row>
    <row r="302" spans="2:7" ht="14.45" customHeight="1" x14ac:dyDescent="0.2">
      <c r="B302" s="31" t="s">
        <v>479</v>
      </c>
      <c r="C302" s="42" t="s">
        <v>481</v>
      </c>
      <c r="D302" s="248" t="s">
        <v>667</v>
      </c>
      <c r="E302" s="249"/>
      <c r="F302" s="250">
        <v>2</v>
      </c>
      <c r="G302" s="251" t="s">
        <v>854</v>
      </c>
    </row>
    <row r="303" spans="2:7" ht="14.45" customHeight="1" x14ac:dyDescent="0.2">
      <c r="B303" s="31" t="s">
        <v>479</v>
      </c>
      <c r="C303" s="54" t="s">
        <v>481</v>
      </c>
      <c r="D303" s="261" t="s">
        <v>853</v>
      </c>
      <c r="E303" s="262"/>
      <c r="F303" s="263">
        <v>2</v>
      </c>
      <c r="G303" s="264" t="s">
        <v>852</v>
      </c>
    </row>
    <row r="304" spans="2:7" ht="14.45" customHeight="1" x14ac:dyDescent="0.2">
      <c r="B304" s="31" t="s">
        <v>479</v>
      </c>
      <c r="C304" s="290" t="s">
        <v>1455</v>
      </c>
      <c r="D304" s="291" t="s">
        <v>668</v>
      </c>
      <c r="E304" s="267"/>
      <c r="F304" s="268">
        <v>2</v>
      </c>
      <c r="G304" s="269" t="s">
        <v>855</v>
      </c>
    </row>
    <row r="305" spans="2:7" ht="14.45" customHeight="1" x14ac:dyDescent="0.2">
      <c r="B305" s="31" t="s">
        <v>479</v>
      </c>
      <c r="C305" s="256" t="s">
        <v>482</v>
      </c>
      <c r="D305" s="257" t="s">
        <v>201</v>
      </c>
      <c r="E305" s="258"/>
      <c r="F305" s="259">
        <v>2</v>
      </c>
      <c r="G305" s="260" t="s">
        <v>856</v>
      </c>
    </row>
    <row r="306" spans="2:7" ht="14.45" customHeight="1" x14ac:dyDescent="0.2">
      <c r="B306" s="31" t="s">
        <v>479</v>
      </c>
      <c r="C306" s="42" t="s">
        <v>482</v>
      </c>
      <c r="D306" s="248" t="s">
        <v>181</v>
      </c>
      <c r="E306" s="249"/>
      <c r="F306" s="250">
        <v>2</v>
      </c>
      <c r="G306" s="251" t="s">
        <v>857</v>
      </c>
    </row>
    <row r="307" spans="2:7" ht="14.45" customHeight="1" x14ac:dyDescent="0.2">
      <c r="B307" s="31" t="s">
        <v>479</v>
      </c>
      <c r="C307" s="42" t="s">
        <v>482</v>
      </c>
      <c r="D307" s="248" t="s">
        <v>669</v>
      </c>
      <c r="E307" s="249"/>
      <c r="F307" s="250">
        <v>2</v>
      </c>
      <c r="G307" s="251" t="s">
        <v>858</v>
      </c>
    </row>
    <row r="308" spans="2:7" ht="14.45" customHeight="1" x14ac:dyDescent="0.2">
      <c r="B308" s="31" t="s">
        <v>479</v>
      </c>
      <c r="C308" s="42" t="s">
        <v>482</v>
      </c>
      <c r="D308" s="248" t="s">
        <v>670</v>
      </c>
      <c r="E308" s="249"/>
      <c r="F308" s="250">
        <v>2</v>
      </c>
      <c r="G308" s="251" t="s">
        <v>859</v>
      </c>
    </row>
    <row r="309" spans="2:7" ht="14.45" customHeight="1" x14ac:dyDescent="0.2">
      <c r="B309" s="31" t="s">
        <v>479</v>
      </c>
      <c r="C309" s="42" t="s">
        <v>482</v>
      </c>
      <c r="D309" s="248" t="s">
        <v>562</v>
      </c>
      <c r="E309" s="249"/>
      <c r="F309" s="250">
        <v>2</v>
      </c>
      <c r="G309" s="251" t="s">
        <v>671</v>
      </c>
    </row>
    <row r="310" spans="2:7" ht="14.45" customHeight="1" x14ac:dyDescent="0.2">
      <c r="B310" s="31" t="s">
        <v>479</v>
      </c>
      <c r="C310" s="54" t="s">
        <v>482</v>
      </c>
      <c r="D310" s="252" t="s">
        <v>563</v>
      </c>
      <c r="E310" s="253"/>
      <c r="F310" s="254">
        <v>2</v>
      </c>
      <c r="G310" s="255" t="s">
        <v>672</v>
      </c>
    </row>
    <row r="311" spans="2:7" ht="14.45" customHeight="1" x14ac:dyDescent="0.2">
      <c r="B311" s="31" t="s">
        <v>479</v>
      </c>
      <c r="C311" s="256" t="s">
        <v>492</v>
      </c>
      <c r="D311" s="257" t="s">
        <v>202</v>
      </c>
      <c r="E311" s="258"/>
      <c r="F311" s="259">
        <v>2</v>
      </c>
      <c r="G311" s="260" t="s">
        <v>860</v>
      </c>
    </row>
    <row r="312" spans="2:7" ht="14.45" customHeight="1" x14ac:dyDescent="0.2">
      <c r="B312" s="31" t="s">
        <v>479</v>
      </c>
      <c r="C312" s="42" t="s">
        <v>492</v>
      </c>
      <c r="D312" s="248" t="s">
        <v>673</v>
      </c>
      <c r="E312" s="249"/>
      <c r="F312" s="250">
        <v>2</v>
      </c>
      <c r="G312" s="251" t="s">
        <v>861</v>
      </c>
    </row>
    <row r="313" spans="2:7" ht="14.45" customHeight="1" x14ac:dyDescent="0.2">
      <c r="B313" s="31" t="s">
        <v>479</v>
      </c>
      <c r="C313" s="42" t="s">
        <v>492</v>
      </c>
      <c r="D313" s="248" t="s">
        <v>674</v>
      </c>
      <c r="E313" s="249"/>
      <c r="F313" s="250">
        <v>2</v>
      </c>
      <c r="G313" s="251" t="s">
        <v>862</v>
      </c>
    </row>
    <row r="314" spans="2:7" ht="14.45" customHeight="1" x14ac:dyDescent="0.2">
      <c r="B314" s="31" t="s">
        <v>479</v>
      </c>
      <c r="C314" s="42" t="s">
        <v>492</v>
      </c>
      <c r="D314" s="248" t="s">
        <v>675</v>
      </c>
      <c r="E314" s="249"/>
      <c r="F314" s="250">
        <v>2</v>
      </c>
      <c r="G314" s="251" t="s">
        <v>863</v>
      </c>
    </row>
    <row r="315" spans="2:7" ht="14.45" customHeight="1" x14ac:dyDescent="0.2">
      <c r="B315" s="31" t="s">
        <v>479</v>
      </c>
      <c r="C315" s="42" t="s">
        <v>492</v>
      </c>
      <c r="D315" s="248" t="s">
        <v>676</v>
      </c>
      <c r="E315" s="249"/>
      <c r="F315" s="250">
        <v>2</v>
      </c>
      <c r="G315" s="251" t="s">
        <v>864</v>
      </c>
    </row>
    <row r="316" spans="2:7" ht="14.45" customHeight="1" x14ac:dyDescent="0.2">
      <c r="B316" s="31" t="s">
        <v>479</v>
      </c>
      <c r="C316" s="42" t="s">
        <v>492</v>
      </c>
      <c r="D316" s="248" t="s">
        <v>677</v>
      </c>
      <c r="E316" s="249"/>
      <c r="F316" s="250">
        <v>2</v>
      </c>
      <c r="G316" s="251" t="s">
        <v>865</v>
      </c>
    </row>
    <row r="317" spans="2:7" ht="14.45" customHeight="1" x14ac:dyDescent="0.2">
      <c r="B317" s="31" t="s">
        <v>479</v>
      </c>
      <c r="C317" s="42" t="s">
        <v>492</v>
      </c>
      <c r="D317" s="248" t="s">
        <v>56</v>
      </c>
      <c r="E317" s="249"/>
      <c r="F317" s="250">
        <v>2</v>
      </c>
      <c r="G317" s="251" t="s">
        <v>866</v>
      </c>
    </row>
    <row r="318" spans="2:7" ht="14.45" customHeight="1" x14ac:dyDescent="0.2">
      <c r="B318" s="31" t="s">
        <v>479</v>
      </c>
      <c r="C318" s="54" t="s">
        <v>492</v>
      </c>
      <c r="D318" s="261" t="s">
        <v>678</v>
      </c>
      <c r="E318" s="262"/>
      <c r="F318" s="263">
        <v>2</v>
      </c>
      <c r="G318" s="264" t="s">
        <v>867</v>
      </c>
    </row>
    <row r="319" spans="2:7" ht="14.45" customHeight="1" thickBot="1" x14ac:dyDescent="0.25">
      <c r="B319" s="74" t="s">
        <v>479</v>
      </c>
      <c r="C319" s="279" t="s">
        <v>480</v>
      </c>
      <c r="D319" s="292"/>
      <c r="E319" s="293"/>
      <c r="F319" s="294">
        <v>2</v>
      </c>
      <c r="G319" s="295"/>
    </row>
  </sheetData>
  <autoFilter ref="B3:G3" xr:uid="{8ACC3650-533B-46C8-962A-A1B0C5B27A55}"/>
  <mergeCells count="1">
    <mergeCell ref="B2:C2"/>
  </mergeCells>
  <phoneticPr fontId="3" type="noConversion"/>
  <conditionalFormatting sqref="B4:G319">
    <cfRule type="expression" dxfId="2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1A31CC9-5AC4-4B7C-B5E4-22199104C270}">
          <x14:formula1>
            <xm:f>설정!$B$14:$B$16</xm:f>
          </x14:formula1>
          <xm:sqref>E4:E319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077CF-0032-4354-BAB6-83058A0D3BDF}">
  <sheetPr codeName="Sheet11"/>
  <dimension ref="B2:O38"/>
  <sheetViews>
    <sheetView showGridLines="0" zoomScaleNormal="100" workbookViewId="0">
      <pane ySplit="2" topLeftCell="A3" activePane="bottomLeft" state="frozen"/>
      <selection pane="bottomLeft" activeCell="D15" sqref="D15"/>
    </sheetView>
  </sheetViews>
  <sheetFormatPr defaultRowHeight="14.45" customHeight="1" x14ac:dyDescent="0.2"/>
  <cols>
    <col min="1" max="1" width="1.28515625" style="223" customWidth="1"/>
    <col min="2" max="2" width="50.7109375" style="223" customWidth="1"/>
    <col min="3" max="3" width="9.7109375" style="233" customWidth="1"/>
    <col min="4" max="4" width="4.42578125" style="233" customWidth="1"/>
    <col min="5" max="6" width="9.140625" style="223"/>
    <col min="7" max="9" width="9.140625" style="224"/>
    <col min="10" max="15" width="9.140625" style="233"/>
    <col min="16" max="16384" width="9.140625" style="223"/>
  </cols>
  <sheetData>
    <row r="2" spans="2:9" ht="14.45" customHeight="1" thickBot="1" x14ac:dyDescent="0.25">
      <c r="B2" s="390" t="s">
        <v>540</v>
      </c>
      <c r="C2" s="391"/>
      <c r="D2" s="229" t="s">
        <v>541</v>
      </c>
    </row>
    <row r="3" spans="2:9" ht="14.45" customHeight="1" x14ac:dyDescent="0.2">
      <c r="B3" s="242" t="s">
        <v>396</v>
      </c>
      <c r="C3" s="338" t="s">
        <v>542</v>
      </c>
      <c r="D3" s="230" t="s">
        <v>1037</v>
      </c>
      <c r="I3" s="228"/>
    </row>
    <row r="4" spans="2:9" ht="14.45" customHeight="1" x14ac:dyDescent="0.2">
      <c r="B4" s="31" t="s">
        <v>1606</v>
      </c>
      <c r="C4" s="339" t="s">
        <v>543</v>
      </c>
      <c r="D4" s="231" t="s">
        <v>1038</v>
      </c>
    </row>
    <row r="5" spans="2:9" ht="14.45" customHeight="1" thickBot="1" x14ac:dyDescent="0.25">
      <c r="B5" s="74" t="s">
        <v>1606</v>
      </c>
      <c r="C5" s="340" t="s">
        <v>544</v>
      </c>
      <c r="D5" s="232" t="s">
        <v>1039</v>
      </c>
    </row>
    <row r="6" spans="2:9" ht="14.45" customHeight="1" x14ac:dyDescent="0.2">
      <c r="B6" s="242" t="s">
        <v>554</v>
      </c>
      <c r="C6" s="338" t="s">
        <v>542</v>
      </c>
      <c r="D6" s="230" t="s">
        <v>1040</v>
      </c>
    </row>
    <row r="7" spans="2:9" ht="14.45" customHeight="1" x14ac:dyDescent="0.2">
      <c r="B7" s="31" t="s">
        <v>520</v>
      </c>
      <c r="C7" s="339" t="s">
        <v>543</v>
      </c>
      <c r="D7" s="231" t="s">
        <v>1041</v>
      </c>
    </row>
    <row r="8" spans="2:9" ht="14.45" customHeight="1" thickBot="1" x14ac:dyDescent="0.25">
      <c r="B8" s="74" t="s">
        <v>520</v>
      </c>
      <c r="C8" s="340" t="s">
        <v>544</v>
      </c>
      <c r="D8" s="232" t="s">
        <v>1042</v>
      </c>
    </row>
    <row r="9" spans="2:9" ht="14.45" customHeight="1" x14ac:dyDescent="0.2">
      <c r="B9" s="242" t="s">
        <v>545</v>
      </c>
      <c r="C9" s="338" t="s">
        <v>542</v>
      </c>
      <c r="D9" s="230" t="s">
        <v>1043</v>
      </c>
    </row>
    <row r="10" spans="2:9" ht="14.45" customHeight="1" x14ac:dyDescent="0.2">
      <c r="B10" s="31" t="s">
        <v>545</v>
      </c>
      <c r="C10" s="339" t="s">
        <v>543</v>
      </c>
      <c r="D10" s="231" t="s">
        <v>1044</v>
      </c>
    </row>
    <row r="11" spans="2:9" ht="14.45" customHeight="1" thickBot="1" x14ac:dyDescent="0.25">
      <c r="B11" s="74" t="s">
        <v>545</v>
      </c>
      <c r="C11" s="340" t="s">
        <v>544</v>
      </c>
      <c r="D11" s="232" t="s">
        <v>1045</v>
      </c>
    </row>
    <row r="12" spans="2:9" ht="14.45" customHeight="1" x14ac:dyDescent="0.2">
      <c r="B12" s="242" t="s">
        <v>546</v>
      </c>
      <c r="C12" s="338" t="s">
        <v>542</v>
      </c>
      <c r="D12" s="230" t="s">
        <v>1046</v>
      </c>
    </row>
    <row r="13" spans="2:9" ht="14.45" customHeight="1" x14ac:dyDescent="0.2">
      <c r="B13" s="31" t="s">
        <v>546</v>
      </c>
      <c r="C13" s="339" t="s">
        <v>543</v>
      </c>
      <c r="D13" s="231" t="s">
        <v>1047</v>
      </c>
    </row>
    <row r="14" spans="2:9" ht="14.45" customHeight="1" thickBot="1" x14ac:dyDescent="0.25">
      <c r="B14" s="74" t="s">
        <v>546</v>
      </c>
      <c r="C14" s="340" t="s">
        <v>544</v>
      </c>
      <c r="D14" s="232" t="s">
        <v>1048</v>
      </c>
    </row>
    <row r="15" spans="2:9" ht="14.45" customHeight="1" x14ac:dyDescent="0.2">
      <c r="B15" s="242" t="s">
        <v>547</v>
      </c>
      <c r="C15" s="338" t="s">
        <v>542</v>
      </c>
      <c r="D15" s="230" t="s">
        <v>1049</v>
      </c>
    </row>
    <row r="16" spans="2:9" ht="14.45" customHeight="1" x14ac:dyDescent="0.2">
      <c r="B16" s="31" t="s">
        <v>547</v>
      </c>
      <c r="C16" s="339" t="s">
        <v>543</v>
      </c>
      <c r="D16" s="231" t="s">
        <v>1050</v>
      </c>
    </row>
    <row r="17" spans="2:4" ht="14.45" customHeight="1" thickBot="1" x14ac:dyDescent="0.25">
      <c r="B17" s="74" t="s">
        <v>547</v>
      </c>
      <c r="C17" s="340" t="s">
        <v>544</v>
      </c>
      <c r="D17" s="232" t="s">
        <v>1051</v>
      </c>
    </row>
    <row r="18" spans="2:4" ht="14.45" customHeight="1" x14ac:dyDescent="0.2">
      <c r="B18" s="242" t="s">
        <v>548</v>
      </c>
      <c r="C18" s="338" t="s">
        <v>542</v>
      </c>
      <c r="D18" s="230" t="s">
        <v>1052</v>
      </c>
    </row>
    <row r="19" spans="2:4" ht="14.45" customHeight="1" x14ac:dyDescent="0.2">
      <c r="B19" s="31" t="s">
        <v>548</v>
      </c>
      <c r="C19" s="339" t="s">
        <v>543</v>
      </c>
      <c r="D19" s="231" t="s">
        <v>1053</v>
      </c>
    </row>
    <row r="20" spans="2:4" ht="14.45" customHeight="1" thickBot="1" x14ac:dyDescent="0.25">
      <c r="B20" s="74" t="s">
        <v>548</v>
      </c>
      <c r="C20" s="340" t="s">
        <v>544</v>
      </c>
      <c r="D20" s="232" t="s">
        <v>1054</v>
      </c>
    </row>
    <row r="21" spans="2:4" ht="14.45" customHeight="1" x14ac:dyDescent="0.2">
      <c r="B21" s="242" t="s">
        <v>549</v>
      </c>
      <c r="C21" s="338" t="s">
        <v>542</v>
      </c>
      <c r="D21" s="230" t="s">
        <v>1055</v>
      </c>
    </row>
    <row r="22" spans="2:4" ht="14.45" customHeight="1" x14ac:dyDescent="0.2">
      <c r="B22" s="31" t="s">
        <v>549</v>
      </c>
      <c r="C22" s="339" t="s">
        <v>543</v>
      </c>
      <c r="D22" s="231" t="s">
        <v>1056</v>
      </c>
    </row>
    <row r="23" spans="2:4" ht="14.45" customHeight="1" thickBot="1" x14ac:dyDescent="0.25">
      <c r="B23" s="74" t="s">
        <v>549</v>
      </c>
      <c r="C23" s="340" t="s">
        <v>544</v>
      </c>
      <c r="D23" s="232" t="s">
        <v>1057</v>
      </c>
    </row>
    <row r="24" spans="2:4" ht="14.45" customHeight="1" x14ac:dyDescent="0.2">
      <c r="B24" s="242" t="s">
        <v>550</v>
      </c>
      <c r="C24" s="338" t="s">
        <v>542</v>
      </c>
      <c r="D24" s="230" t="s">
        <v>1058</v>
      </c>
    </row>
    <row r="25" spans="2:4" ht="14.45" customHeight="1" x14ac:dyDescent="0.2">
      <c r="B25" s="31" t="s">
        <v>550</v>
      </c>
      <c r="C25" s="339" t="s">
        <v>543</v>
      </c>
      <c r="D25" s="231" t="s">
        <v>1059</v>
      </c>
    </row>
    <row r="26" spans="2:4" ht="14.45" customHeight="1" thickBot="1" x14ac:dyDescent="0.25">
      <c r="B26" s="74" t="s">
        <v>550</v>
      </c>
      <c r="C26" s="340" t="s">
        <v>544</v>
      </c>
      <c r="D26" s="232" t="s">
        <v>1060</v>
      </c>
    </row>
    <row r="27" spans="2:4" ht="14.45" customHeight="1" x14ac:dyDescent="0.2">
      <c r="B27" s="242" t="s">
        <v>551</v>
      </c>
      <c r="C27" s="338" t="s">
        <v>542</v>
      </c>
      <c r="D27" s="230" t="s">
        <v>1061</v>
      </c>
    </row>
    <row r="28" spans="2:4" ht="14.45" customHeight="1" x14ac:dyDescent="0.2">
      <c r="B28" s="31" t="s">
        <v>551</v>
      </c>
      <c r="C28" s="339" t="s">
        <v>543</v>
      </c>
      <c r="D28" s="231" t="s">
        <v>1062</v>
      </c>
    </row>
    <row r="29" spans="2:4" ht="14.45" customHeight="1" thickBot="1" x14ac:dyDescent="0.25">
      <c r="B29" s="74" t="s">
        <v>551</v>
      </c>
      <c r="C29" s="340" t="s">
        <v>544</v>
      </c>
      <c r="D29" s="232" t="s">
        <v>1063</v>
      </c>
    </row>
    <row r="30" spans="2:4" ht="14.45" customHeight="1" x14ac:dyDescent="0.2">
      <c r="B30" s="242" t="s">
        <v>552</v>
      </c>
      <c r="C30" s="338" t="s">
        <v>542</v>
      </c>
      <c r="D30" s="230" t="s">
        <v>1064</v>
      </c>
    </row>
    <row r="31" spans="2:4" ht="14.45" customHeight="1" x14ac:dyDescent="0.2">
      <c r="B31" s="31" t="s">
        <v>552</v>
      </c>
      <c r="C31" s="339" t="s">
        <v>543</v>
      </c>
      <c r="D31" s="231" t="s">
        <v>1065</v>
      </c>
    </row>
    <row r="32" spans="2:4" ht="14.45" customHeight="1" thickBot="1" x14ac:dyDescent="0.25">
      <c r="B32" s="74" t="s">
        <v>552</v>
      </c>
      <c r="C32" s="340" t="s">
        <v>544</v>
      </c>
      <c r="D32" s="232" t="s">
        <v>1066</v>
      </c>
    </row>
    <row r="33" spans="2:4" ht="14.45" customHeight="1" x14ac:dyDescent="0.2">
      <c r="B33" s="242" t="s">
        <v>553</v>
      </c>
      <c r="C33" s="338" t="s">
        <v>542</v>
      </c>
      <c r="D33" s="230" t="s">
        <v>1067</v>
      </c>
    </row>
    <row r="34" spans="2:4" ht="14.45" customHeight="1" x14ac:dyDescent="0.2">
      <c r="B34" s="31" t="s">
        <v>553</v>
      </c>
      <c r="C34" s="339" t="s">
        <v>543</v>
      </c>
      <c r="D34" s="231" t="s">
        <v>1068</v>
      </c>
    </row>
    <row r="35" spans="2:4" ht="14.45" customHeight="1" thickBot="1" x14ac:dyDescent="0.25">
      <c r="B35" s="74" t="s">
        <v>553</v>
      </c>
      <c r="C35" s="340" t="s">
        <v>544</v>
      </c>
      <c r="D35" s="232" t="s">
        <v>1069</v>
      </c>
    </row>
    <row r="36" spans="2:4" ht="14.45" customHeight="1" x14ac:dyDescent="0.2">
      <c r="B36" s="341" t="s">
        <v>205</v>
      </c>
      <c r="C36" s="338" t="s">
        <v>542</v>
      </c>
      <c r="D36" s="230" t="s">
        <v>1070</v>
      </c>
    </row>
    <row r="37" spans="2:4" ht="14.45" customHeight="1" x14ac:dyDescent="0.2">
      <c r="B37" s="342" t="s">
        <v>1607</v>
      </c>
      <c r="C37" s="339" t="s">
        <v>543</v>
      </c>
      <c r="D37" s="231" t="s">
        <v>1071</v>
      </c>
    </row>
    <row r="38" spans="2:4" ht="14.45" customHeight="1" thickBot="1" x14ac:dyDescent="0.25">
      <c r="B38" s="343" t="s">
        <v>1607</v>
      </c>
      <c r="C38" s="340" t="s">
        <v>544</v>
      </c>
      <c r="D38" s="232" t="s">
        <v>1072</v>
      </c>
    </row>
  </sheetData>
  <mergeCells count="1">
    <mergeCell ref="B2:C2"/>
  </mergeCells>
  <phoneticPr fontId="3" type="noConversion"/>
  <conditionalFormatting sqref="B3:D38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48C32-6748-4262-AC88-EC89B70855A8}">
  <sheetPr codeName="Sheet3"/>
  <dimension ref="B2:G114"/>
  <sheetViews>
    <sheetView showGridLines="0" zoomScaleNormal="100" workbookViewId="0">
      <pane ySplit="3" topLeftCell="A31" activePane="bottomLeft" state="frozen"/>
      <selection pane="bottomLeft" activeCell="D48" sqref="D48"/>
    </sheetView>
  </sheetViews>
  <sheetFormatPr defaultRowHeight="14.45" customHeight="1" x14ac:dyDescent="0.2"/>
  <cols>
    <col min="1" max="1" width="1.28515625" style="180" customWidth="1"/>
    <col min="2" max="2" width="40.7109375" style="180" customWidth="1"/>
    <col min="3" max="3" width="45.7109375" style="180" customWidth="1"/>
    <col min="4" max="4" width="5.7109375" style="180" customWidth="1"/>
    <col min="5" max="5" width="6.7109375" style="180" customWidth="1"/>
    <col min="6" max="6" width="50.7109375" style="180" customWidth="1"/>
    <col min="7" max="7" width="4.42578125" style="180" customWidth="1"/>
    <col min="8" max="16384" width="9.140625" style="180"/>
  </cols>
  <sheetData>
    <row r="2" spans="2:7" ht="14.45" customHeight="1" thickBot="1" x14ac:dyDescent="0.25">
      <c r="B2" s="180" t="s">
        <v>1421</v>
      </c>
    </row>
    <row r="3" spans="2:7" ht="14.45" customHeight="1" thickBot="1" x14ac:dyDescent="0.25">
      <c r="B3" s="194" t="s">
        <v>0</v>
      </c>
      <c r="C3" s="195" t="s">
        <v>1</v>
      </c>
      <c r="D3" s="195" t="s">
        <v>1458</v>
      </c>
      <c r="E3" s="196" t="s">
        <v>1501</v>
      </c>
      <c r="F3" s="197" t="s">
        <v>409</v>
      </c>
      <c r="G3" s="10" t="s">
        <v>1553</v>
      </c>
    </row>
    <row r="4" spans="2:7" ht="14.45" customHeight="1" x14ac:dyDescent="0.2">
      <c r="B4" s="198" t="s">
        <v>1807</v>
      </c>
      <c r="C4" s="199" t="s">
        <v>1459</v>
      </c>
      <c r="D4" s="200">
        <f>COUNTIFS(문제목록!I:I,기출빈도!C4,문제목록!M:M,"기출")</f>
        <v>0</v>
      </c>
      <c r="E4" s="201">
        <f>_xlfn.MAXIFS(문제목록!C:C,문제목록!I:I,기출빈도!C4,문제목록!M:M,"기출")</f>
        <v>0</v>
      </c>
      <c r="F4" s="202"/>
      <c r="G4" s="203" t="s">
        <v>930</v>
      </c>
    </row>
    <row r="5" spans="2:7" ht="14.45" customHeight="1" x14ac:dyDescent="0.2">
      <c r="B5" s="204" t="s">
        <v>1476</v>
      </c>
      <c r="C5" s="191" t="s">
        <v>1422</v>
      </c>
      <c r="D5" s="205">
        <f>COUNTIFS(문제목록!I:I,기출빈도!C5,문제목록!M:M,"기출")</f>
        <v>0</v>
      </c>
      <c r="E5" s="206">
        <f>_xlfn.MAXIFS(문제목록!C:C,문제목록!I:I,기출빈도!C5,문제목록!M:M,"기출")</f>
        <v>0</v>
      </c>
      <c r="F5" s="207"/>
      <c r="G5" s="208" t="s">
        <v>931</v>
      </c>
    </row>
    <row r="6" spans="2:7" ht="14.45" customHeight="1" x14ac:dyDescent="0.2">
      <c r="B6" s="204" t="s">
        <v>1476</v>
      </c>
      <c r="C6" s="191" t="s">
        <v>1423</v>
      </c>
      <c r="D6" s="205">
        <f>COUNTIFS(문제목록!I:I,기출빈도!C6,문제목록!M:M,"기출")</f>
        <v>0</v>
      </c>
      <c r="E6" s="206">
        <f>_xlfn.MAXIFS(문제목록!C:C,문제목록!I:I,기출빈도!C6,문제목록!M:M,"기출")</f>
        <v>0</v>
      </c>
      <c r="F6" s="207"/>
      <c r="G6" s="208" t="s">
        <v>1554</v>
      </c>
    </row>
    <row r="7" spans="2:7" ht="14.45" customHeight="1" x14ac:dyDescent="0.2">
      <c r="B7" s="204" t="s">
        <v>1476</v>
      </c>
      <c r="C7" s="191" t="s">
        <v>1424</v>
      </c>
      <c r="D7" s="205">
        <f>COUNTIFS(문제목록!I:I,기출빈도!C7,문제목록!M:M,"기출")</f>
        <v>1</v>
      </c>
      <c r="E7" s="206">
        <f>_xlfn.MAXIFS(문제목록!C:C,문제목록!I:I,기출빈도!C7,문제목록!M:M,"기출")</f>
        <v>2018</v>
      </c>
      <c r="F7" s="207"/>
      <c r="G7" s="208" t="s">
        <v>932</v>
      </c>
    </row>
    <row r="8" spans="2:7" ht="14.45" customHeight="1" x14ac:dyDescent="0.2">
      <c r="B8" s="204" t="s">
        <v>1476</v>
      </c>
      <c r="C8" s="191" t="s">
        <v>1806</v>
      </c>
      <c r="D8" s="205">
        <f>COUNTIFS(문제목록!I:I,기출빈도!C8,문제목록!M:M,"기출")</f>
        <v>1</v>
      </c>
      <c r="E8" s="206">
        <f>_xlfn.MAXIFS(문제목록!C:C,문제목록!I:I,기출빈도!C8,문제목록!M:M,"기출")</f>
        <v>2024</v>
      </c>
      <c r="F8" s="207"/>
      <c r="G8" s="208" t="s">
        <v>933</v>
      </c>
    </row>
    <row r="9" spans="2:7" ht="14.45" customHeight="1" x14ac:dyDescent="0.2">
      <c r="B9" s="204" t="s">
        <v>1476</v>
      </c>
      <c r="C9" s="191" t="s">
        <v>1426</v>
      </c>
      <c r="D9" s="205">
        <f>COUNTIFS(문제목록!I:I,기출빈도!C9,문제목록!M:M,"기출")</f>
        <v>1</v>
      </c>
      <c r="E9" s="206">
        <f>_xlfn.MAXIFS(문제목록!C:C,문제목록!I:I,기출빈도!C9,문제목록!M:M,"기출")</f>
        <v>2020</v>
      </c>
      <c r="F9" s="207"/>
      <c r="G9" s="208" t="s">
        <v>934</v>
      </c>
    </row>
    <row r="10" spans="2:7" ht="14.45" customHeight="1" x14ac:dyDescent="0.2">
      <c r="B10" s="204" t="s">
        <v>1476</v>
      </c>
      <c r="C10" s="191" t="s">
        <v>1805</v>
      </c>
      <c r="D10" s="205">
        <f>COUNTIFS(문제목록!I:I,기출빈도!C10,문제목록!M:M,"기출")</f>
        <v>1</v>
      </c>
      <c r="E10" s="209">
        <f>_xlfn.MAXIFS(문제목록!C:C,문제목록!I:I,기출빈도!C10,문제목록!M:M,"기출")</f>
        <v>2019</v>
      </c>
      <c r="F10" s="207"/>
      <c r="G10" s="210" t="s">
        <v>935</v>
      </c>
    </row>
    <row r="11" spans="2:7" ht="14.45" customHeight="1" thickBot="1" x14ac:dyDescent="0.25">
      <c r="B11" s="211" t="s">
        <v>1476</v>
      </c>
      <c r="C11" s="212" t="s">
        <v>1475</v>
      </c>
      <c r="D11" s="213">
        <f>SUM(D4:D10)</f>
        <v>4</v>
      </c>
      <c r="E11" s="214">
        <f>MAX(E4:E10)</f>
        <v>2024</v>
      </c>
      <c r="F11" s="215"/>
      <c r="G11" s="216"/>
    </row>
    <row r="12" spans="2:7" ht="14.45" customHeight="1" x14ac:dyDescent="0.2">
      <c r="B12" s="198" t="s">
        <v>441</v>
      </c>
      <c r="C12" s="199" t="s">
        <v>461</v>
      </c>
      <c r="D12" s="200">
        <f>COUNTIFS(문제목록!I:I,기출빈도!C12,문제목록!M:M,"기출")</f>
        <v>1</v>
      </c>
      <c r="E12" s="201">
        <f>_xlfn.MAXIFS(문제목록!C:C,문제목록!I:I,기출빈도!C12,문제목록!M:M,"기출")</f>
        <v>2012</v>
      </c>
      <c r="F12" s="202"/>
      <c r="G12" s="203" t="s">
        <v>936</v>
      </c>
    </row>
    <row r="13" spans="2:7" ht="14.45" customHeight="1" x14ac:dyDescent="0.2">
      <c r="B13" s="204" t="s">
        <v>441</v>
      </c>
      <c r="C13" s="191" t="s">
        <v>442</v>
      </c>
      <c r="D13" s="205">
        <f>COUNTIFS(문제목록!I:I,기출빈도!C13,문제목록!M:M,"기출")</f>
        <v>3</v>
      </c>
      <c r="E13" s="206">
        <f>_xlfn.MAXIFS(문제목록!C:C,문제목록!I:I,기출빈도!C13,문제목록!M:M,"기출")</f>
        <v>2019</v>
      </c>
      <c r="F13" s="207"/>
      <c r="G13" s="208" t="s">
        <v>937</v>
      </c>
    </row>
    <row r="14" spans="2:7" ht="14.45" customHeight="1" x14ac:dyDescent="0.2">
      <c r="B14" s="204" t="s">
        <v>441</v>
      </c>
      <c r="C14" s="191" t="s">
        <v>452</v>
      </c>
      <c r="D14" s="205">
        <f>COUNTIFS(문제목록!I:I,기출빈도!C14,문제목록!M:M,"기출")</f>
        <v>1</v>
      </c>
      <c r="E14" s="206">
        <f>_xlfn.MAXIFS(문제목록!C:C,문제목록!I:I,기출빈도!C14,문제목록!M:M,"기출")</f>
        <v>2016</v>
      </c>
      <c r="F14" s="207"/>
      <c r="G14" s="208" t="s">
        <v>938</v>
      </c>
    </row>
    <row r="15" spans="2:7" ht="14.45" customHeight="1" x14ac:dyDescent="0.2">
      <c r="B15" s="204" t="s">
        <v>441</v>
      </c>
      <c r="C15" s="191" t="s">
        <v>1428</v>
      </c>
      <c r="D15" s="205">
        <f>COUNTIFS(문제목록!I:I,기출빈도!C15,문제목록!M:M,"기출")</f>
        <v>0</v>
      </c>
      <c r="E15" s="209">
        <f>_xlfn.MAXIFS(문제목록!C:C,문제목록!I:I,기출빈도!C15,문제목록!M:M,"기출")</f>
        <v>0</v>
      </c>
      <c r="F15" s="207"/>
      <c r="G15" s="210" t="s">
        <v>939</v>
      </c>
    </row>
    <row r="16" spans="2:7" ht="14.45" customHeight="1" thickBot="1" x14ac:dyDescent="0.25">
      <c r="B16" s="211" t="s">
        <v>451</v>
      </c>
      <c r="C16" s="212" t="s">
        <v>1475</v>
      </c>
      <c r="D16" s="213">
        <f>SUM(D12:D15)</f>
        <v>5</v>
      </c>
      <c r="E16" s="214">
        <f>MAX(E12:E15)</f>
        <v>2019</v>
      </c>
      <c r="F16" s="215"/>
      <c r="G16" s="216"/>
    </row>
    <row r="17" spans="2:7" ht="14.45" customHeight="1" x14ac:dyDescent="0.2">
      <c r="B17" s="198" t="s">
        <v>425</v>
      </c>
      <c r="C17" s="199" t="s">
        <v>1471</v>
      </c>
      <c r="D17" s="200">
        <f>COUNTIFS(문제목록!I:I,기출빈도!C17,문제목록!M:M,"기출")</f>
        <v>0</v>
      </c>
      <c r="E17" s="201">
        <f>_xlfn.MAXIFS(문제목록!C:C,문제목록!I:I,기출빈도!C17,문제목록!M:M,"기출")</f>
        <v>0</v>
      </c>
      <c r="F17" s="202"/>
      <c r="G17" s="203" t="s">
        <v>940</v>
      </c>
    </row>
    <row r="18" spans="2:7" ht="14.45" customHeight="1" x14ac:dyDescent="0.2">
      <c r="B18" s="204" t="s">
        <v>443</v>
      </c>
      <c r="C18" s="191" t="s">
        <v>1429</v>
      </c>
      <c r="D18" s="205">
        <f>COUNTIFS(문제목록!I:I,기출빈도!C18,문제목록!M:M,"기출")</f>
        <v>0</v>
      </c>
      <c r="E18" s="206">
        <f>_xlfn.MAXIFS(문제목록!C:C,문제목록!I:I,기출빈도!C18,문제목록!M:M,"기출")</f>
        <v>0</v>
      </c>
      <c r="F18" s="207"/>
      <c r="G18" s="208" t="s">
        <v>941</v>
      </c>
    </row>
    <row r="19" spans="2:7" ht="14.45" customHeight="1" x14ac:dyDescent="0.2">
      <c r="B19" s="204" t="s">
        <v>443</v>
      </c>
      <c r="C19" s="191" t="s">
        <v>433</v>
      </c>
      <c r="D19" s="205">
        <f>COUNTIFS(문제목록!I:I,기출빈도!C19,문제목록!M:M,"기출")</f>
        <v>3</v>
      </c>
      <c r="E19" s="206">
        <f>_xlfn.MAXIFS(문제목록!C:C,문제목록!I:I,기출빈도!C19,문제목록!M:M,"기출")</f>
        <v>2022</v>
      </c>
      <c r="F19" s="207"/>
      <c r="G19" s="208" t="s">
        <v>942</v>
      </c>
    </row>
    <row r="20" spans="2:7" ht="14.45" customHeight="1" x14ac:dyDescent="0.2">
      <c r="B20" s="204" t="s">
        <v>443</v>
      </c>
      <c r="C20" s="191" t="s">
        <v>444</v>
      </c>
      <c r="D20" s="205">
        <f>COUNTIFS(문제목록!I:I,기출빈도!C20,문제목록!M:M,"기출")</f>
        <v>3</v>
      </c>
      <c r="E20" s="206">
        <f>_xlfn.MAXIFS(문제목록!C:C,문제목록!I:I,기출빈도!C20,문제목록!M:M,"기출")</f>
        <v>2019</v>
      </c>
      <c r="F20" s="207"/>
      <c r="G20" s="208" t="s">
        <v>943</v>
      </c>
    </row>
    <row r="21" spans="2:7" ht="14.45" customHeight="1" x14ac:dyDescent="0.2">
      <c r="B21" s="204" t="s">
        <v>443</v>
      </c>
      <c r="C21" s="191" t="s">
        <v>1430</v>
      </c>
      <c r="D21" s="205">
        <f>COUNTIFS(문제목록!I:I,기출빈도!C21,문제목록!M:M,"기출")</f>
        <v>0</v>
      </c>
      <c r="E21" s="206">
        <f>_xlfn.MAXIFS(문제목록!C:C,문제목록!I:I,기출빈도!C21,문제목록!M:M,"기출")</f>
        <v>0</v>
      </c>
      <c r="F21" s="207"/>
      <c r="G21" s="208" t="s">
        <v>944</v>
      </c>
    </row>
    <row r="22" spans="2:7" ht="14.45" customHeight="1" x14ac:dyDescent="0.2">
      <c r="B22" s="204" t="s">
        <v>443</v>
      </c>
      <c r="C22" s="191" t="s">
        <v>1431</v>
      </c>
      <c r="D22" s="205">
        <f>COUNTIFS(문제목록!I:I,기출빈도!C22,문제목록!M:M,"기출")</f>
        <v>0</v>
      </c>
      <c r="E22" s="209">
        <f>_xlfn.MAXIFS(문제목록!C:C,문제목록!I:I,기출빈도!C22,문제목록!M:M,"기출")</f>
        <v>0</v>
      </c>
      <c r="F22" s="207"/>
      <c r="G22" s="210" t="s">
        <v>945</v>
      </c>
    </row>
    <row r="23" spans="2:7" ht="14.45" customHeight="1" thickBot="1" x14ac:dyDescent="0.25">
      <c r="B23" s="211" t="s">
        <v>425</v>
      </c>
      <c r="C23" s="212" t="s">
        <v>1475</v>
      </c>
      <c r="D23" s="213">
        <f>SUM(D17:D22)</f>
        <v>6</v>
      </c>
      <c r="E23" s="214">
        <f>MAX(E17:E22)</f>
        <v>2022</v>
      </c>
      <c r="F23" s="215"/>
      <c r="G23" s="216"/>
    </row>
    <row r="24" spans="2:7" ht="14.45" customHeight="1" x14ac:dyDescent="0.2">
      <c r="B24" s="198" t="s">
        <v>448</v>
      </c>
      <c r="C24" s="199" t="s">
        <v>1432</v>
      </c>
      <c r="D24" s="200">
        <f>COUNTIFS(문제목록!I:I,기출빈도!C24,문제목록!M:M,"기출")</f>
        <v>0</v>
      </c>
      <c r="E24" s="201">
        <f>_xlfn.MAXIFS(문제목록!C:C,문제목록!I:I,기출빈도!C24,문제목록!M:M,"기출")</f>
        <v>0</v>
      </c>
      <c r="F24" s="202"/>
      <c r="G24" s="203" t="s">
        <v>946</v>
      </c>
    </row>
    <row r="25" spans="2:7" ht="14.45" customHeight="1" x14ac:dyDescent="0.2">
      <c r="B25" s="204" t="s">
        <v>448</v>
      </c>
      <c r="C25" s="191" t="s">
        <v>474</v>
      </c>
      <c r="D25" s="205">
        <f>COUNTIFS(문제목록!I:I,기출빈도!C25,문제목록!M:M,"기출")</f>
        <v>1</v>
      </c>
      <c r="E25" s="206">
        <f>_xlfn.MAXIFS(문제목록!C:C,문제목록!I:I,기출빈도!C25,문제목록!M:M,"기출")</f>
        <v>2008</v>
      </c>
      <c r="F25" s="207"/>
      <c r="G25" s="208" t="s">
        <v>947</v>
      </c>
    </row>
    <row r="26" spans="2:7" ht="14.45" customHeight="1" x14ac:dyDescent="0.2">
      <c r="B26" s="204" t="s">
        <v>448</v>
      </c>
      <c r="C26" s="191" t="s">
        <v>464</v>
      </c>
      <c r="D26" s="205">
        <f>COUNTIFS(문제목록!I:I,기출빈도!C26,문제목록!M:M,"기출")</f>
        <v>1</v>
      </c>
      <c r="E26" s="206">
        <f>_xlfn.MAXIFS(문제목록!C:C,문제목록!I:I,기출빈도!C26,문제목록!M:M,"기출")</f>
        <v>2011</v>
      </c>
      <c r="F26" s="207"/>
      <c r="G26" s="208" t="s">
        <v>948</v>
      </c>
    </row>
    <row r="27" spans="2:7" ht="14.45" customHeight="1" x14ac:dyDescent="0.2">
      <c r="B27" s="204" t="s">
        <v>448</v>
      </c>
      <c r="C27" s="191" t="s">
        <v>1433</v>
      </c>
      <c r="D27" s="205">
        <f>COUNTIFS(문제목록!I:I,기출빈도!C27,문제목록!M:M,"기출")</f>
        <v>0</v>
      </c>
      <c r="E27" s="206">
        <f>_xlfn.MAXIFS(문제목록!C:C,문제목록!I:I,기출빈도!C27,문제목록!M:M,"기출")</f>
        <v>0</v>
      </c>
      <c r="F27" s="207"/>
      <c r="G27" s="208" t="s">
        <v>949</v>
      </c>
    </row>
    <row r="28" spans="2:7" ht="14.45" customHeight="1" x14ac:dyDescent="0.2">
      <c r="B28" s="204" t="s">
        <v>448</v>
      </c>
      <c r="C28" s="191" t="s">
        <v>1434</v>
      </c>
      <c r="D28" s="205">
        <f>COUNTIFS(문제목록!I:I,기출빈도!C28,문제목록!M:M,"기출")</f>
        <v>0</v>
      </c>
      <c r="E28" s="206">
        <f>_xlfn.MAXIFS(문제목록!C:C,문제목록!I:I,기출빈도!C28,문제목록!M:M,"기출")</f>
        <v>0</v>
      </c>
      <c r="F28" s="207"/>
      <c r="G28" s="208" t="s">
        <v>950</v>
      </c>
    </row>
    <row r="29" spans="2:7" ht="14.45" customHeight="1" x14ac:dyDescent="0.2">
      <c r="B29" s="204" t="s">
        <v>448</v>
      </c>
      <c r="C29" s="191" t="s">
        <v>449</v>
      </c>
      <c r="D29" s="205">
        <f>COUNTIFS(문제목록!I:I,기출빈도!C29,문제목록!M:M,"기출")</f>
        <v>1</v>
      </c>
      <c r="E29" s="209">
        <f>_xlfn.MAXIFS(문제목록!C:C,문제목록!I:I,기출빈도!C29,문제목록!M:M,"기출")</f>
        <v>2016</v>
      </c>
      <c r="F29" s="207"/>
      <c r="G29" s="210" t="s">
        <v>951</v>
      </c>
    </row>
    <row r="30" spans="2:7" ht="14.45" customHeight="1" thickBot="1" x14ac:dyDescent="0.25">
      <c r="B30" s="211" t="s">
        <v>463</v>
      </c>
      <c r="C30" s="212" t="s">
        <v>1475</v>
      </c>
      <c r="D30" s="213">
        <f>SUM(D24:D29)</f>
        <v>3</v>
      </c>
      <c r="E30" s="214">
        <f>MAX(E24:E29)</f>
        <v>2016</v>
      </c>
      <c r="F30" s="215"/>
      <c r="G30" s="216"/>
    </row>
    <row r="31" spans="2:7" ht="14.45" customHeight="1" x14ac:dyDescent="0.2">
      <c r="B31" s="198" t="s">
        <v>1469</v>
      </c>
      <c r="C31" s="199" t="s">
        <v>1470</v>
      </c>
      <c r="D31" s="200">
        <f>COUNTIFS(문제목록!I:I,기출빈도!C31,문제목록!M:M,"기출")</f>
        <v>0</v>
      </c>
      <c r="E31" s="201">
        <f>_xlfn.MAXIFS(문제목록!C:C,문제목록!I:I,기출빈도!C31,문제목록!M:M,"기출")</f>
        <v>0</v>
      </c>
      <c r="F31" s="202"/>
      <c r="G31" s="203" t="s">
        <v>952</v>
      </c>
    </row>
    <row r="32" spans="2:7" ht="14.45" customHeight="1" x14ac:dyDescent="0.2">
      <c r="B32" s="204" t="s">
        <v>434</v>
      </c>
      <c r="C32" s="191" t="s">
        <v>455</v>
      </c>
      <c r="D32" s="205">
        <f>COUNTIFS(문제목록!I:I,기출빈도!C32,문제목록!M:M,"기출")</f>
        <v>5</v>
      </c>
      <c r="E32" s="206">
        <f>_xlfn.MAXIFS(문제목록!C:C,문제목록!I:I,기출빈도!C32,문제목록!M:M,"기출")</f>
        <v>2021</v>
      </c>
      <c r="F32" s="207"/>
      <c r="G32" s="208" t="s">
        <v>953</v>
      </c>
    </row>
    <row r="33" spans="2:7" ht="14.45" customHeight="1" thickBot="1" x14ac:dyDescent="0.25">
      <c r="B33" s="211" t="s">
        <v>1469</v>
      </c>
      <c r="C33" s="212" t="s">
        <v>1475</v>
      </c>
      <c r="D33" s="213">
        <f>SUM(D31:D32)</f>
        <v>5</v>
      </c>
      <c r="E33" s="214">
        <f>MAX(E31:E32)</f>
        <v>2021</v>
      </c>
      <c r="F33" s="215"/>
      <c r="G33" s="216"/>
    </row>
    <row r="34" spans="2:7" ht="14.45" customHeight="1" x14ac:dyDescent="0.2">
      <c r="B34" s="198" t="s">
        <v>1472</v>
      </c>
      <c r="C34" s="199" t="s">
        <v>1473</v>
      </c>
      <c r="D34" s="200">
        <f>COUNTIFS(문제목록!I:I,기출빈도!C34,문제목록!M:M,"기출")</f>
        <v>0</v>
      </c>
      <c r="E34" s="201">
        <f>_xlfn.MAXIFS(문제목록!C:C,문제목록!I:I,기출빈도!C34,문제목록!M:M,"기출")</f>
        <v>0</v>
      </c>
      <c r="F34" s="202"/>
      <c r="G34" s="203" t="s">
        <v>954</v>
      </c>
    </row>
    <row r="35" spans="2:7" ht="14.45" customHeight="1" x14ac:dyDescent="0.2">
      <c r="B35" s="204" t="s">
        <v>1472</v>
      </c>
      <c r="C35" s="191" t="s">
        <v>1474</v>
      </c>
      <c r="D35" s="205">
        <f>COUNTIFS(문제목록!I:I,기출빈도!C35,문제목록!M:M,"기출")</f>
        <v>0</v>
      </c>
      <c r="E35" s="206">
        <f>_xlfn.MAXIFS(문제목록!C:C,문제목록!I:I,기출빈도!C35,문제목록!M:M,"기출")</f>
        <v>0</v>
      </c>
      <c r="F35" s="207"/>
      <c r="G35" s="208" t="s">
        <v>955</v>
      </c>
    </row>
    <row r="36" spans="2:7" ht="14.45" customHeight="1" x14ac:dyDescent="0.2">
      <c r="B36" s="204" t="s">
        <v>427</v>
      </c>
      <c r="C36" s="191" t="s">
        <v>468</v>
      </c>
      <c r="D36" s="205">
        <f>COUNTIFS(문제목록!I:I,기출빈도!C36,문제목록!M:M,"기출")</f>
        <v>1</v>
      </c>
      <c r="E36" s="206">
        <f>_xlfn.MAXIFS(문제목록!C:C,문제목록!I:I,기출빈도!C36,문제목록!M:M,"기출")</f>
        <v>2010</v>
      </c>
      <c r="F36" s="207"/>
      <c r="G36" s="208" t="s">
        <v>956</v>
      </c>
    </row>
    <row r="37" spans="2:7" ht="14.45" customHeight="1" x14ac:dyDescent="0.2">
      <c r="B37" s="204" t="s">
        <v>427</v>
      </c>
      <c r="C37" s="191" t="s">
        <v>457</v>
      </c>
      <c r="D37" s="205">
        <f>COUNTIFS(문제목록!I:I,기출빈도!C37,문제목록!M:M,"기출")</f>
        <v>1</v>
      </c>
      <c r="E37" s="206">
        <f>_xlfn.MAXIFS(문제목록!C:C,문제목록!I:I,기출빈도!C37,문제목록!M:M,"기출")</f>
        <v>2015</v>
      </c>
      <c r="F37" s="207"/>
      <c r="G37" s="208" t="s">
        <v>957</v>
      </c>
    </row>
    <row r="38" spans="2:7" ht="14.45" customHeight="1" x14ac:dyDescent="0.2">
      <c r="B38" s="204" t="s">
        <v>427</v>
      </c>
      <c r="C38" s="191" t="s">
        <v>428</v>
      </c>
      <c r="D38" s="205">
        <f>COUNTIFS(문제목록!I:I,기출빈도!C38,문제목록!M:M,"기출")</f>
        <v>1</v>
      </c>
      <c r="E38" s="206">
        <f>_xlfn.MAXIFS(문제목록!C:C,문제목록!I:I,기출빈도!C38,문제목록!M:M,"기출")</f>
        <v>2023</v>
      </c>
      <c r="F38" s="207"/>
      <c r="G38" s="208" t="s">
        <v>958</v>
      </c>
    </row>
    <row r="39" spans="2:7" ht="14.45" customHeight="1" x14ac:dyDescent="0.2">
      <c r="B39" s="204" t="s">
        <v>427</v>
      </c>
      <c r="C39" s="191" t="s">
        <v>1435</v>
      </c>
      <c r="D39" s="205">
        <f>COUNTIFS(문제목록!I:I,기출빈도!C39,문제목록!M:M,"기출")</f>
        <v>1</v>
      </c>
      <c r="E39" s="209">
        <f>_xlfn.MAXIFS(문제목록!C:C,문제목록!I:I,기출빈도!C39,문제목록!M:M,"기출")</f>
        <v>2014</v>
      </c>
      <c r="F39" s="207"/>
      <c r="G39" s="210" t="s">
        <v>959</v>
      </c>
    </row>
    <row r="40" spans="2:7" ht="14.45" customHeight="1" thickBot="1" x14ac:dyDescent="0.25">
      <c r="B40" s="211" t="s">
        <v>1472</v>
      </c>
      <c r="C40" s="212" t="s">
        <v>1475</v>
      </c>
      <c r="D40" s="213">
        <f>SUM(D34:D39)</f>
        <v>4</v>
      </c>
      <c r="E40" s="214">
        <f>MAX(E34:E39)</f>
        <v>2023</v>
      </c>
      <c r="F40" s="215"/>
      <c r="G40" s="216"/>
    </row>
    <row r="41" spans="2:7" ht="14.45" customHeight="1" x14ac:dyDescent="0.2">
      <c r="B41" s="198" t="s">
        <v>423</v>
      </c>
      <c r="C41" s="199" t="s">
        <v>424</v>
      </c>
      <c r="D41" s="200">
        <f>COUNTIFS(문제목록!I:I,기출빈도!C41,문제목록!M:M,"기출")</f>
        <v>2</v>
      </c>
      <c r="E41" s="201">
        <f>_xlfn.MAXIFS(문제목록!C:C,문제목록!I:I,기출빈도!C41,문제목록!M:M,"기출")</f>
        <v>2024</v>
      </c>
      <c r="F41" s="202"/>
      <c r="G41" s="203" t="s">
        <v>960</v>
      </c>
    </row>
    <row r="42" spans="2:7" ht="14.45" customHeight="1" x14ac:dyDescent="0.2">
      <c r="B42" s="204" t="s">
        <v>423</v>
      </c>
      <c r="C42" s="191" t="s">
        <v>1436</v>
      </c>
      <c r="D42" s="205">
        <f>COUNTIFS(문제목록!I:I,기출빈도!C42,문제목록!M:M,"기출")</f>
        <v>0</v>
      </c>
      <c r="E42" s="206">
        <f>_xlfn.MAXIFS(문제목록!C:C,문제목록!I:I,기출빈도!C42,문제목록!M:M,"기출")</f>
        <v>0</v>
      </c>
      <c r="F42" s="207"/>
      <c r="G42" s="208" t="s">
        <v>961</v>
      </c>
    </row>
    <row r="43" spans="2:7" ht="14.45" customHeight="1" x14ac:dyDescent="0.2">
      <c r="B43" s="204" t="s">
        <v>423</v>
      </c>
      <c r="C43" s="191" t="s">
        <v>458</v>
      </c>
      <c r="D43" s="205">
        <f>COUNTIFS(문제목록!I:I,기출빈도!C43,문제목록!M:M,"기출")</f>
        <v>1</v>
      </c>
      <c r="E43" s="209">
        <f>_xlfn.MAXIFS(문제목록!C:C,문제목록!I:I,기출빈도!C43,문제목록!M:M,"기출")</f>
        <v>2015</v>
      </c>
      <c r="F43" s="207"/>
      <c r="G43" s="210" t="s">
        <v>962</v>
      </c>
    </row>
    <row r="44" spans="2:7" ht="14.45" customHeight="1" thickBot="1" x14ac:dyDescent="0.25">
      <c r="B44" s="211" t="s">
        <v>1240</v>
      </c>
      <c r="C44" s="212" t="s">
        <v>1475</v>
      </c>
      <c r="D44" s="213">
        <f>SUM(D41:D43)</f>
        <v>3</v>
      </c>
      <c r="E44" s="214">
        <f>MAX(E41:E43)</f>
        <v>2024</v>
      </c>
      <c r="F44" s="215"/>
      <c r="G44" s="216"/>
    </row>
    <row r="45" spans="2:7" ht="14.45" customHeight="1" x14ac:dyDescent="0.2">
      <c r="B45" s="198" t="s">
        <v>498</v>
      </c>
      <c r="C45" s="199" t="s">
        <v>1468</v>
      </c>
      <c r="D45" s="200">
        <f>COUNTIFS(문제목록!I:I,기출빈도!C45,문제목록!M:M,"기출")</f>
        <v>0</v>
      </c>
      <c r="E45" s="201">
        <f>_xlfn.MAXIFS(문제목록!C:C,문제목록!I:I,기출빈도!C45,문제목록!M:M,"기출")</f>
        <v>0</v>
      </c>
      <c r="F45" s="202"/>
      <c r="G45" s="203" t="s">
        <v>963</v>
      </c>
    </row>
    <row r="46" spans="2:7" ht="14.45" customHeight="1" x14ac:dyDescent="0.2">
      <c r="B46" s="204" t="s">
        <v>414</v>
      </c>
      <c r="C46" s="191" t="s">
        <v>418</v>
      </c>
      <c r="D46" s="205">
        <f>COUNTIFS(문제목록!I:I,기출빈도!C46,문제목록!M:M,"기출")</f>
        <v>10</v>
      </c>
      <c r="E46" s="206">
        <f>_xlfn.MAXIFS(문제목록!C:C,문제목록!I:I,기출빈도!C46,문제목록!M:M,"기출")</f>
        <v>2025</v>
      </c>
      <c r="F46" s="207"/>
      <c r="G46" s="208" t="s">
        <v>964</v>
      </c>
    </row>
    <row r="47" spans="2:7" ht="14.45" customHeight="1" x14ac:dyDescent="0.2">
      <c r="B47" s="204" t="s">
        <v>414</v>
      </c>
      <c r="C47" s="191" t="s">
        <v>432</v>
      </c>
      <c r="D47" s="205">
        <f>COUNTIFS(문제목록!I:I,기출빈도!C47,문제목록!M:M,"기출")</f>
        <v>5</v>
      </c>
      <c r="E47" s="206">
        <f>_xlfn.MAXIFS(문제목록!C:C,문제목록!I:I,기출빈도!C47,문제목록!M:M,"기출")</f>
        <v>2022</v>
      </c>
      <c r="F47" s="207"/>
      <c r="G47" s="208" t="s">
        <v>965</v>
      </c>
    </row>
    <row r="48" spans="2:7" ht="14.45" customHeight="1" x14ac:dyDescent="0.2">
      <c r="B48" s="204" t="s">
        <v>1895</v>
      </c>
      <c r="C48" s="191" t="s">
        <v>1896</v>
      </c>
      <c r="D48" s="205">
        <f>COUNTIFS(문제목록!I:I,기출빈도!C48,문제목록!M:M,"기출")</f>
        <v>3</v>
      </c>
      <c r="E48" s="209">
        <f>_xlfn.MAXIFS(문제목록!C:C,문제목록!I:I,기출빈도!C48,문제목록!M:M,"기출")</f>
        <v>2024</v>
      </c>
      <c r="F48" s="207"/>
      <c r="G48" s="210" t="s">
        <v>966</v>
      </c>
    </row>
    <row r="49" spans="2:7" ht="14.45" customHeight="1" thickBot="1" x14ac:dyDescent="0.25">
      <c r="B49" s="211" t="s">
        <v>498</v>
      </c>
      <c r="C49" s="212" t="s">
        <v>1475</v>
      </c>
      <c r="D49" s="213">
        <f>SUM(D45:D48)</f>
        <v>18</v>
      </c>
      <c r="E49" s="214">
        <f>MAX(E45:E48)</f>
        <v>2025</v>
      </c>
      <c r="F49" s="215"/>
      <c r="G49" s="216"/>
    </row>
    <row r="50" spans="2:7" ht="14.45" customHeight="1" x14ac:dyDescent="0.2">
      <c r="B50" s="198" t="s">
        <v>421</v>
      </c>
      <c r="C50" s="199" t="s">
        <v>1438</v>
      </c>
      <c r="D50" s="200">
        <f>COUNTIFS(문제목록!I:I,기출빈도!C50,문제목록!M:M,"기출")</f>
        <v>3</v>
      </c>
      <c r="E50" s="201">
        <f>_xlfn.MAXIFS(문제목록!C:C,문제목록!I:I,기출빈도!C50,문제목록!M:M,"기출")</f>
        <v>2024</v>
      </c>
      <c r="F50" s="202"/>
      <c r="G50" s="203" t="s">
        <v>967</v>
      </c>
    </row>
    <row r="51" spans="2:7" ht="14.45" customHeight="1" x14ac:dyDescent="0.2">
      <c r="B51" s="204" t="s">
        <v>421</v>
      </c>
      <c r="C51" s="191" t="s">
        <v>1439</v>
      </c>
      <c r="D51" s="205">
        <f>COUNTIFS(문제목록!I:I,기출빈도!C51,문제목록!M:M,"기출")</f>
        <v>0</v>
      </c>
      <c r="E51" s="206">
        <f>_xlfn.MAXIFS(문제목록!C:C,문제목록!I:I,기출빈도!C51,문제목록!M:M,"기출")</f>
        <v>0</v>
      </c>
      <c r="F51" s="207"/>
      <c r="G51" s="208" t="s">
        <v>968</v>
      </c>
    </row>
    <row r="52" spans="2:7" ht="14.45" customHeight="1" x14ac:dyDescent="0.2">
      <c r="B52" s="204" t="s">
        <v>421</v>
      </c>
      <c r="C52" s="191" t="s">
        <v>429</v>
      </c>
      <c r="D52" s="205">
        <f>COUNTIFS(문제목록!I:I,기출빈도!C52,문제목록!M:M,"기출")</f>
        <v>3</v>
      </c>
      <c r="E52" s="206">
        <f>_xlfn.MAXIFS(문제목록!C:C,문제목록!I:I,기출빈도!C52,문제목록!M:M,"기출")</f>
        <v>2023</v>
      </c>
      <c r="F52" s="207"/>
      <c r="G52" s="208" t="s">
        <v>969</v>
      </c>
    </row>
    <row r="53" spans="2:7" ht="14.45" customHeight="1" x14ac:dyDescent="0.2">
      <c r="B53" s="204" t="s">
        <v>421</v>
      </c>
      <c r="C53" s="191" t="s">
        <v>1808</v>
      </c>
      <c r="D53" s="205">
        <f>COUNTIFS(문제목록!I:I,기출빈도!C53,문제목록!M:M,"기출")</f>
        <v>1</v>
      </c>
      <c r="E53" s="209">
        <f>_xlfn.MAXIFS(문제목록!C:C,문제목록!I:I,기출빈도!C53,문제목록!M:M,"기출")</f>
        <v>2017</v>
      </c>
      <c r="F53" s="207"/>
      <c r="G53" s="210" t="s">
        <v>970</v>
      </c>
    </row>
    <row r="54" spans="2:7" ht="14.45" customHeight="1" thickBot="1" x14ac:dyDescent="0.25">
      <c r="B54" s="211" t="s">
        <v>466</v>
      </c>
      <c r="C54" s="212" t="s">
        <v>1475</v>
      </c>
      <c r="D54" s="213">
        <f>SUM(D50:D53)</f>
        <v>7</v>
      </c>
      <c r="E54" s="214">
        <f>MAX(E50:E53)</f>
        <v>2024</v>
      </c>
      <c r="F54" s="215"/>
      <c r="G54" s="216"/>
    </row>
    <row r="55" spans="2:7" ht="14.45" customHeight="1" x14ac:dyDescent="0.2">
      <c r="B55" s="198" t="s">
        <v>473</v>
      </c>
      <c r="C55" s="199" t="s">
        <v>439</v>
      </c>
      <c r="D55" s="200">
        <f>COUNTIFS(문제목록!I:I,기출빈도!C55,문제목록!M:M,"기출")</f>
        <v>2</v>
      </c>
      <c r="E55" s="201">
        <f>_xlfn.MAXIFS(문제목록!C:C,문제목록!I:I,기출빈도!C55,문제목록!M:M,"기출")</f>
        <v>2020</v>
      </c>
      <c r="F55" s="202"/>
      <c r="G55" s="203" t="s">
        <v>971</v>
      </c>
    </row>
    <row r="56" spans="2:7" ht="14.45" customHeight="1" x14ac:dyDescent="0.2">
      <c r="B56" s="204" t="s">
        <v>473</v>
      </c>
      <c r="C56" s="191" t="s">
        <v>1440</v>
      </c>
      <c r="D56" s="205">
        <f>COUNTIFS(문제목록!I:I,기출빈도!C56,문제목록!M:M,"기출")</f>
        <v>0</v>
      </c>
      <c r="E56" s="206">
        <f>_xlfn.MAXIFS(문제목록!C:C,문제목록!I:I,기출빈도!C56,문제목록!M:M,"기출")</f>
        <v>0</v>
      </c>
      <c r="F56" s="207"/>
      <c r="G56" s="208" t="s">
        <v>972</v>
      </c>
    </row>
    <row r="57" spans="2:7" ht="14.45" customHeight="1" x14ac:dyDescent="0.2">
      <c r="B57" s="204" t="s">
        <v>473</v>
      </c>
      <c r="C57" s="191" t="s">
        <v>1441</v>
      </c>
      <c r="D57" s="205">
        <f>COUNTIFS(문제목록!I:I,기출빈도!C57,문제목록!M:M,"기출")</f>
        <v>0</v>
      </c>
      <c r="E57" s="206">
        <f>_xlfn.MAXIFS(문제목록!C:C,문제목록!I:I,기출빈도!C57,문제목록!M:M,"기출")</f>
        <v>0</v>
      </c>
      <c r="F57" s="207"/>
      <c r="G57" s="208" t="s">
        <v>973</v>
      </c>
    </row>
    <row r="58" spans="2:7" ht="14.45" customHeight="1" x14ac:dyDescent="0.2">
      <c r="B58" s="204" t="s">
        <v>473</v>
      </c>
      <c r="C58" s="191" t="s">
        <v>1442</v>
      </c>
      <c r="D58" s="205">
        <f>COUNTIFS(문제목록!I:I,기출빈도!C58,문제목록!M:M,"기출")</f>
        <v>0</v>
      </c>
      <c r="E58" s="209">
        <f>_xlfn.MAXIFS(문제목록!C:C,문제목록!I:I,기출빈도!C58,문제목록!M:M,"기출")</f>
        <v>0</v>
      </c>
      <c r="F58" s="207"/>
      <c r="G58" s="210" t="s">
        <v>974</v>
      </c>
    </row>
    <row r="59" spans="2:7" ht="14.45" customHeight="1" thickBot="1" x14ac:dyDescent="0.25">
      <c r="B59" s="211" t="s">
        <v>438</v>
      </c>
      <c r="C59" s="212" t="s">
        <v>1475</v>
      </c>
      <c r="D59" s="213">
        <f>SUM(D55:D58)</f>
        <v>2</v>
      </c>
      <c r="E59" s="214">
        <f>MAX(E55:E58)</f>
        <v>2020</v>
      </c>
      <c r="F59" s="215"/>
      <c r="G59" s="216"/>
    </row>
    <row r="60" spans="2:7" ht="14.45" customHeight="1" x14ac:dyDescent="0.2">
      <c r="B60" s="217" t="s">
        <v>399</v>
      </c>
      <c r="C60" s="218" t="s">
        <v>487</v>
      </c>
      <c r="D60" s="219">
        <f>COUNTIFS(문제목록!I:I,기출빈도!C60,문제목록!M:M,"기출")</f>
        <v>3</v>
      </c>
      <c r="E60" s="220">
        <f>_xlfn.MAXIFS(문제목록!C:C,문제목록!I:I,기출빈도!C60,문제목록!M:M,"기출")</f>
        <v>2021</v>
      </c>
      <c r="F60" s="221"/>
      <c r="G60" s="222" t="s">
        <v>975</v>
      </c>
    </row>
    <row r="61" spans="2:7" ht="14.45" customHeight="1" x14ac:dyDescent="0.2">
      <c r="B61" s="204" t="s">
        <v>399</v>
      </c>
      <c r="C61" s="191" t="s">
        <v>1443</v>
      </c>
      <c r="D61" s="205">
        <f>COUNTIFS(문제목록!I:I,기출빈도!C61,문제목록!M:M,"기출")</f>
        <v>0</v>
      </c>
      <c r="E61" s="206">
        <f>_xlfn.MAXIFS(문제목록!C:C,문제목록!I:I,기출빈도!C61,문제목록!M:M,"기출")</f>
        <v>0</v>
      </c>
      <c r="F61" s="207"/>
      <c r="G61" s="208" t="s">
        <v>976</v>
      </c>
    </row>
    <row r="62" spans="2:7" ht="14.45" customHeight="1" x14ac:dyDescent="0.2">
      <c r="B62" s="204" t="s">
        <v>399</v>
      </c>
      <c r="C62" s="191" t="s">
        <v>1444</v>
      </c>
      <c r="D62" s="205">
        <f>COUNTIFS(문제목록!I:I,기출빈도!C62,문제목록!M:M,"기출")</f>
        <v>0</v>
      </c>
      <c r="E62" s="206">
        <f>_xlfn.MAXIFS(문제목록!C:C,문제목록!I:I,기출빈도!C62,문제목록!M:M,"기출")</f>
        <v>0</v>
      </c>
      <c r="F62" s="207"/>
      <c r="G62" s="208" t="s">
        <v>977</v>
      </c>
    </row>
    <row r="63" spans="2:7" ht="14.45" customHeight="1" x14ac:dyDescent="0.2">
      <c r="B63" s="204" t="s">
        <v>399</v>
      </c>
      <c r="C63" s="191" t="s">
        <v>1809</v>
      </c>
      <c r="D63" s="205">
        <f>COUNTIFS(문제목록!I:I,기출빈도!C63,문제목록!M:M,"기출")</f>
        <v>1</v>
      </c>
      <c r="E63" s="206">
        <f>_xlfn.MAXIFS(문제목록!C:C,문제목록!I:I,기출빈도!C63,문제목록!M:M,"기출")</f>
        <v>2022</v>
      </c>
      <c r="F63" s="207"/>
      <c r="G63" s="208" t="s">
        <v>978</v>
      </c>
    </row>
    <row r="64" spans="2:7" ht="14.45" customHeight="1" x14ac:dyDescent="0.2">
      <c r="B64" s="204" t="s">
        <v>399</v>
      </c>
      <c r="C64" s="191" t="s">
        <v>1445</v>
      </c>
      <c r="D64" s="205">
        <f>COUNTIFS(문제목록!I:I,기출빈도!C64,문제목록!M:M,"기출")</f>
        <v>0</v>
      </c>
      <c r="E64" s="206">
        <f>_xlfn.MAXIFS(문제목록!C:C,문제목록!I:I,기출빈도!C64,문제목록!M:M,"기출")</f>
        <v>0</v>
      </c>
      <c r="F64" s="207"/>
      <c r="G64" s="208" t="s">
        <v>979</v>
      </c>
    </row>
    <row r="65" spans="2:7" ht="14.45" customHeight="1" x14ac:dyDescent="0.2">
      <c r="B65" s="204" t="s">
        <v>399</v>
      </c>
      <c r="C65" s="191" t="s">
        <v>500</v>
      </c>
      <c r="D65" s="205">
        <f>COUNTIFS(문제목록!I:I,기출빈도!C65,문제목록!M:M,"기출")</f>
        <v>1</v>
      </c>
      <c r="E65" s="206">
        <f>_xlfn.MAXIFS(문제목록!C:C,문제목록!I:I,기출빈도!C65,문제목록!M:M,"기출")</f>
        <v>2013</v>
      </c>
      <c r="F65" s="207"/>
      <c r="G65" s="208" t="s">
        <v>980</v>
      </c>
    </row>
    <row r="66" spans="2:7" ht="14.45" customHeight="1" x14ac:dyDescent="0.2">
      <c r="B66" s="204" t="s">
        <v>399</v>
      </c>
      <c r="C66" s="191" t="s">
        <v>1810</v>
      </c>
      <c r="D66" s="205">
        <f>COUNTIFS(문제목록!I:I,기출빈도!C66,문제목록!M:M,"기출")</f>
        <v>1</v>
      </c>
      <c r="E66" s="209">
        <f>_xlfn.MAXIFS(문제목록!C:C,문제목록!I:I,기출빈도!C66,문제목록!M:M,"기출")</f>
        <v>2019</v>
      </c>
      <c r="F66" s="207"/>
      <c r="G66" s="210" t="s">
        <v>981</v>
      </c>
    </row>
    <row r="67" spans="2:7" ht="14.45" customHeight="1" thickBot="1" x14ac:dyDescent="0.25">
      <c r="B67" s="211" t="s">
        <v>399</v>
      </c>
      <c r="C67" s="212" t="s">
        <v>1475</v>
      </c>
      <c r="D67" s="213">
        <f>SUM(D60:D66)</f>
        <v>6</v>
      </c>
      <c r="E67" s="214">
        <f>MAX(E60:E66)</f>
        <v>2022</v>
      </c>
      <c r="F67" s="215"/>
      <c r="G67" s="216"/>
    </row>
    <row r="68" spans="2:7" ht="14.45" customHeight="1" x14ac:dyDescent="0.2">
      <c r="B68" s="198" t="s">
        <v>477</v>
      </c>
      <c r="C68" s="199" t="s">
        <v>502</v>
      </c>
      <c r="D68" s="200">
        <f>COUNTIFS(문제목록!I:I,기출빈도!C68,문제목록!M:M,"기출")</f>
        <v>3</v>
      </c>
      <c r="E68" s="201">
        <f>_xlfn.MAXIFS(문제목록!C:C,문제목록!I:I,기출빈도!C68,문제목록!M:M,"기출")</f>
        <v>2021</v>
      </c>
      <c r="F68" s="202"/>
      <c r="G68" s="203" t="s">
        <v>982</v>
      </c>
    </row>
    <row r="69" spans="2:7" ht="14.45" customHeight="1" x14ac:dyDescent="0.2">
      <c r="B69" s="204" t="s">
        <v>477</v>
      </c>
      <c r="C69" s="191" t="s">
        <v>1446</v>
      </c>
      <c r="D69" s="205">
        <f>COUNTIFS(문제목록!I:I,기출빈도!C69,문제목록!M:M,"기출")</f>
        <v>1</v>
      </c>
      <c r="E69" s="206">
        <f>_xlfn.MAXIFS(문제목록!C:C,문제목록!I:I,기출빈도!C69,문제목록!M:M,"기출")</f>
        <v>2023</v>
      </c>
      <c r="F69" s="207"/>
      <c r="G69" s="208" t="s">
        <v>983</v>
      </c>
    </row>
    <row r="70" spans="2:7" ht="14.45" customHeight="1" x14ac:dyDescent="0.2">
      <c r="B70" s="204" t="s">
        <v>477</v>
      </c>
      <c r="C70" s="191" t="s">
        <v>503</v>
      </c>
      <c r="D70" s="205">
        <f>COUNTIFS(문제목록!I:I,기출빈도!C70,문제목록!M:M,"기출")</f>
        <v>2</v>
      </c>
      <c r="E70" s="206">
        <f>_xlfn.MAXIFS(문제목록!C:C,문제목록!I:I,기출빈도!C70,문제목록!M:M,"기출")</f>
        <v>2011</v>
      </c>
      <c r="F70" s="207"/>
      <c r="G70" s="208" t="s">
        <v>984</v>
      </c>
    </row>
    <row r="71" spans="2:7" ht="14.45" customHeight="1" x14ac:dyDescent="0.2">
      <c r="B71" s="204" t="s">
        <v>477</v>
      </c>
      <c r="C71" s="191" t="s">
        <v>478</v>
      </c>
      <c r="D71" s="205">
        <f>COUNTIFS(문제목록!I:I,기출빈도!C71,문제목록!M:M,"기출")</f>
        <v>3</v>
      </c>
      <c r="E71" s="206">
        <f>_xlfn.MAXIFS(문제목록!C:C,문제목록!I:I,기출빈도!C71,문제목록!M:M,"기출")</f>
        <v>2025</v>
      </c>
      <c r="F71" s="207"/>
      <c r="G71" s="208" t="s">
        <v>985</v>
      </c>
    </row>
    <row r="72" spans="2:7" ht="14.45" customHeight="1" x14ac:dyDescent="0.2">
      <c r="B72" s="204" t="s">
        <v>477</v>
      </c>
      <c r="C72" s="191" t="s">
        <v>483</v>
      </c>
      <c r="D72" s="205">
        <f>COUNTIFS(문제목록!I:I,기출빈도!C72,문제목록!M:M,"기출")</f>
        <v>1</v>
      </c>
      <c r="E72" s="206">
        <f>_xlfn.MAXIFS(문제목록!C:C,문제목록!I:I,기출빈도!C72,문제목록!M:M,"기출")</f>
        <v>2023</v>
      </c>
      <c r="F72" s="207"/>
      <c r="G72" s="208" t="s">
        <v>986</v>
      </c>
    </row>
    <row r="73" spans="2:7" ht="14.45" customHeight="1" x14ac:dyDescent="0.2">
      <c r="B73" s="204" t="s">
        <v>477</v>
      </c>
      <c r="C73" s="191" t="s">
        <v>1447</v>
      </c>
      <c r="D73" s="205">
        <f>COUNTIFS(문제목록!I:I,기출빈도!C73,문제목록!M:M,"기출")</f>
        <v>0</v>
      </c>
      <c r="E73" s="209">
        <f>_xlfn.MAXIFS(문제목록!C:C,문제목록!I:I,기출빈도!C73,문제목록!M:M,"기출")</f>
        <v>0</v>
      </c>
      <c r="F73" s="207"/>
      <c r="G73" s="210" t="s">
        <v>987</v>
      </c>
    </row>
    <row r="74" spans="2:7" ht="14.45" customHeight="1" thickBot="1" x14ac:dyDescent="0.25">
      <c r="B74" s="211" t="s">
        <v>400</v>
      </c>
      <c r="C74" s="212" t="s">
        <v>1475</v>
      </c>
      <c r="D74" s="213">
        <f>SUM(D68:D73)</f>
        <v>10</v>
      </c>
      <c r="E74" s="214">
        <f>MAX(E68:E73)</f>
        <v>2025</v>
      </c>
      <c r="F74" s="215"/>
      <c r="G74" s="216"/>
    </row>
    <row r="75" spans="2:7" ht="14.45" customHeight="1" x14ac:dyDescent="0.2">
      <c r="B75" s="198" t="s">
        <v>401</v>
      </c>
      <c r="C75" s="199" t="s">
        <v>1467</v>
      </c>
      <c r="D75" s="200">
        <f>COUNTIFS(문제목록!I:I,기출빈도!C75,문제목록!M:M,"기출")</f>
        <v>0</v>
      </c>
      <c r="E75" s="201">
        <f>_xlfn.MAXIFS(문제목록!C:C,문제목록!I:I,기출빈도!C75,문제목록!M:M,"기출")</f>
        <v>0</v>
      </c>
      <c r="F75" s="202"/>
      <c r="G75" s="203" t="s">
        <v>988</v>
      </c>
    </row>
    <row r="76" spans="2:7" ht="14.45" customHeight="1" x14ac:dyDescent="0.2">
      <c r="B76" s="204" t="s">
        <v>488</v>
      </c>
      <c r="C76" s="191" t="s">
        <v>1448</v>
      </c>
      <c r="D76" s="205">
        <f>COUNTIFS(문제목록!I:I,기출빈도!C76,문제목록!M:M,"기출")</f>
        <v>0</v>
      </c>
      <c r="E76" s="206">
        <f>_xlfn.MAXIFS(문제목록!C:C,문제목록!I:I,기출빈도!C76,문제목록!M:M,"기출")</f>
        <v>0</v>
      </c>
      <c r="F76" s="207"/>
      <c r="G76" s="208" t="s">
        <v>989</v>
      </c>
    </row>
    <row r="77" spans="2:7" ht="14.45" customHeight="1" x14ac:dyDescent="0.2">
      <c r="B77" s="204" t="s">
        <v>488</v>
      </c>
      <c r="C77" s="191" t="s">
        <v>484</v>
      </c>
      <c r="D77" s="205">
        <f>COUNTIFS(문제목록!I:I,기출빈도!C77,문제목록!M:M,"기출")</f>
        <v>4</v>
      </c>
      <c r="E77" s="206">
        <f>_xlfn.MAXIFS(문제목록!C:C,문제목록!I:I,기출빈도!C77,문제목록!M:M,"기출")</f>
        <v>2023</v>
      </c>
      <c r="F77" s="207"/>
      <c r="G77" s="208" t="s">
        <v>990</v>
      </c>
    </row>
    <row r="78" spans="2:7" ht="14.45" customHeight="1" x14ac:dyDescent="0.2">
      <c r="B78" s="204" t="s">
        <v>488</v>
      </c>
      <c r="C78" s="191" t="s">
        <v>1449</v>
      </c>
      <c r="D78" s="205">
        <f>COUNTIFS(문제목록!I:I,기출빈도!C78,문제목록!M:M,"기출")</f>
        <v>0</v>
      </c>
      <c r="E78" s="206">
        <f>_xlfn.MAXIFS(문제목록!C:C,문제목록!I:I,기출빈도!C78,문제목록!M:M,"기출")</f>
        <v>0</v>
      </c>
      <c r="F78" s="207"/>
      <c r="G78" s="208" t="s">
        <v>991</v>
      </c>
    </row>
    <row r="79" spans="2:7" ht="14.45" customHeight="1" x14ac:dyDescent="0.2">
      <c r="B79" s="204" t="s">
        <v>488</v>
      </c>
      <c r="C79" s="191" t="s">
        <v>496</v>
      </c>
      <c r="D79" s="205">
        <f>COUNTIFS(문제목록!I:I,기출빈도!C79,문제목록!M:M,"기출")</f>
        <v>1</v>
      </c>
      <c r="E79" s="206">
        <f>_xlfn.MAXIFS(문제목록!C:C,문제목록!I:I,기출빈도!C79,문제목록!M:M,"기출")</f>
        <v>2014</v>
      </c>
      <c r="F79" s="207"/>
      <c r="G79" s="208" t="s">
        <v>992</v>
      </c>
    </row>
    <row r="80" spans="2:7" ht="14.45" customHeight="1" x14ac:dyDescent="0.2">
      <c r="B80" s="204" t="s">
        <v>488</v>
      </c>
      <c r="C80" s="191" t="s">
        <v>508</v>
      </c>
      <c r="D80" s="205">
        <f>COUNTIFS(문제목록!I:I,기출빈도!C80,문제목록!M:M,"기출")</f>
        <v>1</v>
      </c>
      <c r="E80" s="206">
        <f>_xlfn.MAXIFS(문제목록!C:C,문제목록!I:I,기출빈도!C80,문제목록!M:M,"기출")</f>
        <v>2008</v>
      </c>
      <c r="F80" s="207"/>
      <c r="G80" s="208" t="s">
        <v>993</v>
      </c>
    </row>
    <row r="81" spans="2:7" ht="14.45" customHeight="1" x14ac:dyDescent="0.2">
      <c r="B81" s="204" t="s">
        <v>488</v>
      </c>
      <c r="C81" s="191" t="s">
        <v>1450</v>
      </c>
      <c r="D81" s="205">
        <f>COUNTIFS(문제목록!I:I,기출빈도!C81,문제목록!M:M,"기출")</f>
        <v>0</v>
      </c>
      <c r="E81" s="206">
        <f>_xlfn.MAXIFS(문제목록!C:C,문제목록!I:I,기출빈도!C81,문제목록!M:M,"기출")</f>
        <v>0</v>
      </c>
      <c r="F81" s="207"/>
      <c r="G81" s="208" t="s">
        <v>994</v>
      </c>
    </row>
    <row r="82" spans="2:7" ht="14.45" customHeight="1" x14ac:dyDescent="0.2">
      <c r="B82" s="204" t="s">
        <v>488</v>
      </c>
      <c r="C82" s="191" t="s">
        <v>489</v>
      </c>
      <c r="D82" s="205">
        <f>COUNTIFS(문제목록!I:I,기출빈도!C82,문제목록!M:M,"기출")</f>
        <v>2</v>
      </c>
      <c r="E82" s="209">
        <f>_xlfn.MAXIFS(문제목록!C:C,문제목록!I:I,기출빈도!C82,문제목록!M:M,"기출")</f>
        <v>2021</v>
      </c>
      <c r="F82" s="207"/>
      <c r="G82" s="210" t="s">
        <v>995</v>
      </c>
    </row>
    <row r="83" spans="2:7" ht="14.45" customHeight="1" thickBot="1" x14ac:dyDescent="0.25">
      <c r="B83" s="211" t="s">
        <v>401</v>
      </c>
      <c r="C83" s="212" t="s">
        <v>1475</v>
      </c>
      <c r="D83" s="213">
        <f>SUM(D75:D82)</f>
        <v>8</v>
      </c>
      <c r="E83" s="214">
        <f>MAX(E75:E82)</f>
        <v>2023</v>
      </c>
      <c r="F83" s="215"/>
      <c r="G83" s="216"/>
    </row>
    <row r="84" spans="2:7" ht="14.45" customHeight="1" x14ac:dyDescent="0.2">
      <c r="B84" s="198" t="s">
        <v>485</v>
      </c>
      <c r="C84" s="199" t="s">
        <v>499</v>
      </c>
      <c r="D84" s="200">
        <f>COUNTIFS(문제목록!I:I,기출빈도!C84,문제목록!M:M,"기출")</f>
        <v>1</v>
      </c>
      <c r="E84" s="201">
        <f>_xlfn.MAXIFS(문제목록!C:C,문제목록!I:I,기출빈도!C84,문제목록!M:M,"기출")</f>
        <v>2013</v>
      </c>
      <c r="F84" s="202"/>
      <c r="G84" s="203" t="s">
        <v>996</v>
      </c>
    </row>
    <row r="85" spans="2:7" ht="14.45" customHeight="1" x14ac:dyDescent="0.2">
      <c r="B85" s="204" t="s">
        <v>485</v>
      </c>
      <c r="C85" s="191" t="s">
        <v>491</v>
      </c>
      <c r="D85" s="205">
        <f>COUNTIFS(문제목록!I:I,기출빈도!C85,문제목록!M:M,"기출")</f>
        <v>2</v>
      </c>
      <c r="E85" s="206">
        <f>_xlfn.MAXIFS(문제목록!C:C,문제목록!I:I,기출빈도!C85,문제목록!M:M,"기출")</f>
        <v>2021</v>
      </c>
      <c r="F85" s="207"/>
      <c r="G85" s="208" t="s">
        <v>997</v>
      </c>
    </row>
    <row r="86" spans="2:7" ht="14.45" customHeight="1" x14ac:dyDescent="0.2">
      <c r="B86" s="204" t="s">
        <v>485</v>
      </c>
      <c r="C86" s="191" t="s">
        <v>505</v>
      </c>
      <c r="D86" s="205">
        <f>COUNTIFS(문제목록!I:I,기출빈도!C86,문제목록!M:M,"기출")</f>
        <v>1</v>
      </c>
      <c r="E86" s="206">
        <f>_xlfn.MAXIFS(문제목록!C:C,문제목록!I:I,기출빈도!C86,문제목록!M:M,"기출")</f>
        <v>2010</v>
      </c>
      <c r="F86" s="207"/>
      <c r="G86" s="208" t="s">
        <v>998</v>
      </c>
    </row>
    <row r="87" spans="2:7" ht="14.45" customHeight="1" x14ac:dyDescent="0.2">
      <c r="B87" s="204" t="s">
        <v>485</v>
      </c>
      <c r="C87" s="191" t="s">
        <v>1451</v>
      </c>
      <c r="D87" s="205">
        <f>COUNTIFS(문제목록!I:I,기출빈도!C87,문제목록!M:M,"기출")</f>
        <v>2</v>
      </c>
      <c r="E87" s="206">
        <f>_xlfn.MAXIFS(문제목록!C:C,문제목록!I:I,기출빈도!C87,문제목록!M:M,"기출")</f>
        <v>2022</v>
      </c>
      <c r="F87" s="207"/>
      <c r="G87" s="208" t="s">
        <v>999</v>
      </c>
    </row>
    <row r="88" spans="2:7" ht="14.45" customHeight="1" x14ac:dyDescent="0.2">
      <c r="B88" s="204" t="s">
        <v>485</v>
      </c>
      <c r="C88" s="191" t="s">
        <v>494</v>
      </c>
      <c r="D88" s="205">
        <f>COUNTIFS(문제목록!I:I,기출빈도!C88,문제목록!M:M,"기출")</f>
        <v>2</v>
      </c>
      <c r="E88" s="206">
        <f>_xlfn.MAXIFS(문제목록!C:C,문제목록!I:I,기출빈도!C88,문제목록!M:M,"기출")</f>
        <v>2017</v>
      </c>
      <c r="F88" s="207"/>
      <c r="G88" s="208" t="s">
        <v>1000</v>
      </c>
    </row>
    <row r="89" spans="2:7" ht="14.45" customHeight="1" x14ac:dyDescent="0.2">
      <c r="B89" s="204" t="s">
        <v>485</v>
      </c>
      <c r="C89" s="191" t="s">
        <v>493</v>
      </c>
      <c r="D89" s="205">
        <f>COUNTIFS(문제목록!I:I,기출빈도!C89,문제목록!M:M,"기출")</f>
        <v>4</v>
      </c>
      <c r="E89" s="206">
        <f>_xlfn.MAXIFS(문제목록!C:C,문제목록!I:I,기출빈도!C89,문제목록!M:M,"기출")</f>
        <v>2019</v>
      </c>
      <c r="F89" s="207"/>
      <c r="G89" s="208" t="s">
        <v>1001</v>
      </c>
    </row>
    <row r="90" spans="2:7" ht="14.45" customHeight="1" x14ac:dyDescent="0.2">
      <c r="B90" s="204" t="s">
        <v>485</v>
      </c>
      <c r="C90" s="191" t="s">
        <v>1452</v>
      </c>
      <c r="D90" s="205">
        <f>COUNTIFS(문제목록!I:I,기출빈도!C90,문제목록!M:M,"기출")</f>
        <v>0</v>
      </c>
      <c r="E90" s="206">
        <f>_xlfn.MAXIFS(문제목록!C:C,문제목록!I:I,기출빈도!C90,문제목록!M:M,"기출")</f>
        <v>0</v>
      </c>
      <c r="F90" s="207"/>
      <c r="G90" s="208" t="s">
        <v>1002</v>
      </c>
    </row>
    <row r="91" spans="2:7" ht="14.45" customHeight="1" x14ac:dyDescent="0.2">
      <c r="B91" s="204" t="s">
        <v>485</v>
      </c>
      <c r="C91" s="191" t="s">
        <v>1453</v>
      </c>
      <c r="D91" s="205">
        <f>COUNTIFS(문제목록!I:I,기출빈도!C91,문제목록!M:M,"기출")</f>
        <v>0</v>
      </c>
      <c r="E91" s="206">
        <f>_xlfn.MAXIFS(문제목록!C:C,문제목록!I:I,기출빈도!C91,문제목록!M:M,"기출")</f>
        <v>0</v>
      </c>
      <c r="F91" s="207"/>
      <c r="G91" s="208" t="s">
        <v>1003</v>
      </c>
    </row>
    <row r="92" spans="2:7" ht="14.45" customHeight="1" x14ac:dyDescent="0.2">
      <c r="B92" s="204" t="s">
        <v>485</v>
      </c>
      <c r="C92" s="191" t="s">
        <v>1454</v>
      </c>
      <c r="D92" s="205">
        <f>COUNTIFS(문제목록!I:I,기출빈도!C92,문제목록!M:M,"기출")</f>
        <v>0</v>
      </c>
      <c r="E92" s="206">
        <f>_xlfn.MAXIFS(문제목록!C:C,문제목록!I:I,기출빈도!C92,문제목록!M:M,"기출")</f>
        <v>0</v>
      </c>
      <c r="F92" s="207"/>
      <c r="G92" s="208" t="s">
        <v>1004</v>
      </c>
    </row>
    <row r="93" spans="2:7" ht="14.45" customHeight="1" x14ac:dyDescent="0.2">
      <c r="B93" s="204" t="s">
        <v>485</v>
      </c>
      <c r="C93" s="191" t="s">
        <v>2</v>
      </c>
      <c r="D93" s="205">
        <f>COUNTIFS(문제목록!I:I,기출빈도!C93,문제목록!M:M,"기출")</f>
        <v>4</v>
      </c>
      <c r="E93" s="209">
        <f>_xlfn.MAXIFS(문제목록!C:C,문제목록!I:I,기출빈도!C93,문제목록!M:M,"기출")</f>
        <v>2022</v>
      </c>
      <c r="F93" s="207"/>
      <c r="G93" s="210" t="s">
        <v>1005</v>
      </c>
    </row>
    <row r="94" spans="2:7" ht="14.45" customHeight="1" thickBot="1" x14ac:dyDescent="0.25">
      <c r="B94" s="211" t="s">
        <v>402</v>
      </c>
      <c r="C94" s="212" t="s">
        <v>1475</v>
      </c>
      <c r="D94" s="213">
        <f>SUM(D84:D93)</f>
        <v>16</v>
      </c>
      <c r="E94" s="214">
        <f>MAX(E84:E93)</f>
        <v>2022</v>
      </c>
      <c r="F94" s="215"/>
      <c r="G94" s="216"/>
    </row>
    <row r="95" spans="2:7" ht="14.45" customHeight="1" x14ac:dyDescent="0.2">
      <c r="B95" s="198" t="s">
        <v>479</v>
      </c>
      <c r="C95" s="199" t="s">
        <v>1466</v>
      </c>
      <c r="D95" s="200">
        <f>COUNTIFS(문제목록!I:I,기출빈도!C95,문제목록!M:M,"기출")</f>
        <v>0</v>
      </c>
      <c r="E95" s="201">
        <f>_xlfn.MAXIFS(문제목록!C:C,문제목록!I:I,기출빈도!C95,문제목록!M:M,"기출")</f>
        <v>0</v>
      </c>
      <c r="F95" s="202"/>
      <c r="G95" s="203" t="s">
        <v>1006</v>
      </c>
    </row>
    <row r="96" spans="2:7" ht="14.45" customHeight="1" x14ac:dyDescent="0.2">
      <c r="B96" s="204" t="s">
        <v>479</v>
      </c>
      <c r="C96" s="191" t="s">
        <v>481</v>
      </c>
      <c r="D96" s="205">
        <f>COUNTIFS(문제목록!I:I,기출빈도!C96,문제목록!M:M,"기출")</f>
        <v>3</v>
      </c>
      <c r="E96" s="206">
        <f>_xlfn.MAXIFS(문제목록!C:C,문제목록!I:I,기출빈도!C96,문제목록!M:M,"기출")</f>
        <v>2024</v>
      </c>
      <c r="F96" s="207"/>
      <c r="G96" s="208" t="s">
        <v>1007</v>
      </c>
    </row>
    <row r="97" spans="2:7" ht="14.45" customHeight="1" x14ac:dyDescent="0.2">
      <c r="B97" s="204" t="s">
        <v>479</v>
      </c>
      <c r="C97" s="191" t="s">
        <v>1455</v>
      </c>
      <c r="D97" s="205">
        <f>COUNTIFS(문제목록!I:I,기출빈도!C97,문제목록!M:M,"기출")</f>
        <v>0</v>
      </c>
      <c r="E97" s="206">
        <f>_xlfn.MAXIFS(문제목록!C:C,문제목록!I:I,기출빈도!C97,문제목록!M:M,"기출")</f>
        <v>0</v>
      </c>
      <c r="F97" s="207"/>
      <c r="G97" s="208" t="s">
        <v>1008</v>
      </c>
    </row>
    <row r="98" spans="2:7" ht="14.45" customHeight="1" x14ac:dyDescent="0.2">
      <c r="B98" s="204" t="s">
        <v>479</v>
      </c>
      <c r="C98" s="191" t="s">
        <v>482</v>
      </c>
      <c r="D98" s="205">
        <f>COUNTIFS(문제목록!I:I,기출빈도!C98,문제목록!M:M,"기출")</f>
        <v>3</v>
      </c>
      <c r="E98" s="206">
        <f>_xlfn.MAXIFS(문제목록!C:C,문제목록!I:I,기출빈도!C98,문제목록!M:M,"기출")</f>
        <v>2023</v>
      </c>
      <c r="F98" s="207"/>
      <c r="G98" s="208" t="s">
        <v>1009</v>
      </c>
    </row>
    <row r="99" spans="2:7" ht="14.45" customHeight="1" x14ac:dyDescent="0.2">
      <c r="B99" s="204" t="s">
        <v>479</v>
      </c>
      <c r="C99" s="191" t="s">
        <v>492</v>
      </c>
      <c r="D99" s="205">
        <f>COUNTIFS(문제목록!I:I,기출빈도!C99,문제목록!M:M,"기출")</f>
        <v>4</v>
      </c>
      <c r="E99" s="206">
        <f>_xlfn.MAXIFS(문제목록!C:C,문제목록!I:I,기출빈도!C99,문제목록!M:M,"기출")</f>
        <v>2020</v>
      </c>
      <c r="F99" s="207"/>
      <c r="G99" s="208" t="s">
        <v>1010</v>
      </c>
    </row>
    <row r="100" spans="2:7" ht="14.45" customHeight="1" x14ac:dyDescent="0.2">
      <c r="B100" s="204" t="s">
        <v>479</v>
      </c>
      <c r="C100" s="191" t="s">
        <v>480</v>
      </c>
      <c r="D100" s="205">
        <f>COUNTIFS(문제목록!I:I,기출빈도!C100,문제목록!M:M,"기출")</f>
        <v>2</v>
      </c>
      <c r="E100" s="209">
        <f>_xlfn.MAXIFS(문제목록!C:C,문제목록!I:I,기출빈도!C100,문제목록!M:M,"기출")</f>
        <v>2025</v>
      </c>
      <c r="F100" s="207"/>
      <c r="G100" s="210" t="s">
        <v>1011</v>
      </c>
    </row>
    <row r="101" spans="2:7" ht="14.45" customHeight="1" thickBot="1" x14ac:dyDescent="0.25">
      <c r="B101" s="211" t="s">
        <v>404</v>
      </c>
      <c r="C101" s="212" t="s">
        <v>1475</v>
      </c>
      <c r="D101" s="213">
        <f>SUM(D95:D100)</f>
        <v>12</v>
      </c>
      <c r="E101" s="214">
        <f>MAX(E95:E100)</f>
        <v>2025</v>
      </c>
      <c r="F101" s="215"/>
      <c r="G101" s="216"/>
    </row>
    <row r="102" spans="2:7" ht="14.45" customHeight="1" x14ac:dyDescent="0.2">
      <c r="B102" s="198" t="s">
        <v>1380</v>
      </c>
      <c r="C102" s="199" t="s">
        <v>1460</v>
      </c>
      <c r="D102" s="200">
        <f>COUNTIFS(문제목록!I:I,기출빈도!C102,문제목록!M:M,"기출")</f>
        <v>0</v>
      </c>
      <c r="E102" s="201">
        <f>_xlfn.MAXIFS(문제목록!C:C,문제목록!I:I,기출빈도!C102,문제목록!M:M,"기출")</f>
        <v>0</v>
      </c>
      <c r="F102" s="202"/>
      <c r="G102" s="203"/>
    </row>
    <row r="103" spans="2:7" ht="14.45" customHeight="1" x14ac:dyDescent="0.2">
      <c r="B103" s="204" t="s">
        <v>1380</v>
      </c>
      <c r="C103" s="191" t="s">
        <v>1461</v>
      </c>
      <c r="D103" s="205">
        <f>COUNTIFS(문제목록!I:I,기출빈도!C103,문제목록!M:M,"기출")</f>
        <v>0</v>
      </c>
      <c r="E103" s="206">
        <f>_xlfn.MAXIFS(문제목록!C:C,문제목록!I:I,기출빈도!C103,문제목록!M:M,"기출")</f>
        <v>0</v>
      </c>
      <c r="F103" s="207"/>
      <c r="G103" s="208"/>
    </row>
    <row r="104" spans="2:7" ht="14.45" customHeight="1" x14ac:dyDescent="0.2">
      <c r="B104" s="204" t="s">
        <v>1380</v>
      </c>
      <c r="C104" s="191" t="s">
        <v>1462</v>
      </c>
      <c r="D104" s="205">
        <f>COUNTIFS(문제목록!I:I,기출빈도!C104,문제목록!M:M,"기출")</f>
        <v>0</v>
      </c>
      <c r="E104" s="206">
        <f>_xlfn.MAXIFS(문제목록!C:C,문제목록!I:I,기출빈도!C104,문제목록!M:M,"기출")</f>
        <v>0</v>
      </c>
      <c r="F104" s="207"/>
      <c r="G104" s="208"/>
    </row>
    <row r="105" spans="2:7" ht="14.45" customHeight="1" x14ac:dyDescent="0.2">
      <c r="B105" s="204" t="s">
        <v>1380</v>
      </c>
      <c r="C105" s="191" t="s">
        <v>1401</v>
      </c>
      <c r="D105" s="205">
        <f>COUNTIFS(문제목록!I:I,기출빈도!C105,문제목록!M:M,"기출")</f>
        <v>1</v>
      </c>
      <c r="E105" s="206">
        <f>_xlfn.MAXIFS(문제목록!C:C,문제목록!I:I,기출빈도!C105,문제목록!M:M,"기출")</f>
        <v>2025</v>
      </c>
      <c r="F105" s="207"/>
      <c r="G105" s="208"/>
    </row>
    <row r="106" spans="2:7" ht="14.45" customHeight="1" x14ac:dyDescent="0.2">
      <c r="B106" s="204" t="s">
        <v>1380</v>
      </c>
      <c r="C106" s="191" t="s">
        <v>1463</v>
      </c>
      <c r="D106" s="205">
        <f>COUNTIFS(문제목록!I:I,기출빈도!C106,문제목록!M:M,"기출")</f>
        <v>0</v>
      </c>
      <c r="E106" s="206">
        <f>_xlfn.MAXIFS(문제목록!C:C,문제목록!I:I,기출빈도!C106,문제목록!M:M,"기출")</f>
        <v>0</v>
      </c>
      <c r="F106" s="207"/>
      <c r="G106" s="208"/>
    </row>
    <row r="107" spans="2:7" ht="14.45" customHeight="1" x14ac:dyDescent="0.2">
      <c r="B107" s="204" t="s">
        <v>1380</v>
      </c>
      <c r="C107" s="191" t="s">
        <v>1402</v>
      </c>
      <c r="D107" s="205">
        <f>COUNTIFS(문제목록!I:I,기출빈도!C107,문제목록!M:M,"기출")</f>
        <v>1</v>
      </c>
      <c r="E107" s="206">
        <f>_xlfn.MAXIFS(문제목록!C:C,문제목록!I:I,기출빈도!C107,문제목록!M:M,"기출")</f>
        <v>2009</v>
      </c>
      <c r="F107" s="207"/>
      <c r="G107" s="208"/>
    </row>
    <row r="108" spans="2:7" ht="14.45" customHeight="1" x14ac:dyDescent="0.2">
      <c r="B108" s="204" t="s">
        <v>1380</v>
      </c>
      <c r="C108" s="191" t="s">
        <v>1464</v>
      </c>
      <c r="D108" s="205">
        <f>COUNTIFS(문제목록!I:I,기출빈도!C108,문제목록!M:M,"기출")</f>
        <v>0</v>
      </c>
      <c r="E108" s="206">
        <f>_xlfn.MAXIFS(문제목록!C:C,문제목록!I:I,기출빈도!C108,문제목록!M:M,"기출")</f>
        <v>0</v>
      </c>
      <c r="F108" s="207"/>
      <c r="G108" s="208"/>
    </row>
    <row r="109" spans="2:7" ht="14.45" customHeight="1" x14ac:dyDescent="0.2">
      <c r="B109" s="204" t="s">
        <v>1380</v>
      </c>
      <c r="C109" s="191" t="s">
        <v>1465</v>
      </c>
      <c r="D109" s="205">
        <f>COUNTIFS(문제목록!I:I,기출빈도!C109,문제목록!M:M,"기출")</f>
        <v>0</v>
      </c>
      <c r="E109" s="206">
        <f>_xlfn.MAXIFS(문제목록!C:C,문제목록!I:I,기출빈도!C109,문제목록!M:M,"기출")</f>
        <v>0</v>
      </c>
      <c r="F109" s="207"/>
      <c r="G109" s="208"/>
    </row>
    <row r="110" spans="2:7" ht="14.45" customHeight="1" x14ac:dyDescent="0.2">
      <c r="B110" s="204" t="s">
        <v>1380</v>
      </c>
      <c r="C110" s="191" t="s">
        <v>1403</v>
      </c>
      <c r="D110" s="205">
        <f>COUNTIFS(문제목록!I:I,기출빈도!C110,문제목록!M:M,"기출")</f>
        <v>1</v>
      </c>
      <c r="E110" s="206">
        <f>_xlfn.MAXIFS(문제목록!C:C,문제목록!I:I,기출빈도!C110,문제목록!M:M,"기출")</f>
        <v>2008</v>
      </c>
      <c r="F110" s="207"/>
      <c r="G110" s="208"/>
    </row>
    <row r="111" spans="2:7" ht="14.45" customHeight="1" x14ac:dyDescent="0.2">
      <c r="B111" s="204" t="s">
        <v>1380</v>
      </c>
      <c r="C111" s="191" t="s">
        <v>588</v>
      </c>
      <c r="D111" s="205">
        <f>COUNTIFS(문제목록!I:I,기출빈도!C111,문제목록!M:M,"기출")</f>
        <v>0</v>
      </c>
      <c r="E111" s="206">
        <f>_xlfn.MAXIFS(문제목록!C:C,문제목록!I:I,기출빈도!C111,문제목록!M:M,"기출")</f>
        <v>0</v>
      </c>
      <c r="F111" s="207"/>
      <c r="G111" s="208"/>
    </row>
    <row r="112" spans="2:7" ht="14.45" customHeight="1" x14ac:dyDescent="0.2">
      <c r="B112" s="204" t="s">
        <v>1380</v>
      </c>
      <c r="C112" s="191" t="s">
        <v>1456</v>
      </c>
      <c r="D112" s="205">
        <f>COUNTIFS(문제목록!I:I,기출빈도!C112,문제목록!M:M,"기출")</f>
        <v>1</v>
      </c>
      <c r="E112" s="206">
        <f>_xlfn.MAXIFS(문제목록!C:C,문제목록!I:I,기출빈도!C112,문제목록!M:M,"기출")</f>
        <v>2025</v>
      </c>
      <c r="F112" s="207"/>
      <c r="G112" s="208"/>
    </row>
    <row r="113" spans="2:7" ht="14.45" customHeight="1" x14ac:dyDescent="0.2">
      <c r="B113" s="204" t="s">
        <v>1380</v>
      </c>
      <c r="C113" s="191" t="s">
        <v>1457</v>
      </c>
      <c r="D113" s="205">
        <f>COUNTIFS(문제목록!I:I,기출빈도!C113,문제목록!M:M,"기출")</f>
        <v>1</v>
      </c>
      <c r="E113" s="209">
        <f>_xlfn.MAXIFS(문제목록!C:C,문제목록!I:I,기출빈도!C113,문제목록!M:M,"기출")</f>
        <v>2017</v>
      </c>
      <c r="F113" s="207"/>
      <c r="G113" s="210"/>
    </row>
    <row r="114" spans="2:7" ht="14.45" customHeight="1" thickBot="1" x14ac:dyDescent="0.25">
      <c r="B114" s="211" t="s">
        <v>420</v>
      </c>
      <c r="C114" s="212" t="s">
        <v>1475</v>
      </c>
      <c r="D114" s="213">
        <f>SUM(D102:D113)</f>
        <v>5</v>
      </c>
      <c r="E114" s="214">
        <f>MAX(E102:E113)</f>
        <v>2025</v>
      </c>
      <c r="F114" s="215"/>
      <c r="G114" s="216"/>
    </row>
  </sheetData>
  <autoFilter ref="B3:G114" xr:uid="{55748C32-6748-4262-AC88-EC89B70855A8}"/>
  <phoneticPr fontId="3" type="noConversion"/>
  <conditionalFormatting sqref="B4:G114">
    <cfRule type="expression" dxfId="0" priority="1">
      <formula>CELL("ROW")=ROW()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DA1B2A-17B4-43C7-8F5C-5CC62F683036}">
  <sheetPr codeName="Sheet5"/>
  <dimension ref="B2:J22"/>
  <sheetViews>
    <sheetView workbookViewId="0">
      <pane ySplit="4" topLeftCell="A22" activePane="bottomLeft" state="frozen"/>
      <selection pane="bottomLeft" activeCell="F22" sqref="F22"/>
    </sheetView>
  </sheetViews>
  <sheetFormatPr defaultRowHeight="14.45" customHeight="1" x14ac:dyDescent="0.2"/>
  <cols>
    <col min="1" max="1" width="1.140625" style="223" customWidth="1"/>
    <col min="2" max="2" width="11.7109375" style="233" customWidth="1"/>
    <col min="3" max="10" width="31.7109375" style="223" customWidth="1"/>
    <col min="11" max="16384" width="9.140625" style="223"/>
  </cols>
  <sheetData>
    <row r="2" spans="2:10" ht="14.45" customHeight="1" x14ac:dyDescent="0.2">
      <c r="B2" s="373" t="s">
        <v>406</v>
      </c>
      <c r="C2" s="373" t="s">
        <v>1853</v>
      </c>
      <c r="D2" s="373" t="s">
        <v>132</v>
      </c>
      <c r="E2" s="373" t="s">
        <v>136</v>
      </c>
      <c r="F2" s="373" t="s">
        <v>143</v>
      </c>
      <c r="G2" s="373" t="s">
        <v>9</v>
      </c>
      <c r="H2" s="373" t="s">
        <v>1854</v>
      </c>
      <c r="I2" s="373" t="s">
        <v>151</v>
      </c>
      <c r="J2" s="373" t="s">
        <v>1855</v>
      </c>
    </row>
    <row r="3" spans="2:10" ht="14.45" customHeight="1" x14ac:dyDescent="0.2">
      <c r="B3" s="374"/>
      <c r="C3" s="374"/>
      <c r="D3" s="374"/>
      <c r="E3" s="374"/>
      <c r="F3" s="374"/>
      <c r="G3" s="374"/>
      <c r="H3" s="374" t="s">
        <v>1856</v>
      </c>
      <c r="I3" s="374"/>
      <c r="J3" s="374" t="s">
        <v>1858</v>
      </c>
    </row>
    <row r="4" spans="2:10" ht="13.5" x14ac:dyDescent="0.2">
      <c r="B4" s="369" t="s">
        <v>1859</v>
      </c>
      <c r="C4" s="370"/>
      <c r="D4" s="370"/>
      <c r="E4" s="370"/>
      <c r="F4" s="370"/>
      <c r="G4" s="370"/>
      <c r="H4" s="370"/>
      <c r="I4" s="370" t="s">
        <v>1864</v>
      </c>
      <c r="J4" s="370"/>
    </row>
    <row r="5" spans="2:10" ht="164.1" customHeight="1" x14ac:dyDescent="0.2">
      <c r="B5" s="371" t="s">
        <v>1835</v>
      </c>
      <c r="C5" s="372"/>
      <c r="D5" s="372"/>
      <c r="E5" s="372"/>
      <c r="F5" s="372"/>
      <c r="G5" s="372"/>
      <c r="H5" s="372"/>
      <c r="I5" s="372" t="s">
        <v>1860</v>
      </c>
      <c r="J5" s="372" t="s">
        <v>1861</v>
      </c>
    </row>
    <row r="6" spans="2:10" ht="164.1" customHeight="1" x14ac:dyDescent="0.2">
      <c r="B6" s="371" t="s">
        <v>1836</v>
      </c>
      <c r="C6" s="372"/>
      <c r="D6" s="372"/>
      <c r="E6" s="372"/>
      <c r="F6" s="372"/>
      <c r="G6" s="372"/>
      <c r="H6" s="372" t="s">
        <v>1863</v>
      </c>
      <c r="I6" s="372" t="s">
        <v>1865</v>
      </c>
      <c r="J6" s="372" t="s">
        <v>1862</v>
      </c>
    </row>
    <row r="7" spans="2:10" ht="164.1" customHeight="1" x14ac:dyDescent="0.2">
      <c r="B7" s="371" t="s">
        <v>1837</v>
      </c>
      <c r="C7" s="372"/>
      <c r="D7" s="372"/>
      <c r="E7" s="372"/>
      <c r="F7" s="372"/>
      <c r="G7" s="372"/>
      <c r="H7" s="372" t="s">
        <v>1867</v>
      </c>
      <c r="I7" s="372" t="s">
        <v>1866</v>
      </c>
      <c r="J7" s="372" t="s">
        <v>1868</v>
      </c>
    </row>
    <row r="8" spans="2:10" ht="164.1" customHeight="1" x14ac:dyDescent="0.2">
      <c r="B8" s="371" t="s">
        <v>1838</v>
      </c>
      <c r="C8" s="372"/>
      <c r="D8" s="372"/>
      <c r="E8" s="372" t="s">
        <v>1870</v>
      </c>
      <c r="F8" s="372"/>
      <c r="G8" s="372"/>
      <c r="H8" s="372"/>
      <c r="I8" s="372" t="s">
        <v>1869</v>
      </c>
      <c r="J8" s="372"/>
    </row>
    <row r="9" spans="2:10" ht="164.1" customHeight="1" x14ac:dyDescent="0.2">
      <c r="B9" s="371" t="s">
        <v>1839</v>
      </c>
      <c r="C9" s="372"/>
      <c r="D9" s="372"/>
      <c r="E9" s="372"/>
      <c r="F9" s="372"/>
      <c r="G9" s="372" t="s">
        <v>1871</v>
      </c>
      <c r="H9" s="372"/>
      <c r="I9" s="372" t="s">
        <v>1872</v>
      </c>
      <c r="J9" s="372"/>
    </row>
    <row r="10" spans="2:10" ht="164.1" customHeight="1" x14ac:dyDescent="0.2">
      <c r="B10" s="371" t="s">
        <v>1840</v>
      </c>
      <c r="C10" s="372" t="s">
        <v>1873</v>
      </c>
      <c r="D10" s="372"/>
      <c r="E10" s="372"/>
      <c r="F10" s="372"/>
      <c r="G10" s="372"/>
      <c r="H10" s="372"/>
      <c r="I10" s="372"/>
      <c r="J10" s="372" t="s">
        <v>1874</v>
      </c>
    </row>
    <row r="11" spans="2:10" ht="164.1" customHeight="1" x14ac:dyDescent="0.2">
      <c r="B11" s="371" t="s">
        <v>1841</v>
      </c>
      <c r="C11" s="372"/>
      <c r="D11" s="372" t="s">
        <v>1876</v>
      </c>
      <c r="E11" s="372" t="s">
        <v>1877</v>
      </c>
      <c r="F11" s="372"/>
      <c r="G11" s="372"/>
      <c r="H11" s="372"/>
      <c r="I11" s="372" t="s">
        <v>1875</v>
      </c>
      <c r="J11" s="372"/>
    </row>
    <row r="12" spans="2:10" ht="164.1" customHeight="1" x14ac:dyDescent="0.2">
      <c r="B12" s="371" t="s">
        <v>1842</v>
      </c>
      <c r="C12" s="372" t="s">
        <v>1878</v>
      </c>
      <c r="D12" s="372"/>
      <c r="E12" s="372" t="s">
        <v>1879</v>
      </c>
      <c r="F12" s="372"/>
      <c r="G12" s="372"/>
      <c r="H12" s="372"/>
      <c r="I12" s="372"/>
      <c r="J12" s="372" t="s">
        <v>1880</v>
      </c>
    </row>
    <row r="13" spans="2:10" ht="164.1" customHeight="1" x14ac:dyDescent="0.2">
      <c r="B13" s="371" t="s">
        <v>1843</v>
      </c>
      <c r="C13" s="372"/>
      <c r="D13" s="372"/>
      <c r="E13" s="372"/>
      <c r="F13" s="372"/>
      <c r="G13" s="372"/>
      <c r="H13" s="372"/>
      <c r="I13" s="372" t="s">
        <v>1881</v>
      </c>
      <c r="J13" s="372" t="s">
        <v>1882</v>
      </c>
    </row>
    <row r="14" spans="2:10" ht="164.1" customHeight="1" x14ac:dyDescent="0.2">
      <c r="B14" s="371" t="s">
        <v>1844</v>
      </c>
      <c r="C14" s="372"/>
      <c r="D14" s="372"/>
      <c r="E14" s="372"/>
      <c r="F14" s="372" t="s">
        <v>1883</v>
      </c>
      <c r="G14" s="372"/>
      <c r="H14" s="372"/>
      <c r="I14" s="372" t="s">
        <v>1884</v>
      </c>
      <c r="J14" s="372"/>
    </row>
    <row r="15" spans="2:10" ht="164.1" customHeight="1" x14ac:dyDescent="0.2">
      <c r="B15" s="371" t="s">
        <v>1845</v>
      </c>
      <c r="C15" s="372"/>
      <c r="D15" s="372"/>
      <c r="E15" s="372"/>
      <c r="F15" s="372"/>
      <c r="G15" s="372" t="s">
        <v>1885</v>
      </c>
      <c r="H15" s="372" t="s">
        <v>1886</v>
      </c>
      <c r="I15" s="372"/>
      <c r="J15" s="372"/>
    </row>
    <row r="16" spans="2:10" ht="164.1" customHeight="1" x14ac:dyDescent="0.2">
      <c r="B16" s="371" t="s">
        <v>1846</v>
      </c>
      <c r="C16" s="372"/>
      <c r="D16" s="372"/>
      <c r="E16" s="372" t="s">
        <v>1890</v>
      </c>
      <c r="F16" s="372"/>
      <c r="G16" s="372"/>
      <c r="H16" s="372" t="s">
        <v>1888</v>
      </c>
      <c r="I16" s="372" t="s">
        <v>1889</v>
      </c>
      <c r="J16" s="372"/>
    </row>
    <row r="17" spans="2:10" ht="164.1" customHeight="1" x14ac:dyDescent="0.2">
      <c r="B17" s="371" t="s">
        <v>1847</v>
      </c>
      <c r="C17" s="372"/>
      <c r="D17" s="372"/>
      <c r="E17" s="372"/>
      <c r="F17" s="372"/>
      <c r="G17" s="372" t="s">
        <v>1891</v>
      </c>
      <c r="H17" s="372" t="s">
        <v>1892</v>
      </c>
      <c r="I17" s="372"/>
      <c r="J17" s="372"/>
    </row>
    <row r="18" spans="2:10" ht="164.1" customHeight="1" x14ac:dyDescent="0.2">
      <c r="B18" s="371" t="s">
        <v>1848</v>
      </c>
      <c r="C18" s="372"/>
      <c r="D18" s="372" t="s">
        <v>1898</v>
      </c>
      <c r="E18" s="372" t="s">
        <v>1893</v>
      </c>
      <c r="F18" s="372"/>
      <c r="G18" s="372"/>
      <c r="H18" s="372"/>
      <c r="I18" s="372" t="s">
        <v>1894</v>
      </c>
      <c r="J18" s="372"/>
    </row>
    <row r="19" spans="2:10" ht="164.1" customHeight="1" x14ac:dyDescent="0.2">
      <c r="B19" s="371" t="s">
        <v>1849</v>
      </c>
      <c r="C19" s="372"/>
      <c r="D19" s="372"/>
      <c r="E19" s="372"/>
      <c r="F19" s="372" t="s">
        <v>1902</v>
      </c>
      <c r="G19" s="372"/>
      <c r="H19" s="372"/>
      <c r="I19" s="372"/>
      <c r="J19" s="372" t="s">
        <v>1903</v>
      </c>
    </row>
    <row r="20" spans="2:10" ht="164.1" customHeight="1" x14ac:dyDescent="0.2">
      <c r="B20" s="371" t="s">
        <v>1850</v>
      </c>
      <c r="C20" s="372"/>
      <c r="D20" s="372" t="s">
        <v>1904</v>
      </c>
      <c r="E20" s="372" t="s">
        <v>1904</v>
      </c>
      <c r="F20" s="372"/>
      <c r="G20" s="372"/>
      <c r="H20" s="372" t="s">
        <v>1905</v>
      </c>
      <c r="I20" s="372"/>
      <c r="J20" s="372"/>
    </row>
    <row r="21" spans="2:10" ht="164.1" customHeight="1" x14ac:dyDescent="0.2">
      <c r="B21" s="371" t="s">
        <v>1851</v>
      </c>
      <c r="C21" s="372"/>
      <c r="D21" s="372" t="s">
        <v>1907</v>
      </c>
      <c r="E21" s="372"/>
      <c r="F21" s="372"/>
      <c r="G21" s="372"/>
      <c r="H21" s="372"/>
      <c r="I21" s="372" t="s">
        <v>1906</v>
      </c>
      <c r="J21" s="372" t="s">
        <v>1908</v>
      </c>
    </row>
    <row r="22" spans="2:10" ht="164.1" customHeight="1" x14ac:dyDescent="0.2">
      <c r="B22" s="371" t="s">
        <v>1852</v>
      </c>
      <c r="C22" s="372"/>
      <c r="D22" s="372"/>
      <c r="E22" s="372"/>
      <c r="F22" s="372" t="s">
        <v>1911</v>
      </c>
      <c r="G22" s="372"/>
      <c r="H22" s="372"/>
      <c r="I22" s="372" t="s">
        <v>1909</v>
      </c>
      <c r="J22" s="372" t="s">
        <v>1910</v>
      </c>
    </row>
  </sheetData>
  <autoFilter ref="B3:J22" xr:uid="{7E70FF49-11D6-4F48-B14B-38EE53FFE993}"/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BDCAD-1EB1-40BF-912E-DB09B4FA4CAB}">
  <sheetPr codeName="Sheet6"/>
  <dimension ref="B2:J22"/>
  <sheetViews>
    <sheetView workbookViewId="0">
      <pane ySplit="4" topLeftCell="A5" activePane="bottomLeft" state="frozen"/>
      <selection pane="bottomLeft" activeCell="H5" sqref="H5"/>
    </sheetView>
  </sheetViews>
  <sheetFormatPr defaultRowHeight="14.45" customHeight="1" x14ac:dyDescent="0.2"/>
  <cols>
    <col min="1" max="1" width="1.140625" style="223" customWidth="1"/>
    <col min="2" max="2" width="11.7109375" style="233" customWidth="1"/>
    <col min="3" max="10" width="31.7109375" style="223" customWidth="1"/>
    <col min="11" max="16384" width="9.140625" style="223"/>
  </cols>
  <sheetData>
    <row r="2" spans="2:10" ht="14.45" customHeight="1" x14ac:dyDescent="0.2">
      <c r="B2" s="373" t="s">
        <v>406</v>
      </c>
      <c r="C2" s="373" t="s">
        <v>1853</v>
      </c>
      <c r="D2" s="373" t="s">
        <v>1943</v>
      </c>
      <c r="E2" s="373" t="s">
        <v>1918</v>
      </c>
      <c r="F2" s="373" t="s">
        <v>1917</v>
      </c>
      <c r="G2" s="373" t="s">
        <v>156</v>
      </c>
      <c r="H2" s="373" t="s">
        <v>1916</v>
      </c>
      <c r="I2" s="373" t="s">
        <v>1915</v>
      </c>
      <c r="J2" s="373" t="s">
        <v>1914</v>
      </c>
    </row>
    <row r="3" spans="2:10" ht="14.45" customHeight="1" x14ac:dyDescent="0.2">
      <c r="B3" s="374"/>
      <c r="C3" s="374"/>
      <c r="D3" s="374"/>
      <c r="E3" s="374"/>
      <c r="F3" s="374"/>
      <c r="G3" s="374"/>
      <c r="H3" s="374"/>
      <c r="I3" s="374"/>
      <c r="J3" s="374"/>
    </row>
    <row r="4" spans="2:10" ht="13.5" x14ac:dyDescent="0.2">
      <c r="B4" s="369" t="s">
        <v>1859</v>
      </c>
      <c r="C4" s="370"/>
      <c r="D4" s="370"/>
      <c r="E4" s="370"/>
      <c r="F4" s="370"/>
      <c r="G4" s="370"/>
      <c r="H4" s="370"/>
      <c r="I4" s="370"/>
      <c r="J4" s="370"/>
    </row>
    <row r="5" spans="2:10" ht="164.1" customHeight="1" x14ac:dyDescent="0.2">
      <c r="B5" s="371" t="s">
        <v>1835</v>
      </c>
      <c r="C5" s="372"/>
      <c r="D5" s="372"/>
      <c r="E5" s="372"/>
      <c r="F5" s="372" t="s">
        <v>1913</v>
      </c>
      <c r="G5" s="372"/>
      <c r="H5" s="372"/>
      <c r="I5" s="372" t="s">
        <v>1912</v>
      </c>
      <c r="J5" s="372"/>
    </row>
    <row r="6" spans="2:10" ht="164.1" customHeight="1" x14ac:dyDescent="0.2">
      <c r="B6" s="371" t="s">
        <v>1836</v>
      </c>
      <c r="C6" s="372" t="s">
        <v>1919</v>
      </c>
      <c r="D6" s="372"/>
      <c r="E6" s="372"/>
      <c r="F6" s="372" t="s">
        <v>1961</v>
      </c>
      <c r="G6" s="372"/>
      <c r="H6" s="372"/>
      <c r="I6" s="372" t="s">
        <v>1920</v>
      </c>
      <c r="J6" s="372"/>
    </row>
    <row r="7" spans="2:10" ht="164.1" customHeight="1" x14ac:dyDescent="0.2">
      <c r="B7" s="371" t="s">
        <v>1837</v>
      </c>
      <c r="C7" s="372"/>
      <c r="D7" s="372"/>
      <c r="E7" s="372"/>
      <c r="F7" s="372" t="s">
        <v>1922</v>
      </c>
      <c r="G7" s="372" t="s">
        <v>1923</v>
      </c>
      <c r="H7" s="372"/>
      <c r="I7" s="372" t="s">
        <v>1921</v>
      </c>
      <c r="J7" s="372"/>
    </row>
    <row r="8" spans="2:10" ht="164.1" customHeight="1" x14ac:dyDescent="0.2">
      <c r="B8" s="371" t="s">
        <v>1838</v>
      </c>
      <c r="C8" s="372"/>
      <c r="D8" s="372"/>
      <c r="E8" s="372" t="s">
        <v>1925</v>
      </c>
      <c r="F8" s="372"/>
      <c r="G8" s="372"/>
      <c r="H8" s="372" t="s">
        <v>1924</v>
      </c>
      <c r="I8" s="372"/>
      <c r="J8" s="372"/>
    </row>
    <row r="9" spans="2:10" ht="164.1" customHeight="1" x14ac:dyDescent="0.2">
      <c r="B9" s="371" t="s">
        <v>1839</v>
      </c>
      <c r="C9" s="372"/>
      <c r="D9" s="372"/>
      <c r="E9" s="372" t="s">
        <v>1926</v>
      </c>
      <c r="F9" s="372" t="s">
        <v>1926</v>
      </c>
      <c r="G9" s="372" t="s">
        <v>1927</v>
      </c>
      <c r="H9" s="372" t="s">
        <v>1936</v>
      </c>
      <c r="I9" s="372"/>
      <c r="J9" s="372"/>
    </row>
    <row r="10" spans="2:10" ht="164.1" customHeight="1" x14ac:dyDescent="0.2">
      <c r="B10" s="371" t="s">
        <v>1840</v>
      </c>
      <c r="C10" s="372"/>
      <c r="D10" s="372"/>
      <c r="E10" s="372"/>
      <c r="F10" s="372" t="s">
        <v>1930</v>
      </c>
      <c r="G10" s="372"/>
      <c r="H10" s="372" t="s">
        <v>1928</v>
      </c>
      <c r="I10" s="372" t="s">
        <v>1929</v>
      </c>
      <c r="J10" s="372"/>
    </row>
    <row r="11" spans="2:10" ht="164.1" customHeight="1" x14ac:dyDescent="0.2">
      <c r="B11" s="371" t="s">
        <v>1841</v>
      </c>
      <c r="C11" s="372" t="s">
        <v>1933</v>
      </c>
      <c r="D11" s="372"/>
      <c r="E11" s="372" t="s">
        <v>1932</v>
      </c>
      <c r="F11" s="372"/>
      <c r="G11" s="372"/>
      <c r="H11" s="372" t="s">
        <v>1931</v>
      </c>
      <c r="I11" s="372"/>
      <c r="J11" s="372"/>
    </row>
    <row r="12" spans="2:10" ht="164.1" customHeight="1" x14ac:dyDescent="0.2">
      <c r="B12" s="371" t="s">
        <v>1842</v>
      </c>
      <c r="C12" s="372"/>
      <c r="D12" s="372"/>
      <c r="E12" s="372"/>
      <c r="F12" s="372"/>
      <c r="G12" s="372"/>
      <c r="H12" s="372" t="s">
        <v>1935</v>
      </c>
      <c r="I12" s="372" t="s">
        <v>1934</v>
      </c>
      <c r="J12" s="372"/>
    </row>
    <row r="13" spans="2:10" ht="164.1" customHeight="1" x14ac:dyDescent="0.2">
      <c r="B13" s="371" t="s">
        <v>1843</v>
      </c>
      <c r="C13" s="372"/>
      <c r="D13" s="372"/>
      <c r="E13" s="372"/>
      <c r="F13" s="372"/>
      <c r="G13" s="372"/>
      <c r="H13" s="372" t="s">
        <v>1937</v>
      </c>
      <c r="I13" s="372" t="s">
        <v>1938</v>
      </c>
      <c r="J13" s="372"/>
    </row>
    <row r="14" spans="2:10" ht="164.1" customHeight="1" x14ac:dyDescent="0.2">
      <c r="B14" s="371" t="s">
        <v>1844</v>
      </c>
      <c r="C14" s="372"/>
      <c r="D14" s="372"/>
      <c r="E14" s="372"/>
      <c r="F14" s="372"/>
      <c r="G14" s="372" t="s">
        <v>1940</v>
      </c>
      <c r="H14" s="372"/>
      <c r="I14" s="372" t="s">
        <v>1939</v>
      </c>
      <c r="J14" s="372"/>
    </row>
    <row r="15" spans="2:10" ht="164.1" customHeight="1" x14ac:dyDescent="0.2">
      <c r="B15" s="371" t="s">
        <v>1845</v>
      </c>
      <c r="C15" s="372"/>
      <c r="D15" s="372"/>
      <c r="E15" s="372"/>
      <c r="F15" s="372"/>
      <c r="G15" s="372"/>
      <c r="H15" s="372" t="s">
        <v>1942</v>
      </c>
      <c r="I15" s="372" t="s">
        <v>1941</v>
      </c>
      <c r="J15" s="372"/>
    </row>
    <row r="16" spans="2:10" ht="164.1" customHeight="1" x14ac:dyDescent="0.2">
      <c r="B16" s="371" t="s">
        <v>1846</v>
      </c>
      <c r="C16" s="372"/>
      <c r="D16" s="372" t="s">
        <v>1945</v>
      </c>
      <c r="E16" s="372"/>
      <c r="F16" s="372"/>
      <c r="G16" s="372" t="s">
        <v>1944</v>
      </c>
      <c r="H16" s="372"/>
      <c r="I16" s="372" t="s">
        <v>1946</v>
      </c>
      <c r="J16" s="372"/>
    </row>
    <row r="17" spans="2:10" ht="164.1" customHeight="1" x14ac:dyDescent="0.2">
      <c r="B17" s="371" t="s">
        <v>1847</v>
      </c>
      <c r="C17" s="372"/>
      <c r="D17" s="372"/>
      <c r="E17" s="372" t="s">
        <v>1948</v>
      </c>
      <c r="F17" s="372"/>
      <c r="G17" s="372"/>
      <c r="H17" s="372" t="s">
        <v>1947</v>
      </c>
      <c r="I17" s="372"/>
      <c r="J17" s="372"/>
    </row>
    <row r="18" spans="2:10" ht="164.1" customHeight="1" x14ac:dyDescent="0.2">
      <c r="B18" s="371" t="s">
        <v>1848</v>
      </c>
      <c r="C18" s="372"/>
      <c r="D18" s="372"/>
      <c r="E18" s="372" t="s">
        <v>1950</v>
      </c>
      <c r="F18" s="372"/>
      <c r="G18" s="372" t="s">
        <v>1949</v>
      </c>
      <c r="H18" s="372"/>
      <c r="I18" s="372"/>
      <c r="J18" s="372"/>
    </row>
    <row r="19" spans="2:10" ht="164.1" customHeight="1" x14ac:dyDescent="0.2">
      <c r="B19" s="371" t="s">
        <v>1849</v>
      </c>
      <c r="C19" s="372"/>
      <c r="D19" s="372"/>
      <c r="E19" s="372"/>
      <c r="F19" s="372" t="s">
        <v>1951</v>
      </c>
      <c r="G19" s="372"/>
      <c r="H19" s="372" t="s">
        <v>1952</v>
      </c>
      <c r="I19" s="372"/>
      <c r="J19" s="372"/>
    </row>
    <row r="20" spans="2:10" ht="164.1" customHeight="1" x14ac:dyDescent="0.2">
      <c r="B20" s="371" t="s">
        <v>1850</v>
      </c>
      <c r="C20" s="372"/>
      <c r="D20" s="372"/>
      <c r="E20" s="372"/>
      <c r="F20" s="372"/>
      <c r="G20" s="372" t="s">
        <v>1953</v>
      </c>
      <c r="H20" s="372" t="s">
        <v>1954</v>
      </c>
      <c r="I20" s="372"/>
      <c r="J20" s="372"/>
    </row>
    <row r="21" spans="2:10" ht="164.1" customHeight="1" x14ac:dyDescent="0.2">
      <c r="B21" s="371" t="s">
        <v>1851</v>
      </c>
      <c r="C21" s="372"/>
      <c r="D21" s="372"/>
      <c r="E21" s="372" t="s">
        <v>1957</v>
      </c>
      <c r="F21" s="372" t="s">
        <v>1955</v>
      </c>
      <c r="G21" s="372"/>
      <c r="H21" s="372" t="s">
        <v>1956</v>
      </c>
      <c r="I21" s="372"/>
      <c r="J21" s="372"/>
    </row>
    <row r="22" spans="2:10" ht="164.1" customHeight="1" x14ac:dyDescent="0.2">
      <c r="B22" s="371" t="s">
        <v>1852</v>
      </c>
      <c r="C22" s="372"/>
      <c r="D22" s="372"/>
      <c r="E22" s="372"/>
      <c r="F22" s="372" t="s">
        <v>1958</v>
      </c>
      <c r="G22" s="372" t="s">
        <v>1958</v>
      </c>
      <c r="H22" s="372" t="s">
        <v>1959</v>
      </c>
      <c r="I22" s="372"/>
      <c r="J22" s="372" t="s">
        <v>1960</v>
      </c>
    </row>
  </sheetData>
  <autoFilter ref="B3:J22" xr:uid="{7E70FF49-11D6-4F48-B14B-38EE53FFE993}"/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 지정된 범위</vt:lpstr>
      </vt:variant>
      <vt:variant>
        <vt:i4>1</vt:i4>
      </vt:variant>
    </vt:vector>
  </HeadingPairs>
  <TitlesOfParts>
    <vt:vector size="10" baseType="lpstr">
      <vt:lpstr>설정</vt:lpstr>
      <vt:lpstr>통합목록</vt:lpstr>
      <vt:lpstr>문제목록</vt:lpstr>
      <vt:lpstr>주요쟁점</vt:lpstr>
      <vt:lpstr>관련용어</vt:lpstr>
      <vt:lpstr>관련법령</vt:lpstr>
      <vt:lpstr>기출빈도</vt:lpstr>
      <vt:lpstr>기출유형(노동1)</vt:lpstr>
      <vt:lpstr>기출유형(노동2)</vt:lpstr>
      <vt:lpstr>'기출유형(노동2)'!_FilterDatabase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2026-05-20T02:17:01Z</cp:lastPrinted>
  <dcterms:created xsi:type="dcterms:W3CDTF">2022-05-21T00:54:57Z</dcterms:created>
  <dcterms:modified xsi:type="dcterms:W3CDTF">2026-08-17T07:13:27Z</dcterms:modified>
  <cp:category/>
  <cp:contentStatus/>
</cp:coreProperties>
</file>