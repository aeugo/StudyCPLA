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3.기출/03.필사/02.2차/"/>
    </mc:Choice>
  </mc:AlternateContent>
  <xr:revisionPtr revIDLastSave="20579" documentId="8_{446D7C5D-1A60-4937-8CF0-170E748D36B3}" xr6:coauthVersionLast="47" xr6:coauthVersionMax="47" xr10:uidLastSave="{C93828E9-1153-474D-9A09-83427230C76A}"/>
  <bookViews>
    <workbookView xWindow="-120" yWindow="-120" windowWidth="29040" windowHeight="15720" tabRatio="967" activeTab="5" xr2:uid="{00000000-000D-0000-FFFF-FFFF00000000}"/>
  </bookViews>
  <sheets>
    <sheet name="2차-시간배분" sheetId="22" r:id="rId1"/>
    <sheet name="2차-회독 목표" sheetId="23" r:id="rId2"/>
    <sheet name="2차-답안 작성 계획" sheetId="24" r:id="rId3"/>
    <sheet name="2차-답안 글자수" sheetId="25" r:id="rId4"/>
    <sheet name="2차-공부계획_월력" sheetId="27" r:id="rId5"/>
    <sheet name="Sheet1" sheetId="28" r:id="rId6"/>
  </sheets>
  <definedNames>
    <definedName name="_xleta.COUNT" hidden="1" xlm="1">#NAME?</definedName>
    <definedName name="_xleta.COUNTIF" hidden="1" xlm="1">#NAME?</definedName>
    <definedName name="_xleta.SUM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8" l="1"/>
  <c r="H6" i="28"/>
  <c r="H7" i="28"/>
  <c r="H4" i="28"/>
  <c r="E5" i="28"/>
  <c r="E6" i="28"/>
  <c r="E7" i="28"/>
  <c r="E4" i="28"/>
  <c r="I7" i="28" l="1"/>
  <c r="I6" i="28"/>
  <c r="I5" i="28"/>
  <c r="H8" i="28"/>
  <c r="H10" i="28" s="1"/>
  <c r="H11" i="28" s="1"/>
  <c r="H12" i="28" s="1"/>
  <c r="E8" i="28"/>
  <c r="E10" i="28" s="1"/>
  <c r="E11" i="28" s="1"/>
  <c r="E12" i="28" s="1"/>
  <c r="I4" i="28"/>
  <c r="E24" i="23"/>
  <c r="I21" i="23"/>
  <c r="E25" i="23" s="1"/>
  <c r="F26" i="23"/>
  <c r="I7" i="23"/>
  <c r="F8" i="23"/>
  <c r="I4" i="23"/>
  <c r="E13" i="23" s="1"/>
  <c r="M29" i="27"/>
  <c r="M30" i="27"/>
  <c r="M31" i="27"/>
  <c r="N31" i="27" s="1"/>
  <c r="M28" i="27"/>
  <c r="K9" i="27"/>
  <c r="C12" i="25"/>
  <c r="D14" i="25" s="1"/>
  <c r="C5" i="25"/>
  <c r="D7" i="25" s="1"/>
  <c r="I8" i="28" l="1"/>
  <c r="I10" i="28"/>
  <c r="I11" i="28" s="1"/>
  <c r="I12" i="28" s="1"/>
  <c r="E23" i="23"/>
  <c r="E22" i="23"/>
  <c r="E21" i="23"/>
  <c r="E4" i="23"/>
  <c r="E7" i="23"/>
  <c r="E6" i="23"/>
  <c r="E5" i="23"/>
  <c r="E12" i="23"/>
  <c r="E16" i="23"/>
  <c r="E15" i="23"/>
  <c r="E14" i="23"/>
  <c r="D13" i="25"/>
  <c r="D6" i="25"/>
  <c r="E26" i="23" l="1"/>
  <c r="F17" i="23"/>
</calcChain>
</file>

<file path=xl/sharedStrings.xml><?xml version="1.0" encoding="utf-8"?>
<sst xmlns="http://schemas.openxmlformats.org/spreadsheetml/2006/main" count="161" uniqueCount="124">
  <si>
    <t>점수</t>
    <phoneticPr fontId="1" type="noConversion"/>
  </si>
  <si>
    <t>50점</t>
    <phoneticPr fontId="1" type="noConversion"/>
  </si>
  <si>
    <t>25점</t>
    <phoneticPr fontId="1" type="noConversion"/>
  </si>
  <si>
    <t>50분</t>
    <phoneticPr fontId="1" type="noConversion"/>
  </si>
  <si>
    <t>25분</t>
    <phoneticPr fontId="1" type="noConversion"/>
  </si>
  <si>
    <t>10분</t>
    <phoneticPr fontId="1" type="noConversion"/>
  </si>
  <si>
    <t>5분</t>
    <phoneticPr fontId="1" type="noConversion"/>
  </si>
  <si>
    <t>배분(100분)</t>
    <phoneticPr fontId="1" type="noConversion"/>
  </si>
  <si>
    <t>목차잡기</t>
    <phoneticPr fontId="1" type="noConversion"/>
  </si>
  <si>
    <t>5분의1</t>
    <phoneticPr fontId="1" type="noConversion"/>
  </si>
  <si>
    <t>인사노무관리론</t>
    <phoneticPr fontId="1" type="noConversion"/>
  </si>
  <si>
    <t>행정쟁송법</t>
    <phoneticPr fontId="1" type="noConversion"/>
  </si>
  <si>
    <t>경영조직론</t>
    <phoneticPr fontId="1" type="noConversion"/>
  </si>
  <si>
    <t>행수</t>
    <phoneticPr fontId="1" type="noConversion"/>
  </si>
  <si>
    <t>Line/Hour</t>
    <phoneticPr fontId="1" type="noConversion"/>
  </si>
  <si>
    <t>Line/Day</t>
    <phoneticPr fontId="1" type="noConversion"/>
  </si>
  <si>
    <t>Total Day</t>
    <phoneticPr fontId="1" type="noConversion"/>
  </si>
  <si>
    <t>목표일</t>
    <phoneticPr fontId="1" type="noConversion"/>
  </si>
  <si>
    <t>과목</t>
    <phoneticPr fontId="1" type="noConversion"/>
  </si>
  <si>
    <t>Ⅳ. 사안의 적용</t>
    <phoneticPr fontId="1" type="noConversion"/>
  </si>
  <si>
    <t>Ⅴ. 결론</t>
    <phoneticPr fontId="1" type="noConversion"/>
  </si>
  <si>
    <t>&lt;약술형(25점)&gt;</t>
    <phoneticPr fontId="1" type="noConversion"/>
  </si>
  <si>
    <t>Ⅰ. 서</t>
    <phoneticPr fontId="1" type="noConversion"/>
  </si>
  <si>
    <t>Ⅱ. 개념/법조문</t>
    <phoneticPr fontId="1" type="noConversion"/>
  </si>
  <si>
    <t>Ⅲ. 판례(키워드 현출)</t>
    <phoneticPr fontId="1" type="noConversion"/>
  </si>
  <si>
    <t>Ⅴ. 결</t>
    <phoneticPr fontId="1" type="noConversion"/>
  </si>
  <si>
    <t>&lt;사례형(50점)-소문제별&gt;</t>
    <phoneticPr fontId="1" type="noConversion"/>
  </si>
  <si>
    <t>Ⅰ. 문제 제기</t>
    <phoneticPr fontId="1" type="noConversion"/>
  </si>
  <si>
    <t>답안지(16p)</t>
    <phoneticPr fontId="1" type="noConversion"/>
  </si>
  <si>
    <t>8페이지</t>
    <phoneticPr fontId="1" type="noConversion"/>
  </si>
  <si>
    <t>4페이지</t>
    <phoneticPr fontId="1" type="noConversion"/>
  </si>
  <si>
    <t>※ 10점당 1.5페이지 정도</t>
    <phoneticPr fontId="1" type="noConversion"/>
  </si>
  <si>
    <t>Ⅱ. 법률 규정(쟁점1)</t>
    <phoneticPr fontId="1" type="noConversion"/>
  </si>
  <si>
    <t>Ⅲ. 관련 판례(쟁점2)</t>
    <phoneticPr fontId="1" type="noConversion"/>
  </si>
  <si>
    <t>약 600단어</t>
    <phoneticPr fontId="1" type="noConversion"/>
  </si>
  <si>
    <t>약 1,200단어</t>
    <phoneticPr fontId="1" type="noConversion"/>
  </si>
  <si>
    <t>글자수</t>
    <phoneticPr fontId="1" type="noConversion"/>
  </si>
  <si>
    <t>단어수</t>
    <phoneticPr fontId="1" type="noConversion"/>
  </si>
  <si>
    <t>약 5,000자</t>
    <phoneticPr fontId="1" type="noConversion"/>
  </si>
  <si>
    <t>약 2,500자</t>
    <phoneticPr fontId="1" type="noConversion"/>
  </si>
  <si>
    <t>2025년</t>
    <phoneticPr fontId="1" type="noConversion"/>
  </si>
  <si>
    <t>2008년</t>
  </si>
  <si>
    <t>2009년</t>
  </si>
  <si>
    <t>2010년</t>
  </si>
  <si>
    <t>2011년</t>
  </si>
  <si>
    <t>2012년</t>
  </si>
  <si>
    <t>2013년</t>
  </si>
  <si>
    <t>2014년</t>
  </si>
  <si>
    <t>2015년</t>
  </si>
  <si>
    <t>2016년</t>
  </si>
  <si>
    <t>2017년</t>
  </si>
  <si>
    <t>2018년</t>
  </si>
  <si>
    <t>2019년</t>
  </si>
  <si>
    <t>2020년</t>
  </si>
  <si>
    <t>2021년</t>
  </si>
  <si>
    <t>2022년</t>
  </si>
  <si>
    <t>2023년</t>
  </si>
  <si>
    <t>No</t>
    <phoneticPr fontId="1" type="noConversion"/>
  </si>
  <si>
    <t>년도</t>
    <phoneticPr fontId="1" type="noConversion"/>
  </si>
  <si>
    <t>2024년</t>
    <phoneticPr fontId="1" type="noConversion"/>
  </si>
  <si>
    <t>※ 최종 답안 : -이하 여백-</t>
    <phoneticPr fontId="1" type="noConversion"/>
  </si>
  <si>
    <t>※ 답안 시작 : 상단에 &lt;문제1-물음1&gt;</t>
    <phoneticPr fontId="1" type="noConversion"/>
  </si>
  <si>
    <t>※ 답안 완료 : 하단에 &lt;문제1-물음1 끝&gt;</t>
    <phoneticPr fontId="1" type="noConversion"/>
  </si>
  <si>
    <t>한줄(글자수)</t>
    <phoneticPr fontId="9" type="noConversion"/>
  </si>
  <si>
    <t>한페이지(행수)</t>
    <phoneticPr fontId="9" type="noConversion"/>
  </si>
  <si>
    <t>한페이지(글자수)</t>
    <phoneticPr fontId="9" type="noConversion"/>
  </si>
  <si>
    <t>25점(페이지/글자수)</t>
    <phoneticPr fontId="9" type="noConversion"/>
  </si>
  <si>
    <t>50점(페이지/글자수)</t>
    <phoneticPr fontId="9" type="noConversion"/>
  </si>
  <si>
    <t>노동법1(월)</t>
    <phoneticPr fontId="1" type="noConversion"/>
  </si>
  <si>
    <t>노동법2(화)</t>
    <phoneticPr fontId="1" type="noConversion"/>
  </si>
  <si>
    <t>인사노무관리론(수)</t>
    <phoneticPr fontId="1" type="noConversion"/>
  </si>
  <si>
    <t>행정쟁송법(목)</t>
    <phoneticPr fontId="1" type="noConversion"/>
  </si>
  <si>
    <t>경영조직론(금)</t>
    <phoneticPr fontId="1" type="noConversion"/>
  </si>
  <si>
    <t>노동법1</t>
    <phoneticPr fontId="1" type="noConversion"/>
  </si>
  <si>
    <t>노동법2</t>
    <phoneticPr fontId="1" type="noConversion"/>
  </si>
  <si>
    <t>목표</t>
    <phoneticPr fontId="1" type="noConversion"/>
  </si>
  <si>
    <t>1쪽 필기</t>
    <phoneticPr fontId="1" type="noConversion"/>
  </si>
  <si>
    <t>현재</t>
    <phoneticPr fontId="1" type="noConversion"/>
  </si>
  <si>
    <t>하루</t>
    <phoneticPr fontId="1" type="noConversion"/>
  </si>
  <si>
    <t>3년</t>
    <phoneticPr fontId="1" type="noConversion"/>
  </si>
  <si>
    <t>모의고사</t>
    <phoneticPr fontId="1" type="noConversion"/>
  </si>
  <si>
    <t>14회 가능</t>
    <phoneticPr fontId="1" type="noConversion"/>
  </si>
  <si>
    <t>7월13일부터</t>
    <phoneticPr fontId="1" type="noConversion"/>
  </si>
  <si>
    <t>630장 필요</t>
    <phoneticPr fontId="1" type="noConversion"/>
  </si>
  <si>
    <t>노동법</t>
    <phoneticPr fontId="1" type="noConversion"/>
  </si>
  <si>
    <t>인사</t>
    <phoneticPr fontId="1" type="noConversion"/>
  </si>
  <si>
    <t>행쟁</t>
    <phoneticPr fontId="1" type="noConversion"/>
  </si>
  <si>
    <t>경조</t>
    <phoneticPr fontId="1" type="noConversion"/>
  </si>
  <si>
    <t>1회차 목표</t>
    <phoneticPr fontId="1" type="noConversion"/>
  </si>
  <si>
    <t>→ 1회독 이후 각 과목별 회독 계획 행수 재적용(최초 계획)</t>
    <phoneticPr fontId="1" type="noConversion"/>
  </si>
  <si>
    <t>→ 1회독 이후 각 과목별 회독 계획 행수 재적용(수정 계획)</t>
    <phoneticPr fontId="1" type="noConversion"/>
  </si>
  <si>
    <t>절 수</t>
    <phoneticPr fontId="1" type="noConversion"/>
  </si>
  <si>
    <t>문제 수</t>
    <phoneticPr fontId="1" type="noConversion"/>
  </si>
  <si>
    <t>행 수</t>
    <phoneticPr fontId="1" type="noConversion"/>
  </si>
  <si>
    <t>기본교재(요약) 회독 계획</t>
    <phoneticPr fontId="1" type="noConversion"/>
  </si>
  <si>
    <t>기출문제 회독 계획</t>
    <phoneticPr fontId="1" type="noConversion"/>
  </si>
  <si>
    <t>절/Hour</t>
    <phoneticPr fontId="1" type="noConversion"/>
  </si>
  <si>
    <t>절/Day</t>
    <phoneticPr fontId="1" type="noConversion"/>
  </si>
  <si>
    <t>글자수/Hour</t>
    <phoneticPr fontId="1" type="noConversion"/>
  </si>
  <si>
    <t>글자수/Day</t>
    <phoneticPr fontId="1" type="noConversion"/>
  </si>
  <si>
    <t>기본교재(통합) 회독 계획</t>
    <phoneticPr fontId="1" type="noConversion"/>
  </si>
  <si>
    <t>글자 수</t>
    <phoneticPr fontId="1" type="noConversion"/>
  </si>
  <si>
    <t>하루 투입시간</t>
    <phoneticPr fontId="1" type="noConversion"/>
  </si>
  <si>
    <t>목표 : 10,000</t>
    <phoneticPr fontId="1" type="noConversion"/>
  </si>
  <si>
    <t>D-Day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</si>
  <si>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</si>
  <si>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</si>
  <si>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</si>
  <si>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</si>
  <si>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</si>
  <si>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</si>
  <si>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</si>
  <si>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보충・복습</t>
    <phoneticPr fontId="1" type="noConversion"/>
  </si>
  <si>
    <t>민사소송법</t>
    <phoneticPr fontId="1" type="noConversion"/>
  </si>
  <si>
    <t>※ 2026.03.19 부 선택과목 "민사소송법"으로 변경</t>
    <phoneticPr fontId="1" type="noConversion"/>
  </si>
  <si>
    <t>요약</t>
    <phoneticPr fontId="1" type="noConversion"/>
  </si>
  <si>
    <t>문제</t>
    <phoneticPr fontId="1" type="noConversion"/>
  </si>
  <si>
    <t>총</t>
    <phoneticPr fontId="1" type="noConversion"/>
  </si>
  <si>
    <t>완료</t>
    <phoneticPr fontId="1" type="noConversion"/>
  </si>
  <si>
    <t>미완</t>
    <phoneticPr fontId="1" type="noConversion"/>
  </si>
  <si>
    <t>계</t>
    <phoneticPr fontId="1" type="noConversion"/>
  </si>
  <si>
    <t>개당 소요(분)</t>
    <phoneticPr fontId="1" type="noConversion"/>
  </si>
  <si>
    <t>총 소요(시간)</t>
    <phoneticPr fontId="1" type="noConversion"/>
  </si>
  <si>
    <t>총 소요(일)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</si>
</sst>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_-* #,##0.0_-;\-* #,##0.0_-;_-* &quot;-&quot;_-;_-@_-"/>
    <numFmt numFmtId="178" formatCode="yy\.mm\.dd"/>
    <numFmt numFmtId="179" formatCode="yyyy\.mm\.dd"/>
  </numFmts>
  <fonts count="1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name val="맑은 고딕"/>
      <family val="2"/>
      <charset val="129"/>
      <scheme val="minor"/>
    </font>
    <font>
      <sz val="1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0000FF"/>
      <name val="함초롬돋움"/>
      <family val="3"/>
      <charset val="129"/>
    </font>
    <font>
      <b/>
      <sz val="10"/>
      <color rgb="FFFF0000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95">
    <xf numFmtId="0" fontId="0" fillId="0" borderId="0" xfId="0"/>
    <xf numFmtId="0" fontId="4" fillId="2" borderId="1" xfId="0" applyFont="1" applyFill="1" applyBorder="1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7" fillId="0" borderId="0" xfId="0" applyFont="1"/>
    <xf numFmtId="176" fontId="7" fillId="3" borderId="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76" fontId="7" fillId="0" borderId="0" xfId="0" applyNumberFormat="1" applyFont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176" fontId="10" fillId="3" borderId="1" xfId="0" applyNumberFormat="1" applyFont="1" applyFill="1" applyBorder="1" applyAlignment="1">
      <alignment horizontal="center"/>
    </xf>
    <xf numFmtId="178" fontId="7" fillId="0" borderId="4" xfId="0" applyNumberFormat="1" applyFont="1" applyBorder="1" applyAlignment="1">
      <alignment horizontal="center"/>
    </xf>
    <xf numFmtId="0" fontId="7" fillId="0" borderId="1" xfId="0" applyFont="1" applyBorder="1"/>
    <xf numFmtId="178" fontId="7" fillId="0" borderId="3" xfId="0" applyNumberFormat="1" applyFont="1" applyBorder="1" applyAlignment="1">
      <alignment horizontal="center"/>
    </xf>
    <xf numFmtId="178" fontId="7" fillId="5" borderId="4" xfId="0" applyNumberFormat="1" applyFont="1" applyFill="1" applyBorder="1" applyAlignment="1">
      <alignment horizontal="center"/>
    </xf>
    <xf numFmtId="178" fontId="7" fillId="5" borderId="3" xfId="0" applyNumberFormat="1" applyFont="1" applyFill="1" applyBorder="1" applyAlignment="1">
      <alignment horizontal="center"/>
    </xf>
    <xf numFmtId="178" fontId="7" fillId="6" borderId="4" xfId="0" applyNumberFormat="1" applyFont="1" applyFill="1" applyBorder="1" applyAlignment="1">
      <alignment horizontal="center"/>
    </xf>
    <xf numFmtId="178" fontId="7" fillId="6" borderId="3" xfId="0" applyNumberFormat="1" applyFont="1" applyFill="1" applyBorder="1" applyAlignment="1">
      <alignment horizontal="center"/>
    </xf>
    <xf numFmtId="41" fontId="7" fillId="0" borderId="0" xfId="2" applyFont="1" applyAlignment="1"/>
    <xf numFmtId="177" fontId="7" fillId="0" borderId="0" xfId="2" applyNumberFormat="1" applyFont="1" applyAlignment="1"/>
    <xf numFmtId="0" fontId="7" fillId="0" borderId="1" xfId="0" applyFont="1" applyBorder="1" applyAlignment="1">
      <alignment horizontal="center"/>
    </xf>
    <xf numFmtId="41" fontId="7" fillId="0" borderId="1" xfId="2" applyFont="1" applyBorder="1" applyAlignment="1">
      <alignment horizontal="center"/>
    </xf>
    <xf numFmtId="177" fontId="7" fillId="0" borderId="1" xfId="2" applyNumberFormat="1" applyFont="1" applyBorder="1" applyAlignment="1">
      <alignment horizontal="center"/>
    </xf>
    <xf numFmtId="41" fontId="7" fillId="0" borderId="1" xfId="2" applyFont="1" applyBorder="1" applyAlignment="1"/>
    <xf numFmtId="177" fontId="7" fillId="0" borderId="1" xfId="2" applyNumberFormat="1" applyFont="1" applyBorder="1" applyAlignment="1"/>
    <xf numFmtId="41" fontId="7" fillId="0" borderId="0" xfId="0" applyNumberFormat="1" applyFont="1"/>
    <xf numFmtId="41" fontId="6" fillId="2" borderId="1" xfId="2" applyFont="1" applyFill="1" applyBorder="1" applyAlignment="1">
      <alignment horizontal="center"/>
    </xf>
    <xf numFmtId="177" fontId="6" fillId="2" borderId="1" xfId="2" applyNumberFormat="1" applyFont="1" applyFill="1" applyBorder="1" applyAlignment="1">
      <alignment horizontal="center"/>
    </xf>
    <xf numFmtId="0" fontId="10" fillId="0" borderId="0" xfId="0" applyFont="1"/>
    <xf numFmtId="41" fontId="10" fillId="0" borderId="0" xfId="2" applyFont="1" applyAlignment="1"/>
    <xf numFmtId="41" fontId="11" fillId="0" borderId="0" xfId="2" applyFont="1" applyAlignment="1">
      <alignment horizontal="right"/>
    </xf>
    <xf numFmtId="178" fontId="7" fillId="0" borderId="5" xfId="0" applyNumberFormat="1" applyFont="1" applyBorder="1" applyAlignment="1">
      <alignment horizontal="center"/>
    </xf>
    <xf numFmtId="178" fontId="7" fillId="5" borderId="5" xfId="0" applyNumberFormat="1" applyFont="1" applyFill="1" applyBorder="1" applyAlignment="1">
      <alignment horizontal="center"/>
    </xf>
    <xf numFmtId="178" fontId="7" fillId="6" borderId="5" xfId="0" applyNumberFormat="1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178" fontId="7" fillId="0" borderId="8" xfId="0" applyNumberFormat="1" applyFont="1" applyBorder="1" applyAlignment="1">
      <alignment horizontal="center"/>
    </xf>
    <xf numFmtId="178" fontId="7" fillId="5" borderId="8" xfId="0" applyNumberFormat="1" applyFont="1" applyFill="1" applyBorder="1" applyAlignment="1">
      <alignment horizontal="center"/>
    </xf>
    <xf numFmtId="178" fontId="7" fillId="6" borderId="8" xfId="0" applyNumberFormat="1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79" fontId="7" fillId="5" borderId="8" xfId="0" applyNumberFormat="1" applyFont="1" applyFill="1" applyBorder="1" applyAlignment="1">
      <alignment horizontal="center"/>
    </xf>
    <xf numFmtId="179" fontId="7" fillId="5" borderId="4" xfId="0" applyNumberFormat="1" applyFont="1" applyFill="1" applyBorder="1" applyAlignment="1">
      <alignment horizontal="center"/>
    </xf>
    <xf numFmtId="179" fontId="7" fillId="5" borderId="5" xfId="0" applyNumberFormat="1" applyFont="1" applyFill="1" applyBorder="1" applyAlignment="1">
      <alignment horizontal="center"/>
    </xf>
    <xf numFmtId="179" fontId="7" fillId="5" borderId="3" xfId="0" applyNumberFormat="1" applyFont="1" applyFill="1" applyBorder="1" applyAlignment="1">
      <alignment horizontal="center"/>
    </xf>
    <xf numFmtId="179" fontId="11" fillId="3" borderId="8" xfId="0" applyNumberFormat="1" applyFont="1" applyFill="1" applyBorder="1" applyAlignment="1">
      <alignment horizontal="center"/>
    </xf>
    <xf numFmtId="179" fontId="11" fillId="3" borderId="4" xfId="0" applyNumberFormat="1" applyFont="1" applyFill="1" applyBorder="1" applyAlignment="1">
      <alignment horizontal="center"/>
    </xf>
    <xf numFmtId="179" fontId="11" fillId="3" borderId="5" xfId="0" applyNumberFormat="1" applyFont="1" applyFill="1" applyBorder="1" applyAlignment="1">
      <alignment horizontal="center"/>
    </xf>
    <xf numFmtId="179" fontId="11" fillId="3" borderId="3" xfId="0" applyNumberFormat="1" applyFont="1" applyFill="1" applyBorder="1" applyAlignment="1">
      <alignment horizontal="center"/>
    </xf>
    <xf numFmtId="179" fontId="7" fillId="0" borderId="8" xfId="0" applyNumberFormat="1" applyFont="1" applyBorder="1" applyAlignment="1">
      <alignment horizontal="center"/>
    </xf>
    <xf numFmtId="179" fontId="7" fillId="0" borderId="4" xfId="0" applyNumberFormat="1" applyFont="1" applyBorder="1" applyAlignment="1">
      <alignment horizontal="center"/>
    </xf>
    <xf numFmtId="179" fontId="7" fillId="0" borderId="5" xfId="0" applyNumberFormat="1" applyFont="1" applyBorder="1" applyAlignment="1">
      <alignment horizontal="center"/>
    </xf>
    <xf numFmtId="179" fontId="7" fillId="0" borderId="3" xfId="0" applyNumberFormat="1" applyFont="1" applyBorder="1" applyAlignment="1">
      <alignment horizontal="center"/>
    </xf>
    <xf numFmtId="179" fontId="10" fillId="5" borderId="8" xfId="0" applyNumberFormat="1" applyFont="1" applyFill="1" applyBorder="1" applyAlignment="1">
      <alignment horizontal="center"/>
    </xf>
    <xf numFmtId="179" fontId="12" fillId="5" borderId="8" xfId="0" applyNumberFormat="1" applyFont="1" applyFill="1" applyBorder="1" applyAlignment="1">
      <alignment horizontal="center"/>
    </xf>
    <xf numFmtId="179" fontId="12" fillId="5" borderId="4" xfId="0" applyNumberFormat="1" applyFont="1" applyFill="1" applyBorder="1" applyAlignment="1">
      <alignment horizontal="center"/>
    </xf>
    <xf numFmtId="179" fontId="12" fillId="5" borderId="5" xfId="0" applyNumberFormat="1" applyFont="1" applyFill="1" applyBorder="1" applyAlignment="1">
      <alignment horizontal="center"/>
    </xf>
    <xf numFmtId="179" fontId="12" fillId="5" borderId="3" xfId="0" applyNumberFormat="1" applyFont="1" applyFill="1" applyBorder="1" applyAlignment="1">
      <alignment horizontal="center"/>
    </xf>
    <xf numFmtId="179" fontId="12" fillId="0" borderId="8" xfId="0" applyNumberFormat="1" applyFont="1" applyBorder="1" applyAlignment="1">
      <alignment horizontal="center"/>
    </xf>
    <xf numFmtId="179" fontId="12" fillId="0" borderId="4" xfId="0" applyNumberFormat="1" applyFont="1" applyBorder="1" applyAlignment="1">
      <alignment horizontal="center"/>
    </xf>
    <xf numFmtId="179" fontId="12" fillId="0" borderId="5" xfId="0" applyNumberFormat="1" applyFont="1" applyBorder="1" applyAlignment="1">
      <alignment horizontal="center"/>
    </xf>
    <xf numFmtId="179" fontId="12" fillId="0" borderId="3" xfId="0" applyNumberFormat="1" applyFont="1" applyBorder="1" applyAlignment="1">
      <alignment horizontal="center"/>
    </xf>
    <xf numFmtId="179" fontId="12" fillId="0" borderId="9" xfId="0" applyNumberFormat="1" applyFont="1" applyBorder="1" applyAlignment="1">
      <alignment horizontal="center"/>
    </xf>
    <xf numFmtId="179" fontId="12" fillId="0" borderId="6" xfId="0" applyNumberFormat="1" applyFont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178" fontId="7" fillId="0" borderId="15" xfId="0" applyNumberFormat="1" applyFont="1" applyBorder="1" applyAlignment="1">
      <alignment horizontal="center"/>
    </xf>
    <xf numFmtId="178" fontId="7" fillId="5" borderId="15" xfId="0" applyNumberFormat="1" applyFont="1" applyFill="1" applyBorder="1" applyAlignment="1">
      <alignment horizontal="center"/>
    </xf>
    <xf numFmtId="178" fontId="7" fillId="6" borderId="15" xfId="0" applyNumberFormat="1" applyFont="1" applyFill="1" applyBorder="1" applyAlignment="1">
      <alignment horizontal="center"/>
    </xf>
    <xf numFmtId="179" fontId="7" fillId="5" borderId="15" xfId="0" applyNumberFormat="1" applyFont="1" applyFill="1" applyBorder="1" applyAlignment="1">
      <alignment horizontal="center"/>
    </xf>
    <xf numFmtId="179" fontId="11" fillId="3" borderId="15" xfId="0" applyNumberFormat="1" applyFont="1" applyFill="1" applyBorder="1" applyAlignment="1">
      <alignment horizontal="center"/>
    </xf>
    <xf numFmtId="179" fontId="7" fillId="0" borderId="15" xfId="0" applyNumberFormat="1" applyFont="1" applyBorder="1" applyAlignment="1">
      <alignment horizontal="center"/>
    </xf>
    <xf numFmtId="179" fontId="10" fillId="5" borderId="15" xfId="0" applyNumberFormat="1" applyFont="1" applyFill="1" applyBorder="1" applyAlignment="1">
      <alignment horizontal="center"/>
    </xf>
    <xf numFmtId="179" fontId="12" fillId="5" borderId="15" xfId="0" applyNumberFormat="1" applyFont="1" applyFill="1" applyBorder="1" applyAlignment="1">
      <alignment horizontal="center"/>
    </xf>
    <xf numFmtId="179" fontId="12" fillId="0" borderId="15" xfId="0" applyNumberFormat="1" applyFont="1" applyBorder="1" applyAlignment="1">
      <alignment horizontal="center"/>
    </xf>
    <xf numFmtId="179" fontId="12" fillId="0" borderId="1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41" fontId="0" fillId="0" borderId="0" xfId="2" applyFont="1" applyAlignment="1"/>
    <xf numFmtId="177" fontId="0" fillId="0" borderId="0" xfId="2" applyNumberFormat="1" applyFont="1" applyAlignment="1"/>
    <xf numFmtId="0" fontId="0" fillId="0" borderId="0" xfId="0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178" fontId="13" fillId="0" borderId="16" xfId="0" applyNumberFormat="1" applyFont="1" applyBorder="1" applyAlignment="1">
      <alignment horizontal="center"/>
    </xf>
    <xf numFmtId="178" fontId="13" fillId="0" borderId="11" xfId="0" applyNumberFormat="1" applyFont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</cellXfs>
  <cellStyles count="3">
    <cellStyle name="쉼표 [0]" xfId="2" builtinId="6"/>
    <cellStyle name="표준" xfId="0" builtinId="0"/>
    <cellStyle name="표준 2" xfId="1" xr:uid="{9E108635-1E18-439D-B0A9-568789A9EE4D}"/>
  </cellStyles>
  <dxfs count="0"/>
  <tableStyles count="0" defaultTableStyle="TableStyleMedium2" defaultPivotStyle="PivotStyleMedium9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EA7E6-C62D-40FD-8897-EE31B40ABE68}">
  <sheetPr codeName="Sheet1"/>
  <dimension ref="B2:J22"/>
  <sheetViews>
    <sheetView showGridLines="0" workbookViewId="0">
      <selection activeCell="D36" sqref="D36"/>
    </sheetView>
  </sheetViews>
  <sheetFormatPr defaultRowHeight="15.75" x14ac:dyDescent="0.25"/>
  <cols>
    <col min="1" max="1" width="1.625" style="2" customWidth="1"/>
    <col min="2" max="2" width="5.5" style="2" bestFit="1" customWidth="1"/>
    <col min="3" max="3" width="12.125" style="2" bestFit="1" customWidth="1"/>
    <col min="4" max="4" width="13" style="2" bestFit="1" customWidth="1"/>
    <col min="5" max="5" width="9.25" style="2" bestFit="1" customWidth="1"/>
    <col min="6" max="6" width="9" style="2"/>
    <col min="7" max="8" width="13" style="2" customWidth="1"/>
    <col min="9" max="16384" width="9" style="2"/>
  </cols>
  <sheetData>
    <row r="2" spans="2:10" x14ac:dyDescent="0.25">
      <c r="B2" s="1" t="s">
        <v>0</v>
      </c>
      <c r="C2" s="1" t="s">
        <v>7</v>
      </c>
      <c r="D2" s="1" t="s">
        <v>28</v>
      </c>
      <c r="E2" s="84" t="s">
        <v>8</v>
      </c>
      <c r="F2" s="85"/>
      <c r="G2" s="1" t="s">
        <v>37</v>
      </c>
      <c r="H2" s="1" t="s">
        <v>36</v>
      </c>
    </row>
    <row r="3" spans="2:10" x14ac:dyDescent="0.25">
      <c r="B3" s="3" t="s">
        <v>1</v>
      </c>
      <c r="C3" s="3" t="s">
        <v>3</v>
      </c>
      <c r="D3" s="3" t="s">
        <v>29</v>
      </c>
      <c r="E3" s="3" t="s">
        <v>5</v>
      </c>
      <c r="F3" s="3" t="s">
        <v>9</v>
      </c>
      <c r="G3" s="3" t="s">
        <v>35</v>
      </c>
      <c r="H3" s="3" t="s">
        <v>38</v>
      </c>
      <c r="J3" s="2" t="s">
        <v>31</v>
      </c>
    </row>
    <row r="4" spans="2:10" x14ac:dyDescent="0.25">
      <c r="B4" s="3" t="s">
        <v>2</v>
      </c>
      <c r="C4" s="3" t="s">
        <v>4</v>
      </c>
      <c r="D4" s="3" t="s">
        <v>30</v>
      </c>
      <c r="E4" s="3" t="s">
        <v>6</v>
      </c>
      <c r="F4" s="3" t="s">
        <v>9</v>
      </c>
      <c r="G4" s="3" t="s">
        <v>34</v>
      </c>
      <c r="H4" s="3" t="s">
        <v>39</v>
      </c>
    </row>
    <row r="6" spans="2:10" x14ac:dyDescent="0.25">
      <c r="B6" s="2" t="s">
        <v>61</v>
      </c>
    </row>
    <row r="7" spans="2:10" x14ac:dyDescent="0.25">
      <c r="B7" s="2" t="s">
        <v>62</v>
      </c>
    </row>
    <row r="8" spans="2:10" x14ac:dyDescent="0.25">
      <c r="B8" s="2" t="s">
        <v>60</v>
      </c>
    </row>
    <row r="10" spans="2:10" x14ac:dyDescent="0.25">
      <c r="B10" s="2" t="s">
        <v>26</v>
      </c>
    </row>
    <row r="11" spans="2:10" x14ac:dyDescent="0.25">
      <c r="B11" s="2" t="s">
        <v>27</v>
      </c>
    </row>
    <row r="12" spans="2:10" x14ac:dyDescent="0.25">
      <c r="B12" s="2" t="s">
        <v>32</v>
      </c>
    </row>
    <row r="13" spans="2:10" x14ac:dyDescent="0.25">
      <c r="B13" s="2" t="s">
        <v>33</v>
      </c>
    </row>
    <row r="14" spans="2:10" x14ac:dyDescent="0.25">
      <c r="B14" s="2" t="s">
        <v>19</v>
      </c>
    </row>
    <row r="15" spans="2:10" x14ac:dyDescent="0.25">
      <c r="B15" s="2" t="s">
        <v>20</v>
      </c>
    </row>
    <row r="17" spans="2:2" x14ac:dyDescent="0.25">
      <c r="B17" s="2" t="s">
        <v>21</v>
      </c>
    </row>
    <row r="18" spans="2:2" x14ac:dyDescent="0.25">
      <c r="B18" s="2" t="s">
        <v>22</v>
      </c>
    </row>
    <row r="19" spans="2:2" x14ac:dyDescent="0.25">
      <c r="B19" s="2" t="s">
        <v>23</v>
      </c>
    </row>
    <row r="20" spans="2:2" x14ac:dyDescent="0.25">
      <c r="B20" s="2" t="s">
        <v>24</v>
      </c>
    </row>
    <row r="21" spans="2:2" x14ac:dyDescent="0.25">
      <c r="B21" s="2" t="s">
        <v>19</v>
      </c>
    </row>
    <row r="22" spans="2:2" x14ac:dyDescent="0.25">
      <c r="B22" s="2" t="s">
        <v>25</v>
      </c>
    </row>
  </sheetData>
  <mergeCells count="1">
    <mergeCell ref="E2:F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B4DBB-0756-442C-8B3D-8ABE6F533811}">
  <sheetPr codeName="Sheet2"/>
  <dimension ref="B2:K26"/>
  <sheetViews>
    <sheetView workbookViewId="0">
      <selection activeCell="C21" sqref="C21"/>
    </sheetView>
  </sheetViews>
  <sheetFormatPr defaultColWidth="13.625" defaultRowHeight="14.45" customHeight="1" x14ac:dyDescent="0.25"/>
  <cols>
    <col min="1" max="1" width="1.625" style="5" customWidth="1"/>
    <col min="2" max="2" width="13.625" style="5"/>
    <col min="3" max="4" width="13.625" style="21"/>
    <col min="5" max="6" width="13.625" style="22"/>
    <col min="7" max="9" width="13.625" style="5"/>
    <col min="10" max="10" width="13.625" style="21"/>
    <col min="11" max="16384" width="13.625" style="5"/>
  </cols>
  <sheetData>
    <row r="2" spans="2:11" ht="14.45" customHeight="1" x14ac:dyDescent="0.25">
      <c r="B2" s="86" t="s">
        <v>94</v>
      </c>
      <c r="C2" s="86"/>
      <c r="D2" s="86"/>
      <c r="E2" s="86"/>
      <c r="F2" s="86"/>
    </row>
    <row r="3" spans="2:11" ht="14.45" customHeight="1" x14ac:dyDescent="0.25">
      <c r="B3" s="23" t="s">
        <v>18</v>
      </c>
      <c r="C3" s="24" t="s">
        <v>91</v>
      </c>
      <c r="D3" s="24" t="s">
        <v>93</v>
      </c>
      <c r="E3" s="25" t="s">
        <v>16</v>
      </c>
      <c r="F3" s="25" t="s">
        <v>17</v>
      </c>
      <c r="H3" s="5" t="s">
        <v>14</v>
      </c>
      <c r="I3" s="21">
        <v>200</v>
      </c>
    </row>
    <row r="4" spans="2:11" ht="14.45" customHeight="1" x14ac:dyDescent="0.25">
      <c r="B4" s="23" t="s">
        <v>84</v>
      </c>
      <c r="C4" s="26">
        <v>82</v>
      </c>
      <c r="D4" s="26">
        <v>6479</v>
      </c>
      <c r="E4" s="27">
        <f>D4/$I$4</f>
        <v>4.0493750000000004</v>
      </c>
      <c r="F4" s="27">
        <v>4</v>
      </c>
      <c r="H4" s="5" t="s">
        <v>15</v>
      </c>
      <c r="I4" s="21">
        <f>I3*8</f>
        <v>1600</v>
      </c>
    </row>
    <row r="5" spans="2:11" ht="14.45" customHeight="1" x14ac:dyDescent="0.25">
      <c r="B5" s="23" t="s">
        <v>10</v>
      </c>
      <c r="C5" s="26">
        <v>48</v>
      </c>
      <c r="D5" s="26">
        <v>5257</v>
      </c>
      <c r="E5" s="27">
        <f t="shared" ref="E5:E7" si="0">D5/$I$4</f>
        <v>3.285625</v>
      </c>
      <c r="F5" s="27">
        <v>4</v>
      </c>
    </row>
    <row r="6" spans="2:11" ht="14.45" customHeight="1" x14ac:dyDescent="0.25">
      <c r="B6" s="23" t="s">
        <v>11</v>
      </c>
      <c r="C6" s="26">
        <v>82</v>
      </c>
      <c r="D6" s="26">
        <v>6660</v>
      </c>
      <c r="E6" s="27">
        <f t="shared" si="0"/>
        <v>4.1624999999999996</v>
      </c>
      <c r="F6" s="27">
        <v>4</v>
      </c>
      <c r="H6" s="5" t="s">
        <v>96</v>
      </c>
      <c r="I6" s="21">
        <v>3</v>
      </c>
    </row>
    <row r="7" spans="2:11" ht="14.45" customHeight="1" x14ac:dyDescent="0.25">
      <c r="B7" s="23" t="s">
        <v>12</v>
      </c>
      <c r="C7" s="26">
        <v>83</v>
      </c>
      <c r="D7" s="26">
        <v>7931</v>
      </c>
      <c r="E7" s="27">
        <f t="shared" si="0"/>
        <v>4.9568750000000001</v>
      </c>
      <c r="F7" s="27">
        <v>4</v>
      </c>
      <c r="H7" s="5" t="s">
        <v>97</v>
      </c>
      <c r="I7" s="21">
        <f>I6*8</f>
        <v>24</v>
      </c>
    </row>
    <row r="8" spans="2:11" ht="14.45" customHeight="1" x14ac:dyDescent="0.25">
      <c r="B8" s="15"/>
      <c r="C8" s="26"/>
      <c r="D8" s="26"/>
      <c r="E8" s="27"/>
      <c r="F8" s="27">
        <f>SUM(F4:F7)</f>
        <v>16</v>
      </c>
    </row>
    <row r="9" spans="2:11" ht="14.45" customHeight="1" x14ac:dyDescent="0.25">
      <c r="K9" s="28"/>
    </row>
    <row r="10" spans="2:11" ht="14.45" customHeight="1" x14ac:dyDescent="0.25">
      <c r="B10" s="86" t="s">
        <v>95</v>
      </c>
      <c r="C10" s="86"/>
      <c r="D10" s="86"/>
      <c r="E10" s="86"/>
      <c r="F10" s="86"/>
    </row>
    <row r="11" spans="2:11" ht="14.45" customHeight="1" x14ac:dyDescent="0.25">
      <c r="B11" s="23" t="s">
        <v>18</v>
      </c>
      <c r="C11" s="24" t="s">
        <v>92</v>
      </c>
      <c r="D11" s="24" t="s">
        <v>13</v>
      </c>
      <c r="E11" s="25" t="s">
        <v>16</v>
      </c>
      <c r="F11" s="25" t="s">
        <v>17</v>
      </c>
    </row>
    <row r="12" spans="2:11" ht="14.45" customHeight="1" x14ac:dyDescent="0.25">
      <c r="B12" s="23" t="s">
        <v>73</v>
      </c>
      <c r="C12" s="26">
        <v>35</v>
      </c>
      <c r="D12" s="26">
        <v>3599</v>
      </c>
      <c r="E12" s="27">
        <f>D12/$I$4</f>
        <v>2.2493750000000001</v>
      </c>
      <c r="F12" s="27">
        <v>2</v>
      </c>
    </row>
    <row r="13" spans="2:11" ht="14.45" customHeight="1" x14ac:dyDescent="0.25">
      <c r="B13" s="23" t="s">
        <v>74</v>
      </c>
      <c r="C13" s="26">
        <v>38</v>
      </c>
      <c r="D13" s="26">
        <v>3709</v>
      </c>
      <c r="E13" s="27">
        <f t="shared" ref="E13:E16" si="1">D13/$I$4</f>
        <v>2.3181250000000002</v>
      </c>
      <c r="F13" s="27">
        <v>2</v>
      </c>
    </row>
    <row r="14" spans="2:11" ht="14.45" customHeight="1" x14ac:dyDescent="0.25">
      <c r="B14" s="23" t="s">
        <v>10</v>
      </c>
      <c r="C14" s="26">
        <v>50</v>
      </c>
      <c r="D14" s="26">
        <v>5296</v>
      </c>
      <c r="E14" s="27">
        <f t="shared" si="1"/>
        <v>3.31</v>
      </c>
      <c r="F14" s="27">
        <v>3</v>
      </c>
    </row>
    <row r="15" spans="2:11" ht="14.45" customHeight="1" x14ac:dyDescent="0.25">
      <c r="B15" s="23" t="s">
        <v>11</v>
      </c>
      <c r="C15" s="26">
        <v>52</v>
      </c>
      <c r="D15" s="26">
        <v>4706</v>
      </c>
      <c r="E15" s="27">
        <f t="shared" si="1"/>
        <v>2.9412500000000001</v>
      </c>
      <c r="F15" s="27">
        <v>3</v>
      </c>
    </row>
    <row r="16" spans="2:11" ht="14.45" customHeight="1" x14ac:dyDescent="0.25">
      <c r="B16" s="23" t="s">
        <v>12</v>
      </c>
      <c r="C16" s="26">
        <v>52</v>
      </c>
      <c r="D16" s="26">
        <v>6406</v>
      </c>
      <c r="E16" s="27">
        <f t="shared" si="1"/>
        <v>4.0037500000000001</v>
      </c>
      <c r="F16" s="27">
        <v>3</v>
      </c>
    </row>
    <row r="17" spans="2:10" ht="14.45" customHeight="1" x14ac:dyDescent="0.25">
      <c r="B17" s="15"/>
      <c r="C17" s="26"/>
      <c r="D17" s="26"/>
      <c r="E17" s="27"/>
      <c r="F17" s="27">
        <f>SUM(F12:F16)</f>
        <v>13</v>
      </c>
    </row>
    <row r="19" spans="2:10" ht="14.45" customHeight="1" x14ac:dyDescent="0.25">
      <c r="B19" s="87" t="s">
        <v>100</v>
      </c>
      <c r="C19" s="87"/>
      <c r="D19" s="87"/>
      <c r="E19" s="87"/>
      <c r="F19" s="87"/>
      <c r="H19" s="31" t="s">
        <v>102</v>
      </c>
      <c r="I19" s="32">
        <v>8</v>
      </c>
    </row>
    <row r="20" spans="2:10" ht="14.45" customHeight="1" x14ac:dyDescent="0.25">
      <c r="B20" s="4" t="s">
        <v>18</v>
      </c>
      <c r="C20" s="29" t="s">
        <v>91</v>
      </c>
      <c r="D20" s="29" t="s">
        <v>101</v>
      </c>
      <c r="E20" s="30" t="s">
        <v>16</v>
      </c>
      <c r="F20" s="30" t="s">
        <v>17</v>
      </c>
      <c r="H20" s="31" t="s">
        <v>98</v>
      </c>
      <c r="I20" s="32">
        <v>6500</v>
      </c>
      <c r="J20" s="33" t="s">
        <v>103</v>
      </c>
    </row>
    <row r="21" spans="2:10" ht="14.45" customHeight="1" x14ac:dyDescent="0.25">
      <c r="B21" s="23" t="s">
        <v>84</v>
      </c>
      <c r="C21" s="26">
        <v>83</v>
      </c>
      <c r="D21" s="26">
        <v>720888</v>
      </c>
      <c r="E21" s="27">
        <f>D21/$I$21</f>
        <v>13.863230769230769</v>
      </c>
      <c r="F21" s="27">
        <v>4</v>
      </c>
      <c r="H21" s="31" t="s">
        <v>99</v>
      </c>
      <c r="I21" s="32">
        <f>I20*I19</f>
        <v>52000</v>
      </c>
    </row>
    <row r="22" spans="2:10" ht="14.45" customHeight="1" x14ac:dyDescent="0.25">
      <c r="B22" s="23" t="s">
        <v>10</v>
      </c>
      <c r="C22" s="26">
        <v>48</v>
      </c>
      <c r="D22" s="26">
        <v>623306</v>
      </c>
      <c r="E22" s="27">
        <f>D22/$I$21</f>
        <v>11.986653846153846</v>
      </c>
      <c r="F22" s="27">
        <v>4</v>
      </c>
      <c r="I22" s="21"/>
    </row>
    <row r="23" spans="2:10" ht="14.45" customHeight="1" x14ac:dyDescent="0.25">
      <c r="B23" s="23" t="s">
        <v>11</v>
      </c>
      <c r="C23" s="26">
        <v>82</v>
      </c>
      <c r="D23" s="26">
        <v>565387</v>
      </c>
      <c r="E23" s="27">
        <f>D23/$I$21</f>
        <v>10.872826923076923</v>
      </c>
      <c r="F23" s="27">
        <v>4</v>
      </c>
      <c r="I23" s="21"/>
    </row>
    <row r="24" spans="2:10" ht="14.45" customHeight="1" x14ac:dyDescent="0.25">
      <c r="B24" s="23" t="s">
        <v>113</v>
      </c>
      <c r="C24" s="26">
        <v>62</v>
      </c>
      <c r="D24" s="26">
        <v>403622</v>
      </c>
      <c r="E24" s="27">
        <f>D24/$I$21</f>
        <v>7.7619615384615388</v>
      </c>
      <c r="F24" s="27">
        <v>4</v>
      </c>
      <c r="I24" s="21"/>
    </row>
    <row r="25" spans="2:10" ht="14.45" customHeight="1" x14ac:dyDescent="0.25">
      <c r="B25" s="23" t="s">
        <v>12</v>
      </c>
      <c r="C25" s="26">
        <v>83</v>
      </c>
      <c r="D25" s="26">
        <v>1311268</v>
      </c>
      <c r="E25" s="27">
        <f>D25/$I$21</f>
        <v>25.216692307692309</v>
      </c>
      <c r="F25" s="27">
        <v>4</v>
      </c>
      <c r="I25" s="21"/>
    </row>
    <row r="26" spans="2:10" ht="14.45" customHeight="1" x14ac:dyDescent="0.25">
      <c r="B26" s="15"/>
      <c r="C26" s="26"/>
      <c r="D26" s="26"/>
      <c r="E26" s="27">
        <f>SUM(E21:E25)</f>
        <v>69.701365384615386</v>
      </c>
      <c r="F26" s="27">
        <f>SUM(F21:F25)</f>
        <v>20</v>
      </c>
    </row>
  </sheetData>
  <mergeCells count="3">
    <mergeCell ref="B2:F2"/>
    <mergeCell ref="B10:F10"/>
    <mergeCell ref="B19:F1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36A8C-D4D7-4E57-B26E-C83140C5E017}">
  <sheetPr codeName="Sheet3"/>
  <dimension ref="B2:H22"/>
  <sheetViews>
    <sheetView workbookViewId="0">
      <selection activeCell="F36" sqref="F36"/>
    </sheetView>
  </sheetViews>
  <sheetFormatPr defaultRowHeight="14.25" x14ac:dyDescent="0.25"/>
  <cols>
    <col min="1" max="1" width="1.625" style="5" customWidth="1"/>
    <col min="2" max="2" width="3.125" style="7" customWidth="1"/>
    <col min="3" max="3" width="7.625" style="7" customWidth="1"/>
    <col min="4" max="8" width="14.625" style="7" customWidth="1"/>
    <col min="9" max="16384" width="9" style="5"/>
  </cols>
  <sheetData>
    <row r="2" spans="2:8" x14ac:dyDescent="0.25">
      <c r="B2" s="4" t="s">
        <v>57</v>
      </c>
      <c r="C2" s="4" t="s">
        <v>58</v>
      </c>
      <c r="D2" s="4" t="s">
        <v>68</v>
      </c>
      <c r="E2" s="4" t="s">
        <v>69</v>
      </c>
      <c r="F2" s="4" t="s">
        <v>70</v>
      </c>
      <c r="G2" s="4" t="s">
        <v>71</v>
      </c>
      <c r="H2" s="4" t="s">
        <v>72</v>
      </c>
    </row>
    <row r="3" spans="2:8" x14ac:dyDescent="0.25">
      <c r="B3" s="9">
        <v>1</v>
      </c>
      <c r="C3" s="10" t="s">
        <v>40</v>
      </c>
      <c r="D3" s="6">
        <v>45904</v>
      </c>
      <c r="E3" s="6">
        <v>45904</v>
      </c>
      <c r="F3" s="6">
        <v>45905</v>
      </c>
      <c r="G3" s="6">
        <v>45905</v>
      </c>
      <c r="H3" s="6">
        <v>45906</v>
      </c>
    </row>
    <row r="4" spans="2:8" x14ac:dyDescent="0.25">
      <c r="B4" s="9">
        <v>2</v>
      </c>
      <c r="C4" s="10" t="s">
        <v>59</v>
      </c>
      <c r="D4" s="6">
        <v>45908</v>
      </c>
      <c r="E4" s="6">
        <v>45909</v>
      </c>
      <c r="F4" s="6">
        <v>45910</v>
      </c>
      <c r="G4" s="6">
        <v>45911</v>
      </c>
      <c r="H4" s="6">
        <v>45912</v>
      </c>
    </row>
    <row r="5" spans="2:8" x14ac:dyDescent="0.25">
      <c r="B5" s="9">
        <v>3</v>
      </c>
      <c r="C5" s="10" t="s">
        <v>56</v>
      </c>
      <c r="D5" s="6">
        <v>45908</v>
      </c>
      <c r="E5" s="6">
        <v>45909</v>
      </c>
      <c r="F5" s="6">
        <v>45910</v>
      </c>
      <c r="G5" s="6">
        <v>45911</v>
      </c>
      <c r="H5" s="6">
        <v>45912</v>
      </c>
    </row>
    <row r="6" spans="2:8" x14ac:dyDescent="0.25">
      <c r="B6" s="9">
        <v>4</v>
      </c>
      <c r="C6" s="10" t="s">
        <v>55</v>
      </c>
      <c r="D6" s="6">
        <v>45908</v>
      </c>
      <c r="E6" s="6">
        <v>45909</v>
      </c>
      <c r="F6" s="6">
        <v>45910</v>
      </c>
      <c r="G6" s="6">
        <v>45911</v>
      </c>
      <c r="H6" s="6">
        <v>45912</v>
      </c>
    </row>
    <row r="7" spans="2:8" x14ac:dyDescent="0.25">
      <c r="B7" s="9">
        <v>5</v>
      </c>
      <c r="C7" s="10" t="s">
        <v>54</v>
      </c>
      <c r="D7" s="6">
        <v>45915</v>
      </c>
      <c r="E7" s="6">
        <v>45916</v>
      </c>
      <c r="F7" s="6">
        <v>45917</v>
      </c>
      <c r="G7" s="6">
        <v>45918</v>
      </c>
      <c r="H7" s="6">
        <v>45919</v>
      </c>
    </row>
    <row r="8" spans="2:8" x14ac:dyDescent="0.25">
      <c r="B8" s="9">
        <v>6</v>
      </c>
      <c r="C8" s="10" t="s">
        <v>53</v>
      </c>
      <c r="D8" s="6">
        <v>45915</v>
      </c>
      <c r="E8" s="6">
        <v>45916</v>
      </c>
      <c r="F8" s="6">
        <v>45917</v>
      </c>
      <c r="G8" s="6">
        <v>45918</v>
      </c>
      <c r="H8" s="6">
        <v>45919</v>
      </c>
    </row>
    <row r="9" spans="2:8" x14ac:dyDescent="0.25">
      <c r="B9" s="9">
        <v>7</v>
      </c>
      <c r="C9" s="10" t="s">
        <v>52</v>
      </c>
      <c r="D9" s="6">
        <v>45915</v>
      </c>
      <c r="E9" s="6">
        <v>45916</v>
      </c>
      <c r="F9" s="6">
        <v>45917</v>
      </c>
      <c r="G9" s="6">
        <v>45918</v>
      </c>
      <c r="H9" s="6">
        <v>45919</v>
      </c>
    </row>
    <row r="10" spans="2:8" x14ac:dyDescent="0.25">
      <c r="B10" s="9">
        <v>8</v>
      </c>
      <c r="C10" s="10" t="s">
        <v>51</v>
      </c>
      <c r="D10" s="6">
        <v>45922</v>
      </c>
      <c r="E10" s="6">
        <v>45923</v>
      </c>
      <c r="F10" s="6">
        <v>45924</v>
      </c>
      <c r="G10" s="6">
        <v>45925</v>
      </c>
      <c r="H10" s="6">
        <v>45926</v>
      </c>
    </row>
    <row r="11" spans="2:8" x14ac:dyDescent="0.25">
      <c r="B11" s="9">
        <v>9</v>
      </c>
      <c r="C11" s="10" t="s">
        <v>50</v>
      </c>
      <c r="D11" s="6">
        <v>45922</v>
      </c>
      <c r="E11" s="6">
        <v>45923</v>
      </c>
      <c r="F11" s="6">
        <v>45924</v>
      </c>
      <c r="G11" s="6">
        <v>45925</v>
      </c>
      <c r="H11" s="6">
        <v>45926</v>
      </c>
    </row>
    <row r="12" spans="2:8" x14ac:dyDescent="0.25">
      <c r="B12" s="9">
        <v>10</v>
      </c>
      <c r="C12" s="10" t="s">
        <v>49</v>
      </c>
      <c r="D12" s="6">
        <v>45922</v>
      </c>
      <c r="E12" s="6">
        <v>45923</v>
      </c>
      <c r="F12" s="6">
        <v>45924</v>
      </c>
      <c r="G12" s="6">
        <v>45925</v>
      </c>
      <c r="H12" s="6">
        <v>45926</v>
      </c>
    </row>
    <row r="13" spans="2:8" x14ac:dyDescent="0.25">
      <c r="B13" s="9">
        <v>11</v>
      </c>
      <c r="C13" s="10" t="s">
        <v>48</v>
      </c>
      <c r="D13" s="6">
        <v>45943</v>
      </c>
      <c r="E13" s="6">
        <v>45944</v>
      </c>
      <c r="F13" s="6">
        <v>45945</v>
      </c>
      <c r="G13" s="13">
        <v>45946</v>
      </c>
      <c r="H13" s="6">
        <v>45947</v>
      </c>
    </row>
    <row r="14" spans="2:8" x14ac:dyDescent="0.25">
      <c r="B14" s="9">
        <v>12</v>
      </c>
      <c r="C14" s="10" t="s">
        <v>47</v>
      </c>
      <c r="D14" s="6">
        <v>45943</v>
      </c>
      <c r="E14" s="6">
        <v>45944</v>
      </c>
      <c r="F14" s="6">
        <v>45945</v>
      </c>
      <c r="G14" s="6">
        <v>45946</v>
      </c>
      <c r="H14" s="6">
        <v>45947</v>
      </c>
    </row>
    <row r="15" spans="2:8" x14ac:dyDescent="0.25">
      <c r="B15" s="9">
        <v>13</v>
      </c>
      <c r="C15" s="10" t="s">
        <v>46</v>
      </c>
      <c r="D15" s="6">
        <v>45943</v>
      </c>
      <c r="E15" s="6">
        <v>45944</v>
      </c>
      <c r="F15" s="6">
        <v>45945</v>
      </c>
      <c r="G15" s="6">
        <v>45946</v>
      </c>
      <c r="H15" s="6">
        <v>45947</v>
      </c>
    </row>
    <row r="16" spans="2:8" x14ac:dyDescent="0.25">
      <c r="B16" s="9">
        <v>14</v>
      </c>
      <c r="C16" s="10" t="s">
        <v>45</v>
      </c>
      <c r="D16" s="6">
        <v>45950</v>
      </c>
      <c r="E16" s="6">
        <v>45951</v>
      </c>
      <c r="F16" s="6">
        <v>45952</v>
      </c>
      <c r="G16" s="6">
        <v>45953</v>
      </c>
      <c r="H16" s="6">
        <v>45954</v>
      </c>
    </row>
    <row r="17" spans="2:8" x14ac:dyDescent="0.25">
      <c r="B17" s="9">
        <v>15</v>
      </c>
      <c r="C17" s="10" t="s">
        <v>44</v>
      </c>
      <c r="D17" s="6">
        <v>45950</v>
      </c>
      <c r="E17" s="6">
        <v>45951</v>
      </c>
      <c r="F17" s="6">
        <v>45952</v>
      </c>
      <c r="G17" s="6">
        <v>45953</v>
      </c>
      <c r="H17" s="6">
        <v>45954</v>
      </c>
    </row>
    <row r="18" spans="2:8" x14ac:dyDescent="0.25">
      <c r="B18" s="9">
        <v>16</v>
      </c>
      <c r="C18" s="10" t="s">
        <v>43</v>
      </c>
      <c r="D18" s="6">
        <v>45950</v>
      </c>
      <c r="E18" s="6">
        <v>45951</v>
      </c>
      <c r="F18" s="6">
        <v>45952</v>
      </c>
      <c r="G18" s="6">
        <v>45953</v>
      </c>
      <c r="H18" s="6">
        <v>45954</v>
      </c>
    </row>
    <row r="19" spans="2:8" x14ac:dyDescent="0.25">
      <c r="B19" s="9">
        <v>17</v>
      </c>
      <c r="C19" s="10" t="s">
        <v>42</v>
      </c>
      <c r="D19" s="6">
        <v>45957</v>
      </c>
      <c r="E19" s="6">
        <v>45958</v>
      </c>
      <c r="F19" s="6">
        <v>45959</v>
      </c>
      <c r="G19" s="6">
        <v>45960</v>
      </c>
      <c r="H19" s="6">
        <v>45961</v>
      </c>
    </row>
    <row r="20" spans="2:8" x14ac:dyDescent="0.25">
      <c r="B20" s="9">
        <v>18</v>
      </c>
      <c r="C20" s="10" t="s">
        <v>41</v>
      </c>
      <c r="D20" s="6">
        <v>45957</v>
      </c>
      <c r="E20" s="6">
        <v>45958</v>
      </c>
      <c r="F20" s="6">
        <v>45959</v>
      </c>
      <c r="G20" s="6">
        <v>45960</v>
      </c>
      <c r="H20" s="6">
        <v>45961</v>
      </c>
    </row>
    <row r="21" spans="2:8" x14ac:dyDescent="0.25">
      <c r="D21" s="8"/>
      <c r="E21" s="8"/>
      <c r="F21" s="8"/>
      <c r="G21" s="8"/>
      <c r="H21" s="8"/>
    </row>
    <row r="22" spans="2:8" x14ac:dyDescent="0.25">
      <c r="D22" s="8"/>
      <c r="E22" s="8"/>
      <c r="F22" s="8"/>
      <c r="G22" s="8"/>
      <c r="H22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171C7-7A78-4421-812E-788BE274B202}">
  <sheetPr codeName="Sheet4"/>
  <dimension ref="B3:D14"/>
  <sheetViews>
    <sheetView workbookViewId="0">
      <selection activeCell="G10" sqref="G10"/>
    </sheetView>
  </sheetViews>
  <sheetFormatPr defaultRowHeight="14.25" x14ac:dyDescent="0.25"/>
  <cols>
    <col min="1" max="1" width="9" style="5"/>
    <col min="2" max="2" width="16.875" style="5" bestFit="1" customWidth="1"/>
    <col min="3" max="3" width="5.25" style="5" customWidth="1"/>
    <col min="4" max="4" width="5" style="5" bestFit="1" customWidth="1"/>
    <col min="5" max="16384" width="9" style="5"/>
  </cols>
  <sheetData>
    <row r="3" spans="2:4" x14ac:dyDescent="0.25">
      <c r="B3" s="11" t="s">
        <v>63</v>
      </c>
      <c r="C3" s="89">
        <v>25</v>
      </c>
      <c r="D3" s="89"/>
    </row>
    <row r="4" spans="2:4" x14ac:dyDescent="0.25">
      <c r="B4" s="11" t="s">
        <v>64</v>
      </c>
      <c r="C4" s="88">
        <v>22</v>
      </c>
      <c r="D4" s="88"/>
    </row>
    <row r="5" spans="2:4" x14ac:dyDescent="0.25">
      <c r="B5" s="11" t="s">
        <v>65</v>
      </c>
      <c r="C5" s="88">
        <f>C3*C4</f>
        <v>550</v>
      </c>
      <c r="D5" s="88"/>
    </row>
    <row r="6" spans="2:4" x14ac:dyDescent="0.25">
      <c r="B6" s="11" t="s">
        <v>66</v>
      </c>
      <c r="C6" s="12">
        <v>4</v>
      </c>
      <c r="D6" s="12">
        <f>C5*C6</f>
        <v>2200</v>
      </c>
    </row>
    <row r="7" spans="2:4" x14ac:dyDescent="0.25">
      <c r="B7" s="11" t="s">
        <v>67</v>
      </c>
      <c r="C7" s="12">
        <v>8</v>
      </c>
      <c r="D7" s="12">
        <f>C5*C7</f>
        <v>4400</v>
      </c>
    </row>
    <row r="10" spans="2:4" x14ac:dyDescent="0.25">
      <c r="B10" s="11" t="s">
        <v>63</v>
      </c>
      <c r="C10" s="89">
        <v>20</v>
      </c>
      <c r="D10" s="89"/>
    </row>
    <row r="11" spans="2:4" x14ac:dyDescent="0.25">
      <c r="B11" s="11" t="s">
        <v>64</v>
      </c>
      <c r="C11" s="88">
        <v>22</v>
      </c>
      <c r="D11" s="88"/>
    </row>
    <row r="12" spans="2:4" x14ac:dyDescent="0.25">
      <c r="B12" s="11" t="s">
        <v>65</v>
      </c>
      <c r="C12" s="88">
        <f>C10*C11</f>
        <v>440</v>
      </c>
      <c r="D12" s="88"/>
    </row>
    <row r="13" spans="2:4" x14ac:dyDescent="0.25">
      <c r="B13" s="11" t="s">
        <v>66</v>
      </c>
      <c r="C13" s="12">
        <v>4</v>
      </c>
      <c r="D13" s="12">
        <f>C12*C13</f>
        <v>1760</v>
      </c>
    </row>
    <row r="14" spans="2:4" x14ac:dyDescent="0.25">
      <c r="B14" s="11" t="s">
        <v>67</v>
      </c>
      <c r="C14" s="12">
        <v>8</v>
      </c>
      <c r="D14" s="12">
        <f>C12*C14</f>
        <v>3520</v>
      </c>
    </row>
  </sheetData>
  <mergeCells count="6">
    <mergeCell ref="C12:D12"/>
    <mergeCell ref="C3:D3"/>
    <mergeCell ref="C4:D4"/>
    <mergeCell ref="C5:D5"/>
    <mergeCell ref="C10:D10"/>
    <mergeCell ref="C11:D1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C2F81-F6AF-406A-BB51-148E007D76A2}">
  <sheetPr codeName="Sheet6"/>
  <dimension ref="B1:N47"/>
  <sheetViews>
    <sheetView workbookViewId="0">
      <selection activeCell="G56" sqref="G56"/>
    </sheetView>
  </sheetViews>
  <sheetFormatPr defaultRowHeight="14.45" customHeight="1" x14ac:dyDescent="0.25"/>
  <cols>
    <col min="1" max="1" width="1.625" style="5" customWidth="1"/>
    <col min="2" max="8" width="12.625" style="7" customWidth="1"/>
    <col min="9" max="16384" width="9" style="5"/>
  </cols>
  <sheetData>
    <row r="1" spans="2:13" ht="14.45" customHeight="1" thickBot="1" x14ac:dyDescent="0.3">
      <c r="L1" s="5" t="s">
        <v>77</v>
      </c>
      <c r="M1" s="5" t="s">
        <v>75</v>
      </c>
    </row>
    <row r="2" spans="2:13" ht="14.45" customHeight="1" x14ac:dyDescent="0.25">
      <c r="B2" s="37" t="s">
        <v>84</v>
      </c>
      <c r="C2" s="37" t="s">
        <v>10</v>
      </c>
      <c r="D2" s="37" t="s">
        <v>11</v>
      </c>
      <c r="E2" s="68" t="s">
        <v>113</v>
      </c>
      <c r="F2" s="92" t="s">
        <v>112</v>
      </c>
      <c r="G2" s="93"/>
      <c r="H2" s="94"/>
      <c r="I2" s="7"/>
      <c r="K2" s="5" t="s">
        <v>76</v>
      </c>
      <c r="L2" s="5" t="s">
        <v>5</v>
      </c>
      <c r="M2" s="5" t="s">
        <v>6</v>
      </c>
    </row>
    <row r="3" spans="2:13" ht="14.45" customHeight="1" x14ac:dyDescent="0.25">
      <c r="B3" s="38" t="s">
        <v>105</v>
      </c>
      <c r="C3" s="38" t="s">
        <v>106</v>
      </c>
      <c r="D3" s="38" t="s">
        <v>107</v>
      </c>
      <c r="E3" s="69" t="s">
        <v>108</v>
      </c>
      <c r="F3" s="42" t="s">
        <v>109</v>
      </c>
      <c r="G3" s="44" t="s">
        <v>110</v>
      </c>
      <c r="H3" s="43" t="s">
        <v>111</v>
      </c>
      <c r="I3" s="7"/>
      <c r="K3" s="5" t="s">
        <v>78</v>
      </c>
      <c r="M3" s="5" t="s">
        <v>79</v>
      </c>
    </row>
    <row r="4" spans="2:13" ht="14.45" hidden="1" customHeight="1" x14ac:dyDescent="0.25">
      <c r="B4" s="39">
        <v>45957</v>
      </c>
      <c r="C4" s="39">
        <v>45958</v>
      </c>
      <c r="D4" s="39">
        <v>45959</v>
      </c>
      <c r="E4" s="70">
        <v>45960</v>
      </c>
      <c r="F4" s="14">
        <v>45961</v>
      </c>
      <c r="G4" s="16">
        <v>45962</v>
      </c>
      <c r="H4" s="34"/>
    </row>
    <row r="5" spans="2:13" ht="14.45" hidden="1" customHeight="1" x14ac:dyDescent="0.25">
      <c r="B5" s="39">
        <v>45964</v>
      </c>
      <c r="C5" s="39">
        <v>45965</v>
      </c>
      <c r="D5" s="39">
        <v>45966</v>
      </c>
      <c r="E5" s="70">
        <v>45967</v>
      </c>
      <c r="F5" s="14">
        <v>45968</v>
      </c>
      <c r="G5" s="16">
        <v>45969</v>
      </c>
      <c r="H5" s="34"/>
      <c r="K5" s="5" t="s">
        <v>80</v>
      </c>
      <c r="L5" s="5" t="s">
        <v>81</v>
      </c>
    </row>
    <row r="6" spans="2:13" ht="14.45" hidden="1" customHeight="1" x14ac:dyDescent="0.25">
      <c r="B6" s="39">
        <v>45971</v>
      </c>
      <c r="C6" s="39">
        <v>45972</v>
      </c>
      <c r="D6" s="39">
        <v>45973</v>
      </c>
      <c r="E6" s="70">
        <v>45974</v>
      </c>
      <c r="F6" s="14">
        <v>45975</v>
      </c>
      <c r="G6" s="16">
        <v>45976</v>
      </c>
      <c r="H6" s="34"/>
      <c r="K6" s="5" t="s">
        <v>82</v>
      </c>
    </row>
    <row r="7" spans="2:13" ht="14.45" hidden="1" customHeight="1" x14ac:dyDescent="0.25">
      <c r="B7" s="39">
        <v>45978</v>
      </c>
      <c r="C7" s="39">
        <v>45979</v>
      </c>
      <c r="D7" s="39">
        <v>45980</v>
      </c>
      <c r="E7" s="70">
        <v>45981</v>
      </c>
      <c r="F7" s="14">
        <v>45982</v>
      </c>
      <c r="G7" s="16">
        <v>45983</v>
      </c>
      <c r="H7" s="34"/>
    </row>
    <row r="8" spans="2:13" ht="14.45" hidden="1" customHeight="1" x14ac:dyDescent="0.25">
      <c r="B8" s="40">
        <v>45985</v>
      </c>
      <c r="C8" s="40">
        <v>45986</v>
      </c>
      <c r="D8" s="40">
        <v>45987</v>
      </c>
      <c r="E8" s="71">
        <v>45988</v>
      </c>
      <c r="F8" s="17">
        <v>45989</v>
      </c>
      <c r="G8" s="18">
        <v>45990</v>
      </c>
      <c r="H8" s="35"/>
      <c r="K8" s="5">
        <v>14</v>
      </c>
      <c r="L8" s="5">
        <v>5</v>
      </c>
      <c r="M8" s="5">
        <v>9</v>
      </c>
    </row>
    <row r="9" spans="2:13" ht="14.45" hidden="1" customHeight="1" x14ac:dyDescent="0.25">
      <c r="B9" s="40">
        <v>45992</v>
      </c>
      <c r="C9" s="40">
        <v>45993</v>
      </c>
      <c r="D9" s="40">
        <v>45994</v>
      </c>
      <c r="E9" s="71">
        <v>45995</v>
      </c>
      <c r="F9" s="17">
        <v>45996</v>
      </c>
      <c r="G9" s="18">
        <v>45997</v>
      </c>
      <c r="H9" s="35"/>
      <c r="K9" s="5">
        <f>K8*L8*M8</f>
        <v>630</v>
      </c>
    </row>
    <row r="10" spans="2:13" ht="14.45" hidden="1" customHeight="1" x14ac:dyDescent="0.25">
      <c r="B10" s="40">
        <v>45999</v>
      </c>
      <c r="C10" s="40">
        <v>46000</v>
      </c>
      <c r="D10" s="40">
        <v>46001</v>
      </c>
      <c r="E10" s="71">
        <v>46002</v>
      </c>
      <c r="F10" s="17">
        <v>46003</v>
      </c>
      <c r="G10" s="18">
        <v>46004</v>
      </c>
      <c r="H10" s="35"/>
      <c r="K10" s="5" t="s">
        <v>83</v>
      </c>
    </row>
    <row r="11" spans="2:13" ht="14.45" hidden="1" customHeight="1" x14ac:dyDescent="0.25">
      <c r="B11" s="40">
        <v>46006</v>
      </c>
      <c r="C11" s="40">
        <v>46007</v>
      </c>
      <c r="D11" s="40">
        <v>46008</v>
      </c>
      <c r="E11" s="71">
        <v>46009</v>
      </c>
      <c r="F11" s="17">
        <v>46010</v>
      </c>
      <c r="G11" s="18">
        <v>46011</v>
      </c>
      <c r="H11" s="35"/>
    </row>
    <row r="12" spans="2:13" ht="14.45" hidden="1" customHeight="1" x14ac:dyDescent="0.25">
      <c r="B12" s="40">
        <v>46013</v>
      </c>
      <c r="C12" s="40">
        <v>46014</v>
      </c>
      <c r="D12" s="40">
        <v>46015</v>
      </c>
      <c r="E12" s="71">
        <v>46016</v>
      </c>
      <c r="F12" s="17">
        <v>46017</v>
      </c>
      <c r="G12" s="18">
        <v>46018</v>
      </c>
      <c r="H12" s="35"/>
    </row>
    <row r="13" spans="2:13" ht="14.45" hidden="1" customHeight="1" x14ac:dyDescent="0.25">
      <c r="B13" s="39">
        <v>46020</v>
      </c>
      <c r="C13" s="39">
        <v>46021</v>
      </c>
      <c r="D13" s="39">
        <v>46022</v>
      </c>
      <c r="E13" s="70">
        <v>46023</v>
      </c>
      <c r="F13" s="14">
        <v>46024</v>
      </c>
      <c r="G13" s="16">
        <v>46025</v>
      </c>
      <c r="H13" s="34"/>
    </row>
    <row r="14" spans="2:13" ht="14.45" hidden="1" customHeight="1" x14ac:dyDescent="0.25">
      <c r="B14" s="39">
        <v>46027</v>
      </c>
      <c r="C14" s="39">
        <v>46028</v>
      </c>
      <c r="D14" s="39">
        <v>46029</v>
      </c>
      <c r="E14" s="70">
        <v>46030</v>
      </c>
      <c r="F14" s="14">
        <v>46031</v>
      </c>
      <c r="G14" s="16">
        <v>46032</v>
      </c>
      <c r="H14" s="34"/>
    </row>
    <row r="15" spans="2:13" ht="14.45" hidden="1" customHeight="1" x14ac:dyDescent="0.25">
      <c r="B15" s="41">
        <v>46034</v>
      </c>
      <c r="C15" s="41">
        <v>46035</v>
      </c>
      <c r="D15" s="41">
        <v>46036</v>
      </c>
      <c r="E15" s="72">
        <v>46037</v>
      </c>
      <c r="F15" s="19">
        <v>46038</v>
      </c>
      <c r="G15" s="20">
        <v>46039</v>
      </c>
      <c r="H15" s="36"/>
      <c r="I15" s="5" t="s">
        <v>88</v>
      </c>
      <c r="J15" s="5" t="s">
        <v>89</v>
      </c>
    </row>
    <row r="16" spans="2:13" ht="14.45" hidden="1" customHeight="1" x14ac:dyDescent="0.25">
      <c r="B16" s="39">
        <v>46041</v>
      </c>
      <c r="C16" s="39">
        <v>46042</v>
      </c>
      <c r="D16" s="39">
        <v>46043</v>
      </c>
      <c r="E16" s="70">
        <v>46044</v>
      </c>
      <c r="F16" s="14">
        <v>46045</v>
      </c>
      <c r="G16" s="16">
        <v>46046</v>
      </c>
      <c r="H16" s="34"/>
    </row>
    <row r="17" spans="2:14" ht="14.45" hidden="1" customHeight="1" x14ac:dyDescent="0.25">
      <c r="B17" s="41">
        <v>46048</v>
      </c>
      <c r="C17" s="41">
        <v>46049</v>
      </c>
      <c r="D17" s="41">
        <v>46050</v>
      </c>
      <c r="E17" s="72">
        <v>46051</v>
      </c>
      <c r="F17" s="19">
        <v>46052</v>
      </c>
      <c r="G17" s="20">
        <v>46053</v>
      </c>
      <c r="H17" s="36"/>
      <c r="I17" s="5" t="s">
        <v>88</v>
      </c>
      <c r="J17" s="5" t="s">
        <v>90</v>
      </c>
    </row>
    <row r="18" spans="2:14" ht="14.45" hidden="1" customHeight="1" x14ac:dyDescent="0.25">
      <c r="B18" s="45">
        <v>46055</v>
      </c>
      <c r="C18" s="45">
        <v>46056</v>
      </c>
      <c r="D18" s="45">
        <v>46057</v>
      </c>
      <c r="E18" s="73">
        <v>46058</v>
      </c>
      <c r="F18" s="46">
        <v>46059</v>
      </c>
      <c r="G18" s="48">
        <v>46060</v>
      </c>
      <c r="H18" s="47">
        <v>46061</v>
      </c>
    </row>
    <row r="19" spans="2:14" ht="14.45" hidden="1" customHeight="1" x14ac:dyDescent="0.25">
      <c r="B19" s="45">
        <v>46062</v>
      </c>
      <c r="C19" s="45">
        <v>46063</v>
      </c>
      <c r="D19" s="45">
        <v>46064</v>
      </c>
      <c r="E19" s="73">
        <v>46065</v>
      </c>
      <c r="F19" s="46">
        <v>46066</v>
      </c>
      <c r="G19" s="48">
        <v>46067</v>
      </c>
      <c r="H19" s="47">
        <v>46068</v>
      </c>
    </row>
    <row r="20" spans="2:14" ht="14.45" hidden="1" customHeight="1" x14ac:dyDescent="0.25">
      <c r="B20" s="49">
        <v>46069</v>
      </c>
      <c r="C20" s="49">
        <v>46070</v>
      </c>
      <c r="D20" s="49">
        <v>46071</v>
      </c>
      <c r="E20" s="74">
        <v>46072</v>
      </c>
      <c r="F20" s="50">
        <v>46073</v>
      </c>
      <c r="G20" s="52">
        <v>46074</v>
      </c>
      <c r="H20" s="51">
        <v>46075</v>
      </c>
    </row>
    <row r="21" spans="2:14" ht="14.45" customHeight="1" x14ac:dyDescent="0.25">
      <c r="B21" s="45">
        <v>46076</v>
      </c>
      <c r="C21" s="45">
        <v>46077</v>
      </c>
      <c r="D21" s="45">
        <v>46078</v>
      </c>
      <c r="E21" s="73">
        <v>46079</v>
      </c>
      <c r="F21" s="46">
        <v>46080</v>
      </c>
      <c r="G21" s="48">
        <v>46081</v>
      </c>
      <c r="H21" s="47">
        <v>46082</v>
      </c>
    </row>
    <row r="22" spans="2:14" ht="14.45" customHeight="1" x14ac:dyDescent="0.25">
      <c r="B22" s="45">
        <v>46083</v>
      </c>
      <c r="C22" s="45">
        <v>46084</v>
      </c>
      <c r="D22" s="45">
        <v>46085</v>
      </c>
      <c r="E22" s="73">
        <v>46086</v>
      </c>
      <c r="F22" s="46">
        <v>46087</v>
      </c>
      <c r="G22" s="48">
        <v>46088</v>
      </c>
      <c r="H22" s="47">
        <v>46089</v>
      </c>
    </row>
    <row r="23" spans="2:14" ht="14.45" customHeight="1" x14ac:dyDescent="0.25">
      <c r="B23" s="45">
        <v>46090</v>
      </c>
      <c r="C23" s="45">
        <v>46091</v>
      </c>
      <c r="D23" s="45">
        <v>46092</v>
      </c>
      <c r="E23" s="73">
        <v>46093</v>
      </c>
      <c r="F23" s="46">
        <v>46094</v>
      </c>
      <c r="G23" s="48">
        <v>46095</v>
      </c>
      <c r="H23" s="47">
        <v>46096</v>
      </c>
    </row>
    <row r="24" spans="2:14" ht="14.45" customHeight="1" x14ac:dyDescent="0.25">
      <c r="B24" s="53">
        <v>46097</v>
      </c>
      <c r="C24" s="53">
        <v>46098</v>
      </c>
      <c r="D24" s="53">
        <v>46099</v>
      </c>
      <c r="E24" s="75">
        <v>46100</v>
      </c>
      <c r="F24" s="54">
        <v>46101</v>
      </c>
      <c r="G24" s="56">
        <v>46102</v>
      </c>
      <c r="H24" s="55">
        <v>46103</v>
      </c>
    </row>
    <row r="25" spans="2:14" ht="14.45" customHeight="1" x14ac:dyDescent="0.25">
      <c r="B25" s="53">
        <v>46104</v>
      </c>
      <c r="C25" s="53">
        <v>46105</v>
      </c>
      <c r="D25" s="53">
        <v>46106</v>
      </c>
      <c r="E25" s="75">
        <v>46107</v>
      </c>
      <c r="F25" s="54">
        <v>46108</v>
      </c>
      <c r="G25" s="56">
        <v>46109</v>
      </c>
      <c r="H25" s="55">
        <v>46110</v>
      </c>
    </row>
    <row r="26" spans="2:14" ht="14.45" customHeight="1" x14ac:dyDescent="0.25">
      <c r="B26" s="53">
        <v>46111</v>
      </c>
      <c r="C26" s="53">
        <v>46112</v>
      </c>
      <c r="D26" s="53">
        <v>46113</v>
      </c>
      <c r="E26" s="75">
        <v>46114</v>
      </c>
      <c r="F26" s="54">
        <v>46115</v>
      </c>
      <c r="G26" s="56">
        <v>46116</v>
      </c>
      <c r="H26" s="55">
        <v>46117</v>
      </c>
    </row>
    <row r="27" spans="2:14" ht="14.45" customHeight="1" x14ac:dyDescent="0.25">
      <c r="B27" s="53">
        <v>46118</v>
      </c>
      <c r="C27" s="53">
        <v>46119</v>
      </c>
      <c r="D27" s="53">
        <v>46120</v>
      </c>
      <c r="E27" s="75">
        <v>46121</v>
      </c>
      <c r="F27" s="54">
        <v>46122</v>
      </c>
      <c r="G27" s="56">
        <v>46123</v>
      </c>
      <c r="H27" s="55">
        <v>46124</v>
      </c>
      <c r="L27" s="21">
        <v>8</v>
      </c>
      <c r="M27" s="21"/>
    </row>
    <row r="28" spans="2:14" ht="14.45" customHeight="1" x14ac:dyDescent="0.25">
      <c r="B28" s="53">
        <v>46125</v>
      </c>
      <c r="C28" s="53">
        <v>46126</v>
      </c>
      <c r="D28" s="53">
        <v>46127</v>
      </c>
      <c r="E28" s="75">
        <v>46128</v>
      </c>
      <c r="F28" s="54">
        <v>46129</v>
      </c>
      <c r="G28" s="56">
        <v>46130</v>
      </c>
      <c r="H28" s="55">
        <v>46131</v>
      </c>
      <c r="K28" s="5" t="s">
        <v>84</v>
      </c>
      <c r="L28" s="21">
        <v>6488</v>
      </c>
      <c r="M28" s="21">
        <f>L28/$L$27</f>
        <v>811</v>
      </c>
    </row>
    <row r="29" spans="2:14" ht="14.45" customHeight="1" x14ac:dyDescent="0.25">
      <c r="B29" s="45">
        <v>46132</v>
      </c>
      <c r="C29" s="45">
        <v>46133</v>
      </c>
      <c r="D29" s="45">
        <v>46134</v>
      </c>
      <c r="E29" s="73">
        <v>46135</v>
      </c>
      <c r="F29" s="46">
        <v>46136</v>
      </c>
      <c r="G29" s="48">
        <v>46137</v>
      </c>
      <c r="H29" s="47">
        <v>46138</v>
      </c>
      <c r="K29" s="5" t="s">
        <v>85</v>
      </c>
      <c r="L29" s="21">
        <v>5264</v>
      </c>
      <c r="M29" s="21">
        <f>L29/$L$27</f>
        <v>658</v>
      </c>
    </row>
    <row r="30" spans="2:14" ht="14.45" customHeight="1" x14ac:dyDescent="0.25">
      <c r="B30" s="45">
        <v>46139</v>
      </c>
      <c r="C30" s="45">
        <v>46140</v>
      </c>
      <c r="D30" s="45">
        <v>46141</v>
      </c>
      <c r="E30" s="73">
        <v>46142</v>
      </c>
      <c r="F30" s="46">
        <v>46143</v>
      </c>
      <c r="G30" s="48">
        <v>46144</v>
      </c>
      <c r="H30" s="47">
        <v>46145</v>
      </c>
      <c r="K30" s="5" t="s">
        <v>86</v>
      </c>
      <c r="L30" s="21">
        <v>6630</v>
      </c>
      <c r="M30" s="21">
        <f>L30/$L$27</f>
        <v>828.75</v>
      </c>
    </row>
    <row r="31" spans="2:14" ht="14.45" customHeight="1" x14ac:dyDescent="0.25">
      <c r="B31" s="45">
        <v>46146</v>
      </c>
      <c r="C31" s="45">
        <v>46147</v>
      </c>
      <c r="D31" s="45">
        <v>46148</v>
      </c>
      <c r="E31" s="73">
        <v>46149</v>
      </c>
      <c r="F31" s="46">
        <v>46150</v>
      </c>
      <c r="G31" s="48">
        <v>46151</v>
      </c>
      <c r="H31" s="47">
        <v>46152</v>
      </c>
      <c r="K31" s="5" t="s">
        <v>87</v>
      </c>
      <c r="L31" s="21">
        <v>7939</v>
      </c>
      <c r="M31" s="21">
        <f>L31/$L$27</f>
        <v>992.375</v>
      </c>
      <c r="N31" s="21">
        <f>M31/2</f>
        <v>496.1875</v>
      </c>
    </row>
    <row r="32" spans="2:14" ht="14.45" customHeight="1" x14ac:dyDescent="0.25">
      <c r="B32" s="45">
        <v>46153</v>
      </c>
      <c r="C32" s="45">
        <v>46154</v>
      </c>
      <c r="D32" s="45">
        <v>46155</v>
      </c>
      <c r="E32" s="73">
        <v>46156</v>
      </c>
      <c r="F32" s="46">
        <v>46157</v>
      </c>
      <c r="G32" s="48">
        <v>46158</v>
      </c>
      <c r="H32" s="47">
        <v>46159</v>
      </c>
    </row>
    <row r="33" spans="2:11" ht="14.45" customHeight="1" x14ac:dyDescent="0.25">
      <c r="B33" s="45">
        <v>46160</v>
      </c>
      <c r="C33" s="45">
        <v>46161</v>
      </c>
      <c r="D33" s="45">
        <v>46162</v>
      </c>
      <c r="E33" s="73">
        <v>46163</v>
      </c>
      <c r="F33" s="46">
        <v>46164</v>
      </c>
      <c r="G33" s="48">
        <v>46165</v>
      </c>
      <c r="H33" s="47">
        <v>46166</v>
      </c>
    </row>
    <row r="34" spans="2:11" ht="14.45" customHeight="1" x14ac:dyDescent="0.25">
      <c r="B34" s="53">
        <v>46167</v>
      </c>
      <c r="C34" s="53">
        <v>46168</v>
      </c>
      <c r="D34" s="53">
        <v>46169</v>
      </c>
      <c r="E34" s="75">
        <v>46170</v>
      </c>
      <c r="F34" s="54">
        <v>46171</v>
      </c>
      <c r="G34" s="56">
        <v>46172</v>
      </c>
      <c r="H34" s="55">
        <v>46173</v>
      </c>
      <c r="K34" s="5" t="s">
        <v>114</v>
      </c>
    </row>
    <row r="35" spans="2:11" ht="14.45" customHeight="1" x14ac:dyDescent="0.25">
      <c r="B35" s="53">
        <v>46174</v>
      </c>
      <c r="C35" s="53">
        <v>46175</v>
      </c>
      <c r="D35" s="53">
        <v>46176</v>
      </c>
      <c r="E35" s="75">
        <v>46177</v>
      </c>
      <c r="F35" s="54">
        <v>46178</v>
      </c>
      <c r="G35" s="56">
        <v>46179</v>
      </c>
      <c r="H35" s="55">
        <v>46180</v>
      </c>
    </row>
    <row r="36" spans="2:11" ht="14.45" customHeight="1" x14ac:dyDescent="0.25">
      <c r="B36" s="53">
        <v>46181</v>
      </c>
      <c r="C36" s="53">
        <v>46182</v>
      </c>
      <c r="D36" s="53">
        <v>46183</v>
      </c>
      <c r="E36" s="75">
        <v>46184</v>
      </c>
      <c r="F36" s="54">
        <v>46185</v>
      </c>
      <c r="G36" s="56">
        <v>46186</v>
      </c>
      <c r="H36" s="55">
        <v>46187</v>
      </c>
    </row>
    <row r="37" spans="2:11" ht="14.45" customHeight="1" x14ac:dyDescent="0.25">
      <c r="B37" s="53">
        <v>46188</v>
      </c>
      <c r="C37" s="53">
        <v>46189</v>
      </c>
      <c r="D37" s="53">
        <v>46190</v>
      </c>
      <c r="E37" s="75">
        <v>46191</v>
      </c>
      <c r="F37" s="54">
        <v>46192</v>
      </c>
      <c r="G37" s="56">
        <v>46193</v>
      </c>
      <c r="H37" s="55">
        <v>46194</v>
      </c>
    </row>
    <row r="38" spans="2:11" ht="14.45" customHeight="1" x14ac:dyDescent="0.25">
      <c r="B38" s="45">
        <v>46195</v>
      </c>
      <c r="C38" s="45">
        <v>46196</v>
      </c>
      <c r="D38" s="45">
        <v>46197</v>
      </c>
      <c r="E38" s="73">
        <v>46198</v>
      </c>
      <c r="F38" s="46">
        <v>46199</v>
      </c>
      <c r="G38" s="48">
        <v>46200</v>
      </c>
      <c r="H38" s="47">
        <v>46201</v>
      </c>
    </row>
    <row r="39" spans="2:11" ht="14.45" customHeight="1" x14ac:dyDescent="0.25">
      <c r="B39" s="57">
        <v>46202</v>
      </c>
      <c r="C39" s="57">
        <v>46203</v>
      </c>
      <c r="D39" s="57">
        <v>46204</v>
      </c>
      <c r="E39" s="76">
        <v>46205</v>
      </c>
      <c r="F39" s="46">
        <v>46206</v>
      </c>
      <c r="G39" s="48">
        <v>46207</v>
      </c>
      <c r="H39" s="47">
        <v>46208</v>
      </c>
    </row>
    <row r="40" spans="2:11" ht="14.45" customHeight="1" x14ac:dyDescent="0.25">
      <c r="B40" s="57">
        <v>46209</v>
      </c>
      <c r="C40" s="57">
        <v>46210</v>
      </c>
      <c r="D40" s="57">
        <v>46211</v>
      </c>
      <c r="E40" s="76">
        <v>46212</v>
      </c>
      <c r="F40" s="46">
        <v>46213</v>
      </c>
      <c r="G40" s="48">
        <v>46214</v>
      </c>
      <c r="H40" s="47">
        <v>46215</v>
      </c>
    </row>
    <row r="41" spans="2:11" ht="14.45" customHeight="1" x14ac:dyDescent="0.25">
      <c r="B41" s="58">
        <v>46216</v>
      </c>
      <c r="C41" s="58">
        <v>46217</v>
      </c>
      <c r="D41" s="58">
        <v>46218</v>
      </c>
      <c r="E41" s="77">
        <v>46219</v>
      </c>
      <c r="F41" s="59">
        <v>46220</v>
      </c>
      <c r="G41" s="61">
        <v>46221</v>
      </c>
      <c r="H41" s="60">
        <v>46222</v>
      </c>
    </row>
    <row r="42" spans="2:11" ht="14.45" customHeight="1" x14ac:dyDescent="0.25">
      <c r="B42" s="58">
        <v>46223</v>
      </c>
      <c r="C42" s="58">
        <v>46224</v>
      </c>
      <c r="D42" s="58">
        <v>46225</v>
      </c>
      <c r="E42" s="77">
        <v>46226</v>
      </c>
      <c r="F42" s="59">
        <v>46227</v>
      </c>
      <c r="G42" s="61">
        <v>46228</v>
      </c>
      <c r="H42" s="60">
        <v>46229</v>
      </c>
    </row>
    <row r="43" spans="2:11" ht="14.45" customHeight="1" x14ac:dyDescent="0.25">
      <c r="B43" s="62">
        <v>46230</v>
      </c>
      <c r="C43" s="62">
        <v>46231</v>
      </c>
      <c r="D43" s="62">
        <v>46232</v>
      </c>
      <c r="E43" s="78">
        <v>46233</v>
      </c>
      <c r="F43" s="63">
        <v>46234</v>
      </c>
      <c r="G43" s="65">
        <v>46235</v>
      </c>
      <c r="H43" s="64">
        <v>46236</v>
      </c>
    </row>
    <row r="44" spans="2:11" ht="14.45" customHeight="1" x14ac:dyDescent="0.25">
      <c r="B44" s="62">
        <v>46237</v>
      </c>
      <c r="C44" s="62">
        <v>46238</v>
      </c>
      <c r="D44" s="62">
        <v>46239</v>
      </c>
      <c r="E44" s="78">
        <v>46240</v>
      </c>
      <c r="F44" s="63">
        <v>46241</v>
      </c>
      <c r="G44" s="65">
        <v>46242</v>
      </c>
      <c r="H44" s="64">
        <v>46243</v>
      </c>
    </row>
    <row r="45" spans="2:11" ht="14.45" customHeight="1" x14ac:dyDescent="0.25">
      <c r="B45" s="62">
        <v>46244</v>
      </c>
      <c r="C45" s="62">
        <v>46245</v>
      </c>
      <c r="D45" s="62">
        <v>46246</v>
      </c>
      <c r="E45" s="78">
        <v>46247</v>
      </c>
      <c r="F45" s="63">
        <v>46248</v>
      </c>
      <c r="G45" s="65">
        <v>46249</v>
      </c>
      <c r="H45" s="64">
        <v>46250</v>
      </c>
    </row>
    <row r="46" spans="2:11" ht="14.45" customHeight="1" x14ac:dyDescent="0.25">
      <c r="B46" s="62">
        <v>46251</v>
      </c>
      <c r="C46" s="62">
        <v>46252</v>
      </c>
      <c r="D46" s="62">
        <v>46253</v>
      </c>
      <c r="E46" s="78">
        <v>46254</v>
      </c>
      <c r="F46" s="63">
        <v>46255</v>
      </c>
      <c r="G46" s="65">
        <v>46256</v>
      </c>
      <c r="H46" s="64">
        <v>46257</v>
      </c>
    </row>
    <row r="47" spans="2:11" ht="14.45" customHeight="1" thickBot="1" x14ac:dyDescent="0.3">
      <c r="B47" s="66">
        <v>46258</v>
      </c>
      <c r="C47" s="66">
        <v>46259</v>
      </c>
      <c r="D47" s="66">
        <v>46260</v>
      </c>
      <c r="E47" s="79">
        <v>46261</v>
      </c>
      <c r="F47" s="67">
        <v>46262</v>
      </c>
      <c r="G47" s="90" t="s">
        <v>104</v>
      </c>
      <c r="H47" s="91"/>
    </row>
  </sheetData>
  <mergeCells count="2">
    <mergeCell ref="G47:H47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17EAF-1C01-4B74-9D6C-868815E7210A}">
  <dimension ref="B2:I12"/>
  <sheetViews>
    <sheetView tabSelected="1" workbookViewId="0">
      <selection activeCell="H4" sqref="H4"/>
    </sheetView>
  </sheetViews>
  <sheetFormatPr defaultRowHeight="16.5" x14ac:dyDescent="0.3"/>
  <cols>
    <col min="2" max="2" width="18.875" customWidth="1"/>
  </cols>
  <sheetData>
    <row r="2" spans="2:9" x14ac:dyDescent="0.3">
      <c r="C2" s="83" t="s">
        <v>115</v>
      </c>
      <c r="D2" s="83"/>
      <c r="E2" s="83"/>
      <c r="F2" s="83" t="s">
        <v>116</v>
      </c>
      <c r="G2" s="83"/>
      <c r="H2" s="83"/>
      <c r="I2" s="80" t="s">
        <v>120</v>
      </c>
    </row>
    <row r="3" spans="2:9" x14ac:dyDescent="0.3">
      <c r="C3" s="80" t="s">
        <v>117</v>
      </c>
      <c r="D3" s="80" t="s">
        <v>118</v>
      </c>
      <c r="E3" s="80" t="s">
        <v>119</v>
      </c>
      <c r="F3" s="80" t="s">
        <v>117</v>
      </c>
      <c r="G3" s="80" t="s">
        <v>118</v>
      </c>
      <c r="H3" s="80" t="s">
        <v>119</v>
      </c>
      <c r="I3" s="80"/>
    </row>
    <row r="4" spans="2:9" x14ac:dyDescent="0.3">
      <c r="B4" t="s">
        <v>84</v>
      </c>
      <c r="C4" s="81">
        <v>83</v>
      </c>
      <c r="D4" s="81">
        <v>37</v>
      </c>
      <c r="E4" s="81">
        <f>C4-D4</f>
        <v>46</v>
      </c>
      <c r="F4" s="81">
        <v>153</v>
      </c>
      <c r="G4" s="81">
        <v>3</v>
      </c>
      <c r="H4" s="81">
        <f>F4-G4</f>
        <v>150</v>
      </c>
      <c r="I4" s="81">
        <f t="shared" ref="I4:I7" si="0">E4+H4</f>
        <v>196</v>
      </c>
    </row>
    <row r="5" spans="2:9" x14ac:dyDescent="0.3">
      <c r="B5" t="s">
        <v>10</v>
      </c>
      <c r="C5" s="81">
        <v>48</v>
      </c>
      <c r="D5" s="81">
        <v>25</v>
      </c>
      <c r="E5" s="81">
        <f t="shared" ref="E5:E7" si="1">C5-D5</f>
        <v>23</v>
      </c>
      <c r="F5" s="81">
        <v>98</v>
      </c>
      <c r="G5" s="81">
        <v>0</v>
      </c>
      <c r="H5" s="81">
        <f t="shared" ref="H5:H7" si="2">F5-G5</f>
        <v>98</v>
      </c>
      <c r="I5" s="81">
        <f t="shared" si="0"/>
        <v>121</v>
      </c>
    </row>
    <row r="6" spans="2:9" x14ac:dyDescent="0.3">
      <c r="B6" t="s">
        <v>11</v>
      </c>
      <c r="C6" s="81">
        <v>79</v>
      </c>
      <c r="D6" s="81">
        <v>25</v>
      </c>
      <c r="E6" s="81">
        <f t="shared" si="1"/>
        <v>54</v>
      </c>
      <c r="F6" s="81">
        <v>94</v>
      </c>
      <c r="G6" s="81">
        <v>4</v>
      </c>
      <c r="H6" s="81">
        <f t="shared" si="2"/>
        <v>90</v>
      </c>
      <c r="I6" s="81">
        <f t="shared" si="0"/>
        <v>144</v>
      </c>
    </row>
    <row r="7" spans="2:9" x14ac:dyDescent="0.3">
      <c r="B7" t="s">
        <v>113</v>
      </c>
      <c r="C7" s="81">
        <v>64</v>
      </c>
      <c r="D7" s="81">
        <v>64</v>
      </c>
      <c r="E7" s="81">
        <f t="shared" si="1"/>
        <v>0</v>
      </c>
      <c r="F7" s="81">
        <v>101</v>
      </c>
      <c r="G7" s="81">
        <v>2</v>
      </c>
      <c r="H7" s="81">
        <f t="shared" si="2"/>
        <v>99</v>
      </c>
      <c r="I7" s="81">
        <f t="shared" si="0"/>
        <v>99</v>
      </c>
    </row>
    <row r="8" spans="2:9" x14ac:dyDescent="0.3">
      <c r="B8" t="s">
        <v>120</v>
      </c>
      <c r="C8" s="81"/>
      <c r="D8" s="81"/>
      <c r="E8" s="81">
        <f>SUM(E4:E7)</f>
        <v>123</v>
      </c>
      <c r="F8" s="81"/>
      <c r="G8" s="81"/>
      <c r="H8" s="81">
        <f>SUM(H4:H7)</f>
        <v>437</v>
      </c>
      <c r="I8" s="81">
        <f>E8+H8</f>
        <v>560</v>
      </c>
    </row>
    <row r="9" spans="2:9" x14ac:dyDescent="0.3">
      <c r="C9" s="81"/>
      <c r="D9" s="81"/>
      <c r="E9" s="81"/>
      <c r="F9" s="81"/>
      <c r="G9" s="81"/>
      <c r="H9" s="81"/>
      <c r="I9" s="81"/>
    </row>
    <row r="10" spans="2:9" x14ac:dyDescent="0.3">
      <c r="B10" t="s">
        <v>121</v>
      </c>
      <c r="C10" s="81">
        <v>5</v>
      </c>
      <c r="D10" s="81"/>
      <c r="E10" s="81">
        <f>C10*E8</f>
        <v>615</v>
      </c>
      <c r="F10" s="81"/>
      <c r="G10" s="81"/>
      <c r="H10" s="81">
        <f>C10*H8</f>
        <v>2185</v>
      </c>
      <c r="I10" s="81">
        <f>E10+H10</f>
        <v>2800</v>
      </c>
    </row>
    <row r="11" spans="2:9" x14ac:dyDescent="0.3">
      <c r="B11" t="s">
        <v>122</v>
      </c>
      <c r="C11" s="81"/>
      <c r="D11" s="81"/>
      <c r="E11" s="82">
        <f>E10/60</f>
        <v>10.25</v>
      </c>
      <c r="F11" s="82"/>
      <c r="G11" s="82"/>
      <c r="H11" s="82">
        <f>H10/60</f>
        <v>36.416666666666664</v>
      </c>
      <c r="I11" s="82">
        <f>I10/60</f>
        <v>46.666666666666664</v>
      </c>
    </row>
    <row r="12" spans="2:9" x14ac:dyDescent="0.3">
      <c r="B12" t="s">
        <v>123</v>
      </c>
      <c r="C12" s="81">
        <v>8</v>
      </c>
      <c r="D12" s="81"/>
      <c r="E12" s="82">
        <f>E11/C12</f>
        <v>1.28125</v>
      </c>
      <c r="F12" s="82"/>
      <c r="G12" s="82"/>
      <c r="H12" s="82">
        <f>H11/C12</f>
        <v>4.552083333333333</v>
      </c>
      <c r="I12" s="82">
        <f>I11/C12</f>
        <v>5.833333333333333</v>
      </c>
    </row>
  </sheetData>
  <mergeCells count="2">
    <mergeCell ref="F2:H2"/>
    <mergeCell ref="C2:E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2차-시간배분</vt:lpstr>
      <vt:lpstr>2차-회독 목표</vt:lpstr>
      <vt:lpstr>2차-답안 작성 계획</vt:lpstr>
      <vt:lpstr>2차-답안 글자수</vt:lpstr>
      <vt:lpstr>2차-공부계획_월력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Myounggyu Song</cp:lastModifiedBy>
  <cp:revision/>
  <cp:lastPrinted>2024-03-05T02:34:39Z</cp:lastPrinted>
  <dcterms:created xsi:type="dcterms:W3CDTF">2023-10-20T08:55:08Z</dcterms:created>
  <dcterms:modified xsi:type="dcterms:W3CDTF">2026-04-24T10:58:39Z</dcterms:modified>
  <cp:category/>
  <cp:contentStatus/>
</cp:coreProperties>
</file>